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771"/>
  </bookViews>
  <sheets>
    <sheet name="МШП" sheetId="1" r:id="rId1"/>
    <sheet name="Глобине-2" sheetId="2" r:id="rId2"/>
    <sheet name="Котельна (Глобине)" sheetId="3" r:id="rId3"/>
    <sheet name="Насосна Градирня (Глобине)" sheetId="4" r:id="rId4"/>
    <sheet name="зберігання розчинника" sheetId="5" r:id="rId5"/>
    <sheet name="парк соєвої меляси" sheetId="6" r:id="rId6"/>
    <sheet name="СПК (Глобине)" sheetId="7" r:id="rId7"/>
    <sheet name="Цех екстракції (Глобине)" sheetId="8" r:id="rId8"/>
  </sheets>
  <definedNames>
    <definedName name="_xlnm._FilterDatabase" localSheetId="1" hidden="1">'Глобине-2'!$A$1:$L$173</definedName>
    <definedName name="_xlnm._FilterDatabase" localSheetId="4" hidden="1">'зберігання розчинника'!$B$1:$D$15</definedName>
    <definedName name="_xlnm._FilterDatabase" localSheetId="2" hidden="1">'Котельна (Глобине)'!$B$1:$D$12</definedName>
    <definedName name="_xlnm._FilterDatabase" localSheetId="3" hidden="1">'Насосна Градирня (Глобине)'!$B$1:$D$12</definedName>
    <definedName name="_xlnm._FilterDatabase" localSheetId="5" hidden="1">'парк соєвої меляси'!$B$1:$D$40</definedName>
    <definedName name="_xlnm._FilterDatabase" localSheetId="6" hidden="1">'СПК (Глобине)'!$B$1:$D$33</definedName>
    <definedName name="_xlnm._FilterDatabase" localSheetId="7" hidden="1">'Цех екстракції (Глобине)'!$A$1:$D$26</definedName>
  </definedNames>
  <calcPr calcId="145621"/>
</workbook>
</file>

<file path=xl/calcChain.xml><?xml version="1.0" encoding="utf-8"?>
<calcChain xmlns="http://schemas.openxmlformats.org/spreadsheetml/2006/main">
  <c r="C9" i="1" l="1"/>
  <c r="C8" i="1"/>
  <c r="J28" i="8"/>
  <c r="C7" i="1"/>
  <c r="J35" i="7"/>
  <c r="C6" i="1" l="1"/>
  <c r="J42" i="6"/>
  <c r="C5" i="1"/>
  <c r="J17" i="5"/>
  <c r="C4" i="1"/>
  <c r="J14" i="4"/>
  <c r="C3" i="1" l="1"/>
  <c r="J13" i="3"/>
  <c r="C2" i="1" l="1"/>
  <c r="J175" i="2"/>
</calcChain>
</file>

<file path=xl/sharedStrings.xml><?xml version="1.0" encoding="utf-8"?>
<sst xmlns="http://schemas.openxmlformats.org/spreadsheetml/2006/main" count="2402" uniqueCount="262">
  <si>
    <t>Глобине-2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</si>
  <si>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</si>
  <si>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</si>
  <si>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</si>
  <si>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</si>
  <si>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</si>
  <si>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</si>
  <si>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</si>
  <si>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</si>
  <si>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</si>
  <si>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04.02.2025</t>
  </si>
  <si>
    <t>Надходження товарів і послуг ІБ00-000506 від 04.02.2025 17:50:27
Оприходованы ТМЦ</t>
  </si>
  <si>
    <t>Обл. НДС
Рулетка 5м*25мм Black edition
Надходження товарів і послуг ІБ00-000506 від 04.02.2025 17:50:27
Глобине-2</t>
  </si>
  <si>
    <t>Лук'ян Михайло Федорович ФОП
22/08-24-1 от 22.08.2024 (РАХУНКИ)_Глобине-2
Рахунок на оплату постачальника ІБ00-000438 від 04.02.2025 17:50:26</t>
  </si>
  <si>
    <t>221</t>
  </si>
  <si>
    <t>631</t>
  </si>
  <si>
    <t xml:space="preserve"> </t>
  </si>
  <si>
    <t>Обл. НДС
Плащ від дощу
Надходження товарів і послуг ІБ00-000506 від 04.02.2025 17:50:27
Глобине-2</t>
  </si>
  <si>
    <t>Обл. НДС
Мастило для бурів
Надходження товарів і послуг ІБ00-000506 від 04.02.2025 17:50:27
Глобине-2</t>
  </si>
  <si>
    <t>Обл. НДС
Бита Рh2 51мм 
Надходження товарів і послуг ІБ00-000506 від 04.02.2025 17:50:27
Глобине-2</t>
  </si>
  <si>
    <t>Обл. НДС
Рукавиці трикотажні з ПВХ чорні 7клас розм 10
Надходження товарів і послуг ІБ00-000506 від 04.02.2025 17:50:27
Глобине-2</t>
  </si>
  <si>
    <t>Обл. НДС
Змазка 10W 40, 1л чотирьохтактне
Надходження товарів і послуг ІБ00-000506 від 04.02.2025 17:50:27
Глобине-2</t>
  </si>
  <si>
    <t>Обл. НДС
Касета-розетка 3гн, з/к з кришками Омега ІР44  16А
Надходження товарів і послуг ІБ00-000506 від 04.02.2025 17:50:27
Глобине-2</t>
  </si>
  <si>
    <t>Обл. НДС
Круг алмаз 230мм "BOSCH" граніт.мрамор.бетон.цегла
Надходження товарів і послуг ІБ00-000506 від 04.02.2025 17:50:27
Глобине-2</t>
  </si>
  <si>
    <t>Обл. НДС
Жилка будівельна Ф8мм 100метр,
Надходження товарів і послуг ІБ00-000506 від 04.02.2025 17:50:27
Глобине-2</t>
  </si>
  <si>
    <t>Обл. НДС
Шуруп 3,5х55
Надходження товарів і послуг ІБ00-000506 від 04.02.2025 17:50:27
Глобине-2</t>
  </si>
  <si>
    <t>Обл. НДС
Валик 18*48*250 мм d=8 мм
Надходження товарів і послуг ІБ00-000506 від 04.02.2025 17:50:27
Глобине-2</t>
  </si>
  <si>
    <t>Обл. НДС
Ручка для валика
Надходження товарів і послуг ІБ00-000506 від 04.02.2025 17:50:27
Глобине-2</t>
  </si>
  <si>
    <t>Обл. НДС
Вилка 4001, 16А з/к пряма (каучук)
Надходження товарів і послуг ІБ00-000506 від 04.02.2025 17:50:27
Глобине-2</t>
  </si>
  <si>
    <t>Обл. НДС
Патрон монтаж. 6,8*11 мм червоні
Надходження товарів і послуг ІБ00-000506 від 04.02.2025 17:50:27
Глобине-2</t>
  </si>
  <si>
    <t>Обл. НДС
Електроди Моноліт РЦ, 4 мм 5кг ПлазмаТек
Надходження товарів і послуг ІБ00-000506 від 04.02.2025 17:50:27
Глобине-2</t>
  </si>
  <si>
    <t>Обл. НДС
Пензель 50мм
Надходження товарів і послуг ІБ00-000506 від 04.02.2025 17:50:27
Глобине-2</t>
  </si>
  <si>
    <t>Обл. НДС
Піна монтажна  780 мл 
Надходження товарів і послуг ІБ00-000506 від 04.02.2025 17:50:27
Глобине-2</t>
  </si>
  <si>
    <t>Обл. НДС
Олівець столярний
Надходження товарів і послуг ІБ00-000506 від 04.02.2025 17:50:27
Глобине-2</t>
  </si>
  <si>
    <t>Обл. НДС
Ніж сегментний 25 мм
Надходження товарів і послуг ІБ00-000506 від 04.02.2025 17:50:27
Глобине-2</t>
  </si>
  <si>
    <t>Обл. НДС
Плоскогубці 180 мм Compass CP-Pl-180
Надходження товарів і послуг ІБ00-000506 від 04.02.2025 17:50:27
Глобине-2</t>
  </si>
  <si>
    <t>Переміщення товарів ІБ00-000082 від 04.02.2025 18:00:00
Перемещение ТМЦ</t>
  </si>
  <si>
    <t>Обл. НДС
Рулетка 5м*25мм Black edition
Надходження товарів і послуг ІБ00-000506 від 04.02.2025 17:50:27
СПК (Глобине)</t>
  </si>
  <si>
    <t>Обл. НДС
Плащ від дощу
Надходження товарів і послуг ІБ00-000506 від 04.02.2025 17:50:27
СПК (Глобине)</t>
  </si>
  <si>
    <t>Обл. НДС
Касета-розетка 3гн, з/к з кришками Омега ІР44  16А
Надходження товарів і послуг ІБ00-000506 від 04.02.2025 17:50:27
СПК (Глобине)</t>
  </si>
  <si>
    <t>Обл. НДС
Вилка 4001, 16А з/к пряма (каучук)
Надходження товарів і послуг ІБ00-000506 від 04.02.2025 17:50:27
СПК (Глобине)</t>
  </si>
  <si>
    <t>Обл. НДС
Олівець столярний
Надходження товарів і послуг ІБ00-000506 від 04.02.2025 17:50:27
СПК (Глобине)</t>
  </si>
  <si>
    <t>Обл. НДС
Ніж сегментний 25 мм
Надходження товарів і послуг ІБ00-000506 від 04.02.2025 17:50:27
СПК (Глобине)</t>
  </si>
  <si>
    <t>Переміщення товарів ІБ00-000083 від 04.02.2025 18:00:01
Перемещение ТМЦ</t>
  </si>
  <si>
    <t>Обл. НДС
Рулетка 5м*25мм Black edition
Надходження товарів і послуг ІБ00-000506 від 04.02.2025 17:50:27
Цех екстракції (Глобине)</t>
  </si>
  <si>
    <t>Обл. НДС
Плащ від дощу
Надходження товарів і послуг ІБ00-000506 від 04.02.2025 17:50:27
Цех екстракції (Глобине)</t>
  </si>
  <si>
    <t>Обл. НДС
Касета-розетка 3гн, з/к з кришками Омега ІР44  16А
Надходження товарів і послуг ІБ00-000506 від 04.02.2025 17:50:27
Цех екстракції (Глобине)</t>
  </si>
  <si>
    <t>Обл. НДС
Шуруп 3,5х55
Надходження товарів і послуг ІБ00-000506 від 04.02.2025 17:50:27
Цех екстракції (Глобине)</t>
  </si>
  <si>
    <t>Обл. НДС
Вилка 4001, 16А з/к пряма (каучук)
Надходження товарів і послуг ІБ00-000506 від 04.02.2025 17:50:27
Цех екстракції (Глобине)</t>
  </si>
  <si>
    <t>Обл. НДС
Олівець столярний
Надходження товарів і послуг ІБ00-000506 від 04.02.2025 17:50:27
Цех екстракції (Глобине)</t>
  </si>
  <si>
    <t>Переміщення товарів ІБ00-000084 від 04.02.2025 18:00:02
Перемещение ТМЦ</t>
  </si>
  <si>
    <t>Обл. НДС
Рулетка 5м*25мм Black edition
Надходження товарів і послуг ІБ00-000506 від 04.02.2025 17:50:27
Резервуарний парк соєвої меляси (Глобине)</t>
  </si>
  <si>
    <t>Обл. НДС
Плащ від дощу
Надходження товарів і послуг ІБ00-000506 від 04.02.2025 17:50:27
Резервуарний парк соєвої меляси (Глобине)</t>
  </si>
  <si>
    <t>Обл. НДС
Касета-розетка 3гн, з/к з кришками Омега ІР44  16А
Надходження товарів і послуг ІБ00-000506 від 04.02.2025 17:50:27
Резервуарний парк соєвої меляси (Глобине)</t>
  </si>
  <si>
    <t>Обл. НДС
Вилка 4001, 16А з/к пряма (каучук)
Надходження товарів і послуг ІБ00-000506 від 04.02.2025 17:50:27
Резервуарний парк соєвої меляси (Глобине)</t>
  </si>
  <si>
    <t>Обл. НДС
Олівець столярний
Надходження товарів і послуг ІБ00-000506 від 04.02.2025 17:50:27
Резервуарний парк соєвої меляси (Глобине)</t>
  </si>
  <si>
    <t>Переміщення товарів ІБ00-000085 від 04.02.2025 18:00:03
Перемещение ТМЦ</t>
  </si>
  <si>
    <t>Обл. НДС
Плащ від дощу
Надходження товарів і послуг ІБ00-000506 від 04.02.2025 17:50:27
Котельна (Глобине)</t>
  </si>
  <si>
    <t>Обл. НДС
Патрон монтаж. 6,8*11 мм червоні
Надходження товарів і послуг ІБ00-000506 від 04.02.2025 17:50:27
Котельна (Глобине)</t>
  </si>
  <si>
    <t>Переміщення товарів ІБ00-000086 від 04.02.2025 18:00:04
Перемещение ТМЦ</t>
  </si>
  <si>
    <t>Обл. НДС
Круг алмаз 230мм "BOSCH" граніт.мрамор.бетон.цегла
Надходження товарів і послуг ІБ00-000506 від 04.02.2025 17:50:27
Резервуар для зберігання розчинника(Глобине)</t>
  </si>
  <si>
    <t>Обл. НДС
Жилка будівельна Ф8мм 100метр,
Надходження товарів і послуг ІБ00-000506 від 04.02.2025 17:50:27
Резервуар для зберігання розчинника(Глобине)</t>
  </si>
  <si>
    <t>Обл. НДС
Валик 18*48*250 мм d=8 мм
Надходження товарів і послуг ІБ00-000506 від 04.02.2025 17:50:27
Резервуар для зберігання розчинника(Глобине)</t>
  </si>
  <si>
    <t>Обл. НДС
Ручка для валика
Надходження товарів і послуг ІБ00-000506 від 04.02.2025 17:50:27
Резервуар для зберігання розчинника(Глобине)</t>
  </si>
  <si>
    <t>Обл. НДС
Ніж сегментний 25 мм
Надходження товарів і послуг ІБ00-000506 від 04.02.2025 17:50:27
Резервуар для зберігання розчинника(Глобине)</t>
  </si>
  <si>
    <t>05.02.2025</t>
  </si>
  <si>
    <t>Передача малоцінних активів в експлуатацію ІБ00-000043 від 05.02.2025 18:00:16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</si>
  <si>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</si>
  <si>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Пістолет для піни монтажної
Надходження товарів і послуг ІБ00-004709 від 04.10.2024 18:40:29
Глобине-2</t>
  </si>
  <si>
    <t>231</t>
  </si>
  <si>
    <t>Обл. НДС
Фіксатор Стілець 50/8-24
Надходження товарів і послуг ІБ00-005325 від 04.10.2024 18:41:27
Глобине-2</t>
  </si>
  <si>
    <t>Обл. НДС
Рукавиці трикотажні з ПВХ помаранч 10клас розм 10
Надходження товарів і послуг ІБ00-004399 від 19.09.2024 18:10:36
Глобине-2</t>
  </si>
  <si>
    <t>Обл. НДС
Круг відрізний по металу 230*2,5*22,23 
Надходження товарів і послуг ІБ00-004399 від 19.09.2024 18:10:36
Глобине-2</t>
  </si>
  <si>
    <t>Обл. НДС
Бур SDS Plus 14*260 мм
Надходження товарів і послуг ІБ00-004399 від 19.09.2024 18:10:36
Глобине-2</t>
  </si>
  <si>
    <t>Передача малоцінних активів в експлуатацію ІБ00-000046 від 05.02.2025 18:00:20
Списание стоимости малоценных активов</t>
  </si>
  <si>
    <t>Передача малоцінних активів в експлуатацію ІБ00-000049 від 05.02.2025 18:15:27
Списание стоимости малоценных активов</t>
  </si>
  <si>
    <t>Передача малоцінних активів в експлуатацію ІБ00-000051 від 05.02.2025 18:15:31
Списание стоимости малоценных активов</t>
  </si>
  <si>
    <t>Обл. НДС
Чоботи ПВХ "Люкс" чоловічі р.43
Надходження товарів і послуг ІБ00-005406 від 30.10.2024 20:04:36
Глобине-2</t>
  </si>
  <si>
    <t>Передача малоцінних активів в експлуатацію ІБ00-000053 від 05.02.2025 18:15:37
Списание стоимости малоценных активов</t>
  </si>
  <si>
    <t>Обл. НДС
Каска будівельна, біла
Надходження товарів і послуг ІБ00-004399 від 19.09.2024 18:10:36
Глобине-2</t>
  </si>
  <si>
    <t>Передача малоцінних активів в експлуатацію ІБ00-000055 від 05.02.2025 18:15:42
Списание стоимости малоценных активов</t>
  </si>
  <si>
    <t>Обл. НДС
Чоботи ПВХ "Люкс" чоловічі р.44
Надходження товарів і послуг ІБ00-005406 від 30.10.2024 20:04:36
Глобине-2</t>
  </si>
  <si>
    <t>Обл. НДС
Чоботи ПВХ "Люкс" чоловічі р.45
Надходження товарів і послуг ІБ00-005406 від 30.10.2024 20:04:36
Глобине-2</t>
  </si>
  <si>
    <t>Обл. НДС
Провід ПВС 3*1,5 бухта 100м
Надходження товарів і послуг ІБ00-004399 від 19.09.2024 18:10:36
Глобине-2</t>
  </si>
  <si>
    <t>Обл. НДС
Провід ПВС 4*6,0 м
Надходження товарів і послуг ІБ00-004399 від 19.09.2024 18:10:36
Глобине-2</t>
  </si>
  <si>
    <t>Обл. НДС
Кувалда 5 кг з ручкою
Надходження товарів і послуг ІБ00-004399 від 19.09.2024 18:10:36
Глобине-2</t>
  </si>
  <si>
    <t>Обл. НДС
Костюм "Віват" р.112-116/170-176
Надходження товарів і послуг ІБ00-004384 від 20.09.2024 18:19:35
Глобине-2</t>
  </si>
  <si>
    <t>Обл. НДС
Костюм "Віват" р.112-116/170-176
Надходження товарів і послуг ІБ00-005042 від 02.10.2024 10:00:00
Глобине-2</t>
  </si>
  <si>
    <t>12.02.2025</t>
  </si>
  <si>
    <t>Передача малоцінних активів в експлуатацію ІБ00-000056 від 12.02.2025 15:38:50
Списание стоимости малоценных активов</t>
  </si>
  <si>
    <t>13.02.2025</t>
  </si>
  <si>
    <t>Переміщення товарів ІБ00-000099 від 13.02.2025 18:04:53
Перемещение ТМЦ</t>
  </si>
  <si>
    <t>Обл. НДС
Підвіс будівельний із шнурком 300г.
Надходження товарів і послуг ІБ00-005196 від 21.10.2024 17:44:01
Глобине-2</t>
  </si>
  <si>
    <t>Обл. НДС
Підвіс будівельний із шнурком 300г.
Надходження товарів і послуг ІБ00-005196 від 21.10.2024 17:44:01
Путрівка КМД</t>
  </si>
  <si>
    <t>Обл. НДС
Пістолет для піни монтажної
Надходження товарів і послуг ІБ00-006083 від 29.11.2024 22:00:59
Глобине-2</t>
  </si>
  <si>
    <t>Обл. НДС
Пістолет для піни монтажної
Надходження товарів і послуг ІБ00-006083 від 29.11.2024 22:00:59
Путрівка КМД</t>
  </si>
  <si>
    <t>18.02.2025</t>
  </si>
  <si>
    <t>Надходження товарів і послуг ІБ00-000711 від 18.02.2025 20:00:44
Оприходованы ТМЦ</t>
  </si>
  <si>
    <t>Обл. НДС
Електроди "Моноліт РЦ" 4 мм уп. 5,0 кг
Надходження товарів і послуг ІБ00-000711 від 18.02.2025 20:00:44
Глобине-2</t>
  </si>
  <si>
    <t>Лук'ян Михайло Федорович ФОП
22/08-24-1 от 22.08.2024 (РАХУНКИ)_Глобине-2
Рахунок на оплату постачальника ІБ00-000543 від 17.02.2025 23:45:06</t>
  </si>
  <si>
    <t>Обл. НДС
Електроди "Моноліт РЦ" 3 мм 2,5кг
Надходження товарів і послуг ІБ00-000711 від 18.02.2025 20:00:44
Глобине-2</t>
  </si>
  <si>
    <t>Обл. НДС
Круг відрізний армований 230*2,5*22
Надходження товарів і послуг ІБ00-000711 від 18.02.2025 20:00:44
Глобине-2</t>
  </si>
  <si>
    <t>Обл. НДС
Круг відрізний 125*1,6*22
Надходження товарів і послуг ІБ00-000711 від 18.02.2025 20:00:44
Глобине-2</t>
  </si>
  <si>
    <t>Обл. НДС
Рукавички трикотажні чорні ТМ Vulkan LUX, р.10
Надходження товарів і послуг ІБ00-000711 від 18.02.2025 20:00:44
Глобине-2</t>
  </si>
  <si>
    <t>Обл. НДС
Окуляри захисні
Надходження товарів і послуг ІБ00-000711 від 18.02.2025 20:00:44
Глобине-2</t>
  </si>
  <si>
    <t>Обл. НДС
Затискач маси прищіпка МК-400 А
Надходження товарів і послуг ІБ00-000711 від 18.02.2025 20:00:44
Глобине-2</t>
  </si>
  <si>
    <t>Обл. НДС
Тримач електродів DE-2400  400А
Надходження товарів і послуг ІБ00-000711 від 18.02.2025 20:00:44
Глобине-2</t>
  </si>
  <si>
    <t>Обл. НДС
Спрей-змазка 200мл ВД-40
Надходження товарів і послуг ІБ00-000711 від 18.02.2025 20:00:44
Глобине-2</t>
  </si>
  <si>
    <t>Обл. НДС
Замок навісний
Надходження товарів і послуг ІБ00-000711 від 18.02.2025 20:00:44
Глобине-2</t>
  </si>
  <si>
    <t>19.02.2025</t>
  </si>
  <si>
    <t>Передача малоцінних активів в експлуатацію ІБ00-000059 від 19.02.2025 16:18:09
Списание стоимости малоценных активов</t>
  </si>
  <si>
    <t>Обл. НДС
Бур ручний до грунту Т-подібний Д=110мм 
Надходження товарів і послуг ІБ00-004302 від 13.09.2024 18:23:22
Глобине-2</t>
  </si>
  <si>
    <t>Передача малоцінних активів в експлуатацію ІБ00-000060 від 19.02.2025 16:42:52
Списание стоимости малоценных активов</t>
  </si>
  <si>
    <t>20.02.2025</t>
  </si>
  <si>
    <t>Передача малоцінних активів в експлуатацію ІБ00-000080 від 20.02.2025 18:11:24
Списание стоимости малоценных активов</t>
  </si>
  <si>
    <t>22.02.2025</t>
  </si>
  <si>
    <t>Переміщення товарів ІБ00-000129 від 22.02.2025 18:00:01
Перемещение ТМЦ</t>
  </si>
  <si>
    <t>Обл. НДС
Вішалка-стійка для одягу, чорна (124 А)
Надходження товарів і послуг ІБ00-000746 від 29.02.2024 00:00:00
Глобине-2</t>
  </si>
  <si>
    <t>Обл. НДС
Вішалка-стійка для одягу, чорна (124 А)
Надходження товарів і послуг ІБ00-000746 від 29.02.2024 00:00:00
Ніжин-3</t>
  </si>
  <si>
    <t>Обл. НДС
Вогнегасник ОП-5 (ВП-5)
Надходження товарів і послуг ІБ00-001198 від 17.10.2023 19:26:25
Глобине-2</t>
  </si>
  <si>
    <t>Обл. НДС
Вогнегасник ОП-5 (ВП-5)
Надходження товарів і послуг ІБ00-001198 від 17.10.2023 19:26:25
Ніжин-3</t>
  </si>
  <si>
    <t>Обл. НДС
Вогнегасник ОП-5 (ВП-5)
Надходження товарів і послуг ІБ00-000749 від 27.02.2024 17:29:33
Глобине-2</t>
  </si>
  <si>
    <t>Обл. НДС
Вогнегасник ОП-5 (ВП-5)
Надходження товарів і послуг ІБ00-000749 від 27.02.2024 17:29:33
Ніжин-3</t>
  </si>
  <si>
    <t>Обл. НДС
Жалюзі пласт 75-160см білі
Надходження товарів і послуг ІБ00-001429 від 16.04.2024 17:49:59
Глобине-2</t>
  </si>
  <si>
    <t>Обл. НДС
Жалюзі пласт 75-160см білі
Надходження товарів і послуг ІБ00-001429 від 16.04.2024 17:49:59
Ніжин-3</t>
  </si>
  <si>
    <t>Обл. НДС
Жалюзі пласт 80-160см білі
Надходження товарів і послуг ІБ00-001429 від 16.04.2024 17:49:59
Глобине-2</t>
  </si>
  <si>
    <t>Обл. НДС
Жалюзі пласт 80-160см білі
Надходження товарів і послуг ІБ00-001429 від 16.04.2024 17:49:59
Ніжин-3</t>
  </si>
  <si>
    <t>Обл. НДС
Картридж Patron Canon 725 Extra
Надходження товарів і послуг ІБ00-005271 від 25.10.2024 18:30:24
Глобине-2</t>
  </si>
  <si>
    <t>Обл. НДС
Картридж Patron Canon 725 Extra
Надходження товарів і послуг ІБ00-005271 від 25.10.2024 18:30:24
Ніжин-3</t>
  </si>
  <si>
    <t>Обл. НДС
Лом пожежний
Надходження товарів і послуг ІБ00-001038 від 13.03.2024 17:25:45
Глобине-2</t>
  </si>
  <si>
    <t>Обл. НДС
Лом пожежний
Надходження товарів і послуг ІБ00-001038 від 13.03.2024 17:25:45
Ніжин-3</t>
  </si>
  <si>
    <t>Обл. НДС
Набір ключів комбінованих 6-32 мм 25 шт
Надходження товарів і послуг ІБ00-001516 від 22.04.2024 18:00:09
Глобине-2</t>
  </si>
  <si>
    <t>Обл. НДС
Набір ключів комбінованих 6-32 мм 25 шт
Надходження товарів і послуг ІБ00-001516 від 22.04.2024 18:00:09
Ніжин-3</t>
  </si>
  <si>
    <t>Обл. НДС
Пожтехніка Вогнегасник ОП-5 (ВП-5)
Надходження товарів і послуг ІБ00-001038 від 13.03.2024 17:25:45
Глобине-2</t>
  </si>
  <si>
    <t>Обл. НДС
Пожтехніка Вогнегасник ОП-5 (ВП-5)
Надходження товарів і послуг ІБ00-001038 від 13.03.2024 17:25:45
Ніжин-3</t>
  </si>
  <si>
    <t>Обл. НДС
Пояс лямковий комбінований ПЛК1-М
Надходження товарів і послуг ІБ00-000541 від 12.02.2024 18:30:50
Глобине-2</t>
  </si>
  <si>
    <t>Обл. НДС
Пояс лямковий комбінований ПЛК1-М
Надходження товарів і послуг ІБ00-000541 від 12.02.2024 18:30:50
Ніжин-3</t>
  </si>
  <si>
    <t>Обл. НДС
Пояс лямковий комбінований ПЛК3-М
Надходження товарів і послуг ІБ00-001516 від 22.04.2024 18:00:09
Глобине-2</t>
  </si>
  <si>
    <t>Обл. НДС
Пояс лямковий комбінований ПЛК3-М
Надходження товарів і послуг ІБ00-001516 від 22.04.2024 18:00:09
Ніжин-3</t>
  </si>
  <si>
    <t>Обл. НДС
Редуктор  БПО 5 ДМ ф9
Надходження товарів і послуг ІБ00-004853 від 25.09.2024 23:00:22
Глобине-2</t>
  </si>
  <si>
    <t>Обл. НДС
Редуктор  БПО 5 ДМ ф9
Надходження товарів і послуг ІБ00-004853 від 25.09.2024 23:00:22
Ніжин-3</t>
  </si>
  <si>
    <t>Обл. НДС
Струбцина 150 мм швидкоз
Надходження товарів і послуг ІБ00-001516 від 22.04.2024 18:00:09
Глобине-2</t>
  </si>
  <si>
    <t>Обл. НДС
Струбцина 150 мм швидкоз
Надходження товарів і послуг ІБ00-001516 від 22.04.2024 18:00:09
Ніжин-3</t>
  </si>
  <si>
    <t>Обл. НДС
Стяжний ремінь 6м з двома крюками 1500/3000кг
Надходження товарів і послуг ІБ00-001516 від 22.04.2024 18:00:09
Глобине-2</t>
  </si>
  <si>
    <t>Обл. НДС
Стяжний ремінь 6м з двома крюками 1500/3000кг
Надходження товарів і послуг ІБ00-001516 від 22.04.2024 18:00:09
Ніжин-3</t>
  </si>
  <si>
    <t>Передача малоцінних активів в експлуатацію ІБ00-000079 від 22.02.2025 20:00:00
Списание стоимости малоценных активов</t>
  </si>
  <si>
    <t>25.02.2025</t>
  </si>
  <si>
    <t>Надходження товарів і послуг ІБ00-000748 від 25.02.2025 18:19:56
Оприходованы ТМЦ</t>
  </si>
  <si>
    <t>Обл. НДС
Зубило + 20*200/250 мм бетон цегла
Надходження товарів і послуг ІБ00-000748 від 25.02.2025 18:19:56
Глобине-2</t>
  </si>
  <si>
    <t>Лук'ян Михайло Федорович ФОП
22/08-24-1 от 22.08.2024 (РАХУНКИ)_Глобине-2
Рахунок на оплату постачальника ІБ00-000653 від 21.02.2025 18:26:06</t>
  </si>
  <si>
    <t>Обл. НДС
Піка+ 200/250мм бетон/цегла
Надходження товарів і послуг ІБ00-000748 від 25.02.2025 18:19:56
Глобине-2</t>
  </si>
  <si>
    <t>Обл. НДС
Бур +10*100/160 плюс-1 бетон цегла
Надходження товарів і послуг ІБ00-000748 від 25.02.2025 18:19:56
Глобине-2</t>
  </si>
  <si>
    <t>Обл. НДС
Бур +14*100/160 плюс-1 бетон цегла
Надходження товарів і послуг ІБ00-000748 від 25.02.2025 18:19:56
Глобине-2</t>
  </si>
  <si>
    <t>Обл. НДС
Бур + 16*150/210 plus5 бетон,цегла
Надходження товарів і послуг ІБ00-000748 від 25.02.2025 18:19:56
Глобине-2</t>
  </si>
  <si>
    <t>Обл. НДС
Касета-розетка 3гн., з/к з кришками ОМЕГА ІР44 16А
Надходження товарів і послуг ІБ00-000748 від 25.02.2025 18:19:56
Глобине-2</t>
  </si>
  <si>
    <t>Обл. НДС
Вилка пряма з з/к,ІР44
Надходження товарів і послуг ІБ00-000748 від 25.02.2025 18:19:56
Глобине-2</t>
  </si>
  <si>
    <t>Обл. НДС
Електроди "Моноліт РЦ" 4 мм уп. 5,0 кг
Надходження товарів і послуг ІБ00-000748 від 25.02.2025 18:19:56
Глобине-2</t>
  </si>
  <si>
    <t>Обл. НДС
Валик  8*48*250мм
Надходження товарів і послуг ІБ00-000748 від 25.02.2025 18:19:56
Глобине-2</t>
  </si>
  <si>
    <t>Обл. НДС
Скотч 48 ммх100 м.п.
Надходження товарів і послуг ІБ00-000748 від 25.02.2025 18:19:56
Глобине-2</t>
  </si>
  <si>
    <t>Обл. НДС
Рукавички трикотажні чорні ТМ Vulkan LUX, р.10
Надходження товарів і послуг ІБ00-000748 від 25.02.2025 18:19:56
Глобине-2</t>
  </si>
  <si>
    <t>Обл. НДС
Ручка для валика
Надходження товарів і послуг ІБ00-000748 від 25.02.2025 18:19:56
Глобине-2</t>
  </si>
  <si>
    <t>Обл. НДС
Щітка по металу
Надходження товарів і послуг ІБ00-000748 від 25.02.2025 18:19:56
Глобине-2</t>
  </si>
  <si>
    <t>Переміщення товарів ІБ00-000143 від 25.02.2025 18:19:57
Перемещение ТМЦ</t>
  </si>
  <si>
    <t>Обл. НДС
Зубило + 20*200/250 мм бетон цегла
Надходження товарів і послуг ІБ00-000748 від 25.02.2025 18:19:56
СПК (Глобине)</t>
  </si>
  <si>
    <t>Обл. НДС
Піка+ 200/250мм бетон/цегла
Надходження товарів і послуг ІБ00-000748 від 25.02.2025 18:19:56
СПК (Глобине)</t>
  </si>
  <si>
    <t>Обл. НДС
Рукавички трикотажні чорні ТМ Vulkan LUX, р.10
Надходження товарів і послуг ІБ00-000711 від 18.02.2025 20:00:44
СПК (Глобине)</t>
  </si>
  <si>
    <t>Переміщення товарів ІБ00-000144 від 25.02.2025 18:19:58
Перемещение ТМЦ</t>
  </si>
  <si>
    <t>Обл. НДС
Бур +10*100/160 плюс-1 бетон цегла
Надходження товарів і послуг ІБ00-000748 від 25.02.2025 18:19:56
Резервуар для зберігання розчинника(Глобине)</t>
  </si>
  <si>
    <t>Обл. НДС
Рукавички трикотажні чорні ТМ Vulkan LUX, р.10
Надходження товарів і послуг ІБ00-000711 від 18.02.2025 20:00:44
Резервуар для зберігання розчинника(Глобине)</t>
  </si>
  <si>
    <t>Переміщення товарів ІБ00-000145 від 25.02.2025 18:19:59
Перемещение ТМЦ</t>
  </si>
  <si>
    <t>Обл. НДС
Бур +14*100/160 плюс-1 бетон цегла
Надходження товарів і послуг ІБ00-000748 від 25.02.2025 18:19:56
Цех екстракції (Глобине)</t>
  </si>
  <si>
    <t>Обл. НДС
Рукавички трикотажні чорні ТМ Vulkan LUX, р.10
Надходження товарів і послуг ІБ00-000711 від 18.02.2025 20:00:44
Цех екстракції (Глобине)</t>
  </si>
  <si>
    <t>Переміщення товарів ІБ00-000146 від 25.02.2025 18:20:00
Перемещение ТМЦ</t>
  </si>
  <si>
    <t>Обл. НДС
Бур + 16*150/210 plus5 бетон,цегла
Надходження товарів і послуг ІБ00-000748 від 25.02.2025 18:19:56
Резервуарний парк соєвої меляси (Глобине)</t>
  </si>
  <si>
    <t>Обл. НДС
Рукавички трикотажні чорні ТМ Vulkan LUX, р.10
Надходження товарів і послуг ІБ00-000711 від 18.02.2025 20:00:44
Резервуарний парк соєвої меляси (Глобине)</t>
  </si>
  <si>
    <t>Переміщення товарів ІБ00-000147 від 25.02.2025 18:20:01
Перемещение ТМЦ</t>
  </si>
  <si>
    <t>Обл. НДС
Електроди "Моноліт РЦ" 4 мм уп. 5,0 кг
Надходження товарів і послуг ІБ00-000711 від 18.02.2025 20:00:44
Пункт фасування та зберігання в бігбегах (Глобине)</t>
  </si>
  <si>
    <t>Обл. НДС
Скотч 48 ммх100 м.п.
Надходження товарів і послуг ІБ00-000748 від 25.02.2025 18:19:56
Пункт фасування та зберігання в бігбегах (Глобине)</t>
  </si>
  <si>
    <t>Переміщення товарів ІБ00-000148 від 25.02.2025 18:20:02
Перемещение ТМЦ</t>
  </si>
  <si>
    <t>Обл. НДС
Касета-розетка 3гн., з/к з кришками ОМЕГА ІР44 16А
Надходження товарів і послуг ІБ00-000748 від 25.02.2025 18:19:56
АПК (Глобине)</t>
  </si>
  <si>
    <t>Обл. НДС
Вилка пряма з з/к,ІР44
Надходження товарів і послуг ІБ00-000748 від 25.02.2025 18:19:56
АПК (Глобине)</t>
  </si>
  <si>
    <t>Переміщення товарів ІБ00-000149 від 25.02.2025 18:20:03
Перемещение ТМЦ</t>
  </si>
  <si>
    <t>Обл. НДС
Валик  8*48*250мм
Надходження товарів і послуг ІБ00-000748 від 25.02.2025 18:19:56
Насосна Градирня (Глобине)</t>
  </si>
  <si>
    <t>Обл. НДС
Ручка для валика
Надходження товарів і послуг ІБ00-000748 від 25.02.2025 18:19:56
Насосна Градирня (Глобине)</t>
  </si>
  <si>
    <t>Переміщення товарів ІБ00-000150 від 25.02.2025 18:20:04
Перемещение ТМЦ</t>
  </si>
  <si>
    <t>Обл. НДС
Рукавички трикотажні чорні ТМ Vulkan LUX, р.10
Надходження товарів і послуг ІБ00-000711 від 18.02.2025 20:00:44
Котельна (Глобине)</t>
  </si>
  <si>
    <t>Обл. НДС
Щітка по металу
Надходження товарів і послуг ІБ00-000748 від 25.02.2025 18:19:56
Котельна (Глобине)</t>
  </si>
  <si>
    <t>28.02.2025</t>
  </si>
  <si>
    <t>Передача малоцінних активів в експлуатацію ІБ00-000098 від 28.02.2025 20:00:00
Списание стоимости малоценных активов</t>
  </si>
  <si>
    <t>Передача малоцінних активів в експлуатацію ІБ00-000100 від 28.02.2025 20:00:00
Списание стоимости малоценных активов</t>
  </si>
  <si>
    <t>Обл. НДС
Костюм "Віват" р. 96-100/182-188
Надходження товарів і послуг ІБ00-005042 від 02.10.2024 10:00:00
Глобине-2</t>
  </si>
  <si>
    <t>Обл. НДС
Костюм "Віват" р.104-108/182-188
Надходження товарів і послуг ІБ00-004384 від 20.09.2024 18:19:35
Глобине-2</t>
  </si>
  <si>
    <t>Передача малоцінних активів в експлуатацію ІБ00-000097 від 28.02.2025 22:00:00
Списание стоимости малоценных активов</t>
  </si>
  <si>
    <t>Обл. НДС
Костюм "Віват" р.104-108/170-176
Надходження товарів і послуг ІБ00-004384 від 20.09.2024 18:19:35
Глобине-2</t>
  </si>
  <si>
    <t>Обороти за період та сальдо на кінець</t>
  </si>
  <si>
    <t>Котельна (Глобине)</t>
  </si>
  <si>
    <t>Передача малоцінних активів в експлуатацію ІБ00-000050 від 05.02.2025 18:15:30
Списание стоимости малоценных активов</t>
  </si>
  <si>
    <t>Обл. НДС
Шнур відбивочний буд.(пластм.корпус) - 30м
Надходження товарів і послуг ІБ00-000089 від 01.01.2025 18:00:23
Котельна (Глобине)</t>
  </si>
  <si>
    <t>Обл. НДС
Змазка в паливо для 2-х тактних двигунів 1:50  литр
Надходження товарів і послуг ІБ00-000089 від 01.01.2025 18:00:23
Котельна (Глобине)</t>
  </si>
  <si>
    <t>Обл. НДС
Вібробулава АХ d40 ENAR (Ісп)
Надходження товарів і послуг ІБ00-005727 від 01.11.2024 19:58:13
Котельна (Глобине)</t>
  </si>
  <si>
    <t>Передача малоцінних активів в експлуатацію ІБ00-000078 від 20.02.2025 18:11:22
Списание стоимости малоценных активов</t>
  </si>
  <si>
    <t>Передача малоцінних активів в експлуатацію ІБ00-000099 від 28.02.2025 20:00:00
Списание стоимости малоценных активов</t>
  </si>
  <si>
    <t>Насосна Градирня (Глобине)</t>
  </si>
  <si>
    <t>Передача малоцінних активів в експлуатацію ІБ00-000081 від 20.02.2025 18:11:28
Списание стоимости малоценных активов</t>
  </si>
  <si>
    <t>Обл. НДС
Шнур відбивочний буд.(пластм.корпус) - 30м
Надходження товарів і послуг ІБ00-000089 від 01.01.2025 18:00:23
Насосна Градирня (Глобине)</t>
  </si>
  <si>
    <t>Обл. НДС
Електроди Моноліт РЦ ф 3мм Уп/2.5кг (Тубус)
Надходження товарів і послуг ІБ00-000089 від 01.01.2025 18:00:23
Насосна Градирня (Глобине)</t>
  </si>
  <si>
    <t>Обл. НДС
Змазка в паливо для 2-х тактних двигунів 1:50  литр
Надходження товарів і послуг ІБ00-000089 від 01.01.2025 18:00:23
Насосна Градирня (Глобине)</t>
  </si>
  <si>
    <t>Обл. НДС
Круг відрізний  125*1,6*22
Надходження товарів і послуг ІБ00-000200 від 21.01.2025 18:10:15
Насосна Градирня (Глобине)</t>
  </si>
  <si>
    <t>Обл. НДС
Рукавички трикотажні чорні ТМ Vulkan LUX, р.10
Надходження товарів і послуг ІБ00-000089 від 01.01.2025 18:00:23
Насосна Градирня (Глобине)</t>
  </si>
  <si>
    <t>Обл. НДС
Кувалда 4,0 кг з руч.
Надходження товарів і послуг ІБ00-000089 від 01.01.2025 18:00:23
Насосна Градирня (Глобине)</t>
  </si>
  <si>
    <t>Обл. НДС
Касета-розетка 3гн, з/к з кришками Омега ІР44  16А
Надходження товарів і послуг ІБ00-005448 від 01.10.2024 18:37:51
Насосна Градирня (Глобине)</t>
  </si>
  <si>
    <t>Резервуар для зберігання розчинника(Глобине)</t>
  </si>
  <si>
    <t>Передача малоцінних активів в експлуатацію ІБ00-000082 від 20.02.2025 18:11:30
Списание стоимости малоценных активов</t>
  </si>
  <si>
    <t>21.02.2025</t>
  </si>
  <si>
    <t>Надходження товарів і послуг ІБ00-000643 від 21.02.2025 18:25:39
Оприходованы ТМЦ</t>
  </si>
  <si>
    <t>Обл. НДС
Чоботи ПВХ чоловічі р.42 з мет. носком S5
Надходження товарів і послуг ІБ00-000643 від 21.02.2025 18:25:39
Резервуар для зберігання розчинника(Глобине)</t>
  </si>
  <si>
    <t>Обл. НДС
Чоботи ПВХ чоловічі р.43 з мет. носком S5
Надходження товарів і послуг ІБ00-000643 від 21.02.2025 18:25:39
Резервуар для зберігання розчинника(Глобине)</t>
  </si>
  <si>
    <t>Резервуарний парк соєвої меляси (Глобине)</t>
  </si>
  <si>
    <t>01.02.2025</t>
  </si>
  <si>
    <t>Переміщення товарів ІБ00-000088 від 01.02.2025 18:10:10
Перемещение ТМЦ</t>
  </si>
  <si>
    <t>Обл. НДС
Електроди "Моноліт РЦ" 4 мм уп. 5,0 кг
Надходження товарів і послуг ІБ00-006233 від 14.12.2024 17:00:01
Резервуарний парк соєвої меляси (Глобине)</t>
  </si>
  <si>
    <t>Обл. НДС
Електроди "Моноліт РЦ" 4 мм уп. 5,0 кг
Надходження товарів і послуг ІБ00-006233 від 14.12.2024 17:00:01
СПК (Глобине)</t>
  </si>
  <si>
    <t>Обл. НДС
Відро будівельне 12 л
Надходження товарів і послуг ІБ00-006537 від 26.12.2024 12:00:00
Резервуарний парк соєвої меляси (Глобине)</t>
  </si>
  <si>
    <t>Обл. НДС
Відро будівельне 12 л
Надходження товарів і послуг ІБ00-006537 від 26.12.2024 12:00:00
СПК (Глобине)</t>
  </si>
  <si>
    <t>Обл. НДС
Вилка пряма з з/к,ІР44
Надходження товарів і послуг ІБ00-006537 від 26.12.2024 12:00:00
Резервуарний парк соєвої меляси (Глобине)</t>
  </si>
  <si>
    <t>Обл. НДС
Вилка пряма з з/к,ІР44
Надходження товарів і послуг ІБ00-006537 від 26.12.2024 12:00:00
СПК (Глобине)</t>
  </si>
  <si>
    <t>Надходження товарів і послуг ІБ00-000521 від 01.02.2025 18:10:18
Оприходованы ТМЦ (Зачет аванса поставщику)</t>
  </si>
  <si>
    <t>Обл. НДС
Каністра пластикова для палива 20л
Надходження товарів і послуг ІБ00-000521 від 01.02.2025 18:10:18
Резервуарний парк соєвої меляси (Глобине)</t>
  </si>
  <si>
    <t>Епіцентр К ТОВ
б\н Глобине-2 РАХУНКИ
Рахунок на оплату постачальника ІБ00-000031 від 08.01.2025 18:01:33</t>
  </si>
  <si>
    <t>Передача малоцінних активів в експлуатацію ІБ00-000045 від 05.02.2025 00:00:00
Списание стоимости малоценных активов</t>
  </si>
  <si>
    <t>Обл. НДС
Рукавички трикотажні помаранчеві з синьою ПВХ крапкою 8512
Надходження товарів і послуг ІБ00-000052 від 08.01.2025 18:05:04
Резервуарний парк соєвої меляси (Глобине)</t>
  </si>
  <si>
    <t>Обл. НДС
Черевики з метноском р 42
Надходження товарів і послуг ІБ00-000365 від 30.01.2025 21:00:01
Резервуарний парк соєвої меляси (Глобине)</t>
  </si>
  <si>
    <t>Обл. НДС
Черевики з метноском р 44
Надходження товарів і послуг ІБ00-000365 від 30.01.2025 21:00:01
Резервуарний парк соєвої меляси (Глобине)</t>
  </si>
  <si>
    <t>Обл. НДС
Жилет сигнальний 
Надходження товарів і послуг ІБ00-000149 від 14.01.2025 18:05:42
Резервуарний парк соєвої меляси (Глобине)</t>
  </si>
  <si>
    <t>Передача малоцінних активів в експлуатацію ІБ00-000076 від 20.02.2025 12:00:00
Списание стоимости малоценных активов</t>
  </si>
  <si>
    <t>24.02.2025</t>
  </si>
  <si>
    <t>Передача малоцінних активів в експлуатацію ІБ00-000094 від 24.02.2025 20:00:00
Списание стоимости малоценных активов</t>
  </si>
  <si>
    <t>Передача малоцінних активів в експлуатацію ІБ00-000095 від 28.02.2025 20:00:00
Списание стоимости малоценных активов</t>
  </si>
  <si>
    <t>СПК (Глобине)</t>
  </si>
  <si>
    <t>Передача малоцінних активів в експлуатацію ІБ00-000048 від 05.02.2025 18:15:24
Списание стоимости малоценных активов</t>
  </si>
  <si>
    <t>Обл. НДС
Окуляри захисні Balance, прозорі
Надходження товарів і послуг ІБ00-006539 від 26.12.2024 12:00:00
СПК (Глобине)</t>
  </si>
  <si>
    <t>Обл. НДС
Костюм брезентовий зі спилком р.120-124/182-188
Надходження товарів і послуг ІБ00-005684 від 15.11.2024 18:00:13
СПК (Глобине)</t>
  </si>
  <si>
    <t>Обл. НДС
Взуття чоловіче SEVEN SAFETY р.40
Надходження товарів і послуг ІБ00-005439 від 04.11.2024 17:12:48
СПК (Глобине)</t>
  </si>
  <si>
    <t>Обл. НДС
Бур +14*300/360 бетон, цегла
Надходження товарів і послуг ІБ00-000108 від 14.01.2025 18:05:20
СПК (Глобине)</t>
  </si>
  <si>
    <t>Обл. НДС
Трос реверса MS 330-4
Надходження товарів і послуг ІБ00-005705 від 15.11.2024 18:00:22
СПК (Глобине)</t>
  </si>
  <si>
    <t>Передача малоцінних активів в експлуатацію ІБ00-000057 від 12.02.2025 15:51:20
Списание стоимости малоценных активов</t>
  </si>
  <si>
    <t>Передача малоцінних активів в експлуатацію ІБ00-000077 від 20.02.2025 18:11:19
Списание стоимости малоценных активов</t>
  </si>
  <si>
    <t>Передача малоцінних активів в експлуатацію ІБ00-000096 від 28.02.2025 20:00:00
Списание стоимости малоценных активов</t>
  </si>
  <si>
    <t>Обл. НДС
Чохол 60\2000 (стрічковий)
Надходження товарів і послуг ІБ00-000259 від 24.01.2025 18:10:11
СПК (Глобине)</t>
  </si>
  <si>
    <t>Цех екстракції (Глобине)</t>
  </si>
  <si>
    <t>Передача малоцінних активів в експлуатацію ІБ00-000052 від 05.02.2025 18:15:36
Списание стоимости малоценных активов</t>
  </si>
  <si>
    <t>Обл. НДС
Кутник столярний 500мм
Надходження товарів і послуг ІБ00-000351 від 21.01.2025 22:00:01
Цех екстракції (Глобине)</t>
  </si>
  <si>
    <t>Обл. НДС
Лінійка 1000 мм (МТ-2006)
Надходження товарів і послуг ІБ00-000351 від 21.01.2025 22:00:01
Цех екстракції (Глобине)</t>
  </si>
  <si>
    <t>Обл. НДС
Рулетка 50 м*13 мм геодезична
Надходження товарів і послуг ІБ00-000351 від 21.01.2025 22:00:01
Цех екстракції (Глобине)</t>
  </si>
  <si>
    <t>Обл. НДС
Штангельциркуль 
Надходження товарів і послуг ІБ00-000351 від 21.01.2025 22:00:01
Цех екстракції (Глобине)</t>
  </si>
  <si>
    <t>Передача малоцінних активів в експлуатацію ІБ00-000054 від 05.02.2025 18:15:41
Списание стоимости малоценных активов</t>
  </si>
  <si>
    <t>Обл. НДС
Головка ударна 3/4"  32мм
Надходження товарів і послуг ІБ00-000366 від 30.01.2025 21:00:02
Цех екстракції (Глобине)</t>
  </si>
  <si>
    <t>Обл. НДС
Головка ударна 3/4"  36мм
Надходження товарів і послуг ІБ00-000366 від 30.01.2025 21:00:02
Цех екстракції (Глобине)</t>
  </si>
  <si>
    <t>Обл. НДС
Головка ударна 3/4"  63мм
Надходження товарів і послуг ІБ00-000366 від 30.01.2025 21:00:02
Цех екстракції (Глобине)</t>
  </si>
  <si>
    <t>Обл. НДС
Жилка будівельна Ф8мм 100метр,
Надходження товарів і послуг ІБ00-000351 від 21.01.2025 22:00:01
Цех екстракції (Глобине)</t>
  </si>
  <si>
    <t>Передача малоцінних активів в експлуатацію ІБ00-000058 від 19.02.2025 16:17:27
Списание стоимости малоценных активов</t>
  </si>
  <si>
    <t>Передача малоцінних активів в експлуатацію ІБ00-000061 від 19.02.2025 16:44:17
Списание стоимости малоценных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</si>
</sst>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3">
    <xf numFmtId="0" fontId="0" fillId="0" borderId="0" xfId="0"/>
    <xf numFmtId="0" fontId="2" fillId="2" borderId="1" xfId="1" applyNumberFormat="1" applyFont="1" applyFill="1" applyBorder="1" applyAlignment="1">
      <alignment vertical="top" wrapText="1" indent="1"/>
    </xf>
    <xf numFmtId="0" fontId="3" fillId="2" borderId="2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vertical="top"/>
    </xf>
    <xf numFmtId="0" fontId="3" fillId="2" borderId="4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horizontal="center" vertical="top"/>
    </xf>
    <xf numFmtId="0" fontId="3" fillId="2" borderId="5" xfId="2" applyNumberFormat="1" applyFont="1" applyFill="1" applyBorder="1" applyAlignment="1">
      <alignment horizontal="center" vertical="top"/>
    </xf>
    <xf numFmtId="0" fontId="3" fillId="2" borderId="6" xfId="2" applyNumberFormat="1" applyFont="1" applyFill="1" applyBorder="1" applyAlignment="1">
      <alignment vertical="top"/>
    </xf>
    <xf numFmtId="0" fontId="3" fillId="2" borderId="7" xfId="2" applyNumberFormat="1" applyFont="1" applyFill="1" applyBorder="1" applyAlignment="1">
      <alignment vertical="top"/>
    </xf>
    <xf numFmtId="0" fontId="3" fillId="2" borderId="8" xfId="2" applyNumberFormat="1" applyFont="1" applyFill="1" applyBorder="1" applyAlignment="1">
      <alignment vertical="top"/>
    </xf>
    <xf numFmtId="0" fontId="3" fillId="2" borderId="5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10" xfId="2" applyNumberFormat="1" applyFont="1" applyFill="1" applyBorder="1" applyAlignment="1">
      <alignment vertical="top"/>
    </xf>
    <xf numFmtId="0" fontId="3" fillId="2" borderId="11" xfId="2" applyNumberFormat="1" applyFont="1" applyFill="1" applyBorder="1" applyAlignment="1">
      <alignment vertical="top"/>
    </xf>
    <xf numFmtId="0" fontId="4" fillId="0" borderId="1" xfId="2" applyNumberFormat="1" applyFont="1" applyBorder="1" applyAlignment="1">
      <alignment vertical="top"/>
    </xf>
    <xf numFmtId="0" fontId="4" fillId="0" borderId="1" xfId="2" applyNumberFormat="1" applyFont="1" applyBorder="1" applyAlignment="1">
      <alignment vertical="top" wrapText="1"/>
    </xf>
    <xf numFmtId="0" fontId="4" fillId="0" borderId="1" xfId="2" applyNumberFormat="1" applyFont="1" applyBorder="1" applyAlignment="1">
      <alignment horizontal="left" vertical="top"/>
    </xf>
    <xf numFmtId="4" fontId="4" fillId="0" borderId="1" xfId="2" applyNumberFormat="1" applyFont="1" applyBorder="1" applyAlignment="1">
      <alignment horizontal="right" vertical="top" wrapText="1"/>
    </xf>
    <xf numFmtId="0" fontId="4" fillId="0" borderId="13" xfId="2" applyNumberFormat="1" applyFont="1" applyBorder="1" applyAlignment="1">
      <alignment horizontal="right" vertical="top" wrapText="1"/>
    </xf>
    <xf numFmtId="0" fontId="4" fillId="0" borderId="12" xfId="2" applyNumberFormat="1" applyFont="1" applyBorder="1" applyAlignment="1">
      <alignment horizontal="center" vertical="top"/>
    </xf>
    <xf numFmtId="4" fontId="4" fillId="0" borderId="13" xfId="2" applyNumberFormat="1" applyFont="1" applyBorder="1" applyAlignment="1">
      <alignment horizontal="right" vertical="top" wrapText="1"/>
    </xf>
    <xf numFmtId="2" fontId="4" fillId="0" borderId="1" xfId="2" applyNumberFormat="1" applyFont="1" applyBorder="1" applyAlignment="1">
      <alignment horizontal="right" vertical="top" wrapText="1"/>
    </xf>
    <xf numFmtId="0" fontId="4" fillId="0" borderId="1" xfId="2" applyNumberFormat="1" applyFont="1" applyBorder="1" applyAlignment="1">
      <alignment horizontal="right" vertical="top" wrapText="1"/>
    </xf>
    <xf numFmtId="2" fontId="4" fillId="0" borderId="13" xfId="2" applyNumberFormat="1" applyFont="1" applyBorder="1" applyAlignment="1">
      <alignment horizontal="right" vertical="top" wrapText="1"/>
    </xf>
    <xf numFmtId="4" fontId="4" fillId="0" borderId="13" xfId="2" applyNumberFormat="1" applyFont="1" applyBorder="1" applyAlignment="1">
      <alignment horizontal="right" vertical="top" wrapText="1"/>
    </xf>
    <xf numFmtId="0" fontId="5" fillId="2" borderId="1" xfId="2" applyNumberFormat="1" applyFont="1" applyFill="1" applyBorder="1" applyAlignment="1">
      <alignment vertical="top"/>
    </xf>
    <xf numFmtId="4" fontId="5" fillId="2" borderId="1" xfId="2" applyNumberFormat="1" applyFont="1" applyFill="1" applyBorder="1" applyAlignment="1">
      <alignment horizontal="right" vertical="top" wrapText="1"/>
    </xf>
    <xf numFmtId="0" fontId="5" fillId="2" borderId="12" xfId="2" applyNumberFormat="1" applyFont="1" applyFill="1" applyBorder="1" applyAlignment="1">
      <alignment horizontal="center" vertical="top"/>
    </xf>
    <xf numFmtId="4" fontId="5" fillId="2" borderId="13" xfId="2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3" applyNumberFormat="1" applyFont="1" applyFill="1" applyBorder="1" applyAlignment="1">
      <alignment vertical="top" wrapText="1" indent="1"/>
    </xf>
    <xf numFmtId="0" fontId="3" fillId="2" borderId="2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vertical="top"/>
    </xf>
    <xf numFmtId="0" fontId="3" fillId="2" borderId="4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horizontal="center" vertical="top"/>
    </xf>
    <xf numFmtId="0" fontId="3" fillId="2" borderId="5" xfId="4" applyNumberFormat="1" applyFont="1" applyFill="1" applyBorder="1" applyAlignment="1">
      <alignment horizontal="center" vertical="top"/>
    </xf>
    <xf numFmtId="0" fontId="3" fillId="2" borderId="6" xfId="4" applyNumberFormat="1" applyFont="1" applyFill="1" applyBorder="1" applyAlignment="1">
      <alignment vertical="top"/>
    </xf>
    <xf numFmtId="0" fontId="3" fillId="2" borderId="7" xfId="4" applyNumberFormat="1" applyFont="1" applyFill="1" applyBorder="1" applyAlignment="1">
      <alignment vertical="top"/>
    </xf>
    <xf numFmtId="0" fontId="3" fillId="2" borderId="8" xfId="4" applyNumberFormat="1" applyFont="1" applyFill="1" applyBorder="1" applyAlignment="1">
      <alignment vertical="top"/>
    </xf>
    <xf numFmtId="0" fontId="3" fillId="2" borderId="5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10" xfId="4" applyNumberFormat="1" applyFont="1" applyFill="1" applyBorder="1" applyAlignment="1">
      <alignment vertical="top"/>
    </xf>
    <xf numFmtId="0" fontId="3" fillId="2" borderId="11" xfId="4" applyNumberFormat="1" applyFont="1" applyFill="1" applyBorder="1" applyAlignment="1">
      <alignment vertical="top"/>
    </xf>
    <xf numFmtId="0" fontId="4" fillId="0" borderId="1" xfId="4" applyNumberFormat="1" applyFont="1" applyBorder="1" applyAlignment="1">
      <alignment vertical="top"/>
    </xf>
    <xf numFmtId="0" fontId="4" fillId="0" borderId="1" xfId="4" applyNumberFormat="1" applyFont="1" applyBorder="1" applyAlignment="1">
      <alignment vertical="top" wrapText="1"/>
    </xf>
    <xf numFmtId="0" fontId="4" fillId="0" borderId="1" xfId="4" applyNumberFormat="1" applyFont="1" applyBorder="1" applyAlignment="1">
      <alignment horizontal="left" vertical="top"/>
    </xf>
    <xf numFmtId="2" fontId="4" fillId="0" borderId="1" xfId="4" applyNumberFormat="1" applyFont="1" applyBorder="1" applyAlignment="1">
      <alignment horizontal="right" vertical="top" wrapText="1"/>
    </xf>
    <xf numFmtId="0" fontId="4" fillId="0" borderId="13" xfId="4" applyNumberFormat="1" applyFont="1" applyBorder="1" applyAlignment="1">
      <alignment horizontal="right" vertical="top" wrapText="1"/>
    </xf>
    <xf numFmtId="0" fontId="4" fillId="0" borderId="12" xfId="4" applyNumberFormat="1" applyFont="1" applyBorder="1" applyAlignment="1">
      <alignment horizontal="center" vertical="top"/>
    </xf>
    <xf numFmtId="4" fontId="4" fillId="0" borderId="13" xfId="4" applyNumberFormat="1" applyFont="1" applyBorder="1" applyAlignment="1">
      <alignment horizontal="right" vertical="top" wrapText="1"/>
    </xf>
    <xf numFmtId="4" fontId="4" fillId="0" borderId="1" xfId="4" applyNumberFormat="1" applyFont="1" applyBorder="1" applyAlignment="1">
      <alignment horizontal="right" vertical="top" wrapText="1"/>
    </xf>
    <xf numFmtId="0" fontId="4" fillId="0" borderId="1" xfId="4" applyNumberFormat="1" applyFont="1" applyBorder="1" applyAlignment="1">
      <alignment horizontal="right" vertical="top" wrapText="1"/>
    </xf>
    <xf numFmtId="2" fontId="4" fillId="0" borderId="13" xfId="4" applyNumberFormat="1" applyFont="1" applyBorder="1" applyAlignment="1">
      <alignment horizontal="right" vertical="top" wrapText="1"/>
    </xf>
    <xf numFmtId="4" fontId="4" fillId="0" borderId="13" xfId="4" applyNumberFormat="1" applyFont="1" applyBorder="1" applyAlignment="1">
      <alignment horizontal="right" vertical="top" wrapText="1"/>
    </xf>
    <xf numFmtId="0" fontId="5" fillId="2" borderId="1" xfId="4" applyNumberFormat="1" applyFont="1" applyFill="1" applyBorder="1" applyAlignment="1">
      <alignment vertical="top"/>
    </xf>
    <xf numFmtId="4" fontId="5" fillId="2" borderId="1" xfId="4" applyNumberFormat="1" applyFont="1" applyFill="1" applyBorder="1" applyAlignment="1">
      <alignment horizontal="right" vertical="top" wrapText="1"/>
    </xf>
    <xf numFmtId="0" fontId="5" fillId="2" borderId="12" xfId="4" applyNumberFormat="1" applyFont="1" applyFill="1" applyBorder="1" applyAlignment="1">
      <alignment horizontal="center" vertical="top"/>
    </xf>
    <xf numFmtId="4" fontId="5" fillId="2" borderId="13" xfId="4" applyNumberFormat="1" applyFont="1" applyFill="1" applyBorder="1" applyAlignment="1">
      <alignment horizontal="right" vertical="top" wrapText="1"/>
    </xf>
    <xf numFmtId="0" fontId="3" fillId="2" borderId="2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vertical="top"/>
    </xf>
    <xf numFmtId="0" fontId="3" fillId="2" borderId="4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horizontal="center" vertical="top"/>
    </xf>
    <xf numFmtId="0" fontId="3" fillId="2" borderId="5" xfId="5" applyNumberFormat="1" applyFont="1" applyFill="1" applyBorder="1" applyAlignment="1">
      <alignment horizontal="center" vertical="top"/>
    </xf>
    <xf numFmtId="0" fontId="3" fillId="2" borderId="6" xfId="5" applyNumberFormat="1" applyFont="1" applyFill="1" applyBorder="1" applyAlignment="1">
      <alignment vertical="top"/>
    </xf>
    <xf numFmtId="0" fontId="3" fillId="2" borderId="7" xfId="5" applyNumberFormat="1" applyFont="1" applyFill="1" applyBorder="1" applyAlignment="1">
      <alignment vertical="top"/>
    </xf>
    <xf numFmtId="0" fontId="3" fillId="2" borderId="8" xfId="5" applyNumberFormat="1" applyFont="1" applyFill="1" applyBorder="1" applyAlignment="1">
      <alignment vertical="top"/>
    </xf>
    <xf numFmtId="0" fontId="3" fillId="2" borderId="5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10" xfId="5" applyNumberFormat="1" applyFont="1" applyFill="1" applyBorder="1" applyAlignment="1">
      <alignment vertical="top"/>
    </xf>
    <xf numFmtId="0" fontId="3" fillId="2" borderId="11" xfId="5" applyNumberFormat="1" applyFont="1" applyFill="1" applyBorder="1" applyAlignment="1">
      <alignment vertical="top"/>
    </xf>
    <xf numFmtId="0" fontId="4" fillId="0" borderId="1" xfId="5" applyNumberFormat="1" applyFont="1" applyBorder="1" applyAlignment="1">
      <alignment vertical="top"/>
    </xf>
    <xf numFmtId="0" fontId="4" fillId="0" borderId="1" xfId="5" applyNumberFormat="1" applyFont="1" applyBorder="1" applyAlignment="1">
      <alignment vertical="top" wrapText="1"/>
    </xf>
    <xf numFmtId="0" fontId="4" fillId="0" borderId="1" xfId="5" applyNumberFormat="1" applyFont="1" applyBorder="1" applyAlignment="1">
      <alignment horizontal="left" vertical="top"/>
    </xf>
    <xf numFmtId="0" fontId="4" fillId="0" borderId="1" xfId="5" applyNumberFormat="1" applyFont="1" applyBorder="1" applyAlignment="1">
      <alignment horizontal="right" vertical="top" wrapText="1"/>
    </xf>
    <xf numFmtId="2" fontId="4" fillId="0" borderId="13" xfId="5" applyNumberFormat="1" applyFont="1" applyBorder="1" applyAlignment="1">
      <alignment horizontal="right" vertical="top" wrapText="1"/>
    </xf>
    <xf numFmtId="0" fontId="4" fillId="0" borderId="12" xfId="5" applyNumberFormat="1" applyFont="1" applyBorder="1" applyAlignment="1">
      <alignment horizontal="center" vertical="top"/>
    </xf>
    <xf numFmtId="4" fontId="4" fillId="0" borderId="13" xfId="5" applyNumberFormat="1" applyFont="1" applyBorder="1" applyAlignment="1">
      <alignment horizontal="right" vertical="top" wrapText="1"/>
    </xf>
    <xf numFmtId="2" fontId="4" fillId="0" borderId="13" xfId="5" applyNumberFormat="1" applyFont="1" applyBorder="1" applyAlignment="1">
      <alignment horizontal="right" vertical="top" wrapText="1"/>
    </xf>
    <xf numFmtId="2" fontId="4" fillId="0" borderId="1" xfId="5" applyNumberFormat="1" applyFont="1" applyBorder="1" applyAlignment="1">
      <alignment horizontal="right" vertical="top" wrapText="1"/>
    </xf>
    <xf numFmtId="0" fontId="4" fillId="0" borderId="13" xfId="5" applyNumberFormat="1" applyFont="1" applyBorder="1" applyAlignment="1">
      <alignment horizontal="right" vertical="top" wrapText="1"/>
    </xf>
    <xf numFmtId="0" fontId="5" fillId="2" borderId="1" xfId="5" applyNumberFormat="1" applyFont="1" applyFill="1" applyBorder="1" applyAlignment="1">
      <alignment vertical="top"/>
    </xf>
    <xf numFmtId="2" fontId="5" fillId="2" borderId="1" xfId="5" applyNumberFormat="1" applyFont="1" applyFill="1" applyBorder="1" applyAlignment="1">
      <alignment horizontal="right" vertical="top" wrapText="1"/>
    </xf>
    <xf numFmtId="4" fontId="5" fillId="2" borderId="1" xfId="5" applyNumberFormat="1" applyFont="1" applyFill="1" applyBorder="1" applyAlignment="1">
      <alignment horizontal="right" vertical="top" wrapText="1"/>
    </xf>
    <xf numFmtId="0" fontId="5" fillId="2" borderId="12" xfId="5" applyNumberFormat="1" applyFont="1" applyFill="1" applyBorder="1" applyAlignment="1">
      <alignment horizontal="center" vertical="top"/>
    </xf>
    <xf numFmtId="4" fontId="5" fillId="2" borderId="13" xfId="5" applyNumberFormat="1" applyFont="1" applyFill="1" applyBorder="1" applyAlignment="1">
      <alignment horizontal="right" vertical="top" wrapText="1"/>
    </xf>
    <xf numFmtId="2" fontId="4" fillId="0" borderId="13" xfId="2" applyNumberFormat="1" applyFont="1" applyBorder="1" applyAlignment="1">
      <alignment horizontal="right" vertical="top" wrapText="1"/>
    </xf>
    <xf numFmtId="0" fontId="3" fillId="2" borderId="2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vertical="top"/>
    </xf>
    <xf numFmtId="0" fontId="3" fillId="2" borderId="4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horizontal="center" vertical="top"/>
    </xf>
    <xf numFmtId="0" fontId="3" fillId="2" borderId="5" xfId="6" applyNumberFormat="1" applyFont="1" applyFill="1" applyBorder="1" applyAlignment="1">
      <alignment horizontal="center" vertical="top"/>
    </xf>
    <xf numFmtId="0" fontId="3" fillId="2" borderId="6" xfId="6" applyNumberFormat="1" applyFont="1" applyFill="1" applyBorder="1" applyAlignment="1">
      <alignment vertical="top"/>
    </xf>
    <xf numFmtId="0" fontId="3" fillId="2" borderId="7" xfId="6" applyNumberFormat="1" applyFont="1" applyFill="1" applyBorder="1" applyAlignment="1">
      <alignment vertical="top"/>
    </xf>
    <xf numFmtId="0" fontId="3" fillId="2" borderId="8" xfId="6" applyNumberFormat="1" applyFont="1" applyFill="1" applyBorder="1" applyAlignment="1">
      <alignment vertical="top"/>
    </xf>
    <xf numFmtId="0" fontId="3" fillId="2" borderId="5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10" xfId="6" applyNumberFormat="1" applyFont="1" applyFill="1" applyBorder="1" applyAlignment="1">
      <alignment vertical="top"/>
    </xf>
    <xf numFmtId="0" fontId="3" fillId="2" borderId="11" xfId="6" applyNumberFormat="1" applyFont="1" applyFill="1" applyBorder="1" applyAlignment="1">
      <alignment vertical="top"/>
    </xf>
    <xf numFmtId="0" fontId="4" fillId="0" borderId="1" xfId="6" applyNumberFormat="1" applyFont="1" applyBorder="1" applyAlignment="1">
      <alignment vertical="top"/>
    </xf>
    <xf numFmtId="0" fontId="4" fillId="0" borderId="1" xfId="6" applyNumberFormat="1" applyFont="1" applyBorder="1" applyAlignment="1">
      <alignment vertical="top" wrapText="1"/>
    </xf>
    <xf numFmtId="0" fontId="4" fillId="0" borderId="1" xfId="6" applyNumberFormat="1" applyFont="1" applyBorder="1" applyAlignment="1">
      <alignment horizontal="left" vertical="top"/>
    </xf>
    <xf numFmtId="4" fontId="4" fillId="0" borderId="1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4" fillId="0" borderId="12" xfId="6" applyNumberFormat="1" applyFont="1" applyBorder="1" applyAlignment="1">
      <alignment horizontal="center" vertical="top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" xfId="6" applyNumberFormat="1" applyFont="1" applyBorder="1" applyAlignment="1">
      <alignment horizontal="right" vertical="top" wrapText="1"/>
    </xf>
    <xf numFmtId="0" fontId="4" fillId="0" borderId="1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5" fillId="2" borderId="1" xfId="6" applyNumberFormat="1" applyFont="1" applyFill="1" applyBorder="1" applyAlignment="1">
      <alignment vertical="top"/>
    </xf>
    <xf numFmtId="4" fontId="5" fillId="2" borderId="1" xfId="6" applyNumberFormat="1" applyFont="1" applyFill="1" applyBorder="1" applyAlignment="1">
      <alignment horizontal="right" vertical="top" wrapText="1"/>
    </xf>
    <xf numFmtId="0" fontId="5" fillId="2" borderId="12" xfId="6" applyNumberFormat="1" applyFont="1" applyFill="1" applyBorder="1" applyAlignment="1">
      <alignment horizontal="center" vertical="top"/>
    </xf>
    <xf numFmtId="2" fontId="5" fillId="2" borderId="13" xfId="6" applyNumberFormat="1" applyFont="1" applyFill="1" applyBorder="1" applyAlignment="1">
      <alignment horizontal="right" vertical="top" wrapText="1"/>
    </xf>
    <xf numFmtId="0" fontId="3" fillId="2" borderId="2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vertical="top"/>
    </xf>
    <xf numFmtId="0" fontId="3" fillId="2" borderId="4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horizontal="center" vertical="top"/>
    </xf>
    <xf numFmtId="0" fontId="3" fillId="2" borderId="5" xfId="7" applyNumberFormat="1" applyFont="1" applyFill="1" applyBorder="1" applyAlignment="1">
      <alignment horizontal="center" vertical="top"/>
    </xf>
    <xf numFmtId="0" fontId="3" fillId="2" borderId="6" xfId="7" applyNumberFormat="1" applyFont="1" applyFill="1" applyBorder="1" applyAlignment="1">
      <alignment vertical="top"/>
    </xf>
    <xf numFmtId="0" fontId="3" fillId="2" borderId="7" xfId="7" applyNumberFormat="1" applyFont="1" applyFill="1" applyBorder="1" applyAlignment="1">
      <alignment vertical="top"/>
    </xf>
    <xf numFmtId="0" fontId="3" fillId="2" borderId="8" xfId="7" applyNumberFormat="1" applyFont="1" applyFill="1" applyBorder="1" applyAlignment="1">
      <alignment vertical="top"/>
    </xf>
    <xf numFmtId="0" fontId="3" fillId="2" borderId="5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10" xfId="7" applyNumberFormat="1" applyFont="1" applyFill="1" applyBorder="1" applyAlignment="1">
      <alignment vertical="top"/>
    </xf>
    <xf numFmtId="0" fontId="3" fillId="2" borderId="11" xfId="7" applyNumberFormat="1" applyFont="1" applyFill="1" applyBorder="1" applyAlignment="1">
      <alignment vertical="top"/>
    </xf>
    <xf numFmtId="0" fontId="4" fillId="0" borderId="1" xfId="7" applyNumberFormat="1" applyFont="1" applyBorder="1" applyAlignment="1">
      <alignment vertical="top"/>
    </xf>
    <xf numFmtId="0" fontId="4" fillId="0" borderId="1" xfId="7" applyNumberFormat="1" applyFont="1" applyBorder="1" applyAlignment="1">
      <alignment vertical="top" wrapText="1"/>
    </xf>
    <xf numFmtId="0" fontId="4" fillId="0" borderId="1" xfId="7" applyNumberFormat="1" applyFont="1" applyBorder="1" applyAlignment="1">
      <alignment horizontal="left" vertical="top"/>
    </xf>
    <xf numFmtId="0" fontId="4" fillId="0" borderId="1" xfId="7" applyNumberFormat="1" applyFont="1" applyBorder="1" applyAlignment="1">
      <alignment horizontal="right" vertical="top" wrapText="1"/>
    </xf>
    <xf numFmtId="4" fontId="4" fillId="0" borderId="13" xfId="7" applyNumberFormat="1" applyFont="1" applyBorder="1" applyAlignment="1">
      <alignment horizontal="right" vertical="top" wrapText="1"/>
    </xf>
    <xf numFmtId="0" fontId="4" fillId="0" borderId="12" xfId="7" applyNumberFormat="1" applyFont="1" applyBorder="1" applyAlignment="1">
      <alignment horizontal="center" vertical="top"/>
    </xf>
    <xf numFmtId="4" fontId="4" fillId="0" borderId="13" xfId="7" applyNumberFormat="1" applyFont="1" applyBorder="1" applyAlignment="1">
      <alignment horizontal="right" vertical="top" wrapText="1"/>
    </xf>
    <xf numFmtId="2" fontId="4" fillId="0" borderId="13" xfId="7" applyNumberFormat="1" applyFont="1" applyBorder="1" applyAlignment="1">
      <alignment horizontal="right" vertical="top" wrapText="1"/>
    </xf>
    <xf numFmtId="2" fontId="4" fillId="0" borderId="1" xfId="7" applyNumberFormat="1" applyFont="1" applyBorder="1" applyAlignment="1">
      <alignment horizontal="right" vertical="top" wrapText="1"/>
    </xf>
    <xf numFmtId="0" fontId="4" fillId="0" borderId="13" xfId="7" applyNumberFormat="1" applyFont="1" applyBorder="1" applyAlignment="1">
      <alignment horizontal="right" vertical="top" wrapText="1"/>
    </xf>
    <xf numFmtId="0" fontId="5" fillId="2" borderId="1" xfId="7" applyNumberFormat="1" applyFont="1" applyFill="1" applyBorder="1" applyAlignment="1">
      <alignment vertical="top"/>
    </xf>
    <xf numFmtId="4" fontId="5" fillId="2" borderId="1" xfId="7" applyNumberFormat="1" applyFont="1" applyFill="1" applyBorder="1" applyAlignment="1">
      <alignment horizontal="right" vertical="top" wrapText="1"/>
    </xf>
    <xf numFmtId="0" fontId="5" fillId="2" borderId="12" xfId="7" applyNumberFormat="1" applyFont="1" applyFill="1" applyBorder="1" applyAlignment="1">
      <alignment horizontal="center" vertical="top"/>
    </xf>
    <xf numFmtId="4" fontId="5" fillId="2" borderId="13" xfId="7" applyNumberFormat="1" applyFont="1" applyFill="1" applyBorder="1" applyAlignment="1">
      <alignment horizontal="right" vertical="top" wrapText="1"/>
    </xf>
    <xf numFmtId="0" fontId="3" fillId="2" borderId="2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vertical="top"/>
    </xf>
    <xf numFmtId="0" fontId="3" fillId="2" borderId="4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horizontal="center" vertical="top"/>
    </xf>
    <xf numFmtId="0" fontId="3" fillId="2" borderId="5" xfId="8" applyNumberFormat="1" applyFont="1" applyFill="1" applyBorder="1" applyAlignment="1">
      <alignment horizontal="center" vertical="top"/>
    </xf>
    <xf numFmtId="0" fontId="3" fillId="2" borderId="6" xfId="8" applyNumberFormat="1" applyFont="1" applyFill="1" applyBorder="1" applyAlignment="1">
      <alignment vertical="top"/>
    </xf>
    <xf numFmtId="0" fontId="3" fillId="2" borderId="7" xfId="8" applyNumberFormat="1" applyFont="1" applyFill="1" applyBorder="1" applyAlignment="1">
      <alignment vertical="top"/>
    </xf>
    <xf numFmtId="0" fontId="3" fillId="2" borderId="8" xfId="8" applyNumberFormat="1" applyFont="1" applyFill="1" applyBorder="1" applyAlignment="1">
      <alignment vertical="top"/>
    </xf>
    <xf numFmtId="0" fontId="3" fillId="2" borderId="5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10" xfId="8" applyNumberFormat="1" applyFont="1" applyFill="1" applyBorder="1" applyAlignment="1">
      <alignment vertical="top"/>
    </xf>
    <xf numFmtId="0" fontId="3" fillId="2" borderId="11" xfId="8" applyNumberFormat="1" applyFont="1" applyFill="1" applyBorder="1" applyAlignment="1">
      <alignment vertical="top"/>
    </xf>
    <xf numFmtId="0" fontId="4" fillId="0" borderId="1" xfId="8" applyNumberFormat="1" applyFont="1" applyBorder="1" applyAlignment="1">
      <alignment vertical="top"/>
    </xf>
    <xf numFmtId="0" fontId="4" fillId="0" borderId="1" xfId="8" applyNumberFormat="1" applyFont="1" applyBorder="1" applyAlignment="1">
      <alignment vertical="top" wrapText="1"/>
    </xf>
    <xf numFmtId="0" fontId="4" fillId="0" borderId="1" xfId="8" applyNumberFormat="1" applyFont="1" applyBorder="1" applyAlignment="1">
      <alignment horizontal="left" vertical="top"/>
    </xf>
    <xf numFmtId="2" fontId="4" fillId="0" borderId="1" xfId="8" applyNumberFormat="1" applyFont="1" applyBorder="1" applyAlignment="1">
      <alignment horizontal="right" vertical="top" wrapText="1"/>
    </xf>
    <xf numFmtId="0" fontId="4" fillId="0" borderId="13" xfId="8" applyNumberFormat="1" applyFont="1" applyBorder="1" applyAlignment="1">
      <alignment horizontal="right" vertical="top" wrapText="1"/>
    </xf>
    <xf numFmtId="0" fontId="4" fillId="0" borderId="12" xfId="8" applyNumberFormat="1" applyFont="1" applyBorder="1" applyAlignment="1">
      <alignment horizontal="center" vertical="top"/>
    </xf>
    <xf numFmtId="4" fontId="4" fillId="0" borderId="13" xfId="8" applyNumberFormat="1" applyFont="1" applyBorder="1" applyAlignment="1">
      <alignment horizontal="right" vertical="top" wrapText="1"/>
    </xf>
    <xf numFmtId="0" fontId="4" fillId="0" borderId="1" xfId="8" applyNumberFormat="1" applyFont="1" applyBorder="1" applyAlignment="1">
      <alignment horizontal="right" vertical="top" wrapText="1"/>
    </xf>
    <xf numFmtId="2" fontId="4" fillId="0" borderId="13" xfId="8" applyNumberFormat="1" applyFont="1" applyBorder="1" applyAlignment="1">
      <alignment horizontal="right" vertical="top" wrapText="1"/>
    </xf>
    <xf numFmtId="2" fontId="4" fillId="0" borderId="13" xfId="8" applyNumberFormat="1" applyFont="1" applyBorder="1" applyAlignment="1">
      <alignment horizontal="right" vertical="top" wrapText="1"/>
    </xf>
    <xf numFmtId="0" fontId="5" fillId="2" borderId="1" xfId="8" applyNumberFormat="1" applyFont="1" applyFill="1" applyBorder="1" applyAlignment="1">
      <alignment vertical="top"/>
    </xf>
    <xf numFmtId="4" fontId="5" fillId="2" borderId="1" xfId="8" applyNumberFormat="1" applyFont="1" applyFill="1" applyBorder="1" applyAlignment="1">
      <alignment horizontal="right" vertical="top" wrapText="1"/>
    </xf>
    <xf numFmtId="0" fontId="5" fillId="2" borderId="12" xfId="8" applyNumberFormat="1" applyFont="1" applyFill="1" applyBorder="1" applyAlignment="1">
      <alignment horizontal="center" vertical="top"/>
    </xf>
    <xf numFmtId="4" fontId="5" fillId="2" borderId="13" xfId="8" applyNumberFormat="1" applyFont="1" applyFill="1" applyBorder="1" applyAlignment="1">
      <alignment horizontal="right" vertical="top" wrapText="1"/>
    </xf>
  </cellXfs>
  <cellStyles count="9">
    <cellStyle name="Обычный" xfId="0" builtinId="0"/>
    <cellStyle name="Обычный_Котельна (Глобине)" xfId="4"/>
    <cellStyle name="Обычный_Лист1" xfId="1"/>
    <cellStyle name="Обычный_Лист2" xfId="2"/>
    <cellStyle name="Обычный_МШП" xfId="3"/>
    <cellStyle name="Обычный_Насосна Градирня (Глобине)" xfId="5"/>
    <cellStyle name="Обычный_парк соєвої меляси" xfId="6"/>
    <cellStyle name="Обычный_СПК (Глобине)" xfId="7"/>
    <cellStyle name="Обычный_Цех екстракції (Глобине)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D15" sqref="D15"/>
    </sheetView>
  </sheetViews>
  <sheetFormatPr defaultRowHeight="14.4" x14ac:dyDescent="0.3"/>
  <cols>
    <col min="1" max="1" width="2.5546875" customWidth="1"/>
    <col min="2" max="2" width="24.21875" customWidth="1"/>
    <col min="3" max="3" width="9.88671875" style="30" bestFit="1" customWidth="1"/>
  </cols>
  <sheetData>
    <row r="2" spans="2:3" x14ac:dyDescent="0.3">
      <c r="B2" s="1" t="s">
        <v>0</v>
      </c>
      <c r="C2" s="30">
        <f>'Глобине-2'!J175*1.2</f>
        <v>96007.848000000013</v>
      </c>
    </row>
    <row r="3" spans="2:3" x14ac:dyDescent="0.3">
      <c r="B3" s="31" t="s">
        <v>195</v>
      </c>
      <c r="C3" s="30">
        <f>'Котельна (Глобине)'!J13*1.2</f>
        <v>7543.26</v>
      </c>
    </row>
    <row r="4" spans="2:3" x14ac:dyDescent="0.3">
      <c r="B4" s="31" t="s">
        <v>202</v>
      </c>
      <c r="C4" s="30">
        <f>'Насосна Градирня (Глобине)'!J14*1.2</f>
        <v>3462.2160000000003</v>
      </c>
    </row>
    <row r="5" spans="2:3" ht="20.399999999999999" x14ac:dyDescent="0.3">
      <c r="B5" s="31" t="s">
        <v>211</v>
      </c>
      <c r="C5" s="30">
        <f>'зберігання розчинника'!J17*1.2</f>
        <v>3992.0399999999995</v>
      </c>
    </row>
    <row r="6" spans="2:3" ht="20.399999999999999" x14ac:dyDescent="0.3">
      <c r="B6" s="31" t="s">
        <v>217</v>
      </c>
      <c r="C6" s="30">
        <f>'парк соєвої меляси'!J42*1.2</f>
        <v>13069.02</v>
      </c>
    </row>
    <row r="7" spans="2:3" x14ac:dyDescent="0.3">
      <c r="B7" s="31" t="s">
        <v>238</v>
      </c>
      <c r="C7" s="30">
        <f>'СПК (Глобине)'!J35*1.2</f>
        <v>17876.135999999995</v>
      </c>
    </row>
    <row r="8" spans="2:3" x14ac:dyDescent="0.3">
      <c r="B8" s="31" t="s">
        <v>249</v>
      </c>
      <c r="C8" s="30">
        <f>'Цех екстракції (Глобине)'!J28*1.2</f>
        <v>7170.12</v>
      </c>
    </row>
    <row r="9" spans="2:3" x14ac:dyDescent="0.3">
      <c r="C9" s="30">
        <f>SUM(C2:C8)</f>
        <v>149120.63999999998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75"/>
  <sheetViews>
    <sheetView topLeftCell="A171" workbookViewId="0">
      <selection activeCell="G179" sqref="G179"/>
    </sheetView>
  </sheetViews>
  <sheetFormatPr defaultRowHeight="14.4" x14ac:dyDescent="0.3"/>
  <cols>
    <col min="2" max="4" width="14.5546875" customWidth="1"/>
  </cols>
  <sheetData>
    <row r="1" spans="1:12" x14ac:dyDescent="0.3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5"/>
      <c r="G1" s="5"/>
      <c r="H1" s="6" t="s">
        <v>6</v>
      </c>
      <c r="I1" s="6"/>
      <c r="J1" s="6"/>
      <c r="K1" s="3" t="s">
        <v>7</v>
      </c>
      <c r="L1" s="3"/>
    </row>
    <row r="2" spans="1:12" hidden="1" x14ac:dyDescent="0.3">
      <c r="A2" s="7"/>
      <c r="B2" s="8"/>
      <c r="C2" s="8"/>
      <c r="D2" s="9"/>
      <c r="E2" s="10" t="s">
        <v>8</v>
      </c>
      <c r="F2" s="11"/>
      <c r="G2" s="11"/>
      <c r="H2" s="12" t="s">
        <v>8</v>
      </c>
      <c r="I2" s="13"/>
      <c r="J2" s="13"/>
      <c r="K2" s="7"/>
      <c r="L2" s="14"/>
    </row>
    <row r="3" spans="1:12" ht="163.19999999999999" hidden="1" x14ac:dyDescent="0.3">
      <c r="A3" s="15" t="s">
        <v>10</v>
      </c>
      <c r="B3" s="16" t="s">
        <v>11</v>
      </c>
      <c r="C3" s="16" t="s">
        <v>12</v>
      </c>
      <c r="D3" s="16" t="s">
        <v>13</v>
      </c>
      <c r="E3" s="17" t="s">
        <v>14</v>
      </c>
      <c r="F3" s="18">
        <v>1755</v>
      </c>
      <c r="G3" s="18"/>
      <c r="H3" s="17" t="s">
        <v>15</v>
      </c>
      <c r="I3" s="19" t="s">
        <v>16</v>
      </c>
      <c r="J3" s="19"/>
      <c r="K3" s="20" t="s">
        <v>9</v>
      </c>
      <c r="L3" s="21">
        <v>133219.6</v>
      </c>
    </row>
    <row r="4" spans="1:12" ht="163.19999999999999" hidden="1" x14ac:dyDescent="0.3">
      <c r="A4" s="15" t="s">
        <v>10</v>
      </c>
      <c r="B4" s="16" t="s">
        <v>11</v>
      </c>
      <c r="C4" s="16" t="s">
        <v>17</v>
      </c>
      <c r="D4" s="16" t="s">
        <v>13</v>
      </c>
      <c r="E4" s="17" t="s">
        <v>14</v>
      </c>
      <c r="F4" s="18">
        <v>1487.5</v>
      </c>
      <c r="G4" s="18"/>
      <c r="H4" s="17" t="s">
        <v>15</v>
      </c>
      <c r="I4" s="19" t="s">
        <v>16</v>
      </c>
      <c r="J4" s="19"/>
      <c r="K4" s="20" t="s">
        <v>9</v>
      </c>
      <c r="L4" s="21">
        <v>134707.1</v>
      </c>
    </row>
    <row r="5" spans="1:12" ht="163.19999999999999" hidden="1" x14ac:dyDescent="0.3">
      <c r="A5" s="15" t="s">
        <v>10</v>
      </c>
      <c r="B5" s="16" t="s">
        <v>11</v>
      </c>
      <c r="C5" s="16" t="s">
        <v>18</v>
      </c>
      <c r="D5" s="16" t="s">
        <v>13</v>
      </c>
      <c r="E5" s="17" t="s">
        <v>14</v>
      </c>
      <c r="F5" s="22">
        <v>147.1</v>
      </c>
      <c r="G5" s="22"/>
      <c r="H5" s="17" t="s">
        <v>15</v>
      </c>
      <c r="I5" s="19" t="s">
        <v>16</v>
      </c>
      <c r="J5" s="19"/>
      <c r="K5" s="20" t="s">
        <v>9</v>
      </c>
      <c r="L5" s="21">
        <v>134854.20000000001</v>
      </c>
    </row>
    <row r="6" spans="1:12" ht="163.19999999999999" hidden="1" x14ac:dyDescent="0.3">
      <c r="A6" s="15" t="s">
        <v>10</v>
      </c>
      <c r="B6" s="16" t="s">
        <v>11</v>
      </c>
      <c r="C6" s="16" t="s">
        <v>19</v>
      </c>
      <c r="D6" s="16" t="s">
        <v>13</v>
      </c>
      <c r="E6" s="17" t="s">
        <v>14</v>
      </c>
      <c r="F6" s="22">
        <v>185</v>
      </c>
      <c r="G6" s="22"/>
      <c r="H6" s="17" t="s">
        <v>15</v>
      </c>
      <c r="I6" s="19" t="s">
        <v>16</v>
      </c>
      <c r="J6" s="19"/>
      <c r="K6" s="20" t="s">
        <v>9</v>
      </c>
      <c r="L6" s="21">
        <v>135039.20000000001</v>
      </c>
    </row>
    <row r="7" spans="1:12" ht="163.19999999999999" hidden="1" x14ac:dyDescent="0.3">
      <c r="A7" s="15" t="s">
        <v>10</v>
      </c>
      <c r="B7" s="16" t="s">
        <v>11</v>
      </c>
      <c r="C7" s="16" t="s">
        <v>20</v>
      </c>
      <c r="D7" s="16" t="s">
        <v>13</v>
      </c>
      <c r="E7" s="17" t="s">
        <v>14</v>
      </c>
      <c r="F7" s="18">
        <v>1470</v>
      </c>
      <c r="G7" s="18"/>
      <c r="H7" s="17" t="s">
        <v>15</v>
      </c>
      <c r="I7" s="19" t="s">
        <v>16</v>
      </c>
      <c r="J7" s="19"/>
      <c r="K7" s="20" t="s">
        <v>9</v>
      </c>
      <c r="L7" s="21">
        <v>136509.20000000001</v>
      </c>
    </row>
    <row r="8" spans="1:12" ht="163.19999999999999" hidden="1" x14ac:dyDescent="0.3">
      <c r="A8" s="15" t="s">
        <v>10</v>
      </c>
      <c r="B8" s="16" t="s">
        <v>11</v>
      </c>
      <c r="C8" s="16" t="s">
        <v>21</v>
      </c>
      <c r="D8" s="16" t="s">
        <v>13</v>
      </c>
      <c r="E8" s="17" t="s">
        <v>14</v>
      </c>
      <c r="F8" s="18">
        <v>1658.1</v>
      </c>
      <c r="G8" s="18"/>
      <c r="H8" s="17" t="s">
        <v>15</v>
      </c>
      <c r="I8" s="19" t="s">
        <v>16</v>
      </c>
      <c r="J8" s="19"/>
      <c r="K8" s="20" t="s">
        <v>9</v>
      </c>
      <c r="L8" s="21">
        <v>138167.29999999999</v>
      </c>
    </row>
    <row r="9" spans="1:12" ht="163.19999999999999" hidden="1" x14ac:dyDescent="0.3">
      <c r="A9" s="15" t="s">
        <v>10</v>
      </c>
      <c r="B9" s="16" t="s">
        <v>11</v>
      </c>
      <c r="C9" s="16" t="s">
        <v>22</v>
      </c>
      <c r="D9" s="16" t="s">
        <v>13</v>
      </c>
      <c r="E9" s="17" t="s">
        <v>14</v>
      </c>
      <c r="F9" s="18">
        <v>1984</v>
      </c>
      <c r="G9" s="18"/>
      <c r="H9" s="17" t="s">
        <v>15</v>
      </c>
      <c r="I9" s="19" t="s">
        <v>16</v>
      </c>
      <c r="J9" s="19"/>
      <c r="K9" s="20" t="s">
        <v>9</v>
      </c>
      <c r="L9" s="21">
        <v>140151.29999999999</v>
      </c>
    </row>
    <row r="10" spans="1:12" ht="163.19999999999999" hidden="1" x14ac:dyDescent="0.3">
      <c r="A10" s="15" t="s">
        <v>10</v>
      </c>
      <c r="B10" s="16" t="s">
        <v>11</v>
      </c>
      <c r="C10" s="16" t="s">
        <v>23</v>
      </c>
      <c r="D10" s="16" t="s">
        <v>13</v>
      </c>
      <c r="E10" s="17" t="s">
        <v>14</v>
      </c>
      <c r="F10" s="18">
        <v>2587</v>
      </c>
      <c r="G10" s="18"/>
      <c r="H10" s="17" t="s">
        <v>15</v>
      </c>
      <c r="I10" s="19" t="s">
        <v>16</v>
      </c>
      <c r="J10" s="19"/>
      <c r="K10" s="20" t="s">
        <v>9</v>
      </c>
      <c r="L10" s="21">
        <v>142738.29999999999</v>
      </c>
    </row>
    <row r="11" spans="1:12" ht="163.19999999999999" hidden="1" x14ac:dyDescent="0.3">
      <c r="A11" s="15" t="s">
        <v>10</v>
      </c>
      <c r="B11" s="16" t="s">
        <v>11</v>
      </c>
      <c r="C11" s="16" t="s">
        <v>24</v>
      </c>
      <c r="D11" s="16" t="s">
        <v>13</v>
      </c>
      <c r="E11" s="17" t="s">
        <v>14</v>
      </c>
      <c r="F11" s="22">
        <v>394.2</v>
      </c>
      <c r="G11" s="22"/>
      <c r="H11" s="17" t="s">
        <v>15</v>
      </c>
      <c r="I11" s="19" t="s">
        <v>16</v>
      </c>
      <c r="J11" s="19"/>
      <c r="K11" s="20" t="s">
        <v>9</v>
      </c>
      <c r="L11" s="21">
        <v>143132.5</v>
      </c>
    </row>
    <row r="12" spans="1:12" ht="163.19999999999999" hidden="1" x14ac:dyDescent="0.3">
      <c r="A12" s="15" t="s">
        <v>10</v>
      </c>
      <c r="B12" s="16" t="s">
        <v>11</v>
      </c>
      <c r="C12" s="16" t="s">
        <v>25</v>
      </c>
      <c r="D12" s="16" t="s">
        <v>13</v>
      </c>
      <c r="E12" s="17" t="s">
        <v>14</v>
      </c>
      <c r="F12" s="22">
        <v>594</v>
      </c>
      <c r="G12" s="22"/>
      <c r="H12" s="17" t="s">
        <v>15</v>
      </c>
      <c r="I12" s="19" t="s">
        <v>16</v>
      </c>
      <c r="J12" s="19"/>
      <c r="K12" s="20" t="s">
        <v>9</v>
      </c>
      <c r="L12" s="21">
        <v>143726.5</v>
      </c>
    </row>
    <row r="13" spans="1:12" ht="163.19999999999999" hidden="1" x14ac:dyDescent="0.3">
      <c r="A13" s="15" t="s">
        <v>10</v>
      </c>
      <c r="B13" s="16" t="s">
        <v>11</v>
      </c>
      <c r="C13" s="16" t="s">
        <v>26</v>
      </c>
      <c r="D13" s="16" t="s">
        <v>13</v>
      </c>
      <c r="E13" s="17" t="s">
        <v>14</v>
      </c>
      <c r="F13" s="22">
        <v>154.25</v>
      </c>
      <c r="G13" s="22"/>
      <c r="H13" s="17" t="s">
        <v>15</v>
      </c>
      <c r="I13" s="19" t="s">
        <v>16</v>
      </c>
      <c r="J13" s="19"/>
      <c r="K13" s="20" t="s">
        <v>9</v>
      </c>
      <c r="L13" s="21">
        <v>143880.75</v>
      </c>
    </row>
    <row r="14" spans="1:12" ht="163.19999999999999" hidden="1" x14ac:dyDescent="0.3">
      <c r="A14" s="15" t="s">
        <v>10</v>
      </c>
      <c r="B14" s="16" t="s">
        <v>11</v>
      </c>
      <c r="C14" s="16" t="s">
        <v>27</v>
      </c>
      <c r="D14" s="16" t="s">
        <v>13</v>
      </c>
      <c r="E14" s="17" t="s">
        <v>14</v>
      </c>
      <c r="F14" s="22">
        <v>100</v>
      </c>
      <c r="G14" s="22"/>
      <c r="H14" s="17" t="s">
        <v>15</v>
      </c>
      <c r="I14" s="19" t="s">
        <v>16</v>
      </c>
      <c r="J14" s="19"/>
      <c r="K14" s="20" t="s">
        <v>9</v>
      </c>
      <c r="L14" s="21">
        <v>143980.75</v>
      </c>
    </row>
    <row r="15" spans="1:12" ht="163.19999999999999" hidden="1" x14ac:dyDescent="0.3">
      <c r="A15" s="15" t="s">
        <v>10</v>
      </c>
      <c r="B15" s="16" t="s">
        <v>11</v>
      </c>
      <c r="C15" s="16" t="s">
        <v>28</v>
      </c>
      <c r="D15" s="16" t="s">
        <v>13</v>
      </c>
      <c r="E15" s="17" t="s">
        <v>14</v>
      </c>
      <c r="F15" s="22">
        <v>507.5</v>
      </c>
      <c r="G15" s="22"/>
      <c r="H15" s="17" t="s">
        <v>15</v>
      </c>
      <c r="I15" s="19" t="s">
        <v>16</v>
      </c>
      <c r="J15" s="19"/>
      <c r="K15" s="20" t="s">
        <v>9</v>
      </c>
      <c r="L15" s="21">
        <v>144488.25</v>
      </c>
    </row>
    <row r="16" spans="1:12" ht="163.19999999999999" hidden="1" x14ac:dyDescent="0.3">
      <c r="A16" s="15" t="s">
        <v>10</v>
      </c>
      <c r="B16" s="16" t="s">
        <v>11</v>
      </c>
      <c r="C16" s="16" t="s">
        <v>29</v>
      </c>
      <c r="D16" s="16" t="s">
        <v>13</v>
      </c>
      <c r="E16" s="17" t="s">
        <v>14</v>
      </c>
      <c r="F16" s="18">
        <v>8451</v>
      </c>
      <c r="G16" s="18"/>
      <c r="H16" s="17" t="s">
        <v>15</v>
      </c>
      <c r="I16" s="19" t="s">
        <v>16</v>
      </c>
      <c r="J16" s="19"/>
      <c r="K16" s="20" t="s">
        <v>9</v>
      </c>
      <c r="L16" s="21">
        <v>152939.25</v>
      </c>
    </row>
    <row r="17" spans="1:12" ht="163.19999999999999" hidden="1" x14ac:dyDescent="0.3">
      <c r="A17" s="15" t="s">
        <v>10</v>
      </c>
      <c r="B17" s="16" t="s">
        <v>11</v>
      </c>
      <c r="C17" s="16" t="s">
        <v>30</v>
      </c>
      <c r="D17" s="16" t="s">
        <v>13</v>
      </c>
      <c r="E17" s="17" t="s">
        <v>14</v>
      </c>
      <c r="F17" s="18">
        <v>12169</v>
      </c>
      <c r="G17" s="18"/>
      <c r="H17" s="17" t="s">
        <v>15</v>
      </c>
      <c r="I17" s="19" t="s">
        <v>16</v>
      </c>
      <c r="J17" s="19"/>
      <c r="K17" s="20" t="s">
        <v>9</v>
      </c>
      <c r="L17" s="21">
        <v>165108.25</v>
      </c>
    </row>
    <row r="18" spans="1:12" ht="163.19999999999999" hidden="1" x14ac:dyDescent="0.3">
      <c r="A18" s="15" t="s">
        <v>10</v>
      </c>
      <c r="B18" s="16" t="s">
        <v>11</v>
      </c>
      <c r="C18" s="16" t="s">
        <v>31</v>
      </c>
      <c r="D18" s="16" t="s">
        <v>13</v>
      </c>
      <c r="E18" s="17" t="s">
        <v>14</v>
      </c>
      <c r="F18" s="22">
        <v>171</v>
      </c>
      <c r="G18" s="22"/>
      <c r="H18" s="17" t="s">
        <v>15</v>
      </c>
      <c r="I18" s="19" t="s">
        <v>16</v>
      </c>
      <c r="J18" s="19"/>
      <c r="K18" s="20" t="s">
        <v>9</v>
      </c>
      <c r="L18" s="21">
        <v>165279.25</v>
      </c>
    </row>
    <row r="19" spans="1:12" ht="163.19999999999999" hidden="1" x14ac:dyDescent="0.3">
      <c r="A19" s="15" t="s">
        <v>10</v>
      </c>
      <c r="B19" s="16" t="s">
        <v>11</v>
      </c>
      <c r="C19" s="16" t="s">
        <v>32</v>
      </c>
      <c r="D19" s="16" t="s">
        <v>13</v>
      </c>
      <c r="E19" s="17" t="s">
        <v>14</v>
      </c>
      <c r="F19" s="18">
        <v>4320</v>
      </c>
      <c r="G19" s="18"/>
      <c r="H19" s="17" t="s">
        <v>15</v>
      </c>
      <c r="I19" s="19" t="s">
        <v>16</v>
      </c>
      <c r="J19" s="19"/>
      <c r="K19" s="20" t="s">
        <v>9</v>
      </c>
      <c r="L19" s="21">
        <v>169599.25</v>
      </c>
    </row>
    <row r="20" spans="1:12" ht="163.19999999999999" hidden="1" x14ac:dyDescent="0.3">
      <c r="A20" s="15" t="s">
        <v>10</v>
      </c>
      <c r="B20" s="16" t="s">
        <v>11</v>
      </c>
      <c r="C20" s="16" t="s">
        <v>33</v>
      </c>
      <c r="D20" s="16" t="s">
        <v>13</v>
      </c>
      <c r="E20" s="17" t="s">
        <v>14</v>
      </c>
      <c r="F20" s="22">
        <v>82.5</v>
      </c>
      <c r="G20" s="22"/>
      <c r="H20" s="17" t="s">
        <v>15</v>
      </c>
      <c r="I20" s="19" t="s">
        <v>16</v>
      </c>
      <c r="J20" s="19"/>
      <c r="K20" s="20" t="s">
        <v>9</v>
      </c>
      <c r="L20" s="21">
        <v>169681.75</v>
      </c>
    </row>
    <row r="21" spans="1:12" ht="163.19999999999999" hidden="1" x14ac:dyDescent="0.3">
      <c r="A21" s="15" t="s">
        <v>10</v>
      </c>
      <c r="B21" s="16" t="s">
        <v>11</v>
      </c>
      <c r="C21" s="16" t="s">
        <v>34</v>
      </c>
      <c r="D21" s="16" t="s">
        <v>13</v>
      </c>
      <c r="E21" s="17" t="s">
        <v>14</v>
      </c>
      <c r="F21" s="22">
        <v>863.75</v>
      </c>
      <c r="G21" s="22"/>
      <c r="H21" s="17" t="s">
        <v>15</v>
      </c>
      <c r="I21" s="19" t="s">
        <v>16</v>
      </c>
      <c r="J21" s="19"/>
      <c r="K21" s="20" t="s">
        <v>9</v>
      </c>
      <c r="L21" s="21">
        <v>170545.5</v>
      </c>
    </row>
    <row r="22" spans="1:12" ht="163.19999999999999" hidden="1" x14ac:dyDescent="0.3">
      <c r="A22" s="15" t="s">
        <v>10</v>
      </c>
      <c r="B22" s="16" t="s">
        <v>11</v>
      </c>
      <c r="C22" s="16" t="s">
        <v>35</v>
      </c>
      <c r="D22" s="16" t="s">
        <v>13</v>
      </c>
      <c r="E22" s="17" t="s">
        <v>14</v>
      </c>
      <c r="F22" s="22">
        <v>176.3</v>
      </c>
      <c r="G22" s="22"/>
      <c r="H22" s="17" t="s">
        <v>15</v>
      </c>
      <c r="I22" s="19" t="s">
        <v>16</v>
      </c>
      <c r="J22" s="19"/>
      <c r="K22" s="20" t="s">
        <v>9</v>
      </c>
      <c r="L22" s="21">
        <v>170721.8</v>
      </c>
    </row>
    <row r="23" spans="1:12" ht="163.19999999999999" hidden="1" x14ac:dyDescent="0.3">
      <c r="A23" s="15" t="s">
        <v>10</v>
      </c>
      <c r="B23" s="16" t="s">
        <v>11</v>
      </c>
      <c r="C23" s="16" t="s">
        <v>25</v>
      </c>
      <c r="D23" s="16" t="s">
        <v>13</v>
      </c>
      <c r="E23" s="17" t="s">
        <v>14</v>
      </c>
      <c r="F23" s="22">
        <v>148.5</v>
      </c>
      <c r="G23" s="22"/>
      <c r="H23" s="17" t="s">
        <v>15</v>
      </c>
      <c r="I23" s="19" t="s">
        <v>16</v>
      </c>
      <c r="J23" s="19"/>
      <c r="K23" s="20" t="s">
        <v>9</v>
      </c>
      <c r="L23" s="21">
        <v>170870.3</v>
      </c>
    </row>
    <row r="24" spans="1:12" ht="132.6" hidden="1" x14ac:dyDescent="0.3">
      <c r="A24" s="15" t="s">
        <v>10</v>
      </c>
      <c r="B24" s="16" t="s">
        <v>36</v>
      </c>
      <c r="C24" s="16" t="s">
        <v>37</v>
      </c>
      <c r="D24" s="16" t="s">
        <v>12</v>
      </c>
      <c r="E24" s="17" t="s">
        <v>14</v>
      </c>
      <c r="F24" s="23" t="s">
        <v>16</v>
      </c>
      <c r="G24" s="23"/>
      <c r="H24" s="17" t="s">
        <v>14</v>
      </c>
      <c r="I24" s="24">
        <v>526.5</v>
      </c>
      <c r="J24" s="24"/>
      <c r="K24" s="20" t="s">
        <v>9</v>
      </c>
      <c r="L24" s="21">
        <v>170343.8</v>
      </c>
    </row>
    <row r="25" spans="1:12" ht="112.2" hidden="1" x14ac:dyDescent="0.3">
      <c r="A25" s="15" t="s">
        <v>10</v>
      </c>
      <c r="B25" s="16" t="s">
        <v>36</v>
      </c>
      <c r="C25" s="16" t="s">
        <v>38</v>
      </c>
      <c r="D25" s="16" t="s">
        <v>17</v>
      </c>
      <c r="E25" s="17" t="s">
        <v>14</v>
      </c>
      <c r="F25" s="23" t="s">
        <v>16</v>
      </c>
      <c r="G25" s="23"/>
      <c r="H25" s="17" t="s">
        <v>14</v>
      </c>
      <c r="I25" s="24">
        <v>297.5</v>
      </c>
      <c r="J25" s="24"/>
      <c r="K25" s="20" t="s">
        <v>9</v>
      </c>
      <c r="L25" s="21">
        <v>170046.3</v>
      </c>
    </row>
    <row r="26" spans="1:12" ht="153" hidden="1" x14ac:dyDescent="0.3">
      <c r="A26" s="15" t="s">
        <v>10</v>
      </c>
      <c r="B26" s="16" t="s">
        <v>36</v>
      </c>
      <c r="C26" s="16" t="s">
        <v>39</v>
      </c>
      <c r="D26" s="16" t="s">
        <v>22</v>
      </c>
      <c r="E26" s="17" t="s">
        <v>14</v>
      </c>
      <c r="F26" s="23" t="s">
        <v>16</v>
      </c>
      <c r="G26" s="23"/>
      <c r="H26" s="17" t="s">
        <v>14</v>
      </c>
      <c r="I26" s="24">
        <v>595.20000000000005</v>
      </c>
      <c r="J26" s="24"/>
      <c r="K26" s="20" t="s">
        <v>9</v>
      </c>
      <c r="L26" s="21">
        <v>169451.1</v>
      </c>
    </row>
    <row r="27" spans="1:12" ht="132.6" hidden="1" x14ac:dyDescent="0.3">
      <c r="A27" s="15" t="s">
        <v>10</v>
      </c>
      <c r="B27" s="16" t="s">
        <v>36</v>
      </c>
      <c r="C27" s="16" t="s">
        <v>40</v>
      </c>
      <c r="D27" s="16" t="s">
        <v>28</v>
      </c>
      <c r="E27" s="17" t="s">
        <v>14</v>
      </c>
      <c r="F27" s="23" t="s">
        <v>16</v>
      </c>
      <c r="G27" s="23"/>
      <c r="H27" s="17" t="s">
        <v>14</v>
      </c>
      <c r="I27" s="24">
        <v>152.25</v>
      </c>
      <c r="J27" s="24"/>
      <c r="K27" s="20" t="s">
        <v>9</v>
      </c>
      <c r="L27" s="21">
        <v>169298.85</v>
      </c>
    </row>
    <row r="28" spans="1:12" ht="112.2" hidden="1" x14ac:dyDescent="0.3">
      <c r="A28" s="15" t="s">
        <v>10</v>
      </c>
      <c r="B28" s="16" t="s">
        <v>36</v>
      </c>
      <c r="C28" s="16" t="s">
        <v>41</v>
      </c>
      <c r="D28" s="16" t="s">
        <v>33</v>
      </c>
      <c r="E28" s="17" t="s">
        <v>14</v>
      </c>
      <c r="F28" s="23" t="s">
        <v>16</v>
      </c>
      <c r="G28" s="23"/>
      <c r="H28" s="17" t="s">
        <v>14</v>
      </c>
      <c r="I28" s="24">
        <v>24.75</v>
      </c>
      <c r="J28" s="24"/>
      <c r="K28" s="20" t="s">
        <v>9</v>
      </c>
      <c r="L28" s="21">
        <v>169274.1</v>
      </c>
    </row>
    <row r="29" spans="1:12" ht="122.4" hidden="1" x14ac:dyDescent="0.3">
      <c r="A29" s="15" t="s">
        <v>10</v>
      </c>
      <c r="B29" s="16" t="s">
        <v>36</v>
      </c>
      <c r="C29" s="16" t="s">
        <v>42</v>
      </c>
      <c r="D29" s="16" t="s">
        <v>34</v>
      </c>
      <c r="E29" s="17" t="s">
        <v>14</v>
      </c>
      <c r="F29" s="23" t="s">
        <v>16</v>
      </c>
      <c r="G29" s="23"/>
      <c r="H29" s="17" t="s">
        <v>14</v>
      </c>
      <c r="I29" s="24">
        <v>518.25</v>
      </c>
      <c r="J29" s="24"/>
      <c r="K29" s="20" t="s">
        <v>9</v>
      </c>
      <c r="L29" s="21">
        <v>168755.85</v>
      </c>
    </row>
    <row r="30" spans="1:12" ht="142.80000000000001" hidden="1" x14ac:dyDescent="0.3">
      <c r="A30" s="15" t="s">
        <v>10</v>
      </c>
      <c r="B30" s="16" t="s">
        <v>43</v>
      </c>
      <c r="C30" s="16" t="s">
        <v>44</v>
      </c>
      <c r="D30" s="16" t="s">
        <v>12</v>
      </c>
      <c r="E30" s="17" t="s">
        <v>14</v>
      </c>
      <c r="F30" s="23" t="s">
        <v>16</v>
      </c>
      <c r="G30" s="23"/>
      <c r="H30" s="17" t="s">
        <v>14</v>
      </c>
      <c r="I30" s="24">
        <v>526.5</v>
      </c>
      <c r="J30" s="24"/>
      <c r="K30" s="20" t="s">
        <v>9</v>
      </c>
      <c r="L30" s="21">
        <v>168229.35</v>
      </c>
    </row>
    <row r="31" spans="1:12" ht="122.4" hidden="1" x14ac:dyDescent="0.3">
      <c r="A31" s="15" t="s">
        <v>10</v>
      </c>
      <c r="B31" s="16" t="s">
        <v>43</v>
      </c>
      <c r="C31" s="16" t="s">
        <v>45</v>
      </c>
      <c r="D31" s="16" t="s">
        <v>17</v>
      </c>
      <c r="E31" s="17" t="s">
        <v>14</v>
      </c>
      <c r="F31" s="23" t="s">
        <v>16</v>
      </c>
      <c r="G31" s="23"/>
      <c r="H31" s="17" t="s">
        <v>14</v>
      </c>
      <c r="I31" s="24">
        <v>446.25</v>
      </c>
      <c r="J31" s="24"/>
      <c r="K31" s="20" t="s">
        <v>9</v>
      </c>
      <c r="L31" s="21">
        <v>167783.1</v>
      </c>
    </row>
    <row r="32" spans="1:12" ht="163.19999999999999" hidden="1" x14ac:dyDescent="0.3">
      <c r="A32" s="15" t="s">
        <v>10</v>
      </c>
      <c r="B32" s="16" t="s">
        <v>43</v>
      </c>
      <c r="C32" s="16" t="s">
        <v>46</v>
      </c>
      <c r="D32" s="16" t="s">
        <v>22</v>
      </c>
      <c r="E32" s="17" t="s">
        <v>14</v>
      </c>
      <c r="F32" s="23" t="s">
        <v>16</v>
      </c>
      <c r="G32" s="23"/>
      <c r="H32" s="17" t="s">
        <v>14</v>
      </c>
      <c r="I32" s="24">
        <v>595.20000000000005</v>
      </c>
      <c r="J32" s="24"/>
      <c r="K32" s="20" t="s">
        <v>9</v>
      </c>
      <c r="L32" s="21">
        <v>167187.9</v>
      </c>
    </row>
    <row r="33" spans="1:12" ht="122.4" hidden="1" x14ac:dyDescent="0.3">
      <c r="A33" s="15" t="s">
        <v>10</v>
      </c>
      <c r="B33" s="16" t="s">
        <v>43</v>
      </c>
      <c r="C33" s="16" t="s">
        <v>47</v>
      </c>
      <c r="D33" s="16" t="s">
        <v>25</v>
      </c>
      <c r="E33" s="17" t="s">
        <v>14</v>
      </c>
      <c r="F33" s="23" t="s">
        <v>16</v>
      </c>
      <c r="G33" s="23"/>
      <c r="H33" s="17" t="s">
        <v>14</v>
      </c>
      <c r="I33" s="24">
        <v>594</v>
      </c>
      <c r="J33" s="24"/>
      <c r="K33" s="20" t="s">
        <v>9</v>
      </c>
      <c r="L33" s="21">
        <v>166593.9</v>
      </c>
    </row>
    <row r="34" spans="1:12" ht="142.80000000000001" hidden="1" x14ac:dyDescent="0.3">
      <c r="A34" s="15" t="s">
        <v>10</v>
      </c>
      <c r="B34" s="16" t="s">
        <v>43</v>
      </c>
      <c r="C34" s="16" t="s">
        <v>48</v>
      </c>
      <c r="D34" s="16" t="s">
        <v>28</v>
      </c>
      <c r="E34" s="17" t="s">
        <v>14</v>
      </c>
      <c r="F34" s="23" t="s">
        <v>16</v>
      </c>
      <c r="G34" s="23"/>
      <c r="H34" s="17" t="s">
        <v>14</v>
      </c>
      <c r="I34" s="24">
        <v>152.25</v>
      </c>
      <c r="J34" s="24"/>
      <c r="K34" s="20" t="s">
        <v>9</v>
      </c>
      <c r="L34" s="21">
        <v>166441.65</v>
      </c>
    </row>
    <row r="35" spans="1:12" ht="122.4" hidden="1" x14ac:dyDescent="0.3">
      <c r="A35" s="15" t="s">
        <v>10</v>
      </c>
      <c r="B35" s="16" t="s">
        <v>43</v>
      </c>
      <c r="C35" s="16" t="s">
        <v>49</v>
      </c>
      <c r="D35" s="16" t="s">
        <v>33</v>
      </c>
      <c r="E35" s="17" t="s">
        <v>14</v>
      </c>
      <c r="F35" s="23" t="s">
        <v>16</v>
      </c>
      <c r="G35" s="23"/>
      <c r="H35" s="17" t="s">
        <v>14</v>
      </c>
      <c r="I35" s="24">
        <v>24.75</v>
      </c>
      <c r="J35" s="24"/>
      <c r="K35" s="20" t="s">
        <v>9</v>
      </c>
      <c r="L35" s="21">
        <v>166416.9</v>
      </c>
    </row>
    <row r="36" spans="1:12" ht="163.19999999999999" hidden="1" x14ac:dyDescent="0.3">
      <c r="A36" s="15" t="s">
        <v>10</v>
      </c>
      <c r="B36" s="16" t="s">
        <v>50</v>
      </c>
      <c r="C36" s="16" t="s">
        <v>51</v>
      </c>
      <c r="D36" s="16" t="s">
        <v>12</v>
      </c>
      <c r="E36" s="17" t="s">
        <v>14</v>
      </c>
      <c r="F36" s="23" t="s">
        <v>16</v>
      </c>
      <c r="G36" s="23"/>
      <c r="H36" s="17" t="s">
        <v>14</v>
      </c>
      <c r="I36" s="24">
        <v>702</v>
      </c>
      <c r="J36" s="24"/>
      <c r="K36" s="20" t="s">
        <v>9</v>
      </c>
      <c r="L36" s="21">
        <v>165714.9</v>
      </c>
    </row>
    <row r="37" spans="1:12" ht="142.80000000000001" hidden="1" x14ac:dyDescent="0.3">
      <c r="A37" s="15" t="s">
        <v>10</v>
      </c>
      <c r="B37" s="16" t="s">
        <v>50</v>
      </c>
      <c r="C37" s="16" t="s">
        <v>52</v>
      </c>
      <c r="D37" s="16" t="s">
        <v>17</v>
      </c>
      <c r="E37" s="17" t="s">
        <v>14</v>
      </c>
      <c r="F37" s="23" t="s">
        <v>16</v>
      </c>
      <c r="G37" s="23"/>
      <c r="H37" s="17" t="s">
        <v>14</v>
      </c>
      <c r="I37" s="24">
        <v>297.5</v>
      </c>
      <c r="J37" s="24"/>
      <c r="K37" s="20" t="s">
        <v>9</v>
      </c>
      <c r="L37" s="21">
        <v>165417.4</v>
      </c>
    </row>
    <row r="38" spans="1:12" ht="183.6" hidden="1" x14ac:dyDescent="0.3">
      <c r="A38" s="15" t="s">
        <v>10</v>
      </c>
      <c r="B38" s="16" t="s">
        <v>50</v>
      </c>
      <c r="C38" s="16" t="s">
        <v>53</v>
      </c>
      <c r="D38" s="16" t="s">
        <v>22</v>
      </c>
      <c r="E38" s="17" t="s">
        <v>14</v>
      </c>
      <c r="F38" s="23" t="s">
        <v>16</v>
      </c>
      <c r="G38" s="23"/>
      <c r="H38" s="17" t="s">
        <v>14</v>
      </c>
      <c r="I38" s="24">
        <v>595.20000000000005</v>
      </c>
      <c r="J38" s="24"/>
      <c r="K38" s="20" t="s">
        <v>9</v>
      </c>
      <c r="L38" s="21">
        <v>164822.20000000001</v>
      </c>
    </row>
    <row r="39" spans="1:12" ht="163.19999999999999" hidden="1" x14ac:dyDescent="0.3">
      <c r="A39" s="15" t="s">
        <v>10</v>
      </c>
      <c r="B39" s="16" t="s">
        <v>50</v>
      </c>
      <c r="C39" s="16" t="s">
        <v>54</v>
      </c>
      <c r="D39" s="16" t="s">
        <v>28</v>
      </c>
      <c r="E39" s="17" t="s">
        <v>14</v>
      </c>
      <c r="F39" s="23" t="s">
        <v>16</v>
      </c>
      <c r="G39" s="23"/>
      <c r="H39" s="17" t="s">
        <v>14</v>
      </c>
      <c r="I39" s="24">
        <v>203</v>
      </c>
      <c r="J39" s="24"/>
      <c r="K39" s="20" t="s">
        <v>9</v>
      </c>
      <c r="L39" s="21">
        <v>164619.20000000001</v>
      </c>
    </row>
    <row r="40" spans="1:12" ht="142.80000000000001" hidden="1" x14ac:dyDescent="0.3">
      <c r="A40" s="15" t="s">
        <v>10</v>
      </c>
      <c r="B40" s="16" t="s">
        <v>50</v>
      </c>
      <c r="C40" s="16" t="s">
        <v>55</v>
      </c>
      <c r="D40" s="16" t="s">
        <v>33</v>
      </c>
      <c r="E40" s="17" t="s">
        <v>14</v>
      </c>
      <c r="F40" s="23" t="s">
        <v>16</v>
      </c>
      <c r="G40" s="23"/>
      <c r="H40" s="17" t="s">
        <v>14</v>
      </c>
      <c r="I40" s="24">
        <v>33</v>
      </c>
      <c r="J40" s="24"/>
      <c r="K40" s="20" t="s">
        <v>9</v>
      </c>
      <c r="L40" s="21">
        <v>164586.20000000001</v>
      </c>
    </row>
    <row r="41" spans="1:12" ht="112.2" hidden="1" x14ac:dyDescent="0.3">
      <c r="A41" s="15" t="s">
        <v>10</v>
      </c>
      <c r="B41" s="16" t="s">
        <v>56</v>
      </c>
      <c r="C41" s="16" t="s">
        <v>57</v>
      </c>
      <c r="D41" s="16" t="s">
        <v>17</v>
      </c>
      <c r="E41" s="17" t="s">
        <v>14</v>
      </c>
      <c r="F41" s="23" t="s">
        <v>16</v>
      </c>
      <c r="G41" s="23"/>
      <c r="H41" s="17" t="s">
        <v>14</v>
      </c>
      <c r="I41" s="24">
        <v>446.25</v>
      </c>
      <c r="J41" s="24"/>
      <c r="K41" s="20" t="s">
        <v>9</v>
      </c>
      <c r="L41" s="21">
        <v>164139.95000000001</v>
      </c>
    </row>
    <row r="42" spans="1:12" ht="132.6" hidden="1" x14ac:dyDescent="0.3">
      <c r="A42" s="15" t="s">
        <v>10</v>
      </c>
      <c r="B42" s="16" t="s">
        <v>56</v>
      </c>
      <c r="C42" s="16" t="s">
        <v>58</v>
      </c>
      <c r="D42" s="16" t="s">
        <v>29</v>
      </c>
      <c r="E42" s="17" t="s">
        <v>14</v>
      </c>
      <c r="F42" s="23" t="s">
        <v>16</v>
      </c>
      <c r="G42" s="23"/>
      <c r="H42" s="17" t="s">
        <v>14</v>
      </c>
      <c r="I42" s="25">
        <v>8451</v>
      </c>
      <c r="J42" s="25"/>
      <c r="K42" s="20" t="s">
        <v>9</v>
      </c>
      <c r="L42" s="21">
        <v>155688.95000000001</v>
      </c>
    </row>
    <row r="43" spans="1:12" ht="183.6" hidden="1" x14ac:dyDescent="0.3">
      <c r="A43" s="15" t="s">
        <v>10</v>
      </c>
      <c r="B43" s="16" t="s">
        <v>59</v>
      </c>
      <c r="C43" s="16" t="s">
        <v>60</v>
      </c>
      <c r="D43" s="16" t="s">
        <v>23</v>
      </c>
      <c r="E43" s="17" t="s">
        <v>14</v>
      </c>
      <c r="F43" s="23" t="s">
        <v>16</v>
      </c>
      <c r="G43" s="23"/>
      <c r="H43" s="17" t="s">
        <v>14</v>
      </c>
      <c r="I43" s="25">
        <v>2587</v>
      </c>
      <c r="J43" s="25"/>
      <c r="K43" s="20" t="s">
        <v>9</v>
      </c>
      <c r="L43" s="21">
        <v>153101.95000000001</v>
      </c>
    </row>
    <row r="44" spans="1:12" ht="163.19999999999999" hidden="1" x14ac:dyDescent="0.3">
      <c r="A44" s="15" t="s">
        <v>10</v>
      </c>
      <c r="B44" s="16" t="s">
        <v>59</v>
      </c>
      <c r="C44" s="16" t="s">
        <v>61</v>
      </c>
      <c r="D44" s="16" t="s">
        <v>24</v>
      </c>
      <c r="E44" s="17" t="s">
        <v>14</v>
      </c>
      <c r="F44" s="23" t="s">
        <v>16</v>
      </c>
      <c r="G44" s="23"/>
      <c r="H44" s="17" t="s">
        <v>14</v>
      </c>
      <c r="I44" s="24">
        <v>394.2</v>
      </c>
      <c r="J44" s="24"/>
      <c r="K44" s="20" t="s">
        <v>9</v>
      </c>
      <c r="L44" s="21">
        <v>152707.75</v>
      </c>
    </row>
    <row r="45" spans="1:12" ht="153" hidden="1" x14ac:dyDescent="0.3">
      <c r="A45" s="15" t="s">
        <v>10</v>
      </c>
      <c r="B45" s="16" t="s">
        <v>59</v>
      </c>
      <c r="C45" s="16" t="s">
        <v>62</v>
      </c>
      <c r="D45" s="16" t="s">
        <v>26</v>
      </c>
      <c r="E45" s="17" t="s">
        <v>14</v>
      </c>
      <c r="F45" s="23" t="s">
        <v>16</v>
      </c>
      <c r="G45" s="23"/>
      <c r="H45" s="17" t="s">
        <v>14</v>
      </c>
      <c r="I45" s="24">
        <v>154.25</v>
      </c>
      <c r="J45" s="24"/>
      <c r="K45" s="20" t="s">
        <v>9</v>
      </c>
      <c r="L45" s="21">
        <v>152553.5</v>
      </c>
    </row>
    <row r="46" spans="1:12" ht="142.80000000000001" hidden="1" x14ac:dyDescent="0.3">
      <c r="A46" s="15" t="s">
        <v>10</v>
      </c>
      <c r="B46" s="16" t="s">
        <v>59</v>
      </c>
      <c r="C46" s="16" t="s">
        <v>63</v>
      </c>
      <c r="D46" s="16" t="s">
        <v>27</v>
      </c>
      <c r="E46" s="17" t="s">
        <v>14</v>
      </c>
      <c r="F46" s="23" t="s">
        <v>16</v>
      </c>
      <c r="G46" s="23"/>
      <c r="H46" s="17" t="s">
        <v>14</v>
      </c>
      <c r="I46" s="24">
        <v>100</v>
      </c>
      <c r="J46" s="24"/>
      <c r="K46" s="20" t="s">
        <v>9</v>
      </c>
      <c r="L46" s="21">
        <v>152453.5</v>
      </c>
    </row>
    <row r="47" spans="1:12" ht="153" hidden="1" x14ac:dyDescent="0.3">
      <c r="A47" s="15" t="s">
        <v>10</v>
      </c>
      <c r="B47" s="16" t="s">
        <v>59</v>
      </c>
      <c r="C47" s="16" t="s">
        <v>64</v>
      </c>
      <c r="D47" s="16" t="s">
        <v>34</v>
      </c>
      <c r="E47" s="17" t="s">
        <v>14</v>
      </c>
      <c r="F47" s="23" t="s">
        <v>16</v>
      </c>
      <c r="G47" s="23"/>
      <c r="H47" s="17" t="s">
        <v>14</v>
      </c>
      <c r="I47" s="24">
        <v>345.5</v>
      </c>
      <c r="J47" s="24"/>
      <c r="K47" s="20" t="s">
        <v>9</v>
      </c>
      <c r="L47" s="21">
        <v>152108</v>
      </c>
    </row>
    <row r="48" spans="1:12" ht="81.599999999999994" x14ac:dyDescent="0.3">
      <c r="A48" s="15" t="s">
        <v>65</v>
      </c>
      <c r="B48" s="16" t="s">
        <v>66</v>
      </c>
      <c r="C48" s="16" t="s">
        <v>67</v>
      </c>
      <c r="D48" s="16" t="s">
        <v>68</v>
      </c>
      <c r="E48" s="17" t="s">
        <v>69</v>
      </c>
      <c r="F48" s="23" t="s">
        <v>16</v>
      </c>
      <c r="G48" s="23"/>
      <c r="H48" s="17" t="s">
        <v>14</v>
      </c>
      <c r="I48" s="24">
        <v>385.2</v>
      </c>
      <c r="J48" s="24"/>
      <c r="K48" s="20" t="s">
        <v>9</v>
      </c>
      <c r="L48" s="21">
        <v>151722.79999999999</v>
      </c>
    </row>
    <row r="49" spans="1:12" ht="81.599999999999994" x14ac:dyDescent="0.3">
      <c r="A49" s="15" t="s">
        <v>65</v>
      </c>
      <c r="B49" s="16" t="s">
        <v>66</v>
      </c>
      <c r="C49" s="16" t="s">
        <v>67</v>
      </c>
      <c r="D49" s="16" t="s">
        <v>70</v>
      </c>
      <c r="E49" s="17" t="s">
        <v>69</v>
      </c>
      <c r="F49" s="23" t="s">
        <v>16</v>
      </c>
      <c r="G49" s="23"/>
      <c r="H49" s="17" t="s">
        <v>14</v>
      </c>
      <c r="I49" s="24">
        <v>300</v>
      </c>
      <c r="J49" s="24"/>
      <c r="K49" s="20" t="s">
        <v>9</v>
      </c>
      <c r="L49" s="21">
        <v>151422.79999999999</v>
      </c>
    </row>
    <row r="50" spans="1:12" ht="91.8" x14ac:dyDescent="0.3">
      <c r="A50" s="15" t="s">
        <v>65</v>
      </c>
      <c r="B50" s="16" t="s">
        <v>66</v>
      </c>
      <c r="C50" s="16" t="s">
        <v>67</v>
      </c>
      <c r="D50" s="16" t="s">
        <v>71</v>
      </c>
      <c r="E50" s="17" t="s">
        <v>69</v>
      </c>
      <c r="F50" s="23" t="s">
        <v>16</v>
      </c>
      <c r="G50" s="23"/>
      <c r="H50" s="17" t="s">
        <v>14</v>
      </c>
      <c r="I50" s="24">
        <v>176</v>
      </c>
      <c r="J50" s="24"/>
      <c r="K50" s="20" t="s">
        <v>9</v>
      </c>
      <c r="L50" s="21">
        <v>151246.79999999999</v>
      </c>
    </row>
    <row r="51" spans="1:12" ht="91.8" x14ac:dyDescent="0.3">
      <c r="A51" s="15" t="s">
        <v>65</v>
      </c>
      <c r="B51" s="16" t="s">
        <v>66</v>
      </c>
      <c r="C51" s="16" t="s">
        <v>67</v>
      </c>
      <c r="D51" s="16" t="s">
        <v>72</v>
      </c>
      <c r="E51" s="17" t="s">
        <v>69</v>
      </c>
      <c r="F51" s="23" t="s">
        <v>16</v>
      </c>
      <c r="G51" s="23"/>
      <c r="H51" s="17" t="s">
        <v>14</v>
      </c>
      <c r="I51" s="24">
        <v>243</v>
      </c>
      <c r="J51" s="24"/>
      <c r="K51" s="20" t="s">
        <v>9</v>
      </c>
      <c r="L51" s="21">
        <v>151003.79999999999</v>
      </c>
    </row>
    <row r="52" spans="1:12" ht="81.599999999999994" x14ac:dyDescent="0.3">
      <c r="A52" s="15" t="s">
        <v>65</v>
      </c>
      <c r="B52" s="16" t="s">
        <v>66</v>
      </c>
      <c r="C52" s="16" t="s">
        <v>67</v>
      </c>
      <c r="D52" s="16" t="s">
        <v>73</v>
      </c>
      <c r="E52" s="17" t="s">
        <v>69</v>
      </c>
      <c r="F52" s="23" t="s">
        <v>16</v>
      </c>
      <c r="G52" s="23"/>
      <c r="H52" s="17" t="s">
        <v>14</v>
      </c>
      <c r="I52" s="24">
        <v>191.9</v>
      </c>
      <c r="J52" s="24"/>
      <c r="K52" s="20" t="s">
        <v>9</v>
      </c>
      <c r="L52" s="21">
        <v>150811.9</v>
      </c>
    </row>
    <row r="53" spans="1:12" ht="81.599999999999994" x14ac:dyDescent="0.3">
      <c r="A53" s="15" t="s">
        <v>65</v>
      </c>
      <c r="B53" s="16" t="s">
        <v>74</v>
      </c>
      <c r="C53" s="16" t="s">
        <v>67</v>
      </c>
      <c r="D53" s="16" t="s">
        <v>70</v>
      </c>
      <c r="E53" s="17" t="s">
        <v>69</v>
      </c>
      <c r="F53" s="23" t="s">
        <v>16</v>
      </c>
      <c r="G53" s="23"/>
      <c r="H53" s="17" t="s">
        <v>14</v>
      </c>
      <c r="I53" s="24">
        <v>300</v>
      </c>
      <c r="J53" s="24"/>
      <c r="K53" s="20" t="s">
        <v>9</v>
      </c>
      <c r="L53" s="21">
        <v>150511.9</v>
      </c>
    </row>
    <row r="54" spans="1:12" ht="81.599999999999994" x14ac:dyDescent="0.3">
      <c r="A54" s="15" t="s">
        <v>65</v>
      </c>
      <c r="B54" s="16" t="s">
        <v>74</v>
      </c>
      <c r="C54" s="16" t="s">
        <v>67</v>
      </c>
      <c r="D54" s="16" t="s">
        <v>73</v>
      </c>
      <c r="E54" s="17" t="s">
        <v>69</v>
      </c>
      <c r="F54" s="23" t="s">
        <v>16</v>
      </c>
      <c r="G54" s="23"/>
      <c r="H54" s="17" t="s">
        <v>14</v>
      </c>
      <c r="I54" s="24">
        <v>479.75</v>
      </c>
      <c r="J54" s="24"/>
      <c r="K54" s="20" t="s">
        <v>9</v>
      </c>
      <c r="L54" s="21">
        <v>150032.15</v>
      </c>
    </row>
    <row r="55" spans="1:12" ht="91.8" x14ac:dyDescent="0.3">
      <c r="A55" s="15" t="s">
        <v>65</v>
      </c>
      <c r="B55" s="16" t="s">
        <v>74</v>
      </c>
      <c r="C55" s="16" t="s">
        <v>67</v>
      </c>
      <c r="D55" s="16" t="s">
        <v>72</v>
      </c>
      <c r="E55" s="17" t="s">
        <v>69</v>
      </c>
      <c r="F55" s="23" t="s">
        <v>16</v>
      </c>
      <c r="G55" s="23"/>
      <c r="H55" s="17" t="s">
        <v>14</v>
      </c>
      <c r="I55" s="24">
        <v>486</v>
      </c>
      <c r="J55" s="24"/>
      <c r="K55" s="20" t="s">
        <v>9</v>
      </c>
      <c r="L55" s="21">
        <v>149546.15</v>
      </c>
    </row>
    <row r="56" spans="1:12" ht="81.599999999999994" x14ac:dyDescent="0.3">
      <c r="A56" s="15" t="s">
        <v>65</v>
      </c>
      <c r="B56" s="16" t="s">
        <v>74</v>
      </c>
      <c r="C56" s="16" t="s">
        <v>67</v>
      </c>
      <c r="D56" s="16" t="s">
        <v>68</v>
      </c>
      <c r="E56" s="17" t="s">
        <v>69</v>
      </c>
      <c r="F56" s="23" t="s">
        <v>16</v>
      </c>
      <c r="G56" s="23"/>
      <c r="H56" s="17" t="s">
        <v>14</v>
      </c>
      <c r="I56" s="24">
        <v>385.2</v>
      </c>
      <c r="J56" s="24"/>
      <c r="K56" s="20" t="s">
        <v>9</v>
      </c>
      <c r="L56" s="21">
        <v>149160.95000000001</v>
      </c>
    </row>
    <row r="57" spans="1:12" ht="91.8" x14ac:dyDescent="0.3">
      <c r="A57" s="15" t="s">
        <v>65</v>
      </c>
      <c r="B57" s="16" t="s">
        <v>75</v>
      </c>
      <c r="C57" s="16" t="s">
        <v>67</v>
      </c>
      <c r="D57" s="16" t="s">
        <v>71</v>
      </c>
      <c r="E57" s="17" t="s">
        <v>69</v>
      </c>
      <c r="F57" s="23" t="s">
        <v>16</v>
      </c>
      <c r="G57" s="23"/>
      <c r="H57" s="17" t="s">
        <v>14</v>
      </c>
      <c r="I57" s="24">
        <v>176</v>
      </c>
      <c r="J57" s="24"/>
      <c r="K57" s="20" t="s">
        <v>9</v>
      </c>
      <c r="L57" s="21">
        <v>148984.95000000001</v>
      </c>
    </row>
    <row r="58" spans="1:12" ht="91.8" x14ac:dyDescent="0.3">
      <c r="A58" s="15" t="s">
        <v>65</v>
      </c>
      <c r="B58" s="16" t="s">
        <v>75</v>
      </c>
      <c r="C58" s="16" t="s">
        <v>67</v>
      </c>
      <c r="D58" s="16" t="s">
        <v>72</v>
      </c>
      <c r="E58" s="17" t="s">
        <v>69</v>
      </c>
      <c r="F58" s="23" t="s">
        <v>16</v>
      </c>
      <c r="G58" s="23"/>
      <c r="H58" s="17" t="s">
        <v>14</v>
      </c>
      <c r="I58" s="24">
        <v>291.60000000000002</v>
      </c>
      <c r="J58" s="24"/>
      <c r="K58" s="20" t="s">
        <v>9</v>
      </c>
      <c r="L58" s="21">
        <v>148693.35</v>
      </c>
    </row>
    <row r="59" spans="1:12" ht="81.599999999999994" x14ac:dyDescent="0.3">
      <c r="A59" s="15" t="s">
        <v>65</v>
      </c>
      <c r="B59" s="16" t="s">
        <v>76</v>
      </c>
      <c r="C59" s="16" t="s">
        <v>67</v>
      </c>
      <c r="D59" s="16" t="s">
        <v>73</v>
      </c>
      <c r="E59" s="17" t="s">
        <v>69</v>
      </c>
      <c r="F59" s="23" t="s">
        <v>16</v>
      </c>
      <c r="G59" s="23"/>
      <c r="H59" s="17" t="s">
        <v>14</v>
      </c>
      <c r="I59" s="24">
        <v>287.85000000000002</v>
      </c>
      <c r="J59" s="24"/>
      <c r="K59" s="20" t="s">
        <v>9</v>
      </c>
      <c r="L59" s="21">
        <v>148405.5</v>
      </c>
    </row>
    <row r="60" spans="1:12" ht="91.8" x14ac:dyDescent="0.3">
      <c r="A60" s="15" t="s">
        <v>65</v>
      </c>
      <c r="B60" s="16" t="s">
        <v>76</v>
      </c>
      <c r="C60" s="16" t="s">
        <v>67</v>
      </c>
      <c r="D60" s="16" t="s">
        <v>72</v>
      </c>
      <c r="E60" s="17" t="s">
        <v>69</v>
      </c>
      <c r="F60" s="23" t="s">
        <v>16</v>
      </c>
      <c r="G60" s="23"/>
      <c r="H60" s="17" t="s">
        <v>14</v>
      </c>
      <c r="I60" s="24">
        <v>486</v>
      </c>
      <c r="J60" s="24"/>
      <c r="K60" s="20" t="s">
        <v>9</v>
      </c>
      <c r="L60" s="21">
        <v>147919.5</v>
      </c>
    </row>
    <row r="61" spans="1:12" ht="81.599999999999994" x14ac:dyDescent="0.3">
      <c r="A61" s="15" t="s">
        <v>65</v>
      </c>
      <c r="B61" s="16" t="s">
        <v>76</v>
      </c>
      <c r="C61" s="16" t="s">
        <v>67</v>
      </c>
      <c r="D61" s="16" t="s">
        <v>70</v>
      </c>
      <c r="E61" s="17" t="s">
        <v>69</v>
      </c>
      <c r="F61" s="23" t="s">
        <v>16</v>
      </c>
      <c r="G61" s="23"/>
      <c r="H61" s="17" t="s">
        <v>14</v>
      </c>
      <c r="I61" s="24">
        <v>440</v>
      </c>
      <c r="J61" s="24"/>
      <c r="K61" s="20" t="s">
        <v>9</v>
      </c>
      <c r="L61" s="21">
        <v>147479.5</v>
      </c>
    </row>
    <row r="62" spans="1:12" ht="81.599999999999994" x14ac:dyDescent="0.3">
      <c r="A62" s="15" t="s">
        <v>65</v>
      </c>
      <c r="B62" s="16" t="s">
        <v>76</v>
      </c>
      <c r="C62" s="16" t="s">
        <v>67</v>
      </c>
      <c r="D62" s="16" t="s">
        <v>77</v>
      </c>
      <c r="E62" s="17" t="s">
        <v>69</v>
      </c>
      <c r="F62" s="23" t="s">
        <v>16</v>
      </c>
      <c r="G62" s="23"/>
      <c r="H62" s="17" t="s">
        <v>14</v>
      </c>
      <c r="I62" s="24">
        <v>607.5</v>
      </c>
      <c r="J62" s="24"/>
      <c r="K62" s="20" t="s">
        <v>9</v>
      </c>
      <c r="L62" s="21">
        <v>146872</v>
      </c>
    </row>
    <row r="63" spans="1:12" ht="81.599999999999994" x14ac:dyDescent="0.3">
      <c r="A63" s="15" t="s">
        <v>65</v>
      </c>
      <c r="B63" s="16" t="s">
        <v>78</v>
      </c>
      <c r="C63" s="16" t="s">
        <v>67</v>
      </c>
      <c r="D63" s="16" t="s">
        <v>70</v>
      </c>
      <c r="E63" s="17" t="s">
        <v>69</v>
      </c>
      <c r="F63" s="23" t="s">
        <v>16</v>
      </c>
      <c r="G63" s="23"/>
      <c r="H63" s="17" t="s">
        <v>14</v>
      </c>
      <c r="I63" s="24">
        <v>500</v>
      </c>
      <c r="J63" s="24"/>
      <c r="K63" s="20" t="s">
        <v>9</v>
      </c>
      <c r="L63" s="21">
        <v>146372</v>
      </c>
    </row>
    <row r="64" spans="1:12" ht="81.599999999999994" x14ac:dyDescent="0.3">
      <c r="A64" s="15" t="s">
        <v>65</v>
      </c>
      <c r="B64" s="16" t="s">
        <v>78</v>
      </c>
      <c r="C64" s="16" t="s">
        <v>67</v>
      </c>
      <c r="D64" s="16" t="s">
        <v>68</v>
      </c>
      <c r="E64" s="17" t="s">
        <v>69</v>
      </c>
      <c r="F64" s="23" t="s">
        <v>16</v>
      </c>
      <c r="G64" s="23"/>
      <c r="H64" s="17" t="s">
        <v>14</v>
      </c>
      <c r="I64" s="24">
        <v>385.2</v>
      </c>
      <c r="J64" s="24"/>
      <c r="K64" s="20" t="s">
        <v>9</v>
      </c>
      <c r="L64" s="21">
        <v>145986.79999999999</v>
      </c>
    </row>
    <row r="65" spans="1:12" ht="91.8" x14ac:dyDescent="0.3">
      <c r="A65" s="15" t="s">
        <v>65</v>
      </c>
      <c r="B65" s="16" t="s">
        <v>78</v>
      </c>
      <c r="C65" s="16" t="s">
        <v>67</v>
      </c>
      <c r="D65" s="16" t="s">
        <v>71</v>
      </c>
      <c r="E65" s="17" t="s">
        <v>69</v>
      </c>
      <c r="F65" s="23" t="s">
        <v>16</v>
      </c>
      <c r="G65" s="23"/>
      <c r="H65" s="17" t="s">
        <v>14</v>
      </c>
      <c r="I65" s="24">
        <v>352</v>
      </c>
      <c r="J65" s="24"/>
      <c r="K65" s="20" t="s">
        <v>9</v>
      </c>
      <c r="L65" s="21">
        <v>145634.79999999999</v>
      </c>
    </row>
    <row r="66" spans="1:12" ht="81.599999999999994" x14ac:dyDescent="0.3">
      <c r="A66" s="15" t="s">
        <v>65</v>
      </c>
      <c r="B66" s="16" t="s">
        <v>78</v>
      </c>
      <c r="C66" s="16" t="s">
        <v>67</v>
      </c>
      <c r="D66" s="16" t="s">
        <v>79</v>
      </c>
      <c r="E66" s="17" t="s">
        <v>69</v>
      </c>
      <c r="F66" s="23" t="s">
        <v>16</v>
      </c>
      <c r="G66" s="23"/>
      <c r="H66" s="17" t="s">
        <v>14</v>
      </c>
      <c r="I66" s="24">
        <v>886.65</v>
      </c>
      <c r="J66" s="24"/>
      <c r="K66" s="20" t="s">
        <v>9</v>
      </c>
      <c r="L66" s="21">
        <v>144748.15</v>
      </c>
    </row>
    <row r="67" spans="1:12" ht="91.8" x14ac:dyDescent="0.3">
      <c r="A67" s="15" t="s">
        <v>65</v>
      </c>
      <c r="B67" s="16" t="s">
        <v>78</v>
      </c>
      <c r="C67" s="16" t="s">
        <v>67</v>
      </c>
      <c r="D67" s="16" t="s">
        <v>72</v>
      </c>
      <c r="E67" s="17" t="s">
        <v>69</v>
      </c>
      <c r="F67" s="23" t="s">
        <v>16</v>
      </c>
      <c r="G67" s="23"/>
      <c r="H67" s="17" t="s">
        <v>14</v>
      </c>
      <c r="I67" s="24">
        <v>388.8</v>
      </c>
      <c r="J67" s="24"/>
      <c r="K67" s="20" t="s">
        <v>9</v>
      </c>
      <c r="L67" s="21">
        <v>144359.35</v>
      </c>
    </row>
    <row r="68" spans="1:12" ht="81.599999999999994" x14ac:dyDescent="0.3">
      <c r="A68" s="15" t="s">
        <v>65</v>
      </c>
      <c r="B68" s="16" t="s">
        <v>80</v>
      </c>
      <c r="C68" s="16" t="s">
        <v>67</v>
      </c>
      <c r="D68" s="16" t="s">
        <v>81</v>
      </c>
      <c r="E68" s="17" t="s">
        <v>69</v>
      </c>
      <c r="F68" s="23" t="s">
        <v>16</v>
      </c>
      <c r="G68" s="23"/>
      <c r="H68" s="17" t="s">
        <v>14</v>
      </c>
      <c r="I68" s="25">
        <v>1822.5</v>
      </c>
      <c r="J68" s="25"/>
      <c r="K68" s="20" t="s">
        <v>9</v>
      </c>
      <c r="L68" s="21">
        <v>142536.85</v>
      </c>
    </row>
    <row r="69" spans="1:12" ht="81.599999999999994" x14ac:dyDescent="0.3">
      <c r="A69" s="15" t="s">
        <v>65</v>
      </c>
      <c r="B69" s="16" t="s">
        <v>80</v>
      </c>
      <c r="C69" s="16" t="s">
        <v>67</v>
      </c>
      <c r="D69" s="16" t="s">
        <v>82</v>
      </c>
      <c r="E69" s="17" t="s">
        <v>69</v>
      </c>
      <c r="F69" s="23" t="s">
        <v>16</v>
      </c>
      <c r="G69" s="23"/>
      <c r="H69" s="17" t="s">
        <v>14</v>
      </c>
      <c r="I69" s="25">
        <v>1215</v>
      </c>
      <c r="J69" s="25"/>
      <c r="K69" s="20" t="s">
        <v>9</v>
      </c>
      <c r="L69" s="21">
        <v>141321.85</v>
      </c>
    </row>
    <row r="70" spans="1:12" ht="91.8" x14ac:dyDescent="0.3">
      <c r="A70" s="15" t="s">
        <v>65</v>
      </c>
      <c r="B70" s="16" t="s">
        <v>80</v>
      </c>
      <c r="C70" s="16" t="s">
        <v>67</v>
      </c>
      <c r="D70" s="16" t="s">
        <v>71</v>
      </c>
      <c r="E70" s="17" t="s">
        <v>69</v>
      </c>
      <c r="F70" s="23" t="s">
        <v>16</v>
      </c>
      <c r="G70" s="23"/>
      <c r="H70" s="17" t="s">
        <v>14</v>
      </c>
      <c r="I70" s="24">
        <v>264</v>
      </c>
      <c r="J70" s="24"/>
      <c r="K70" s="20" t="s">
        <v>9</v>
      </c>
      <c r="L70" s="21">
        <v>141057.85</v>
      </c>
    </row>
    <row r="71" spans="1:12" ht="81.599999999999994" x14ac:dyDescent="0.3">
      <c r="A71" s="15" t="s">
        <v>65</v>
      </c>
      <c r="B71" s="16" t="s">
        <v>80</v>
      </c>
      <c r="C71" s="16" t="s">
        <v>67</v>
      </c>
      <c r="D71" s="16" t="s">
        <v>83</v>
      </c>
      <c r="E71" s="17" t="s">
        <v>69</v>
      </c>
      <c r="F71" s="23" t="s">
        <v>16</v>
      </c>
      <c r="G71" s="23"/>
      <c r="H71" s="17" t="s">
        <v>14</v>
      </c>
      <c r="I71" s="25">
        <v>2312.3000000000002</v>
      </c>
      <c r="J71" s="25"/>
      <c r="K71" s="20" t="s">
        <v>9</v>
      </c>
      <c r="L71" s="21">
        <v>138745.54999999999</v>
      </c>
    </row>
    <row r="72" spans="1:12" ht="81.599999999999994" x14ac:dyDescent="0.3">
      <c r="A72" s="15" t="s">
        <v>65</v>
      </c>
      <c r="B72" s="16" t="s">
        <v>80</v>
      </c>
      <c r="C72" s="16" t="s">
        <v>67</v>
      </c>
      <c r="D72" s="16" t="s">
        <v>84</v>
      </c>
      <c r="E72" s="17" t="s">
        <v>69</v>
      </c>
      <c r="F72" s="23" t="s">
        <v>16</v>
      </c>
      <c r="G72" s="23"/>
      <c r="H72" s="17" t="s">
        <v>14</v>
      </c>
      <c r="I72" s="25">
        <v>3421.5</v>
      </c>
      <c r="J72" s="25"/>
      <c r="K72" s="20" t="s">
        <v>9</v>
      </c>
      <c r="L72" s="21">
        <v>135324.04999999999</v>
      </c>
    </row>
    <row r="73" spans="1:12" ht="81.599999999999994" x14ac:dyDescent="0.3">
      <c r="A73" s="15" t="s">
        <v>65</v>
      </c>
      <c r="B73" s="16" t="s">
        <v>80</v>
      </c>
      <c r="C73" s="16" t="s">
        <v>67</v>
      </c>
      <c r="D73" s="16" t="s">
        <v>85</v>
      </c>
      <c r="E73" s="17" t="s">
        <v>69</v>
      </c>
      <c r="F73" s="23" t="s">
        <v>16</v>
      </c>
      <c r="G73" s="23"/>
      <c r="H73" s="17" t="s">
        <v>14</v>
      </c>
      <c r="I73" s="25">
        <v>3301.5</v>
      </c>
      <c r="J73" s="25"/>
      <c r="K73" s="20" t="s">
        <v>9</v>
      </c>
      <c r="L73" s="21">
        <v>132022.54999999999</v>
      </c>
    </row>
    <row r="74" spans="1:12" ht="81.599999999999994" x14ac:dyDescent="0.3">
      <c r="A74" s="15" t="s">
        <v>65</v>
      </c>
      <c r="B74" s="16" t="s">
        <v>80</v>
      </c>
      <c r="C74" s="16" t="s">
        <v>67</v>
      </c>
      <c r="D74" s="16" t="s">
        <v>86</v>
      </c>
      <c r="E74" s="17" t="s">
        <v>69</v>
      </c>
      <c r="F74" s="23" t="s">
        <v>16</v>
      </c>
      <c r="G74" s="23"/>
      <c r="H74" s="17" t="s">
        <v>14</v>
      </c>
      <c r="I74" s="25">
        <v>1308.33</v>
      </c>
      <c r="J74" s="25"/>
      <c r="K74" s="20" t="s">
        <v>9</v>
      </c>
      <c r="L74" s="21">
        <v>130714.22</v>
      </c>
    </row>
    <row r="75" spans="1:12" ht="81.599999999999994" x14ac:dyDescent="0.3">
      <c r="A75" s="15" t="s">
        <v>65</v>
      </c>
      <c r="B75" s="16" t="s">
        <v>80</v>
      </c>
      <c r="C75" s="16" t="s">
        <v>67</v>
      </c>
      <c r="D75" s="16" t="s">
        <v>87</v>
      </c>
      <c r="E75" s="17" t="s">
        <v>69</v>
      </c>
      <c r="F75" s="23" t="s">
        <v>16</v>
      </c>
      <c r="G75" s="23"/>
      <c r="H75" s="17" t="s">
        <v>14</v>
      </c>
      <c r="I75" s="25">
        <v>5910</v>
      </c>
      <c r="J75" s="25"/>
      <c r="K75" s="20" t="s">
        <v>9</v>
      </c>
      <c r="L75" s="21">
        <v>124804.22</v>
      </c>
    </row>
    <row r="76" spans="1:12" ht="91.8" x14ac:dyDescent="0.3">
      <c r="A76" s="15" t="s">
        <v>88</v>
      </c>
      <c r="B76" s="16" t="s">
        <v>89</v>
      </c>
      <c r="C76" s="16" t="s">
        <v>67</v>
      </c>
      <c r="D76" s="16" t="s">
        <v>30</v>
      </c>
      <c r="E76" s="17" t="s">
        <v>69</v>
      </c>
      <c r="F76" s="23" t="s">
        <v>16</v>
      </c>
      <c r="G76" s="23"/>
      <c r="H76" s="17" t="s">
        <v>14</v>
      </c>
      <c r="I76" s="25">
        <v>1216.9000000000001</v>
      </c>
      <c r="J76" s="25"/>
      <c r="K76" s="20" t="s">
        <v>9</v>
      </c>
      <c r="L76" s="21">
        <v>123587.32</v>
      </c>
    </row>
    <row r="77" spans="1:12" ht="81.599999999999994" hidden="1" x14ac:dyDescent="0.3">
      <c r="A77" s="15" t="s">
        <v>90</v>
      </c>
      <c r="B77" s="16" t="s">
        <v>91</v>
      </c>
      <c r="C77" s="16" t="s">
        <v>92</v>
      </c>
      <c r="D77" s="16" t="s">
        <v>93</v>
      </c>
      <c r="E77" s="17" t="s">
        <v>14</v>
      </c>
      <c r="F77" s="22">
        <v>73.75</v>
      </c>
      <c r="G77" s="22"/>
      <c r="H77" s="17" t="s">
        <v>14</v>
      </c>
      <c r="I77" s="19" t="s">
        <v>16</v>
      </c>
      <c r="J77" s="19"/>
      <c r="K77" s="20" t="s">
        <v>9</v>
      </c>
      <c r="L77" s="21">
        <v>123661.07</v>
      </c>
    </row>
    <row r="78" spans="1:12" ht="122.4" hidden="1" x14ac:dyDescent="0.3">
      <c r="A78" s="15" t="s">
        <v>90</v>
      </c>
      <c r="B78" s="16" t="s">
        <v>91</v>
      </c>
      <c r="C78" s="16" t="s">
        <v>94</v>
      </c>
      <c r="D78" s="16" t="s">
        <v>95</v>
      </c>
      <c r="E78" s="17" t="s">
        <v>14</v>
      </c>
      <c r="F78" s="22">
        <v>380.56</v>
      </c>
      <c r="G78" s="22"/>
      <c r="H78" s="17" t="s">
        <v>14</v>
      </c>
      <c r="I78" s="19" t="s">
        <v>16</v>
      </c>
      <c r="J78" s="19"/>
      <c r="K78" s="20" t="s">
        <v>9</v>
      </c>
      <c r="L78" s="21">
        <v>124041.63</v>
      </c>
    </row>
    <row r="79" spans="1:12" ht="163.19999999999999" hidden="1" x14ac:dyDescent="0.3">
      <c r="A79" s="15" t="s">
        <v>96</v>
      </c>
      <c r="B79" s="16" t="s">
        <v>97</v>
      </c>
      <c r="C79" s="16" t="s">
        <v>98</v>
      </c>
      <c r="D79" s="16" t="s">
        <v>99</v>
      </c>
      <c r="E79" s="17" t="s">
        <v>14</v>
      </c>
      <c r="F79" s="18">
        <v>18253.5</v>
      </c>
      <c r="G79" s="18"/>
      <c r="H79" s="17" t="s">
        <v>15</v>
      </c>
      <c r="I79" s="19" t="s">
        <v>16</v>
      </c>
      <c r="J79" s="19"/>
      <c r="K79" s="20" t="s">
        <v>9</v>
      </c>
      <c r="L79" s="21">
        <v>142295.13</v>
      </c>
    </row>
    <row r="80" spans="1:12" ht="163.19999999999999" hidden="1" x14ac:dyDescent="0.3">
      <c r="A80" s="15" t="s">
        <v>96</v>
      </c>
      <c r="B80" s="16" t="s">
        <v>97</v>
      </c>
      <c r="C80" s="16" t="s">
        <v>100</v>
      </c>
      <c r="D80" s="16" t="s">
        <v>99</v>
      </c>
      <c r="E80" s="17" t="s">
        <v>14</v>
      </c>
      <c r="F80" s="18">
        <v>1262</v>
      </c>
      <c r="G80" s="18"/>
      <c r="H80" s="17" t="s">
        <v>15</v>
      </c>
      <c r="I80" s="19" t="s">
        <v>16</v>
      </c>
      <c r="J80" s="19"/>
      <c r="K80" s="20" t="s">
        <v>9</v>
      </c>
      <c r="L80" s="21">
        <v>143557.13</v>
      </c>
    </row>
    <row r="81" spans="1:12" ht="163.19999999999999" hidden="1" x14ac:dyDescent="0.3">
      <c r="A81" s="15" t="s">
        <v>96</v>
      </c>
      <c r="B81" s="16" t="s">
        <v>97</v>
      </c>
      <c r="C81" s="16" t="s">
        <v>101</v>
      </c>
      <c r="D81" s="16" t="s">
        <v>99</v>
      </c>
      <c r="E81" s="17" t="s">
        <v>14</v>
      </c>
      <c r="F81" s="18">
        <v>5305</v>
      </c>
      <c r="G81" s="18"/>
      <c r="H81" s="17" t="s">
        <v>15</v>
      </c>
      <c r="I81" s="19" t="s">
        <v>16</v>
      </c>
      <c r="J81" s="19"/>
      <c r="K81" s="20" t="s">
        <v>9</v>
      </c>
      <c r="L81" s="21">
        <v>148862.13</v>
      </c>
    </row>
    <row r="82" spans="1:12" ht="163.19999999999999" hidden="1" x14ac:dyDescent="0.3">
      <c r="A82" s="15" t="s">
        <v>96</v>
      </c>
      <c r="B82" s="16" t="s">
        <v>97</v>
      </c>
      <c r="C82" s="16" t="s">
        <v>102</v>
      </c>
      <c r="D82" s="16" t="s">
        <v>99</v>
      </c>
      <c r="E82" s="17" t="s">
        <v>14</v>
      </c>
      <c r="F82" s="22">
        <v>726.25</v>
      </c>
      <c r="G82" s="22"/>
      <c r="H82" s="17" t="s">
        <v>15</v>
      </c>
      <c r="I82" s="19" t="s">
        <v>16</v>
      </c>
      <c r="J82" s="19"/>
      <c r="K82" s="20" t="s">
        <v>9</v>
      </c>
      <c r="L82" s="21">
        <v>149588.38</v>
      </c>
    </row>
    <row r="83" spans="1:12" ht="163.19999999999999" hidden="1" x14ac:dyDescent="0.3">
      <c r="A83" s="15" t="s">
        <v>96</v>
      </c>
      <c r="B83" s="16" t="s">
        <v>97</v>
      </c>
      <c r="C83" s="16" t="s">
        <v>103</v>
      </c>
      <c r="D83" s="16" t="s">
        <v>99</v>
      </c>
      <c r="E83" s="17" t="s">
        <v>14</v>
      </c>
      <c r="F83" s="18">
        <v>1470</v>
      </c>
      <c r="G83" s="18"/>
      <c r="H83" s="17" t="s">
        <v>15</v>
      </c>
      <c r="I83" s="19" t="s">
        <v>16</v>
      </c>
      <c r="J83" s="19"/>
      <c r="K83" s="20" t="s">
        <v>9</v>
      </c>
      <c r="L83" s="21">
        <v>151058.38</v>
      </c>
    </row>
    <row r="84" spans="1:12" ht="163.19999999999999" hidden="1" x14ac:dyDescent="0.3">
      <c r="A84" s="15" t="s">
        <v>96</v>
      </c>
      <c r="B84" s="16" t="s">
        <v>97</v>
      </c>
      <c r="C84" s="16" t="s">
        <v>104</v>
      </c>
      <c r="D84" s="16" t="s">
        <v>99</v>
      </c>
      <c r="E84" s="17" t="s">
        <v>14</v>
      </c>
      <c r="F84" s="18">
        <v>1917</v>
      </c>
      <c r="G84" s="18"/>
      <c r="H84" s="17" t="s">
        <v>15</v>
      </c>
      <c r="I84" s="19" t="s">
        <v>16</v>
      </c>
      <c r="J84" s="19"/>
      <c r="K84" s="20" t="s">
        <v>9</v>
      </c>
      <c r="L84" s="21">
        <v>152975.38</v>
      </c>
    </row>
    <row r="85" spans="1:12" ht="163.19999999999999" hidden="1" x14ac:dyDescent="0.3">
      <c r="A85" s="15" t="s">
        <v>96</v>
      </c>
      <c r="B85" s="16" t="s">
        <v>97</v>
      </c>
      <c r="C85" s="16" t="s">
        <v>105</v>
      </c>
      <c r="D85" s="16" t="s">
        <v>99</v>
      </c>
      <c r="E85" s="17" t="s">
        <v>14</v>
      </c>
      <c r="F85" s="18">
        <v>1684.25</v>
      </c>
      <c r="G85" s="18"/>
      <c r="H85" s="17" t="s">
        <v>15</v>
      </c>
      <c r="I85" s="19" t="s">
        <v>16</v>
      </c>
      <c r="J85" s="19"/>
      <c r="K85" s="20" t="s">
        <v>9</v>
      </c>
      <c r="L85" s="21">
        <v>154659.63</v>
      </c>
    </row>
    <row r="86" spans="1:12" ht="163.19999999999999" hidden="1" x14ac:dyDescent="0.3">
      <c r="A86" s="15" t="s">
        <v>96</v>
      </c>
      <c r="B86" s="16" t="s">
        <v>97</v>
      </c>
      <c r="C86" s="16" t="s">
        <v>106</v>
      </c>
      <c r="D86" s="16" t="s">
        <v>99</v>
      </c>
      <c r="E86" s="17" t="s">
        <v>14</v>
      </c>
      <c r="F86" s="18">
        <v>3287.25</v>
      </c>
      <c r="G86" s="18"/>
      <c r="H86" s="17" t="s">
        <v>15</v>
      </c>
      <c r="I86" s="19" t="s">
        <v>16</v>
      </c>
      <c r="J86" s="19"/>
      <c r="K86" s="20" t="s">
        <v>9</v>
      </c>
      <c r="L86" s="21">
        <v>157946.88</v>
      </c>
    </row>
    <row r="87" spans="1:12" ht="163.19999999999999" hidden="1" x14ac:dyDescent="0.3">
      <c r="A87" s="15" t="s">
        <v>96</v>
      </c>
      <c r="B87" s="16" t="s">
        <v>97</v>
      </c>
      <c r="C87" s="16" t="s">
        <v>107</v>
      </c>
      <c r="D87" s="16" t="s">
        <v>99</v>
      </c>
      <c r="E87" s="17" t="s">
        <v>14</v>
      </c>
      <c r="F87" s="22">
        <v>170.8</v>
      </c>
      <c r="G87" s="22"/>
      <c r="H87" s="17" t="s">
        <v>15</v>
      </c>
      <c r="I87" s="19" t="s">
        <v>16</v>
      </c>
      <c r="J87" s="19"/>
      <c r="K87" s="20" t="s">
        <v>9</v>
      </c>
      <c r="L87" s="21">
        <v>158117.68</v>
      </c>
    </row>
    <row r="88" spans="1:12" ht="163.19999999999999" hidden="1" x14ac:dyDescent="0.3">
      <c r="A88" s="15" t="s">
        <v>96</v>
      </c>
      <c r="B88" s="16" t="s">
        <v>97</v>
      </c>
      <c r="C88" s="16" t="s">
        <v>108</v>
      </c>
      <c r="D88" s="16" t="s">
        <v>99</v>
      </c>
      <c r="E88" s="17" t="s">
        <v>14</v>
      </c>
      <c r="F88" s="22">
        <v>867.5</v>
      </c>
      <c r="G88" s="22"/>
      <c r="H88" s="17" t="s">
        <v>15</v>
      </c>
      <c r="I88" s="19" t="s">
        <v>16</v>
      </c>
      <c r="J88" s="19"/>
      <c r="K88" s="20" t="s">
        <v>9</v>
      </c>
      <c r="L88" s="21">
        <v>158985.18</v>
      </c>
    </row>
    <row r="89" spans="1:12" ht="91.8" x14ac:dyDescent="0.3">
      <c r="A89" s="15" t="s">
        <v>109</v>
      </c>
      <c r="B89" s="16" t="s">
        <v>110</v>
      </c>
      <c r="C89" s="16" t="s">
        <v>67</v>
      </c>
      <c r="D89" s="16" t="s">
        <v>111</v>
      </c>
      <c r="E89" s="17" t="s">
        <v>69</v>
      </c>
      <c r="F89" s="23" t="s">
        <v>16</v>
      </c>
      <c r="G89" s="23"/>
      <c r="H89" s="17" t="s">
        <v>14</v>
      </c>
      <c r="I89" s="25">
        <v>1133</v>
      </c>
      <c r="J89" s="25"/>
      <c r="K89" s="20" t="s">
        <v>9</v>
      </c>
      <c r="L89" s="21">
        <v>157852.18</v>
      </c>
    </row>
    <row r="90" spans="1:12" ht="81.599999999999994" x14ac:dyDescent="0.3">
      <c r="A90" s="15" t="s">
        <v>109</v>
      </c>
      <c r="B90" s="16" t="s">
        <v>110</v>
      </c>
      <c r="C90" s="16" t="s">
        <v>67</v>
      </c>
      <c r="D90" s="16" t="s">
        <v>35</v>
      </c>
      <c r="E90" s="17" t="s">
        <v>69</v>
      </c>
      <c r="F90" s="23" t="s">
        <v>16</v>
      </c>
      <c r="G90" s="23"/>
      <c r="H90" s="17" t="s">
        <v>14</v>
      </c>
      <c r="I90" s="24">
        <v>176.3</v>
      </c>
      <c r="J90" s="24"/>
      <c r="K90" s="20" t="s">
        <v>9</v>
      </c>
      <c r="L90" s="21">
        <v>157675.88</v>
      </c>
    </row>
    <row r="91" spans="1:12" ht="81.599999999999994" x14ac:dyDescent="0.3">
      <c r="A91" s="15" t="s">
        <v>109</v>
      </c>
      <c r="B91" s="16" t="s">
        <v>110</v>
      </c>
      <c r="C91" s="16" t="s">
        <v>67</v>
      </c>
      <c r="D91" s="16" t="s">
        <v>31</v>
      </c>
      <c r="E91" s="17" t="s">
        <v>69</v>
      </c>
      <c r="F91" s="23" t="s">
        <v>16</v>
      </c>
      <c r="G91" s="23"/>
      <c r="H91" s="17" t="s">
        <v>14</v>
      </c>
      <c r="I91" s="24">
        <v>171</v>
      </c>
      <c r="J91" s="24"/>
      <c r="K91" s="20" t="s">
        <v>9</v>
      </c>
      <c r="L91" s="21">
        <v>157504.88</v>
      </c>
    </row>
    <row r="92" spans="1:12" ht="91.8" x14ac:dyDescent="0.3">
      <c r="A92" s="15" t="s">
        <v>109</v>
      </c>
      <c r="B92" s="16" t="s">
        <v>112</v>
      </c>
      <c r="C92" s="16" t="s">
        <v>67</v>
      </c>
      <c r="D92" s="16" t="s">
        <v>22</v>
      </c>
      <c r="E92" s="17" t="s">
        <v>69</v>
      </c>
      <c r="F92" s="23" t="s">
        <v>16</v>
      </c>
      <c r="G92" s="23"/>
      <c r="H92" s="17" t="s">
        <v>14</v>
      </c>
      <c r="I92" s="24">
        <v>198.4</v>
      </c>
      <c r="J92" s="24"/>
      <c r="K92" s="20" t="s">
        <v>9</v>
      </c>
      <c r="L92" s="21">
        <v>157306.48000000001</v>
      </c>
    </row>
    <row r="93" spans="1:12" ht="91.8" x14ac:dyDescent="0.3">
      <c r="A93" s="15" t="s">
        <v>109</v>
      </c>
      <c r="B93" s="16" t="s">
        <v>112</v>
      </c>
      <c r="C93" s="16" t="s">
        <v>67</v>
      </c>
      <c r="D93" s="16" t="s">
        <v>71</v>
      </c>
      <c r="E93" s="17" t="s">
        <v>69</v>
      </c>
      <c r="F93" s="23" t="s">
        <v>16</v>
      </c>
      <c r="G93" s="23"/>
      <c r="H93" s="17" t="s">
        <v>14</v>
      </c>
      <c r="I93" s="24">
        <v>422.4</v>
      </c>
      <c r="J93" s="24"/>
      <c r="K93" s="20" t="s">
        <v>9</v>
      </c>
      <c r="L93" s="21">
        <v>156884.07999999999</v>
      </c>
    </row>
    <row r="94" spans="1:12" ht="91.8" x14ac:dyDescent="0.3">
      <c r="A94" s="15" t="s">
        <v>109</v>
      </c>
      <c r="B94" s="16" t="s">
        <v>112</v>
      </c>
      <c r="C94" s="16" t="s">
        <v>67</v>
      </c>
      <c r="D94" s="16" t="s">
        <v>20</v>
      </c>
      <c r="E94" s="17" t="s">
        <v>69</v>
      </c>
      <c r="F94" s="23" t="s">
        <v>16</v>
      </c>
      <c r="G94" s="23"/>
      <c r="H94" s="17" t="s">
        <v>14</v>
      </c>
      <c r="I94" s="25">
        <v>1470</v>
      </c>
      <c r="J94" s="25"/>
      <c r="K94" s="20" t="s">
        <v>9</v>
      </c>
      <c r="L94" s="21">
        <v>155414.07999999999</v>
      </c>
    </row>
    <row r="95" spans="1:12" ht="81.599999999999994" x14ac:dyDescent="0.3">
      <c r="A95" s="15" t="s">
        <v>109</v>
      </c>
      <c r="B95" s="16" t="s">
        <v>112</v>
      </c>
      <c r="C95" s="16" t="s">
        <v>67</v>
      </c>
      <c r="D95" s="16" t="s">
        <v>18</v>
      </c>
      <c r="E95" s="17" t="s">
        <v>69</v>
      </c>
      <c r="F95" s="23" t="s">
        <v>16</v>
      </c>
      <c r="G95" s="23"/>
      <c r="H95" s="17" t="s">
        <v>14</v>
      </c>
      <c r="I95" s="24">
        <v>147.1</v>
      </c>
      <c r="J95" s="24"/>
      <c r="K95" s="20" t="s">
        <v>9</v>
      </c>
      <c r="L95" s="21">
        <v>155266.98000000001</v>
      </c>
    </row>
    <row r="96" spans="1:12" ht="91.8" x14ac:dyDescent="0.3">
      <c r="A96" s="15" t="s">
        <v>109</v>
      </c>
      <c r="B96" s="16" t="s">
        <v>112</v>
      </c>
      <c r="C96" s="16" t="s">
        <v>67</v>
      </c>
      <c r="D96" s="16" t="s">
        <v>72</v>
      </c>
      <c r="E96" s="17" t="s">
        <v>69</v>
      </c>
      <c r="F96" s="23" t="s">
        <v>16</v>
      </c>
      <c r="G96" s="23"/>
      <c r="H96" s="17" t="s">
        <v>14</v>
      </c>
      <c r="I96" s="24">
        <v>486</v>
      </c>
      <c r="J96" s="24"/>
      <c r="K96" s="20" t="s">
        <v>9</v>
      </c>
      <c r="L96" s="21">
        <v>154780.98000000001</v>
      </c>
    </row>
    <row r="97" spans="1:12" ht="91.8" x14ac:dyDescent="0.3">
      <c r="A97" s="15" t="s">
        <v>109</v>
      </c>
      <c r="B97" s="16" t="s">
        <v>112</v>
      </c>
      <c r="C97" s="16" t="s">
        <v>67</v>
      </c>
      <c r="D97" s="16" t="s">
        <v>30</v>
      </c>
      <c r="E97" s="17" t="s">
        <v>69</v>
      </c>
      <c r="F97" s="23" t="s">
        <v>16</v>
      </c>
      <c r="G97" s="23"/>
      <c r="H97" s="17" t="s">
        <v>14</v>
      </c>
      <c r="I97" s="25">
        <v>4867.6000000000004</v>
      </c>
      <c r="J97" s="25"/>
      <c r="K97" s="20" t="s">
        <v>9</v>
      </c>
      <c r="L97" s="21">
        <v>149913.38</v>
      </c>
    </row>
    <row r="98" spans="1:12" ht="81.599999999999994" x14ac:dyDescent="0.3">
      <c r="A98" s="15" t="s">
        <v>109</v>
      </c>
      <c r="B98" s="16" t="s">
        <v>112</v>
      </c>
      <c r="C98" s="16" t="s">
        <v>67</v>
      </c>
      <c r="D98" s="16" t="s">
        <v>19</v>
      </c>
      <c r="E98" s="17" t="s">
        <v>69</v>
      </c>
      <c r="F98" s="23" t="s">
        <v>16</v>
      </c>
      <c r="G98" s="23"/>
      <c r="H98" s="17" t="s">
        <v>14</v>
      </c>
      <c r="I98" s="24">
        <v>185</v>
      </c>
      <c r="J98" s="24"/>
      <c r="K98" s="20" t="s">
        <v>9</v>
      </c>
      <c r="L98" s="21">
        <v>149728.38</v>
      </c>
    </row>
    <row r="99" spans="1:12" ht="81.599999999999994" x14ac:dyDescent="0.3">
      <c r="A99" s="15" t="s">
        <v>113</v>
      </c>
      <c r="B99" s="16" t="s">
        <v>114</v>
      </c>
      <c r="C99" s="16" t="s">
        <v>67</v>
      </c>
      <c r="D99" s="16" t="s">
        <v>32</v>
      </c>
      <c r="E99" s="17" t="s">
        <v>69</v>
      </c>
      <c r="F99" s="23" t="s">
        <v>16</v>
      </c>
      <c r="G99" s="23"/>
      <c r="H99" s="17" t="s">
        <v>14</v>
      </c>
      <c r="I99" s="24">
        <v>180</v>
      </c>
      <c r="J99" s="24"/>
      <c r="K99" s="20" t="s">
        <v>9</v>
      </c>
      <c r="L99" s="21">
        <v>149548.38</v>
      </c>
    </row>
    <row r="100" spans="1:12" ht="81.599999999999994" hidden="1" x14ac:dyDescent="0.3">
      <c r="A100" s="15" t="s">
        <v>115</v>
      </c>
      <c r="B100" s="16" t="s">
        <v>116</v>
      </c>
      <c r="C100" s="16" t="s">
        <v>117</v>
      </c>
      <c r="D100" s="16" t="s">
        <v>118</v>
      </c>
      <c r="E100" s="17" t="s">
        <v>14</v>
      </c>
      <c r="F100" s="22">
        <v>442.5</v>
      </c>
      <c r="G100" s="22"/>
      <c r="H100" s="17" t="s">
        <v>14</v>
      </c>
      <c r="I100" s="19" t="s">
        <v>16</v>
      </c>
      <c r="J100" s="19"/>
      <c r="K100" s="20" t="s">
        <v>9</v>
      </c>
      <c r="L100" s="21">
        <v>149990.88</v>
      </c>
    </row>
    <row r="101" spans="1:12" ht="112.2" hidden="1" x14ac:dyDescent="0.3">
      <c r="A101" s="15" t="s">
        <v>115</v>
      </c>
      <c r="B101" s="16" t="s">
        <v>116</v>
      </c>
      <c r="C101" s="16" t="s">
        <v>119</v>
      </c>
      <c r="D101" s="16" t="s">
        <v>120</v>
      </c>
      <c r="E101" s="17" t="s">
        <v>14</v>
      </c>
      <c r="F101" s="18">
        <v>1250</v>
      </c>
      <c r="G101" s="18"/>
      <c r="H101" s="17" t="s">
        <v>14</v>
      </c>
      <c r="I101" s="19" t="s">
        <v>16</v>
      </c>
      <c r="J101" s="19"/>
      <c r="K101" s="20" t="s">
        <v>9</v>
      </c>
      <c r="L101" s="21">
        <v>151240.88</v>
      </c>
    </row>
    <row r="102" spans="1:12" ht="112.2" hidden="1" x14ac:dyDescent="0.3">
      <c r="A102" s="15" t="s">
        <v>115</v>
      </c>
      <c r="B102" s="16" t="s">
        <v>116</v>
      </c>
      <c r="C102" s="16" t="s">
        <v>121</v>
      </c>
      <c r="D102" s="16" t="s">
        <v>122</v>
      </c>
      <c r="E102" s="17" t="s">
        <v>14</v>
      </c>
      <c r="F102" s="22">
        <v>625</v>
      </c>
      <c r="G102" s="22"/>
      <c r="H102" s="17" t="s">
        <v>14</v>
      </c>
      <c r="I102" s="19" t="s">
        <v>16</v>
      </c>
      <c r="J102" s="19"/>
      <c r="K102" s="20" t="s">
        <v>9</v>
      </c>
      <c r="L102" s="21">
        <v>151865.88</v>
      </c>
    </row>
    <row r="103" spans="1:12" ht="112.2" hidden="1" x14ac:dyDescent="0.3">
      <c r="A103" s="15" t="s">
        <v>115</v>
      </c>
      <c r="B103" s="16" t="s">
        <v>116</v>
      </c>
      <c r="C103" s="16" t="s">
        <v>123</v>
      </c>
      <c r="D103" s="16" t="s">
        <v>124</v>
      </c>
      <c r="E103" s="17" t="s">
        <v>14</v>
      </c>
      <c r="F103" s="22">
        <v>304.5</v>
      </c>
      <c r="G103" s="22"/>
      <c r="H103" s="17" t="s">
        <v>14</v>
      </c>
      <c r="I103" s="19" t="s">
        <v>16</v>
      </c>
      <c r="J103" s="19"/>
      <c r="K103" s="20" t="s">
        <v>9</v>
      </c>
      <c r="L103" s="21">
        <v>152170.38</v>
      </c>
    </row>
    <row r="104" spans="1:12" ht="112.2" hidden="1" x14ac:dyDescent="0.3">
      <c r="A104" s="15" t="s">
        <v>115</v>
      </c>
      <c r="B104" s="16" t="s">
        <v>116</v>
      </c>
      <c r="C104" s="16" t="s">
        <v>125</v>
      </c>
      <c r="D104" s="16" t="s">
        <v>126</v>
      </c>
      <c r="E104" s="17" t="s">
        <v>14</v>
      </c>
      <c r="F104" s="22">
        <v>325.5</v>
      </c>
      <c r="G104" s="22"/>
      <c r="H104" s="17" t="s">
        <v>14</v>
      </c>
      <c r="I104" s="19" t="s">
        <v>16</v>
      </c>
      <c r="J104" s="19"/>
      <c r="K104" s="20" t="s">
        <v>9</v>
      </c>
      <c r="L104" s="21">
        <v>152495.88</v>
      </c>
    </row>
    <row r="105" spans="1:12" ht="122.4" hidden="1" x14ac:dyDescent="0.3">
      <c r="A105" s="15" t="s">
        <v>115</v>
      </c>
      <c r="B105" s="16" t="s">
        <v>116</v>
      </c>
      <c r="C105" s="16" t="s">
        <v>127</v>
      </c>
      <c r="D105" s="16" t="s">
        <v>128</v>
      </c>
      <c r="E105" s="17" t="s">
        <v>14</v>
      </c>
      <c r="F105" s="22">
        <v>750</v>
      </c>
      <c r="G105" s="22"/>
      <c r="H105" s="17" t="s">
        <v>14</v>
      </c>
      <c r="I105" s="19" t="s">
        <v>16</v>
      </c>
      <c r="J105" s="19"/>
      <c r="K105" s="20" t="s">
        <v>9</v>
      </c>
      <c r="L105" s="21">
        <v>153245.88</v>
      </c>
    </row>
    <row r="106" spans="1:12" ht="102" hidden="1" x14ac:dyDescent="0.3">
      <c r="A106" s="15" t="s">
        <v>115</v>
      </c>
      <c r="B106" s="16" t="s">
        <v>116</v>
      </c>
      <c r="C106" s="16" t="s">
        <v>129</v>
      </c>
      <c r="D106" s="16" t="s">
        <v>130</v>
      </c>
      <c r="E106" s="17" t="s">
        <v>14</v>
      </c>
      <c r="F106" s="22">
        <v>322</v>
      </c>
      <c r="G106" s="22"/>
      <c r="H106" s="17" t="s">
        <v>14</v>
      </c>
      <c r="I106" s="19" t="s">
        <v>16</v>
      </c>
      <c r="J106" s="19"/>
      <c r="K106" s="20" t="s">
        <v>9</v>
      </c>
      <c r="L106" s="21">
        <v>153567.88</v>
      </c>
    </row>
    <row r="107" spans="1:12" ht="132.6" hidden="1" x14ac:dyDescent="0.3">
      <c r="A107" s="15" t="s">
        <v>115</v>
      </c>
      <c r="B107" s="16" t="s">
        <v>116</v>
      </c>
      <c r="C107" s="16" t="s">
        <v>131</v>
      </c>
      <c r="D107" s="16" t="s">
        <v>132</v>
      </c>
      <c r="E107" s="17" t="s">
        <v>14</v>
      </c>
      <c r="F107" s="18">
        <v>1640.15</v>
      </c>
      <c r="G107" s="18"/>
      <c r="H107" s="17" t="s">
        <v>14</v>
      </c>
      <c r="I107" s="19" t="s">
        <v>16</v>
      </c>
      <c r="J107" s="19"/>
      <c r="K107" s="20" t="s">
        <v>9</v>
      </c>
      <c r="L107" s="21">
        <v>155208.03</v>
      </c>
    </row>
    <row r="108" spans="1:12" ht="122.4" hidden="1" x14ac:dyDescent="0.3">
      <c r="A108" s="15" t="s">
        <v>115</v>
      </c>
      <c r="B108" s="16" t="s">
        <v>116</v>
      </c>
      <c r="C108" s="16" t="s">
        <v>133</v>
      </c>
      <c r="D108" s="16" t="s">
        <v>134</v>
      </c>
      <c r="E108" s="17" t="s">
        <v>14</v>
      </c>
      <c r="F108" s="22">
        <v>625</v>
      </c>
      <c r="G108" s="22"/>
      <c r="H108" s="17" t="s">
        <v>14</v>
      </c>
      <c r="I108" s="19" t="s">
        <v>16</v>
      </c>
      <c r="J108" s="19"/>
      <c r="K108" s="20" t="s">
        <v>9</v>
      </c>
      <c r="L108" s="21">
        <v>155833.03</v>
      </c>
    </row>
    <row r="109" spans="1:12" ht="122.4" hidden="1" x14ac:dyDescent="0.3">
      <c r="A109" s="15" t="s">
        <v>115</v>
      </c>
      <c r="B109" s="16" t="s">
        <v>116</v>
      </c>
      <c r="C109" s="16" t="s">
        <v>135</v>
      </c>
      <c r="D109" s="16" t="s">
        <v>136</v>
      </c>
      <c r="E109" s="17" t="s">
        <v>14</v>
      </c>
      <c r="F109" s="18">
        <v>4168.1400000000003</v>
      </c>
      <c r="G109" s="18"/>
      <c r="H109" s="17" t="s">
        <v>14</v>
      </c>
      <c r="I109" s="19" t="s">
        <v>16</v>
      </c>
      <c r="J109" s="19"/>
      <c r="K109" s="20" t="s">
        <v>9</v>
      </c>
      <c r="L109" s="21">
        <v>160001.17000000001</v>
      </c>
    </row>
    <row r="110" spans="1:12" ht="122.4" hidden="1" x14ac:dyDescent="0.3">
      <c r="A110" s="15" t="s">
        <v>115</v>
      </c>
      <c r="B110" s="16" t="s">
        <v>116</v>
      </c>
      <c r="C110" s="16" t="s">
        <v>137</v>
      </c>
      <c r="D110" s="16" t="s">
        <v>138</v>
      </c>
      <c r="E110" s="17" t="s">
        <v>14</v>
      </c>
      <c r="F110" s="18">
        <v>5125</v>
      </c>
      <c r="G110" s="18"/>
      <c r="H110" s="17" t="s">
        <v>14</v>
      </c>
      <c r="I110" s="19" t="s">
        <v>16</v>
      </c>
      <c r="J110" s="19"/>
      <c r="K110" s="20" t="s">
        <v>9</v>
      </c>
      <c r="L110" s="21">
        <v>165126.17000000001</v>
      </c>
    </row>
    <row r="111" spans="1:12" ht="112.2" hidden="1" x14ac:dyDescent="0.3">
      <c r="A111" s="15" t="s">
        <v>115</v>
      </c>
      <c r="B111" s="16" t="s">
        <v>116</v>
      </c>
      <c r="C111" s="16" t="s">
        <v>139</v>
      </c>
      <c r="D111" s="16" t="s">
        <v>140</v>
      </c>
      <c r="E111" s="17" t="s">
        <v>14</v>
      </c>
      <c r="F111" s="22">
        <v>729.45</v>
      </c>
      <c r="G111" s="22"/>
      <c r="H111" s="17" t="s">
        <v>14</v>
      </c>
      <c r="I111" s="19" t="s">
        <v>16</v>
      </c>
      <c r="J111" s="19"/>
      <c r="K111" s="20" t="s">
        <v>9</v>
      </c>
      <c r="L111" s="21">
        <v>165855.62</v>
      </c>
    </row>
    <row r="112" spans="1:12" ht="112.2" hidden="1" x14ac:dyDescent="0.3">
      <c r="A112" s="15" t="s">
        <v>115</v>
      </c>
      <c r="B112" s="16" t="s">
        <v>116</v>
      </c>
      <c r="C112" s="16" t="s">
        <v>141</v>
      </c>
      <c r="D112" s="16" t="s">
        <v>142</v>
      </c>
      <c r="E112" s="17" t="s">
        <v>14</v>
      </c>
      <c r="F112" s="22">
        <v>819.4</v>
      </c>
      <c r="G112" s="22"/>
      <c r="H112" s="17" t="s">
        <v>14</v>
      </c>
      <c r="I112" s="19" t="s">
        <v>16</v>
      </c>
      <c r="J112" s="19"/>
      <c r="K112" s="20" t="s">
        <v>9</v>
      </c>
      <c r="L112" s="21">
        <v>166675.01999999999</v>
      </c>
    </row>
    <row r="113" spans="1:12" ht="132.6" hidden="1" x14ac:dyDescent="0.3">
      <c r="A113" s="15" t="s">
        <v>115</v>
      </c>
      <c r="B113" s="16" t="s">
        <v>116</v>
      </c>
      <c r="C113" s="16" t="s">
        <v>143</v>
      </c>
      <c r="D113" s="16" t="s">
        <v>144</v>
      </c>
      <c r="E113" s="17" t="s">
        <v>14</v>
      </c>
      <c r="F113" s="22">
        <v>368.6</v>
      </c>
      <c r="G113" s="22"/>
      <c r="H113" s="17" t="s">
        <v>14</v>
      </c>
      <c r="I113" s="19" t="s">
        <v>16</v>
      </c>
      <c r="J113" s="19"/>
      <c r="K113" s="20" t="s">
        <v>9</v>
      </c>
      <c r="L113" s="21">
        <v>167043.62</v>
      </c>
    </row>
    <row r="114" spans="1:12" ht="91.8" x14ac:dyDescent="0.3">
      <c r="A114" s="15" t="s">
        <v>115</v>
      </c>
      <c r="B114" s="16" t="s">
        <v>145</v>
      </c>
      <c r="C114" s="16" t="s">
        <v>67</v>
      </c>
      <c r="D114" s="16" t="s">
        <v>30</v>
      </c>
      <c r="E114" s="17" t="s">
        <v>69</v>
      </c>
      <c r="F114" s="23" t="s">
        <v>16</v>
      </c>
      <c r="G114" s="23"/>
      <c r="H114" s="17" t="s">
        <v>14</v>
      </c>
      <c r="I114" s="25">
        <v>3650.7</v>
      </c>
      <c r="J114" s="25"/>
      <c r="K114" s="20" t="s">
        <v>9</v>
      </c>
      <c r="L114" s="21">
        <v>163392.92000000001</v>
      </c>
    </row>
    <row r="115" spans="1:12" ht="91.8" x14ac:dyDescent="0.3">
      <c r="A115" s="15" t="s">
        <v>115</v>
      </c>
      <c r="B115" s="16" t="s">
        <v>145</v>
      </c>
      <c r="C115" s="16" t="s">
        <v>67</v>
      </c>
      <c r="D115" s="16" t="s">
        <v>143</v>
      </c>
      <c r="E115" s="17" t="s">
        <v>69</v>
      </c>
      <c r="F115" s="23" t="s">
        <v>16</v>
      </c>
      <c r="G115" s="23"/>
      <c r="H115" s="17" t="s">
        <v>14</v>
      </c>
      <c r="I115" s="24">
        <v>368.6</v>
      </c>
      <c r="J115" s="24"/>
      <c r="K115" s="20" t="s">
        <v>9</v>
      </c>
      <c r="L115" s="21">
        <v>163024.32000000001</v>
      </c>
    </row>
    <row r="116" spans="1:12" ht="102" hidden="1" x14ac:dyDescent="0.3">
      <c r="A116" s="15" t="s">
        <v>146</v>
      </c>
      <c r="B116" s="16" t="s">
        <v>147</v>
      </c>
      <c r="C116" s="16" t="s">
        <v>148</v>
      </c>
      <c r="D116" s="16" t="s">
        <v>149</v>
      </c>
      <c r="E116" s="17" t="s">
        <v>14</v>
      </c>
      <c r="F116" s="22">
        <v>343.5</v>
      </c>
      <c r="G116" s="22"/>
      <c r="H116" s="17" t="s">
        <v>15</v>
      </c>
      <c r="I116" s="19" t="s">
        <v>16</v>
      </c>
      <c r="J116" s="19"/>
      <c r="K116" s="20" t="s">
        <v>9</v>
      </c>
      <c r="L116" s="21">
        <v>163367.82</v>
      </c>
    </row>
    <row r="117" spans="1:12" ht="163.19999999999999" hidden="1" x14ac:dyDescent="0.3">
      <c r="A117" s="15" t="s">
        <v>146</v>
      </c>
      <c r="B117" s="16" t="s">
        <v>147</v>
      </c>
      <c r="C117" s="16" t="s">
        <v>150</v>
      </c>
      <c r="D117" s="16" t="s">
        <v>149</v>
      </c>
      <c r="E117" s="17" t="s">
        <v>14</v>
      </c>
      <c r="F117" s="22">
        <v>343.5</v>
      </c>
      <c r="G117" s="22"/>
      <c r="H117" s="17" t="s">
        <v>15</v>
      </c>
      <c r="I117" s="19" t="s">
        <v>16</v>
      </c>
      <c r="J117" s="19"/>
      <c r="K117" s="20" t="s">
        <v>9</v>
      </c>
      <c r="L117" s="21">
        <v>163711.32</v>
      </c>
    </row>
    <row r="118" spans="1:12" ht="163.19999999999999" hidden="1" x14ac:dyDescent="0.3">
      <c r="A118" s="15" t="s">
        <v>146</v>
      </c>
      <c r="B118" s="16" t="s">
        <v>147</v>
      </c>
      <c r="C118" s="16" t="s">
        <v>151</v>
      </c>
      <c r="D118" s="16" t="s">
        <v>149</v>
      </c>
      <c r="E118" s="17" t="s">
        <v>14</v>
      </c>
      <c r="F118" s="22">
        <v>511</v>
      </c>
      <c r="G118" s="22"/>
      <c r="H118" s="17" t="s">
        <v>15</v>
      </c>
      <c r="I118" s="19" t="s">
        <v>16</v>
      </c>
      <c r="J118" s="19"/>
      <c r="K118" s="20" t="s">
        <v>9</v>
      </c>
      <c r="L118" s="21">
        <v>164222.32</v>
      </c>
    </row>
    <row r="119" spans="1:12" ht="163.19999999999999" hidden="1" x14ac:dyDescent="0.3">
      <c r="A119" s="15" t="s">
        <v>146</v>
      </c>
      <c r="B119" s="16" t="s">
        <v>147</v>
      </c>
      <c r="C119" s="16" t="s">
        <v>152</v>
      </c>
      <c r="D119" s="16" t="s">
        <v>149</v>
      </c>
      <c r="E119" s="17" t="s">
        <v>14</v>
      </c>
      <c r="F119" s="22">
        <v>318.25</v>
      </c>
      <c r="G119" s="22"/>
      <c r="H119" s="17" t="s">
        <v>15</v>
      </c>
      <c r="I119" s="19" t="s">
        <v>16</v>
      </c>
      <c r="J119" s="19"/>
      <c r="K119" s="20" t="s">
        <v>9</v>
      </c>
      <c r="L119" s="21">
        <v>164540.57</v>
      </c>
    </row>
    <row r="120" spans="1:12" ht="163.19999999999999" hidden="1" x14ac:dyDescent="0.3">
      <c r="A120" s="15" t="s">
        <v>146</v>
      </c>
      <c r="B120" s="16" t="s">
        <v>147</v>
      </c>
      <c r="C120" s="16" t="s">
        <v>153</v>
      </c>
      <c r="D120" s="16" t="s">
        <v>149</v>
      </c>
      <c r="E120" s="17" t="s">
        <v>14</v>
      </c>
      <c r="F120" s="22">
        <v>553</v>
      </c>
      <c r="G120" s="22"/>
      <c r="H120" s="17" t="s">
        <v>15</v>
      </c>
      <c r="I120" s="19" t="s">
        <v>16</v>
      </c>
      <c r="J120" s="19"/>
      <c r="K120" s="20" t="s">
        <v>9</v>
      </c>
      <c r="L120" s="21">
        <v>165093.57</v>
      </c>
    </row>
    <row r="121" spans="1:12" ht="163.19999999999999" hidden="1" x14ac:dyDescent="0.3">
      <c r="A121" s="15" t="s">
        <v>146</v>
      </c>
      <c r="B121" s="16" t="s">
        <v>147</v>
      </c>
      <c r="C121" s="16" t="s">
        <v>154</v>
      </c>
      <c r="D121" s="16" t="s">
        <v>149</v>
      </c>
      <c r="E121" s="17" t="s">
        <v>14</v>
      </c>
      <c r="F121" s="18">
        <v>2232</v>
      </c>
      <c r="G121" s="18"/>
      <c r="H121" s="17" t="s">
        <v>15</v>
      </c>
      <c r="I121" s="19" t="s">
        <v>16</v>
      </c>
      <c r="J121" s="19"/>
      <c r="K121" s="20" t="s">
        <v>9</v>
      </c>
      <c r="L121" s="21">
        <v>167325.57</v>
      </c>
    </row>
    <row r="122" spans="1:12" ht="163.19999999999999" hidden="1" x14ac:dyDescent="0.3">
      <c r="A122" s="15" t="s">
        <v>146</v>
      </c>
      <c r="B122" s="16" t="s">
        <v>147</v>
      </c>
      <c r="C122" s="16" t="s">
        <v>155</v>
      </c>
      <c r="D122" s="16" t="s">
        <v>149</v>
      </c>
      <c r="E122" s="17" t="s">
        <v>14</v>
      </c>
      <c r="F122" s="22">
        <v>537.5</v>
      </c>
      <c r="G122" s="22"/>
      <c r="H122" s="17" t="s">
        <v>15</v>
      </c>
      <c r="I122" s="19" t="s">
        <v>16</v>
      </c>
      <c r="J122" s="19"/>
      <c r="K122" s="20" t="s">
        <v>9</v>
      </c>
      <c r="L122" s="21">
        <v>167863.07</v>
      </c>
    </row>
    <row r="123" spans="1:12" ht="163.19999999999999" hidden="1" x14ac:dyDescent="0.3">
      <c r="A123" s="15" t="s">
        <v>146</v>
      </c>
      <c r="B123" s="16" t="s">
        <v>147</v>
      </c>
      <c r="C123" s="16" t="s">
        <v>156</v>
      </c>
      <c r="D123" s="16" t="s">
        <v>149</v>
      </c>
      <c r="E123" s="17" t="s">
        <v>14</v>
      </c>
      <c r="F123" s="18">
        <v>6084.5</v>
      </c>
      <c r="G123" s="18"/>
      <c r="H123" s="17" t="s">
        <v>15</v>
      </c>
      <c r="I123" s="19" t="s">
        <v>16</v>
      </c>
      <c r="J123" s="19"/>
      <c r="K123" s="20" t="s">
        <v>9</v>
      </c>
      <c r="L123" s="21">
        <v>173947.57</v>
      </c>
    </row>
    <row r="124" spans="1:12" ht="163.19999999999999" hidden="1" x14ac:dyDescent="0.3">
      <c r="A124" s="15" t="s">
        <v>146</v>
      </c>
      <c r="B124" s="16" t="s">
        <v>147</v>
      </c>
      <c r="C124" s="16" t="s">
        <v>157</v>
      </c>
      <c r="D124" s="16" t="s">
        <v>149</v>
      </c>
      <c r="E124" s="17" t="s">
        <v>14</v>
      </c>
      <c r="F124" s="22">
        <v>392</v>
      </c>
      <c r="G124" s="22"/>
      <c r="H124" s="17" t="s">
        <v>15</v>
      </c>
      <c r="I124" s="19" t="s">
        <v>16</v>
      </c>
      <c r="J124" s="19"/>
      <c r="K124" s="20" t="s">
        <v>9</v>
      </c>
      <c r="L124" s="21">
        <v>174339.57</v>
      </c>
    </row>
    <row r="125" spans="1:12" ht="163.19999999999999" hidden="1" x14ac:dyDescent="0.3">
      <c r="A125" s="15" t="s">
        <v>146</v>
      </c>
      <c r="B125" s="16" t="s">
        <v>147</v>
      </c>
      <c r="C125" s="16" t="s">
        <v>158</v>
      </c>
      <c r="D125" s="16" t="s">
        <v>149</v>
      </c>
      <c r="E125" s="17" t="s">
        <v>14</v>
      </c>
      <c r="F125" s="22">
        <v>75.599999999999994</v>
      </c>
      <c r="G125" s="22"/>
      <c r="H125" s="17" t="s">
        <v>15</v>
      </c>
      <c r="I125" s="19" t="s">
        <v>16</v>
      </c>
      <c r="J125" s="19"/>
      <c r="K125" s="20" t="s">
        <v>9</v>
      </c>
      <c r="L125" s="21">
        <v>174415.17</v>
      </c>
    </row>
    <row r="126" spans="1:12" ht="163.19999999999999" hidden="1" x14ac:dyDescent="0.3">
      <c r="A126" s="15" t="s">
        <v>146</v>
      </c>
      <c r="B126" s="16" t="s">
        <v>147</v>
      </c>
      <c r="C126" s="16" t="s">
        <v>159</v>
      </c>
      <c r="D126" s="16" t="s">
        <v>149</v>
      </c>
      <c r="E126" s="17" t="s">
        <v>14</v>
      </c>
      <c r="F126" s="18">
        <v>1470</v>
      </c>
      <c r="G126" s="18"/>
      <c r="H126" s="17" t="s">
        <v>15</v>
      </c>
      <c r="I126" s="19" t="s">
        <v>16</v>
      </c>
      <c r="J126" s="19"/>
      <c r="K126" s="20" t="s">
        <v>9</v>
      </c>
      <c r="L126" s="21">
        <v>175885.17</v>
      </c>
    </row>
    <row r="127" spans="1:12" ht="163.19999999999999" hidden="1" x14ac:dyDescent="0.3">
      <c r="A127" s="15" t="s">
        <v>146</v>
      </c>
      <c r="B127" s="16" t="s">
        <v>147</v>
      </c>
      <c r="C127" s="16" t="s">
        <v>160</v>
      </c>
      <c r="D127" s="16" t="s">
        <v>149</v>
      </c>
      <c r="E127" s="17" t="s">
        <v>14</v>
      </c>
      <c r="F127" s="22">
        <v>578</v>
      </c>
      <c r="G127" s="22"/>
      <c r="H127" s="17" t="s">
        <v>15</v>
      </c>
      <c r="I127" s="19" t="s">
        <v>16</v>
      </c>
      <c r="J127" s="19"/>
      <c r="K127" s="20" t="s">
        <v>9</v>
      </c>
      <c r="L127" s="21">
        <v>176463.17</v>
      </c>
    </row>
    <row r="128" spans="1:12" ht="163.19999999999999" hidden="1" x14ac:dyDescent="0.3">
      <c r="A128" s="15" t="s">
        <v>146</v>
      </c>
      <c r="B128" s="16" t="s">
        <v>147</v>
      </c>
      <c r="C128" s="16" t="s">
        <v>161</v>
      </c>
      <c r="D128" s="16" t="s">
        <v>149</v>
      </c>
      <c r="E128" s="17" t="s">
        <v>14</v>
      </c>
      <c r="F128" s="22">
        <v>367</v>
      </c>
      <c r="G128" s="22"/>
      <c r="H128" s="17" t="s">
        <v>15</v>
      </c>
      <c r="I128" s="19" t="s">
        <v>16</v>
      </c>
      <c r="J128" s="19"/>
      <c r="K128" s="20" t="s">
        <v>9</v>
      </c>
      <c r="L128" s="21">
        <v>176830.17</v>
      </c>
    </row>
    <row r="129" spans="1:12" ht="132.6" hidden="1" x14ac:dyDescent="0.3">
      <c r="A129" s="15" t="s">
        <v>146</v>
      </c>
      <c r="B129" s="16" t="s">
        <v>162</v>
      </c>
      <c r="C129" s="16" t="s">
        <v>163</v>
      </c>
      <c r="D129" s="16" t="s">
        <v>148</v>
      </c>
      <c r="E129" s="17" t="s">
        <v>14</v>
      </c>
      <c r="F129" s="23" t="s">
        <v>16</v>
      </c>
      <c r="G129" s="23"/>
      <c r="H129" s="17" t="s">
        <v>14</v>
      </c>
      <c r="I129" s="24">
        <v>343.5</v>
      </c>
      <c r="J129" s="24"/>
      <c r="K129" s="20" t="s">
        <v>9</v>
      </c>
      <c r="L129" s="21">
        <v>176486.67</v>
      </c>
    </row>
    <row r="130" spans="1:12" ht="122.4" hidden="1" x14ac:dyDescent="0.3">
      <c r="A130" s="15" t="s">
        <v>146</v>
      </c>
      <c r="B130" s="16" t="s">
        <v>162</v>
      </c>
      <c r="C130" s="16" t="s">
        <v>164</v>
      </c>
      <c r="D130" s="16" t="s">
        <v>150</v>
      </c>
      <c r="E130" s="17" t="s">
        <v>14</v>
      </c>
      <c r="F130" s="23" t="s">
        <v>16</v>
      </c>
      <c r="G130" s="23"/>
      <c r="H130" s="17" t="s">
        <v>14</v>
      </c>
      <c r="I130" s="24">
        <v>343.5</v>
      </c>
      <c r="J130" s="24"/>
      <c r="K130" s="20" t="s">
        <v>9</v>
      </c>
      <c r="L130" s="21">
        <v>176143.17</v>
      </c>
    </row>
    <row r="131" spans="1:12" ht="142.80000000000001" hidden="1" x14ac:dyDescent="0.3">
      <c r="A131" s="15" t="s">
        <v>146</v>
      </c>
      <c r="B131" s="16" t="s">
        <v>162</v>
      </c>
      <c r="C131" s="16" t="s">
        <v>165</v>
      </c>
      <c r="D131" s="16" t="s">
        <v>103</v>
      </c>
      <c r="E131" s="17" t="s">
        <v>14</v>
      </c>
      <c r="F131" s="23" t="s">
        <v>16</v>
      </c>
      <c r="G131" s="23"/>
      <c r="H131" s="17" t="s">
        <v>14</v>
      </c>
      <c r="I131" s="24">
        <v>294</v>
      </c>
      <c r="J131" s="24"/>
      <c r="K131" s="20" t="s">
        <v>9</v>
      </c>
      <c r="L131" s="21">
        <v>175849.17</v>
      </c>
    </row>
    <row r="132" spans="1:12" ht="163.19999999999999" hidden="1" x14ac:dyDescent="0.3">
      <c r="A132" s="15" t="s">
        <v>146</v>
      </c>
      <c r="B132" s="16" t="s">
        <v>166</v>
      </c>
      <c r="C132" s="16" t="s">
        <v>167</v>
      </c>
      <c r="D132" s="16" t="s">
        <v>151</v>
      </c>
      <c r="E132" s="17" t="s">
        <v>14</v>
      </c>
      <c r="F132" s="23" t="s">
        <v>16</v>
      </c>
      <c r="G132" s="23"/>
      <c r="H132" s="17" t="s">
        <v>14</v>
      </c>
      <c r="I132" s="24">
        <v>511</v>
      </c>
      <c r="J132" s="24"/>
      <c r="K132" s="20" t="s">
        <v>9</v>
      </c>
      <c r="L132" s="21">
        <v>175338.17</v>
      </c>
    </row>
    <row r="133" spans="1:12" ht="173.4" hidden="1" x14ac:dyDescent="0.3">
      <c r="A133" s="15" t="s">
        <v>146</v>
      </c>
      <c r="B133" s="16" t="s">
        <v>166</v>
      </c>
      <c r="C133" s="16" t="s">
        <v>168</v>
      </c>
      <c r="D133" s="16" t="s">
        <v>103</v>
      </c>
      <c r="E133" s="17" t="s">
        <v>14</v>
      </c>
      <c r="F133" s="23" t="s">
        <v>16</v>
      </c>
      <c r="G133" s="23"/>
      <c r="H133" s="17" t="s">
        <v>14</v>
      </c>
      <c r="I133" s="24">
        <v>294</v>
      </c>
      <c r="J133" s="24"/>
      <c r="K133" s="20" t="s">
        <v>9</v>
      </c>
      <c r="L133" s="21">
        <v>175044.17</v>
      </c>
    </row>
    <row r="134" spans="1:12" ht="142.80000000000001" hidden="1" x14ac:dyDescent="0.3">
      <c r="A134" s="15" t="s">
        <v>146</v>
      </c>
      <c r="B134" s="16" t="s">
        <v>169</v>
      </c>
      <c r="C134" s="16" t="s">
        <v>170</v>
      </c>
      <c r="D134" s="16" t="s">
        <v>152</v>
      </c>
      <c r="E134" s="17" t="s">
        <v>14</v>
      </c>
      <c r="F134" s="23" t="s">
        <v>16</v>
      </c>
      <c r="G134" s="23"/>
      <c r="H134" s="17" t="s">
        <v>14</v>
      </c>
      <c r="I134" s="24">
        <v>318.25</v>
      </c>
      <c r="J134" s="24"/>
      <c r="K134" s="20" t="s">
        <v>9</v>
      </c>
      <c r="L134" s="21">
        <v>174725.92</v>
      </c>
    </row>
    <row r="135" spans="1:12" ht="153" hidden="1" x14ac:dyDescent="0.3">
      <c r="A135" s="15" t="s">
        <v>146</v>
      </c>
      <c r="B135" s="16" t="s">
        <v>169</v>
      </c>
      <c r="C135" s="16" t="s">
        <v>171</v>
      </c>
      <c r="D135" s="16" t="s">
        <v>103</v>
      </c>
      <c r="E135" s="17" t="s">
        <v>14</v>
      </c>
      <c r="F135" s="23" t="s">
        <v>16</v>
      </c>
      <c r="G135" s="23"/>
      <c r="H135" s="17" t="s">
        <v>14</v>
      </c>
      <c r="I135" s="24">
        <v>294</v>
      </c>
      <c r="J135" s="24"/>
      <c r="K135" s="20" t="s">
        <v>9</v>
      </c>
      <c r="L135" s="21">
        <v>174431.92</v>
      </c>
    </row>
    <row r="136" spans="1:12" ht="163.19999999999999" hidden="1" x14ac:dyDescent="0.3">
      <c r="A136" s="15" t="s">
        <v>146</v>
      </c>
      <c r="B136" s="16" t="s">
        <v>172</v>
      </c>
      <c r="C136" s="16" t="s">
        <v>173</v>
      </c>
      <c r="D136" s="16" t="s">
        <v>153</v>
      </c>
      <c r="E136" s="17" t="s">
        <v>14</v>
      </c>
      <c r="F136" s="23" t="s">
        <v>16</v>
      </c>
      <c r="G136" s="23"/>
      <c r="H136" s="17" t="s">
        <v>14</v>
      </c>
      <c r="I136" s="24">
        <v>553</v>
      </c>
      <c r="J136" s="24"/>
      <c r="K136" s="20" t="s">
        <v>9</v>
      </c>
      <c r="L136" s="21">
        <v>173878.92</v>
      </c>
    </row>
    <row r="137" spans="1:12" ht="173.4" hidden="1" x14ac:dyDescent="0.3">
      <c r="A137" s="15" t="s">
        <v>146</v>
      </c>
      <c r="B137" s="16" t="s">
        <v>172</v>
      </c>
      <c r="C137" s="16" t="s">
        <v>174</v>
      </c>
      <c r="D137" s="16" t="s">
        <v>103</v>
      </c>
      <c r="E137" s="17" t="s">
        <v>14</v>
      </c>
      <c r="F137" s="23" t="s">
        <v>16</v>
      </c>
      <c r="G137" s="23"/>
      <c r="H137" s="17" t="s">
        <v>14</v>
      </c>
      <c r="I137" s="24">
        <v>294</v>
      </c>
      <c r="J137" s="24"/>
      <c r="K137" s="20" t="s">
        <v>9</v>
      </c>
      <c r="L137" s="21">
        <v>173584.92</v>
      </c>
    </row>
    <row r="138" spans="1:12" ht="173.4" hidden="1" x14ac:dyDescent="0.3">
      <c r="A138" s="15" t="s">
        <v>146</v>
      </c>
      <c r="B138" s="16" t="s">
        <v>175</v>
      </c>
      <c r="C138" s="16" t="s">
        <v>176</v>
      </c>
      <c r="D138" s="16" t="s">
        <v>98</v>
      </c>
      <c r="E138" s="17" t="s">
        <v>14</v>
      </c>
      <c r="F138" s="23" t="s">
        <v>16</v>
      </c>
      <c r="G138" s="23"/>
      <c r="H138" s="17" t="s">
        <v>14</v>
      </c>
      <c r="I138" s="25">
        <v>6084.5</v>
      </c>
      <c r="J138" s="25"/>
      <c r="K138" s="20" t="s">
        <v>9</v>
      </c>
      <c r="L138" s="21">
        <v>167500.42000000001</v>
      </c>
    </row>
    <row r="139" spans="1:12" ht="163.19999999999999" hidden="1" x14ac:dyDescent="0.3">
      <c r="A139" s="15" t="s">
        <v>146</v>
      </c>
      <c r="B139" s="16" t="s">
        <v>175</v>
      </c>
      <c r="C139" s="16" t="s">
        <v>177</v>
      </c>
      <c r="D139" s="16" t="s">
        <v>158</v>
      </c>
      <c r="E139" s="17" t="s">
        <v>14</v>
      </c>
      <c r="F139" s="23" t="s">
        <v>16</v>
      </c>
      <c r="G139" s="23"/>
      <c r="H139" s="17" t="s">
        <v>14</v>
      </c>
      <c r="I139" s="24">
        <v>75.599999999999994</v>
      </c>
      <c r="J139" s="24"/>
      <c r="K139" s="20" t="s">
        <v>9</v>
      </c>
      <c r="L139" s="21">
        <v>167424.82</v>
      </c>
    </row>
    <row r="140" spans="1:12" ht="153" hidden="1" x14ac:dyDescent="0.3">
      <c r="A140" s="15" t="s">
        <v>146</v>
      </c>
      <c r="B140" s="16" t="s">
        <v>178</v>
      </c>
      <c r="C140" s="16" t="s">
        <v>179</v>
      </c>
      <c r="D140" s="16" t="s">
        <v>154</v>
      </c>
      <c r="E140" s="17" t="s">
        <v>14</v>
      </c>
      <c r="F140" s="23" t="s">
        <v>16</v>
      </c>
      <c r="G140" s="23"/>
      <c r="H140" s="17" t="s">
        <v>14</v>
      </c>
      <c r="I140" s="25">
        <v>2232</v>
      </c>
      <c r="J140" s="25"/>
      <c r="K140" s="20" t="s">
        <v>9</v>
      </c>
      <c r="L140" s="21">
        <v>165192.82</v>
      </c>
    </row>
    <row r="141" spans="1:12" ht="122.4" hidden="1" x14ac:dyDescent="0.3">
      <c r="A141" s="15" t="s">
        <v>146</v>
      </c>
      <c r="B141" s="16" t="s">
        <v>178</v>
      </c>
      <c r="C141" s="16" t="s">
        <v>180</v>
      </c>
      <c r="D141" s="16" t="s">
        <v>155</v>
      </c>
      <c r="E141" s="17" t="s">
        <v>14</v>
      </c>
      <c r="F141" s="23" t="s">
        <v>16</v>
      </c>
      <c r="G141" s="23"/>
      <c r="H141" s="17" t="s">
        <v>14</v>
      </c>
      <c r="I141" s="24">
        <v>537.5</v>
      </c>
      <c r="J141" s="24"/>
      <c r="K141" s="20" t="s">
        <v>9</v>
      </c>
      <c r="L141" s="21">
        <v>164655.32</v>
      </c>
    </row>
    <row r="142" spans="1:12" ht="122.4" hidden="1" x14ac:dyDescent="0.3">
      <c r="A142" s="15" t="s">
        <v>146</v>
      </c>
      <c r="B142" s="16" t="s">
        <v>181</v>
      </c>
      <c r="C142" s="16" t="s">
        <v>182</v>
      </c>
      <c r="D142" s="16" t="s">
        <v>157</v>
      </c>
      <c r="E142" s="17" t="s">
        <v>14</v>
      </c>
      <c r="F142" s="23" t="s">
        <v>16</v>
      </c>
      <c r="G142" s="23"/>
      <c r="H142" s="17" t="s">
        <v>14</v>
      </c>
      <c r="I142" s="24">
        <v>392</v>
      </c>
      <c r="J142" s="24"/>
      <c r="K142" s="20" t="s">
        <v>9</v>
      </c>
      <c r="L142" s="21">
        <v>164263.32</v>
      </c>
    </row>
    <row r="143" spans="1:12" ht="122.4" hidden="1" x14ac:dyDescent="0.3">
      <c r="A143" s="15" t="s">
        <v>146</v>
      </c>
      <c r="B143" s="16" t="s">
        <v>181</v>
      </c>
      <c r="C143" s="16" t="s">
        <v>183</v>
      </c>
      <c r="D143" s="16" t="s">
        <v>160</v>
      </c>
      <c r="E143" s="17" t="s">
        <v>14</v>
      </c>
      <c r="F143" s="23" t="s">
        <v>16</v>
      </c>
      <c r="G143" s="23"/>
      <c r="H143" s="17" t="s">
        <v>14</v>
      </c>
      <c r="I143" s="24">
        <v>578</v>
      </c>
      <c r="J143" s="24"/>
      <c r="K143" s="20" t="s">
        <v>9</v>
      </c>
      <c r="L143" s="21">
        <v>163685.32</v>
      </c>
    </row>
    <row r="144" spans="1:12" ht="142.80000000000001" hidden="1" x14ac:dyDescent="0.3">
      <c r="A144" s="15" t="s">
        <v>146</v>
      </c>
      <c r="B144" s="16" t="s">
        <v>184</v>
      </c>
      <c r="C144" s="16" t="s">
        <v>185</v>
      </c>
      <c r="D144" s="16" t="s">
        <v>103</v>
      </c>
      <c r="E144" s="17" t="s">
        <v>14</v>
      </c>
      <c r="F144" s="23" t="s">
        <v>16</v>
      </c>
      <c r="G144" s="23"/>
      <c r="H144" s="17" t="s">
        <v>14</v>
      </c>
      <c r="I144" s="24">
        <v>294</v>
      </c>
      <c r="J144" s="24"/>
      <c r="K144" s="20" t="s">
        <v>9</v>
      </c>
      <c r="L144" s="21">
        <v>163391.32</v>
      </c>
    </row>
    <row r="145" spans="1:12" ht="112.2" hidden="1" x14ac:dyDescent="0.3">
      <c r="A145" s="15" t="s">
        <v>146</v>
      </c>
      <c r="B145" s="16" t="s">
        <v>184</v>
      </c>
      <c r="C145" s="16" t="s">
        <v>186</v>
      </c>
      <c r="D145" s="16" t="s">
        <v>161</v>
      </c>
      <c r="E145" s="17" t="s">
        <v>14</v>
      </c>
      <c r="F145" s="23" t="s">
        <v>16</v>
      </c>
      <c r="G145" s="23"/>
      <c r="H145" s="17" t="s">
        <v>14</v>
      </c>
      <c r="I145" s="24">
        <v>367</v>
      </c>
      <c r="J145" s="24"/>
      <c r="K145" s="20" t="s">
        <v>9</v>
      </c>
      <c r="L145" s="21">
        <v>163024.32000000001</v>
      </c>
    </row>
    <row r="146" spans="1:12" ht="91.8" x14ac:dyDescent="0.3">
      <c r="A146" s="15" t="s">
        <v>187</v>
      </c>
      <c r="B146" s="16" t="s">
        <v>188</v>
      </c>
      <c r="C146" s="16" t="s">
        <v>67</v>
      </c>
      <c r="D146" s="16" t="s">
        <v>159</v>
      </c>
      <c r="E146" s="17" t="s">
        <v>69</v>
      </c>
      <c r="F146" s="23" t="s">
        <v>16</v>
      </c>
      <c r="G146" s="23"/>
      <c r="H146" s="17" t="s">
        <v>14</v>
      </c>
      <c r="I146" s="25">
        <v>1029</v>
      </c>
      <c r="J146" s="25"/>
      <c r="K146" s="20" t="s">
        <v>9</v>
      </c>
      <c r="L146" s="21">
        <v>161995.32</v>
      </c>
    </row>
    <row r="147" spans="1:12" ht="81.599999999999994" x14ac:dyDescent="0.3">
      <c r="A147" s="15" t="s">
        <v>187</v>
      </c>
      <c r="B147" s="16" t="s">
        <v>188</v>
      </c>
      <c r="C147" s="16" t="s">
        <v>67</v>
      </c>
      <c r="D147" s="16" t="s">
        <v>129</v>
      </c>
      <c r="E147" s="17" t="s">
        <v>69</v>
      </c>
      <c r="F147" s="23" t="s">
        <v>16</v>
      </c>
      <c r="G147" s="23"/>
      <c r="H147" s="17" t="s">
        <v>14</v>
      </c>
      <c r="I147" s="24">
        <v>322</v>
      </c>
      <c r="J147" s="24"/>
      <c r="K147" s="20" t="s">
        <v>9</v>
      </c>
      <c r="L147" s="21">
        <v>161673.32</v>
      </c>
    </row>
    <row r="148" spans="1:12" ht="81.599999999999994" x14ac:dyDescent="0.3">
      <c r="A148" s="15" t="s">
        <v>187</v>
      </c>
      <c r="B148" s="16" t="s">
        <v>188</v>
      </c>
      <c r="C148" s="16" t="s">
        <v>67</v>
      </c>
      <c r="D148" s="16" t="s">
        <v>119</v>
      </c>
      <c r="E148" s="17" t="s">
        <v>69</v>
      </c>
      <c r="F148" s="23" t="s">
        <v>16</v>
      </c>
      <c r="G148" s="23"/>
      <c r="H148" s="17" t="s">
        <v>14</v>
      </c>
      <c r="I148" s="25">
        <v>1250</v>
      </c>
      <c r="J148" s="25"/>
      <c r="K148" s="20" t="s">
        <v>9</v>
      </c>
      <c r="L148" s="21">
        <v>160423.32</v>
      </c>
    </row>
    <row r="149" spans="1:12" ht="81.599999999999994" x14ac:dyDescent="0.3">
      <c r="A149" s="15" t="s">
        <v>187</v>
      </c>
      <c r="B149" s="16" t="s">
        <v>188</v>
      </c>
      <c r="C149" s="16" t="s">
        <v>67</v>
      </c>
      <c r="D149" s="16" t="s">
        <v>121</v>
      </c>
      <c r="E149" s="17" t="s">
        <v>69</v>
      </c>
      <c r="F149" s="23" t="s">
        <v>16</v>
      </c>
      <c r="G149" s="23"/>
      <c r="H149" s="17" t="s">
        <v>14</v>
      </c>
      <c r="I149" s="24">
        <v>625</v>
      </c>
      <c r="J149" s="24"/>
      <c r="K149" s="20" t="s">
        <v>9</v>
      </c>
      <c r="L149" s="21">
        <v>159798.32</v>
      </c>
    </row>
    <row r="150" spans="1:12" ht="91.8" x14ac:dyDescent="0.3">
      <c r="A150" s="15" t="s">
        <v>187</v>
      </c>
      <c r="B150" s="16" t="s">
        <v>188</v>
      </c>
      <c r="C150" s="16" t="s">
        <v>67</v>
      </c>
      <c r="D150" s="16" t="s">
        <v>101</v>
      </c>
      <c r="E150" s="17" t="s">
        <v>69</v>
      </c>
      <c r="F150" s="23" t="s">
        <v>16</v>
      </c>
      <c r="G150" s="23"/>
      <c r="H150" s="17" t="s">
        <v>14</v>
      </c>
      <c r="I150" s="25">
        <v>1591.5</v>
      </c>
      <c r="J150" s="25"/>
      <c r="K150" s="20" t="s">
        <v>9</v>
      </c>
      <c r="L150" s="21">
        <v>158206.82</v>
      </c>
    </row>
    <row r="151" spans="1:12" ht="81.599999999999994" x14ac:dyDescent="0.3">
      <c r="A151" s="15" t="s">
        <v>187</v>
      </c>
      <c r="B151" s="16" t="s">
        <v>188</v>
      </c>
      <c r="C151" s="16" t="s">
        <v>67</v>
      </c>
      <c r="D151" s="16" t="s">
        <v>104</v>
      </c>
      <c r="E151" s="17" t="s">
        <v>69</v>
      </c>
      <c r="F151" s="23" t="s">
        <v>16</v>
      </c>
      <c r="G151" s="23"/>
      <c r="H151" s="17" t="s">
        <v>14</v>
      </c>
      <c r="I151" s="24">
        <v>958.5</v>
      </c>
      <c r="J151" s="24"/>
      <c r="K151" s="20" t="s">
        <v>9</v>
      </c>
      <c r="L151" s="21">
        <v>157248.32000000001</v>
      </c>
    </row>
    <row r="152" spans="1:12" ht="81.599999999999994" x14ac:dyDescent="0.3">
      <c r="A152" s="15" t="s">
        <v>187</v>
      </c>
      <c r="B152" s="16" t="s">
        <v>188</v>
      </c>
      <c r="C152" s="16" t="s">
        <v>67</v>
      </c>
      <c r="D152" s="16" t="s">
        <v>139</v>
      </c>
      <c r="E152" s="17" t="s">
        <v>69</v>
      </c>
      <c r="F152" s="23" t="s">
        <v>16</v>
      </c>
      <c r="G152" s="23"/>
      <c r="H152" s="17" t="s">
        <v>14</v>
      </c>
      <c r="I152" s="24">
        <v>729.45</v>
      </c>
      <c r="J152" s="24"/>
      <c r="K152" s="20" t="s">
        <v>9</v>
      </c>
      <c r="L152" s="21">
        <v>156518.87</v>
      </c>
    </row>
    <row r="153" spans="1:12" ht="81.599999999999994" x14ac:dyDescent="0.3">
      <c r="A153" s="15" t="s">
        <v>187</v>
      </c>
      <c r="B153" s="16" t="s">
        <v>188</v>
      </c>
      <c r="C153" s="16" t="s">
        <v>67</v>
      </c>
      <c r="D153" s="16" t="s">
        <v>107</v>
      </c>
      <c r="E153" s="17" t="s">
        <v>69</v>
      </c>
      <c r="F153" s="23" t="s">
        <v>16</v>
      </c>
      <c r="G153" s="23"/>
      <c r="H153" s="17" t="s">
        <v>14</v>
      </c>
      <c r="I153" s="24">
        <v>170.8</v>
      </c>
      <c r="J153" s="24"/>
      <c r="K153" s="20" t="s">
        <v>9</v>
      </c>
      <c r="L153" s="21">
        <v>156348.07</v>
      </c>
    </row>
    <row r="154" spans="1:12" ht="81.599999999999994" x14ac:dyDescent="0.3">
      <c r="A154" s="15" t="s">
        <v>187</v>
      </c>
      <c r="B154" s="16" t="s">
        <v>188</v>
      </c>
      <c r="C154" s="16" t="s">
        <v>67</v>
      </c>
      <c r="D154" s="16" t="s">
        <v>106</v>
      </c>
      <c r="E154" s="17" t="s">
        <v>69</v>
      </c>
      <c r="F154" s="23" t="s">
        <v>16</v>
      </c>
      <c r="G154" s="23"/>
      <c r="H154" s="17" t="s">
        <v>14</v>
      </c>
      <c r="I154" s="25">
        <v>3287.25</v>
      </c>
      <c r="J154" s="25"/>
      <c r="K154" s="20" t="s">
        <v>9</v>
      </c>
      <c r="L154" s="21">
        <v>153060.82</v>
      </c>
    </row>
    <row r="155" spans="1:12" ht="81.599999999999994" x14ac:dyDescent="0.3">
      <c r="A155" s="15" t="s">
        <v>187</v>
      </c>
      <c r="B155" s="16" t="s">
        <v>188</v>
      </c>
      <c r="C155" s="16" t="s">
        <v>67</v>
      </c>
      <c r="D155" s="16" t="s">
        <v>98</v>
      </c>
      <c r="E155" s="17" t="s">
        <v>69</v>
      </c>
      <c r="F155" s="23" t="s">
        <v>16</v>
      </c>
      <c r="G155" s="23"/>
      <c r="H155" s="17" t="s">
        <v>14</v>
      </c>
      <c r="I155" s="25">
        <v>6084.5</v>
      </c>
      <c r="J155" s="25"/>
      <c r="K155" s="20" t="s">
        <v>9</v>
      </c>
      <c r="L155" s="21">
        <v>146976.32000000001</v>
      </c>
    </row>
    <row r="156" spans="1:12" ht="91.8" x14ac:dyDescent="0.3">
      <c r="A156" s="15" t="s">
        <v>187</v>
      </c>
      <c r="B156" s="16" t="s">
        <v>188</v>
      </c>
      <c r="C156" s="16" t="s">
        <v>67</v>
      </c>
      <c r="D156" s="16" t="s">
        <v>133</v>
      </c>
      <c r="E156" s="17" t="s">
        <v>69</v>
      </c>
      <c r="F156" s="23" t="s">
        <v>16</v>
      </c>
      <c r="G156" s="23"/>
      <c r="H156" s="17" t="s">
        <v>14</v>
      </c>
      <c r="I156" s="24">
        <v>625</v>
      </c>
      <c r="J156" s="24"/>
      <c r="K156" s="20" t="s">
        <v>9</v>
      </c>
      <c r="L156" s="21">
        <v>146351.32</v>
      </c>
    </row>
    <row r="157" spans="1:12" ht="91.8" x14ac:dyDescent="0.3">
      <c r="A157" s="15" t="s">
        <v>187</v>
      </c>
      <c r="B157" s="16" t="s">
        <v>188</v>
      </c>
      <c r="C157" s="16" t="s">
        <v>67</v>
      </c>
      <c r="D157" s="16" t="s">
        <v>135</v>
      </c>
      <c r="E157" s="17" t="s">
        <v>69</v>
      </c>
      <c r="F157" s="23" t="s">
        <v>16</v>
      </c>
      <c r="G157" s="23"/>
      <c r="H157" s="17" t="s">
        <v>14</v>
      </c>
      <c r="I157" s="25">
        <v>4168.1400000000003</v>
      </c>
      <c r="J157" s="25"/>
      <c r="K157" s="20" t="s">
        <v>9</v>
      </c>
      <c r="L157" s="21">
        <v>142183.18</v>
      </c>
    </row>
    <row r="158" spans="1:12" ht="81.599999999999994" x14ac:dyDescent="0.3">
      <c r="A158" s="15" t="s">
        <v>187</v>
      </c>
      <c r="B158" s="16" t="s">
        <v>188</v>
      </c>
      <c r="C158" s="16" t="s">
        <v>67</v>
      </c>
      <c r="D158" s="16" t="s">
        <v>141</v>
      </c>
      <c r="E158" s="17" t="s">
        <v>69</v>
      </c>
      <c r="F158" s="23" t="s">
        <v>16</v>
      </c>
      <c r="G158" s="23"/>
      <c r="H158" s="17" t="s">
        <v>14</v>
      </c>
      <c r="I158" s="24">
        <v>819.4</v>
      </c>
      <c r="J158" s="24"/>
      <c r="K158" s="20" t="s">
        <v>9</v>
      </c>
      <c r="L158" s="21">
        <v>141363.78</v>
      </c>
    </row>
    <row r="159" spans="1:12" ht="81.599999999999994" x14ac:dyDescent="0.3">
      <c r="A159" s="15" t="s">
        <v>187</v>
      </c>
      <c r="B159" s="16" t="s">
        <v>189</v>
      </c>
      <c r="C159" s="16" t="s">
        <v>67</v>
      </c>
      <c r="D159" s="16" t="s">
        <v>100</v>
      </c>
      <c r="E159" s="17" t="s">
        <v>69</v>
      </c>
      <c r="F159" s="23" t="s">
        <v>16</v>
      </c>
      <c r="G159" s="23"/>
      <c r="H159" s="17" t="s">
        <v>14</v>
      </c>
      <c r="I159" s="25">
        <v>1262</v>
      </c>
      <c r="J159" s="25"/>
      <c r="K159" s="20" t="s">
        <v>9</v>
      </c>
      <c r="L159" s="21">
        <v>140101.78</v>
      </c>
    </row>
    <row r="160" spans="1:12" ht="91.8" x14ac:dyDescent="0.3">
      <c r="A160" s="15" t="s">
        <v>187</v>
      </c>
      <c r="B160" s="16" t="s">
        <v>189</v>
      </c>
      <c r="C160" s="16" t="s">
        <v>67</v>
      </c>
      <c r="D160" s="16" t="s">
        <v>30</v>
      </c>
      <c r="E160" s="17" t="s">
        <v>69</v>
      </c>
      <c r="F160" s="23" t="s">
        <v>16</v>
      </c>
      <c r="G160" s="23"/>
      <c r="H160" s="17" t="s">
        <v>14</v>
      </c>
      <c r="I160" s="25">
        <v>2433.8000000000002</v>
      </c>
      <c r="J160" s="25"/>
      <c r="K160" s="20" t="s">
        <v>9</v>
      </c>
      <c r="L160" s="21">
        <v>137667.98000000001</v>
      </c>
    </row>
    <row r="161" spans="1:12" ht="81.599999999999994" x14ac:dyDescent="0.3">
      <c r="A161" s="15" t="s">
        <v>187</v>
      </c>
      <c r="B161" s="16" t="s">
        <v>189</v>
      </c>
      <c r="C161" s="16" t="s">
        <v>67</v>
      </c>
      <c r="D161" s="16" t="s">
        <v>108</v>
      </c>
      <c r="E161" s="17" t="s">
        <v>69</v>
      </c>
      <c r="F161" s="23" t="s">
        <v>16</v>
      </c>
      <c r="G161" s="23"/>
      <c r="H161" s="17" t="s">
        <v>14</v>
      </c>
      <c r="I161" s="24">
        <v>867.5</v>
      </c>
      <c r="J161" s="24"/>
      <c r="K161" s="20" t="s">
        <v>9</v>
      </c>
      <c r="L161" s="21">
        <v>136800.48000000001</v>
      </c>
    </row>
    <row r="162" spans="1:12" ht="81.599999999999994" x14ac:dyDescent="0.3">
      <c r="A162" s="15" t="s">
        <v>187</v>
      </c>
      <c r="B162" s="16" t="s">
        <v>189</v>
      </c>
      <c r="C162" s="16" t="s">
        <v>67</v>
      </c>
      <c r="D162" s="16" t="s">
        <v>105</v>
      </c>
      <c r="E162" s="17" t="s">
        <v>69</v>
      </c>
      <c r="F162" s="23" t="s">
        <v>16</v>
      </c>
      <c r="G162" s="23"/>
      <c r="H162" s="17" t="s">
        <v>14</v>
      </c>
      <c r="I162" s="25">
        <v>1684.25</v>
      </c>
      <c r="J162" s="25"/>
      <c r="K162" s="20" t="s">
        <v>9</v>
      </c>
      <c r="L162" s="21">
        <v>135116.23000000001</v>
      </c>
    </row>
    <row r="163" spans="1:12" ht="81.599999999999994" x14ac:dyDescent="0.3">
      <c r="A163" s="15" t="s">
        <v>187</v>
      </c>
      <c r="B163" s="16" t="s">
        <v>189</v>
      </c>
      <c r="C163" s="16" t="s">
        <v>67</v>
      </c>
      <c r="D163" s="16" t="s">
        <v>102</v>
      </c>
      <c r="E163" s="17" t="s">
        <v>69</v>
      </c>
      <c r="F163" s="23" t="s">
        <v>16</v>
      </c>
      <c r="G163" s="23"/>
      <c r="H163" s="17" t="s">
        <v>14</v>
      </c>
      <c r="I163" s="24">
        <v>726.25</v>
      </c>
      <c r="J163" s="24"/>
      <c r="K163" s="20" t="s">
        <v>9</v>
      </c>
      <c r="L163" s="21">
        <v>134389.98000000001</v>
      </c>
    </row>
    <row r="164" spans="1:12" ht="81.599999999999994" x14ac:dyDescent="0.3">
      <c r="A164" s="15" t="s">
        <v>187</v>
      </c>
      <c r="B164" s="16" t="s">
        <v>189</v>
      </c>
      <c r="C164" s="16" t="s">
        <v>67</v>
      </c>
      <c r="D164" s="16" t="s">
        <v>104</v>
      </c>
      <c r="E164" s="17" t="s">
        <v>69</v>
      </c>
      <c r="F164" s="23" t="s">
        <v>16</v>
      </c>
      <c r="G164" s="23"/>
      <c r="H164" s="17" t="s">
        <v>14</v>
      </c>
      <c r="I164" s="24">
        <v>670.95</v>
      </c>
      <c r="J164" s="24"/>
      <c r="K164" s="20" t="s">
        <v>9</v>
      </c>
      <c r="L164" s="21">
        <v>133719.03</v>
      </c>
    </row>
    <row r="165" spans="1:12" ht="91.8" x14ac:dyDescent="0.3">
      <c r="A165" s="15" t="s">
        <v>187</v>
      </c>
      <c r="B165" s="16" t="s">
        <v>189</v>
      </c>
      <c r="C165" s="16" t="s">
        <v>67</v>
      </c>
      <c r="D165" s="16" t="s">
        <v>159</v>
      </c>
      <c r="E165" s="17" t="s">
        <v>69</v>
      </c>
      <c r="F165" s="23" t="s">
        <v>16</v>
      </c>
      <c r="G165" s="23"/>
      <c r="H165" s="17" t="s">
        <v>14</v>
      </c>
      <c r="I165" s="24">
        <v>294</v>
      </c>
      <c r="J165" s="24"/>
      <c r="K165" s="20" t="s">
        <v>9</v>
      </c>
      <c r="L165" s="21">
        <v>133425.03</v>
      </c>
    </row>
    <row r="166" spans="1:12" ht="81.599999999999994" x14ac:dyDescent="0.3">
      <c r="A166" s="15" t="s">
        <v>187</v>
      </c>
      <c r="B166" s="16" t="s">
        <v>189</v>
      </c>
      <c r="C166" s="16" t="s">
        <v>67</v>
      </c>
      <c r="D166" s="16" t="s">
        <v>190</v>
      </c>
      <c r="E166" s="17" t="s">
        <v>69</v>
      </c>
      <c r="F166" s="23" t="s">
        <v>16</v>
      </c>
      <c r="G166" s="23"/>
      <c r="H166" s="17" t="s">
        <v>14</v>
      </c>
      <c r="I166" s="25">
        <v>1477.5</v>
      </c>
      <c r="J166" s="25"/>
      <c r="K166" s="20" t="s">
        <v>9</v>
      </c>
      <c r="L166" s="21">
        <v>131947.53</v>
      </c>
    </row>
    <row r="167" spans="1:12" ht="81.599999999999994" x14ac:dyDescent="0.3">
      <c r="A167" s="15" t="s">
        <v>187</v>
      </c>
      <c r="B167" s="16" t="s">
        <v>189</v>
      </c>
      <c r="C167" s="16" t="s">
        <v>67</v>
      </c>
      <c r="D167" s="16" t="s">
        <v>191</v>
      </c>
      <c r="E167" s="17" t="s">
        <v>69</v>
      </c>
      <c r="F167" s="23" t="s">
        <v>16</v>
      </c>
      <c r="G167" s="23"/>
      <c r="H167" s="17" t="s">
        <v>14</v>
      </c>
      <c r="I167" s="25">
        <v>1308.33</v>
      </c>
      <c r="J167" s="25"/>
      <c r="K167" s="20" t="s">
        <v>9</v>
      </c>
      <c r="L167" s="21">
        <v>130639.2</v>
      </c>
    </row>
    <row r="168" spans="1:12" ht="81.599999999999994" x14ac:dyDescent="0.3">
      <c r="A168" s="15" t="s">
        <v>187</v>
      </c>
      <c r="B168" s="16" t="s">
        <v>192</v>
      </c>
      <c r="C168" s="16" t="s">
        <v>67</v>
      </c>
      <c r="D168" s="16" t="s">
        <v>21</v>
      </c>
      <c r="E168" s="17" t="s">
        <v>69</v>
      </c>
      <c r="F168" s="23" t="s">
        <v>16</v>
      </c>
      <c r="G168" s="23"/>
      <c r="H168" s="17" t="s">
        <v>14</v>
      </c>
      <c r="I168" s="24">
        <v>276.35000000000002</v>
      </c>
      <c r="J168" s="24"/>
      <c r="K168" s="20" t="s">
        <v>9</v>
      </c>
      <c r="L168" s="21">
        <v>130362.85</v>
      </c>
    </row>
    <row r="169" spans="1:12" ht="91.8" x14ac:dyDescent="0.3">
      <c r="A169" s="15" t="s">
        <v>187</v>
      </c>
      <c r="B169" s="16" t="s">
        <v>192</v>
      </c>
      <c r="C169" s="16" t="s">
        <v>67</v>
      </c>
      <c r="D169" s="16" t="s">
        <v>101</v>
      </c>
      <c r="E169" s="17" t="s">
        <v>69</v>
      </c>
      <c r="F169" s="23" t="s">
        <v>16</v>
      </c>
      <c r="G169" s="23"/>
      <c r="H169" s="17" t="s">
        <v>14</v>
      </c>
      <c r="I169" s="24">
        <v>795.75</v>
      </c>
      <c r="J169" s="24"/>
      <c r="K169" s="20" t="s">
        <v>9</v>
      </c>
      <c r="L169" s="21">
        <v>129567.1</v>
      </c>
    </row>
    <row r="170" spans="1:12" ht="81.599999999999994" x14ac:dyDescent="0.3">
      <c r="A170" s="15" t="s">
        <v>187</v>
      </c>
      <c r="B170" s="16" t="s">
        <v>192</v>
      </c>
      <c r="C170" s="16" t="s">
        <v>67</v>
      </c>
      <c r="D170" s="16" t="s">
        <v>104</v>
      </c>
      <c r="E170" s="17" t="s">
        <v>69</v>
      </c>
      <c r="F170" s="23" t="s">
        <v>16</v>
      </c>
      <c r="G170" s="23"/>
      <c r="H170" s="17" t="s">
        <v>14</v>
      </c>
      <c r="I170" s="24">
        <v>287.55</v>
      </c>
      <c r="J170" s="24"/>
      <c r="K170" s="20" t="s">
        <v>9</v>
      </c>
      <c r="L170" s="21">
        <v>129279.55</v>
      </c>
    </row>
    <row r="171" spans="1:12" ht="81.599999999999994" x14ac:dyDescent="0.3">
      <c r="A171" s="15" t="s">
        <v>187</v>
      </c>
      <c r="B171" s="16" t="s">
        <v>192</v>
      </c>
      <c r="C171" s="16" t="s">
        <v>67</v>
      </c>
      <c r="D171" s="16" t="s">
        <v>32</v>
      </c>
      <c r="E171" s="17" t="s">
        <v>69</v>
      </c>
      <c r="F171" s="23" t="s">
        <v>16</v>
      </c>
      <c r="G171" s="23"/>
      <c r="H171" s="17" t="s">
        <v>14</v>
      </c>
      <c r="I171" s="24">
        <v>360</v>
      </c>
      <c r="J171" s="24"/>
      <c r="K171" s="20" t="s">
        <v>9</v>
      </c>
      <c r="L171" s="21">
        <v>128919.55</v>
      </c>
    </row>
    <row r="172" spans="1:12" ht="81.599999999999994" x14ac:dyDescent="0.3">
      <c r="A172" s="15" t="s">
        <v>187</v>
      </c>
      <c r="B172" s="16" t="s">
        <v>192</v>
      </c>
      <c r="C172" s="16" t="s">
        <v>67</v>
      </c>
      <c r="D172" s="16" t="s">
        <v>193</v>
      </c>
      <c r="E172" s="17" t="s">
        <v>69</v>
      </c>
      <c r="F172" s="23" t="s">
        <v>16</v>
      </c>
      <c r="G172" s="23"/>
      <c r="H172" s="17" t="s">
        <v>14</v>
      </c>
      <c r="I172" s="25">
        <v>3924.99</v>
      </c>
      <c r="J172" s="25"/>
      <c r="K172" s="20" t="s">
        <v>9</v>
      </c>
      <c r="L172" s="21">
        <v>124994.56</v>
      </c>
    </row>
    <row r="173" spans="1:12" hidden="1" x14ac:dyDescent="0.3">
      <c r="A173" s="26" t="s">
        <v>194</v>
      </c>
      <c r="B173" s="26"/>
      <c r="C173" s="26"/>
      <c r="D173" s="26"/>
      <c r="E173" s="27">
        <v>106104.65</v>
      </c>
      <c r="F173" s="27"/>
      <c r="G173" s="27"/>
      <c r="H173" s="27">
        <v>112574.69</v>
      </c>
      <c r="I173" s="27"/>
      <c r="J173" s="27"/>
      <c r="K173" s="28" t="s">
        <v>9</v>
      </c>
      <c r="L173" s="29">
        <v>124994.56</v>
      </c>
    </row>
    <row r="175" spans="1:12" x14ac:dyDescent="0.3">
      <c r="J175" s="30">
        <f>SUBTOTAL(9,I48:J172)</f>
        <v>80006.540000000008</v>
      </c>
    </row>
  </sheetData>
  <autoFilter ref="A1:L173">
    <filterColumn colId="1">
      <filters>
        <filter val="Передача малоцінних активів в експлуатацію ІБ00-000043 від 05.02.2025 18:00:16_x000a_Списание стоимости малоценных активов"/>
        <filter val="Передача малоцінних активів в експлуатацію ІБ00-000046 від 05.02.2025 18:00:20_x000a_Списание стоимости малоценных активов"/>
        <filter val="Передача малоцінних активів в експлуатацію ІБ00-000049 від 05.02.2025 18:15:27_x000a_Списание стоимости малоценных активов"/>
        <filter val="Передача малоцінних активів в експлуатацію ІБ00-000051 від 05.02.2025 18:15:31_x000a_Списание стоимости малоценных активов"/>
        <filter val="Передача малоцінних активів в експлуатацію ІБ00-000053 від 05.02.2025 18:15:37_x000a_Списание стоимости малоценных активов"/>
        <filter val="Передача малоцінних активів в експлуатацію ІБ00-000055 від 05.02.2025 18:15:42_x000a_Списание стоимости малоценных активов"/>
        <filter val="Передача малоцінних активів в експлуатацію ІБ00-000056 від 12.02.2025 15:38:50_x000a_Списание стоимости малоценных активов"/>
        <filter val="Передача малоцінних активів в експлуатацію ІБ00-000059 від 19.02.2025 16:18:09_x000a_Списание стоимости малоценных активов"/>
        <filter val="Передача малоцінних активів в експлуатацію ІБ00-000060 від 19.02.2025 16:42:52_x000a_Списание стоимости малоценных активов"/>
        <filter val="Передача малоцінних активів в експлуатацію ІБ00-000079 від 22.02.2025 20:00:00_x000a_Списание стоимости малоценных активов"/>
        <filter val="Передача малоцінних активів в експлуатацію ІБ00-000080 від 20.02.2025 18:11:24_x000a_Списание стоимости малоценных активов"/>
        <filter val="Передача малоцінних активів в експлуатацію ІБ00-000097 від 28.02.2025 22:00:00_x000a_Списание стоимости малоценных активов"/>
        <filter val="Передача малоцінних активів в експлуатацію ІБ00-000098 від 28.02.2025 20:00:00_x000a_Списание стоимости малоценных активов"/>
        <filter val="Передача малоцінних активів в експлуатацію ІБ00-000100 від 28.02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52">
    <mergeCell ref="F172:G172"/>
    <mergeCell ref="I172:J172"/>
    <mergeCell ref="A173:D173"/>
    <mergeCell ref="E173:G173"/>
    <mergeCell ref="H173:J173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3"/>
  <sheetViews>
    <sheetView workbookViewId="0">
      <selection activeCell="J14" sqref="J14"/>
    </sheetView>
  </sheetViews>
  <sheetFormatPr defaultRowHeight="14.4" x14ac:dyDescent="0.3"/>
  <cols>
    <col min="2" max="4" width="17.88671875" customWidth="1"/>
  </cols>
  <sheetData>
    <row r="1" spans="1:12" x14ac:dyDescent="0.3">
      <c r="A1" s="32" t="s">
        <v>1</v>
      </c>
      <c r="B1" s="33" t="s">
        <v>2</v>
      </c>
      <c r="C1" s="33" t="s">
        <v>3</v>
      </c>
      <c r="D1" s="34" t="s">
        <v>4</v>
      </c>
      <c r="E1" s="35" t="s">
        <v>5</v>
      </c>
      <c r="F1" s="35"/>
      <c r="G1" s="35"/>
      <c r="H1" s="36" t="s">
        <v>6</v>
      </c>
      <c r="I1" s="36"/>
      <c r="J1" s="36"/>
      <c r="K1" s="33" t="s">
        <v>7</v>
      </c>
      <c r="L1" s="33"/>
    </row>
    <row r="2" spans="1:12" hidden="1" x14ac:dyDescent="0.3">
      <c r="A2" s="37"/>
      <c r="B2" s="38"/>
      <c r="C2" s="38"/>
      <c r="D2" s="39"/>
      <c r="E2" s="40" t="s">
        <v>8</v>
      </c>
      <c r="F2" s="41"/>
      <c r="G2" s="41"/>
      <c r="H2" s="42" t="s">
        <v>8</v>
      </c>
      <c r="I2" s="43"/>
      <c r="J2" s="43"/>
      <c r="K2" s="37"/>
      <c r="L2" s="44"/>
    </row>
    <row r="3" spans="1:12" ht="61.2" hidden="1" x14ac:dyDescent="0.3">
      <c r="A3" s="45" t="s">
        <v>10</v>
      </c>
      <c r="B3" s="46" t="s">
        <v>56</v>
      </c>
      <c r="C3" s="46" t="s">
        <v>57</v>
      </c>
      <c r="D3" s="46" t="s">
        <v>17</v>
      </c>
      <c r="E3" s="47" t="s">
        <v>14</v>
      </c>
      <c r="F3" s="48">
        <v>446.25</v>
      </c>
      <c r="G3" s="48"/>
      <c r="H3" s="47" t="s">
        <v>14</v>
      </c>
      <c r="I3" s="49" t="s">
        <v>16</v>
      </c>
      <c r="J3" s="49"/>
      <c r="K3" s="50" t="s">
        <v>9</v>
      </c>
      <c r="L3" s="51">
        <v>5919.05</v>
      </c>
    </row>
    <row r="4" spans="1:12" ht="71.400000000000006" hidden="1" x14ac:dyDescent="0.3">
      <c r="A4" s="45" t="s">
        <v>10</v>
      </c>
      <c r="B4" s="46" t="s">
        <v>56</v>
      </c>
      <c r="C4" s="46" t="s">
        <v>58</v>
      </c>
      <c r="D4" s="46" t="s">
        <v>29</v>
      </c>
      <c r="E4" s="47" t="s">
        <v>14</v>
      </c>
      <c r="F4" s="52">
        <v>8451</v>
      </c>
      <c r="G4" s="52"/>
      <c r="H4" s="47" t="s">
        <v>14</v>
      </c>
      <c r="I4" s="49" t="s">
        <v>16</v>
      </c>
      <c r="J4" s="49"/>
      <c r="K4" s="50" t="s">
        <v>9</v>
      </c>
      <c r="L4" s="51">
        <v>14370.05</v>
      </c>
    </row>
    <row r="5" spans="1:12" ht="81.599999999999994" x14ac:dyDescent="0.3">
      <c r="A5" s="45" t="s">
        <v>65</v>
      </c>
      <c r="B5" s="46" t="s">
        <v>196</v>
      </c>
      <c r="C5" s="46" t="s">
        <v>67</v>
      </c>
      <c r="D5" s="46" t="s">
        <v>197</v>
      </c>
      <c r="E5" s="47" t="s">
        <v>69</v>
      </c>
      <c r="F5" s="53" t="s">
        <v>16</v>
      </c>
      <c r="G5" s="53"/>
      <c r="H5" s="47" t="s">
        <v>14</v>
      </c>
      <c r="I5" s="54">
        <v>256.60000000000002</v>
      </c>
      <c r="J5" s="54"/>
      <c r="K5" s="50" t="s">
        <v>9</v>
      </c>
      <c r="L5" s="51">
        <v>14113.45</v>
      </c>
    </row>
    <row r="6" spans="1:12" ht="81.599999999999994" x14ac:dyDescent="0.3">
      <c r="A6" s="45" t="s">
        <v>65</v>
      </c>
      <c r="B6" s="46" t="s">
        <v>196</v>
      </c>
      <c r="C6" s="46" t="s">
        <v>67</v>
      </c>
      <c r="D6" s="46" t="s">
        <v>198</v>
      </c>
      <c r="E6" s="47" t="s">
        <v>69</v>
      </c>
      <c r="F6" s="53" t="s">
        <v>16</v>
      </c>
      <c r="G6" s="53"/>
      <c r="H6" s="47" t="s">
        <v>14</v>
      </c>
      <c r="I6" s="54">
        <v>45.62</v>
      </c>
      <c r="J6" s="54"/>
      <c r="K6" s="50" t="s">
        <v>9</v>
      </c>
      <c r="L6" s="51">
        <v>14067.83</v>
      </c>
    </row>
    <row r="7" spans="1:12" ht="71.400000000000006" x14ac:dyDescent="0.3">
      <c r="A7" s="45" t="s">
        <v>65</v>
      </c>
      <c r="B7" s="46" t="s">
        <v>196</v>
      </c>
      <c r="C7" s="46" t="s">
        <v>67</v>
      </c>
      <c r="D7" s="46" t="s">
        <v>199</v>
      </c>
      <c r="E7" s="47" t="s">
        <v>69</v>
      </c>
      <c r="F7" s="53" t="s">
        <v>16</v>
      </c>
      <c r="G7" s="53"/>
      <c r="H7" s="47" t="s">
        <v>14</v>
      </c>
      <c r="I7" s="55">
        <v>5170.58</v>
      </c>
      <c r="J7" s="55"/>
      <c r="K7" s="50" t="s">
        <v>9</v>
      </c>
      <c r="L7" s="51">
        <v>8897.25</v>
      </c>
    </row>
    <row r="8" spans="1:12" ht="61.2" x14ac:dyDescent="0.3">
      <c r="A8" s="45" t="s">
        <v>113</v>
      </c>
      <c r="B8" s="46" t="s">
        <v>200</v>
      </c>
      <c r="C8" s="46" t="s">
        <v>67</v>
      </c>
      <c r="D8" s="46" t="s">
        <v>57</v>
      </c>
      <c r="E8" s="47" t="s">
        <v>69</v>
      </c>
      <c r="F8" s="53" t="s">
        <v>16</v>
      </c>
      <c r="G8" s="53"/>
      <c r="H8" s="47" t="s">
        <v>14</v>
      </c>
      <c r="I8" s="54">
        <v>446.25</v>
      </c>
      <c r="J8" s="54"/>
      <c r="K8" s="50" t="s">
        <v>9</v>
      </c>
      <c r="L8" s="51">
        <v>8451</v>
      </c>
    </row>
    <row r="9" spans="1:12" ht="81.599999999999994" hidden="1" x14ac:dyDescent="0.3">
      <c r="A9" s="45" t="s">
        <v>146</v>
      </c>
      <c r="B9" s="46" t="s">
        <v>184</v>
      </c>
      <c r="C9" s="46" t="s">
        <v>185</v>
      </c>
      <c r="D9" s="46" t="s">
        <v>103</v>
      </c>
      <c r="E9" s="47" t="s">
        <v>14</v>
      </c>
      <c r="F9" s="48">
        <v>294</v>
      </c>
      <c r="G9" s="48"/>
      <c r="H9" s="47" t="s">
        <v>14</v>
      </c>
      <c r="I9" s="49" t="s">
        <v>16</v>
      </c>
      <c r="J9" s="49"/>
      <c r="K9" s="50" t="s">
        <v>9</v>
      </c>
      <c r="L9" s="51">
        <v>8745</v>
      </c>
    </row>
    <row r="10" spans="1:12" ht="61.2" hidden="1" x14ac:dyDescent="0.3">
      <c r="A10" s="45" t="s">
        <v>146</v>
      </c>
      <c r="B10" s="46" t="s">
        <v>184</v>
      </c>
      <c r="C10" s="46" t="s">
        <v>186</v>
      </c>
      <c r="D10" s="46" t="s">
        <v>161</v>
      </c>
      <c r="E10" s="47" t="s">
        <v>14</v>
      </c>
      <c r="F10" s="48">
        <v>367</v>
      </c>
      <c r="G10" s="48"/>
      <c r="H10" s="47" t="s">
        <v>14</v>
      </c>
      <c r="I10" s="49" t="s">
        <v>16</v>
      </c>
      <c r="J10" s="49"/>
      <c r="K10" s="50" t="s">
        <v>9</v>
      </c>
      <c r="L10" s="51">
        <v>9112</v>
      </c>
    </row>
    <row r="11" spans="1:12" ht="61.2" x14ac:dyDescent="0.3">
      <c r="A11" s="45" t="s">
        <v>187</v>
      </c>
      <c r="B11" s="46" t="s">
        <v>201</v>
      </c>
      <c r="C11" s="46" t="s">
        <v>67</v>
      </c>
      <c r="D11" s="46" t="s">
        <v>186</v>
      </c>
      <c r="E11" s="47" t="s">
        <v>69</v>
      </c>
      <c r="F11" s="53" t="s">
        <v>16</v>
      </c>
      <c r="G11" s="53"/>
      <c r="H11" s="47" t="s">
        <v>14</v>
      </c>
      <c r="I11" s="54">
        <v>367</v>
      </c>
      <c r="J11" s="54"/>
      <c r="K11" s="50" t="s">
        <v>9</v>
      </c>
      <c r="L11" s="51">
        <v>8745</v>
      </c>
    </row>
    <row r="12" spans="1:12" hidden="1" x14ac:dyDescent="0.3">
      <c r="A12" s="56" t="s">
        <v>194</v>
      </c>
      <c r="B12" s="56"/>
      <c r="C12" s="56"/>
      <c r="D12" s="56"/>
      <c r="E12" s="57">
        <v>9558.25</v>
      </c>
      <c r="F12" s="57"/>
      <c r="G12" s="57"/>
      <c r="H12" s="57">
        <v>6286.05</v>
      </c>
      <c r="I12" s="57"/>
      <c r="J12" s="57"/>
      <c r="K12" s="58" t="s">
        <v>9</v>
      </c>
      <c r="L12" s="59">
        <v>8745</v>
      </c>
    </row>
    <row r="13" spans="1:12" x14ac:dyDescent="0.3">
      <c r="J13">
        <f>SUBTOTAL(9,I5:J11)</f>
        <v>6286.05</v>
      </c>
    </row>
  </sheetData>
  <autoFilter ref="B1:D12">
    <filterColumn colId="0">
      <filters>
        <filter val="Передача малоцінних активів в експлуатацію ІБ00-000050 від 05.02.2025 18:15:30_x000a_Списание стоимости малоценных активов"/>
        <filter val="Передача малоцінних активів в експлуатацію ІБ00-000078 від 20.02.2025 18:11:22_x000a_Списание стоимости малоценных активов"/>
        <filter val="Передача малоцінних активів в експлуатацію ІБ00-000099 від 28.02.2025 20:00:00_x000a_Списание стоимости малоценных активов"/>
      </filters>
    </filterColumn>
  </autoFilter>
  <mergeCells count="30">
    <mergeCell ref="F10:G10"/>
    <mergeCell ref="I10:J10"/>
    <mergeCell ref="F11:G11"/>
    <mergeCell ref="I11:J11"/>
    <mergeCell ref="A12:D12"/>
    <mergeCell ref="E12:G12"/>
    <mergeCell ref="H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4"/>
  <sheetViews>
    <sheetView topLeftCell="A6" workbookViewId="0">
      <selection activeCell="J15" sqref="J15"/>
    </sheetView>
  </sheetViews>
  <sheetFormatPr defaultRowHeight="14.4" x14ac:dyDescent="0.3"/>
  <cols>
    <col min="2" max="4" width="16.21875" customWidth="1"/>
  </cols>
  <sheetData>
    <row r="1" spans="1:12" x14ac:dyDescent="0.3">
      <c r="A1" s="60" t="s">
        <v>1</v>
      </c>
      <c r="B1" s="61" t="s">
        <v>2</v>
      </c>
      <c r="C1" s="61" t="s">
        <v>3</v>
      </c>
      <c r="D1" s="62" t="s">
        <v>4</v>
      </c>
      <c r="E1" s="63" t="s">
        <v>5</v>
      </c>
      <c r="F1" s="63"/>
      <c r="G1" s="63"/>
      <c r="H1" s="64" t="s">
        <v>6</v>
      </c>
      <c r="I1" s="64"/>
      <c r="J1" s="64"/>
      <c r="K1" s="61" t="s">
        <v>7</v>
      </c>
      <c r="L1" s="61"/>
    </row>
    <row r="2" spans="1:12" x14ac:dyDescent="0.3">
      <c r="A2" s="65"/>
      <c r="B2" s="66"/>
      <c r="C2" s="66"/>
      <c r="D2" s="67"/>
      <c r="E2" s="68" t="s">
        <v>8</v>
      </c>
      <c r="F2" s="69"/>
      <c r="G2" s="69"/>
      <c r="H2" s="70" t="s">
        <v>8</v>
      </c>
      <c r="I2" s="71"/>
      <c r="J2" s="71"/>
      <c r="K2" s="65"/>
      <c r="L2" s="72"/>
    </row>
    <row r="3" spans="1:12" ht="91.8" x14ac:dyDescent="0.3">
      <c r="A3" s="73" t="s">
        <v>113</v>
      </c>
      <c r="B3" s="74" t="s">
        <v>203</v>
      </c>
      <c r="C3" s="74" t="s">
        <v>67</v>
      </c>
      <c r="D3" s="74" t="s">
        <v>204</v>
      </c>
      <c r="E3" s="75" t="s">
        <v>69</v>
      </c>
      <c r="F3" s="76" t="s">
        <v>16</v>
      </c>
      <c r="G3" s="76"/>
      <c r="H3" s="75" t="s">
        <v>14</v>
      </c>
      <c r="I3" s="77">
        <v>256.60000000000002</v>
      </c>
      <c r="J3" s="77"/>
      <c r="K3" s="78" t="s">
        <v>9</v>
      </c>
      <c r="L3" s="79">
        <v>2849.08</v>
      </c>
    </row>
    <row r="4" spans="1:12" ht="81.599999999999994" x14ac:dyDescent="0.3">
      <c r="A4" s="73" t="s">
        <v>113</v>
      </c>
      <c r="B4" s="74" t="s">
        <v>203</v>
      </c>
      <c r="C4" s="74" t="s">
        <v>67</v>
      </c>
      <c r="D4" s="74" t="s">
        <v>205</v>
      </c>
      <c r="E4" s="75" t="s">
        <v>69</v>
      </c>
      <c r="F4" s="76" t="s">
        <v>16</v>
      </c>
      <c r="G4" s="76"/>
      <c r="H4" s="75" t="s">
        <v>14</v>
      </c>
      <c r="I4" s="77">
        <v>441.8</v>
      </c>
      <c r="J4" s="77"/>
      <c r="K4" s="78" t="s">
        <v>9</v>
      </c>
      <c r="L4" s="79">
        <v>2407.2800000000002</v>
      </c>
    </row>
    <row r="5" spans="1:12" ht="91.8" x14ac:dyDescent="0.3">
      <c r="A5" s="73" t="s">
        <v>113</v>
      </c>
      <c r="B5" s="74" t="s">
        <v>203</v>
      </c>
      <c r="C5" s="74" t="s">
        <v>67</v>
      </c>
      <c r="D5" s="74" t="s">
        <v>206</v>
      </c>
      <c r="E5" s="75" t="s">
        <v>69</v>
      </c>
      <c r="F5" s="76" t="s">
        <v>16</v>
      </c>
      <c r="G5" s="76"/>
      <c r="H5" s="75" t="s">
        <v>14</v>
      </c>
      <c r="I5" s="77">
        <v>45.63</v>
      </c>
      <c r="J5" s="77"/>
      <c r="K5" s="78" t="s">
        <v>9</v>
      </c>
      <c r="L5" s="79">
        <v>2361.65</v>
      </c>
    </row>
    <row r="6" spans="1:12" ht="81.599999999999994" x14ac:dyDescent="0.3">
      <c r="A6" s="73" t="s">
        <v>113</v>
      </c>
      <c r="B6" s="74" t="s">
        <v>203</v>
      </c>
      <c r="C6" s="74" t="s">
        <v>67</v>
      </c>
      <c r="D6" s="74" t="s">
        <v>207</v>
      </c>
      <c r="E6" s="75" t="s">
        <v>69</v>
      </c>
      <c r="F6" s="76" t="s">
        <v>16</v>
      </c>
      <c r="G6" s="76"/>
      <c r="H6" s="75" t="s">
        <v>14</v>
      </c>
      <c r="I6" s="77">
        <v>150</v>
      </c>
      <c r="J6" s="77"/>
      <c r="K6" s="78" t="s">
        <v>9</v>
      </c>
      <c r="L6" s="79">
        <v>2211.65</v>
      </c>
    </row>
    <row r="7" spans="1:12" ht="91.8" x14ac:dyDescent="0.3">
      <c r="A7" s="73" t="s">
        <v>113</v>
      </c>
      <c r="B7" s="74" t="s">
        <v>203</v>
      </c>
      <c r="C7" s="74" t="s">
        <v>67</v>
      </c>
      <c r="D7" s="74" t="s">
        <v>208</v>
      </c>
      <c r="E7" s="75" t="s">
        <v>69</v>
      </c>
      <c r="F7" s="76" t="s">
        <v>16</v>
      </c>
      <c r="G7" s="76"/>
      <c r="H7" s="75" t="s">
        <v>14</v>
      </c>
      <c r="I7" s="77">
        <v>147</v>
      </c>
      <c r="J7" s="77"/>
      <c r="K7" s="78" t="s">
        <v>9</v>
      </c>
      <c r="L7" s="79">
        <v>2064.65</v>
      </c>
    </row>
    <row r="8" spans="1:12" ht="71.400000000000006" x14ac:dyDescent="0.3">
      <c r="A8" s="73" t="s">
        <v>113</v>
      </c>
      <c r="B8" s="74" t="s">
        <v>203</v>
      </c>
      <c r="C8" s="74" t="s">
        <v>67</v>
      </c>
      <c r="D8" s="74" t="s">
        <v>209</v>
      </c>
      <c r="E8" s="75" t="s">
        <v>69</v>
      </c>
      <c r="F8" s="76" t="s">
        <v>16</v>
      </c>
      <c r="G8" s="76"/>
      <c r="H8" s="75" t="s">
        <v>14</v>
      </c>
      <c r="I8" s="77">
        <v>852.15</v>
      </c>
      <c r="J8" s="77"/>
      <c r="K8" s="78" t="s">
        <v>9</v>
      </c>
      <c r="L8" s="79">
        <v>1212.5</v>
      </c>
    </row>
    <row r="9" spans="1:12" ht="91.8" x14ac:dyDescent="0.3">
      <c r="A9" s="73" t="s">
        <v>113</v>
      </c>
      <c r="B9" s="74" t="s">
        <v>203</v>
      </c>
      <c r="C9" s="74" t="s">
        <v>67</v>
      </c>
      <c r="D9" s="74" t="s">
        <v>210</v>
      </c>
      <c r="E9" s="75" t="s">
        <v>69</v>
      </c>
      <c r="F9" s="76" t="s">
        <v>16</v>
      </c>
      <c r="G9" s="76"/>
      <c r="H9" s="75" t="s">
        <v>14</v>
      </c>
      <c r="I9" s="77">
        <v>992</v>
      </c>
      <c r="J9" s="77"/>
      <c r="K9" s="78" t="s">
        <v>9</v>
      </c>
      <c r="L9" s="80">
        <v>220.5</v>
      </c>
    </row>
    <row r="10" spans="1:12" ht="71.400000000000006" hidden="1" x14ac:dyDescent="0.3">
      <c r="A10" s="73" t="s">
        <v>146</v>
      </c>
      <c r="B10" s="74" t="s">
        <v>181</v>
      </c>
      <c r="C10" s="74" t="s">
        <v>182</v>
      </c>
      <c r="D10" s="74" t="s">
        <v>157</v>
      </c>
      <c r="E10" s="75" t="s">
        <v>14</v>
      </c>
      <c r="F10" s="81">
        <v>392</v>
      </c>
      <c r="G10" s="81"/>
      <c r="H10" s="75" t="s">
        <v>14</v>
      </c>
      <c r="I10" s="82" t="s">
        <v>16</v>
      </c>
      <c r="J10" s="82"/>
      <c r="K10" s="78" t="s">
        <v>9</v>
      </c>
      <c r="L10" s="80">
        <v>612.5</v>
      </c>
    </row>
    <row r="11" spans="1:12" ht="122.4" hidden="1" x14ac:dyDescent="0.3">
      <c r="A11" s="73" t="s">
        <v>146</v>
      </c>
      <c r="B11" s="74" t="s">
        <v>181</v>
      </c>
      <c r="C11" s="74" t="s">
        <v>183</v>
      </c>
      <c r="D11" s="74" t="s">
        <v>160</v>
      </c>
      <c r="E11" s="75" t="s">
        <v>14</v>
      </c>
      <c r="F11" s="81">
        <v>578</v>
      </c>
      <c r="G11" s="81"/>
      <c r="H11" s="75" t="s">
        <v>14</v>
      </c>
      <c r="I11" s="82" t="s">
        <v>16</v>
      </c>
      <c r="J11" s="82"/>
      <c r="K11" s="78" t="s">
        <v>9</v>
      </c>
      <c r="L11" s="79">
        <v>1190.5</v>
      </c>
    </row>
    <row r="12" spans="1:12" x14ac:dyDescent="0.3">
      <c r="A12" s="83" t="s">
        <v>194</v>
      </c>
      <c r="B12" s="83"/>
      <c r="C12" s="83"/>
      <c r="D12" s="83"/>
      <c r="E12" s="84">
        <v>970</v>
      </c>
      <c r="F12" s="84"/>
      <c r="G12" s="84"/>
      <c r="H12" s="85">
        <v>2885.18</v>
      </c>
      <c r="I12" s="85"/>
      <c r="J12" s="85"/>
      <c r="K12" s="86" t="s">
        <v>9</v>
      </c>
      <c r="L12" s="87">
        <v>1190.5</v>
      </c>
    </row>
    <row r="14" spans="1:12" x14ac:dyDescent="0.3">
      <c r="J14">
        <f>SUBTOTAL(9,I3:J9)</f>
        <v>2885.1800000000003</v>
      </c>
    </row>
  </sheetData>
  <autoFilter ref="B1:D12">
    <filterColumn colId="0">
      <filters blank="1">
        <filter val="Передача малоцінних активів в експлуатацію ІБ00-000081 від 20.02.2025 18:11:28_x000a_Списание стоимости малоценных активов"/>
      </filters>
    </filterColumn>
  </autoFilter>
  <mergeCells count="30">
    <mergeCell ref="F10:G10"/>
    <mergeCell ref="I10:J10"/>
    <mergeCell ref="F11:G11"/>
    <mergeCell ref="I11:J11"/>
    <mergeCell ref="A12:D12"/>
    <mergeCell ref="E12:G12"/>
    <mergeCell ref="H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7"/>
  <sheetViews>
    <sheetView topLeftCell="A8" workbookViewId="0">
      <selection activeCell="F18" sqref="F18"/>
    </sheetView>
  </sheetViews>
  <sheetFormatPr defaultRowHeight="14.4" x14ac:dyDescent="0.3"/>
  <cols>
    <col min="2" max="4" width="14.109375" customWidth="1"/>
  </cols>
  <sheetData>
    <row r="1" spans="1:12" x14ac:dyDescent="0.3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5"/>
      <c r="G1" s="5"/>
      <c r="H1" s="6" t="s">
        <v>6</v>
      </c>
      <c r="I1" s="6"/>
      <c r="J1" s="6"/>
      <c r="K1" s="3" t="s">
        <v>7</v>
      </c>
      <c r="L1" s="3"/>
    </row>
    <row r="2" spans="1:12" x14ac:dyDescent="0.3">
      <c r="A2" s="7"/>
      <c r="B2" s="8"/>
      <c r="C2" s="8"/>
      <c r="D2" s="9"/>
      <c r="E2" s="10" t="s">
        <v>8</v>
      </c>
      <c r="F2" s="11"/>
      <c r="G2" s="11"/>
      <c r="H2" s="12" t="s">
        <v>8</v>
      </c>
      <c r="I2" s="13"/>
      <c r="J2" s="13"/>
      <c r="K2" s="7"/>
      <c r="L2" s="14"/>
    </row>
    <row r="3" spans="1:12" ht="132.6" hidden="1" x14ac:dyDescent="0.3">
      <c r="A3" s="15" t="s">
        <v>10</v>
      </c>
      <c r="B3" s="16" t="s">
        <v>59</v>
      </c>
      <c r="C3" s="16" t="s">
        <v>60</v>
      </c>
      <c r="D3" s="16" t="s">
        <v>23</v>
      </c>
      <c r="E3" s="17" t="s">
        <v>14</v>
      </c>
      <c r="F3" s="18">
        <v>2587</v>
      </c>
      <c r="G3" s="18"/>
      <c r="H3" s="17" t="s">
        <v>14</v>
      </c>
      <c r="I3" s="19" t="s">
        <v>16</v>
      </c>
      <c r="J3" s="19"/>
      <c r="K3" s="20" t="s">
        <v>9</v>
      </c>
      <c r="L3" s="21">
        <v>2587</v>
      </c>
    </row>
    <row r="4" spans="1:12" ht="163.19999999999999" hidden="1" x14ac:dyDescent="0.3">
      <c r="A4" s="15" t="s">
        <v>10</v>
      </c>
      <c r="B4" s="16" t="s">
        <v>59</v>
      </c>
      <c r="C4" s="16" t="s">
        <v>61</v>
      </c>
      <c r="D4" s="16" t="s">
        <v>24</v>
      </c>
      <c r="E4" s="17" t="s">
        <v>14</v>
      </c>
      <c r="F4" s="22">
        <v>394.2</v>
      </c>
      <c r="G4" s="22"/>
      <c r="H4" s="17" t="s">
        <v>14</v>
      </c>
      <c r="I4" s="19" t="s">
        <v>16</v>
      </c>
      <c r="J4" s="19"/>
      <c r="K4" s="20" t="s">
        <v>9</v>
      </c>
      <c r="L4" s="21">
        <v>2981.2</v>
      </c>
    </row>
    <row r="5" spans="1:12" ht="153" hidden="1" x14ac:dyDescent="0.3">
      <c r="A5" s="15" t="s">
        <v>10</v>
      </c>
      <c r="B5" s="16" t="s">
        <v>59</v>
      </c>
      <c r="C5" s="16" t="s">
        <v>62</v>
      </c>
      <c r="D5" s="16" t="s">
        <v>26</v>
      </c>
      <c r="E5" s="17" t="s">
        <v>14</v>
      </c>
      <c r="F5" s="22">
        <v>154.25</v>
      </c>
      <c r="G5" s="22"/>
      <c r="H5" s="17" t="s">
        <v>14</v>
      </c>
      <c r="I5" s="19" t="s">
        <v>16</v>
      </c>
      <c r="J5" s="19"/>
      <c r="K5" s="20" t="s">
        <v>9</v>
      </c>
      <c r="L5" s="21">
        <v>3135.45</v>
      </c>
    </row>
    <row r="6" spans="1:12" ht="142.80000000000001" hidden="1" x14ac:dyDescent="0.3">
      <c r="A6" s="15" t="s">
        <v>10</v>
      </c>
      <c r="B6" s="16" t="s">
        <v>59</v>
      </c>
      <c r="C6" s="16" t="s">
        <v>63</v>
      </c>
      <c r="D6" s="16" t="s">
        <v>27</v>
      </c>
      <c r="E6" s="17" t="s">
        <v>14</v>
      </c>
      <c r="F6" s="22">
        <v>100</v>
      </c>
      <c r="G6" s="22"/>
      <c r="H6" s="17" t="s">
        <v>14</v>
      </c>
      <c r="I6" s="19" t="s">
        <v>16</v>
      </c>
      <c r="J6" s="19"/>
      <c r="K6" s="20" t="s">
        <v>9</v>
      </c>
      <c r="L6" s="21">
        <v>3235.45</v>
      </c>
    </row>
    <row r="7" spans="1:12" ht="153" hidden="1" x14ac:dyDescent="0.3">
      <c r="A7" s="15" t="s">
        <v>10</v>
      </c>
      <c r="B7" s="16" t="s">
        <v>59</v>
      </c>
      <c r="C7" s="16" t="s">
        <v>64</v>
      </c>
      <c r="D7" s="16" t="s">
        <v>34</v>
      </c>
      <c r="E7" s="17" t="s">
        <v>14</v>
      </c>
      <c r="F7" s="22">
        <v>345.5</v>
      </c>
      <c r="G7" s="22"/>
      <c r="H7" s="17" t="s">
        <v>14</v>
      </c>
      <c r="I7" s="19" t="s">
        <v>16</v>
      </c>
      <c r="J7" s="19"/>
      <c r="K7" s="20" t="s">
        <v>9</v>
      </c>
      <c r="L7" s="21">
        <v>3580.95</v>
      </c>
    </row>
    <row r="8" spans="1:12" ht="112.2" x14ac:dyDescent="0.3">
      <c r="A8" s="15" t="s">
        <v>113</v>
      </c>
      <c r="B8" s="16" t="s">
        <v>212</v>
      </c>
      <c r="C8" s="16" t="s">
        <v>67</v>
      </c>
      <c r="D8" s="16" t="s">
        <v>61</v>
      </c>
      <c r="E8" s="17" t="s">
        <v>69</v>
      </c>
      <c r="F8" s="23" t="s">
        <v>16</v>
      </c>
      <c r="G8" s="23"/>
      <c r="H8" s="17" t="s">
        <v>14</v>
      </c>
      <c r="I8" s="24">
        <v>394.2</v>
      </c>
      <c r="J8" s="24"/>
      <c r="K8" s="20" t="s">
        <v>9</v>
      </c>
      <c r="L8" s="21">
        <v>3186.75</v>
      </c>
    </row>
    <row r="9" spans="1:12" ht="112.2" x14ac:dyDescent="0.3">
      <c r="A9" s="15" t="s">
        <v>113</v>
      </c>
      <c r="B9" s="16" t="s">
        <v>212</v>
      </c>
      <c r="C9" s="16" t="s">
        <v>67</v>
      </c>
      <c r="D9" s="16" t="s">
        <v>64</v>
      </c>
      <c r="E9" s="17" t="s">
        <v>69</v>
      </c>
      <c r="F9" s="23" t="s">
        <v>16</v>
      </c>
      <c r="G9" s="23"/>
      <c r="H9" s="17" t="s">
        <v>14</v>
      </c>
      <c r="I9" s="24">
        <v>345.5</v>
      </c>
      <c r="J9" s="24"/>
      <c r="K9" s="20" t="s">
        <v>9</v>
      </c>
      <c r="L9" s="21">
        <v>2841.25</v>
      </c>
    </row>
    <row r="10" spans="1:12" ht="132.6" x14ac:dyDescent="0.3">
      <c r="A10" s="15" t="s">
        <v>113</v>
      </c>
      <c r="B10" s="16" t="s">
        <v>212</v>
      </c>
      <c r="C10" s="16" t="s">
        <v>67</v>
      </c>
      <c r="D10" s="16" t="s">
        <v>60</v>
      </c>
      <c r="E10" s="17" t="s">
        <v>69</v>
      </c>
      <c r="F10" s="23" t="s">
        <v>16</v>
      </c>
      <c r="G10" s="23"/>
      <c r="H10" s="17" t="s">
        <v>14</v>
      </c>
      <c r="I10" s="25">
        <v>2587</v>
      </c>
      <c r="J10" s="25"/>
      <c r="K10" s="20" t="s">
        <v>9</v>
      </c>
      <c r="L10" s="88">
        <v>254.25</v>
      </c>
    </row>
    <row r="11" spans="1:12" ht="122.4" hidden="1" x14ac:dyDescent="0.3">
      <c r="A11" s="15" t="s">
        <v>213</v>
      </c>
      <c r="B11" s="16" t="s">
        <v>214</v>
      </c>
      <c r="C11" s="16" t="s">
        <v>215</v>
      </c>
      <c r="D11" s="16" t="s">
        <v>99</v>
      </c>
      <c r="E11" s="17" t="s">
        <v>14</v>
      </c>
      <c r="F11" s="22">
        <v>658.35</v>
      </c>
      <c r="G11" s="22"/>
      <c r="H11" s="17" t="s">
        <v>15</v>
      </c>
      <c r="I11" s="19" t="s">
        <v>16</v>
      </c>
      <c r="J11" s="19"/>
      <c r="K11" s="20" t="s">
        <v>9</v>
      </c>
      <c r="L11" s="88">
        <v>912.6</v>
      </c>
    </row>
    <row r="12" spans="1:12" ht="163.19999999999999" hidden="1" x14ac:dyDescent="0.3">
      <c r="A12" s="15" t="s">
        <v>213</v>
      </c>
      <c r="B12" s="16" t="s">
        <v>214</v>
      </c>
      <c r="C12" s="16" t="s">
        <v>216</v>
      </c>
      <c r="D12" s="16" t="s">
        <v>99</v>
      </c>
      <c r="E12" s="17" t="s">
        <v>14</v>
      </c>
      <c r="F12" s="22">
        <v>658.35</v>
      </c>
      <c r="G12" s="22"/>
      <c r="H12" s="17" t="s">
        <v>15</v>
      </c>
      <c r="I12" s="19" t="s">
        <v>16</v>
      </c>
      <c r="J12" s="19"/>
      <c r="K12" s="20" t="s">
        <v>9</v>
      </c>
      <c r="L12" s="21">
        <v>1570.95</v>
      </c>
    </row>
    <row r="13" spans="1:12" ht="163.19999999999999" hidden="1" x14ac:dyDescent="0.3">
      <c r="A13" s="15" t="s">
        <v>146</v>
      </c>
      <c r="B13" s="16" t="s">
        <v>166</v>
      </c>
      <c r="C13" s="16" t="s">
        <v>167</v>
      </c>
      <c r="D13" s="16" t="s">
        <v>151</v>
      </c>
      <c r="E13" s="17" t="s">
        <v>14</v>
      </c>
      <c r="F13" s="22">
        <v>511</v>
      </c>
      <c r="G13" s="22"/>
      <c r="H13" s="17" t="s">
        <v>14</v>
      </c>
      <c r="I13" s="19" t="s">
        <v>16</v>
      </c>
      <c r="J13" s="19"/>
      <c r="K13" s="20" t="s">
        <v>9</v>
      </c>
      <c r="L13" s="21">
        <v>2081.9499999999998</v>
      </c>
    </row>
    <row r="14" spans="1:12" ht="173.4" hidden="1" x14ac:dyDescent="0.3">
      <c r="A14" s="15" t="s">
        <v>146</v>
      </c>
      <c r="B14" s="16" t="s">
        <v>166</v>
      </c>
      <c r="C14" s="16" t="s">
        <v>168</v>
      </c>
      <c r="D14" s="16" t="s">
        <v>103</v>
      </c>
      <c r="E14" s="17" t="s">
        <v>14</v>
      </c>
      <c r="F14" s="22">
        <v>294</v>
      </c>
      <c r="G14" s="22"/>
      <c r="H14" s="17" t="s">
        <v>14</v>
      </c>
      <c r="I14" s="19" t="s">
        <v>16</v>
      </c>
      <c r="J14" s="19"/>
      <c r="K14" s="20" t="s">
        <v>9</v>
      </c>
      <c r="L14" s="21">
        <v>2375.9499999999998</v>
      </c>
    </row>
    <row r="15" spans="1:12" x14ac:dyDescent="0.3">
      <c r="A15" s="26" t="s">
        <v>194</v>
      </c>
      <c r="B15" s="26"/>
      <c r="C15" s="26"/>
      <c r="D15" s="26"/>
      <c r="E15" s="27">
        <v>5702.65</v>
      </c>
      <c r="F15" s="27"/>
      <c r="G15" s="27"/>
      <c r="H15" s="27">
        <v>3326.7</v>
      </c>
      <c r="I15" s="27"/>
      <c r="J15" s="27"/>
      <c r="K15" s="28" t="s">
        <v>9</v>
      </c>
      <c r="L15" s="29">
        <v>2375.9499999999998</v>
      </c>
    </row>
    <row r="17" spans="10:10" x14ac:dyDescent="0.3">
      <c r="J17">
        <f>SUBTOTAL(9,I8:J10)</f>
        <v>3326.7</v>
      </c>
    </row>
  </sheetData>
  <autoFilter ref="B1:D15">
    <filterColumn colId="0">
      <filters blank="1">
        <filter val="Передача малоцінних активів в експлуатацію ІБ00-000082 від 20.02.2025 18:11:30_x000a_Списание стоимости малоценных активов"/>
      </filters>
    </filterColumn>
  </autoFilter>
  <mergeCells count="36">
    <mergeCell ref="F13:G13"/>
    <mergeCell ref="I13:J13"/>
    <mergeCell ref="F14:G14"/>
    <mergeCell ref="I14:J14"/>
    <mergeCell ref="A15:D15"/>
    <mergeCell ref="E15:G15"/>
    <mergeCell ref="H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2"/>
  <sheetViews>
    <sheetView topLeftCell="A37" workbookViewId="0">
      <selection activeCell="J43" sqref="J43"/>
    </sheetView>
  </sheetViews>
  <sheetFormatPr defaultRowHeight="14.4" x14ac:dyDescent="0.3"/>
  <cols>
    <col min="2" max="4" width="15.88671875" customWidth="1"/>
  </cols>
  <sheetData>
    <row r="1" spans="1:12" x14ac:dyDescent="0.3">
      <c r="A1" s="89" t="s">
        <v>1</v>
      </c>
      <c r="B1" s="90" t="s">
        <v>2</v>
      </c>
      <c r="C1" s="90" t="s">
        <v>3</v>
      </c>
      <c r="D1" s="91" t="s">
        <v>4</v>
      </c>
      <c r="E1" s="92" t="s">
        <v>5</v>
      </c>
      <c r="F1" s="92"/>
      <c r="G1" s="92"/>
      <c r="H1" s="93" t="s">
        <v>6</v>
      </c>
      <c r="I1" s="93"/>
      <c r="J1" s="93"/>
      <c r="K1" s="90" t="s">
        <v>7</v>
      </c>
      <c r="L1" s="90"/>
    </row>
    <row r="2" spans="1:12" hidden="1" x14ac:dyDescent="0.3">
      <c r="A2" s="94"/>
      <c r="B2" s="95"/>
      <c r="C2" s="95"/>
      <c r="D2" s="96"/>
      <c r="E2" s="97" t="s">
        <v>8</v>
      </c>
      <c r="F2" s="98"/>
      <c r="G2" s="98"/>
      <c r="H2" s="99" t="s">
        <v>8</v>
      </c>
      <c r="I2" s="100"/>
      <c r="J2" s="100"/>
      <c r="K2" s="94"/>
      <c r="L2" s="101"/>
    </row>
    <row r="3" spans="1:12" ht="102" hidden="1" x14ac:dyDescent="0.3">
      <c r="A3" s="102" t="s">
        <v>218</v>
      </c>
      <c r="B3" s="103" t="s">
        <v>219</v>
      </c>
      <c r="C3" s="103" t="s">
        <v>220</v>
      </c>
      <c r="D3" s="103" t="s">
        <v>221</v>
      </c>
      <c r="E3" s="104" t="s">
        <v>14</v>
      </c>
      <c r="F3" s="105">
        <v>1177.5999999999999</v>
      </c>
      <c r="G3" s="105"/>
      <c r="H3" s="104" t="s">
        <v>14</v>
      </c>
      <c r="I3" s="106" t="s">
        <v>16</v>
      </c>
      <c r="J3" s="106"/>
      <c r="K3" s="107" t="s">
        <v>9</v>
      </c>
      <c r="L3" s="108">
        <v>7033.4</v>
      </c>
    </row>
    <row r="4" spans="1:12" ht="91.8" hidden="1" x14ac:dyDescent="0.3">
      <c r="A4" s="102" t="s">
        <v>218</v>
      </c>
      <c r="B4" s="103" t="s">
        <v>219</v>
      </c>
      <c r="C4" s="103" t="s">
        <v>222</v>
      </c>
      <c r="D4" s="103" t="s">
        <v>223</v>
      </c>
      <c r="E4" s="104" t="s">
        <v>14</v>
      </c>
      <c r="F4" s="109">
        <v>161</v>
      </c>
      <c r="G4" s="109"/>
      <c r="H4" s="104" t="s">
        <v>14</v>
      </c>
      <c r="I4" s="106" t="s">
        <v>16</v>
      </c>
      <c r="J4" s="106"/>
      <c r="K4" s="107" t="s">
        <v>9</v>
      </c>
      <c r="L4" s="108">
        <v>7194.4</v>
      </c>
    </row>
    <row r="5" spans="1:12" ht="102" hidden="1" x14ac:dyDescent="0.3">
      <c r="A5" s="102" t="s">
        <v>218</v>
      </c>
      <c r="B5" s="103" t="s">
        <v>219</v>
      </c>
      <c r="C5" s="103" t="s">
        <v>224</v>
      </c>
      <c r="D5" s="103" t="s">
        <v>225</v>
      </c>
      <c r="E5" s="104" t="s">
        <v>14</v>
      </c>
      <c r="F5" s="109">
        <v>253.75</v>
      </c>
      <c r="G5" s="109"/>
      <c r="H5" s="104" t="s">
        <v>14</v>
      </c>
      <c r="I5" s="106" t="s">
        <v>16</v>
      </c>
      <c r="J5" s="106"/>
      <c r="K5" s="107" t="s">
        <v>9</v>
      </c>
      <c r="L5" s="108">
        <v>7448.15</v>
      </c>
    </row>
    <row r="6" spans="1:12" ht="102" hidden="1" x14ac:dyDescent="0.3">
      <c r="A6" s="102" t="s">
        <v>218</v>
      </c>
      <c r="B6" s="103" t="s">
        <v>226</v>
      </c>
      <c r="C6" s="103" t="s">
        <v>227</v>
      </c>
      <c r="D6" s="103" t="s">
        <v>228</v>
      </c>
      <c r="E6" s="104" t="s">
        <v>14</v>
      </c>
      <c r="F6" s="109">
        <v>765</v>
      </c>
      <c r="G6" s="109"/>
      <c r="H6" s="104" t="s">
        <v>15</v>
      </c>
      <c r="I6" s="106" t="s">
        <v>16</v>
      </c>
      <c r="J6" s="106"/>
      <c r="K6" s="107" t="s">
        <v>9</v>
      </c>
      <c r="L6" s="108">
        <v>8213.15</v>
      </c>
    </row>
    <row r="7" spans="1:12" ht="102" hidden="1" x14ac:dyDescent="0.3">
      <c r="A7" s="102" t="s">
        <v>10</v>
      </c>
      <c r="B7" s="103" t="s">
        <v>50</v>
      </c>
      <c r="C7" s="103" t="s">
        <v>51</v>
      </c>
      <c r="D7" s="103" t="s">
        <v>12</v>
      </c>
      <c r="E7" s="104" t="s">
        <v>14</v>
      </c>
      <c r="F7" s="109">
        <v>702</v>
      </c>
      <c r="G7" s="109"/>
      <c r="H7" s="104" t="s">
        <v>14</v>
      </c>
      <c r="I7" s="106" t="s">
        <v>16</v>
      </c>
      <c r="J7" s="106"/>
      <c r="K7" s="107" t="s">
        <v>9</v>
      </c>
      <c r="L7" s="108">
        <v>8915.15</v>
      </c>
    </row>
    <row r="8" spans="1:12" ht="91.8" hidden="1" x14ac:dyDescent="0.3">
      <c r="A8" s="102" t="s">
        <v>10</v>
      </c>
      <c r="B8" s="103" t="s">
        <v>50</v>
      </c>
      <c r="C8" s="103" t="s">
        <v>52</v>
      </c>
      <c r="D8" s="103" t="s">
        <v>17</v>
      </c>
      <c r="E8" s="104" t="s">
        <v>14</v>
      </c>
      <c r="F8" s="109">
        <v>297.5</v>
      </c>
      <c r="G8" s="109"/>
      <c r="H8" s="104" t="s">
        <v>14</v>
      </c>
      <c r="I8" s="106" t="s">
        <v>16</v>
      </c>
      <c r="J8" s="106"/>
      <c r="K8" s="107" t="s">
        <v>9</v>
      </c>
      <c r="L8" s="108">
        <v>9212.65</v>
      </c>
    </row>
    <row r="9" spans="1:12" ht="112.2" hidden="1" x14ac:dyDescent="0.3">
      <c r="A9" s="102" t="s">
        <v>10</v>
      </c>
      <c r="B9" s="103" t="s">
        <v>50</v>
      </c>
      <c r="C9" s="103" t="s">
        <v>53</v>
      </c>
      <c r="D9" s="103" t="s">
        <v>22</v>
      </c>
      <c r="E9" s="104" t="s">
        <v>14</v>
      </c>
      <c r="F9" s="109">
        <v>595.20000000000005</v>
      </c>
      <c r="G9" s="109"/>
      <c r="H9" s="104" t="s">
        <v>14</v>
      </c>
      <c r="I9" s="106" t="s">
        <v>16</v>
      </c>
      <c r="J9" s="106"/>
      <c r="K9" s="107" t="s">
        <v>9</v>
      </c>
      <c r="L9" s="108">
        <v>9807.85</v>
      </c>
    </row>
    <row r="10" spans="1:12" ht="102" hidden="1" x14ac:dyDescent="0.3">
      <c r="A10" s="102" t="s">
        <v>10</v>
      </c>
      <c r="B10" s="103" t="s">
        <v>50</v>
      </c>
      <c r="C10" s="103" t="s">
        <v>54</v>
      </c>
      <c r="D10" s="103" t="s">
        <v>28</v>
      </c>
      <c r="E10" s="104" t="s">
        <v>14</v>
      </c>
      <c r="F10" s="109">
        <v>203</v>
      </c>
      <c r="G10" s="109"/>
      <c r="H10" s="104" t="s">
        <v>14</v>
      </c>
      <c r="I10" s="106" t="s">
        <v>16</v>
      </c>
      <c r="J10" s="106"/>
      <c r="K10" s="107" t="s">
        <v>9</v>
      </c>
      <c r="L10" s="108">
        <v>10010.85</v>
      </c>
    </row>
    <row r="11" spans="1:12" ht="91.8" hidden="1" x14ac:dyDescent="0.3">
      <c r="A11" s="102" t="s">
        <v>10</v>
      </c>
      <c r="B11" s="103" t="s">
        <v>50</v>
      </c>
      <c r="C11" s="103" t="s">
        <v>55</v>
      </c>
      <c r="D11" s="103" t="s">
        <v>33</v>
      </c>
      <c r="E11" s="104" t="s">
        <v>14</v>
      </c>
      <c r="F11" s="109">
        <v>33</v>
      </c>
      <c r="G11" s="109"/>
      <c r="H11" s="104" t="s">
        <v>14</v>
      </c>
      <c r="I11" s="106" t="s">
        <v>16</v>
      </c>
      <c r="J11" s="106"/>
      <c r="K11" s="107" t="s">
        <v>9</v>
      </c>
      <c r="L11" s="108">
        <v>10043.85</v>
      </c>
    </row>
    <row r="12" spans="1:12" ht="112.2" x14ac:dyDescent="0.3">
      <c r="A12" s="102" t="s">
        <v>65</v>
      </c>
      <c r="B12" s="103" t="s">
        <v>229</v>
      </c>
      <c r="C12" s="103" t="s">
        <v>67</v>
      </c>
      <c r="D12" s="103" t="s">
        <v>230</v>
      </c>
      <c r="E12" s="104" t="s">
        <v>69</v>
      </c>
      <c r="F12" s="110" t="s">
        <v>16</v>
      </c>
      <c r="G12" s="110"/>
      <c r="H12" s="104" t="s">
        <v>14</v>
      </c>
      <c r="I12" s="111">
        <v>277.5</v>
      </c>
      <c r="J12" s="111"/>
      <c r="K12" s="107" t="s">
        <v>9</v>
      </c>
      <c r="L12" s="108">
        <v>9766.35</v>
      </c>
    </row>
    <row r="13" spans="1:12" ht="102" x14ac:dyDescent="0.3">
      <c r="A13" s="102" t="s">
        <v>65</v>
      </c>
      <c r="B13" s="103" t="s">
        <v>229</v>
      </c>
      <c r="C13" s="103" t="s">
        <v>67</v>
      </c>
      <c r="D13" s="103" t="s">
        <v>231</v>
      </c>
      <c r="E13" s="104" t="s">
        <v>69</v>
      </c>
      <c r="F13" s="110" t="s">
        <v>16</v>
      </c>
      <c r="G13" s="110"/>
      <c r="H13" s="104" t="s">
        <v>14</v>
      </c>
      <c r="I13" s="111">
        <v>658.35</v>
      </c>
      <c r="J13" s="111"/>
      <c r="K13" s="107" t="s">
        <v>9</v>
      </c>
      <c r="L13" s="108">
        <v>9108</v>
      </c>
    </row>
    <row r="14" spans="1:12" ht="102" x14ac:dyDescent="0.3">
      <c r="A14" s="102" t="s">
        <v>65</v>
      </c>
      <c r="B14" s="103" t="s">
        <v>229</v>
      </c>
      <c r="C14" s="103" t="s">
        <v>67</v>
      </c>
      <c r="D14" s="103" t="s">
        <v>232</v>
      </c>
      <c r="E14" s="104" t="s">
        <v>69</v>
      </c>
      <c r="F14" s="110" t="s">
        <v>16</v>
      </c>
      <c r="G14" s="110"/>
      <c r="H14" s="104" t="s">
        <v>14</v>
      </c>
      <c r="I14" s="111">
        <v>658.35</v>
      </c>
      <c r="J14" s="111"/>
      <c r="K14" s="107" t="s">
        <v>9</v>
      </c>
      <c r="L14" s="108">
        <v>8449.65</v>
      </c>
    </row>
    <row r="15" spans="1:12" ht="91.8" x14ac:dyDescent="0.3">
      <c r="A15" s="102" t="s">
        <v>65</v>
      </c>
      <c r="B15" s="103" t="s">
        <v>229</v>
      </c>
      <c r="C15" s="103" t="s">
        <v>67</v>
      </c>
      <c r="D15" s="103" t="s">
        <v>233</v>
      </c>
      <c r="E15" s="104" t="s">
        <v>69</v>
      </c>
      <c r="F15" s="110" t="s">
        <v>16</v>
      </c>
      <c r="G15" s="110"/>
      <c r="H15" s="104" t="s">
        <v>14</v>
      </c>
      <c r="I15" s="112">
        <v>1000.98</v>
      </c>
      <c r="J15" s="112"/>
      <c r="K15" s="107" t="s">
        <v>9</v>
      </c>
      <c r="L15" s="108">
        <v>7448.67</v>
      </c>
    </row>
    <row r="16" spans="1:12" ht="102" x14ac:dyDescent="0.3">
      <c r="A16" s="102" t="s">
        <v>65</v>
      </c>
      <c r="B16" s="103" t="s">
        <v>229</v>
      </c>
      <c r="C16" s="103" t="s">
        <v>67</v>
      </c>
      <c r="D16" s="103" t="s">
        <v>224</v>
      </c>
      <c r="E16" s="104" t="s">
        <v>69</v>
      </c>
      <c r="F16" s="110" t="s">
        <v>16</v>
      </c>
      <c r="G16" s="110"/>
      <c r="H16" s="104" t="s">
        <v>14</v>
      </c>
      <c r="I16" s="111">
        <v>253.75</v>
      </c>
      <c r="J16" s="111"/>
      <c r="K16" s="107" t="s">
        <v>9</v>
      </c>
      <c r="L16" s="108">
        <v>7194.92</v>
      </c>
    </row>
    <row r="17" spans="1:12" ht="91.8" x14ac:dyDescent="0.3">
      <c r="A17" s="102" t="s">
        <v>65</v>
      </c>
      <c r="B17" s="103" t="s">
        <v>229</v>
      </c>
      <c r="C17" s="103" t="s">
        <v>67</v>
      </c>
      <c r="D17" s="103" t="s">
        <v>222</v>
      </c>
      <c r="E17" s="104" t="s">
        <v>69</v>
      </c>
      <c r="F17" s="110" t="s">
        <v>16</v>
      </c>
      <c r="G17" s="110"/>
      <c r="H17" s="104" t="s">
        <v>14</v>
      </c>
      <c r="I17" s="111">
        <v>161</v>
      </c>
      <c r="J17" s="111"/>
      <c r="K17" s="107" t="s">
        <v>9</v>
      </c>
      <c r="L17" s="108">
        <v>7033.92</v>
      </c>
    </row>
    <row r="18" spans="1:12" ht="102" x14ac:dyDescent="0.3">
      <c r="A18" s="102" t="s">
        <v>65</v>
      </c>
      <c r="B18" s="103" t="s">
        <v>229</v>
      </c>
      <c r="C18" s="103" t="s">
        <v>67</v>
      </c>
      <c r="D18" s="103" t="s">
        <v>220</v>
      </c>
      <c r="E18" s="104" t="s">
        <v>69</v>
      </c>
      <c r="F18" s="110" t="s">
        <v>16</v>
      </c>
      <c r="G18" s="110"/>
      <c r="H18" s="104" t="s">
        <v>14</v>
      </c>
      <c r="I18" s="112">
        <v>1177.5999999999999</v>
      </c>
      <c r="J18" s="112"/>
      <c r="K18" s="107" t="s">
        <v>9</v>
      </c>
      <c r="L18" s="108">
        <v>5856.32</v>
      </c>
    </row>
    <row r="19" spans="1:12" ht="91.8" x14ac:dyDescent="0.3">
      <c r="A19" s="102" t="s">
        <v>113</v>
      </c>
      <c r="B19" s="103" t="s">
        <v>234</v>
      </c>
      <c r="C19" s="103" t="s">
        <v>67</v>
      </c>
      <c r="D19" s="103" t="s">
        <v>55</v>
      </c>
      <c r="E19" s="104" t="s">
        <v>69</v>
      </c>
      <c r="F19" s="110" t="s">
        <v>16</v>
      </c>
      <c r="G19" s="110"/>
      <c r="H19" s="104" t="s">
        <v>14</v>
      </c>
      <c r="I19" s="111">
        <v>33</v>
      </c>
      <c r="J19" s="111"/>
      <c r="K19" s="107" t="s">
        <v>9</v>
      </c>
      <c r="L19" s="108">
        <v>5823.32</v>
      </c>
    </row>
    <row r="20" spans="1:12" ht="91.8" x14ac:dyDescent="0.3">
      <c r="A20" s="102" t="s">
        <v>113</v>
      </c>
      <c r="B20" s="103" t="s">
        <v>234</v>
      </c>
      <c r="C20" s="103" t="s">
        <v>67</v>
      </c>
      <c r="D20" s="103" t="s">
        <v>233</v>
      </c>
      <c r="E20" s="104" t="s">
        <v>69</v>
      </c>
      <c r="F20" s="110" t="s">
        <v>16</v>
      </c>
      <c r="G20" s="110"/>
      <c r="H20" s="104" t="s">
        <v>14</v>
      </c>
      <c r="I20" s="111">
        <v>834.15</v>
      </c>
      <c r="J20" s="111"/>
      <c r="K20" s="107" t="s">
        <v>9</v>
      </c>
      <c r="L20" s="108">
        <v>4989.17</v>
      </c>
    </row>
    <row r="21" spans="1:12" ht="102" x14ac:dyDescent="0.3">
      <c r="A21" s="102" t="s">
        <v>113</v>
      </c>
      <c r="B21" s="103" t="s">
        <v>234</v>
      </c>
      <c r="C21" s="103" t="s">
        <v>67</v>
      </c>
      <c r="D21" s="103" t="s">
        <v>54</v>
      </c>
      <c r="E21" s="104" t="s">
        <v>69</v>
      </c>
      <c r="F21" s="110" t="s">
        <v>16</v>
      </c>
      <c r="G21" s="110"/>
      <c r="H21" s="104" t="s">
        <v>14</v>
      </c>
      <c r="I21" s="111">
        <v>203</v>
      </c>
      <c r="J21" s="111"/>
      <c r="K21" s="107" t="s">
        <v>9</v>
      </c>
      <c r="L21" s="108">
        <v>4786.17</v>
      </c>
    </row>
    <row r="22" spans="1:12" ht="112.2" x14ac:dyDescent="0.3">
      <c r="A22" s="102" t="s">
        <v>113</v>
      </c>
      <c r="B22" s="103" t="s">
        <v>234</v>
      </c>
      <c r="C22" s="103" t="s">
        <v>67</v>
      </c>
      <c r="D22" s="103" t="s">
        <v>53</v>
      </c>
      <c r="E22" s="104" t="s">
        <v>69</v>
      </c>
      <c r="F22" s="110" t="s">
        <v>16</v>
      </c>
      <c r="G22" s="110"/>
      <c r="H22" s="104" t="s">
        <v>14</v>
      </c>
      <c r="I22" s="111">
        <v>396.8</v>
      </c>
      <c r="J22" s="111"/>
      <c r="K22" s="107" t="s">
        <v>9</v>
      </c>
      <c r="L22" s="108">
        <v>4389.37</v>
      </c>
    </row>
    <row r="23" spans="1:12" ht="91.8" x14ac:dyDescent="0.3">
      <c r="A23" s="102" t="s">
        <v>113</v>
      </c>
      <c r="B23" s="103" t="s">
        <v>234</v>
      </c>
      <c r="C23" s="103" t="s">
        <v>67</v>
      </c>
      <c r="D23" s="103" t="s">
        <v>52</v>
      </c>
      <c r="E23" s="104" t="s">
        <v>69</v>
      </c>
      <c r="F23" s="110" t="s">
        <v>16</v>
      </c>
      <c r="G23" s="110"/>
      <c r="H23" s="104" t="s">
        <v>14</v>
      </c>
      <c r="I23" s="111">
        <v>148.75</v>
      </c>
      <c r="J23" s="111"/>
      <c r="K23" s="107" t="s">
        <v>9</v>
      </c>
      <c r="L23" s="108">
        <v>4240.62</v>
      </c>
    </row>
    <row r="24" spans="1:12" ht="112.2" x14ac:dyDescent="0.3">
      <c r="A24" s="102" t="s">
        <v>113</v>
      </c>
      <c r="B24" s="103" t="s">
        <v>234</v>
      </c>
      <c r="C24" s="103" t="s">
        <v>67</v>
      </c>
      <c r="D24" s="103" t="s">
        <v>230</v>
      </c>
      <c r="E24" s="104" t="s">
        <v>69</v>
      </c>
      <c r="F24" s="110" t="s">
        <v>16</v>
      </c>
      <c r="G24" s="110"/>
      <c r="H24" s="104" t="s">
        <v>14</v>
      </c>
      <c r="I24" s="111">
        <v>555</v>
      </c>
      <c r="J24" s="111"/>
      <c r="K24" s="107" t="s">
        <v>9</v>
      </c>
      <c r="L24" s="108">
        <v>3685.62</v>
      </c>
    </row>
    <row r="25" spans="1:12" ht="102" x14ac:dyDescent="0.3">
      <c r="A25" s="102" t="s">
        <v>113</v>
      </c>
      <c r="B25" s="103" t="s">
        <v>234</v>
      </c>
      <c r="C25" s="103" t="s">
        <v>67</v>
      </c>
      <c r="D25" s="103" t="s">
        <v>51</v>
      </c>
      <c r="E25" s="104" t="s">
        <v>69</v>
      </c>
      <c r="F25" s="110" t="s">
        <v>16</v>
      </c>
      <c r="G25" s="110"/>
      <c r="H25" s="104" t="s">
        <v>14</v>
      </c>
      <c r="I25" s="111">
        <v>351</v>
      </c>
      <c r="J25" s="111"/>
      <c r="K25" s="107" t="s">
        <v>9</v>
      </c>
      <c r="L25" s="108">
        <v>3334.62</v>
      </c>
    </row>
    <row r="26" spans="1:12" ht="91.8" x14ac:dyDescent="0.3">
      <c r="A26" s="102" t="s">
        <v>235</v>
      </c>
      <c r="B26" s="103" t="s">
        <v>236</v>
      </c>
      <c r="C26" s="103" t="s">
        <v>67</v>
      </c>
      <c r="D26" s="103" t="s">
        <v>233</v>
      </c>
      <c r="E26" s="104" t="s">
        <v>69</v>
      </c>
      <c r="F26" s="110" t="s">
        <v>16</v>
      </c>
      <c r="G26" s="110"/>
      <c r="H26" s="104" t="s">
        <v>14</v>
      </c>
      <c r="I26" s="111">
        <v>333.66</v>
      </c>
      <c r="J26" s="111"/>
      <c r="K26" s="107" t="s">
        <v>9</v>
      </c>
      <c r="L26" s="108">
        <v>3000.96</v>
      </c>
    </row>
    <row r="27" spans="1:12" ht="112.2" x14ac:dyDescent="0.3">
      <c r="A27" s="102" t="s">
        <v>235</v>
      </c>
      <c r="B27" s="103" t="s">
        <v>236</v>
      </c>
      <c r="C27" s="103" t="s">
        <v>67</v>
      </c>
      <c r="D27" s="103" t="s">
        <v>230</v>
      </c>
      <c r="E27" s="104" t="s">
        <v>69</v>
      </c>
      <c r="F27" s="110" t="s">
        <v>16</v>
      </c>
      <c r="G27" s="110"/>
      <c r="H27" s="104" t="s">
        <v>14</v>
      </c>
      <c r="I27" s="111">
        <v>185</v>
      </c>
      <c r="J27" s="111"/>
      <c r="K27" s="107" t="s">
        <v>9</v>
      </c>
      <c r="L27" s="108">
        <v>2815.96</v>
      </c>
    </row>
    <row r="28" spans="1:12" ht="102" x14ac:dyDescent="0.3">
      <c r="A28" s="102" t="s">
        <v>235</v>
      </c>
      <c r="B28" s="103" t="s">
        <v>236</v>
      </c>
      <c r="C28" s="103" t="s">
        <v>67</v>
      </c>
      <c r="D28" s="103" t="s">
        <v>51</v>
      </c>
      <c r="E28" s="104" t="s">
        <v>69</v>
      </c>
      <c r="F28" s="110" t="s">
        <v>16</v>
      </c>
      <c r="G28" s="110"/>
      <c r="H28" s="104" t="s">
        <v>14</v>
      </c>
      <c r="I28" s="111">
        <v>175.5</v>
      </c>
      <c r="J28" s="111"/>
      <c r="K28" s="107" t="s">
        <v>9</v>
      </c>
      <c r="L28" s="108">
        <v>2640.46</v>
      </c>
    </row>
    <row r="29" spans="1:12" ht="112.2" x14ac:dyDescent="0.3">
      <c r="A29" s="102" t="s">
        <v>235</v>
      </c>
      <c r="B29" s="103" t="s">
        <v>236</v>
      </c>
      <c r="C29" s="103" t="s">
        <v>67</v>
      </c>
      <c r="D29" s="103" t="s">
        <v>53</v>
      </c>
      <c r="E29" s="104" t="s">
        <v>69</v>
      </c>
      <c r="F29" s="110" t="s">
        <v>16</v>
      </c>
      <c r="G29" s="110"/>
      <c r="H29" s="104" t="s">
        <v>14</v>
      </c>
      <c r="I29" s="111">
        <v>198.4</v>
      </c>
      <c r="J29" s="111"/>
      <c r="K29" s="107" t="s">
        <v>9</v>
      </c>
      <c r="L29" s="108">
        <v>2442.06</v>
      </c>
    </row>
    <row r="30" spans="1:12" ht="91.8" x14ac:dyDescent="0.3">
      <c r="A30" s="102" t="s">
        <v>235</v>
      </c>
      <c r="B30" s="103" t="s">
        <v>236</v>
      </c>
      <c r="C30" s="103" t="s">
        <v>67</v>
      </c>
      <c r="D30" s="103" t="s">
        <v>52</v>
      </c>
      <c r="E30" s="104" t="s">
        <v>69</v>
      </c>
      <c r="F30" s="110" t="s">
        <v>16</v>
      </c>
      <c r="G30" s="110"/>
      <c r="H30" s="104" t="s">
        <v>14</v>
      </c>
      <c r="I30" s="111">
        <v>148.75</v>
      </c>
      <c r="J30" s="111"/>
      <c r="K30" s="107" t="s">
        <v>9</v>
      </c>
      <c r="L30" s="108">
        <v>2293.31</v>
      </c>
    </row>
    <row r="31" spans="1:12" ht="102" x14ac:dyDescent="0.3">
      <c r="A31" s="102" t="s">
        <v>235</v>
      </c>
      <c r="B31" s="103" t="s">
        <v>236</v>
      </c>
      <c r="C31" s="103" t="s">
        <v>67</v>
      </c>
      <c r="D31" s="103" t="s">
        <v>227</v>
      </c>
      <c r="E31" s="104" t="s">
        <v>69</v>
      </c>
      <c r="F31" s="110" t="s">
        <v>16</v>
      </c>
      <c r="G31" s="110"/>
      <c r="H31" s="104" t="s">
        <v>14</v>
      </c>
      <c r="I31" s="111">
        <v>382.5</v>
      </c>
      <c r="J31" s="111"/>
      <c r="K31" s="107" t="s">
        <v>9</v>
      </c>
      <c r="L31" s="108">
        <v>1910.81</v>
      </c>
    </row>
    <row r="32" spans="1:12" ht="102" hidden="1" x14ac:dyDescent="0.3">
      <c r="A32" s="102" t="s">
        <v>146</v>
      </c>
      <c r="B32" s="103" t="s">
        <v>172</v>
      </c>
      <c r="C32" s="103" t="s">
        <v>173</v>
      </c>
      <c r="D32" s="103" t="s">
        <v>153</v>
      </c>
      <c r="E32" s="104" t="s">
        <v>14</v>
      </c>
      <c r="F32" s="109">
        <v>553</v>
      </c>
      <c r="G32" s="109"/>
      <c r="H32" s="104" t="s">
        <v>14</v>
      </c>
      <c r="I32" s="106" t="s">
        <v>16</v>
      </c>
      <c r="J32" s="106"/>
      <c r="K32" s="107" t="s">
        <v>9</v>
      </c>
      <c r="L32" s="108">
        <v>2463.81</v>
      </c>
    </row>
    <row r="33" spans="1:12" ht="112.2" hidden="1" x14ac:dyDescent="0.3">
      <c r="A33" s="102" t="s">
        <v>146</v>
      </c>
      <c r="B33" s="103" t="s">
        <v>172</v>
      </c>
      <c r="C33" s="103" t="s">
        <v>174</v>
      </c>
      <c r="D33" s="103" t="s">
        <v>103</v>
      </c>
      <c r="E33" s="104" t="s">
        <v>14</v>
      </c>
      <c r="F33" s="109">
        <v>294</v>
      </c>
      <c r="G33" s="109"/>
      <c r="H33" s="104" t="s">
        <v>14</v>
      </c>
      <c r="I33" s="106" t="s">
        <v>16</v>
      </c>
      <c r="J33" s="106"/>
      <c r="K33" s="107" t="s">
        <v>9</v>
      </c>
      <c r="L33" s="108">
        <v>2757.81</v>
      </c>
    </row>
    <row r="34" spans="1:12" ht="91.8" x14ac:dyDescent="0.3">
      <c r="A34" s="102" t="s">
        <v>187</v>
      </c>
      <c r="B34" s="103" t="s">
        <v>237</v>
      </c>
      <c r="C34" s="103" t="s">
        <v>67</v>
      </c>
      <c r="D34" s="103" t="s">
        <v>233</v>
      </c>
      <c r="E34" s="104" t="s">
        <v>69</v>
      </c>
      <c r="F34" s="110" t="s">
        <v>16</v>
      </c>
      <c r="G34" s="110"/>
      <c r="H34" s="104" t="s">
        <v>14</v>
      </c>
      <c r="I34" s="112">
        <v>1167.81</v>
      </c>
      <c r="J34" s="112"/>
      <c r="K34" s="107" t="s">
        <v>9</v>
      </c>
      <c r="L34" s="108">
        <v>1590</v>
      </c>
    </row>
    <row r="35" spans="1:12" ht="102" x14ac:dyDescent="0.3">
      <c r="A35" s="102" t="s">
        <v>187</v>
      </c>
      <c r="B35" s="103" t="s">
        <v>237</v>
      </c>
      <c r="C35" s="103" t="s">
        <v>67</v>
      </c>
      <c r="D35" s="103" t="s">
        <v>227</v>
      </c>
      <c r="E35" s="104" t="s">
        <v>69</v>
      </c>
      <c r="F35" s="110" t="s">
        <v>16</v>
      </c>
      <c r="G35" s="110"/>
      <c r="H35" s="104" t="s">
        <v>14</v>
      </c>
      <c r="I35" s="111">
        <v>382.5</v>
      </c>
      <c r="J35" s="111"/>
      <c r="K35" s="107" t="s">
        <v>9</v>
      </c>
      <c r="L35" s="108">
        <v>1207.5</v>
      </c>
    </row>
    <row r="36" spans="1:12" ht="112.2" x14ac:dyDescent="0.3">
      <c r="A36" s="102" t="s">
        <v>187</v>
      </c>
      <c r="B36" s="103" t="s">
        <v>237</v>
      </c>
      <c r="C36" s="103" t="s">
        <v>67</v>
      </c>
      <c r="D36" s="103" t="s">
        <v>230</v>
      </c>
      <c r="E36" s="104" t="s">
        <v>69</v>
      </c>
      <c r="F36" s="110" t="s">
        <v>16</v>
      </c>
      <c r="G36" s="110"/>
      <c r="H36" s="104" t="s">
        <v>14</v>
      </c>
      <c r="I36" s="111">
        <v>185</v>
      </c>
      <c r="J36" s="111"/>
      <c r="K36" s="107" t="s">
        <v>9</v>
      </c>
      <c r="L36" s="108">
        <v>1022.5</v>
      </c>
    </row>
    <row r="37" spans="1:12" ht="102" x14ac:dyDescent="0.3">
      <c r="A37" s="102" t="s">
        <v>187</v>
      </c>
      <c r="B37" s="103" t="s">
        <v>237</v>
      </c>
      <c r="C37" s="103" t="s">
        <v>67</v>
      </c>
      <c r="D37" s="103" t="s">
        <v>51</v>
      </c>
      <c r="E37" s="104" t="s">
        <v>69</v>
      </c>
      <c r="F37" s="110" t="s">
        <v>16</v>
      </c>
      <c r="G37" s="110"/>
      <c r="H37" s="104" t="s">
        <v>14</v>
      </c>
      <c r="I37" s="111">
        <v>175.5</v>
      </c>
      <c r="J37" s="111"/>
      <c r="K37" s="107" t="s">
        <v>9</v>
      </c>
      <c r="L37" s="113">
        <v>847</v>
      </c>
    </row>
    <row r="38" spans="1:12" ht="112.2" x14ac:dyDescent="0.3">
      <c r="A38" s="102" t="s">
        <v>187</v>
      </c>
      <c r="B38" s="103" t="s">
        <v>237</v>
      </c>
      <c r="C38" s="103" t="s">
        <v>67</v>
      </c>
      <c r="D38" s="103" t="s">
        <v>174</v>
      </c>
      <c r="E38" s="104" t="s">
        <v>69</v>
      </c>
      <c r="F38" s="110" t="s">
        <v>16</v>
      </c>
      <c r="G38" s="110"/>
      <c r="H38" s="104" t="s">
        <v>14</v>
      </c>
      <c r="I38" s="111">
        <v>294</v>
      </c>
      <c r="J38" s="111"/>
      <c r="K38" s="107" t="s">
        <v>9</v>
      </c>
      <c r="L38" s="113">
        <v>553</v>
      </c>
    </row>
    <row r="39" spans="1:12" ht="102" x14ac:dyDescent="0.3">
      <c r="A39" s="102" t="s">
        <v>187</v>
      </c>
      <c r="B39" s="103" t="s">
        <v>237</v>
      </c>
      <c r="C39" s="103" t="s">
        <v>67</v>
      </c>
      <c r="D39" s="103" t="s">
        <v>173</v>
      </c>
      <c r="E39" s="104" t="s">
        <v>69</v>
      </c>
      <c r="F39" s="110" t="s">
        <v>16</v>
      </c>
      <c r="G39" s="110"/>
      <c r="H39" s="104" t="s">
        <v>14</v>
      </c>
      <c r="I39" s="111">
        <v>553</v>
      </c>
      <c r="J39" s="111"/>
      <c r="K39" s="107"/>
      <c r="L39" s="114"/>
    </row>
    <row r="40" spans="1:12" hidden="1" x14ac:dyDescent="0.3">
      <c r="A40" s="115" t="s">
        <v>194</v>
      </c>
      <c r="B40" s="115"/>
      <c r="C40" s="115"/>
      <c r="D40" s="115"/>
      <c r="E40" s="116">
        <v>5035.05</v>
      </c>
      <c r="F40" s="116"/>
      <c r="G40" s="116"/>
      <c r="H40" s="116">
        <v>10890.85</v>
      </c>
      <c r="I40" s="116"/>
      <c r="J40" s="116"/>
      <c r="K40" s="117"/>
      <c r="L40" s="118">
        <v>0</v>
      </c>
    </row>
    <row r="42" spans="1:12" x14ac:dyDescent="0.3">
      <c r="J42">
        <f>SUBTOTAL(9,I12:J39)</f>
        <v>10890.85</v>
      </c>
    </row>
  </sheetData>
  <autoFilter ref="B1:D40">
    <filterColumn colId="0">
      <filters>
        <filter val="Передача малоцінних активів в експлуатацію ІБ00-000045 від 05.02.2025 00:00:00_x000a_Списание стоимости малоценных активов"/>
        <filter val="Передача малоцінних активів в експлуатацію ІБ00-000076 від 20.02.2025 12:00:00_x000a_Списание стоимости малоценных активов"/>
        <filter val="Передача малоцінних активів в експлуатацію ІБ00-000094 від 24.02.2025 20:00:00_x000a_Списание стоимости малоценных активов"/>
        <filter val="Передача малоцінних активів в експлуатацію ІБ00-000095 від 28.02.2025 20:00:00_x000a_Списание стоимости малоценных активов"/>
      </filters>
    </filterColumn>
  </autoFilter>
  <mergeCells count="86">
    <mergeCell ref="A40:D40"/>
    <mergeCell ref="E40:G40"/>
    <mergeCell ref="H40:J40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5"/>
  <sheetViews>
    <sheetView topLeftCell="A31" workbookViewId="0">
      <selection activeCell="J36" sqref="J36"/>
    </sheetView>
  </sheetViews>
  <sheetFormatPr defaultRowHeight="14.4" x14ac:dyDescent="0.3"/>
  <cols>
    <col min="2" max="4" width="18.33203125" customWidth="1"/>
  </cols>
  <sheetData>
    <row r="1" spans="1:12" x14ac:dyDescent="0.3">
      <c r="A1" s="119" t="s">
        <v>1</v>
      </c>
      <c r="B1" s="120" t="s">
        <v>2</v>
      </c>
      <c r="C1" s="120" t="s">
        <v>3</v>
      </c>
      <c r="D1" s="121" t="s">
        <v>4</v>
      </c>
      <c r="E1" s="122" t="s">
        <v>5</v>
      </c>
      <c r="F1" s="122"/>
      <c r="G1" s="122"/>
      <c r="H1" s="123" t="s">
        <v>6</v>
      </c>
      <c r="I1" s="123"/>
      <c r="J1" s="123"/>
      <c r="K1" s="120" t="s">
        <v>7</v>
      </c>
      <c r="L1" s="120"/>
    </row>
    <row r="2" spans="1:12" x14ac:dyDescent="0.3">
      <c r="A2" s="124"/>
      <c r="B2" s="125"/>
      <c r="C2" s="125"/>
      <c r="D2" s="126"/>
      <c r="E2" s="127" t="s">
        <v>8</v>
      </c>
      <c r="F2" s="128"/>
      <c r="G2" s="128"/>
      <c r="H2" s="129" t="s">
        <v>8</v>
      </c>
      <c r="I2" s="130"/>
      <c r="J2" s="130"/>
      <c r="K2" s="124"/>
      <c r="L2" s="131"/>
    </row>
    <row r="3" spans="1:12" ht="81.599999999999994" hidden="1" x14ac:dyDescent="0.3">
      <c r="A3" s="132" t="s">
        <v>218</v>
      </c>
      <c r="B3" s="133" t="s">
        <v>219</v>
      </c>
      <c r="C3" s="133" t="s">
        <v>220</v>
      </c>
      <c r="D3" s="133" t="s">
        <v>221</v>
      </c>
      <c r="E3" s="134" t="s">
        <v>14</v>
      </c>
      <c r="F3" s="135" t="s">
        <v>16</v>
      </c>
      <c r="G3" s="135"/>
      <c r="H3" s="134" t="s">
        <v>14</v>
      </c>
      <c r="I3" s="136">
        <v>1177.5999999999999</v>
      </c>
      <c r="J3" s="136"/>
      <c r="K3" s="137" t="s">
        <v>9</v>
      </c>
      <c r="L3" s="138">
        <v>28866.15</v>
      </c>
    </row>
    <row r="4" spans="1:12" ht="71.400000000000006" hidden="1" x14ac:dyDescent="0.3">
      <c r="A4" s="132" t="s">
        <v>218</v>
      </c>
      <c r="B4" s="133" t="s">
        <v>219</v>
      </c>
      <c r="C4" s="133" t="s">
        <v>222</v>
      </c>
      <c r="D4" s="133" t="s">
        <v>223</v>
      </c>
      <c r="E4" s="134" t="s">
        <v>14</v>
      </c>
      <c r="F4" s="135" t="s">
        <v>16</v>
      </c>
      <c r="G4" s="135"/>
      <c r="H4" s="134" t="s">
        <v>14</v>
      </c>
      <c r="I4" s="139">
        <v>161</v>
      </c>
      <c r="J4" s="139"/>
      <c r="K4" s="137" t="s">
        <v>9</v>
      </c>
      <c r="L4" s="138">
        <v>28705.15</v>
      </c>
    </row>
    <row r="5" spans="1:12" ht="71.400000000000006" hidden="1" x14ac:dyDescent="0.3">
      <c r="A5" s="132" t="s">
        <v>218</v>
      </c>
      <c r="B5" s="133" t="s">
        <v>219</v>
      </c>
      <c r="C5" s="133" t="s">
        <v>224</v>
      </c>
      <c r="D5" s="133" t="s">
        <v>225</v>
      </c>
      <c r="E5" s="134" t="s">
        <v>14</v>
      </c>
      <c r="F5" s="135" t="s">
        <v>16</v>
      </c>
      <c r="G5" s="135"/>
      <c r="H5" s="134" t="s">
        <v>14</v>
      </c>
      <c r="I5" s="139">
        <v>253.75</v>
      </c>
      <c r="J5" s="139"/>
      <c r="K5" s="137" t="s">
        <v>9</v>
      </c>
      <c r="L5" s="138">
        <v>28451.4</v>
      </c>
    </row>
    <row r="6" spans="1:12" ht="71.400000000000006" hidden="1" x14ac:dyDescent="0.3">
      <c r="A6" s="132" t="s">
        <v>10</v>
      </c>
      <c r="B6" s="133" t="s">
        <v>36</v>
      </c>
      <c r="C6" s="133" t="s">
        <v>37</v>
      </c>
      <c r="D6" s="133" t="s">
        <v>12</v>
      </c>
      <c r="E6" s="134" t="s">
        <v>14</v>
      </c>
      <c r="F6" s="140">
        <v>526.5</v>
      </c>
      <c r="G6" s="140"/>
      <c r="H6" s="134" t="s">
        <v>14</v>
      </c>
      <c r="I6" s="141" t="s">
        <v>16</v>
      </c>
      <c r="J6" s="141"/>
      <c r="K6" s="137" t="s">
        <v>9</v>
      </c>
      <c r="L6" s="138">
        <v>28977.9</v>
      </c>
    </row>
    <row r="7" spans="1:12" ht="61.2" hidden="1" x14ac:dyDescent="0.3">
      <c r="A7" s="132" t="s">
        <v>10</v>
      </c>
      <c r="B7" s="133" t="s">
        <v>36</v>
      </c>
      <c r="C7" s="133" t="s">
        <v>38</v>
      </c>
      <c r="D7" s="133" t="s">
        <v>17</v>
      </c>
      <c r="E7" s="134" t="s">
        <v>14</v>
      </c>
      <c r="F7" s="140">
        <v>297.5</v>
      </c>
      <c r="G7" s="140"/>
      <c r="H7" s="134" t="s">
        <v>14</v>
      </c>
      <c r="I7" s="141" t="s">
        <v>16</v>
      </c>
      <c r="J7" s="141"/>
      <c r="K7" s="137" t="s">
        <v>9</v>
      </c>
      <c r="L7" s="138">
        <v>29275.4</v>
      </c>
    </row>
    <row r="8" spans="1:12" ht="81.599999999999994" hidden="1" x14ac:dyDescent="0.3">
      <c r="A8" s="132" t="s">
        <v>10</v>
      </c>
      <c r="B8" s="133" t="s">
        <v>36</v>
      </c>
      <c r="C8" s="133" t="s">
        <v>39</v>
      </c>
      <c r="D8" s="133" t="s">
        <v>22</v>
      </c>
      <c r="E8" s="134" t="s">
        <v>14</v>
      </c>
      <c r="F8" s="140">
        <v>595.20000000000005</v>
      </c>
      <c r="G8" s="140"/>
      <c r="H8" s="134" t="s">
        <v>14</v>
      </c>
      <c r="I8" s="141" t="s">
        <v>16</v>
      </c>
      <c r="J8" s="141"/>
      <c r="K8" s="137" t="s">
        <v>9</v>
      </c>
      <c r="L8" s="138">
        <v>29870.6</v>
      </c>
    </row>
    <row r="9" spans="1:12" ht="71.400000000000006" hidden="1" x14ac:dyDescent="0.3">
      <c r="A9" s="132" t="s">
        <v>10</v>
      </c>
      <c r="B9" s="133" t="s">
        <v>36</v>
      </c>
      <c r="C9" s="133" t="s">
        <v>40</v>
      </c>
      <c r="D9" s="133" t="s">
        <v>28</v>
      </c>
      <c r="E9" s="134" t="s">
        <v>14</v>
      </c>
      <c r="F9" s="140">
        <v>152.25</v>
      </c>
      <c r="G9" s="140"/>
      <c r="H9" s="134" t="s">
        <v>14</v>
      </c>
      <c r="I9" s="141" t="s">
        <v>16</v>
      </c>
      <c r="J9" s="141"/>
      <c r="K9" s="137" t="s">
        <v>9</v>
      </c>
      <c r="L9" s="138">
        <v>30022.85</v>
      </c>
    </row>
    <row r="10" spans="1:12" ht="61.2" hidden="1" x14ac:dyDescent="0.3">
      <c r="A10" s="132" t="s">
        <v>10</v>
      </c>
      <c r="B10" s="133" t="s">
        <v>36</v>
      </c>
      <c r="C10" s="133" t="s">
        <v>41</v>
      </c>
      <c r="D10" s="133" t="s">
        <v>33</v>
      </c>
      <c r="E10" s="134" t="s">
        <v>14</v>
      </c>
      <c r="F10" s="140">
        <v>24.75</v>
      </c>
      <c r="G10" s="140"/>
      <c r="H10" s="134" t="s">
        <v>14</v>
      </c>
      <c r="I10" s="141" t="s">
        <v>16</v>
      </c>
      <c r="J10" s="141"/>
      <c r="K10" s="137" t="s">
        <v>9</v>
      </c>
      <c r="L10" s="138">
        <v>30047.599999999999</v>
      </c>
    </row>
    <row r="11" spans="1:12" ht="61.2" hidden="1" x14ac:dyDescent="0.3">
      <c r="A11" s="132" t="s">
        <v>10</v>
      </c>
      <c r="B11" s="133" t="s">
        <v>36</v>
      </c>
      <c r="C11" s="133" t="s">
        <v>42</v>
      </c>
      <c r="D11" s="133" t="s">
        <v>34</v>
      </c>
      <c r="E11" s="134" t="s">
        <v>14</v>
      </c>
      <c r="F11" s="140">
        <v>518.25</v>
      </c>
      <c r="G11" s="140"/>
      <c r="H11" s="134" t="s">
        <v>14</v>
      </c>
      <c r="I11" s="141" t="s">
        <v>16</v>
      </c>
      <c r="J11" s="141"/>
      <c r="K11" s="137" t="s">
        <v>9</v>
      </c>
      <c r="L11" s="138">
        <v>30565.85</v>
      </c>
    </row>
    <row r="12" spans="1:12" ht="71.400000000000006" x14ac:dyDescent="0.3">
      <c r="A12" s="132" t="s">
        <v>65</v>
      </c>
      <c r="B12" s="133" t="s">
        <v>239</v>
      </c>
      <c r="C12" s="133" t="s">
        <v>67</v>
      </c>
      <c r="D12" s="133" t="s">
        <v>221</v>
      </c>
      <c r="E12" s="134" t="s">
        <v>69</v>
      </c>
      <c r="F12" s="135" t="s">
        <v>16</v>
      </c>
      <c r="G12" s="135"/>
      <c r="H12" s="134" t="s">
        <v>14</v>
      </c>
      <c r="I12" s="136">
        <v>1177.5999999999999</v>
      </c>
      <c r="J12" s="136"/>
      <c r="K12" s="137" t="s">
        <v>9</v>
      </c>
      <c r="L12" s="138">
        <v>29388.25</v>
      </c>
    </row>
    <row r="13" spans="1:12" ht="71.400000000000006" x14ac:dyDescent="0.3">
      <c r="A13" s="132" t="s">
        <v>65</v>
      </c>
      <c r="B13" s="133" t="s">
        <v>239</v>
      </c>
      <c r="C13" s="133" t="s">
        <v>67</v>
      </c>
      <c r="D13" s="133" t="s">
        <v>240</v>
      </c>
      <c r="E13" s="134" t="s">
        <v>69</v>
      </c>
      <c r="F13" s="135" t="s">
        <v>16</v>
      </c>
      <c r="G13" s="135"/>
      <c r="H13" s="134" t="s">
        <v>14</v>
      </c>
      <c r="I13" s="139">
        <v>479.25</v>
      </c>
      <c r="J13" s="139"/>
      <c r="K13" s="137" t="s">
        <v>9</v>
      </c>
      <c r="L13" s="138">
        <v>28909</v>
      </c>
    </row>
    <row r="14" spans="1:12" ht="81.599999999999994" x14ac:dyDescent="0.3">
      <c r="A14" s="132" t="s">
        <v>65</v>
      </c>
      <c r="B14" s="133" t="s">
        <v>239</v>
      </c>
      <c r="C14" s="133" t="s">
        <v>67</v>
      </c>
      <c r="D14" s="133" t="s">
        <v>241</v>
      </c>
      <c r="E14" s="134" t="s">
        <v>69</v>
      </c>
      <c r="F14" s="135" t="s">
        <v>16</v>
      </c>
      <c r="G14" s="135"/>
      <c r="H14" s="134" t="s">
        <v>14</v>
      </c>
      <c r="I14" s="136">
        <v>1404</v>
      </c>
      <c r="J14" s="136"/>
      <c r="K14" s="137" t="s">
        <v>9</v>
      </c>
      <c r="L14" s="138">
        <v>27505</v>
      </c>
    </row>
    <row r="15" spans="1:12" ht="71.400000000000006" x14ac:dyDescent="0.3">
      <c r="A15" s="132" t="s">
        <v>65</v>
      </c>
      <c r="B15" s="133" t="s">
        <v>239</v>
      </c>
      <c r="C15" s="133" t="s">
        <v>67</v>
      </c>
      <c r="D15" s="133" t="s">
        <v>242</v>
      </c>
      <c r="E15" s="134" t="s">
        <v>69</v>
      </c>
      <c r="F15" s="135" t="s">
        <v>16</v>
      </c>
      <c r="G15" s="135"/>
      <c r="H15" s="134" t="s">
        <v>14</v>
      </c>
      <c r="I15" s="136">
        <v>3106.72</v>
      </c>
      <c r="J15" s="136"/>
      <c r="K15" s="137" t="s">
        <v>9</v>
      </c>
      <c r="L15" s="138">
        <v>24398.28</v>
      </c>
    </row>
    <row r="16" spans="1:12" ht="71.400000000000006" x14ac:dyDescent="0.3">
      <c r="A16" s="132" t="s">
        <v>65</v>
      </c>
      <c r="B16" s="133" t="s">
        <v>239</v>
      </c>
      <c r="C16" s="133" t="s">
        <v>67</v>
      </c>
      <c r="D16" s="133" t="s">
        <v>243</v>
      </c>
      <c r="E16" s="134" t="s">
        <v>69</v>
      </c>
      <c r="F16" s="135" t="s">
        <v>16</v>
      </c>
      <c r="G16" s="135"/>
      <c r="H16" s="134" t="s">
        <v>14</v>
      </c>
      <c r="I16" s="136">
        <v>1024.05</v>
      </c>
      <c r="J16" s="136"/>
      <c r="K16" s="137" t="s">
        <v>9</v>
      </c>
      <c r="L16" s="138">
        <v>23374.23</v>
      </c>
    </row>
    <row r="17" spans="1:12" ht="61.2" x14ac:dyDescent="0.3">
      <c r="A17" s="132" t="s">
        <v>65</v>
      </c>
      <c r="B17" s="133" t="s">
        <v>239</v>
      </c>
      <c r="C17" s="133" t="s">
        <v>67</v>
      </c>
      <c r="D17" s="133" t="s">
        <v>244</v>
      </c>
      <c r="E17" s="134" t="s">
        <v>69</v>
      </c>
      <c r="F17" s="135" t="s">
        <v>16</v>
      </c>
      <c r="G17" s="135"/>
      <c r="H17" s="134" t="s">
        <v>14</v>
      </c>
      <c r="I17" s="136">
        <v>3732.1</v>
      </c>
      <c r="J17" s="136"/>
      <c r="K17" s="137" t="s">
        <v>9</v>
      </c>
      <c r="L17" s="138">
        <v>19642.13</v>
      </c>
    </row>
    <row r="18" spans="1:12" ht="61.2" x14ac:dyDescent="0.3">
      <c r="A18" s="132" t="s">
        <v>88</v>
      </c>
      <c r="B18" s="133" t="s">
        <v>245</v>
      </c>
      <c r="C18" s="133" t="s">
        <v>67</v>
      </c>
      <c r="D18" s="133" t="s">
        <v>38</v>
      </c>
      <c r="E18" s="134" t="s">
        <v>69</v>
      </c>
      <c r="F18" s="135" t="s">
        <v>16</v>
      </c>
      <c r="G18" s="135"/>
      <c r="H18" s="134" t="s">
        <v>14</v>
      </c>
      <c r="I18" s="139">
        <v>297.5</v>
      </c>
      <c r="J18" s="139"/>
      <c r="K18" s="137" t="s">
        <v>9</v>
      </c>
      <c r="L18" s="138">
        <v>19344.63</v>
      </c>
    </row>
    <row r="19" spans="1:12" ht="71.400000000000006" x14ac:dyDescent="0.3">
      <c r="A19" s="132" t="s">
        <v>88</v>
      </c>
      <c r="B19" s="133" t="s">
        <v>245</v>
      </c>
      <c r="C19" s="133" t="s">
        <v>67</v>
      </c>
      <c r="D19" s="133" t="s">
        <v>37</v>
      </c>
      <c r="E19" s="134" t="s">
        <v>69</v>
      </c>
      <c r="F19" s="135" t="s">
        <v>16</v>
      </c>
      <c r="G19" s="135"/>
      <c r="H19" s="134" t="s">
        <v>14</v>
      </c>
      <c r="I19" s="139">
        <v>526.5</v>
      </c>
      <c r="J19" s="139"/>
      <c r="K19" s="137" t="s">
        <v>9</v>
      </c>
      <c r="L19" s="138">
        <v>18818.13</v>
      </c>
    </row>
    <row r="20" spans="1:12" ht="71.400000000000006" x14ac:dyDescent="0.3">
      <c r="A20" s="132" t="s">
        <v>88</v>
      </c>
      <c r="B20" s="133" t="s">
        <v>245</v>
      </c>
      <c r="C20" s="133" t="s">
        <v>67</v>
      </c>
      <c r="D20" s="133" t="s">
        <v>240</v>
      </c>
      <c r="E20" s="134" t="s">
        <v>69</v>
      </c>
      <c r="F20" s="135" t="s">
        <v>16</v>
      </c>
      <c r="G20" s="135"/>
      <c r="H20" s="134" t="s">
        <v>14</v>
      </c>
      <c r="I20" s="139">
        <v>479.25</v>
      </c>
      <c r="J20" s="139"/>
      <c r="K20" s="137" t="s">
        <v>9</v>
      </c>
      <c r="L20" s="138">
        <v>18338.88</v>
      </c>
    </row>
    <row r="21" spans="1:12" ht="61.2" x14ac:dyDescent="0.3">
      <c r="A21" s="132" t="s">
        <v>113</v>
      </c>
      <c r="B21" s="133" t="s">
        <v>246</v>
      </c>
      <c r="C21" s="133" t="s">
        <v>67</v>
      </c>
      <c r="D21" s="133" t="s">
        <v>42</v>
      </c>
      <c r="E21" s="134" t="s">
        <v>69</v>
      </c>
      <c r="F21" s="135" t="s">
        <v>16</v>
      </c>
      <c r="G21" s="135"/>
      <c r="H21" s="134" t="s">
        <v>14</v>
      </c>
      <c r="I21" s="139">
        <v>518.25</v>
      </c>
      <c r="J21" s="139"/>
      <c r="K21" s="137" t="s">
        <v>9</v>
      </c>
      <c r="L21" s="138">
        <v>17820.63</v>
      </c>
    </row>
    <row r="22" spans="1:12" ht="61.2" x14ac:dyDescent="0.3">
      <c r="A22" s="132" t="s">
        <v>113</v>
      </c>
      <c r="B22" s="133" t="s">
        <v>246</v>
      </c>
      <c r="C22" s="133" t="s">
        <v>67</v>
      </c>
      <c r="D22" s="133" t="s">
        <v>41</v>
      </c>
      <c r="E22" s="134" t="s">
        <v>69</v>
      </c>
      <c r="F22" s="135" t="s">
        <v>16</v>
      </c>
      <c r="G22" s="135"/>
      <c r="H22" s="134" t="s">
        <v>14</v>
      </c>
      <c r="I22" s="139">
        <v>24.75</v>
      </c>
      <c r="J22" s="139"/>
      <c r="K22" s="137" t="s">
        <v>9</v>
      </c>
      <c r="L22" s="138">
        <v>17795.88</v>
      </c>
    </row>
    <row r="23" spans="1:12" ht="71.400000000000006" x14ac:dyDescent="0.3">
      <c r="A23" s="132" t="s">
        <v>113</v>
      </c>
      <c r="B23" s="133" t="s">
        <v>246</v>
      </c>
      <c r="C23" s="133" t="s">
        <v>67</v>
      </c>
      <c r="D23" s="133" t="s">
        <v>221</v>
      </c>
      <c r="E23" s="134" t="s">
        <v>69</v>
      </c>
      <c r="F23" s="135" t="s">
        <v>16</v>
      </c>
      <c r="G23" s="135"/>
      <c r="H23" s="134" t="s">
        <v>14</v>
      </c>
      <c r="I23" s="139">
        <v>588.79999999999995</v>
      </c>
      <c r="J23" s="139"/>
      <c r="K23" s="137" t="s">
        <v>9</v>
      </c>
      <c r="L23" s="138">
        <v>17207.080000000002</v>
      </c>
    </row>
    <row r="24" spans="1:12" ht="71.400000000000006" x14ac:dyDescent="0.3">
      <c r="A24" s="132" t="s">
        <v>113</v>
      </c>
      <c r="B24" s="133" t="s">
        <v>246</v>
      </c>
      <c r="C24" s="133" t="s">
        <v>67</v>
      </c>
      <c r="D24" s="133" t="s">
        <v>40</v>
      </c>
      <c r="E24" s="134" t="s">
        <v>69</v>
      </c>
      <c r="F24" s="135" t="s">
        <v>16</v>
      </c>
      <c r="G24" s="135"/>
      <c r="H24" s="134" t="s">
        <v>14</v>
      </c>
      <c r="I24" s="139">
        <v>50.75</v>
      </c>
      <c r="J24" s="139"/>
      <c r="K24" s="137" t="s">
        <v>9</v>
      </c>
      <c r="L24" s="138">
        <v>17156.330000000002</v>
      </c>
    </row>
    <row r="25" spans="1:12" ht="71.400000000000006" hidden="1" x14ac:dyDescent="0.3">
      <c r="A25" s="132" t="s">
        <v>146</v>
      </c>
      <c r="B25" s="133" t="s">
        <v>162</v>
      </c>
      <c r="C25" s="133" t="s">
        <v>163</v>
      </c>
      <c r="D25" s="133" t="s">
        <v>148</v>
      </c>
      <c r="E25" s="134" t="s">
        <v>14</v>
      </c>
      <c r="F25" s="140">
        <v>343.5</v>
      </c>
      <c r="G25" s="140"/>
      <c r="H25" s="134" t="s">
        <v>14</v>
      </c>
      <c r="I25" s="141" t="s">
        <v>16</v>
      </c>
      <c r="J25" s="141"/>
      <c r="K25" s="137" t="s">
        <v>9</v>
      </c>
      <c r="L25" s="138">
        <v>17499.830000000002</v>
      </c>
    </row>
    <row r="26" spans="1:12" ht="71.400000000000006" hidden="1" x14ac:dyDescent="0.3">
      <c r="A26" s="132" t="s">
        <v>146</v>
      </c>
      <c r="B26" s="133" t="s">
        <v>162</v>
      </c>
      <c r="C26" s="133" t="s">
        <v>164</v>
      </c>
      <c r="D26" s="133" t="s">
        <v>150</v>
      </c>
      <c r="E26" s="134" t="s">
        <v>14</v>
      </c>
      <c r="F26" s="140">
        <v>343.5</v>
      </c>
      <c r="G26" s="140"/>
      <c r="H26" s="134" t="s">
        <v>14</v>
      </c>
      <c r="I26" s="141" t="s">
        <v>16</v>
      </c>
      <c r="J26" s="141"/>
      <c r="K26" s="137" t="s">
        <v>9</v>
      </c>
      <c r="L26" s="138">
        <v>17843.330000000002</v>
      </c>
    </row>
    <row r="27" spans="1:12" ht="81.599999999999994" hidden="1" x14ac:dyDescent="0.3">
      <c r="A27" s="132" t="s">
        <v>146</v>
      </c>
      <c r="B27" s="133" t="s">
        <v>162</v>
      </c>
      <c r="C27" s="133" t="s">
        <v>165</v>
      </c>
      <c r="D27" s="133" t="s">
        <v>103</v>
      </c>
      <c r="E27" s="134" t="s">
        <v>14</v>
      </c>
      <c r="F27" s="140">
        <v>294</v>
      </c>
      <c r="G27" s="140"/>
      <c r="H27" s="134" t="s">
        <v>14</v>
      </c>
      <c r="I27" s="141" t="s">
        <v>16</v>
      </c>
      <c r="J27" s="141"/>
      <c r="K27" s="137" t="s">
        <v>9</v>
      </c>
      <c r="L27" s="138">
        <v>18137.330000000002</v>
      </c>
    </row>
    <row r="28" spans="1:12" ht="81.599999999999994" x14ac:dyDescent="0.3">
      <c r="A28" s="132" t="s">
        <v>187</v>
      </c>
      <c r="B28" s="133" t="s">
        <v>247</v>
      </c>
      <c r="C28" s="133" t="s">
        <v>67</v>
      </c>
      <c r="D28" s="133" t="s">
        <v>165</v>
      </c>
      <c r="E28" s="134" t="s">
        <v>69</v>
      </c>
      <c r="F28" s="135" t="s">
        <v>16</v>
      </c>
      <c r="G28" s="135"/>
      <c r="H28" s="134" t="s">
        <v>14</v>
      </c>
      <c r="I28" s="139">
        <v>294</v>
      </c>
      <c r="J28" s="139"/>
      <c r="K28" s="137" t="s">
        <v>9</v>
      </c>
      <c r="L28" s="138">
        <v>17843.330000000002</v>
      </c>
    </row>
    <row r="29" spans="1:12" ht="71.400000000000006" x14ac:dyDescent="0.3">
      <c r="A29" s="132" t="s">
        <v>187</v>
      </c>
      <c r="B29" s="133" t="s">
        <v>247</v>
      </c>
      <c r="C29" s="133" t="s">
        <v>67</v>
      </c>
      <c r="D29" s="133" t="s">
        <v>248</v>
      </c>
      <c r="E29" s="134" t="s">
        <v>69</v>
      </c>
      <c r="F29" s="135" t="s">
        <v>16</v>
      </c>
      <c r="G29" s="135"/>
      <c r="H29" s="134" t="s">
        <v>14</v>
      </c>
      <c r="I29" s="139">
        <v>159.46</v>
      </c>
      <c r="J29" s="139"/>
      <c r="K29" s="137" t="s">
        <v>9</v>
      </c>
      <c r="L29" s="138">
        <v>17683.87</v>
      </c>
    </row>
    <row r="30" spans="1:12" ht="71.400000000000006" x14ac:dyDescent="0.3">
      <c r="A30" s="132" t="s">
        <v>187</v>
      </c>
      <c r="B30" s="133" t="s">
        <v>247</v>
      </c>
      <c r="C30" s="133" t="s">
        <v>67</v>
      </c>
      <c r="D30" s="133" t="s">
        <v>164</v>
      </c>
      <c r="E30" s="134" t="s">
        <v>69</v>
      </c>
      <c r="F30" s="135" t="s">
        <v>16</v>
      </c>
      <c r="G30" s="135"/>
      <c r="H30" s="134" t="s">
        <v>14</v>
      </c>
      <c r="I30" s="139">
        <v>343.5</v>
      </c>
      <c r="J30" s="139"/>
      <c r="K30" s="137" t="s">
        <v>9</v>
      </c>
      <c r="L30" s="138">
        <v>17340.37</v>
      </c>
    </row>
    <row r="31" spans="1:12" ht="71.400000000000006" x14ac:dyDescent="0.3">
      <c r="A31" s="132" t="s">
        <v>187</v>
      </c>
      <c r="B31" s="133" t="s">
        <v>247</v>
      </c>
      <c r="C31" s="133" t="s">
        <v>67</v>
      </c>
      <c r="D31" s="133" t="s">
        <v>40</v>
      </c>
      <c r="E31" s="134" t="s">
        <v>69</v>
      </c>
      <c r="F31" s="135" t="s">
        <v>16</v>
      </c>
      <c r="G31" s="135"/>
      <c r="H31" s="134" t="s">
        <v>14</v>
      </c>
      <c r="I31" s="139">
        <v>101.5</v>
      </c>
      <c r="J31" s="139"/>
      <c r="K31" s="137" t="s">
        <v>9</v>
      </c>
      <c r="L31" s="138">
        <v>17238.87</v>
      </c>
    </row>
    <row r="32" spans="1:12" ht="71.400000000000006" x14ac:dyDescent="0.3">
      <c r="A32" s="132" t="s">
        <v>187</v>
      </c>
      <c r="B32" s="133" t="s">
        <v>247</v>
      </c>
      <c r="C32" s="133" t="s">
        <v>67</v>
      </c>
      <c r="D32" s="133" t="s">
        <v>221</v>
      </c>
      <c r="E32" s="134" t="s">
        <v>69</v>
      </c>
      <c r="F32" s="135" t="s">
        <v>16</v>
      </c>
      <c r="G32" s="135"/>
      <c r="H32" s="134" t="s">
        <v>14</v>
      </c>
      <c r="I32" s="139">
        <v>588.79999999999995</v>
      </c>
      <c r="J32" s="139"/>
      <c r="K32" s="137" t="s">
        <v>9</v>
      </c>
      <c r="L32" s="138">
        <v>16650.07</v>
      </c>
    </row>
    <row r="33" spans="1:12" x14ac:dyDescent="0.3">
      <c r="A33" s="142" t="s">
        <v>194</v>
      </c>
      <c r="B33" s="142"/>
      <c r="C33" s="142"/>
      <c r="D33" s="142"/>
      <c r="E33" s="143">
        <v>3095.45</v>
      </c>
      <c r="F33" s="143"/>
      <c r="G33" s="143"/>
      <c r="H33" s="143">
        <v>16489.13</v>
      </c>
      <c r="I33" s="143"/>
      <c r="J33" s="143"/>
      <c r="K33" s="144" t="s">
        <v>9</v>
      </c>
      <c r="L33" s="145">
        <v>16650.07</v>
      </c>
    </row>
    <row r="35" spans="1:12" x14ac:dyDescent="0.3">
      <c r="J35">
        <f>SUBTOTAL(9,I12:J32)</f>
        <v>14896.779999999997</v>
      </c>
    </row>
  </sheetData>
  <autoFilter ref="B1:D33">
    <filterColumn colId="0">
      <filters blank="1">
        <filter val="Передача малоцінних активів в експлуатацію ІБ00-000048 від 05.02.2025 18:15:24_x000a_Списание стоимости малоценных активов"/>
        <filter val="Передача малоцінних активів в експлуатацію ІБ00-000057 від 12.02.2025 15:51:20_x000a_Списание стоимости малоценных активов"/>
        <filter val="Передача малоцінних активів в експлуатацію ІБ00-000077 від 20.02.2025 18:11:19_x000a_Списание стоимости малоценных активов"/>
        <filter val="Передача малоцінних активів в експлуатацію ІБ00-000096 від 28.02.2025 20:00:00_x000a_Списание стоимости малоценных активов"/>
      </filters>
    </filterColumn>
  </autoFilter>
  <mergeCells count="72">
    <mergeCell ref="F31:G31"/>
    <mergeCell ref="I31:J31"/>
    <mergeCell ref="F32:G32"/>
    <mergeCell ref="I32:J32"/>
    <mergeCell ref="A33:D33"/>
    <mergeCell ref="E33:G33"/>
    <mergeCell ref="H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8"/>
  <sheetViews>
    <sheetView topLeftCell="A22" workbookViewId="0">
      <selection activeCell="J29" sqref="J29"/>
    </sheetView>
  </sheetViews>
  <sheetFormatPr defaultRowHeight="14.4" x14ac:dyDescent="0.3"/>
  <sheetData>
    <row r="1" spans="1:12" x14ac:dyDescent="0.3">
      <c r="A1" s="146" t="s">
        <v>1</v>
      </c>
      <c r="B1" s="147" t="s">
        <v>2</v>
      </c>
      <c r="C1" s="147" t="s">
        <v>3</v>
      </c>
      <c r="D1" s="148" t="s">
        <v>4</v>
      </c>
      <c r="E1" s="149" t="s">
        <v>5</v>
      </c>
      <c r="F1" s="149"/>
      <c r="G1" s="149"/>
      <c r="H1" s="150" t="s">
        <v>6</v>
      </c>
      <c r="I1" s="150"/>
      <c r="J1" s="150"/>
      <c r="K1" s="147" t="s">
        <v>7</v>
      </c>
      <c r="L1" s="147"/>
    </row>
    <row r="2" spans="1:12" hidden="1" x14ac:dyDescent="0.3">
      <c r="A2" s="151"/>
      <c r="B2" s="152"/>
      <c r="C2" s="152"/>
      <c r="D2" s="153"/>
      <c r="E2" s="154" t="s">
        <v>8</v>
      </c>
      <c r="F2" s="155"/>
      <c r="G2" s="155"/>
      <c r="H2" s="156" t="s">
        <v>8</v>
      </c>
      <c r="I2" s="157"/>
      <c r="J2" s="157"/>
      <c r="K2" s="151"/>
      <c r="L2" s="158"/>
    </row>
    <row r="3" spans="1:12" ht="142.80000000000001" hidden="1" x14ac:dyDescent="0.3">
      <c r="A3" s="159" t="s">
        <v>10</v>
      </c>
      <c r="B3" s="160" t="s">
        <v>43</v>
      </c>
      <c r="C3" s="160" t="s">
        <v>44</v>
      </c>
      <c r="D3" s="160" t="s">
        <v>12</v>
      </c>
      <c r="E3" s="161" t="s">
        <v>14</v>
      </c>
      <c r="F3" s="162">
        <v>526.5</v>
      </c>
      <c r="G3" s="162"/>
      <c r="H3" s="161" t="s">
        <v>14</v>
      </c>
      <c r="I3" s="163" t="s">
        <v>16</v>
      </c>
      <c r="J3" s="163"/>
      <c r="K3" s="164" t="s">
        <v>9</v>
      </c>
      <c r="L3" s="165">
        <v>4608.1499999999996</v>
      </c>
    </row>
    <row r="4" spans="1:12" ht="122.4" hidden="1" x14ac:dyDescent="0.3">
      <c r="A4" s="159" t="s">
        <v>10</v>
      </c>
      <c r="B4" s="160" t="s">
        <v>43</v>
      </c>
      <c r="C4" s="160" t="s">
        <v>45</v>
      </c>
      <c r="D4" s="160" t="s">
        <v>17</v>
      </c>
      <c r="E4" s="161" t="s">
        <v>14</v>
      </c>
      <c r="F4" s="162">
        <v>446.25</v>
      </c>
      <c r="G4" s="162"/>
      <c r="H4" s="161" t="s">
        <v>14</v>
      </c>
      <c r="I4" s="163" t="s">
        <v>16</v>
      </c>
      <c r="J4" s="163"/>
      <c r="K4" s="164" t="s">
        <v>9</v>
      </c>
      <c r="L4" s="165">
        <v>5054.3999999999996</v>
      </c>
    </row>
    <row r="5" spans="1:12" ht="163.19999999999999" hidden="1" x14ac:dyDescent="0.3">
      <c r="A5" s="159" t="s">
        <v>10</v>
      </c>
      <c r="B5" s="160" t="s">
        <v>43</v>
      </c>
      <c r="C5" s="160" t="s">
        <v>46</v>
      </c>
      <c r="D5" s="160" t="s">
        <v>22</v>
      </c>
      <c r="E5" s="161" t="s">
        <v>14</v>
      </c>
      <c r="F5" s="162">
        <v>595.20000000000005</v>
      </c>
      <c r="G5" s="162"/>
      <c r="H5" s="161" t="s">
        <v>14</v>
      </c>
      <c r="I5" s="163" t="s">
        <v>16</v>
      </c>
      <c r="J5" s="163"/>
      <c r="K5" s="164" t="s">
        <v>9</v>
      </c>
      <c r="L5" s="165">
        <v>5649.6</v>
      </c>
    </row>
    <row r="6" spans="1:12" ht="122.4" hidden="1" x14ac:dyDescent="0.3">
      <c r="A6" s="159" t="s">
        <v>10</v>
      </c>
      <c r="B6" s="160" t="s">
        <v>43</v>
      </c>
      <c r="C6" s="160" t="s">
        <v>47</v>
      </c>
      <c r="D6" s="160" t="s">
        <v>25</v>
      </c>
      <c r="E6" s="161" t="s">
        <v>14</v>
      </c>
      <c r="F6" s="162">
        <v>594</v>
      </c>
      <c r="G6" s="162"/>
      <c r="H6" s="161" t="s">
        <v>14</v>
      </c>
      <c r="I6" s="163" t="s">
        <v>16</v>
      </c>
      <c r="J6" s="163"/>
      <c r="K6" s="164" t="s">
        <v>9</v>
      </c>
      <c r="L6" s="165">
        <v>6243.6</v>
      </c>
    </row>
    <row r="7" spans="1:12" ht="142.80000000000001" hidden="1" x14ac:dyDescent="0.3">
      <c r="A7" s="159" t="s">
        <v>10</v>
      </c>
      <c r="B7" s="160" t="s">
        <v>43</v>
      </c>
      <c r="C7" s="160" t="s">
        <v>48</v>
      </c>
      <c r="D7" s="160" t="s">
        <v>28</v>
      </c>
      <c r="E7" s="161" t="s">
        <v>14</v>
      </c>
      <c r="F7" s="162">
        <v>152.25</v>
      </c>
      <c r="G7" s="162"/>
      <c r="H7" s="161" t="s">
        <v>14</v>
      </c>
      <c r="I7" s="163" t="s">
        <v>16</v>
      </c>
      <c r="J7" s="163"/>
      <c r="K7" s="164" t="s">
        <v>9</v>
      </c>
      <c r="L7" s="165">
        <v>6395.85</v>
      </c>
    </row>
    <row r="8" spans="1:12" ht="122.4" hidden="1" x14ac:dyDescent="0.3">
      <c r="A8" s="159" t="s">
        <v>10</v>
      </c>
      <c r="B8" s="160" t="s">
        <v>43</v>
      </c>
      <c r="C8" s="160" t="s">
        <v>49</v>
      </c>
      <c r="D8" s="160" t="s">
        <v>33</v>
      </c>
      <c r="E8" s="161" t="s">
        <v>14</v>
      </c>
      <c r="F8" s="162">
        <v>24.75</v>
      </c>
      <c r="G8" s="162"/>
      <c r="H8" s="161" t="s">
        <v>14</v>
      </c>
      <c r="I8" s="163" t="s">
        <v>16</v>
      </c>
      <c r="J8" s="163"/>
      <c r="K8" s="164" t="s">
        <v>9</v>
      </c>
      <c r="L8" s="165">
        <v>6420.6</v>
      </c>
    </row>
    <row r="9" spans="1:12" ht="132.6" x14ac:dyDescent="0.3">
      <c r="A9" s="159" t="s">
        <v>65</v>
      </c>
      <c r="B9" s="160" t="s">
        <v>250</v>
      </c>
      <c r="C9" s="160" t="s">
        <v>67</v>
      </c>
      <c r="D9" s="160" t="s">
        <v>251</v>
      </c>
      <c r="E9" s="161" t="s">
        <v>69</v>
      </c>
      <c r="F9" s="166" t="s">
        <v>16</v>
      </c>
      <c r="G9" s="166"/>
      <c r="H9" s="161" t="s">
        <v>14</v>
      </c>
      <c r="I9" s="167">
        <v>187.2</v>
      </c>
      <c r="J9" s="167"/>
      <c r="K9" s="164" t="s">
        <v>9</v>
      </c>
      <c r="L9" s="165">
        <v>6233.4</v>
      </c>
    </row>
    <row r="10" spans="1:12" ht="132.6" x14ac:dyDescent="0.3">
      <c r="A10" s="159" t="s">
        <v>65</v>
      </c>
      <c r="B10" s="160" t="s">
        <v>250</v>
      </c>
      <c r="C10" s="160" t="s">
        <v>67</v>
      </c>
      <c r="D10" s="160" t="s">
        <v>252</v>
      </c>
      <c r="E10" s="161" t="s">
        <v>69</v>
      </c>
      <c r="F10" s="166" t="s">
        <v>16</v>
      </c>
      <c r="G10" s="166"/>
      <c r="H10" s="161" t="s">
        <v>14</v>
      </c>
      <c r="I10" s="167">
        <v>354.2</v>
      </c>
      <c r="J10" s="167"/>
      <c r="K10" s="164" t="s">
        <v>9</v>
      </c>
      <c r="L10" s="165">
        <v>5879.2</v>
      </c>
    </row>
    <row r="11" spans="1:12" ht="132.6" x14ac:dyDescent="0.3">
      <c r="A11" s="159" t="s">
        <v>65</v>
      </c>
      <c r="B11" s="160" t="s">
        <v>250</v>
      </c>
      <c r="C11" s="160" t="s">
        <v>67</v>
      </c>
      <c r="D11" s="160" t="s">
        <v>253</v>
      </c>
      <c r="E11" s="161" t="s">
        <v>69</v>
      </c>
      <c r="F11" s="166" t="s">
        <v>16</v>
      </c>
      <c r="G11" s="166"/>
      <c r="H11" s="161" t="s">
        <v>14</v>
      </c>
      <c r="I11" s="167">
        <v>520.1</v>
      </c>
      <c r="J11" s="167"/>
      <c r="K11" s="164" t="s">
        <v>9</v>
      </c>
      <c r="L11" s="165">
        <v>5359.1</v>
      </c>
    </row>
    <row r="12" spans="1:12" ht="122.4" x14ac:dyDescent="0.3">
      <c r="A12" s="159" t="s">
        <v>65</v>
      </c>
      <c r="B12" s="160" t="s">
        <v>250</v>
      </c>
      <c r="C12" s="160" t="s">
        <v>67</v>
      </c>
      <c r="D12" s="160" t="s">
        <v>254</v>
      </c>
      <c r="E12" s="161" t="s">
        <v>69</v>
      </c>
      <c r="F12" s="166" t="s">
        <v>16</v>
      </c>
      <c r="G12" s="166"/>
      <c r="H12" s="161" t="s">
        <v>14</v>
      </c>
      <c r="I12" s="167">
        <v>821.55</v>
      </c>
      <c r="J12" s="167"/>
      <c r="K12" s="164" t="s">
        <v>9</v>
      </c>
      <c r="L12" s="165">
        <v>4537.55</v>
      </c>
    </row>
    <row r="13" spans="1:12" ht="132.6" x14ac:dyDescent="0.3">
      <c r="A13" s="159" t="s">
        <v>65</v>
      </c>
      <c r="B13" s="160" t="s">
        <v>255</v>
      </c>
      <c r="C13" s="160" t="s">
        <v>67</v>
      </c>
      <c r="D13" s="160" t="s">
        <v>256</v>
      </c>
      <c r="E13" s="161" t="s">
        <v>69</v>
      </c>
      <c r="F13" s="166" t="s">
        <v>16</v>
      </c>
      <c r="G13" s="166"/>
      <c r="H13" s="161" t="s">
        <v>14</v>
      </c>
      <c r="I13" s="167">
        <v>585</v>
      </c>
      <c r="J13" s="167"/>
      <c r="K13" s="164" t="s">
        <v>9</v>
      </c>
      <c r="L13" s="165">
        <v>3952.55</v>
      </c>
    </row>
    <row r="14" spans="1:12" ht="132.6" x14ac:dyDescent="0.3">
      <c r="A14" s="159" t="s">
        <v>65</v>
      </c>
      <c r="B14" s="160" t="s">
        <v>255</v>
      </c>
      <c r="C14" s="160" t="s">
        <v>67</v>
      </c>
      <c r="D14" s="160" t="s">
        <v>257</v>
      </c>
      <c r="E14" s="161" t="s">
        <v>69</v>
      </c>
      <c r="F14" s="166" t="s">
        <v>16</v>
      </c>
      <c r="G14" s="166"/>
      <c r="H14" s="161" t="s">
        <v>14</v>
      </c>
      <c r="I14" s="167">
        <v>808.4</v>
      </c>
      <c r="J14" s="167"/>
      <c r="K14" s="164" t="s">
        <v>9</v>
      </c>
      <c r="L14" s="165">
        <v>3144.15</v>
      </c>
    </row>
    <row r="15" spans="1:12" ht="132.6" x14ac:dyDescent="0.3">
      <c r="A15" s="159" t="s">
        <v>65</v>
      </c>
      <c r="B15" s="160" t="s">
        <v>255</v>
      </c>
      <c r="C15" s="160" t="s">
        <v>67</v>
      </c>
      <c r="D15" s="160" t="s">
        <v>258</v>
      </c>
      <c r="E15" s="161" t="s">
        <v>69</v>
      </c>
      <c r="F15" s="166" t="s">
        <v>16</v>
      </c>
      <c r="G15" s="166"/>
      <c r="H15" s="161" t="s">
        <v>14</v>
      </c>
      <c r="I15" s="167">
        <v>676.7</v>
      </c>
      <c r="J15" s="167"/>
      <c r="K15" s="164" t="s">
        <v>9</v>
      </c>
      <c r="L15" s="165">
        <v>2467.4499999999998</v>
      </c>
    </row>
    <row r="16" spans="1:12" ht="142.80000000000001" x14ac:dyDescent="0.3">
      <c r="A16" s="159" t="s">
        <v>65</v>
      </c>
      <c r="B16" s="160" t="s">
        <v>255</v>
      </c>
      <c r="C16" s="160" t="s">
        <v>67</v>
      </c>
      <c r="D16" s="160" t="s">
        <v>259</v>
      </c>
      <c r="E16" s="161" t="s">
        <v>69</v>
      </c>
      <c r="F16" s="166" t="s">
        <v>16</v>
      </c>
      <c r="G16" s="166"/>
      <c r="H16" s="161" t="s">
        <v>14</v>
      </c>
      <c r="I16" s="167">
        <v>128.5</v>
      </c>
      <c r="J16" s="167"/>
      <c r="K16" s="164" t="s">
        <v>9</v>
      </c>
      <c r="L16" s="165">
        <v>2338.9499999999998</v>
      </c>
    </row>
    <row r="17" spans="1:12" ht="122.4" x14ac:dyDescent="0.3">
      <c r="A17" s="159" t="s">
        <v>109</v>
      </c>
      <c r="B17" s="160" t="s">
        <v>260</v>
      </c>
      <c r="C17" s="160" t="s">
        <v>67</v>
      </c>
      <c r="D17" s="160" t="s">
        <v>47</v>
      </c>
      <c r="E17" s="161" t="s">
        <v>69</v>
      </c>
      <c r="F17" s="166" t="s">
        <v>16</v>
      </c>
      <c r="G17" s="166"/>
      <c r="H17" s="161" t="s">
        <v>14</v>
      </c>
      <c r="I17" s="167">
        <v>148.5</v>
      </c>
      <c r="J17" s="167"/>
      <c r="K17" s="164" t="s">
        <v>9</v>
      </c>
      <c r="L17" s="165">
        <v>2190.4499999999998</v>
      </c>
    </row>
    <row r="18" spans="1:12" ht="163.19999999999999" x14ac:dyDescent="0.3">
      <c r="A18" s="159" t="s">
        <v>109</v>
      </c>
      <c r="B18" s="160" t="s">
        <v>260</v>
      </c>
      <c r="C18" s="160" t="s">
        <v>67</v>
      </c>
      <c r="D18" s="160" t="s">
        <v>46</v>
      </c>
      <c r="E18" s="161" t="s">
        <v>69</v>
      </c>
      <c r="F18" s="166" t="s">
        <v>16</v>
      </c>
      <c r="G18" s="166"/>
      <c r="H18" s="161" t="s">
        <v>14</v>
      </c>
      <c r="I18" s="167">
        <v>198.4</v>
      </c>
      <c r="J18" s="167"/>
      <c r="K18" s="164" t="s">
        <v>9</v>
      </c>
      <c r="L18" s="165">
        <v>1992.05</v>
      </c>
    </row>
    <row r="19" spans="1:12" ht="142.80000000000001" x14ac:dyDescent="0.3">
      <c r="A19" s="159" t="s">
        <v>109</v>
      </c>
      <c r="B19" s="160" t="s">
        <v>261</v>
      </c>
      <c r="C19" s="160" t="s">
        <v>67</v>
      </c>
      <c r="D19" s="160" t="s">
        <v>48</v>
      </c>
      <c r="E19" s="161" t="s">
        <v>69</v>
      </c>
      <c r="F19" s="166" t="s">
        <v>16</v>
      </c>
      <c r="G19" s="166"/>
      <c r="H19" s="161" t="s">
        <v>14</v>
      </c>
      <c r="I19" s="167">
        <v>152.25</v>
      </c>
      <c r="J19" s="167"/>
      <c r="K19" s="164" t="s">
        <v>9</v>
      </c>
      <c r="L19" s="165">
        <v>1839.8</v>
      </c>
    </row>
    <row r="20" spans="1:12" ht="122.4" x14ac:dyDescent="0.3">
      <c r="A20" s="159" t="s">
        <v>109</v>
      </c>
      <c r="B20" s="160" t="s">
        <v>261</v>
      </c>
      <c r="C20" s="160" t="s">
        <v>67</v>
      </c>
      <c r="D20" s="160" t="s">
        <v>49</v>
      </c>
      <c r="E20" s="161" t="s">
        <v>69</v>
      </c>
      <c r="F20" s="166" t="s">
        <v>16</v>
      </c>
      <c r="G20" s="166"/>
      <c r="H20" s="161" t="s">
        <v>14</v>
      </c>
      <c r="I20" s="167">
        <v>24.75</v>
      </c>
      <c r="J20" s="167"/>
      <c r="K20" s="164" t="s">
        <v>9</v>
      </c>
      <c r="L20" s="165">
        <v>1815.05</v>
      </c>
    </row>
    <row r="21" spans="1:12" ht="122.4" x14ac:dyDescent="0.3">
      <c r="A21" s="159" t="s">
        <v>109</v>
      </c>
      <c r="B21" s="160" t="s">
        <v>261</v>
      </c>
      <c r="C21" s="160" t="s">
        <v>67</v>
      </c>
      <c r="D21" s="160" t="s">
        <v>45</v>
      </c>
      <c r="E21" s="161" t="s">
        <v>69</v>
      </c>
      <c r="F21" s="166" t="s">
        <v>16</v>
      </c>
      <c r="G21" s="166"/>
      <c r="H21" s="161" t="s">
        <v>14</v>
      </c>
      <c r="I21" s="167">
        <v>446.25</v>
      </c>
      <c r="J21" s="167"/>
      <c r="K21" s="164" t="s">
        <v>9</v>
      </c>
      <c r="L21" s="165">
        <v>1368.8</v>
      </c>
    </row>
    <row r="22" spans="1:12" ht="142.80000000000001" x14ac:dyDescent="0.3">
      <c r="A22" s="159" t="s">
        <v>109</v>
      </c>
      <c r="B22" s="160" t="s">
        <v>261</v>
      </c>
      <c r="C22" s="160" t="s">
        <v>67</v>
      </c>
      <c r="D22" s="160" t="s">
        <v>44</v>
      </c>
      <c r="E22" s="161" t="s">
        <v>69</v>
      </c>
      <c r="F22" s="166" t="s">
        <v>16</v>
      </c>
      <c r="G22" s="166"/>
      <c r="H22" s="161" t="s">
        <v>14</v>
      </c>
      <c r="I22" s="167">
        <v>526.5</v>
      </c>
      <c r="J22" s="167"/>
      <c r="K22" s="164" t="s">
        <v>9</v>
      </c>
      <c r="L22" s="168">
        <v>842.3</v>
      </c>
    </row>
    <row r="23" spans="1:12" ht="163.19999999999999" x14ac:dyDescent="0.3">
      <c r="A23" s="159" t="s">
        <v>109</v>
      </c>
      <c r="B23" s="160" t="s">
        <v>261</v>
      </c>
      <c r="C23" s="160" t="s">
        <v>67</v>
      </c>
      <c r="D23" s="160" t="s">
        <v>46</v>
      </c>
      <c r="E23" s="161" t="s">
        <v>69</v>
      </c>
      <c r="F23" s="166" t="s">
        <v>16</v>
      </c>
      <c r="G23" s="166"/>
      <c r="H23" s="161" t="s">
        <v>14</v>
      </c>
      <c r="I23" s="167">
        <v>396.8</v>
      </c>
      <c r="J23" s="167"/>
      <c r="K23" s="164" t="s">
        <v>9</v>
      </c>
      <c r="L23" s="168">
        <v>445.5</v>
      </c>
    </row>
    <row r="24" spans="1:12" ht="142.80000000000001" hidden="1" x14ac:dyDescent="0.3">
      <c r="A24" s="159" t="s">
        <v>146</v>
      </c>
      <c r="B24" s="160" t="s">
        <v>169</v>
      </c>
      <c r="C24" s="160" t="s">
        <v>170</v>
      </c>
      <c r="D24" s="160" t="s">
        <v>152</v>
      </c>
      <c r="E24" s="161" t="s">
        <v>14</v>
      </c>
      <c r="F24" s="162">
        <v>318.25</v>
      </c>
      <c r="G24" s="162"/>
      <c r="H24" s="161" t="s">
        <v>14</v>
      </c>
      <c r="I24" s="163" t="s">
        <v>16</v>
      </c>
      <c r="J24" s="163"/>
      <c r="K24" s="164" t="s">
        <v>9</v>
      </c>
      <c r="L24" s="168">
        <v>763.75</v>
      </c>
    </row>
    <row r="25" spans="1:12" ht="153" hidden="1" x14ac:dyDescent="0.3">
      <c r="A25" s="159" t="s">
        <v>146</v>
      </c>
      <c r="B25" s="160" t="s">
        <v>169</v>
      </c>
      <c r="C25" s="160" t="s">
        <v>171</v>
      </c>
      <c r="D25" s="160" t="s">
        <v>103</v>
      </c>
      <c r="E25" s="161" t="s">
        <v>14</v>
      </c>
      <c r="F25" s="162">
        <v>294</v>
      </c>
      <c r="G25" s="162"/>
      <c r="H25" s="161" t="s">
        <v>14</v>
      </c>
      <c r="I25" s="163" t="s">
        <v>16</v>
      </c>
      <c r="J25" s="163"/>
      <c r="K25" s="164" t="s">
        <v>9</v>
      </c>
      <c r="L25" s="165">
        <v>1057.75</v>
      </c>
    </row>
    <row r="26" spans="1:12" hidden="1" x14ac:dyDescent="0.3">
      <c r="A26" s="169" t="s">
        <v>194</v>
      </c>
      <c r="B26" s="169"/>
      <c r="C26" s="169"/>
      <c r="D26" s="169"/>
      <c r="E26" s="170">
        <v>2951.2</v>
      </c>
      <c r="F26" s="170"/>
      <c r="G26" s="170"/>
      <c r="H26" s="170">
        <v>5975.1</v>
      </c>
      <c r="I26" s="170"/>
      <c r="J26" s="170"/>
      <c r="K26" s="171" t="s">
        <v>9</v>
      </c>
      <c r="L26" s="172">
        <v>1057.75</v>
      </c>
    </row>
    <row r="28" spans="1:12" x14ac:dyDescent="0.3">
      <c r="J28">
        <f>SUBTOTAL(9,I9:J23)</f>
        <v>5975.1</v>
      </c>
    </row>
  </sheetData>
  <autoFilter ref="A1:D26">
    <filterColumn colId="1">
      <filters>
        <filter val="Передача малоцінних активів в експлуатацію ІБ00-000052 від 05.02.2025 18:15:36_x000a_Списание стоимости малоценных активов"/>
        <filter val="Передача малоцінних активів в експлуатацію ІБ00-000054 від 05.02.2025 18:15:41_x000a_Списание стоимости малоценных активов"/>
        <filter val="Передача малоцінних активів в експлуатацію ІБ00-000058 від 19.02.2025 16:17:27_x000a_Списание стоимости малоценных активов"/>
        <filter val="Передача малоцінних активів в експлуатацію ІБ00-000061 від 19.02.2025 16:44:17_x000a_Списание стоимости малоценных активов"/>
      </filters>
    </filterColumn>
  </autoFilter>
  <mergeCells count="58">
    <mergeCell ref="F25:G25"/>
    <mergeCell ref="I25:J25"/>
    <mergeCell ref="A26:D26"/>
    <mergeCell ref="E26:G26"/>
    <mergeCell ref="H26:J26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МШП</vt:lpstr>
      <vt:lpstr>Глобине-2</vt:lpstr>
      <vt:lpstr>Котельна (Глобине)</vt:lpstr>
      <vt:lpstr>Насосна Градирня (Глобине)</vt:lpstr>
      <vt:lpstr>зберігання розчинника</vt:lpstr>
      <vt:lpstr>парк соєвої меляси</vt:lpstr>
      <vt:lpstr>СПК (Глобине)</vt:lpstr>
      <vt:lpstr>Цех екстракції (Глобине)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2025-03-20T10:22:02Z</dcterms:modified>
</cp:coreProperties>
</file>
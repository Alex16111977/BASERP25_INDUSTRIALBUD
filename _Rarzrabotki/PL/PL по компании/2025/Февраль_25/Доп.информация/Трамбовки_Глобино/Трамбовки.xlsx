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E13" i="1" l="1"/>
  <c r="E10" i="1"/>
  <c r="E9" i="1"/>
</calcChain>
</file>

<file path=xl/sharedStrings.xml><?xml version="1.0" encoding="utf-8"?>
<sst xmlns="http://schemas.openxmlformats.org/spreadsheetml/2006/main" count="26" uniqueCount="19">
  <si>
    <t>Виброплита MS330-4 з реверсом Honda GX2709 321 кг</t>
  </si>
  <si>
    <t>Вибротрамбовка (нога) EMR70H дв. Honda GX160 5,5 к.с., 70 кг</t>
  </si>
  <si>
    <t>Вибротрамбовка (нога) EMR75-М MG165 бензин</t>
  </si>
  <si>
    <t>Виброплита реверсивная CRBH 330 PLUS, Honda GX390, 890х500мм 6,1л 305 кг</t>
  </si>
  <si>
    <t>Расход</t>
  </si>
  <si>
    <t>1,8 - 2,4</t>
  </si>
  <si>
    <t>литра в час</t>
  </si>
  <si>
    <t>1,0 - 1,5</t>
  </si>
  <si>
    <t>Средний расход</t>
  </si>
  <si>
    <r>
      <t>Виброплита Masalta MS330-1S KIPOR (</t>
    </r>
    <r>
      <rPr>
        <b/>
        <sz val="12"/>
        <color rgb="FFFF0000"/>
        <rFont val="Times New Roman"/>
        <family val="1"/>
        <charset val="204"/>
      </rPr>
      <t>diesel</t>
    </r>
    <r>
      <rPr>
        <sz val="12"/>
        <color rgb="FF000000"/>
        <rFont val="Times New Roman"/>
        <family val="1"/>
        <charset val="204"/>
      </rPr>
      <t>)</t>
    </r>
  </si>
  <si>
    <t>Ед.изм</t>
  </si>
  <si>
    <t>ВСЕГО сумарный расход топлива (бензина)</t>
  </si>
  <si>
    <t>ВСЕГО сумарный расход топлива (дизель)</t>
  </si>
  <si>
    <t>Марка</t>
  </si>
  <si>
    <t>№</t>
  </si>
  <si>
    <t>литров</t>
  </si>
  <si>
    <t>Использовано топлива (бензин A-95) за мес, согласно данным топливной карты</t>
  </si>
  <si>
    <t>часов</t>
  </si>
  <si>
    <t>Время которое мог работать весь бензоинструмент за 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</si>
</sst>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2" xfId="0" applyFont="1" applyBorder="1" applyAlignment="1">
      <alignment horizontal="right"/>
    </xf>
    <xf numFmtId="4" fontId="6" fillId="0" borderId="1" xfId="0" applyNumberFormat="1" applyFont="1" applyBorder="1" applyAlignment="1">
      <alignment horizontal="center" vertical="center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tabSelected="1" workbookViewId="0">
      <selection activeCell="E13" sqref="E13"/>
    </sheetView>
  </sheetViews>
  <sheetFormatPr defaultRowHeight="14.4" x14ac:dyDescent="0.3"/>
  <cols>
    <col min="1" max="1" width="2.77734375" customWidth="1"/>
    <col min="2" max="2" width="3.109375" customWidth="1"/>
    <col min="3" max="3" width="79.109375" bestFit="1" customWidth="1"/>
    <col min="4" max="4" width="8.88671875" style="1"/>
    <col min="5" max="5" width="17" bestFit="1" customWidth="1"/>
    <col min="6" max="6" width="10.5546875" bestFit="1" customWidth="1"/>
  </cols>
  <sheetData>
    <row r="2" spans="2:6" ht="15.6" x14ac:dyDescent="0.3">
      <c r="B2" s="9" t="s">
        <v>14</v>
      </c>
      <c r="C2" s="9" t="s">
        <v>13</v>
      </c>
      <c r="D2" s="10" t="s">
        <v>4</v>
      </c>
      <c r="E2" s="9" t="s">
        <v>8</v>
      </c>
      <c r="F2" s="9" t="s">
        <v>10</v>
      </c>
    </row>
    <row r="3" spans="2:6" ht="15.6" x14ac:dyDescent="0.3">
      <c r="B3" s="3">
        <v>1</v>
      </c>
      <c r="C3" s="2" t="s">
        <v>0</v>
      </c>
      <c r="D3" s="3" t="s">
        <v>5</v>
      </c>
      <c r="E3" s="8">
        <v>2</v>
      </c>
      <c r="F3" s="4" t="s">
        <v>6</v>
      </c>
    </row>
    <row r="4" spans="2:6" ht="15.6" x14ac:dyDescent="0.3">
      <c r="B4" s="3">
        <v>2</v>
      </c>
      <c r="C4" s="2" t="s">
        <v>1</v>
      </c>
      <c r="D4" s="3" t="s">
        <v>7</v>
      </c>
      <c r="E4" s="8">
        <v>1.3</v>
      </c>
      <c r="F4" s="4" t="s">
        <v>6</v>
      </c>
    </row>
    <row r="5" spans="2:6" ht="15.6" x14ac:dyDescent="0.3">
      <c r="B5" s="3">
        <v>3</v>
      </c>
      <c r="C5" s="2" t="s">
        <v>2</v>
      </c>
      <c r="D5" s="3" t="s">
        <v>7</v>
      </c>
      <c r="E5" s="8">
        <v>1.3</v>
      </c>
      <c r="F5" s="4" t="s">
        <v>6</v>
      </c>
    </row>
    <row r="6" spans="2:6" ht="15.6" x14ac:dyDescent="0.3">
      <c r="B6" s="3">
        <v>4</v>
      </c>
      <c r="C6" s="2" t="s">
        <v>9</v>
      </c>
      <c r="D6" s="3">
        <v>2.2400000000000002</v>
      </c>
      <c r="E6" s="3">
        <v>2.2400000000000002</v>
      </c>
      <c r="F6" s="4" t="s">
        <v>6</v>
      </c>
    </row>
    <row r="7" spans="2:6" ht="15.6" x14ac:dyDescent="0.3">
      <c r="B7" s="3">
        <v>5</v>
      </c>
      <c r="C7" s="2" t="s">
        <v>3</v>
      </c>
      <c r="D7" s="3">
        <v>3.5</v>
      </c>
      <c r="E7" s="8">
        <v>3.5</v>
      </c>
      <c r="F7" s="4" t="s">
        <v>6</v>
      </c>
    </row>
    <row r="9" spans="2:6" ht="15.6" x14ac:dyDescent="0.3">
      <c r="C9" s="5" t="s">
        <v>11</v>
      </c>
      <c r="D9" s="6"/>
      <c r="E9" s="6">
        <f>E3+E4+E5+E7</f>
        <v>8.1</v>
      </c>
      <c r="F9" s="7" t="s">
        <v>6</v>
      </c>
    </row>
    <row r="10" spans="2:6" ht="15.6" x14ac:dyDescent="0.3">
      <c r="C10" s="5" t="s">
        <v>12</v>
      </c>
      <c r="D10" s="6"/>
      <c r="E10" s="6">
        <f>E6</f>
        <v>2.2400000000000002</v>
      </c>
      <c r="F10" s="7" t="s">
        <v>6</v>
      </c>
    </row>
    <row r="12" spans="2:6" ht="15.6" x14ac:dyDescent="0.3">
      <c r="C12" s="11" t="s">
        <v>16</v>
      </c>
      <c r="D12" s="12"/>
      <c r="E12" s="13">
        <v>160</v>
      </c>
      <c r="F12" s="14" t="s">
        <v>15</v>
      </c>
    </row>
    <row r="13" spans="2:6" ht="15.6" x14ac:dyDescent="0.3">
      <c r="C13" s="11" t="s">
        <v>18</v>
      </c>
      <c r="D13" s="12"/>
      <c r="E13" s="13">
        <f>ROUND(E12/E9,0)</f>
        <v>20</v>
      </c>
      <c r="F13" s="14" t="s">
        <v>17</v>
      </c>
    </row>
    <row r="14" spans="2:6" x14ac:dyDescent="0.3">
      <c r="E14" s="1"/>
      <c r="F14" s="1"/>
    </row>
  </sheetData>
  <mergeCells count="2">
    <mergeCell ref="C12:D12"/>
    <mergeCell ref="C13:D1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2025-04-02T06:13:02Z</dcterms:modified>
</cp:coreProperties>
</file>
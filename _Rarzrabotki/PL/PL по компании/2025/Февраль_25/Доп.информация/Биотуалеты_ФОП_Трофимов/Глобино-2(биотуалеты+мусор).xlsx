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i.steblianko\Desktop\"/>
    </mc:Choice>
  </mc:AlternateContent>
  <xr:revisionPtr revIDLastSave="0" documentId="13_ncr:1_{4CAF9C4B-4755-45EF-B2E2-FDCA31776F6A}" xr6:coauthVersionLast="45" xr6:coauthVersionMax="45" xr10:uidLastSave="{00000000-0000-0000-0000-000000000000}"/>
  <bookViews>
    <workbookView xWindow="-108" yWindow="-108" windowWidth="23256" windowHeight="12600" activeTab="1" xr2:uid="{00000000-000D-0000-FFFF-FFFF00000000}"/>
  </bookViews>
  <sheets>
    <sheet name="Биотуалеты" sheetId="1" r:id="rId1"/>
    <sheet name="Вывоз мусор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2" i="2" l="1"/>
  <c r="E12" i="2"/>
  <c r="C22" i="2"/>
  <c r="C21" i="2"/>
  <c r="C20" i="2"/>
  <c r="C19" i="2"/>
  <c r="C18" i="2"/>
  <c r="C17" i="2"/>
  <c r="C15" i="2"/>
  <c r="C16" i="2"/>
  <c r="E4" i="1"/>
  <c r="E3" i="1"/>
  <c r="E5" i="1"/>
  <c r="D5" i="1"/>
  <c r="C5" i="1"/>
  <c r="C3" i="1"/>
</calcChain>
</file>

<file path=xl/sharedStrings.xml><?xml version="1.0" encoding="utf-8"?>
<sst xmlns="http://schemas.openxmlformats.org/spreadsheetml/2006/main" count="103" uniqueCount="65">
  <si>
    <t>Биотуалеты</t>
  </si>
  <si>
    <t>Обслуживание</t>
  </si>
  <si>
    <t>Аренда</t>
  </si>
  <si>
    <t>Данные снабжения</t>
  </si>
  <si>
    <t>АВР на заказчика</t>
  </si>
  <si>
    <t>Себестоимость (ФОП Трофимов)</t>
  </si>
  <si>
    <t>Всего</t>
  </si>
  <si>
    <t>Дата</t>
  </si>
  <si>
    <t>Номер</t>
  </si>
  <si>
    <t>Вид операції</t>
  </si>
  <si>
    <t>Сума</t>
  </si>
  <si>
    <t>Валюта</t>
  </si>
  <si>
    <t>Склад</t>
  </si>
  <si>
    <t>Контрагент</t>
  </si>
  <si>
    <t>Дата вх.</t>
  </si>
  <si>
    <t>Номер вх.</t>
  </si>
  <si>
    <t>01.01.2025 19:00:14</t>
  </si>
  <si>
    <t>ІБ00-000122</t>
  </si>
  <si>
    <t>Покупка, комісія</t>
  </si>
  <si>
    <t>грн</t>
  </si>
  <si>
    <t>Глобине-2</t>
  </si>
  <si>
    <t>Глобинське КП</t>
  </si>
  <si>
    <t>27.11.2024</t>
  </si>
  <si>
    <t>188</t>
  </si>
  <si>
    <t>01.01.2025 19:00:16</t>
  </si>
  <si>
    <t>ІБ00-000123</t>
  </si>
  <si>
    <t>24.12.2024</t>
  </si>
  <si>
    <t>135</t>
  </si>
  <si>
    <t>01.01.2025 19:00:18</t>
  </si>
  <si>
    <t>ІБ00-000124</t>
  </si>
  <si>
    <t>136</t>
  </si>
  <si>
    <t>01.01.2025 19:00:20</t>
  </si>
  <si>
    <t>ІБ00-000125</t>
  </si>
  <si>
    <t>189</t>
  </si>
  <si>
    <t>01.03.2025 18:18:01</t>
  </si>
  <si>
    <t>ІБ00-001308</t>
  </si>
  <si>
    <t>28.01.2025</t>
  </si>
  <si>
    <t>112</t>
  </si>
  <si>
    <t>01.03.2025 18:18:03</t>
  </si>
  <si>
    <t>ІБ00-001309</t>
  </si>
  <si>
    <t>26.02.2025</t>
  </si>
  <si>
    <t>104</t>
  </si>
  <si>
    <t>01.05.2025 11:00:00</t>
  </si>
  <si>
    <t>ІБ00-002282</t>
  </si>
  <si>
    <t>26.03.2025</t>
  </si>
  <si>
    <t>87</t>
  </si>
  <si>
    <t>ІБ00-002283</t>
  </si>
  <si>
    <t>29.04.2025</t>
  </si>
  <si>
    <t>108</t>
  </si>
  <si>
    <t>01.06.2025 11:00:00</t>
  </si>
  <si>
    <t>ІБ00-002908</t>
  </si>
  <si>
    <t>27.05.2025</t>
  </si>
  <si>
    <t>77</t>
  </si>
  <si>
    <t>Месяц оказания услуг</t>
  </si>
  <si>
    <t>Сумма</t>
  </si>
  <si>
    <t>Ноябрь 24</t>
  </si>
  <si>
    <t>Декабрь 24</t>
  </si>
  <si>
    <t>Январь 25</t>
  </si>
  <si>
    <t>Февраль 25</t>
  </si>
  <si>
    <t>Март 25</t>
  </si>
  <si>
    <t>Апрель 25</t>
  </si>
  <si>
    <t>Май 25</t>
  </si>
  <si>
    <t>11 м3</t>
  </si>
  <si>
    <t>8,8 м3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</si>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</sst>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" fillId="0" borderId="0" xfId="0" applyFont="1"/>
    <xf numFmtId="4" fontId="1" fillId="0" borderId="0" xfId="0" applyNumberFormat="1" applyFont="1" applyAlignment="1">
      <alignment horizontal="center" vertical="center"/>
    </xf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2" fontId="4" fillId="2" borderId="1" xfId="1" applyNumberFormat="1" applyFont="1" applyFill="1" applyBorder="1" applyAlignment="1">
      <alignment horizontal="right" vertical="top"/>
    </xf>
    <xf numFmtId="4" fontId="4" fillId="2" borderId="1" xfId="1" applyNumberFormat="1" applyFont="1" applyFill="1" applyBorder="1" applyAlignment="1">
      <alignment horizontal="right" vertical="top"/>
    </xf>
    <xf numFmtId="0" fontId="0" fillId="0" borderId="2" xfId="0" applyBorder="1"/>
    <xf numFmtId="4" fontId="0" fillId="0" borderId="2" xfId="0" applyNumberFormat="1" applyBorder="1"/>
    <xf numFmtId="0" fontId="0" fillId="0" borderId="2" xfId="0" applyBorder="1" applyAlignment="1">
      <alignment horizontal="center" vertical="center"/>
    </xf>
    <xf numFmtId="0" fontId="1" fillId="0" borderId="2" xfId="0" applyFont="1" applyBorder="1"/>
    <xf numFmtId="4" fontId="1" fillId="0" borderId="2" xfId="0" applyNumberFormat="1" applyFont="1" applyBorder="1"/>
    <xf numFmtId="0" fontId="1" fillId="0" borderId="2" xfId="0" applyFont="1" applyBorder="1" applyAlignment="1">
      <alignment horizontal="center" vertical="center"/>
    </xf>
  </cellXfs>
  <cellStyles count="2">
    <cellStyle name="Обычный" xfId="0" builtinId="0"/>
    <cellStyle name="Обычный_Вывоз мусора" xfId="1" xr:uid="{6E4E420A-6D34-4CCD-A921-DFD22E1E36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7"/>
  <sheetViews>
    <sheetView workbookViewId="0">
      <selection activeCell="D5" sqref="D5"/>
    </sheetView>
  </sheetViews>
  <sheetFormatPr defaultRowHeight="14.4" x14ac:dyDescent="0.3"/>
  <cols>
    <col min="2" max="2" width="14" bestFit="1" customWidth="1"/>
    <col min="3" max="3" width="18.21875" style="2" bestFit="1" customWidth="1"/>
    <col min="4" max="4" width="15.88671875" style="2" bestFit="1" customWidth="1"/>
    <col min="5" max="5" width="29.5546875" style="2" bestFit="1" customWidth="1"/>
  </cols>
  <sheetData>
    <row r="2" spans="2:5" x14ac:dyDescent="0.3">
      <c r="B2" t="s">
        <v>0</v>
      </c>
      <c r="C2" s="2" t="s">
        <v>3</v>
      </c>
      <c r="D2" s="2" t="s">
        <v>4</v>
      </c>
      <c r="E2" s="2" t="s">
        <v>5</v>
      </c>
    </row>
    <row r="3" spans="2:5" x14ac:dyDescent="0.3">
      <c r="B3" t="s">
        <v>1</v>
      </c>
      <c r="C3" s="3">
        <f>7200</f>
        <v>7200</v>
      </c>
      <c r="D3" s="3"/>
      <c r="E3" s="3">
        <f>4*1378</f>
        <v>5512</v>
      </c>
    </row>
    <row r="4" spans="2:5" x14ac:dyDescent="0.3">
      <c r="B4" t="s">
        <v>2</v>
      </c>
      <c r="C4" s="3">
        <v>3900</v>
      </c>
      <c r="D4" s="3"/>
      <c r="E4" s="3">
        <f>2*1590</f>
        <v>3180</v>
      </c>
    </row>
    <row r="5" spans="2:5" x14ac:dyDescent="0.3">
      <c r="B5" s="4" t="s">
        <v>6</v>
      </c>
      <c r="C5" s="5">
        <f>SUM(C3:C4)</f>
        <v>11100</v>
      </c>
      <c r="D5" s="5">
        <f>16715*1.2</f>
        <v>20058</v>
      </c>
      <c r="E5" s="5">
        <f>SUM(E3:E4)</f>
        <v>8692</v>
      </c>
    </row>
    <row r="6" spans="2:5" x14ac:dyDescent="0.3">
      <c r="C6" s="3"/>
      <c r="D6" s="3"/>
    </row>
    <row r="7" spans="2:5" x14ac:dyDescent="0.3">
      <c r="D7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C15D-F2DA-407E-9D99-9BBD00980F8E}">
  <dimension ref="B2:J23"/>
  <sheetViews>
    <sheetView tabSelected="1" workbookViewId="0">
      <selection activeCell="F13" sqref="F13"/>
    </sheetView>
  </sheetViews>
  <sheetFormatPr defaultRowHeight="14.4" x14ac:dyDescent="0.3"/>
  <cols>
    <col min="2" max="2" width="20.6640625" bestFit="1" customWidth="1"/>
    <col min="3" max="3" width="8.77734375" bestFit="1" customWidth="1"/>
    <col min="4" max="4" width="12" bestFit="1" customWidth="1"/>
    <col min="5" max="5" width="8.88671875" bestFit="1" customWidth="1"/>
    <col min="6" max="6" width="7.6640625" bestFit="1" customWidth="1"/>
    <col min="7" max="7" width="7.44140625" bestFit="1" customWidth="1"/>
    <col min="8" max="8" width="10.77734375" bestFit="1" customWidth="1"/>
    <col min="9" max="9" width="8.109375" bestFit="1" customWidth="1"/>
    <col min="10" max="10" width="9.33203125" bestFit="1" customWidth="1"/>
  </cols>
  <sheetData>
    <row r="2" spans="2:10" x14ac:dyDescent="0.3"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</row>
    <row r="3" spans="2:10" x14ac:dyDescent="0.3">
      <c r="B3" s="7" t="s">
        <v>16</v>
      </c>
      <c r="C3" s="7" t="s">
        <v>17</v>
      </c>
      <c r="D3" s="7" t="s">
        <v>18</v>
      </c>
      <c r="E3" s="8">
        <v>364.58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23</v>
      </c>
    </row>
    <row r="4" spans="2:10" x14ac:dyDescent="0.3">
      <c r="B4" s="7" t="s">
        <v>24</v>
      </c>
      <c r="C4" s="7" t="s">
        <v>25</v>
      </c>
      <c r="D4" s="7" t="s">
        <v>18</v>
      </c>
      <c r="E4" s="9">
        <v>1276.04</v>
      </c>
      <c r="F4" s="7" t="s">
        <v>19</v>
      </c>
      <c r="G4" s="7" t="s">
        <v>20</v>
      </c>
      <c r="H4" s="7" t="s">
        <v>21</v>
      </c>
      <c r="I4" s="7" t="s">
        <v>26</v>
      </c>
      <c r="J4" s="7" t="s">
        <v>27</v>
      </c>
    </row>
    <row r="5" spans="2:10" x14ac:dyDescent="0.3">
      <c r="B5" s="7" t="s">
        <v>28</v>
      </c>
      <c r="C5" s="7" t="s">
        <v>29</v>
      </c>
      <c r="D5" s="7" t="s">
        <v>18</v>
      </c>
      <c r="E5" s="8">
        <v>177.48</v>
      </c>
      <c r="F5" s="7" t="s">
        <v>19</v>
      </c>
      <c r="G5" s="7" t="s">
        <v>20</v>
      </c>
      <c r="H5" s="7" t="s">
        <v>21</v>
      </c>
      <c r="I5" s="7" t="s">
        <v>26</v>
      </c>
      <c r="J5" s="7" t="s">
        <v>30</v>
      </c>
    </row>
    <row r="6" spans="2:10" x14ac:dyDescent="0.3">
      <c r="B6" s="7" t="s">
        <v>31</v>
      </c>
      <c r="C6" s="7" t="s">
        <v>32</v>
      </c>
      <c r="D6" s="7" t="s">
        <v>18</v>
      </c>
      <c r="E6" s="8">
        <v>50.71</v>
      </c>
      <c r="F6" s="7" t="s">
        <v>19</v>
      </c>
      <c r="G6" s="7" t="s">
        <v>20</v>
      </c>
      <c r="H6" s="7" t="s">
        <v>21</v>
      </c>
      <c r="I6" s="7" t="s">
        <v>22</v>
      </c>
      <c r="J6" s="7" t="s">
        <v>33</v>
      </c>
    </row>
    <row r="7" spans="2:10" x14ac:dyDescent="0.3">
      <c r="B7" s="7" t="s">
        <v>34</v>
      </c>
      <c r="C7" s="7" t="s">
        <v>35</v>
      </c>
      <c r="D7" s="7" t="s">
        <v>18</v>
      </c>
      <c r="E7" s="9">
        <v>2086.0100000000002</v>
      </c>
      <c r="F7" s="7" t="s">
        <v>19</v>
      </c>
      <c r="G7" s="7" t="s">
        <v>20</v>
      </c>
      <c r="H7" s="7" t="s">
        <v>21</v>
      </c>
      <c r="I7" s="7" t="s">
        <v>36</v>
      </c>
      <c r="J7" s="7" t="s">
        <v>37</v>
      </c>
    </row>
    <row r="8" spans="2:10" x14ac:dyDescent="0.3">
      <c r="B8" s="7" t="s">
        <v>38</v>
      </c>
      <c r="C8" s="7" t="s">
        <v>39</v>
      </c>
      <c r="D8" s="7" t="s">
        <v>18</v>
      </c>
      <c r="E8" s="9">
        <v>1670.71</v>
      </c>
      <c r="F8" s="7" t="s">
        <v>19</v>
      </c>
      <c r="G8" s="7" t="s">
        <v>20</v>
      </c>
      <c r="H8" s="7" t="s">
        <v>21</v>
      </c>
      <c r="I8" s="7" t="s">
        <v>40</v>
      </c>
      <c r="J8" s="7" t="s">
        <v>41</v>
      </c>
    </row>
    <row r="9" spans="2:10" x14ac:dyDescent="0.3">
      <c r="B9" s="7" t="s">
        <v>42</v>
      </c>
      <c r="C9" s="7" t="s">
        <v>43</v>
      </c>
      <c r="D9" s="7" t="s">
        <v>18</v>
      </c>
      <c r="E9" s="9">
        <v>1670.71</v>
      </c>
      <c r="F9" s="7" t="s">
        <v>19</v>
      </c>
      <c r="G9" s="7" t="s">
        <v>20</v>
      </c>
      <c r="H9" s="7" t="s">
        <v>21</v>
      </c>
      <c r="I9" s="7" t="s">
        <v>44</v>
      </c>
      <c r="J9" s="7" t="s">
        <v>45</v>
      </c>
    </row>
    <row r="10" spans="2:10" x14ac:dyDescent="0.3">
      <c r="B10" s="7" t="s">
        <v>42</v>
      </c>
      <c r="C10" s="7" t="s">
        <v>46</v>
      </c>
      <c r="D10" s="7" t="s">
        <v>18</v>
      </c>
      <c r="E10" s="9">
        <v>2086.0100000000002</v>
      </c>
      <c r="F10" s="7" t="s">
        <v>19</v>
      </c>
      <c r="G10" s="7" t="s">
        <v>20</v>
      </c>
      <c r="H10" s="7" t="s">
        <v>21</v>
      </c>
      <c r="I10" s="7" t="s">
        <v>47</v>
      </c>
      <c r="J10" s="7" t="s">
        <v>48</v>
      </c>
    </row>
    <row r="11" spans="2:10" x14ac:dyDescent="0.3">
      <c r="B11" s="7" t="s">
        <v>49</v>
      </c>
      <c r="C11" s="7" t="s">
        <v>50</v>
      </c>
      <c r="D11" s="7" t="s">
        <v>18</v>
      </c>
      <c r="E11" s="9">
        <v>1670.71</v>
      </c>
      <c r="F11" s="7" t="s">
        <v>19</v>
      </c>
      <c r="G11" s="7" t="s">
        <v>20</v>
      </c>
      <c r="H11" s="7" t="s">
        <v>21</v>
      </c>
      <c r="I11" s="7" t="s">
        <v>51</v>
      </c>
      <c r="J11" s="7" t="s">
        <v>52</v>
      </c>
    </row>
    <row r="12" spans="2:10" x14ac:dyDescent="0.3">
      <c r="E12" s="1">
        <f>SUM(E3:E11)</f>
        <v>11052.96</v>
      </c>
      <c r="F12" s="1">
        <f>E12-C22</f>
        <v>0</v>
      </c>
    </row>
    <row r="14" spans="2:10" x14ac:dyDescent="0.3">
      <c r="B14" s="13" t="s">
        <v>53</v>
      </c>
      <c r="C14" s="14" t="s">
        <v>54</v>
      </c>
      <c r="D14" s="15" t="s">
        <v>64</v>
      </c>
    </row>
    <row r="15" spans="2:10" x14ac:dyDescent="0.3">
      <c r="B15" s="10" t="s">
        <v>55</v>
      </c>
      <c r="C15" s="11">
        <f>E3+E6</f>
        <v>415.28999999999996</v>
      </c>
      <c r="D15" s="12"/>
    </row>
    <row r="16" spans="2:10" x14ac:dyDescent="0.3">
      <c r="B16" s="10" t="s">
        <v>56</v>
      </c>
      <c r="C16" s="11">
        <f>E4+E5</f>
        <v>1453.52</v>
      </c>
      <c r="D16" s="12"/>
    </row>
    <row r="17" spans="2:4" x14ac:dyDescent="0.3">
      <c r="B17" s="10" t="s">
        <v>57</v>
      </c>
      <c r="C17" s="11">
        <f>E7</f>
        <v>2086.0100000000002</v>
      </c>
      <c r="D17" s="12" t="s">
        <v>62</v>
      </c>
    </row>
    <row r="18" spans="2:4" x14ac:dyDescent="0.3">
      <c r="B18" s="10" t="s">
        <v>58</v>
      </c>
      <c r="C18" s="11">
        <f>E8</f>
        <v>1670.71</v>
      </c>
      <c r="D18" s="12" t="s">
        <v>63</v>
      </c>
    </row>
    <row r="19" spans="2:4" x14ac:dyDescent="0.3">
      <c r="B19" s="10" t="s">
        <v>59</v>
      </c>
      <c r="C19" s="11">
        <f>E9</f>
        <v>1670.71</v>
      </c>
      <c r="D19" s="12" t="s">
        <v>63</v>
      </c>
    </row>
    <row r="20" spans="2:4" x14ac:dyDescent="0.3">
      <c r="B20" s="10" t="s">
        <v>60</v>
      </c>
      <c r="C20" s="11">
        <f>E10</f>
        <v>2086.0100000000002</v>
      </c>
      <c r="D20" s="12" t="s">
        <v>62</v>
      </c>
    </row>
    <row r="21" spans="2:4" x14ac:dyDescent="0.3">
      <c r="B21" s="10" t="s">
        <v>61</v>
      </c>
      <c r="C21" s="11">
        <f>E11</f>
        <v>1670.71</v>
      </c>
      <c r="D21" s="12" t="s">
        <v>63</v>
      </c>
    </row>
    <row r="22" spans="2:4" x14ac:dyDescent="0.3">
      <c r="C22" s="1">
        <f>SUM(C15:C21)</f>
        <v>11052.96</v>
      </c>
    </row>
    <row r="23" spans="2:4" x14ac:dyDescent="0.3">
      <c r="C23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Биотуалеты</vt:lpstr>
      <vt:lpstr>Вывоз мусора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2025-06-17T09:54:18Z</dcterms:modified>
</cp:coreProperties>
</file>
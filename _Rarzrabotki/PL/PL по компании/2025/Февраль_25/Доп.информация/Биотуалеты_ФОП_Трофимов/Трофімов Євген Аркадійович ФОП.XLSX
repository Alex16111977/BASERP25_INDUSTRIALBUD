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24" windowWidth="22980" windowHeight="9024"/>
  </bookViews>
  <sheets>
    <sheet name="Свод" sheetId="1" r:id="rId1"/>
    <sheet name="Акты" sheetId="2" r:id="rId2"/>
  </sheets>
  <definedNames>
    <definedName name="_xlnm._FilterDatabase" localSheetId="0" hidden="1">Свод!$B$2:$J$2</definedName>
  </definedNames>
  <calcPr calcId="152511"/>
</workbook>
</file>

<file path=xl/calcChain.xml><?xml version="1.0" encoding="utf-8"?>
<calcChain xmlns="http://schemas.openxmlformats.org/spreadsheetml/2006/main">
  <c r="D12" i="2" l="1"/>
  <c r="E13" i="1"/>
  <c r="H13" i="1"/>
  <c r="G7" i="1"/>
  <c r="I7" i="1" s="1"/>
  <c r="G12" i="1"/>
  <c r="I12" i="1" s="1"/>
  <c r="G11" i="1"/>
  <c r="I11" i="1" s="1"/>
  <c r="G10" i="1"/>
  <c r="I10" i="1" s="1"/>
  <c r="G9" i="1"/>
  <c r="I9" i="1" s="1"/>
  <c r="G8" i="1"/>
  <c r="I8" i="1" s="1"/>
  <c r="G6" i="1"/>
  <c r="I6" i="1" s="1"/>
  <c r="G5" i="1"/>
  <c r="I5" i="1" s="1"/>
  <c r="G4" i="1"/>
  <c r="I4" i="1" s="1"/>
  <c r="G3" i="1"/>
  <c r="I3" i="1" s="1"/>
  <c r="G13" i="1" l="1"/>
  <c r="F13" i="1" s="1"/>
  <c r="I13" i="1"/>
  <c r="J13" i="1" s="1"/>
</calcChain>
</file>

<file path=xl/sharedStrings.xml><?xml version="1.0" encoding="utf-8"?>
<sst xmlns="http://schemas.openxmlformats.org/spreadsheetml/2006/main" count="176" uniqueCount="99">
  <si>
    <t>Дата</t>
  </si>
  <si>
    <t>Номер</t>
  </si>
  <si>
    <t>Вид операції</t>
  </si>
  <si>
    <t>Сума</t>
  </si>
  <si>
    <t>Валюта</t>
  </si>
  <si>
    <t>Склад</t>
  </si>
  <si>
    <t>Контрагент</t>
  </si>
  <si>
    <t>Дата вх.</t>
  </si>
  <si>
    <t>Номер вх.</t>
  </si>
  <si>
    <t>Договір</t>
  </si>
  <si>
    <t>Документ розрахунків</t>
  </si>
  <si>
    <t>Організація</t>
  </si>
  <si>
    <t>Відповідальний</t>
  </si>
  <si>
    <t>Коментар</t>
  </si>
  <si>
    <t>30.09.2024 10:59:59</t>
  </si>
  <si>
    <t>ІБ00-004905</t>
  </si>
  <si>
    <t>Покупка, комісія</t>
  </si>
  <si>
    <t>грн</t>
  </si>
  <si>
    <t>Глобине-2</t>
  </si>
  <si>
    <t>Трофімов Євген Аркадійович ФОП</t>
  </si>
  <si>
    <t>30.09.2024</t>
  </si>
  <si>
    <t>1006</t>
  </si>
  <si>
    <t>РАХУНКИ_Глобине-2</t>
  </si>
  <si>
    <t>Рахунок на оплату постачальника ІБ00-003614 від 24.09.2024 18:24:21</t>
  </si>
  <si>
    <t>ТОВ "ІНДАСТРІАЛБУД"</t>
  </si>
  <si>
    <t>Шостак Жанета</t>
  </si>
  <si>
    <t>01.11.2024 20:00:04</t>
  </si>
  <si>
    <t>ІБ00-005783</t>
  </si>
  <si>
    <t>31.10.2024</t>
  </si>
  <si>
    <t>1098</t>
  </si>
  <si>
    <t>Рахунок на оплату постачальника ІБ00-004547 від 22.10.2024 18:11:15</t>
  </si>
  <si>
    <t>30.11.2024 18:59:59</t>
  </si>
  <si>
    <t>ІБ00-005929</t>
  </si>
  <si>
    <t>30.11.2024</t>
  </si>
  <si>
    <t>1177</t>
  </si>
  <si>
    <t>Рахунок на оплату постачальника ІБ00-004548 від 05.11.2024 17:28:33</t>
  </si>
  <si>
    <t>Степанець Оксана</t>
  </si>
  <si>
    <t>01.12.2024 13:05:16</t>
  </si>
  <si>
    <t>ІБ00-006168</t>
  </si>
  <si>
    <t>12.11.2024</t>
  </si>
  <si>
    <t>1204</t>
  </si>
  <si>
    <t>Рахунок на оплату постачальника ІБ00-004549 від 12.11.2024 09:00:00</t>
  </si>
  <si>
    <t>по рахунку 972 від 02/12</t>
  </si>
  <si>
    <t>02.12.2024 22:00:01</t>
  </si>
  <si>
    <t>ІБ00-006169</t>
  </si>
  <si>
    <t>02.12.2024</t>
  </si>
  <si>
    <t>1258</t>
  </si>
  <si>
    <t>Рахунок на оплату постачальника ІБ00-004923 від 02.12.2024 18:39:01</t>
  </si>
  <si>
    <t>по рахунку 933 від 12/11</t>
  </si>
  <si>
    <t>31.12.2024 12:00:00</t>
  </si>
  <si>
    <t>ІБ00-006523</t>
  </si>
  <si>
    <t>31.12.2024</t>
  </si>
  <si>
    <t>1297</t>
  </si>
  <si>
    <t>Рахунок на оплату постачальника ІБ00-005206 від 05.12.2024 19:22:41</t>
  </si>
  <si>
    <t>01.01.2025 19:00:03</t>
  </si>
  <si>
    <t>ІБ00-000097</t>
  </si>
  <si>
    <t>05.12.2024</t>
  </si>
  <si>
    <t>1269</t>
  </si>
  <si>
    <t>Рахунок на оплату постачальника ІБ00-004924 від 05.12.2024 18:31:11</t>
  </si>
  <si>
    <t>01.02.2025 18:10:23</t>
  </si>
  <si>
    <t>ІБ00-000547</t>
  </si>
  <si>
    <t>31.01.2025</t>
  </si>
  <si>
    <t>17</t>
  </si>
  <si>
    <t>Рахунок на оплату постачальника ІБ00-000132 від 06.01.2025 18:00:56</t>
  </si>
  <si>
    <t>01.02.2025 18:11:28</t>
  </si>
  <si>
    <t>ІБ00-000654</t>
  </si>
  <si>
    <t>107</t>
  </si>
  <si>
    <t>Рахунок на оплату постачальника ІБ00-000382 від 31.01.2025 23:20:22</t>
  </si>
  <si>
    <t>Хлань Елена</t>
  </si>
  <si>
    <t>28.02.2025 23:59:18</t>
  </si>
  <si>
    <t>ІБ00-000750</t>
  </si>
  <si>
    <t>28.02.2025</t>
  </si>
  <si>
    <t>106</t>
  </si>
  <si>
    <t>Рахунок на оплату постачальника ІБ00-000383 від 31.01.2025 23:20:23</t>
  </si>
  <si>
    <t>Сентябрь</t>
  </si>
  <si>
    <t>Период проведения в базе</t>
  </si>
  <si>
    <t>Сумма</t>
  </si>
  <si>
    <t>Кол-во услуг</t>
  </si>
  <si>
    <t xml:space="preserve">Цена </t>
  </si>
  <si>
    <t>Доп.услуги</t>
  </si>
  <si>
    <t>Сумма Акта</t>
  </si>
  <si>
    <t>за 2 мес (август, сентябрь); доставка</t>
  </si>
  <si>
    <t>Примечание</t>
  </si>
  <si>
    <t>Октябрь</t>
  </si>
  <si>
    <t>Ноябрь</t>
  </si>
  <si>
    <t>Декабрь</t>
  </si>
  <si>
    <t>Январь</t>
  </si>
  <si>
    <t>Период в акте</t>
  </si>
  <si>
    <t>Февраль</t>
  </si>
  <si>
    <t>Итого</t>
  </si>
  <si>
    <t>№ акта</t>
  </si>
  <si>
    <t>обслуживание - 2 туалета</t>
  </si>
  <si>
    <t>обслуживание - 3 туалета</t>
  </si>
  <si>
    <t>обслуживание - 2 раза по 3 туалета</t>
  </si>
  <si>
    <t>Проблемные вопросы:</t>
  </si>
  <si>
    <t>Аренда биотуалетов = 4 770,0 грн + обслуживание 1 раза в мес = 4 134,0 грн. ВСЕГО = 8 904,0 грн.</t>
  </si>
  <si>
    <t>1. Сумма в бюджете стоит за аренду 2-х биотуалетов и обслуживание 1 раз в мес. По факту арендуется 3 биотуалета и обслуживаются они 2 раза в мес.</t>
  </si>
  <si>
    <t>2. Акты передаются с задержкой, поэтому проводяться не в месяц оказания услуг.</t>
  </si>
  <si>
    <t>3. По контрагенту нет договора, работаем по счетам.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</si>
</sst>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</font>
    <font>
      <sz val="8"/>
      <color indexed="63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" fontId="4" fillId="0" borderId="1" xfId="1" applyNumberFormat="1" applyFont="1" applyFill="1" applyBorder="1" applyAlignment="1">
      <alignment horizontal="right" vertical="top"/>
    </xf>
    <xf numFmtId="4" fontId="8" fillId="0" borderId="0" xfId="0" applyNumberFormat="1" applyFont="1"/>
    <xf numFmtId="0" fontId="0" fillId="0" borderId="3" xfId="0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4" fontId="0" fillId="3" borderId="9" xfId="0" applyNumberFormat="1" applyFill="1" applyBorder="1" applyAlignment="1">
      <alignment horizontal="center" vertical="center"/>
    </xf>
    <xf numFmtId="4" fontId="0" fillId="3" borderId="11" xfId="0" applyNumberFormat="1" applyFill="1" applyBorder="1" applyAlignment="1">
      <alignment horizontal="center" vertical="center"/>
    </xf>
    <xf numFmtId="4" fontId="0" fillId="3" borderId="14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Обычный" xfId="0" builtinId="0"/>
    <cellStyle name="Обычный_Лист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tabSelected="1" workbookViewId="0">
      <selection activeCell="B21" sqref="B21"/>
    </sheetView>
  </sheetViews>
  <sheetFormatPr defaultRowHeight="14.4" x14ac:dyDescent="0.3"/>
  <cols>
    <col min="1" max="1" width="3.21875" customWidth="1"/>
    <col min="2" max="2" width="16.21875" style="5" customWidth="1"/>
    <col min="3" max="3" width="13.44140625" style="5" bestFit="1" customWidth="1"/>
    <col min="4" max="4" width="24.6640625" style="5" bestFit="1" customWidth="1"/>
    <col min="5" max="5" width="11.77734375" style="5" bestFit="1" customWidth="1"/>
    <col min="6" max="7" width="8.88671875" style="5"/>
    <col min="8" max="8" width="10.44140625" style="5" bestFit="1" customWidth="1"/>
    <col min="9" max="9" width="10.88671875" style="5" bestFit="1" customWidth="1"/>
    <col min="10" max="10" width="32.77734375" bestFit="1" customWidth="1"/>
  </cols>
  <sheetData>
    <row r="2" spans="2:10" x14ac:dyDescent="0.3">
      <c r="B2" s="11" t="s">
        <v>90</v>
      </c>
      <c r="C2" s="11" t="s">
        <v>87</v>
      </c>
      <c r="D2" s="11" t="s">
        <v>75</v>
      </c>
      <c r="E2" s="11" t="s">
        <v>77</v>
      </c>
      <c r="F2" s="11" t="s">
        <v>78</v>
      </c>
      <c r="G2" s="11" t="s">
        <v>76</v>
      </c>
      <c r="H2" s="11" t="s">
        <v>79</v>
      </c>
      <c r="I2" s="11" t="s">
        <v>80</v>
      </c>
      <c r="J2" s="12" t="s">
        <v>82</v>
      </c>
    </row>
    <row r="3" spans="2:10" x14ac:dyDescent="0.3">
      <c r="B3" s="7">
        <v>1006</v>
      </c>
      <c r="C3" s="7" t="s">
        <v>74</v>
      </c>
      <c r="D3" s="7" t="s">
        <v>74</v>
      </c>
      <c r="E3" s="9">
        <v>6</v>
      </c>
      <c r="F3" s="9">
        <v>1590</v>
      </c>
      <c r="G3" s="9">
        <f>E3*F3</f>
        <v>9540</v>
      </c>
      <c r="H3" s="9">
        <v>11660</v>
      </c>
      <c r="I3" s="9">
        <f>G3+H3</f>
        <v>21200</v>
      </c>
      <c r="J3" s="8" t="s">
        <v>81</v>
      </c>
    </row>
    <row r="4" spans="2:10" x14ac:dyDescent="0.3">
      <c r="B4" s="7">
        <v>1098</v>
      </c>
      <c r="C4" s="7" t="s">
        <v>83</v>
      </c>
      <c r="D4" s="7" t="s">
        <v>84</v>
      </c>
      <c r="E4" s="9">
        <v>3</v>
      </c>
      <c r="F4" s="9">
        <v>1590</v>
      </c>
      <c r="G4" s="9">
        <f t="shared" ref="G4:G12" si="0">E4*F4</f>
        <v>4770</v>
      </c>
      <c r="H4" s="9"/>
      <c r="I4" s="9">
        <f t="shared" ref="I4:I12" si="1">G4+H4</f>
        <v>4770</v>
      </c>
      <c r="J4" s="8"/>
    </row>
    <row r="5" spans="2:10" x14ac:dyDescent="0.3">
      <c r="B5" s="7">
        <v>1177</v>
      </c>
      <c r="C5" s="7" t="s">
        <v>84</v>
      </c>
      <c r="D5" s="7" t="s">
        <v>84</v>
      </c>
      <c r="E5" s="9">
        <v>3</v>
      </c>
      <c r="F5" s="9">
        <v>1590</v>
      </c>
      <c r="G5" s="9">
        <f t="shared" si="0"/>
        <v>4770</v>
      </c>
      <c r="H5" s="9"/>
      <c r="I5" s="9">
        <f t="shared" si="1"/>
        <v>4770</v>
      </c>
      <c r="J5" s="8"/>
    </row>
    <row r="6" spans="2:10" x14ac:dyDescent="0.3">
      <c r="B6" s="7">
        <v>1204</v>
      </c>
      <c r="C6" s="7" t="s">
        <v>84</v>
      </c>
      <c r="D6" s="7" t="s">
        <v>85</v>
      </c>
      <c r="E6" s="9">
        <v>2</v>
      </c>
      <c r="F6" s="9">
        <v>1378</v>
      </c>
      <c r="G6" s="9">
        <f t="shared" si="0"/>
        <v>2756</v>
      </c>
      <c r="H6" s="9"/>
      <c r="I6" s="9">
        <f t="shared" si="1"/>
        <v>2756</v>
      </c>
      <c r="J6" s="8" t="s">
        <v>91</v>
      </c>
    </row>
    <row r="7" spans="2:10" x14ac:dyDescent="0.3">
      <c r="B7" s="7">
        <v>1258</v>
      </c>
      <c r="C7" s="7" t="s">
        <v>85</v>
      </c>
      <c r="D7" s="7" t="s">
        <v>85</v>
      </c>
      <c r="E7" s="9">
        <v>3</v>
      </c>
      <c r="F7" s="9">
        <v>1378</v>
      </c>
      <c r="G7" s="9">
        <f t="shared" ref="G7" si="2">E7*F7</f>
        <v>4134</v>
      </c>
      <c r="H7" s="9"/>
      <c r="I7" s="9">
        <f t="shared" ref="I7" si="3">G7+H7</f>
        <v>4134</v>
      </c>
      <c r="J7" s="8" t="s">
        <v>92</v>
      </c>
    </row>
    <row r="8" spans="2:10" x14ac:dyDescent="0.3">
      <c r="B8" s="7">
        <v>1297</v>
      </c>
      <c r="C8" s="7" t="s">
        <v>85</v>
      </c>
      <c r="D8" s="7" t="s">
        <v>85</v>
      </c>
      <c r="E8" s="9">
        <v>3</v>
      </c>
      <c r="F8" s="9">
        <v>1590</v>
      </c>
      <c r="G8" s="9">
        <f t="shared" si="0"/>
        <v>4770</v>
      </c>
      <c r="H8" s="9"/>
      <c r="I8" s="9">
        <f t="shared" si="1"/>
        <v>4770</v>
      </c>
      <c r="J8" s="8"/>
    </row>
    <row r="9" spans="2:10" ht="15" thickBot="1" x14ac:dyDescent="0.35">
      <c r="B9" s="7">
        <v>1269</v>
      </c>
      <c r="C9" s="20" t="s">
        <v>85</v>
      </c>
      <c r="D9" s="20" t="s">
        <v>86</v>
      </c>
      <c r="E9" s="21">
        <v>6</v>
      </c>
      <c r="F9" s="21">
        <v>1378</v>
      </c>
      <c r="G9" s="21">
        <f t="shared" si="0"/>
        <v>8268</v>
      </c>
      <c r="H9" s="9"/>
      <c r="I9" s="9">
        <f t="shared" si="1"/>
        <v>8268</v>
      </c>
      <c r="J9" s="8" t="s">
        <v>93</v>
      </c>
    </row>
    <row r="10" spans="2:10" x14ac:dyDescent="0.3">
      <c r="B10" s="18">
        <v>17</v>
      </c>
      <c r="C10" s="23" t="s">
        <v>86</v>
      </c>
      <c r="D10" s="24" t="s">
        <v>88</v>
      </c>
      <c r="E10" s="25">
        <v>3</v>
      </c>
      <c r="F10" s="25">
        <v>1590</v>
      </c>
      <c r="G10" s="30">
        <f t="shared" si="0"/>
        <v>4770</v>
      </c>
      <c r="H10" s="19"/>
      <c r="I10" s="9">
        <f t="shared" si="1"/>
        <v>4770</v>
      </c>
      <c r="J10" s="8"/>
    </row>
    <row r="11" spans="2:10" x14ac:dyDescent="0.3">
      <c r="B11" s="18">
        <v>107</v>
      </c>
      <c r="C11" s="26" t="s">
        <v>86</v>
      </c>
      <c r="D11" s="7" t="s">
        <v>88</v>
      </c>
      <c r="E11" s="9">
        <v>6</v>
      </c>
      <c r="F11" s="9">
        <v>1378</v>
      </c>
      <c r="G11" s="31">
        <f t="shared" si="0"/>
        <v>8268</v>
      </c>
      <c r="H11" s="19"/>
      <c r="I11" s="9">
        <f t="shared" si="1"/>
        <v>8268</v>
      </c>
      <c r="J11" s="8" t="s">
        <v>93</v>
      </c>
    </row>
    <row r="12" spans="2:10" ht="15" thickBot="1" x14ac:dyDescent="0.35">
      <c r="B12" s="18">
        <v>106</v>
      </c>
      <c r="C12" s="27" t="s">
        <v>88</v>
      </c>
      <c r="D12" s="28" t="s">
        <v>88</v>
      </c>
      <c r="E12" s="29">
        <v>3</v>
      </c>
      <c r="F12" s="29">
        <v>1590</v>
      </c>
      <c r="G12" s="32">
        <f t="shared" si="0"/>
        <v>4770</v>
      </c>
      <c r="H12" s="19"/>
      <c r="I12" s="9">
        <f t="shared" si="1"/>
        <v>4770</v>
      </c>
      <c r="J12" s="8"/>
    </row>
    <row r="13" spans="2:10" x14ac:dyDescent="0.3">
      <c r="B13" s="7"/>
      <c r="C13" s="33" t="s">
        <v>89</v>
      </c>
      <c r="D13" s="33"/>
      <c r="E13" s="22">
        <f>SUM(E3:E12)</f>
        <v>38</v>
      </c>
      <c r="F13" s="22">
        <f>G13/E13</f>
        <v>1495.1578947368421</v>
      </c>
      <c r="G13" s="22">
        <f t="shared" ref="G13:H13" si="4">SUM(G3:G12)</f>
        <v>56816</v>
      </c>
      <c r="H13" s="10">
        <f t="shared" si="4"/>
        <v>11660</v>
      </c>
      <c r="I13" s="10">
        <f>SUM(I3:I12)</f>
        <v>68476</v>
      </c>
      <c r="J13" s="17">
        <f>I13-Акты!D12</f>
        <v>0</v>
      </c>
    </row>
    <row r="14" spans="2:10" x14ac:dyDescent="0.3">
      <c r="E14" s="6"/>
      <c r="F14" s="6"/>
      <c r="G14" s="6"/>
      <c r="H14" s="6"/>
      <c r="I14" s="6"/>
    </row>
    <row r="15" spans="2:10" ht="18" x14ac:dyDescent="0.3">
      <c r="B15" s="13" t="s">
        <v>95</v>
      </c>
      <c r="E15" s="6"/>
      <c r="F15" s="6"/>
      <c r="G15" s="6"/>
      <c r="H15" s="6"/>
      <c r="I15" s="6"/>
    </row>
    <row r="17" spans="2:2" ht="21" x14ac:dyDescent="0.3">
      <c r="B17" s="15" t="s">
        <v>94</v>
      </c>
    </row>
    <row r="18" spans="2:2" ht="18" x14ac:dyDescent="0.3">
      <c r="B18" s="14" t="s">
        <v>96</v>
      </c>
    </row>
    <row r="19" spans="2:2" ht="18" x14ac:dyDescent="0.3">
      <c r="B19" s="14" t="s">
        <v>97</v>
      </c>
    </row>
    <row r="20" spans="2:2" ht="18" x14ac:dyDescent="0.3">
      <c r="B20" s="14" t="s">
        <v>98</v>
      </c>
    </row>
    <row r="21" spans="2:2" ht="18" x14ac:dyDescent="0.3">
      <c r="B21" s="14"/>
    </row>
    <row r="22" spans="2:2" ht="18" x14ac:dyDescent="0.3">
      <c r="B22" s="14"/>
    </row>
    <row r="23" spans="2:2" ht="18" x14ac:dyDescent="0.3">
      <c r="B23" s="14"/>
    </row>
    <row r="24" spans="2:2" ht="18" x14ac:dyDescent="0.3">
      <c r="B24" s="14"/>
    </row>
    <row r="25" spans="2:2" ht="18" x14ac:dyDescent="0.3">
      <c r="B25" s="14"/>
    </row>
  </sheetData>
  <autoFilter ref="B2:J2"/>
  <mergeCells count="1">
    <mergeCell ref="C13:D1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A30" sqref="A30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8.88671875" bestFit="1" customWidth="1"/>
    <col min="5" max="5" width="7.6640625" bestFit="1" customWidth="1"/>
    <col min="6" max="6" width="7.44140625" bestFit="1" customWidth="1"/>
    <col min="7" max="7" width="24.21875" bestFit="1" customWidth="1"/>
    <col min="8" max="8" width="8.109375" bestFit="1" customWidth="1"/>
    <col min="9" max="9" width="9.33203125" bestFit="1" customWidth="1"/>
    <col min="10" max="10" width="14.88671875" bestFit="1" customWidth="1"/>
    <col min="11" max="11" width="48.88671875" bestFit="1" customWidth="1"/>
    <col min="12" max="12" width="16.6640625" bestFit="1" customWidth="1"/>
    <col min="13" max="13" width="14.5546875" bestFit="1" customWidth="1"/>
    <col min="14" max="14" width="17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16">
        <v>21200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/>
    </row>
    <row r="3" spans="1:14" x14ac:dyDescent="0.3">
      <c r="A3" s="2" t="s">
        <v>26</v>
      </c>
      <c r="B3" s="2" t="s">
        <v>27</v>
      </c>
      <c r="C3" s="2" t="s">
        <v>16</v>
      </c>
      <c r="D3" s="16">
        <v>4770</v>
      </c>
      <c r="E3" s="2" t="s">
        <v>17</v>
      </c>
      <c r="F3" s="2" t="s">
        <v>18</v>
      </c>
      <c r="G3" s="2" t="s">
        <v>19</v>
      </c>
      <c r="H3" s="2" t="s">
        <v>28</v>
      </c>
      <c r="I3" s="2" t="s">
        <v>29</v>
      </c>
      <c r="J3" s="2" t="s">
        <v>22</v>
      </c>
      <c r="K3" s="2" t="s">
        <v>30</v>
      </c>
      <c r="L3" s="2" t="s">
        <v>24</v>
      </c>
      <c r="M3" s="2" t="s">
        <v>25</v>
      </c>
      <c r="N3" s="2"/>
    </row>
    <row r="4" spans="1:14" x14ac:dyDescent="0.3">
      <c r="A4" s="2" t="s">
        <v>31</v>
      </c>
      <c r="B4" s="2" t="s">
        <v>32</v>
      </c>
      <c r="C4" s="2" t="s">
        <v>16</v>
      </c>
      <c r="D4" s="16">
        <v>4770</v>
      </c>
      <c r="E4" s="2" t="s">
        <v>17</v>
      </c>
      <c r="F4" s="2" t="s">
        <v>18</v>
      </c>
      <c r="G4" s="2" t="s">
        <v>19</v>
      </c>
      <c r="H4" s="2" t="s">
        <v>33</v>
      </c>
      <c r="I4" s="2" t="s">
        <v>34</v>
      </c>
      <c r="J4" s="2" t="s">
        <v>22</v>
      </c>
      <c r="K4" s="2" t="s">
        <v>35</v>
      </c>
      <c r="L4" s="2" t="s">
        <v>24</v>
      </c>
      <c r="M4" s="2" t="s">
        <v>36</v>
      </c>
      <c r="N4" s="2"/>
    </row>
    <row r="5" spans="1:14" x14ac:dyDescent="0.3">
      <c r="A5" s="2" t="s">
        <v>37</v>
      </c>
      <c r="B5" s="2" t="s">
        <v>38</v>
      </c>
      <c r="C5" s="2" t="s">
        <v>16</v>
      </c>
      <c r="D5" s="16">
        <v>4134</v>
      </c>
      <c r="E5" s="2" t="s">
        <v>17</v>
      </c>
      <c r="F5" s="2" t="s">
        <v>18</v>
      </c>
      <c r="G5" s="2" t="s">
        <v>19</v>
      </c>
      <c r="H5" s="2" t="s">
        <v>39</v>
      </c>
      <c r="I5" s="2" t="s">
        <v>40</v>
      </c>
      <c r="J5" s="2" t="s">
        <v>22</v>
      </c>
      <c r="K5" s="2" t="s">
        <v>41</v>
      </c>
      <c r="L5" s="2" t="s">
        <v>24</v>
      </c>
      <c r="M5" s="2" t="s">
        <v>36</v>
      </c>
      <c r="N5" s="2" t="s">
        <v>42</v>
      </c>
    </row>
    <row r="6" spans="1:14" x14ac:dyDescent="0.3">
      <c r="A6" s="2" t="s">
        <v>43</v>
      </c>
      <c r="B6" s="2" t="s">
        <v>44</v>
      </c>
      <c r="C6" s="2" t="s">
        <v>16</v>
      </c>
      <c r="D6" s="16">
        <v>2756</v>
      </c>
      <c r="E6" s="2" t="s">
        <v>17</v>
      </c>
      <c r="F6" s="2" t="s">
        <v>18</v>
      </c>
      <c r="G6" s="2" t="s">
        <v>19</v>
      </c>
      <c r="H6" s="2" t="s">
        <v>45</v>
      </c>
      <c r="I6" s="2" t="s">
        <v>46</v>
      </c>
      <c r="J6" s="2" t="s">
        <v>22</v>
      </c>
      <c r="K6" s="2" t="s">
        <v>47</v>
      </c>
      <c r="L6" s="2" t="s">
        <v>24</v>
      </c>
      <c r="M6" s="2" t="s">
        <v>36</v>
      </c>
      <c r="N6" s="2" t="s">
        <v>48</v>
      </c>
    </row>
    <row r="7" spans="1:14" x14ac:dyDescent="0.3">
      <c r="A7" s="2" t="s">
        <v>49</v>
      </c>
      <c r="B7" s="2" t="s">
        <v>50</v>
      </c>
      <c r="C7" s="2" t="s">
        <v>16</v>
      </c>
      <c r="D7" s="16">
        <v>4770</v>
      </c>
      <c r="E7" s="2" t="s">
        <v>17</v>
      </c>
      <c r="F7" s="2" t="s">
        <v>18</v>
      </c>
      <c r="G7" s="2" t="s">
        <v>19</v>
      </c>
      <c r="H7" s="2" t="s">
        <v>51</v>
      </c>
      <c r="I7" s="2" t="s">
        <v>52</v>
      </c>
      <c r="J7" s="2" t="s">
        <v>22</v>
      </c>
      <c r="K7" s="2" t="s">
        <v>53</v>
      </c>
      <c r="L7" s="2" t="s">
        <v>24</v>
      </c>
      <c r="M7" s="2" t="s">
        <v>25</v>
      </c>
      <c r="N7" s="2"/>
    </row>
    <row r="8" spans="1:14" x14ac:dyDescent="0.3">
      <c r="A8" s="2" t="s">
        <v>54</v>
      </c>
      <c r="B8" s="2" t="s">
        <v>55</v>
      </c>
      <c r="C8" s="2" t="s">
        <v>16</v>
      </c>
      <c r="D8" s="16">
        <v>8268</v>
      </c>
      <c r="E8" s="2" t="s">
        <v>17</v>
      </c>
      <c r="F8" s="2" t="s">
        <v>18</v>
      </c>
      <c r="G8" s="2" t="s">
        <v>19</v>
      </c>
      <c r="H8" s="2" t="s">
        <v>56</v>
      </c>
      <c r="I8" s="2" t="s">
        <v>57</v>
      </c>
      <c r="J8" s="2" t="s">
        <v>22</v>
      </c>
      <c r="K8" s="2" t="s">
        <v>58</v>
      </c>
      <c r="L8" s="2" t="s">
        <v>24</v>
      </c>
      <c r="M8" s="2" t="s">
        <v>25</v>
      </c>
      <c r="N8" s="2"/>
    </row>
    <row r="9" spans="1:14" x14ac:dyDescent="0.3">
      <c r="A9" s="2" t="s">
        <v>59</v>
      </c>
      <c r="B9" s="2" t="s">
        <v>60</v>
      </c>
      <c r="C9" s="2" t="s">
        <v>16</v>
      </c>
      <c r="D9" s="16">
        <v>4770</v>
      </c>
      <c r="E9" s="2" t="s">
        <v>17</v>
      </c>
      <c r="F9" s="2" t="s">
        <v>18</v>
      </c>
      <c r="G9" s="2" t="s">
        <v>19</v>
      </c>
      <c r="H9" s="2" t="s">
        <v>61</v>
      </c>
      <c r="I9" s="2" t="s">
        <v>62</v>
      </c>
      <c r="J9" s="2" t="s">
        <v>22</v>
      </c>
      <c r="K9" s="2" t="s">
        <v>63</v>
      </c>
      <c r="L9" s="2" t="s">
        <v>24</v>
      </c>
      <c r="M9" s="2" t="s">
        <v>25</v>
      </c>
      <c r="N9" s="2"/>
    </row>
    <row r="10" spans="1:14" x14ac:dyDescent="0.3">
      <c r="A10" s="2" t="s">
        <v>64</v>
      </c>
      <c r="B10" s="2" t="s">
        <v>65</v>
      </c>
      <c r="C10" s="2" t="s">
        <v>16</v>
      </c>
      <c r="D10" s="16">
        <v>8268</v>
      </c>
      <c r="E10" s="2" t="s">
        <v>17</v>
      </c>
      <c r="F10" s="2" t="s">
        <v>18</v>
      </c>
      <c r="G10" s="2" t="s">
        <v>19</v>
      </c>
      <c r="H10" s="2" t="s">
        <v>61</v>
      </c>
      <c r="I10" s="2" t="s">
        <v>66</v>
      </c>
      <c r="J10" s="2" t="s">
        <v>22</v>
      </c>
      <c r="K10" s="2" t="s">
        <v>67</v>
      </c>
      <c r="L10" s="2" t="s">
        <v>24</v>
      </c>
      <c r="M10" s="2" t="s">
        <v>68</v>
      </c>
      <c r="N10" s="2"/>
    </row>
    <row r="11" spans="1:14" x14ac:dyDescent="0.3">
      <c r="A11" s="2" t="s">
        <v>69</v>
      </c>
      <c r="B11" s="2" t="s">
        <v>70</v>
      </c>
      <c r="C11" s="2" t="s">
        <v>16</v>
      </c>
      <c r="D11" s="3">
        <v>4770</v>
      </c>
      <c r="E11" s="2" t="s">
        <v>17</v>
      </c>
      <c r="F11" s="2" t="s">
        <v>18</v>
      </c>
      <c r="G11" s="2" t="s">
        <v>19</v>
      </c>
      <c r="H11" s="2" t="s">
        <v>71</v>
      </c>
      <c r="I11" s="2" t="s">
        <v>72</v>
      </c>
      <c r="J11" s="2" t="s">
        <v>22</v>
      </c>
      <c r="K11" s="2" t="s">
        <v>73</v>
      </c>
      <c r="L11" s="2" t="s">
        <v>24</v>
      </c>
      <c r="M11" s="2" t="s">
        <v>25</v>
      </c>
      <c r="N11" s="2"/>
    </row>
    <row r="12" spans="1:14" x14ac:dyDescent="0.3">
      <c r="D12" s="4">
        <f>SUM(D2:D11)</f>
        <v>68476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</vt:lpstr>
      <vt:lpstr>Акты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User</cp:lastModifiedBy>
  <dcterms:created xsi:type="dcterms:W3CDTF">2025-03-21T14:04:12Z</dcterms:created>
  <dcterms:modified xsi:type="dcterms:W3CDTF">2025-03-21T14:53:48Z</dcterms:modified>
</cp:coreProperties>
</file>
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24" i="1" l="1"/>
  <c r="C15" i="1" l="1"/>
</calcChain>
</file>

<file path=xl/sharedStrings.xml><?xml version="1.0" encoding="utf-8"?>
<sst xmlns="http://schemas.openxmlformats.org/spreadsheetml/2006/main" count="42" uniqueCount="23">
  <si>
    <t>м.Кременчук, 278 квартал, буд. 35, кв 44 - 10 000,0</t>
  </si>
  <si>
    <t>м.Глобино, провулок Степовий 2 - 10 000,0</t>
  </si>
  <si>
    <t>(Механізатор Скоц С.) 1чол*100грн*30дн (м.Глобино, вул. Ляля Убий Вовк 3, тел. 0663501984 Лариса) - 3 000,0</t>
  </si>
  <si>
    <t>Оренда квартири (бр. Козєєва) м. Глобино вул. Центральна 87 - 15 000,0</t>
  </si>
  <si>
    <t>Оренда квартири бр. Олексюка м.Глобино , пров. Східний 4 - 10 000,0</t>
  </si>
  <si>
    <t>м. Глобино вул. Заводьска19,кв2.(механізатори Болох) - 3 000,0</t>
  </si>
  <si>
    <t>м. Глобино вул. Заводьска19,кв2.(механізатори Філінович) - 3 000,0</t>
  </si>
  <si>
    <t>Статья</t>
  </si>
  <si>
    <t>Аренда квартиры</t>
  </si>
  <si>
    <t>Коммунальные</t>
  </si>
  <si>
    <t>Сумма</t>
  </si>
  <si>
    <t>Примечание</t>
  </si>
  <si>
    <t>м.Кременчук, 278 квартал, буд. 35, кв 44 - 4 689,98</t>
  </si>
  <si>
    <t>м.Глобино, провулок Степовий 2 - 4 594,60</t>
  </si>
  <si>
    <t>м. Кременчук вул. Ватутіна 24 - 3 899,00</t>
  </si>
  <si>
    <t>Оренда квартири ІТР м.Глобино , вул. Пушкіна 42 (28дн*500грн=14000 )</t>
  </si>
  <si>
    <t>ИТОГО</t>
  </si>
  <si>
    <t>Затраты по Ф2</t>
  </si>
  <si>
    <t>Затраты по Ф1 (хостел)</t>
  </si>
  <si>
    <t>Бугаєць Я.С. ФОП - акт Февраль</t>
  </si>
  <si>
    <r>
      <t xml:space="preserve">Бугаєць Я.С. ФОП - акт </t>
    </r>
    <r>
      <rPr>
        <b/>
        <sz val="11"/>
        <color rgb="FFFF0000"/>
        <rFont val="Calibri"/>
        <family val="2"/>
        <charset val="204"/>
        <scheme val="minor"/>
      </rPr>
      <t>Январь</t>
    </r>
  </si>
  <si>
    <r>
      <t xml:space="preserve">Марченко А.В. ФОП - акт </t>
    </r>
    <r>
      <rPr>
        <b/>
        <sz val="11"/>
        <color rgb="FFFF0000"/>
        <rFont val="Calibri"/>
        <family val="2"/>
        <charset val="204"/>
        <scheme val="minor"/>
      </rPr>
      <t>Ноябрь (энергия)</t>
    </r>
  </si>
  <si>
    <r>
      <t xml:space="preserve">Марченко А.В. ФОП - акт </t>
    </r>
    <r>
      <rPr>
        <b/>
        <sz val="11"/>
        <color rgb="FFFF0000"/>
        <rFont val="Calibri"/>
        <family val="2"/>
        <charset val="204"/>
        <scheme val="minor"/>
      </rPr>
      <t>Октябрь (энергия)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</si>
</sst>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4" fontId="1" fillId="0" borderId="1" xfId="0" applyNumberFormat="1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tabSelected="1" workbookViewId="0">
      <selection activeCell="D7" sqref="D7"/>
    </sheetView>
  </sheetViews>
  <sheetFormatPr defaultRowHeight="14.4" x14ac:dyDescent="0.3"/>
  <cols>
    <col min="1" max="1" width="3.5546875" customWidth="1"/>
    <col min="2" max="2" width="16" bestFit="1" customWidth="1"/>
    <col min="3" max="3" width="10" bestFit="1" customWidth="1"/>
    <col min="4" max="4" width="98.109375" bestFit="1" customWidth="1"/>
    <col min="7" max="7" width="9.88671875" bestFit="1" customWidth="1"/>
  </cols>
  <sheetData>
    <row r="2" spans="2:4" ht="18" x14ac:dyDescent="0.35">
      <c r="B2" s="5" t="s">
        <v>17</v>
      </c>
    </row>
    <row r="3" spans="2:4" x14ac:dyDescent="0.3">
      <c r="B3" s="3" t="s">
        <v>7</v>
      </c>
      <c r="C3" s="3" t="s">
        <v>10</v>
      </c>
      <c r="D3" s="3" t="s">
        <v>11</v>
      </c>
    </row>
    <row r="4" spans="2:4" x14ac:dyDescent="0.3">
      <c r="B4" s="1" t="s">
        <v>8</v>
      </c>
      <c r="C4" s="2">
        <v>14000</v>
      </c>
      <c r="D4" s="1" t="s">
        <v>15</v>
      </c>
    </row>
    <row r="5" spans="2:4" x14ac:dyDescent="0.3">
      <c r="B5" s="1" t="s">
        <v>8</v>
      </c>
      <c r="C5" s="2">
        <v>10000</v>
      </c>
      <c r="D5" s="1" t="s">
        <v>0</v>
      </c>
    </row>
    <row r="6" spans="2:4" x14ac:dyDescent="0.3">
      <c r="B6" s="1" t="s">
        <v>8</v>
      </c>
      <c r="C6" s="2">
        <v>10000</v>
      </c>
      <c r="D6" s="1" t="s">
        <v>1</v>
      </c>
    </row>
    <row r="7" spans="2:4" x14ac:dyDescent="0.3">
      <c r="B7" s="1" t="s">
        <v>8</v>
      </c>
      <c r="C7" s="2">
        <v>3000</v>
      </c>
      <c r="D7" s="1" t="s">
        <v>2</v>
      </c>
    </row>
    <row r="8" spans="2:4" x14ac:dyDescent="0.3">
      <c r="B8" s="1" t="s">
        <v>8</v>
      </c>
      <c r="C8" s="2">
        <v>15000</v>
      </c>
      <c r="D8" s="1" t="s">
        <v>3</v>
      </c>
    </row>
    <row r="9" spans="2:4" x14ac:dyDescent="0.3">
      <c r="B9" s="1" t="s">
        <v>8</v>
      </c>
      <c r="C9" s="2">
        <v>10000</v>
      </c>
      <c r="D9" s="1" t="s">
        <v>4</v>
      </c>
    </row>
    <row r="10" spans="2:4" x14ac:dyDescent="0.3">
      <c r="B10" s="1" t="s">
        <v>8</v>
      </c>
      <c r="C10" s="2">
        <v>3000</v>
      </c>
      <c r="D10" s="1" t="s">
        <v>5</v>
      </c>
    </row>
    <row r="11" spans="2:4" x14ac:dyDescent="0.3">
      <c r="B11" s="1" t="s">
        <v>8</v>
      </c>
      <c r="C11" s="2">
        <v>3000</v>
      </c>
      <c r="D11" s="1" t="s">
        <v>6</v>
      </c>
    </row>
    <row r="12" spans="2:4" x14ac:dyDescent="0.3">
      <c r="B12" s="1" t="s">
        <v>9</v>
      </c>
      <c r="C12" s="2">
        <v>4689.9799999999996</v>
      </c>
      <c r="D12" s="1" t="s">
        <v>12</v>
      </c>
    </row>
    <row r="13" spans="2:4" x14ac:dyDescent="0.3">
      <c r="B13" s="1" t="s">
        <v>9</v>
      </c>
      <c r="C13" s="2">
        <v>4594.6000000000004</v>
      </c>
      <c r="D13" s="1" t="s">
        <v>13</v>
      </c>
    </row>
    <row r="14" spans="2:4" x14ac:dyDescent="0.3">
      <c r="B14" s="1" t="s">
        <v>9</v>
      </c>
      <c r="C14" s="2">
        <v>3899</v>
      </c>
      <c r="D14" s="1" t="s">
        <v>14</v>
      </c>
    </row>
    <row r="15" spans="2:4" x14ac:dyDescent="0.3">
      <c r="B15" s="3" t="s">
        <v>16</v>
      </c>
      <c r="C15" s="4">
        <f>SUM(C4:C14)</f>
        <v>81183.58</v>
      </c>
    </row>
    <row r="17" spans="2:4" ht="18" x14ac:dyDescent="0.35">
      <c r="B17" s="5" t="s">
        <v>18</v>
      </c>
    </row>
    <row r="18" spans="2:4" x14ac:dyDescent="0.3">
      <c r="B18" s="3" t="s">
        <v>7</v>
      </c>
      <c r="C18" s="3" t="s">
        <v>10</v>
      </c>
      <c r="D18" s="3" t="s">
        <v>11</v>
      </c>
    </row>
    <row r="19" spans="2:4" x14ac:dyDescent="0.3">
      <c r="B19" s="1" t="s">
        <v>8</v>
      </c>
      <c r="C19" s="2">
        <v>37300</v>
      </c>
      <c r="D19" s="1" t="s">
        <v>20</v>
      </c>
    </row>
    <row r="20" spans="2:4" x14ac:dyDescent="0.3">
      <c r="B20" s="1" t="s">
        <v>8</v>
      </c>
      <c r="C20" s="2">
        <v>30649.5</v>
      </c>
      <c r="D20" s="1" t="s">
        <v>20</v>
      </c>
    </row>
    <row r="21" spans="2:4" x14ac:dyDescent="0.3">
      <c r="B21" s="1" t="s">
        <v>8</v>
      </c>
      <c r="C21" s="2">
        <v>40900</v>
      </c>
      <c r="D21" s="1" t="s">
        <v>19</v>
      </c>
    </row>
    <row r="22" spans="2:4" x14ac:dyDescent="0.3">
      <c r="B22" s="1" t="s">
        <v>8</v>
      </c>
      <c r="C22" s="2">
        <v>17747.52</v>
      </c>
      <c r="D22" s="1" t="s">
        <v>21</v>
      </c>
    </row>
    <row r="23" spans="2:4" x14ac:dyDescent="0.3">
      <c r="B23" s="1" t="s">
        <v>8</v>
      </c>
      <c r="C23" s="2">
        <v>15757.74</v>
      </c>
      <c r="D23" s="1" t="s">
        <v>22</v>
      </c>
    </row>
    <row r="24" spans="2:4" x14ac:dyDescent="0.3">
      <c r="B24" s="3" t="s">
        <v>16</v>
      </c>
      <c r="C24" s="4">
        <f>SUM(C19:C23)</f>
        <v>142354.76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2025-03-24T06:41:06Z</dcterms:modified>
</cp:coreProperties>
</file>
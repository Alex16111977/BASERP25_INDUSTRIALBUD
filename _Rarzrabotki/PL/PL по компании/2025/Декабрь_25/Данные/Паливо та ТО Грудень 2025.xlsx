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"/>
    </mc:Choice>
  </mc:AlternateContent>
  <xr:revisionPtr revIDLastSave="0" documentId="13_ncr:1_{E2AAF719-CBB5-4CB9-A0FA-80E2E431D759}" xr6:coauthVersionLast="45" xr6:coauthVersionMax="45" xr10:uidLastSave="{00000000-0000-0000-0000-000000000000}"/>
  <bookViews>
    <workbookView xWindow="-120" yWindow="-120" windowWidth="29040" windowHeight="15990" firstSheet="12" activeTab="12" xr2:uid="{00000000-000D-0000-FFFF-FFFF00000000}"/>
  </bookViews>
  <sheets>
    <sheet name="Июнь 2024 " sheetId="8" state="hidden" r:id="rId1"/>
    <sheet name="Топливо Июль 2024." sheetId="7" state="hidden" r:id="rId2"/>
    <sheet name="Топливо Август 2024" sheetId="6" state="hidden" r:id="rId3"/>
    <sheet name="Топливо Сентябрь 2024" sheetId="5" state="hidden" r:id="rId4"/>
    <sheet name="Топливо Июль 2024" sheetId="4" state="hidden" r:id="rId5"/>
    <sheet name="Топливо Октябрь  2024  (2)" sheetId="13" state="hidden" r:id="rId6"/>
    <sheet name="Топливо Октябрь  2024 " sheetId="12" state="hidden" r:id="rId7"/>
    <sheet name="Топливо Ноябрь  2024 " sheetId="9" state="hidden" r:id="rId8"/>
    <sheet name="Топливо Декабрь 2024 " sheetId="15" state="hidden" r:id="rId9"/>
    <sheet name="Топливо Январь 2025" sheetId="16" state="hidden" r:id="rId10"/>
    <sheet name="Топливо Февраль 2025" sheetId="17" state="hidden" r:id="rId11"/>
    <sheet name="Топливо Март 2025" sheetId="18" state="hidden" r:id="rId12"/>
    <sheet name="Паливо Грудень  2025" sheetId="19" r:id="rId13"/>
    <sheet name=" то за Грудень 2025" sheetId="3" r:id="rId14"/>
    <sheet name="Оренда техники" sheetId="20" r:id="rId15"/>
    <sheet name="МЕХАНИЗАТОРЫ" sheetId="22" state="hidden" r:id="rId16"/>
  </sheets>
  <externalReferences>
    <externalReference r:id="rId17"/>
    <externalReference r:id="rId18"/>
    <externalReference r:id="rId19"/>
    <externalReference r:id="rId20"/>
  </externalReferences>
  <definedNames>
    <definedName name="_xlnm._FilterDatabase" localSheetId="13" hidden="1">' то за Грудень 2025'!$A$3:$O$35</definedName>
    <definedName name="_xlnm._FilterDatabase" localSheetId="0" hidden="1">'Июнь 2024 '!$A$1:$Q$23</definedName>
    <definedName name="_xlnm._FilterDatabase" localSheetId="12" hidden="1">'Паливо Грудень  2025'!$A$30:$R$45</definedName>
    <definedName name="_xlnm._FilterDatabase" localSheetId="2" hidden="1">'Топливо Август 2024'!$A$1:$Q$22</definedName>
    <definedName name="_xlnm._FilterDatabase" localSheetId="8" hidden="1">'Топливо Декабрь 2024 '!$A$29:$R$126</definedName>
    <definedName name="_xlnm._FilterDatabase" localSheetId="4" hidden="1">'Топливо Июль 2024'!$A$1:$Q$23</definedName>
    <definedName name="_xlnm._FilterDatabase" localSheetId="1" hidden="1">'Топливо Июль 2024.'!$A$1:$Q$23</definedName>
    <definedName name="_xlnm._FilterDatabase" localSheetId="11" hidden="1">'Топливо Март 2025'!$A$30:$S$89</definedName>
    <definedName name="_xlnm._FilterDatabase" localSheetId="7" hidden="1">'Топливо Ноябрь  2024 '!$A$1:$P$21</definedName>
    <definedName name="_xlnm._FilterDatabase" localSheetId="6" hidden="1">'Топливо Октябрь  2024 '!$A$1:$Q$23</definedName>
    <definedName name="_xlnm._FilterDatabase" localSheetId="5" hidden="1">'Топливо Октябрь  2024  (2)'!$A$1:$Q$23</definedName>
    <definedName name="_xlnm._FilterDatabase" localSheetId="3" hidden="1">'Топливо Сентябрь 2024'!$A$1:$Q$23</definedName>
    <definedName name="_xlnm._FilterDatabase" localSheetId="10" hidden="1">'Топливо Февраль 2025'!$A$30:$S$76</definedName>
    <definedName name="_xlnm._FilterDatabase" localSheetId="9" hidden="1">'Топливо Январь 2025'!$A$30:$S$55</definedName>
    <definedName name="Excel_BuiltIn_Print_Area_4">"#REF!"</definedName>
    <definedName name="Excel_BuiltIn_Print_Area_4_1">"#REF!"</definedName>
    <definedName name="Excel_BuiltIn_Print_Area_7">"#REF!"</definedName>
    <definedName name="Excel_BuiltIn_Print_Area_7_1">"#REF!"</definedName>
    <definedName name="Механизаторі" localSheetId="15">МЕХАНИЗАТОРЫ!#REF!</definedName>
    <definedName name="Механизаторы" localSheetId="15">МЕХАНИЗАТОРЫ!#REF!</definedName>
    <definedName name="_xlnm.Print_Area" localSheetId="12">'Паливо Грудень  2025'!$A$1:$S$96</definedName>
    <definedName name="Объекты" localSheetId="15">[1]Объекты!$B$2:$B$12</definedName>
    <definedName name="Объекты">[2]Объекты!$B$2:$B$12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9" l="1"/>
  <c r="L2" i="19" s="1"/>
  <c r="N2" i="19" l="1"/>
  <c r="H10" i="19"/>
  <c r="H15" i="19" l="1"/>
  <c r="H19" i="19"/>
  <c r="E3" i="19"/>
  <c r="E4" i="19"/>
  <c r="E5" i="19"/>
  <c r="E6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3" i="19" l="1"/>
  <c r="D35" i="3"/>
  <c r="E35" i="3"/>
  <c r="F35" i="3"/>
  <c r="G23" i="19" l="1"/>
  <c r="L3" i="19" l="1"/>
  <c r="I3" i="19" s="1"/>
  <c r="L4" i="19"/>
  <c r="L5" i="19"/>
  <c r="L6" i="19"/>
  <c r="L7" i="19"/>
  <c r="L8" i="19"/>
  <c r="L9" i="19"/>
  <c r="L10" i="19"/>
  <c r="L11" i="19"/>
  <c r="L12" i="19"/>
  <c r="L13" i="19"/>
  <c r="L14" i="19"/>
  <c r="I14" i="19" s="1"/>
  <c r="L15" i="19"/>
  <c r="L16" i="19"/>
  <c r="L17" i="19"/>
  <c r="L18" i="19"/>
  <c r="L19" i="19"/>
  <c r="H18" i="19" l="1"/>
  <c r="H6" i="19"/>
  <c r="L23" i="19" l="1"/>
  <c r="D9" i="19"/>
  <c r="E53" i="19" l="1"/>
  <c r="I10" i="19"/>
  <c r="H14" i="19" l="1"/>
  <c r="D14" i="19"/>
  <c r="F14" i="19" l="1"/>
  <c r="N14" i="19" s="1"/>
  <c r="O14" i="19" s="1"/>
  <c r="H3" i="19"/>
  <c r="P14" i="19" l="1"/>
  <c r="D10" i="19"/>
  <c r="H4" i="19" l="1"/>
  <c r="H5" i="19"/>
  <c r="H8" i="19"/>
  <c r="H9" i="19"/>
  <c r="H11" i="19"/>
  <c r="H12" i="19"/>
  <c r="H13" i="19"/>
  <c r="H16" i="19"/>
  <c r="H17" i="19"/>
  <c r="H20" i="19"/>
  <c r="H21" i="19"/>
  <c r="H22" i="19"/>
  <c r="H23" i="19" l="1"/>
  <c r="H24" i="19" s="1"/>
  <c r="F7" i="19"/>
  <c r="D3" i="19" l="1"/>
  <c r="I6" i="19" l="1"/>
  <c r="I19" i="19"/>
  <c r="P32" i="22"/>
  <c r="O32" i="22"/>
  <c r="N32" i="22"/>
  <c r="M32" i="22"/>
  <c r="L32" i="22"/>
  <c r="K32" i="22"/>
  <c r="J32" i="22"/>
  <c r="I32" i="22"/>
  <c r="H32" i="22"/>
  <c r="U31" i="22"/>
  <c r="V30" i="22"/>
  <c r="U30" i="22"/>
  <c r="W29" i="22"/>
  <c r="W28" i="22"/>
  <c r="W24" i="22"/>
  <c r="W23" i="22"/>
  <c r="W22" i="22"/>
  <c r="W21" i="22"/>
  <c r="W20" i="22"/>
  <c r="W19" i="22"/>
  <c r="W18" i="22"/>
  <c r="W17" i="22"/>
  <c r="W15" i="22"/>
  <c r="W14" i="22"/>
  <c r="W13" i="22"/>
  <c r="W11" i="22"/>
  <c r="W9" i="22"/>
  <c r="W8" i="22"/>
  <c r="W6" i="22"/>
  <c r="W5" i="22"/>
  <c r="E20" i="19"/>
  <c r="E21" i="19"/>
  <c r="E22" i="19"/>
  <c r="E24" i="19" l="1"/>
  <c r="W30" i="22"/>
  <c r="V31" i="22"/>
  <c r="W31" i="22" s="1"/>
  <c r="V32" i="22"/>
  <c r="W12" i="22"/>
  <c r="W16" i="22"/>
  <c r="U32" i="22"/>
  <c r="W4" i="22"/>
  <c r="W10" i="22"/>
  <c r="W25" i="22"/>
  <c r="W32" i="22" l="1"/>
  <c r="I17" i="19" l="1"/>
  <c r="I17" i="17"/>
  <c r="O2" i="19" l="1"/>
  <c r="B96" i="19" l="1"/>
  <c r="K26" i="19" s="1"/>
  <c r="Q14" i="19" s="1"/>
  <c r="C96" i="19"/>
  <c r="N21" i="19"/>
  <c r="O21" i="19" s="1"/>
  <c r="E94" i="19"/>
  <c r="E66" i="19"/>
  <c r="E65" i="19"/>
  <c r="E58" i="19"/>
  <c r="N20" i="19"/>
  <c r="O20" i="19" s="1"/>
  <c r="D19" i="19"/>
  <c r="I18" i="19"/>
  <c r="D18" i="19"/>
  <c r="D17" i="19"/>
  <c r="F17" i="19" s="1"/>
  <c r="N17" i="19" s="1"/>
  <c r="I16" i="19"/>
  <c r="D16" i="19"/>
  <c r="I15" i="19"/>
  <c r="D15" i="19"/>
  <c r="F15" i="19" s="1"/>
  <c r="I13" i="19"/>
  <c r="D13" i="19"/>
  <c r="F13" i="19" s="1"/>
  <c r="I12" i="19"/>
  <c r="D12" i="19"/>
  <c r="F12" i="19" s="1"/>
  <c r="I11" i="19"/>
  <c r="D11" i="19"/>
  <c r="I9" i="19"/>
  <c r="F9" i="19"/>
  <c r="I8" i="19"/>
  <c r="D8" i="19"/>
  <c r="I7" i="19"/>
  <c r="N7" i="19" s="1"/>
  <c r="O7" i="19" s="1"/>
  <c r="D6" i="19"/>
  <c r="I5" i="19"/>
  <c r="D5" i="19"/>
  <c r="F5" i="19" s="1"/>
  <c r="I4" i="19"/>
  <c r="D4" i="19"/>
  <c r="F21" i="18"/>
  <c r="F20" i="18"/>
  <c r="N15" i="19" l="1"/>
  <c r="O15" i="19" s="1"/>
  <c r="P15" i="19" s="1"/>
  <c r="N5" i="19"/>
  <c r="O5" i="19" s="1"/>
  <c r="F6" i="19"/>
  <c r="N6" i="19" s="1"/>
  <c r="N9" i="19"/>
  <c r="F4" i="19"/>
  <c r="N4" i="19" s="1"/>
  <c r="O4" i="19" s="1"/>
  <c r="D23" i="19"/>
  <c r="D24" i="19" s="1"/>
  <c r="N13" i="19"/>
  <c r="O13" i="19" s="1"/>
  <c r="F8" i="19"/>
  <c r="F16" i="19"/>
  <c r="N16" i="19" s="1"/>
  <c r="O16" i="19" s="1"/>
  <c r="F11" i="19"/>
  <c r="N11" i="19" s="1"/>
  <c r="O11" i="19" s="1"/>
  <c r="N12" i="19"/>
  <c r="O12" i="19" s="1"/>
  <c r="F18" i="19"/>
  <c r="N18" i="19" s="1"/>
  <c r="O18" i="19" s="1"/>
  <c r="F10" i="19"/>
  <c r="N10" i="19" s="1"/>
  <c r="O10" i="19" s="1"/>
  <c r="F19" i="19"/>
  <c r="N19" i="19" s="1"/>
  <c r="O19" i="19" s="1"/>
  <c r="O17" i="19"/>
  <c r="F3" i="19"/>
  <c r="N3" i="19" s="1"/>
  <c r="P20" i="19"/>
  <c r="Q20" i="19"/>
  <c r="Q21" i="19"/>
  <c r="P21" i="19"/>
  <c r="C23" i="19"/>
  <c r="N21" i="18"/>
  <c r="Q10" i="19" l="1"/>
  <c r="P10" i="19"/>
  <c r="P17" i="19"/>
  <c r="Q17" i="19"/>
  <c r="Q15" i="19"/>
  <c r="O6" i="19"/>
  <c r="N8" i="19"/>
  <c r="O8" i="19" s="1"/>
  <c r="O3" i="19"/>
  <c r="O9" i="19"/>
  <c r="Q23" i="19" l="1"/>
  <c r="E127" i="18"/>
  <c r="D16" i="18"/>
  <c r="F16" i="18" s="1"/>
  <c r="G4" i="18"/>
  <c r="G5" i="18"/>
  <c r="G6" i="18"/>
  <c r="I6" i="18" s="1"/>
  <c r="G7" i="18"/>
  <c r="I7" i="18" s="1"/>
  <c r="G8" i="18"/>
  <c r="G9" i="18"/>
  <c r="G10" i="18"/>
  <c r="I10" i="18" s="1"/>
  <c r="G11" i="18"/>
  <c r="I11" i="18" s="1"/>
  <c r="G12" i="18"/>
  <c r="G13" i="18"/>
  <c r="G14" i="18"/>
  <c r="G15" i="18"/>
  <c r="G16" i="18"/>
  <c r="I16" i="18" s="1"/>
  <c r="G17" i="18"/>
  <c r="I17" i="18" s="1"/>
  <c r="G18" i="18"/>
  <c r="I18" i="18" s="1"/>
  <c r="G19" i="18"/>
  <c r="I19" i="18" s="1"/>
  <c r="G3" i="18"/>
  <c r="C4" i="18"/>
  <c r="C5" i="18"/>
  <c r="C6" i="18"/>
  <c r="C7" i="18"/>
  <c r="C8" i="18"/>
  <c r="C9" i="18"/>
  <c r="E9" i="18" s="1"/>
  <c r="E23" i="18" s="1"/>
  <c r="C10" i="18"/>
  <c r="C11" i="18"/>
  <c r="C12" i="18"/>
  <c r="C13" i="18"/>
  <c r="C14" i="18"/>
  <c r="E14" i="18" s="1"/>
  <c r="C15" i="18"/>
  <c r="C16" i="18"/>
  <c r="C17" i="18"/>
  <c r="C18" i="18"/>
  <c r="C19" i="18"/>
  <c r="C22" i="18"/>
  <c r="C3" i="18"/>
  <c r="C164" i="18"/>
  <c r="B164" i="18"/>
  <c r="K26" i="18" s="1"/>
  <c r="E163" i="18"/>
  <c r="E135" i="18"/>
  <c r="E134" i="18"/>
  <c r="E123" i="18"/>
  <c r="N22" i="18"/>
  <c r="O22" i="18" s="1"/>
  <c r="P22" i="18" s="1"/>
  <c r="O21" i="18"/>
  <c r="Q21" i="18" s="1"/>
  <c r="N20" i="18"/>
  <c r="O20" i="18" s="1"/>
  <c r="Q20" i="18" s="1"/>
  <c r="I15" i="18"/>
  <c r="I13" i="18"/>
  <c r="I12" i="18"/>
  <c r="I8" i="18"/>
  <c r="I5" i="18"/>
  <c r="I4" i="18"/>
  <c r="I3" i="18"/>
  <c r="M2" i="18"/>
  <c r="I2" i="18"/>
  <c r="Q2" i="18" s="1"/>
  <c r="H14" i="18" l="1"/>
  <c r="I14" i="18" s="1"/>
  <c r="H9" i="18"/>
  <c r="I9" i="18" s="1"/>
  <c r="C23" i="18"/>
  <c r="D3" i="18"/>
  <c r="F3" i="18" s="1"/>
  <c r="N3" i="18" s="1"/>
  <c r="D9" i="18"/>
  <c r="D2" i="18"/>
  <c r="D11" i="18"/>
  <c r="D5" i="18"/>
  <c r="F5" i="18" s="1"/>
  <c r="N5" i="18" s="1"/>
  <c r="O5" i="18" s="1"/>
  <c r="P5" i="18" s="1"/>
  <c r="D10" i="18"/>
  <c r="F10" i="18" s="1"/>
  <c r="N10" i="18" s="1"/>
  <c r="O10" i="18" s="1"/>
  <c r="P10" i="18" s="1"/>
  <c r="D12" i="18"/>
  <c r="F12" i="18" s="1"/>
  <c r="N12" i="18" s="1"/>
  <c r="D14" i="18"/>
  <c r="F14" i="18" s="1"/>
  <c r="D15" i="18"/>
  <c r="F15" i="18" s="1"/>
  <c r="N15" i="18" s="1"/>
  <c r="D4" i="18"/>
  <c r="F4" i="18" s="1"/>
  <c r="N4" i="18" s="1"/>
  <c r="D17" i="18"/>
  <c r="F17" i="18" s="1"/>
  <c r="N17" i="18" s="1"/>
  <c r="D6" i="18"/>
  <c r="F6" i="18" s="1"/>
  <c r="N6" i="18" s="1"/>
  <c r="O6" i="18" s="1"/>
  <c r="P6" i="18" s="1"/>
  <c r="D7" i="18"/>
  <c r="F7" i="18" s="1"/>
  <c r="N7" i="18" s="1"/>
  <c r="D13" i="18"/>
  <c r="F13" i="18" s="1"/>
  <c r="N13" i="18" s="1"/>
  <c r="D18" i="18"/>
  <c r="F18" i="18" s="1"/>
  <c r="N18" i="18" s="1"/>
  <c r="D8" i="18"/>
  <c r="F8" i="18" s="1"/>
  <c r="N8" i="18" s="1"/>
  <c r="O8" i="18" s="1"/>
  <c r="P8" i="18" s="1"/>
  <c r="D19" i="18"/>
  <c r="F9" i="18"/>
  <c r="N16" i="18"/>
  <c r="F11" i="18"/>
  <c r="N11" i="18" s="1"/>
  <c r="P20" i="18"/>
  <c r="P21" i="18"/>
  <c r="Q22" i="18"/>
  <c r="F2" i="18" l="1"/>
  <c r="D23" i="18"/>
  <c r="Q5" i="18"/>
  <c r="D24" i="18"/>
  <c r="Q8" i="18"/>
  <c r="F19" i="18"/>
  <c r="N19" i="18" s="1"/>
  <c r="O19" i="18" s="1"/>
  <c r="P19" i="18" s="1"/>
  <c r="Q6" i="18"/>
  <c r="Q10" i="18"/>
  <c r="N21" i="17"/>
  <c r="Q19" i="18" l="1"/>
  <c r="Q23" i="18" s="1"/>
  <c r="I3" i="17"/>
  <c r="E114" i="17" l="1"/>
  <c r="E110" i="17"/>
  <c r="G4" i="17"/>
  <c r="I4" i="17" s="1"/>
  <c r="G5" i="17"/>
  <c r="G6" i="17"/>
  <c r="I6" i="17" s="1"/>
  <c r="G7" i="17"/>
  <c r="I7" i="17" s="1"/>
  <c r="G8" i="17"/>
  <c r="I8" i="17" s="1"/>
  <c r="G9" i="17"/>
  <c r="I9" i="17" s="1"/>
  <c r="G10" i="17"/>
  <c r="I10" i="17" s="1"/>
  <c r="G11" i="17"/>
  <c r="I11" i="17" s="1"/>
  <c r="G12" i="17"/>
  <c r="I12" i="17" s="1"/>
  <c r="G13" i="17"/>
  <c r="I13" i="17" s="1"/>
  <c r="G14" i="17"/>
  <c r="I14" i="17" s="1"/>
  <c r="G15" i="17"/>
  <c r="I15" i="17" s="1"/>
  <c r="G16" i="17"/>
  <c r="I16" i="17" s="1"/>
  <c r="G17" i="17"/>
  <c r="G18" i="17"/>
  <c r="I18" i="17" s="1"/>
  <c r="G19" i="17"/>
  <c r="I19" i="17" s="1"/>
  <c r="G3" i="17"/>
  <c r="C4" i="17"/>
  <c r="C5" i="17"/>
  <c r="C6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3" i="17"/>
  <c r="C151" i="17"/>
  <c r="B151" i="17"/>
  <c r="K26" i="17" s="1"/>
  <c r="E150" i="17"/>
  <c r="E122" i="17"/>
  <c r="E121" i="17"/>
  <c r="N22" i="17"/>
  <c r="O22" i="17" s="1"/>
  <c r="C22" i="17"/>
  <c r="O21" i="17"/>
  <c r="Q21" i="17" s="1"/>
  <c r="N20" i="17"/>
  <c r="O20" i="17" s="1"/>
  <c r="C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F6" i="17" s="1"/>
  <c r="I5" i="17"/>
  <c r="D5" i="17"/>
  <c r="D4" i="17"/>
  <c r="F4" i="17" s="1"/>
  <c r="D3" i="17"/>
  <c r="M2" i="17"/>
  <c r="I2" i="17"/>
  <c r="Q2" i="17" s="1"/>
  <c r="D2" i="17"/>
  <c r="F2" i="17" s="1"/>
  <c r="D23" i="17" l="1"/>
  <c r="D24" i="17" s="1"/>
  <c r="F5" i="17"/>
  <c r="N5" i="17" s="1"/>
  <c r="F17" i="17"/>
  <c r="N17" i="17" s="1"/>
  <c r="O17" i="17" s="1"/>
  <c r="P17" i="17" s="1"/>
  <c r="N6" i="17"/>
  <c r="O6" i="17" s="1"/>
  <c r="P6" i="17" s="1"/>
  <c r="F10" i="17"/>
  <c r="N10" i="17" s="1"/>
  <c r="O10" i="17" s="1"/>
  <c r="P10" i="17" s="1"/>
  <c r="Q22" i="17"/>
  <c r="P22" i="17"/>
  <c r="N4" i="17"/>
  <c r="F18" i="17"/>
  <c r="N18" i="17" s="1"/>
  <c r="O18" i="17" s="1"/>
  <c r="P18" i="17" s="1"/>
  <c r="F16" i="17"/>
  <c r="N16" i="17" s="1"/>
  <c r="F11" i="17"/>
  <c r="N11" i="17" s="1"/>
  <c r="F14" i="17"/>
  <c r="F3" i="17"/>
  <c r="N3" i="17" s="1"/>
  <c r="O3" i="17" s="1"/>
  <c r="F13" i="17"/>
  <c r="N13" i="17" s="1"/>
  <c r="F15" i="17"/>
  <c r="N15" i="17" s="1"/>
  <c r="F9" i="17"/>
  <c r="F19" i="17"/>
  <c r="F12" i="17"/>
  <c r="N12" i="17" s="1"/>
  <c r="F8" i="17"/>
  <c r="N8" i="17" s="1"/>
  <c r="O8" i="17" s="1"/>
  <c r="Q8" i="17" s="1"/>
  <c r="P20" i="17"/>
  <c r="Q20" i="17"/>
  <c r="P21" i="17"/>
  <c r="E23" i="17"/>
  <c r="N19" i="17" l="1"/>
  <c r="O19" i="17" s="1"/>
  <c r="P3" i="17"/>
  <c r="Q3" i="17"/>
  <c r="Q6" i="17"/>
  <c r="Q10" i="17"/>
  <c r="Q18" i="17"/>
  <c r="Q17" i="17"/>
  <c r="P8" i="17"/>
  <c r="N21" i="16"/>
  <c r="O21" i="16" s="1"/>
  <c r="Q21" i="16" s="1"/>
  <c r="N20" i="16"/>
  <c r="O20" i="16" s="1"/>
  <c r="Q19" i="17" l="1"/>
  <c r="P19" i="17"/>
  <c r="Q20" i="16"/>
  <c r="P20" i="16"/>
  <c r="P21" i="16"/>
  <c r="Q23" i="17"/>
  <c r="I3" i="16"/>
  <c r="G4" i="16" l="1"/>
  <c r="I4" i="16" s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3" i="16"/>
  <c r="D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2" i="16"/>
  <c r="C3" i="16"/>
  <c r="B113" i="16"/>
  <c r="K26" i="16" s="1"/>
  <c r="E72" i="16"/>
  <c r="E41" i="16"/>
  <c r="E112" i="16" l="1"/>
  <c r="E84" i="16"/>
  <c r="E83" i="16"/>
  <c r="E76" i="16"/>
  <c r="N22" i="16"/>
  <c r="O22" i="16" s="1"/>
  <c r="I19" i="16"/>
  <c r="D19" i="16"/>
  <c r="I18" i="16"/>
  <c r="D18" i="16"/>
  <c r="I17" i="16"/>
  <c r="D17" i="16"/>
  <c r="I16" i="16"/>
  <c r="D16" i="16"/>
  <c r="I15" i="16"/>
  <c r="D15" i="16"/>
  <c r="F15" i="16" s="1"/>
  <c r="I14" i="16"/>
  <c r="D14" i="16"/>
  <c r="I13" i="16"/>
  <c r="D13" i="16"/>
  <c r="I12" i="16"/>
  <c r="D12" i="16"/>
  <c r="I11" i="16"/>
  <c r="D11" i="16"/>
  <c r="F11" i="16" s="1"/>
  <c r="I10" i="16"/>
  <c r="D10" i="16"/>
  <c r="F10" i="16" s="1"/>
  <c r="I9" i="16"/>
  <c r="D9" i="16"/>
  <c r="F9" i="16" s="1"/>
  <c r="I8" i="16"/>
  <c r="D8" i="16"/>
  <c r="F8" i="16" s="1"/>
  <c r="I7" i="16"/>
  <c r="D7" i="16"/>
  <c r="E7" i="16" s="1"/>
  <c r="I6" i="16"/>
  <c r="D6" i="16"/>
  <c r="F6" i="16" s="1"/>
  <c r="I5" i="16"/>
  <c r="D5" i="16"/>
  <c r="F5" i="16" s="1"/>
  <c r="D4" i="16"/>
  <c r="M2" i="16"/>
  <c r="I2" i="16"/>
  <c r="Q2" i="16" s="1"/>
  <c r="D2" i="16"/>
  <c r="F2" i="16" s="1"/>
  <c r="E23" i="16" l="1"/>
  <c r="C7" i="17"/>
  <c r="P22" i="16"/>
  <c r="Q22" i="16"/>
  <c r="N15" i="16"/>
  <c r="N10" i="16"/>
  <c r="O10" i="16" s="1"/>
  <c r="P10" i="16" s="1"/>
  <c r="N5" i="16"/>
  <c r="O5" i="16" s="1"/>
  <c r="P5" i="16" s="1"/>
  <c r="N8" i="16"/>
  <c r="O8" i="16" s="1"/>
  <c r="F7" i="16"/>
  <c r="F12" i="16"/>
  <c r="N12" i="16" s="1"/>
  <c r="O12" i="16" s="1"/>
  <c r="P12" i="16" s="1"/>
  <c r="C23" i="16"/>
  <c r="F17" i="16"/>
  <c r="F16" i="16"/>
  <c r="N16" i="16" s="1"/>
  <c r="F4" i="16"/>
  <c r="N4" i="16" s="1"/>
  <c r="O4" i="16" s="1"/>
  <c r="N11" i="16"/>
  <c r="O11" i="16" s="1"/>
  <c r="F14" i="16"/>
  <c r="D23" i="16"/>
  <c r="D24" i="16" s="1"/>
  <c r="F13" i="16"/>
  <c r="N13" i="16" s="1"/>
  <c r="O13" i="16" s="1"/>
  <c r="P13" i="16" s="1"/>
  <c r="F19" i="16"/>
  <c r="N19" i="16" s="1"/>
  <c r="O19" i="16" s="1"/>
  <c r="P19" i="16" s="1"/>
  <c r="F18" i="16"/>
  <c r="N18" i="16" s="1"/>
  <c r="C113" i="16"/>
  <c r="N6" i="16"/>
  <c r="F3" i="16"/>
  <c r="N3" i="16" s="1"/>
  <c r="P21" i="15"/>
  <c r="N21" i="15"/>
  <c r="O21" i="15" s="1"/>
  <c r="P20" i="15"/>
  <c r="N20" i="15"/>
  <c r="O20" i="15"/>
  <c r="C23" i="17" l="1"/>
  <c r="F7" i="17"/>
  <c r="N7" i="17" s="1"/>
  <c r="Q8" i="16"/>
  <c r="P8" i="16"/>
  <c r="Q5" i="16"/>
  <c r="Q11" i="16"/>
  <c r="P11" i="16"/>
  <c r="P4" i="16"/>
  <c r="Q4" i="16"/>
  <c r="Q12" i="16"/>
  <c r="Q19" i="16"/>
  <c r="Q10" i="16"/>
  <c r="Q13" i="16"/>
  <c r="E22" i="15"/>
  <c r="Q23" i="16" l="1"/>
  <c r="I3" i="15"/>
  <c r="I17" i="15" l="1"/>
  <c r="G4" i="15" l="1"/>
  <c r="G5" i="15"/>
  <c r="I5" i="15" s="1"/>
  <c r="G6" i="15"/>
  <c r="G7" i="15"/>
  <c r="I7" i="15" s="1"/>
  <c r="G8" i="15"/>
  <c r="G9" i="15"/>
  <c r="G10" i="15"/>
  <c r="G11" i="15"/>
  <c r="G12" i="15"/>
  <c r="G13" i="15"/>
  <c r="G14" i="15"/>
  <c r="G15" i="15"/>
  <c r="G16" i="15"/>
  <c r="G17" i="15"/>
  <c r="G18" i="15"/>
  <c r="G19" i="15"/>
  <c r="I19" i="15" s="1"/>
  <c r="G3" i="15"/>
  <c r="D7" i="15"/>
  <c r="D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C22" i="15" l="1"/>
  <c r="F3" i="15"/>
  <c r="B192" i="15"/>
  <c r="E151" i="15"/>
  <c r="C39" i="15"/>
  <c r="C31" i="15"/>
  <c r="C32" i="15"/>
  <c r="C33" i="15"/>
  <c r="C34" i="15"/>
  <c r="C35" i="15"/>
  <c r="C36" i="15"/>
  <c r="C37" i="15"/>
  <c r="C38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30" i="15"/>
  <c r="K25" i="15" l="1"/>
  <c r="E120" i="15"/>
  <c r="C192" i="15"/>
  <c r="E191" i="15"/>
  <c r="E163" i="15"/>
  <c r="E162" i="15"/>
  <c r="E155" i="15"/>
  <c r="D19" i="15"/>
  <c r="F19" i="15" s="1"/>
  <c r="N19" i="15" s="1"/>
  <c r="O19" i="15" s="1"/>
  <c r="P19" i="15" s="1"/>
  <c r="I18" i="15"/>
  <c r="D18" i="15"/>
  <c r="F18" i="15" s="1"/>
  <c r="N18" i="15" s="1"/>
  <c r="O18" i="15" s="1"/>
  <c r="D17" i="15"/>
  <c r="F17" i="15" s="1"/>
  <c r="N17" i="15" s="1"/>
  <c r="I16" i="15"/>
  <c r="D16" i="15"/>
  <c r="F16" i="15" s="1"/>
  <c r="I15" i="15"/>
  <c r="D15" i="15"/>
  <c r="F15" i="15" s="1"/>
  <c r="I14" i="15"/>
  <c r="D14" i="15"/>
  <c r="F14" i="15" s="1"/>
  <c r="I13" i="15"/>
  <c r="D13" i="15"/>
  <c r="F13" i="15" s="1"/>
  <c r="N13" i="15" s="1"/>
  <c r="O13" i="15" s="1"/>
  <c r="I12" i="15"/>
  <c r="D12" i="15"/>
  <c r="F12" i="15" s="1"/>
  <c r="I11" i="15"/>
  <c r="D11" i="15"/>
  <c r="F11" i="15" s="1"/>
  <c r="I10" i="15"/>
  <c r="D10" i="15"/>
  <c r="F10" i="15" s="1"/>
  <c r="I9" i="15"/>
  <c r="D9" i="15"/>
  <c r="F9" i="15" s="1"/>
  <c r="I8" i="15"/>
  <c r="D8" i="15"/>
  <c r="F8" i="15" s="1"/>
  <c r="N8" i="15" s="1"/>
  <c r="O8" i="15" s="1"/>
  <c r="F7" i="15"/>
  <c r="N7" i="15" s="1"/>
  <c r="I6" i="15"/>
  <c r="D6" i="15"/>
  <c r="F6" i="15" s="1"/>
  <c r="D5" i="15"/>
  <c r="F5" i="15" s="1"/>
  <c r="N5" i="15" s="1"/>
  <c r="O5" i="15" s="1"/>
  <c r="I4" i="15"/>
  <c r="D4" i="15"/>
  <c r="F4" i="15" s="1"/>
  <c r="N4" i="15" s="1"/>
  <c r="M2" i="15"/>
  <c r="I2" i="15"/>
  <c r="P2" i="15" s="1"/>
  <c r="D2" i="15"/>
  <c r="D22" i="15" s="1"/>
  <c r="N9" i="15" l="1"/>
  <c r="O9" i="15" s="1"/>
  <c r="N10" i="15"/>
  <c r="O10" i="15" s="1"/>
  <c r="P10" i="15" s="1"/>
  <c r="N16" i="15"/>
  <c r="N12" i="15"/>
  <c r="O12" i="15" s="1"/>
  <c r="N6" i="15"/>
  <c r="O6" i="15" s="1"/>
  <c r="P6" i="15" s="1"/>
  <c r="D23" i="15"/>
  <c r="N3" i="15"/>
  <c r="N11" i="15"/>
  <c r="N15" i="15"/>
  <c r="F2" i="15"/>
  <c r="O11" i="13"/>
  <c r="P5" i="15" l="1"/>
  <c r="B189" i="13"/>
  <c r="E188" i="13"/>
  <c r="E160" i="13"/>
  <c r="E159" i="13"/>
  <c r="E146" i="13"/>
  <c r="E14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E22" i="13"/>
  <c r="C22" i="13"/>
  <c r="I21" i="13"/>
  <c r="O21" i="13" s="1"/>
  <c r="D21" i="13"/>
  <c r="F21" i="13" s="1"/>
  <c r="I20" i="13"/>
  <c r="O20" i="13" s="1"/>
  <c r="D20" i="13"/>
  <c r="F20" i="13" s="1"/>
  <c r="I19" i="13"/>
  <c r="O19" i="13" s="1"/>
  <c r="D19" i="13"/>
  <c r="F19" i="13" s="1"/>
  <c r="I18" i="13"/>
  <c r="D18" i="13"/>
  <c r="F18" i="13" s="1"/>
  <c r="I17" i="13"/>
  <c r="O17" i="13" s="1"/>
  <c r="D17" i="13"/>
  <c r="F17" i="13" s="1"/>
  <c r="I16" i="13"/>
  <c r="O16" i="13" s="1"/>
  <c r="D16" i="13"/>
  <c r="F16" i="13" s="1"/>
  <c r="I15" i="13"/>
  <c r="O15" i="13" s="1"/>
  <c r="D15" i="13"/>
  <c r="F15" i="13" s="1"/>
  <c r="I14" i="13"/>
  <c r="O14" i="13" s="1"/>
  <c r="D14" i="13"/>
  <c r="F14" i="13" s="1"/>
  <c r="N14" i="13" s="1"/>
  <c r="I13" i="13"/>
  <c r="D13" i="13"/>
  <c r="F13" i="13" s="1"/>
  <c r="I12" i="13"/>
  <c r="D12" i="13"/>
  <c r="F12" i="13" s="1"/>
  <c r="I11" i="13"/>
  <c r="P11" i="13" s="1"/>
  <c r="D11" i="13"/>
  <c r="F11" i="13" s="1"/>
  <c r="I10" i="13"/>
  <c r="D10" i="13"/>
  <c r="F10" i="13" s="1"/>
  <c r="I9" i="13"/>
  <c r="D9" i="13"/>
  <c r="F9" i="13" s="1"/>
  <c r="I8" i="13"/>
  <c r="D8" i="13"/>
  <c r="F8" i="13" s="1"/>
  <c r="I7" i="13"/>
  <c r="D7" i="13"/>
  <c r="F7" i="13" s="1"/>
  <c r="I6" i="13"/>
  <c r="D6" i="13"/>
  <c r="F6" i="13" s="1"/>
  <c r="I5" i="13"/>
  <c r="D5" i="13"/>
  <c r="F5" i="13" s="1"/>
  <c r="D4" i="13"/>
  <c r="F4" i="13" s="1"/>
  <c r="I3" i="13"/>
  <c r="D3" i="13"/>
  <c r="F3" i="13" s="1"/>
  <c r="N3" i="13" s="1"/>
  <c r="O3" i="13" s="1"/>
  <c r="M2" i="13"/>
  <c r="G2" i="13"/>
  <c r="I2" i="13" s="1"/>
  <c r="O2" i="13" s="1"/>
  <c r="D2" i="13"/>
  <c r="C189" i="13" l="1"/>
  <c r="K25" i="13"/>
  <c r="P3" i="13" s="1"/>
  <c r="P12" i="15"/>
  <c r="P9" i="15"/>
  <c r="P8" i="15"/>
  <c r="P13" i="15"/>
  <c r="P18" i="15"/>
  <c r="P22" i="15" s="1"/>
  <c r="D22" i="13"/>
  <c r="D23" i="13" s="1"/>
  <c r="N16" i="13"/>
  <c r="P16" i="13"/>
  <c r="N4" i="13"/>
  <c r="O4" i="13" s="1"/>
  <c r="P4" i="13" s="1"/>
  <c r="P17" i="13"/>
  <c r="Q17" i="13" s="1"/>
  <c r="N17" i="13"/>
  <c r="N20" i="13"/>
  <c r="P20" i="13"/>
  <c r="N10" i="13"/>
  <c r="O10" i="13" s="1"/>
  <c r="P10" i="13" s="1"/>
  <c r="T10" i="13" s="1"/>
  <c r="Q16" i="13"/>
  <c r="Q20" i="13"/>
  <c r="N13" i="13"/>
  <c r="O13" i="13" s="1"/>
  <c r="P13" i="13" s="1"/>
  <c r="T13" i="13" s="1"/>
  <c r="P21" i="13"/>
  <c r="Q21" i="13" s="1"/>
  <c r="N21" i="13"/>
  <c r="N12" i="13"/>
  <c r="O12" i="13" s="1"/>
  <c r="P12" i="13" s="1"/>
  <c r="P18" i="13"/>
  <c r="Q18" i="13" s="1"/>
  <c r="N18" i="13"/>
  <c r="Q2" i="13"/>
  <c r="N6" i="13"/>
  <c r="O6" i="13" s="1"/>
  <c r="N9" i="13"/>
  <c r="O9" i="13" s="1"/>
  <c r="P9" i="13" s="1"/>
  <c r="N15" i="13"/>
  <c r="N7" i="13"/>
  <c r="O7" i="13" s="1"/>
  <c r="P7" i="13" s="1"/>
  <c r="N19" i="13"/>
  <c r="P19" i="13"/>
  <c r="Q19" i="13" s="1"/>
  <c r="P14" i="13"/>
  <c r="Q14" i="13" s="1"/>
  <c r="N5" i="13"/>
  <c r="O5" i="13" s="1"/>
  <c r="P5" i="13" s="1"/>
  <c r="T5" i="13" s="1"/>
  <c r="E111" i="13"/>
  <c r="F2" i="13"/>
  <c r="P2" i="13" s="1"/>
  <c r="N8" i="13"/>
  <c r="O8" i="13" s="1"/>
  <c r="P8" i="13" s="1"/>
  <c r="I9" i="9"/>
  <c r="P15" i="13" l="1"/>
  <c r="Q15" i="13" s="1"/>
  <c r="P6" i="13"/>
  <c r="B189" i="12"/>
  <c r="E188" i="12"/>
  <c r="E160" i="12"/>
  <c r="E159" i="12"/>
  <c r="E146" i="12"/>
  <c r="E14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E111" i="12" s="1"/>
  <c r="E22" i="12"/>
  <c r="C22" i="12"/>
  <c r="I21" i="12"/>
  <c r="O21" i="12" s="1"/>
  <c r="D21" i="12"/>
  <c r="F21" i="12" s="1"/>
  <c r="I20" i="12"/>
  <c r="O20" i="12" s="1"/>
  <c r="D20" i="12"/>
  <c r="F20" i="12" s="1"/>
  <c r="I19" i="12"/>
  <c r="O19" i="12" s="1"/>
  <c r="D19" i="12"/>
  <c r="F19" i="12" s="1"/>
  <c r="I18" i="12"/>
  <c r="D18" i="12"/>
  <c r="F18" i="12" s="1"/>
  <c r="I17" i="12"/>
  <c r="O17" i="12" s="1"/>
  <c r="D17" i="12"/>
  <c r="F17" i="12" s="1"/>
  <c r="N17" i="12" s="1"/>
  <c r="I16" i="12"/>
  <c r="O16" i="12" s="1"/>
  <c r="D16" i="12"/>
  <c r="F16" i="12" s="1"/>
  <c r="I15" i="12"/>
  <c r="O15" i="12" s="1"/>
  <c r="D15" i="12"/>
  <c r="F15" i="12" s="1"/>
  <c r="I14" i="12"/>
  <c r="O14" i="12" s="1"/>
  <c r="D14" i="12"/>
  <c r="F14" i="12" s="1"/>
  <c r="I13" i="12"/>
  <c r="O13" i="12" s="1"/>
  <c r="D13" i="12"/>
  <c r="F13" i="12" s="1"/>
  <c r="I12" i="12"/>
  <c r="O12" i="12" s="1"/>
  <c r="D12" i="12"/>
  <c r="F12" i="12" s="1"/>
  <c r="I11" i="12"/>
  <c r="O11" i="12" s="1"/>
  <c r="D11" i="12"/>
  <c r="F11" i="12" s="1"/>
  <c r="I10" i="12"/>
  <c r="O10" i="12" s="1"/>
  <c r="D10" i="12"/>
  <c r="F10" i="12" s="1"/>
  <c r="I9" i="12"/>
  <c r="O9" i="12" s="1"/>
  <c r="D9" i="12"/>
  <c r="F9" i="12" s="1"/>
  <c r="I8" i="12"/>
  <c r="D8" i="12"/>
  <c r="F8" i="12" s="1"/>
  <c r="I7" i="12"/>
  <c r="O7" i="12" s="1"/>
  <c r="D7" i="12"/>
  <c r="F7" i="12" s="1"/>
  <c r="O6" i="12"/>
  <c r="I6" i="12"/>
  <c r="D6" i="12"/>
  <c r="F6" i="12" s="1"/>
  <c r="I5" i="12"/>
  <c r="O5" i="12" s="1"/>
  <c r="D5" i="12"/>
  <c r="F5" i="12" s="1"/>
  <c r="N5" i="12" s="1"/>
  <c r="O4" i="12"/>
  <c r="D4" i="12"/>
  <c r="F4" i="12" s="1"/>
  <c r="N4" i="12" s="1"/>
  <c r="I3" i="12"/>
  <c r="O3" i="12" s="1"/>
  <c r="D3" i="12"/>
  <c r="F3" i="12" s="1"/>
  <c r="M2" i="12"/>
  <c r="G2" i="12"/>
  <c r="I2" i="12" s="1"/>
  <c r="O2" i="12" s="1"/>
  <c r="D2" i="12"/>
  <c r="F2" i="12" s="1"/>
  <c r="C189" i="12" l="1"/>
  <c r="N21" i="12"/>
  <c r="N3" i="12"/>
  <c r="N8" i="12"/>
  <c r="N6" i="12"/>
  <c r="N20" i="12"/>
  <c r="P20" i="12"/>
  <c r="Q20" i="12" s="1"/>
  <c r="P14" i="12"/>
  <c r="Q14" i="12" s="1"/>
  <c r="N14" i="12"/>
  <c r="N18" i="12"/>
  <c r="N9" i="12"/>
  <c r="P15" i="12"/>
  <c r="N15" i="12"/>
  <c r="N19" i="12"/>
  <c r="N13" i="12"/>
  <c r="P13" i="12"/>
  <c r="Q13" i="12" s="1"/>
  <c r="N16" i="12"/>
  <c r="N12" i="12"/>
  <c r="P12" i="12"/>
  <c r="Q12" i="12" s="1"/>
  <c r="Q15" i="12"/>
  <c r="P2" i="12"/>
  <c r="Q2" i="12" s="1"/>
  <c r="N7" i="12"/>
  <c r="N10" i="12"/>
  <c r="D22" i="12"/>
  <c r="D23" i="12" s="1"/>
  <c r="P4" i="12"/>
  <c r="Q4" i="12" s="1"/>
  <c r="K25" i="12"/>
  <c r="P5" i="12" s="1"/>
  <c r="Q5" i="12" s="1"/>
  <c r="P8" i="12" l="1"/>
  <c r="Q8" i="12" s="1"/>
  <c r="P3" i="12"/>
  <c r="Q3" i="12" s="1"/>
  <c r="P9" i="12"/>
  <c r="Q9" i="12" s="1"/>
  <c r="P11" i="12"/>
  <c r="Q11" i="12" s="1"/>
  <c r="P10" i="12"/>
  <c r="Q10" i="12" s="1"/>
  <c r="P19" i="12"/>
  <c r="Q19" i="12" s="1"/>
  <c r="P18" i="12"/>
  <c r="Q18" i="12" s="1"/>
  <c r="P6" i="12"/>
  <c r="Q6" i="12" s="1"/>
  <c r="P7" i="12"/>
  <c r="Q7" i="12" s="1"/>
  <c r="P17" i="12"/>
  <c r="Q17" i="12" s="1"/>
  <c r="P16" i="12"/>
  <c r="Q16" i="12" s="1"/>
  <c r="P21" i="12"/>
  <c r="Q21" i="12" s="1"/>
  <c r="G3" i="9" l="1"/>
  <c r="I7" i="9" l="1"/>
  <c r="I5" i="9"/>
  <c r="I6" i="9"/>
  <c r="I3" i="9"/>
  <c r="C113" i="9" l="1"/>
  <c r="C114" i="9"/>
  <c r="C115" i="9"/>
  <c r="C116" i="9"/>
  <c r="C117" i="9"/>
  <c r="C118" i="9"/>
  <c r="C119" i="9"/>
  <c r="C120" i="9"/>
  <c r="C121" i="9"/>
  <c r="C122" i="9"/>
  <c r="C112" i="9"/>
  <c r="B111" i="9"/>
  <c r="D11" i="9" s="1"/>
  <c r="C125" i="9"/>
  <c r="C124" i="9"/>
  <c r="C123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38" i="9"/>
  <c r="C29" i="9"/>
  <c r="C30" i="9"/>
  <c r="C31" i="9"/>
  <c r="C32" i="9"/>
  <c r="C33" i="9"/>
  <c r="C34" i="9"/>
  <c r="C35" i="9"/>
  <c r="C36" i="9"/>
  <c r="C37" i="9"/>
  <c r="C28" i="9"/>
  <c r="C111" i="9" l="1"/>
  <c r="B204" i="9"/>
  <c r="C20" i="9" l="1"/>
  <c r="E174" i="9" l="1"/>
  <c r="E157" i="9"/>
  <c r="C126" i="9" l="1"/>
  <c r="K23" i="9" l="1"/>
  <c r="C204" i="9"/>
  <c r="E126" i="9"/>
  <c r="E20" i="9"/>
  <c r="E203" i="9" l="1"/>
  <c r="E175" i="9"/>
  <c r="E161" i="9"/>
  <c r="I19" i="9"/>
  <c r="D19" i="9"/>
  <c r="F19" i="9" s="1"/>
  <c r="I18" i="9"/>
  <c r="D18" i="9"/>
  <c r="F18" i="9" s="1"/>
  <c r="I17" i="9"/>
  <c r="D17" i="9"/>
  <c r="F17" i="9" s="1"/>
  <c r="I16" i="9"/>
  <c r="I15" i="9"/>
  <c r="D15" i="9"/>
  <c r="F15" i="9" s="1"/>
  <c r="N15" i="9" s="1"/>
  <c r="I14" i="9"/>
  <c r="D14" i="9"/>
  <c r="F14" i="9" s="1"/>
  <c r="I13" i="9"/>
  <c r="D13" i="9"/>
  <c r="F13" i="9" s="1"/>
  <c r="I12" i="9"/>
  <c r="D12" i="9"/>
  <c r="F12" i="9" s="1"/>
  <c r="N12" i="9" s="1"/>
  <c r="O12" i="9" s="1"/>
  <c r="I11" i="9"/>
  <c r="F11" i="9"/>
  <c r="I10" i="9"/>
  <c r="D10" i="9"/>
  <c r="F10" i="9" s="1"/>
  <c r="N10" i="9" s="1"/>
  <c r="D9" i="9"/>
  <c r="F9" i="9" s="1"/>
  <c r="N9" i="9" s="1"/>
  <c r="O9" i="9" s="1"/>
  <c r="P9" i="9" s="1"/>
  <c r="I8" i="9"/>
  <c r="D8" i="9"/>
  <c r="F8" i="9" s="1"/>
  <c r="D7" i="9"/>
  <c r="F7" i="9" s="1"/>
  <c r="D6" i="9"/>
  <c r="F6" i="9" s="1"/>
  <c r="D5" i="9"/>
  <c r="F5" i="9" s="1"/>
  <c r="I4" i="9"/>
  <c r="D4" i="9"/>
  <c r="F4" i="9" s="1"/>
  <c r="D3" i="9"/>
  <c r="F3" i="9" s="1"/>
  <c r="M2" i="9"/>
  <c r="I2" i="9"/>
  <c r="P2" i="9" s="1"/>
  <c r="D2" i="9"/>
  <c r="P12" i="9" l="1"/>
  <c r="N3" i="9"/>
  <c r="O3" i="9" s="1"/>
  <c r="P3" i="9" s="1"/>
  <c r="N14" i="9"/>
  <c r="N13" i="9"/>
  <c r="O13" i="9" s="1"/>
  <c r="P13" i="9" s="1"/>
  <c r="N6" i="9"/>
  <c r="N7" i="9"/>
  <c r="O7" i="9" s="1"/>
  <c r="P7" i="9" s="1"/>
  <c r="F2" i="9"/>
  <c r="N4" i="9"/>
  <c r="N18" i="9"/>
  <c r="O18" i="9" s="1"/>
  <c r="P18" i="9" s="1"/>
  <c r="N5" i="9"/>
  <c r="O5" i="9" s="1"/>
  <c r="P5" i="9" s="1"/>
  <c r="N19" i="9"/>
  <c r="N8" i="9"/>
  <c r="O8" i="9" s="1"/>
  <c r="P8" i="9" s="1"/>
  <c r="N11" i="9"/>
  <c r="O11" i="9" s="1"/>
  <c r="P11" i="9" s="1"/>
  <c r="N17" i="9"/>
  <c r="O17" i="9" s="1"/>
  <c r="P17" i="9" s="1"/>
  <c r="O15" i="9"/>
  <c r="P15" i="9" s="1"/>
  <c r="D16" i="9"/>
  <c r="F16" i="9" s="1"/>
  <c r="D20" i="9" l="1"/>
  <c r="D21" i="9"/>
  <c r="N16" i="9"/>
  <c r="O16" i="9" s="1"/>
  <c r="P16" i="9" s="1"/>
  <c r="P20" i="9" s="1"/>
  <c r="B100" i="8" l="1"/>
  <c r="E99" i="8"/>
  <c r="F84" i="8"/>
  <c r="E67" i="8"/>
  <c r="E64" i="8"/>
  <c r="E58" i="8"/>
  <c r="C56" i="8"/>
  <c r="C55" i="8"/>
  <c r="C54" i="8"/>
  <c r="C53" i="8"/>
  <c r="C52" i="8"/>
  <c r="E51" i="8"/>
  <c r="K25" i="8"/>
  <c r="E22" i="8"/>
  <c r="O21" i="8"/>
  <c r="N21" i="8"/>
  <c r="D21" i="8"/>
  <c r="C21" i="8"/>
  <c r="O20" i="8"/>
  <c r="N20" i="8"/>
  <c r="G20" i="8"/>
  <c r="D20" i="8"/>
  <c r="C20" i="8"/>
  <c r="M19" i="8"/>
  <c r="G19" i="8"/>
  <c r="I19" i="8" s="1"/>
  <c r="O19" i="8" s="1"/>
  <c r="D19" i="8"/>
  <c r="C19" i="8"/>
  <c r="I18" i="8"/>
  <c r="G18" i="8"/>
  <c r="D18" i="8"/>
  <c r="C18" i="8"/>
  <c r="M17" i="8"/>
  <c r="G17" i="8"/>
  <c r="I17" i="8" s="1"/>
  <c r="D17" i="8"/>
  <c r="C17" i="8"/>
  <c r="M16" i="8"/>
  <c r="G16" i="8"/>
  <c r="I16" i="8" s="1"/>
  <c r="O16" i="8" s="1"/>
  <c r="D16" i="8"/>
  <c r="C16" i="8"/>
  <c r="M15" i="8"/>
  <c r="G15" i="8"/>
  <c r="I15" i="8" s="1"/>
  <c r="O15" i="8" s="1"/>
  <c r="D15" i="8"/>
  <c r="C15" i="8"/>
  <c r="M14" i="8"/>
  <c r="G14" i="8"/>
  <c r="I14" i="8" s="1"/>
  <c r="O14" i="8" s="1"/>
  <c r="D14" i="8"/>
  <c r="C14" i="8"/>
  <c r="M13" i="8"/>
  <c r="G13" i="8"/>
  <c r="I13" i="8" s="1"/>
  <c r="O13" i="8" s="1"/>
  <c r="D13" i="8"/>
  <c r="C13" i="8"/>
  <c r="M12" i="8"/>
  <c r="G12" i="8"/>
  <c r="I12" i="8" s="1"/>
  <c r="O12" i="8" s="1"/>
  <c r="D12" i="8"/>
  <c r="C12" i="8"/>
  <c r="M11" i="8"/>
  <c r="G11" i="8"/>
  <c r="I11" i="8" s="1"/>
  <c r="O11" i="8" s="1"/>
  <c r="D11" i="8"/>
  <c r="C11" i="8"/>
  <c r="M10" i="8"/>
  <c r="G10" i="8"/>
  <c r="I10" i="8" s="1"/>
  <c r="O10" i="8" s="1"/>
  <c r="D10" i="8"/>
  <c r="C10" i="8"/>
  <c r="M9" i="8"/>
  <c r="G9" i="8"/>
  <c r="I9" i="8" s="1"/>
  <c r="O9" i="8" s="1"/>
  <c r="D9" i="8"/>
  <c r="C9" i="8"/>
  <c r="M8" i="8"/>
  <c r="G8" i="8"/>
  <c r="I8" i="8" s="1"/>
  <c r="D8" i="8"/>
  <c r="C8" i="8"/>
  <c r="M7" i="8"/>
  <c r="G7" i="8"/>
  <c r="I7" i="8" s="1"/>
  <c r="O7" i="8" s="1"/>
  <c r="D7" i="8"/>
  <c r="C7" i="8"/>
  <c r="M6" i="8"/>
  <c r="I6" i="8"/>
  <c r="O6" i="8" s="1"/>
  <c r="G6" i="8"/>
  <c r="D6" i="8"/>
  <c r="C6" i="8"/>
  <c r="F6" i="8" s="1"/>
  <c r="M5" i="8"/>
  <c r="G5" i="8"/>
  <c r="I5" i="8" s="1"/>
  <c r="O5" i="8" s="1"/>
  <c r="D5" i="8"/>
  <c r="C5" i="8"/>
  <c r="O4" i="8"/>
  <c r="M4" i="8"/>
  <c r="G4" i="8"/>
  <c r="D4" i="8"/>
  <c r="C4" i="8"/>
  <c r="M3" i="8"/>
  <c r="G3" i="8"/>
  <c r="I3" i="8" s="1"/>
  <c r="O3" i="8" s="1"/>
  <c r="D3" i="8"/>
  <c r="C3" i="8"/>
  <c r="M2" i="8"/>
  <c r="G2" i="8"/>
  <c r="I2" i="8" s="1"/>
  <c r="O2" i="8" s="1"/>
  <c r="D2" i="8"/>
  <c r="C2" i="8"/>
  <c r="F20" i="8" l="1"/>
  <c r="P20" i="8" s="1"/>
  <c r="F13" i="8"/>
  <c r="P13" i="8" s="1"/>
  <c r="Q13" i="8" s="1"/>
  <c r="F21" i="8"/>
  <c r="P21" i="8" s="1"/>
  <c r="F16" i="8"/>
  <c r="P16" i="8" s="1"/>
  <c r="Q16" i="8" s="1"/>
  <c r="D22" i="8"/>
  <c r="D23" i="8" s="1"/>
  <c r="F9" i="8"/>
  <c r="N9" i="8" s="1"/>
  <c r="C100" i="8"/>
  <c r="F17" i="8"/>
  <c r="P17" i="8" s="1"/>
  <c r="Q17" i="8" s="1"/>
  <c r="F8" i="8"/>
  <c r="P8" i="8" s="1"/>
  <c r="Q8" i="8" s="1"/>
  <c r="F15" i="8"/>
  <c r="P15" i="8" s="1"/>
  <c r="Q15" i="8" s="1"/>
  <c r="F11" i="8"/>
  <c r="P11" i="8" s="1"/>
  <c r="Q11" i="8" s="1"/>
  <c r="F3" i="8"/>
  <c r="N3" i="8" s="1"/>
  <c r="E56" i="8"/>
  <c r="F18" i="8"/>
  <c r="P18" i="8" s="1"/>
  <c r="Q18" i="8" s="1"/>
  <c r="F12" i="8"/>
  <c r="N12" i="8" s="1"/>
  <c r="F4" i="8"/>
  <c r="F19" i="8"/>
  <c r="N19" i="8" s="1"/>
  <c r="F5" i="8"/>
  <c r="P5" i="8" s="1"/>
  <c r="Q5" i="8" s="1"/>
  <c r="Q21" i="8"/>
  <c r="F14" i="8"/>
  <c r="P14" i="8" s="1"/>
  <c r="Q14" i="8" s="1"/>
  <c r="F7" i="8"/>
  <c r="N7" i="8" s="1"/>
  <c r="C22" i="8"/>
  <c r="C23" i="8" s="1"/>
  <c r="F10" i="8"/>
  <c r="P10" i="8" s="1"/>
  <c r="Q10" i="8" s="1"/>
  <c r="N4" i="8"/>
  <c r="P4" i="8"/>
  <c r="Q4" i="8" s="1"/>
  <c r="N8" i="8"/>
  <c r="Q20" i="8"/>
  <c r="P6" i="8"/>
  <c r="Q6" i="8" s="1"/>
  <c r="N6" i="8"/>
  <c r="F2" i="8"/>
  <c r="P2" i="8" s="1"/>
  <c r="Q2" i="8" s="1"/>
  <c r="N16" i="8" l="1"/>
  <c r="P3" i="8"/>
  <c r="Q3" i="8" s="1"/>
  <c r="P9" i="8"/>
  <c r="Q9" i="8" s="1"/>
  <c r="N13" i="8"/>
  <c r="P12" i="8"/>
  <c r="Q12" i="8" s="1"/>
  <c r="N5" i="8"/>
  <c r="P19" i="8"/>
  <c r="Q19" i="8" s="1"/>
  <c r="N15" i="8"/>
  <c r="N18" i="8"/>
  <c r="P7" i="8"/>
  <c r="Q7" i="8" s="1"/>
  <c r="N17" i="8"/>
  <c r="N11" i="8"/>
  <c r="N14" i="8"/>
  <c r="N10" i="8"/>
  <c r="B113" i="7"/>
  <c r="E112" i="7"/>
  <c r="F97" i="7"/>
  <c r="E88" i="7"/>
  <c r="E85" i="7"/>
  <c r="E81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E22" i="7"/>
  <c r="O21" i="7"/>
  <c r="N21" i="7"/>
  <c r="G21" i="7"/>
  <c r="D21" i="7"/>
  <c r="C21" i="7"/>
  <c r="C22" i="7" s="1"/>
  <c r="I20" i="7"/>
  <c r="O20" i="7" s="1"/>
  <c r="G20" i="7"/>
  <c r="D20" i="7"/>
  <c r="F20" i="7" s="1"/>
  <c r="I19" i="7"/>
  <c r="O19" i="7" s="1"/>
  <c r="D19" i="7"/>
  <c r="F19" i="7" s="1"/>
  <c r="I18" i="7"/>
  <c r="O18" i="7" s="1"/>
  <c r="D18" i="7"/>
  <c r="F18" i="7" s="1"/>
  <c r="I17" i="7"/>
  <c r="D17" i="7"/>
  <c r="F17" i="7" s="1"/>
  <c r="I16" i="7"/>
  <c r="O16" i="7" s="1"/>
  <c r="D16" i="7"/>
  <c r="F16" i="7" s="1"/>
  <c r="I15" i="7"/>
  <c r="O15" i="7" s="1"/>
  <c r="D15" i="7"/>
  <c r="F15" i="7" s="1"/>
  <c r="I14" i="7"/>
  <c r="O14" i="7" s="1"/>
  <c r="D14" i="7"/>
  <c r="F14" i="7" s="1"/>
  <c r="I13" i="7"/>
  <c r="O13" i="7" s="1"/>
  <c r="D13" i="7"/>
  <c r="F13" i="7" s="1"/>
  <c r="I12" i="7"/>
  <c r="O12" i="7" s="1"/>
  <c r="D12" i="7"/>
  <c r="F12" i="7" s="1"/>
  <c r="I11" i="7"/>
  <c r="O11" i="7" s="1"/>
  <c r="D11" i="7"/>
  <c r="F11" i="7" s="1"/>
  <c r="I10" i="7"/>
  <c r="O10" i="7" s="1"/>
  <c r="D10" i="7"/>
  <c r="F10" i="7" s="1"/>
  <c r="N10" i="7" s="1"/>
  <c r="I9" i="7"/>
  <c r="O9" i="7" s="1"/>
  <c r="D9" i="7"/>
  <c r="F9" i="7" s="1"/>
  <c r="I8" i="7"/>
  <c r="D8" i="7"/>
  <c r="F8" i="7" s="1"/>
  <c r="N8" i="7" s="1"/>
  <c r="I7" i="7"/>
  <c r="O7" i="7" s="1"/>
  <c r="D7" i="7"/>
  <c r="F7" i="7" s="1"/>
  <c r="I6" i="7"/>
  <c r="O6" i="7" s="1"/>
  <c r="D6" i="7"/>
  <c r="F6" i="7" s="1"/>
  <c r="I5" i="7"/>
  <c r="O5" i="7" s="1"/>
  <c r="D5" i="7"/>
  <c r="F5" i="7" s="1"/>
  <c r="O4" i="7"/>
  <c r="D4" i="7"/>
  <c r="F4" i="7" s="1"/>
  <c r="I3" i="7"/>
  <c r="O3" i="7" s="1"/>
  <c r="D3" i="7"/>
  <c r="F3" i="7" s="1"/>
  <c r="M2" i="7"/>
  <c r="G2" i="7"/>
  <c r="I2" i="7" s="1"/>
  <c r="O2" i="7" s="1"/>
  <c r="D2" i="7"/>
  <c r="F2" i="7" s="1"/>
  <c r="C113" i="7" l="1"/>
  <c r="K25" i="7"/>
  <c r="P10" i="7" s="1"/>
  <c r="N13" i="7"/>
  <c r="N4" i="7"/>
  <c r="P4" i="7"/>
  <c r="Q4" i="7" s="1"/>
  <c r="P17" i="7"/>
  <c r="Q17" i="7" s="1"/>
  <c r="N17" i="7"/>
  <c r="N11" i="7"/>
  <c r="P11" i="7"/>
  <c r="P9" i="7"/>
  <c r="Q9" i="7" s="1"/>
  <c r="N9" i="7"/>
  <c r="N18" i="7"/>
  <c r="P18" i="7"/>
  <c r="P14" i="7"/>
  <c r="Q14" i="7" s="1"/>
  <c r="N14" i="7"/>
  <c r="Q11" i="7"/>
  <c r="P6" i="7"/>
  <c r="Q6" i="7" s="1"/>
  <c r="N6" i="7"/>
  <c r="P12" i="7"/>
  <c r="Q12" i="7" s="1"/>
  <c r="N12" i="7"/>
  <c r="Q18" i="7"/>
  <c r="P20" i="7"/>
  <c r="Q20" i="7" s="1"/>
  <c r="N20" i="7"/>
  <c r="N3" i="7"/>
  <c r="P19" i="7"/>
  <c r="Q19" i="7" s="1"/>
  <c r="N19" i="7"/>
  <c r="N16" i="7"/>
  <c r="P16" i="7"/>
  <c r="Q16" i="7" s="1"/>
  <c r="Q10" i="7"/>
  <c r="P5" i="7"/>
  <c r="Q5" i="7" s="1"/>
  <c r="N5" i="7"/>
  <c r="P7" i="7"/>
  <c r="Q7" i="7" s="1"/>
  <c r="N7" i="7"/>
  <c r="N15" i="7"/>
  <c r="D22" i="7"/>
  <c r="D23" i="7" s="1"/>
  <c r="P8" i="7"/>
  <c r="Q8" i="7" s="1"/>
  <c r="F21" i="7"/>
  <c r="P21" i="7" s="1"/>
  <c r="Q21" i="7" s="1"/>
  <c r="E48" i="7"/>
  <c r="P3" i="7" l="1"/>
  <c r="Q3" i="7" s="1"/>
  <c r="P15" i="7"/>
  <c r="Q15" i="7" s="1"/>
  <c r="P13" i="7"/>
  <c r="Q13" i="7" s="1"/>
  <c r="P2" i="7"/>
  <c r="Q2" i="7" s="1"/>
  <c r="B129" i="6"/>
  <c r="E128" i="6"/>
  <c r="E100" i="6"/>
  <c r="E99" i="6"/>
  <c r="E96" i="6"/>
  <c r="E92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E48" i="6" s="1"/>
  <c r="C31" i="6"/>
  <c r="C30" i="6"/>
  <c r="C29" i="6"/>
  <c r="E21" i="6"/>
  <c r="C21" i="6"/>
  <c r="I20" i="6"/>
  <c r="O20" i="6" s="1"/>
  <c r="D20" i="6"/>
  <c r="F20" i="6" s="1"/>
  <c r="I19" i="6"/>
  <c r="O19" i="6" s="1"/>
  <c r="D19" i="6"/>
  <c r="F19" i="6" s="1"/>
  <c r="I18" i="6"/>
  <c r="O18" i="6" s="1"/>
  <c r="D18" i="6"/>
  <c r="F18" i="6" s="1"/>
  <c r="I17" i="6"/>
  <c r="D17" i="6"/>
  <c r="F17" i="6" s="1"/>
  <c r="I16" i="6"/>
  <c r="O16" i="6" s="1"/>
  <c r="D16" i="6"/>
  <c r="F16" i="6" s="1"/>
  <c r="I15" i="6"/>
  <c r="O15" i="6" s="1"/>
  <c r="D15" i="6"/>
  <c r="F15" i="6" s="1"/>
  <c r="N15" i="6" s="1"/>
  <c r="I14" i="6"/>
  <c r="O14" i="6" s="1"/>
  <c r="D14" i="6"/>
  <c r="F14" i="6" s="1"/>
  <c r="I13" i="6"/>
  <c r="O13" i="6" s="1"/>
  <c r="D13" i="6"/>
  <c r="F13" i="6" s="1"/>
  <c r="I12" i="6"/>
  <c r="O12" i="6" s="1"/>
  <c r="D12" i="6"/>
  <c r="F12" i="6" s="1"/>
  <c r="I11" i="6"/>
  <c r="O11" i="6" s="1"/>
  <c r="D11" i="6"/>
  <c r="F11" i="6" s="1"/>
  <c r="I10" i="6"/>
  <c r="O10" i="6" s="1"/>
  <c r="D10" i="6"/>
  <c r="F10" i="6" s="1"/>
  <c r="I9" i="6"/>
  <c r="O9" i="6" s="1"/>
  <c r="D9" i="6"/>
  <c r="F9" i="6" s="1"/>
  <c r="I8" i="6"/>
  <c r="D8" i="6"/>
  <c r="F8" i="6" s="1"/>
  <c r="I7" i="6"/>
  <c r="O7" i="6" s="1"/>
  <c r="D7" i="6"/>
  <c r="F7" i="6" s="1"/>
  <c r="I6" i="6"/>
  <c r="O6" i="6" s="1"/>
  <c r="D6" i="6"/>
  <c r="F6" i="6" s="1"/>
  <c r="I5" i="6"/>
  <c r="O5" i="6" s="1"/>
  <c r="D5" i="6"/>
  <c r="O4" i="6"/>
  <c r="D4" i="6"/>
  <c r="F4" i="6" s="1"/>
  <c r="M2" i="6"/>
  <c r="G2" i="6"/>
  <c r="I2" i="6" s="1"/>
  <c r="O2" i="6" s="1"/>
  <c r="D2" i="6"/>
  <c r="F2" i="6" s="1"/>
  <c r="D21" i="6" l="1"/>
  <c r="D22" i="6" s="1"/>
  <c r="K24" i="6"/>
  <c r="P2" i="6" s="1"/>
  <c r="Q2" i="6" s="1"/>
  <c r="C129" i="6"/>
  <c r="N16" i="6"/>
  <c r="P16" i="6"/>
  <c r="Q16" i="6" s="1"/>
  <c r="P13" i="6"/>
  <c r="N13" i="6"/>
  <c r="Q13" i="6"/>
  <c r="P17" i="6"/>
  <c r="Q17" i="6" s="1"/>
  <c r="N17" i="6"/>
  <c r="P9" i="6"/>
  <c r="Q9" i="6" s="1"/>
  <c r="N9" i="6"/>
  <c r="P12" i="6"/>
  <c r="Q12" i="6" s="1"/>
  <c r="N12" i="6"/>
  <c r="Q15" i="6"/>
  <c r="P7" i="6"/>
  <c r="Q7" i="6" s="1"/>
  <c r="N7" i="6"/>
  <c r="N4" i="6"/>
  <c r="P4" i="6"/>
  <c r="Q4" i="6" s="1"/>
  <c r="Q10" i="6"/>
  <c r="P8" i="6"/>
  <c r="Q8" i="6" s="1"/>
  <c r="N11" i="6"/>
  <c r="P11" i="6"/>
  <c r="Q11" i="6" s="1"/>
  <c r="P14" i="6"/>
  <c r="Q14" i="6" s="1"/>
  <c r="N14" i="6"/>
  <c r="N6" i="6"/>
  <c r="P19" i="6"/>
  <c r="Q19" i="6" s="1"/>
  <c r="N19" i="6"/>
  <c r="N10" i="6"/>
  <c r="P10" i="6"/>
  <c r="P20" i="6"/>
  <c r="Q20" i="6" s="1"/>
  <c r="N20" i="6"/>
  <c r="P18" i="6"/>
  <c r="Q18" i="6" s="1"/>
  <c r="N18" i="6"/>
  <c r="N8" i="6"/>
  <c r="P15" i="6"/>
  <c r="F5" i="6"/>
  <c r="P6" i="6" l="1"/>
  <c r="Q6" i="6" s="1"/>
  <c r="P5" i="6"/>
  <c r="Q5" i="6" s="1"/>
  <c r="N5" i="6"/>
  <c r="I3" i="5" l="1"/>
  <c r="O3" i="5" l="1"/>
  <c r="D16" i="5" l="1"/>
  <c r="I14" i="5" l="1"/>
  <c r="D3" i="5" l="1"/>
  <c r="F3" i="5" s="1"/>
  <c r="E149" i="5"/>
  <c r="C115" i="5"/>
  <c r="B115" i="5"/>
  <c r="C116" i="5"/>
  <c r="B116" i="5"/>
  <c r="C109" i="5"/>
  <c r="B109" i="5"/>
  <c r="B150" i="5" s="1"/>
  <c r="N3" i="5" l="1"/>
  <c r="E120" i="5"/>
  <c r="E103" i="5" l="1"/>
  <c r="I16" i="5" l="1"/>
  <c r="O16" i="5" s="1"/>
  <c r="F16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49" i="5"/>
  <c r="N16" i="5" l="1"/>
  <c r="E22" i="5" l="1"/>
  <c r="I20" i="5"/>
  <c r="O20" i="5" s="1"/>
  <c r="I12" i="5" l="1"/>
  <c r="O12" i="5" s="1"/>
  <c r="I10" i="5" l="1"/>
  <c r="I9" i="5"/>
  <c r="I7" i="5"/>
  <c r="O7" i="5" s="1"/>
  <c r="I6" i="5"/>
  <c r="O6" i="5" s="1"/>
  <c r="C22" i="5"/>
  <c r="E121" i="5"/>
  <c r="C40" i="5" l="1"/>
  <c r="C41" i="5"/>
  <c r="C42" i="5"/>
  <c r="C43" i="5"/>
  <c r="C44" i="5"/>
  <c r="C45" i="5"/>
  <c r="C46" i="5"/>
  <c r="C47" i="5"/>
  <c r="C48" i="5"/>
  <c r="C39" i="5"/>
  <c r="C31" i="5"/>
  <c r="C32" i="5"/>
  <c r="C33" i="5"/>
  <c r="C34" i="5"/>
  <c r="C35" i="5"/>
  <c r="C36" i="5"/>
  <c r="C37" i="5"/>
  <c r="C38" i="5"/>
  <c r="C30" i="5"/>
  <c r="E72" i="5" l="1"/>
  <c r="C150" i="5"/>
  <c r="K25" i="5"/>
  <c r="P3" i="5" s="1"/>
  <c r="Q3" i="5" s="1"/>
  <c r="E107" i="5"/>
  <c r="I21" i="5"/>
  <c r="O21" i="5" s="1"/>
  <c r="D21" i="5"/>
  <c r="F21" i="5" s="1"/>
  <c r="D20" i="5"/>
  <c r="F20" i="5" s="1"/>
  <c r="N20" i="5" s="1"/>
  <c r="I19" i="5"/>
  <c r="O19" i="5" s="1"/>
  <c r="D19" i="5"/>
  <c r="F19" i="5" s="1"/>
  <c r="I18" i="5"/>
  <c r="D18" i="5"/>
  <c r="F18" i="5" s="1"/>
  <c r="I17" i="5"/>
  <c r="O17" i="5" s="1"/>
  <c r="D17" i="5"/>
  <c r="F17" i="5" s="1"/>
  <c r="N17" i="5" s="1"/>
  <c r="I15" i="5"/>
  <c r="O15" i="5" s="1"/>
  <c r="D15" i="5"/>
  <c r="F15" i="5" s="1"/>
  <c r="O14" i="5"/>
  <c r="D14" i="5"/>
  <c r="F14" i="5" s="1"/>
  <c r="N14" i="5" s="1"/>
  <c r="I13" i="5"/>
  <c r="O13" i="5" s="1"/>
  <c r="D13" i="5"/>
  <c r="F13" i="5" s="1"/>
  <c r="D12" i="5"/>
  <c r="F12" i="5" s="1"/>
  <c r="I11" i="5"/>
  <c r="D11" i="5"/>
  <c r="F11" i="5" s="1"/>
  <c r="O10" i="5"/>
  <c r="D10" i="5"/>
  <c r="F10" i="5" s="1"/>
  <c r="O9" i="5"/>
  <c r="D9" i="5"/>
  <c r="F9" i="5" s="1"/>
  <c r="N9" i="5" s="1"/>
  <c r="I8" i="5"/>
  <c r="D8" i="5"/>
  <c r="D7" i="5"/>
  <c r="F7" i="5" s="1"/>
  <c r="D6" i="5"/>
  <c r="F6" i="5" s="1"/>
  <c r="N6" i="5" s="1"/>
  <c r="I5" i="5"/>
  <c r="O5" i="5" s="1"/>
  <c r="D5" i="5"/>
  <c r="F5" i="5" s="1"/>
  <c r="O4" i="5"/>
  <c r="D4" i="5"/>
  <c r="F4" i="5" s="1"/>
  <c r="N4" i="5" s="1"/>
  <c r="M2" i="5"/>
  <c r="G2" i="5"/>
  <c r="I2" i="5" s="1"/>
  <c r="O2" i="5" s="1"/>
  <c r="D2" i="5"/>
  <c r="P16" i="5" l="1"/>
  <c r="Q16" i="5" s="1"/>
  <c r="F8" i="5"/>
  <c r="D22" i="5"/>
  <c r="D23" i="5" s="1"/>
  <c r="P7" i="5"/>
  <c r="Q7" i="5" s="1"/>
  <c r="P5" i="5"/>
  <c r="Q5" i="5" s="1"/>
  <c r="N5" i="5"/>
  <c r="N13" i="5"/>
  <c r="P13" i="5"/>
  <c r="Q13" i="5" s="1"/>
  <c r="P12" i="5"/>
  <c r="Q12" i="5" s="1"/>
  <c r="N12" i="5"/>
  <c r="N7" i="5"/>
  <c r="N10" i="5"/>
  <c r="P18" i="5"/>
  <c r="Q18" i="5" s="1"/>
  <c r="P19" i="5"/>
  <c r="Q19" i="5" s="1"/>
  <c r="N19" i="5"/>
  <c r="P17" i="5"/>
  <c r="Q17" i="5" s="1"/>
  <c r="P20" i="5"/>
  <c r="Q20" i="5" s="1"/>
  <c r="P8" i="5"/>
  <c r="Q8" i="5" s="1"/>
  <c r="N8" i="5"/>
  <c r="P15" i="5"/>
  <c r="Q15" i="5" s="1"/>
  <c r="N15" i="5"/>
  <c r="N21" i="5"/>
  <c r="P21" i="5"/>
  <c r="Q21" i="5" s="1"/>
  <c r="P6" i="5"/>
  <c r="Q6" i="5" s="1"/>
  <c r="P9" i="5"/>
  <c r="Q9" i="5" s="1"/>
  <c r="P14" i="5"/>
  <c r="Q14" i="5" s="1"/>
  <c r="P10" i="5"/>
  <c r="Q10" i="5" s="1"/>
  <c r="P4" i="5"/>
  <c r="Q4" i="5" s="1"/>
  <c r="N18" i="5"/>
  <c r="F2" i="5"/>
  <c r="P2" i="5" s="1"/>
  <c r="Q2" i="5" s="1"/>
  <c r="B113" i="4" l="1"/>
  <c r="E112" i="4"/>
  <c r="F97" i="4"/>
  <c r="E88" i="4"/>
  <c r="E85" i="4"/>
  <c r="E81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E22" i="4"/>
  <c r="O21" i="4"/>
  <c r="N21" i="4"/>
  <c r="G21" i="4"/>
  <c r="D21" i="4"/>
  <c r="C21" i="4"/>
  <c r="C22" i="4" s="1"/>
  <c r="I20" i="4"/>
  <c r="O20" i="4" s="1"/>
  <c r="G20" i="4"/>
  <c r="D20" i="4"/>
  <c r="F20" i="4" s="1"/>
  <c r="I19" i="4"/>
  <c r="O19" i="4" s="1"/>
  <c r="D19" i="4"/>
  <c r="F19" i="4" s="1"/>
  <c r="I18" i="4"/>
  <c r="O18" i="4" s="1"/>
  <c r="D18" i="4"/>
  <c r="F18" i="4" s="1"/>
  <c r="I17" i="4"/>
  <c r="D17" i="4"/>
  <c r="F17" i="4" s="1"/>
  <c r="I16" i="4"/>
  <c r="O16" i="4" s="1"/>
  <c r="D16" i="4"/>
  <c r="F16" i="4" s="1"/>
  <c r="I15" i="4"/>
  <c r="O15" i="4" s="1"/>
  <c r="D15" i="4"/>
  <c r="F15" i="4" s="1"/>
  <c r="I14" i="4"/>
  <c r="O14" i="4" s="1"/>
  <c r="D14" i="4"/>
  <c r="F14" i="4" s="1"/>
  <c r="I13" i="4"/>
  <c r="O13" i="4" s="1"/>
  <c r="D13" i="4"/>
  <c r="F13" i="4" s="1"/>
  <c r="I12" i="4"/>
  <c r="O12" i="4" s="1"/>
  <c r="D12" i="4"/>
  <c r="F12" i="4" s="1"/>
  <c r="N12" i="4" s="1"/>
  <c r="I11" i="4"/>
  <c r="O11" i="4" s="1"/>
  <c r="D11" i="4"/>
  <c r="F11" i="4" s="1"/>
  <c r="O10" i="4"/>
  <c r="I10" i="4"/>
  <c r="D10" i="4"/>
  <c r="F10" i="4" s="1"/>
  <c r="I9" i="4"/>
  <c r="O9" i="4" s="1"/>
  <c r="D9" i="4"/>
  <c r="F9" i="4" s="1"/>
  <c r="I8" i="4"/>
  <c r="D8" i="4"/>
  <c r="F8" i="4" s="1"/>
  <c r="I7" i="4"/>
  <c r="O7" i="4" s="1"/>
  <c r="D7" i="4"/>
  <c r="F7" i="4" s="1"/>
  <c r="I6" i="4"/>
  <c r="O6" i="4" s="1"/>
  <c r="D6" i="4"/>
  <c r="F6" i="4" s="1"/>
  <c r="I5" i="4"/>
  <c r="O5" i="4" s="1"/>
  <c r="D5" i="4"/>
  <c r="F5" i="4" s="1"/>
  <c r="O4" i="4"/>
  <c r="D4" i="4"/>
  <c r="F4" i="4" s="1"/>
  <c r="I3" i="4"/>
  <c r="O3" i="4" s="1"/>
  <c r="D3" i="4"/>
  <c r="F3" i="4" s="1"/>
  <c r="M2" i="4"/>
  <c r="G2" i="4"/>
  <c r="I2" i="4" s="1"/>
  <c r="O2" i="4" s="1"/>
  <c r="D2" i="4"/>
  <c r="F2" i="4" s="1"/>
  <c r="N5" i="4" l="1"/>
  <c r="N3" i="4"/>
  <c r="K25" i="4"/>
  <c r="P5" i="4" s="1"/>
  <c r="Q5" i="4" s="1"/>
  <c r="C113" i="4"/>
  <c r="N11" i="4"/>
  <c r="N17" i="4"/>
  <c r="N14" i="4"/>
  <c r="P12" i="4"/>
  <c r="Q12" i="4" s="1"/>
  <c r="N18" i="4"/>
  <c r="N15" i="4"/>
  <c r="N7" i="4"/>
  <c r="N8" i="4"/>
  <c r="N9" i="4"/>
  <c r="N6" i="4"/>
  <c r="P10" i="4"/>
  <c r="Q10" i="4" s="1"/>
  <c r="N10" i="4"/>
  <c r="N19" i="4"/>
  <c r="N4" i="4"/>
  <c r="N13" i="4"/>
  <c r="P16" i="4"/>
  <c r="Q16" i="4" s="1"/>
  <c r="N20" i="4"/>
  <c r="E48" i="4"/>
  <c r="D22" i="4"/>
  <c r="D23" i="4" s="1"/>
  <c r="F21" i="4"/>
  <c r="N16" i="4"/>
  <c r="P15" i="4" l="1"/>
  <c r="Q15" i="4" s="1"/>
  <c r="P17" i="4"/>
  <c r="Q17" i="4" s="1"/>
  <c r="P14" i="4"/>
  <c r="Q14" i="4" s="1"/>
  <c r="P19" i="4"/>
  <c r="Q19" i="4" s="1"/>
  <c r="P18" i="4"/>
  <c r="Q18" i="4" s="1"/>
  <c r="P11" i="4"/>
  <c r="Q11" i="4" s="1"/>
  <c r="P13" i="4"/>
  <c r="Q13" i="4" s="1"/>
  <c r="P8" i="4"/>
  <c r="Q8" i="4" s="1"/>
  <c r="P2" i="4"/>
  <c r="Q2" i="4" s="1"/>
  <c r="P20" i="4"/>
  <c r="Q20" i="4" s="1"/>
  <c r="P7" i="4"/>
  <c r="Q7" i="4" s="1"/>
  <c r="P6" i="4"/>
  <c r="Q6" i="4" s="1"/>
  <c r="P3" i="4"/>
  <c r="Q3" i="4" s="1"/>
  <c r="P21" i="4"/>
  <c r="Q21" i="4" s="1"/>
  <c r="P4" i="4"/>
  <c r="Q4" i="4" s="1"/>
  <c r="P9" i="4"/>
  <c r="Q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3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3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user</author>
  </authors>
  <commentList>
    <comment ref="I5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7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1" authorId="1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110 в канистрах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<sst xmlns="http://schemas.openxmlformats.org/spreadsheetml/2006/main" count="3027" uniqueCount="225">
  <si>
    <t>Объект</t>
  </si>
  <si>
    <t>Механизатор</t>
  </si>
  <si>
    <t>ТО</t>
  </si>
  <si>
    <t>Заправка</t>
  </si>
  <si>
    <t>Примечание по строке</t>
  </si>
  <si>
    <t>Автокран XCMG</t>
  </si>
  <si>
    <t>Автокран Клинцы</t>
  </si>
  <si>
    <t>МАЗ 265</t>
  </si>
  <si>
    <t>Самосвал Камаз</t>
  </si>
  <si>
    <t>Самосвал МАЗ</t>
  </si>
  <si>
    <t>Телескоп JCB 535-140 (№4)</t>
  </si>
  <si>
    <t>Телескоп JCB 540-170 №5</t>
  </si>
  <si>
    <t>Экскаватор  JCB</t>
  </si>
  <si>
    <t>Экскаватор  JCB 2013</t>
  </si>
  <si>
    <t>Экскаватор  JCB 3CX 2008</t>
  </si>
  <si>
    <t>Наименование</t>
  </si>
  <si>
    <t>Отчетный период</t>
  </si>
  <si>
    <t xml:space="preserve">Остаток на начало </t>
  </si>
  <si>
    <t>Топливо заправленное</t>
  </si>
  <si>
    <t>Остаток на конец</t>
  </si>
  <si>
    <t>Моточасы на начало</t>
  </si>
  <si>
    <t>Моточасы на конец</t>
  </si>
  <si>
    <t>Перегон на доругой объект, л</t>
  </si>
  <si>
    <t>Перегон на доругой объект, км</t>
  </si>
  <si>
    <t xml:space="preserve">Часы работы на обьекте </t>
  </si>
  <si>
    <t>Факт витрат на 1 мото/год, км
витрат
 (л/год)</t>
  </si>
  <si>
    <t>PL план , грн</t>
  </si>
  <si>
    <t>PL факт , грн</t>
  </si>
  <si>
    <t>Diff, грн</t>
  </si>
  <si>
    <t>Телескоп 1</t>
  </si>
  <si>
    <t>Телескоп 2</t>
  </si>
  <si>
    <t>Телескоп JCB 533-105 (№3)</t>
  </si>
  <si>
    <t>Виброкаток</t>
  </si>
  <si>
    <t>Ротор Пегасус</t>
  </si>
  <si>
    <t xml:space="preserve">Экскаватор  JCB 220 </t>
  </si>
  <si>
    <t>МАЗ 264</t>
  </si>
  <si>
    <t>РДК 250</t>
  </si>
  <si>
    <t>Автокран XCMG 55</t>
  </si>
  <si>
    <t>Подъемник Haulotte №1</t>
  </si>
  <si>
    <t>Стоимость 1 л</t>
  </si>
  <si>
    <t>Заправки АЗС</t>
  </si>
  <si>
    <t>Количество</t>
  </si>
  <si>
    <t>Сумма</t>
  </si>
  <si>
    <t>АЗС</t>
  </si>
  <si>
    <t>Авиас</t>
  </si>
  <si>
    <t>Амик</t>
  </si>
  <si>
    <t>КЛО</t>
  </si>
  <si>
    <t>ВОГ</t>
  </si>
  <si>
    <t>ОККО</t>
  </si>
  <si>
    <t>Норма расхода топлива литр/1 мото час согласно сс</t>
  </si>
  <si>
    <t>Расход топлива за период, л</t>
  </si>
  <si>
    <t>Отработано техникой моточасов</t>
  </si>
  <si>
    <t>не работает мотосчетчик</t>
  </si>
  <si>
    <t>слив  15.2 л</t>
  </si>
  <si>
    <t>слив  509 л</t>
  </si>
  <si>
    <t>слив  10,47 л</t>
  </si>
  <si>
    <t>слив  16,5 л</t>
  </si>
  <si>
    <t>не работает мотосчетчик, слив  127 л</t>
  </si>
  <si>
    <t>слив  3435 л</t>
  </si>
  <si>
    <t>не работает мотосчетчик слив  400 л</t>
  </si>
  <si>
    <t>Самосвал МАЗ №2</t>
  </si>
  <si>
    <t xml:space="preserve">не работает мотосчетчик </t>
  </si>
  <si>
    <t>мотосчетчик дал сбой, на табло ошибка</t>
  </si>
  <si>
    <t>на ремонте, не можем получить данные счетчика</t>
  </si>
  <si>
    <t>не работает мотосчетчик , gps показывает слив топлива 784 л</t>
  </si>
  <si>
    <t>gps показывает слив топлива 396 л</t>
  </si>
  <si>
    <t>gps показывает слив топлива 11 л</t>
  </si>
  <si>
    <t>gps показывает слив топлива 27 л</t>
  </si>
  <si>
    <t>gps показывает слив топлива 242 л</t>
  </si>
  <si>
    <t xml:space="preserve">не работает счетчик на топливо и на моточасы, поламался в августе </t>
  </si>
  <si>
    <t>слив 85 л</t>
  </si>
  <si>
    <t>слив 51 л</t>
  </si>
  <si>
    <t>слив  1277 л</t>
  </si>
  <si>
    <t>слив  32,57</t>
  </si>
  <si>
    <t>не работает мотосчетчик, слив  114 л</t>
  </si>
  <si>
    <t>слив  188 л</t>
  </si>
  <si>
    <t>не работает мотосчетчик, слив 99 л</t>
  </si>
  <si>
    <t>Расход топлива за период</t>
  </si>
  <si>
    <t>Разница</t>
  </si>
  <si>
    <t>Норма на 1 мото час</t>
  </si>
  <si>
    <t>премиум</t>
  </si>
  <si>
    <t>ВОГ кубышка</t>
  </si>
  <si>
    <t>Окко</t>
  </si>
  <si>
    <t>gps показывает слив топлива 539 л</t>
  </si>
  <si>
    <t>gps показывает слив топлива 169 л</t>
  </si>
  <si>
    <t>gps показывает слив топлива  206 л</t>
  </si>
  <si>
    <t>gps показывает слив топлива  37,82 л</t>
  </si>
  <si>
    <t>gps показывает слив топлива  168 л</t>
  </si>
  <si>
    <t>с кубышки</t>
  </si>
  <si>
    <t>Отклонения, грн/мес</t>
  </si>
  <si>
    <t>моточасы расчетные, данные мотосчетчика на 30.11</t>
  </si>
  <si>
    <t>gps показывает слив топлива  90 л</t>
  </si>
  <si>
    <t>gps показывает слив топлива  155 л</t>
  </si>
  <si>
    <t>gps показывает слив топлива  132 л</t>
  </si>
  <si>
    <t>gps показывает слив топлива  68 л</t>
  </si>
  <si>
    <t>Отклонения л/мотогод</t>
  </si>
  <si>
    <t>Водитель</t>
  </si>
  <si>
    <t>Косик Ю.А.</t>
  </si>
  <si>
    <t>Начислено зп, грн</t>
  </si>
  <si>
    <t>Мазуренко Е.В.</t>
  </si>
  <si>
    <t>Разница начисление от недостачи топлива, грн</t>
  </si>
  <si>
    <t>Ковальчук В.В.</t>
  </si>
  <si>
    <t>Черненко А.С/Самойленко</t>
  </si>
  <si>
    <t>БВС ритейл</t>
  </si>
  <si>
    <t>в т.ч перегон 242км по норме 0,4л/км</t>
  </si>
  <si>
    <t>MAN №5 KA5697НВ</t>
  </si>
  <si>
    <t>данные использ топлива согласно GPS</t>
  </si>
  <si>
    <t>MAN №3 white KA7837HO</t>
  </si>
  <si>
    <t>не  работал</t>
  </si>
  <si>
    <t>не работал</t>
  </si>
  <si>
    <t>Отклонения  от нормы,%</t>
  </si>
  <si>
    <t>gps фиксирует слив 174 л</t>
  </si>
  <si>
    <t>gps фиксирует слив 11,52 л</t>
  </si>
  <si>
    <t xml:space="preserve">gps фиксирует слив </t>
  </si>
  <si>
    <t>MAN №4 KA5697НВ</t>
  </si>
  <si>
    <r>
      <t>данные использ топлива согласно GPS,</t>
    </r>
    <r>
      <rPr>
        <sz val="10"/>
        <color rgb="FFFF0000"/>
        <rFont val="Calibri"/>
        <family val="2"/>
        <charset val="204"/>
        <scheme val="minor"/>
      </rPr>
      <t xml:space="preserve"> gps фиксирует слив 30 л</t>
    </r>
  </si>
  <si>
    <t>Болох В.</t>
  </si>
  <si>
    <t>Борисенко О.</t>
  </si>
  <si>
    <t>Автокран клинцы</t>
  </si>
  <si>
    <t>Василиу Р.</t>
  </si>
  <si>
    <t>Зубко О.</t>
  </si>
  <si>
    <t>Ляшко С.</t>
  </si>
  <si>
    <t>Черненко А.</t>
  </si>
  <si>
    <t>Окольничий В.</t>
  </si>
  <si>
    <t>Комаров Д.</t>
  </si>
  <si>
    <t>БВС</t>
  </si>
  <si>
    <t>Укрнафта</t>
  </si>
  <si>
    <r>
      <rPr>
        <sz val="11"/>
        <color rgb="FFFF0000"/>
        <rFont val="Calibri"/>
        <family val="2"/>
        <charset val="204"/>
        <scheme val="minor"/>
      </rPr>
      <t xml:space="preserve">комментарий февраля  (не было ремонта???- </t>
    </r>
    <r>
      <rPr>
        <sz val="11"/>
        <color theme="1"/>
        <rFont val="Calibri"/>
        <family val="2"/>
        <scheme val="minor"/>
      </rPr>
      <t>Не корректно работает турбина</t>
    </r>
  </si>
  <si>
    <t>данные посчитаны с обороток, GPS показывает расход на 600 больше, написан запрос на Транс Групп</t>
  </si>
  <si>
    <t>данные посчитаны с обороток, GPS показывает расход на 400 больше, написан запрос на Транс Групп</t>
  </si>
  <si>
    <t>Телескоп 3 (цех)</t>
  </si>
  <si>
    <t>Котик М.</t>
  </si>
  <si>
    <t>РДК 250-3№2</t>
  </si>
  <si>
    <t>Сокур С.</t>
  </si>
  <si>
    <t>N</t>
  </si>
  <si>
    <t>Подразделение</t>
  </si>
  <si>
    <t>Моточасы</t>
  </si>
  <si>
    <t>Заправлено</t>
  </si>
  <si>
    <t>Простой</t>
  </si>
  <si>
    <t>Цена</t>
  </si>
  <si>
    <t>ФИО</t>
  </si>
  <si>
    <t>Примечание</t>
  </si>
  <si>
    <t>Работа</t>
  </si>
  <si>
    <t>Спецтехника</t>
  </si>
  <si>
    <t>Ні</t>
  </si>
  <si>
    <t>Строительство</t>
  </si>
  <si>
    <t>Воскресенський С.</t>
  </si>
  <si>
    <t>Ошманін Я.</t>
  </si>
  <si>
    <t>Автокран XCMG QAY55</t>
  </si>
  <si>
    <t>Філянович Ю.</t>
  </si>
  <si>
    <t xml:space="preserve">Окко </t>
  </si>
  <si>
    <t>ДТ</t>
  </si>
  <si>
    <t>Досавка топлива</t>
  </si>
  <si>
    <t>№ п/п</t>
  </si>
  <si>
    <t>Ед. спецтехник</t>
  </si>
  <si>
    <t>Місце дислокації</t>
  </si>
  <si>
    <t>I и II  недели</t>
  </si>
  <si>
    <t>ІІІ- IV  недели</t>
  </si>
  <si>
    <t>Оплата за відпрацьовані години</t>
  </si>
  <si>
    <t>Оплата
 ТО і АЗС</t>
  </si>
  <si>
    <t>Разом</t>
  </si>
  <si>
    <t>Рахунок 
у Казні</t>
  </si>
  <si>
    <t>План по Бюджету колво часов</t>
  </si>
  <si>
    <t>Факт по Бюджету колво часов</t>
  </si>
  <si>
    <t>Глобино</t>
  </si>
  <si>
    <t>Карбунар Я.</t>
  </si>
  <si>
    <t>Подгорцы</t>
  </si>
  <si>
    <t>кар'єр Кременчук</t>
  </si>
  <si>
    <t>Haulotte</t>
  </si>
  <si>
    <t>МХП Єрки</t>
  </si>
  <si>
    <t>13.14.15.05- стажування 5400 для ЗП з фонду спецтехніка. Об'єкт ці дні не оплачує</t>
  </si>
  <si>
    <t>Оплата на загальних
 підставах</t>
  </si>
  <si>
    <t>Итого за Июнь:</t>
  </si>
  <si>
    <t>Экскаватор JCB 2013</t>
  </si>
  <si>
    <t>Гончаренко О.</t>
  </si>
  <si>
    <t>Телескоп JCB 540-170 (№5)</t>
  </si>
  <si>
    <t>Грунковський В</t>
  </si>
  <si>
    <t>Телескоп JCB 535-140 №4</t>
  </si>
  <si>
    <t>Экскаватор JCB 2007</t>
  </si>
  <si>
    <t>Тищенки</t>
  </si>
  <si>
    <t>Экскаватор JCB 220</t>
  </si>
  <si>
    <t>Пегас Ротор</t>
  </si>
  <si>
    <t>Скоц. С.</t>
  </si>
  <si>
    <t>Телескоп JCB 540-170 (№4)</t>
  </si>
  <si>
    <t>Факт часов.</t>
  </si>
  <si>
    <t>Путрівка</t>
  </si>
  <si>
    <t>Гончаренко В.П.</t>
  </si>
  <si>
    <t>Экскаватор  JCB 2007</t>
  </si>
  <si>
    <t>Кран РДК №1</t>
  </si>
  <si>
    <t>нет данных по моточасам</t>
  </si>
  <si>
    <t>Рубцов С.</t>
  </si>
  <si>
    <t>Пахалков</t>
  </si>
  <si>
    <t>Хоришман А.</t>
  </si>
  <si>
    <t>Кран РДК №2</t>
  </si>
  <si>
    <t>Бутко І.</t>
  </si>
  <si>
    <t>Божков В.</t>
  </si>
  <si>
    <t>Омельченко С.</t>
  </si>
  <si>
    <t>Вид учета</t>
  </si>
  <si>
    <t xml:space="preserve">Хоменко Віталій </t>
  </si>
  <si>
    <t>Грунковський В.</t>
  </si>
  <si>
    <t>Шумко А.</t>
  </si>
  <si>
    <t>Пахалков Ю.</t>
  </si>
  <si>
    <t>Бубцов С</t>
  </si>
  <si>
    <t>Направление дохода</t>
  </si>
  <si>
    <t>Топливо остаток</t>
  </si>
  <si>
    <t>В дороге</t>
  </si>
  <si>
    <t>Отработано на объекте</t>
  </si>
  <si>
    <t>Отработано на объекте на другого подрядчика</t>
  </si>
  <si>
    <t>Отработано на объекте ремонт</t>
  </si>
  <si>
    <t>Сторонний заказчик</t>
  </si>
  <si>
    <t>Контрагент заказчик</t>
  </si>
  <si>
    <t>Направление расхода</t>
  </si>
  <si>
    <t>Главный офис</t>
  </si>
  <si>
    <t>Васіліу Р.</t>
  </si>
  <si>
    <t>Пахалков С.</t>
  </si>
  <si>
    <t>Гончаренко В.</t>
  </si>
  <si>
    <t>gps фиксирует слив - 203  л</t>
  </si>
  <si>
    <t>gps фиксирует слив - 596  л</t>
  </si>
  <si>
    <t>gps фиксирует слив - 27,21  л</t>
  </si>
  <si>
    <t>gps фиксирует слив - 57  л</t>
  </si>
  <si>
    <t>gps фиксирует слив - 10 л</t>
  </si>
  <si>
    <t xml:space="preserve">gps фиксирует слив - 267  л , </t>
  </si>
  <si>
    <t xml:space="preserve">нет данных по моточасам на начало </t>
  </si>
  <si>
    <t>Декабрь</t>
  </si>
  <si>
    <t>Телескоп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</si>
</sst>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9]mmmm\ yyyy;@"/>
    <numFmt numFmtId="165" formatCode="0.0%"/>
    <numFmt numFmtId="166" formatCode="###\ ###\ ##0.00"/>
    <numFmt numFmtId="167" formatCode="#0.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333333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33333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indexed="63"/>
      <name val="Calibri"/>
      <family val="2"/>
      <charset val="204"/>
      <scheme val="minor"/>
    </font>
    <font>
      <sz val="8"/>
      <color indexed="63"/>
      <name val="Arial"/>
      <family val="2"/>
    </font>
    <font>
      <sz val="11"/>
      <name val="Calibri"/>
      <family val="2"/>
      <scheme val="minor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0"/>
      <color rgb="FF000000"/>
      <name val="Arial"/>
      <family val="2"/>
    </font>
    <font>
      <b/>
      <sz val="8"/>
      <color rgb="FF333333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u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color indexed="63"/>
      <name val="Arial"/>
      <family val="2"/>
      <charset val="204"/>
    </font>
    <font>
      <sz val="11"/>
      <name val="Calibri"/>
      <family val="2"/>
      <charset val="204"/>
    </font>
    <font>
      <sz val="10"/>
      <color indexed="24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39">
    <xf numFmtId="0" fontId="0" fillId="0" borderId="0"/>
    <xf numFmtId="0" fontId="12" fillId="0" borderId="0"/>
    <xf numFmtId="0" fontId="15" fillId="0" borderId="0"/>
    <xf numFmtId="0" fontId="9" fillId="0" borderId="0"/>
    <xf numFmtId="0" fontId="27" fillId="0" borderId="0"/>
    <xf numFmtId="43" fontId="33" fillId="0" borderId="0" applyFont="0" applyFill="0" applyBorder="0" applyAlignment="0" applyProtection="0"/>
    <xf numFmtId="0" fontId="15" fillId="0" borderId="0"/>
    <xf numFmtId="0" fontId="7" fillId="0" borderId="0"/>
    <xf numFmtId="0" fontId="36" fillId="0" borderId="0"/>
    <xf numFmtId="0" fontId="7" fillId="0" borderId="0"/>
    <xf numFmtId="0" fontId="15" fillId="0" borderId="0"/>
    <xf numFmtId="0" fontId="6" fillId="0" borderId="0"/>
    <xf numFmtId="0" fontId="6" fillId="0" borderId="0"/>
    <xf numFmtId="43" fontId="33" fillId="0" borderId="0" applyFont="0" applyFill="0" applyBorder="0" applyAlignment="0" applyProtection="0"/>
    <xf numFmtId="0" fontId="47" fillId="0" borderId="0"/>
    <xf numFmtId="0" fontId="5" fillId="0" borderId="0"/>
    <xf numFmtId="0" fontId="5" fillId="0" borderId="0"/>
    <xf numFmtId="43" fontId="33" fillId="0" borderId="0" applyFont="0" applyFill="0" applyBorder="0" applyAlignment="0" applyProtection="0"/>
    <xf numFmtId="0" fontId="4" fillId="0" borderId="0"/>
    <xf numFmtId="0" fontId="12" fillId="0" borderId="0"/>
    <xf numFmtId="43" fontId="3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33" fillId="0" borderId="0" applyFont="0" applyFill="0" applyBorder="0" applyAlignment="0" applyProtection="0"/>
    <xf numFmtId="0" fontId="36" fillId="0" borderId="0"/>
    <xf numFmtId="0" fontId="4" fillId="0" borderId="0"/>
    <xf numFmtId="0" fontId="4" fillId="0" borderId="0"/>
    <xf numFmtId="43" fontId="33" fillId="0" borderId="0" applyFont="0" applyFill="0" applyBorder="0" applyAlignment="0" applyProtection="0"/>
    <xf numFmtId="0" fontId="49" fillId="0" borderId="0"/>
    <xf numFmtId="0" fontId="3" fillId="0" borderId="0"/>
    <xf numFmtId="0" fontId="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" fillId="0" borderId="0"/>
    <xf numFmtId="0" fontId="2" fillId="0" borderId="0"/>
    <xf numFmtId="43" fontId="33" fillId="0" borderId="0" applyFont="0" applyFill="0" applyBorder="0" applyAlignment="0" applyProtection="0"/>
    <xf numFmtId="0" fontId="15" fillId="0" borderId="0"/>
  </cellStyleXfs>
  <cellXfs count="497">
    <xf numFmtId="0" fontId="0" fillId="0" borderId="0" xfId="0"/>
    <xf numFmtId="0" fontId="0" fillId="0" borderId="3" xfId="0" applyBorder="1"/>
    <xf numFmtId="0" fontId="13" fillId="0" borderId="15" xfId="1" applyFont="1" applyBorder="1" applyAlignment="1">
      <alignment horizontal="left" vertical="top"/>
    </xf>
    <xf numFmtId="0" fontId="12" fillId="0" borderId="1" xfId="1" applyBorder="1"/>
    <xf numFmtId="3" fontId="12" fillId="0" borderId="18" xfId="1" applyNumberFormat="1" applyBorder="1"/>
    <xf numFmtId="0" fontId="12" fillId="0" borderId="16" xfId="1" applyBorder="1"/>
    <xf numFmtId="0" fontId="12" fillId="0" borderId="21" xfId="1" applyBorder="1"/>
    <xf numFmtId="3" fontId="12" fillId="0" borderId="22" xfId="1" applyNumberFormat="1" applyBorder="1"/>
    <xf numFmtId="3" fontId="12" fillId="0" borderId="21" xfId="1" applyNumberFormat="1" applyBorder="1"/>
    <xf numFmtId="0" fontId="12" fillId="0" borderId="3" xfId="1" applyBorder="1"/>
    <xf numFmtId="0" fontId="13" fillId="0" borderId="24" xfId="1" applyFont="1" applyBorder="1" applyAlignment="1">
      <alignment horizontal="left" vertical="top"/>
    </xf>
    <xf numFmtId="0" fontId="14" fillId="0" borderId="0" xfId="0" applyFont="1"/>
    <xf numFmtId="3" fontId="12" fillId="0" borderId="3" xfId="1" applyNumberFormat="1" applyBorder="1"/>
    <xf numFmtId="0" fontId="13" fillId="0" borderId="11" xfId="1" applyFont="1" applyBorder="1" applyAlignment="1">
      <alignment horizontal="left" vertical="top"/>
    </xf>
    <xf numFmtId="0" fontId="12" fillId="0" borderId="9" xfId="1" applyBorder="1"/>
    <xf numFmtId="3" fontId="12" fillId="0" borderId="27" xfId="1" applyNumberFormat="1" applyBorder="1"/>
    <xf numFmtId="3" fontId="12" fillId="0" borderId="9" xfId="1" applyNumberFormat="1" applyBorder="1"/>
    <xf numFmtId="1" fontId="0" fillId="0" borderId="0" xfId="0" applyNumberFormat="1"/>
    <xf numFmtId="0" fontId="13" fillId="3" borderId="3" xfId="1" applyFont="1" applyFill="1" applyBorder="1" applyAlignment="1">
      <alignment horizontal="left" vertical="top"/>
    </xf>
    <xf numFmtId="4" fontId="12" fillId="0" borderId="3" xfId="1" applyNumberFormat="1" applyBorder="1"/>
    <xf numFmtId="3" fontId="0" fillId="0" borderId="0" xfId="0" applyNumberFormat="1"/>
    <xf numFmtId="0" fontId="16" fillId="0" borderId="21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left" vertical="top"/>
    </xf>
    <xf numFmtId="0" fontId="13" fillId="0" borderId="26" xfId="1" applyFont="1" applyBorder="1" applyAlignment="1">
      <alignment horizontal="left" vertical="top"/>
    </xf>
    <xf numFmtId="3" fontId="16" fillId="4" borderId="32" xfId="1" applyNumberFormat="1" applyFont="1" applyFill="1" applyBorder="1"/>
    <xf numFmtId="0" fontId="13" fillId="0" borderId="33" xfId="1" applyFont="1" applyBorder="1" applyAlignment="1">
      <alignment horizontal="left" vertical="top"/>
    </xf>
    <xf numFmtId="0" fontId="13" fillId="0" borderId="34" xfId="1" applyFont="1" applyBorder="1" applyAlignment="1">
      <alignment horizontal="left" vertical="top"/>
    </xf>
    <xf numFmtId="0" fontId="13" fillId="0" borderId="35" xfId="1" applyFont="1" applyBorder="1" applyAlignment="1">
      <alignment horizontal="left" vertical="top"/>
    </xf>
    <xf numFmtId="0" fontId="13" fillId="0" borderId="13" xfId="1" applyFont="1" applyBorder="1" applyAlignment="1">
      <alignment horizontal="left" vertical="top"/>
    </xf>
    <xf numFmtId="3" fontId="12" fillId="0" borderId="16" xfId="1" applyNumberFormat="1" applyBorder="1"/>
    <xf numFmtId="4" fontId="0" fillId="0" borderId="0" xfId="0" applyNumberFormat="1"/>
    <xf numFmtId="3" fontId="10" fillId="4" borderId="36" xfId="0" applyNumberFormat="1" applyFont="1" applyFill="1" applyBorder="1"/>
    <xf numFmtId="0" fontId="13" fillId="0" borderId="7" xfId="1" applyFont="1" applyBorder="1" applyAlignment="1">
      <alignment horizontal="left" vertical="top"/>
    </xf>
    <xf numFmtId="0" fontId="16" fillId="2" borderId="36" xfId="1" applyFont="1" applyFill="1" applyBorder="1"/>
    <xf numFmtId="3" fontId="16" fillId="2" borderId="36" xfId="1" applyNumberFormat="1" applyFont="1" applyFill="1" applyBorder="1"/>
    <xf numFmtId="0" fontId="19" fillId="5" borderId="9" xfId="1" applyFont="1" applyFill="1" applyBorder="1" applyAlignment="1">
      <alignment horizontal="center" vertical="center" wrapText="1"/>
    </xf>
    <xf numFmtId="164" fontId="19" fillId="5" borderId="4" xfId="1" applyNumberFormat="1" applyFont="1" applyFill="1" applyBorder="1" applyAlignment="1">
      <alignment horizontal="center" vertical="center" wrapText="1"/>
    </xf>
    <xf numFmtId="0" fontId="19" fillId="5" borderId="10" xfId="1" applyFont="1" applyFill="1" applyBorder="1" applyAlignment="1">
      <alignment horizontal="center" vertical="center" wrapText="1"/>
    </xf>
    <xf numFmtId="3" fontId="19" fillId="5" borderId="11" xfId="1" applyNumberFormat="1" applyFont="1" applyFill="1" applyBorder="1" applyAlignment="1">
      <alignment horizontal="center" vertical="center" wrapText="1"/>
    </xf>
    <xf numFmtId="3" fontId="19" fillId="5" borderId="9" xfId="1" applyNumberFormat="1" applyFont="1" applyFill="1" applyBorder="1" applyAlignment="1">
      <alignment horizontal="center" vertical="center" wrapText="1"/>
    </xf>
    <xf numFmtId="0" fontId="19" fillId="5" borderId="12" xfId="1" applyFont="1" applyFill="1" applyBorder="1" applyAlignment="1">
      <alignment horizontal="center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9" fillId="5" borderId="3" xfId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left" vertical="top"/>
    </xf>
    <xf numFmtId="164" fontId="20" fillId="0" borderId="4" xfId="1" applyNumberFormat="1" applyFont="1" applyBorder="1"/>
    <xf numFmtId="0" fontId="20" fillId="0" borderId="4" xfId="1" applyFont="1" applyBorder="1"/>
    <xf numFmtId="1" fontId="20" fillId="0" borderId="4" xfId="1" applyNumberFormat="1" applyFont="1" applyBorder="1"/>
    <xf numFmtId="1" fontId="20" fillId="0" borderId="13" xfId="1" applyNumberFormat="1" applyFont="1" applyBorder="1"/>
    <xf numFmtId="3" fontId="20" fillId="0" borderId="14" xfId="1" applyNumberFormat="1" applyFont="1" applyBorder="1"/>
    <xf numFmtId="3" fontId="20" fillId="0" borderId="4" xfId="1" applyNumberFormat="1" applyFont="1" applyBorder="1"/>
    <xf numFmtId="2" fontId="22" fillId="0" borderId="4" xfId="0" applyNumberFormat="1" applyFont="1" applyBorder="1"/>
    <xf numFmtId="0" fontId="22" fillId="0" borderId="0" xfId="0" applyFont="1"/>
    <xf numFmtId="0" fontId="21" fillId="0" borderId="15" xfId="1" applyFont="1" applyBorder="1" applyAlignment="1">
      <alignment horizontal="left" vertical="top"/>
    </xf>
    <xf numFmtId="164" fontId="20" fillId="0" borderId="16" xfId="1" applyNumberFormat="1" applyFont="1" applyBorder="1"/>
    <xf numFmtId="0" fontId="20" fillId="0" borderId="1" xfId="1" applyFont="1" applyBorder="1"/>
    <xf numFmtId="1" fontId="20" fillId="0" borderId="1" xfId="1" applyNumberFormat="1" applyFont="1" applyBorder="1"/>
    <xf numFmtId="1" fontId="20" fillId="0" borderId="17" xfId="1" applyNumberFormat="1" applyFont="1" applyBorder="1"/>
    <xf numFmtId="3" fontId="20" fillId="0" borderId="18" xfId="1" applyNumberFormat="1" applyFont="1" applyBorder="1"/>
    <xf numFmtId="3" fontId="20" fillId="0" borderId="1" xfId="1" applyNumberFormat="1" applyFont="1" applyBorder="1"/>
    <xf numFmtId="0" fontId="20" fillId="0" borderId="16" xfId="1" applyFont="1" applyBorder="1"/>
    <xf numFmtId="3" fontId="20" fillId="0" borderId="19" xfId="1" applyNumberFormat="1" applyFont="1" applyBorder="1"/>
    <xf numFmtId="0" fontId="24" fillId="0" borderId="20" xfId="2" applyFont="1" applyBorder="1" applyAlignment="1">
      <alignment horizontal="left" vertical="top"/>
    </xf>
    <xf numFmtId="164" fontId="20" fillId="0" borderId="3" xfId="1" applyNumberFormat="1" applyFont="1" applyBorder="1"/>
    <xf numFmtId="0" fontId="20" fillId="0" borderId="21" xfId="1" applyFont="1" applyBorder="1"/>
    <xf numFmtId="1" fontId="20" fillId="0" borderId="21" xfId="1" applyNumberFormat="1" applyFont="1" applyBorder="1"/>
    <xf numFmtId="0" fontId="20" fillId="0" borderId="13" xfId="1" applyFont="1" applyBorder="1"/>
    <xf numFmtId="3" fontId="20" fillId="0" borderId="22" xfId="1" applyNumberFormat="1" applyFont="1" applyBorder="1"/>
    <xf numFmtId="3" fontId="20" fillId="0" borderId="21" xfId="1" applyNumberFormat="1" applyFont="1" applyBorder="1"/>
    <xf numFmtId="0" fontId="20" fillId="0" borderId="3" xfId="1" applyFont="1" applyBorder="1"/>
    <xf numFmtId="3" fontId="20" fillId="0" borderId="23" xfId="1" applyNumberFormat="1" applyFont="1" applyBorder="1"/>
    <xf numFmtId="0" fontId="21" fillId="0" borderId="24" xfId="1" applyFont="1" applyBorder="1" applyAlignment="1">
      <alignment horizontal="left" vertical="top"/>
    </xf>
    <xf numFmtId="2" fontId="20" fillId="0" borderId="3" xfId="0" applyNumberFormat="1" applyFont="1" applyBorder="1"/>
    <xf numFmtId="2" fontId="23" fillId="0" borderId="3" xfId="0" applyNumberFormat="1" applyFont="1" applyBorder="1"/>
    <xf numFmtId="3" fontId="20" fillId="0" borderId="3" xfId="1" applyNumberFormat="1" applyFont="1" applyBorder="1"/>
    <xf numFmtId="164" fontId="20" fillId="0" borderId="9" xfId="1" applyNumberFormat="1" applyFont="1" applyBorder="1"/>
    <xf numFmtId="0" fontId="20" fillId="0" borderId="9" xfId="1" applyFont="1" applyBorder="1"/>
    <xf numFmtId="1" fontId="20" fillId="0" borderId="9" xfId="1" applyNumberFormat="1" applyFont="1" applyBorder="1"/>
    <xf numFmtId="3" fontId="20" fillId="0" borderId="27" xfId="1" applyNumberFormat="1" applyFont="1" applyBorder="1"/>
    <xf numFmtId="3" fontId="20" fillId="0" borderId="9" xfId="1" applyNumberFormat="1" applyFont="1" applyBorder="1"/>
    <xf numFmtId="0" fontId="21" fillId="3" borderId="9" xfId="1" applyFont="1" applyFill="1" applyBorder="1" applyAlignment="1">
      <alignment horizontal="left" vertical="top"/>
    </xf>
    <xf numFmtId="3" fontId="20" fillId="0" borderId="28" xfId="1" applyNumberFormat="1" applyFont="1" applyBorder="1"/>
    <xf numFmtId="0" fontId="21" fillId="0" borderId="29" xfId="1" applyFont="1" applyBorder="1" applyAlignment="1">
      <alignment horizontal="left" vertical="top"/>
    </xf>
    <xf numFmtId="164" fontId="20" fillId="0" borderId="5" xfId="1" applyNumberFormat="1" applyFont="1" applyBorder="1"/>
    <xf numFmtId="0" fontId="20" fillId="0" borderId="2" xfId="1" applyFont="1" applyBorder="1"/>
    <xf numFmtId="1" fontId="20" fillId="0" borderId="2" xfId="1" applyNumberFormat="1" applyFont="1" applyBorder="1"/>
    <xf numFmtId="0" fontId="20" fillId="0" borderId="30" xfId="1" applyFont="1" applyBorder="1"/>
    <xf numFmtId="3" fontId="20" fillId="0" borderId="6" xfId="1" applyNumberFormat="1" applyFont="1" applyBorder="1"/>
    <xf numFmtId="0" fontId="20" fillId="0" borderId="29" xfId="1" applyFont="1" applyBorder="1"/>
    <xf numFmtId="3" fontId="20" fillId="0" borderId="31" xfId="1" applyNumberFormat="1" applyFont="1" applyBorder="1"/>
    <xf numFmtId="0" fontId="21" fillId="3" borderId="29" xfId="1" applyFont="1" applyFill="1" applyBorder="1" applyAlignment="1">
      <alignment horizontal="left" vertical="top"/>
    </xf>
    <xf numFmtId="0" fontId="21" fillId="3" borderId="0" xfId="1" applyFont="1" applyFill="1" applyAlignment="1">
      <alignment horizontal="left" vertical="top"/>
    </xf>
    <xf numFmtId="0" fontId="22" fillId="0" borderId="5" xfId="0" applyFont="1" applyBorder="1"/>
    <xf numFmtId="0" fontId="19" fillId="0" borderId="3" xfId="1" applyFont="1" applyBorder="1"/>
    <xf numFmtId="1" fontId="19" fillId="0" borderId="3" xfId="1" applyNumberFormat="1" applyFont="1" applyBorder="1"/>
    <xf numFmtId="2" fontId="20" fillId="0" borderId="16" xfId="0" applyNumberFormat="1" applyFont="1" applyBorder="1"/>
    <xf numFmtId="2" fontId="23" fillId="0" borderId="9" xfId="0" applyNumberFormat="1" applyFont="1" applyBorder="1"/>
    <xf numFmtId="3" fontId="23" fillId="0" borderId="23" xfId="1" applyNumberFormat="1" applyFont="1" applyBorder="1"/>
    <xf numFmtId="1" fontId="20" fillId="0" borderId="26" xfId="1" applyNumberFormat="1" applyFont="1" applyBorder="1"/>
    <xf numFmtId="3" fontId="23" fillId="0" borderId="28" xfId="1" applyNumberFormat="1" applyFont="1" applyBorder="1"/>
    <xf numFmtId="0" fontId="20" fillId="0" borderId="24" xfId="1" applyFont="1" applyBorder="1" applyAlignment="1">
      <alignment horizontal="left" vertical="top"/>
    </xf>
    <xf numFmtId="0" fontId="20" fillId="0" borderId="25" xfId="1" applyFont="1" applyBorder="1"/>
    <xf numFmtId="0" fontId="20" fillId="0" borderId="11" xfId="1" applyFont="1" applyBorder="1" applyAlignment="1">
      <alignment horizontal="left" vertical="top"/>
    </xf>
    <xf numFmtId="2" fontId="0" fillId="0" borderId="0" xfId="0" applyNumberFormat="1"/>
    <xf numFmtId="3" fontId="20" fillId="0" borderId="23" xfId="1" applyNumberFormat="1" applyFont="1" applyBorder="1" applyAlignment="1">
      <alignment wrapText="1"/>
    </xf>
    <xf numFmtId="2" fontId="20" fillId="0" borderId="9" xfId="0" applyNumberFormat="1" applyFont="1" applyBorder="1"/>
    <xf numFmtId="0" fontId="12" fillId="0" borderId="37" xfId="1" applyBorder="1"/>
    <xf numFmtId="1" fontId="22" fillId="0" borderId="0" xfId="0" applyNumberFormat="1" applyFont="1"/>
    <xf numFmtId="164" fontId="19" fillId="5" borderId="38" xfId="1" applyNumberFormat="1" applyFont="1" applyFill="1" applyBorder="1" applyAlignment="1">
      <alignment horizontal="center" vertical="center" wrapText="1"/>
    </xf>
    <xf numFmtId="0" fontId="19" fillId="5" borderId="38" xfId="1" applyFont="1" applyFill="1" applyBorder="1" applyAlignment="1">
      <alignment horizontal="center" vertical="center" wrapText="1"/>
    </xf>
    <xf numFmtId="164" fontId="20" fillId="0" borderId="38" xfId="1" applyNumberFormat="1" applyFont="1" applyBorder="1"/>
    <xf numFmtId="0" fontId="20" fillId="0" borderId="38" xfId="1" applyFont="1" applyBorder="1"/>
    <xf numFmtId="1" fontId="20" fillId="0" borderId="38" xfId="1" applyNumberFormat="1" applyFont="1" applyBorder="1"/>
    <xf numFmtId="3" fontId="20" fillId="0" borderId="39" xfId="1" applyNumberFormat="1" applyFont="1" applyBorder="1"/>
    <xf numFmtId="3" fontId="20" fillId="0" borderId="38" xfId="1" applyNumberFormat="1" applyFont="1" applyBorder="1"/>
    <xf numFmtId="2" fontId="22" fillId="0" borderId="38" xfId="0" applyNumberFormat="1" applyFont="1" applyBorder="1"/>
    <xf numFmtId="0" fontId="24" fillId="0" borderId="40" xfId="2" applyFont="1" applyBorder="1" applyAlignment="1">
      <alignment horizontal="left" vertical="top"/>
    </xf>
    <xf numFmtId="3" fontId="20" fillId="0" borderId="41" xfId="1" applyNumberFormat="1" applyFont="1" applyBorder="1"/>
    <xf numFmtId="3" fontId="23" fillId="0" borderId="41" xfId="1" applyNumberFormat="1" applyFont="1" applyBorder="1"/>
    <xf numFmtId="3" fontId="20" fillId="0" borderId="41" xfId="1" applyNumberFormat="1" applyFont="1" applyBorder="1" applyAlignment="1">
      <alignment wrapText="1"/>
    </xf>
    <xf numFmtId="0" fontId="16" fillId="0" borderId="38" xfId="1" applyFont="1" applyBorder="1" applyAlignment="1">
      <alignment horizontal="center" vertical="center" wrapText="1"/>
    </xf>
    <xf numFmtId="0" fontId="12" fillId="0" borderId="38" xfId="1" applyBorder="1"/>
    <xf numFmtId="3" fontId="12" fillId="0" borderId="39" xfId="1" applyNumberFormat="1" applyBorder="1"/>
    <xf numFmtId="3" fontId="12" fillId="0" borderId="38" xfId="1" applyNumberFormat="1" applyBorder="1"/>
    <xf numFmtId="0" fontId="20" fillId="0" borderId="37" xfId="1" applyFont="1" applyBorder="1"/>
    <xf numFmtId="1" fontId="20" fillId="0" borderId="37" xfId="1" applyNumberFormat="1" applyFont="1" applyBorder="1"/>
    <xf numFmtId="3" fontId="20" fillId="0" borderId="37" xfId="1" applyNumberFormat="1" applyFont="1" applyBorder="1"/>
    <xf numFmtId="0" fontId="16" fillId="0" borderId="37" xfId="1" applyFont="1" applyBorder="1" applyAlignment="1">
      <alignment horizontal="center" vertical="center" wrapText="1"/>
    </xf>
    <xf numFmtId="3" fontId="12" fillId="0" borderId="37" xfId="1" applyNumberFormat="1" applyBorder="1"/>
    <xf numFmtId="0" fontId="12" fillId="0" borderId="9" xfId="1" applyBorder="1" applyAlignment="1">
      <alignment horizontal="center" vertical="center" wrapText="1"/>
    </xf>
    <xf numFmtId="164" fontId="12" fillId="0" borderId="37" xfId="1" applyNumberFormat="1" applyBorder="1" applyAlignment="1">
      <alignment horizontal="center" vertical="center" wrapText="1"/>
    </xf>
    <xf numFmtId="0" fontId="12" fillId="2" borderId="9" xfId="1" applyFill="1" applyBorder="1" applyAlignment="1">
      <alignment horizontal="center" vertical="center" wrapText="1"/>
    </xf>
    <xf numFmtId="0" fontId="12" fillId="0" borderId="10" xfId="1" applyBorder="1" applyAlignment="1">
      <alignment horizontal="center" vertical="center" wrapText="1"/>
    </xf>
    <xf numFmtId="3" fontId="12" fillId="2" borderId="11" xfId="1" applyNumberFormat="1" applyFill="1" applyBorder="1" applyAlignment="1">
      <alignment horizontal="center" vertical="center" wrapText="1"/>
    </xf>
    <xf numFmtId="3" fontId="12" fillId="0" borderId="9" xfId="1" applyNumberFormat="1" applyBorder="1" applyAlignment="1">
      <alignment horizontal="center" vertical="center" wrapText="1"/>
    </xf>
    <xf numFmtId="0" fontId="12" fillId="0" borderId="12" xfId="1" applyBorder="1" applyAlignment="1">
      <alignment horizontal="center" vertical="center" wrapText="1"/>
    </xf>
    <xf numFmtId="0" fontId="12" fillId="0" borderId="37" xfId="1" applyBorder="1" applyAlignment="1">
      <alignment horizontal="center" vertical="center" wrapText="1"/>
    </xf>
    <xf numFmtId="0" fontId="12" fillId="6" borderId="37" xfId="1" applyFill="1" applyBorder="1" applyAlignment="1">
      <alignment horizontal="center" vertical="center" wrapText="1"/>
    </xf>
    <xf numFmtId="0" fontId="12" fillId="0" borderId="3" xfId="1" applyBorder="1" applyAlignment="1">
      <alignment horizontal="center" vertical="center" wrapText="1"/>
    </xf>
    <xf numFmtId="0" fontId="12" fillId="0" borderId="6" xfId="1" applyBorder="1" applyAlignment="1">
      <alignment horizontal="center" vertical="center" wrapText="1"/>
    </xf>
    <xf numFmtId="0" fontId="13" fillId="0" borderId="16" xfId="1" applyFont="1" applyBorder="1" applyAlignment="1">
      <alignment horizontal="left" vertical="top"/>
    </xf>
    <xf numFmtId="164" fontId="12" fillId="0" borderId="3" xfId="1" applyNumberFormat="1" applyBorder="1"/>
    <xf numFmtId="1" fontId="12" fillId="0" borderId="37" xfId="1" applyNumberFormat="1" applyBorder="1"/>
    <xf numFmtId="1" fontId="12" fillId="0" borderId="13" xfId="1" applyNumberFormat="1" applyBorder="1"/>
    <xf numFmtId="2" fontId="0" fillId="0" borderId="3" xfId="0" applyNumberFormat="1" applyBorder="1"/>
    <xf numFmtId="0" fontId="12" fillId="0" borderId="13" xfId="1" applyBorder="1"/>
    <xf numFmtId="2" fontId="14" fillId="0" borderId="3" xfId="0" applyNumberFormat="1" applyFont="1" applyBorder="1"/>
    <xf numFmtId="0" fontId="25" fillId="0" borderId="42" xfId="2" applyFont="1" applyBorder="1" applyAlignment="1">
      <alignment horizontal="left" vertical="top"/>
    </xf>
    <xf numFmtId="2" fontId="26" fillId="0" borderId="3" xfId="0" applyNumberFormat="1" applyFont="1" applyBorder="1"/>
    <xf numFmtId="0" fontId="12" fillId="0" borderId="43" xfId="1" applyBorder="1"/>
    <xf numFmtId="3" fontId="12" fillId="0" borderId="44" xfId="1" applyNumberFormat="1" applyBorder="1"/>
    <xf numFmtId="0" fontId="13" fillId="3" borderId="0" xfId="1" applyFont="1" applyFill="1" applyAlignment="1">
      <alignment horizontal="left" vertical="top"/>
    </xf>
    <xf numFmtId="0" fontId="13" fillId="0" borderId="9" xfId="1" applyFont="1" applyBorder="1" applyAlignment="1">
      <alignment horizontal="left" vertical="top"/>
    </xf>
    <xf numFmtId="3" fontId="12" fillId="0" borderId="10" xfId="1" applyNumberFormat="1" applyBorder="1"/>
    <xf numFmtId="0" fontId="13" fillId="3" borderId="9" xfId="1" applyFont="1" applyFill="1" applyBorder="1" applyAlignment="1">
      <alignment horizontal="left" vertical="top"/>
    </xf>
    <xf numFmtId="0" fontId="16" fillId="0" borderId="3" xfId="1" applyFont="1" applyBorder="1"/>
    <xf numFmtId="1" fontId="16" fillId="0" borderId="3" xfId="1" applyNumberFormat="1" applyFont="1" applyBorder="1"/>
    <xf numFmtId="0" fontId="13" fillId="0" borderId="45" xfId="1" applyFont="1" applyBorder="1" applyAlignment="1">
      <alignment horizontal="left" vertical="top"/>
    </xf>
    <xf numFmtId="0" fontId="13" fillId="0" borderId="46" xfId="1" applyFont="1" applyBorder="1" applyAlignment="1">
      <alignment horizontal="left" vertical="top"/>
    </xf>
    <xf numFmtId="0" fontId="13" fillId="0" borderId="47" xfId="1" applyFont="1" applyBorder="1" applyAlignment="1">
      <alignment horizontal="left" vertical="top"/>
    </xf>
    <xf numFmtId="0" fontId="12" fillId="0" borderId="2" xfId="1" applyBorder="1"/>
    <xf numFmtId="3" fontId="12" fillId="0" borderId="6" xfId="1" applyNumberFormat="1" applyBorder="1"/>
    <xf numFmtId="0" fontId="13" fillId="0" borderId="5" xfId="1" applyFont="1" applyBorder="1" applyAlignment="1">
      <alignment horizontal="left" vertical="top"/>
    </xf>
    <xf numFmtId="4" fontId="13" fillId="0" borderId="3" xfId="1" applyNumberFormat="1" applyFont="1" applyBorder="1" applyAlignment="1">
      <alignment horizontal="left" vertical="top"/>
    </xf>
    <xf numFmtId="2" fontId="12" fillId="0" borderId="1" xfId="1" applyNumberFormat="1" applyBorder="1"/>
    <xf numFmtId="2" fontId="12" fillId="0" borderId="3" xfId="1" applyNumberFormat="1" applyBorder="1"/>
    <xf numFmtId="0" fontId="21" fillId="0" borderId="3" xfId="1" applyFont="1" applyBorder="1" applyAlignment="1">
      <alignment horizontal="left" vertical="top"/>
    </xf>
    <xf numFmtId="0" fontId="28" fillId="0" borderId="3" xfId="1" applyFont="1" applyBorder="1"/>
    <xf numFmtId="0" fontId="12" fillId="0" borderId="48" xfId="1" applyBorder="1"/>
    <xf numFmtId="3" fontId="12" fillId="0" borderId="48" xfId="1" applyNumberFormat="1" applyBorder="1"/>
    <xf numFmtId="0" fontId="13" fillId="0" borderId="50" xfId="1" applyFont="1" applyBorder="1" applyAlignment="1">
      <alignment horizontal="left" vertical="top"/>
    </xf>
    <xf numFmtId="0" fontId="12" fillId="0" borderId="29" xfId="1" applyBorder="1"/>
    <xf numFmtId="3" fontId="12" fillId="0" borderId="51" xfId="1" applyNumberFormat="1" applyBorder="1"/>
    <xf numFmtId="3" fontId="12" fillId="0" borderId="52" xfId="1" applyNumberFormat="1" applyBorder="1"/>
    <xf numFmtId="4" fontId="13" fillId="0" borderId="33" xfId="1" applyNumberFormat="1" applyFont="1" applyBorder="1" applyAlignment="1">
      <alignment horizontal="left" vertical="top"/>
    </xf>
    <xf numFmtId="3" fontId="12" fillId="0" borderId="49" xfId="1" applyNumberFormat="1" applyBorder="1"/>
    <xf numFmtId="4" fontId="13" fillId="0" borderId="34" xfId="1" applyNumberFormat="1" applyFont="1" applyBorder="1" applyAlignment="1">
      <alignment horizontal="left" vertical="top"/>
    </xf>
    <xf numFmtId="2" fontId="16" fillId="2" borderId="36" xfId="1" applyNumberFormat="1" applyFont="1" applyFill="1" applyBorder="1"/>
    <xf numFmtId="164" fontId="19" fillId="5" borderId="48" xfId="1" applyNumberFormat="1" applyFont="1" applyFill="1" applyBorder="1" applyAlignment="1">
      <alignment horizontal="center" vertical="center" wrapText="1"/>
    </xf>
    <xf numFmtId="0" fontId="19" fillId="5" borderId="48" xfId="1" applyFont="1" applyFill="1" applyBorder="1" applyAlignment="1">
      <alignment horizontal="center" vertical="center" wrapText="1"/>
    </xf>
    <xf numFmtId="164" fontId="20" fillId="0" borderId="48" xfId="1" applyNumberFormat="1" applyFont="1" applyBorder="1"/>
    <xf numFmtId="0" fontId="20" fillId="0" borderId="48" xfId="1" applyFont="1" applyBorder="1"/>
    <xf numFmtId="1" fontId="20" fillId="0" borderId="48" xfId="1" applyNumberFormat="1" applyFont="1" applyBorder="1"/>
    <xf numFmtId="3" fontId="20" fillId="0" borderId="49" xfId="1" applyNumberFormat="1" applyFont="1" applyBorder="1"/>
    <xf numFmtId="3" fontId="20" fillId="0" borderId="48" xfId="1" applyNumberFormat="1" applyFont="1" applyBorder="1"/>
    <xf numFmtId="2" fontId="22" fillId="0" borderId="48" xfId="0" applyNumberFormat="1" applyFont="1" applyBorder="1"/>
    <xf numFmtId="3" fontId="23" fillId="0" borderId="53" xfId="1" applyNumberFormat="1" applyFont="1" applyBorder="1"/>
    <xf numFmtId="0" fontId="24" fillId="0" borderId="54" xfId="2" applyFont="1" applyBorder="1" applyAlignment="1">
      <alignment horizontal="left" vertical="top"/>
    </xf>
    <xf numFmtId="3" fontId="20" fillId="0" borderId="53" xfId="1" applyNumberFormat="1" applyFont="1" applyBorder="1"/>
    <xf numFmtId="3" fontId="20" fillId="0" borderId="53" xfId="1" applyNumberFormat="1" applyFont="1" applyBorder="1" applyAlignment="1">
      <alignment wrapText="1"/>
    </xf>
    <xf numFmtId="0" fontId="16" fillId="0" borderId="48" xfId="1" applyFont="1" applyBorder="1" applyAlignment="1">
      <alignment horizontal="center" vertical="center" wrapText="1"/>
    </xf>
    <xf numFmtId="2" fontId="22" fillId="0" borderId="49" xfId="0" applyNumberFormat="1" applyFont="1" applyBorder="1"/>
    <xf numFmtId="0" fontId="30" fillId="0" borderId="15" xfId="1" applyFont="1" applyBorder="1" applyAlignment="1">
      <alignment horizontal="left" vertical="top"/>
    </xf>
    <xf numFmtId="164" fontId="30" fillId="0" borderId="3" xfId="1" applyNumberFormat="1" applyFont="1" applyBorder="1"/>
    <xf numFmtId="0" fontId="30" fillId="0" borderId="1" xfId="1" applyFont="1" applyBorder="1"/>
    <xf numFmtId="1" fontId="30" fillId="0" borderId="21" xfId="1" applyNumberFormat="1" applyFont="1" applyBorder="1"/>
    <xf numFmtId="1" fontId="30" fillId="0" borderId="13" xfId="1" applyNumberFormat="1" applyFont="1" applyBorder="1"/>
    <xf numFmtId="3" fontId="30" fillId="0" borderId="18" xfId="1" applyNumberFormat="1" applyFont="1" applyBorder="1"/>
    <xf numFmtId="3" fontId="30" fillId="0" borderId="1" xfId="1" applyNumberFormat="1" applyFont="1" applyBorder="1"/>
    <xf numFmtId="3" fontId="30" fillId="0" borderId="21" xfId="1" applyNumberFormat="1" applyFont="1" applyBorder="1"/>
    <xf numFmtId="0" fontId="30" fillId="0" borderId="16" xfId="1" applyFont="1" applyBorder="1"/>
    <xf numFmtId="0" fontId="30" fillId="0" borderId="3" xfId="1" applyFont="1" applyBorder="1"/>
    <xf numFmtId="2" fontId="30" fillId="0" borderId="3" xfId="0" applyNumberFormat="1" applyFont="1" applyBorder="1"/>
    <xf numFmtId="2" fontId="30" fillId="0" borderId="49" xfId="0" applyNumberFormat="1" applyFont="1" applyBorder="1"/>
    <xf numFmtId="3" fontId="30" fillId="0" borderId="22" xfId="1" applyNumberFormat="1" applyFont="1" applyBorder="1"/>
    <xf numFmtId="3" fontId="30" fillId="0" borderId="23" xfId="1" applyNumberFormat="1" applyFont="1" applyBorder="1"/>
    <xf numFmtId="3" fontId="30" fillId="0" borderId="19" xfId="1" applyNumberFormat="1" applyFont="1" applyBorder="1"/>
    <xf numFmtId="0" fontId="30" fillId="0" borderId="24" xfId="1" applyFont="1" applyBorder="1" applyAlignment="1">
      <alignment horizontal="left" vertical="top"/>
    </xf>
    <xf numFmtId="0" fontId="30" fillId="0" borderId="21" xfId="1" applyFont="1" applyBorder="1"/>
    <xf numFmtId="3" fontId="30" fillId="0" borderId="23" xfId="1" applyNumberFormat="1" applyFont="1" applyBorder="1" applyAlignment="1">
      <alignment wrapText="1"/>
    </xf>
    <xf numFmtId="3" fontId="29" fillId="0" borderId="22" xfId="1" applyNumberFormat="1" applyFont="1" applyBorder="1"/>
    <xf numFmtId="0" fontId="30" fillId="0" borderId="25" xfId="1" applyFont="1" applyBorder="1"/>
    <xf numFmtId="1" fontId="30" fillId="0" borderId="3" xfId="1" applyNumberFormat="1" applyFont="1" applyBorder="1"/>
    <xf numFmtId="3" fontId="30" fillId="0" borderId="3" xfId="1" applyNumberFormat="1" applyFont="1" applyBorder="1"/>
    <xf numFmtId="0" fontId="30" fillId="0" borderId="11" xfId="1" applyFont="1" applyBorder="1" applyAlignment="1">
      <alignment horizontal="left" vertical="top"/>
    </xf>
    <xf numFmtId="0" fontId="30" fillId="0" borderId="9" xfId="1" applyFont="1" applyBorder="1"/>
    <xf numFmtId="1" fontId="30" fillId="0" borderId="9" xfId="1" applyNumberFormat="1" applyFont="1" applyBorder="1"/>
    <xf numFmtId="1" fontId="30" fillId="0" borderId="26" xfId="1" applyNumberFormat="1" applyFont="1" applyBorder="1"/>
    <xf numFmtId="3" fontId="30" fillId="0" borderId="27" xfId="1" applyNumberFormat="1" applyFont="1" applyBorder="1"/>
    <xf numFmtId="3" fontId="30" fillId="0" borderId="9" xfId="1" applyNumberFormat="1" applyFont="1" applyBorder="1"/>
    <xf numFmtId="0" fontId="30" fillId="0" borderId="9" xfId="1" applyFont="1" applyBorder="1" applyAlignment="1">
      <alignment horizontal="left" vertical="top"/>
    </xf>
    <xf numFmtId="2" fontId="30" fillId="0" borderId="9" xfId="0" applyNumberFormat="1" applyFont="1" applyBorder="1"/>
    <xf numFmtId="2" fontId="29" fillId="0" borderId="3" xfId="0" applyNumberFormat="1" applyFont="1" applyBorder="1"/>
    <xf numFmtId="2" fontId="29" fillId="0" borderId="49" xfId="0" applyNumberFormat="1" applyFont="1" applyBorder="1"/>
    <xf numFmtId="3" fontId="29" fillId="0" borderId="23" xfId="1" applyNumberFormat="1" applyFont="1" applyBorder="1"/>
    <xf numFmtId="4" fontId="20" fillId="0" borderId="49" xfId="1" applyNumberFormat="1" applyFont="1" applyBorder="1"/>
    <xf numFmtId="3" fontId="30" fillId="0" borderId="53" xfId="1" applyNumberFormat="1" applyFont="1" applyBorder="1"/>
    <xf numFmtId="0" fontId="26" fillId="0" borderId="0" xfId="0" applyFont="1"/>
    <xf numFmtId="3" fontId="26" fillId="0" borderId="0" xfId="0" applyNumberFormat="1" applyFont="1"/>
    <xf numFmtId="3" fontId="30" fillId="0" borderId="55" xfId="1" applyNumberFormat="1" applyFont="1" applyBorder="1"/>
    <xf numFmtId="3" fontId="30" fillId="0" borderId="56" xfId="1" applyNumberFormat="1" applyFont="1" applyBorder="1"/>
    <xf numFmtId="3" fontId="30" fillId="0" borderId="56" xfId="1" applyNumberFormat="1" applyFont="1" applyBorder="1" applyAlignment="1">
      <alignment wrapText="1"/>
    </xf>
    <xf numFmtId="3" fontId="20" fillId="0" borderId="56" xfId="1" applyNumberFormat="1" applyFont="1" applyBorder="1"/>
    <xf numFmtId="0" fontId="14" fillId="0" borderId="3" xfId="0" applyFont="1" applyBorder="1"/>
    <xf numFmtId="3" fontId="22" fillId="0" borderId="0" xfId="0" applyNumberFormat="1" applyFont="1"/>
    <xf numFmtId="2" fontId="13" fillId="0" borderId="3" xfId="1" applyNumberFormat="1" applyFont="1" applyBorder="1" applyAlignment="1">
      <alignment horizontal="left" vertical="top"/>
    </xf>
    <xf numFmtId="0" fontId="13" fillId="0" borderId="30" xfId="1" applyFont="1" applyBorder="1" applyAlignment="1">
      <alignment horizontal="left" vertical="top"/>
    </xf>
    <xf numFmtId="1" fontId="30" fillId="0" borderId="57" xfId="1" applyNumberFormat="1" applyFont="1" applyBorder="1"/>
    <xf numFmtId="1" fontId="30" fillId="0" borderId="44" xfId="1" applyNumberFormat="1" applyFont="1" applyBorder="1"/>
    <xf numFmtId="1" fontId="30" fillId="0" borderId="48" xfId="1" applyNumberFormat="1" applyFont="1" applyBorder="1"/>
    <xf numFmtId="0" fontId="30" fillId="0" borderId="48" xfId="1" applyFont="1" applyBorder="1"/>
    <xf numFmtId="0" fontId="30" fillId="0" borderId="35" xfId="1" applyFont="1" applyBorder="1" applyAlignment="1">
      <alignment horizontal="left" vertical="top"/>
    </xf>
    <xf numFmtId="164" fontId="30" fillId="0" borderId="48" xfId="1" applyNumberFormat="1" applyFont="1" applyBorder="1"/>
    <xf numFmtId="1" fontId="30" fillId="0" borderId="58" xfId="1" applyNumberFormat="1" applyFont="1" applyBorder="1"/>
    <xf numFmtId="3" fontId="30" fillId="0" borderId="48" xfId="1" applyNumberFormat="1" applyFont="1" applyBorder="1"/>
    <xf numFmtId="0" fontId="30" fillId="0" borderId="48" xfId="1" applyFont="1" applyBorder="1" applyAlignment="1">
      <alignment horizontal="left" vertical="top"/>
    </xf>
    <xf numFmtId="2" fontId="29" fillId="0" borderId="48" xfId="0" applyNumberFormat="1" applyFont="1" applyBorder="1"/>
    <xf numFmtId="2" fontId="29" fillId="0" borderId="59" xfId="0" applyNumberFormat="1" applyFont="1" applyBorder="1"/>
    <xf numFmtId="3" fontId="29" fillId="0" borderId="59" xfId="1" applyNumberFormat="1" applyFont="1" applyBorder="1"/>
    <xf numFmtId="3" fontId="30" fillId="0" borderId="60" xfId="1" applyNumberFormat="1" applyFont="1" applyBorder="1"/>
    <xf numFmtId="0" fontId="19" fillId="0" borderId="5" xfId="1" applyFont="1" applyBorder="1"/>
    <xf numFmtId="1" fontId="19" fillId="0" borderId="5" xfId="1" applyNumberFormat="1" applyFont="1" applyBorder="1"/>
    <xf numFmtId="3" fontId="30" fillId="0" borderId="16" xfId="1" applyNumberFormat="1" applyFont="1" applyBorder="1"/>
    <xf numFmtId="2" fontId="29" fillId="0" borderId="9" xfId="0" applyNumberFormat="1" applyFont="1" applyBorder="1"/>
    <xf numFmtId="164" fontId="30" fillId="0" borderId="9" xfId="1" applyNumberFormat="1" applyFont="1" applyBorder="1"/>
    <xf numFmtId="164" fontId="30" fillId="0" borderId="16" xfId="1" applyNumberFormat="1" applyFont="1" applyBorder="1"/>
    <xf numFmtId="1" fontId="30" fillId="0" borderId="16" xfId="1" applyNumberFormat="1" applyFont="1" applyBorder="1"/>
    <xf numFmtId="2" fontId="29" fillId="0" borderId="16" xfId="0" applyNumberFormat="1" applyFont="1" applyBorder="1"/>
    <xf numFmtId="3" fontId="29" fillId="0" borderId="16" xfId="1" applyNumberFormat="1" applyFont="1" applyBorder="1"/>
    <xf numFmtId="3" fontId="30" fillId="0" borderId="33" xfId="1" applyNumberFormat="1" applyFont="1" applyBorder="1"/>
    <xf numFmtId="3" fontId="29" fillId="0" borderId="9" xfId="1" applyNumberFormat="1" applyFont="1" applyBorder="1"/>
    <xf numFmtId="3" fontId="30" fillId="0" borderId="26" xfId="1" applyNumberFormat="1" applyFont="1" applyBorder="1"/>
    <xf numFmtId="2" fontId="22" fillId="0" borderId="62" xfId="0" applyNumberFormat="1" applyFont="1" applyBorder="1"/>
    <xf numFmtId="2" fontId="29" fillId="0" borderId="62" xfId="0" applyNumberFormat="1" applyFont="1" applyBorder="1"/>
    <xf numFmtId="165" fontId="29" fillId="0" borderId="62" xfId="0" applyNumberFormat="1" applyFont="1" applyBorder="1"/>
    <xf numFmtId="1" fontId="30" fillId="0" borderId="61" xfId="1" applyNumberFormat="1" applyFont="1" applyBorder="1"/>
    <xf numFmtId="3" fontId="29" fillId="0" borderId="62" xfId="1" applyNumberFormat="1" applyFont="1" applyBorder="1"/>
    <xf numFmtId="3" fontId="29" fillId="0" borderId="63" xfId="1" applyNumberFormat="1" applyFont="1" applyBorder="1"/>
    <xf numFmtId="3" fontId="30" fillId="0" borderId="34" xfId="1" applyNumberFormat="1" applyFont="1" applyBorder="1" applyAlignment="1">
      <alignment wrapText="1"/>
    </xf>
    <xf numFmtId="2" fontId="29" fillId="0" borderId="29" xfId="0" applyNumberFormat="1" applyFont="1" applyBorder="1"/>
    <xf numFmtId="165" fontId="29" fillId="0" borderId="29" xfId="0" applyNumberFormat="1" applyFont="1" applyBorder="1"/>
    <xf numFmtId="3" fontId="29" fillId="0" borderId="29" xfId="1" applyNumberFormat="1" applyFont="1" applyBorder="1"/>
    <xf numFmtId="165" fontId="29" fillId="0" borderId="3" xfId="0" applyNumberFormat="1" applyFont="1" applyBorder="1"/>
    <xf numFmtId="3" fontId="29" fillId="0" borderId="3" xfId="1" applyNumberFormat="1" applyFont="1" applyBorder="1"/>
    <xf numFmtId="0" fontId="8" fillId="6" borderId="0" xfId="0" applyFont="1" applyFill="1"/>
    <xf numFmtId="3" fontId="30" fillId="0" borderId="28" xfId="1" applyNumberFormat="1" applyFont="1" applyBorder="1"/>
    <xf numFmtId="1" fontId="30" fillId="0" borderId="66" xfId="1" applyNumberFormat="1" applyFont="1" applyBorder="1"/>
    <xf numFmtId="2" fontId="29" fillId="0" borderId="64" xfId="0" applyNumberFormat="1" applyFont="1" applyBorder="1"/>
    <xf numFmtId="165" fontId="29" fillId="0" borderId="64" xfId="0" applyNumberFormat="1" applyFont="1" applyBorder="1"/>
    <xf numFmtId="3" fontId="29" fillId="0" borderId="64" xfId="1" applyNumberFormat="1" applyFont="1" applyBorder="1"/>
    <xf numFmtId="164" fontId="30" fillId="0" borderId="1" xfId="1" applyNumberFormat="1" applyFont="1" applyBorder="1"/>
    <xf numFmtId="165" fontId="29" fillId="0" borderId="16" xfId="0" applyNumberFormat="1" applyFont="1" applyBorder="1"/>
    <xf numFmtId="3" fontId="29" fillId="0" borderId="46" xfId="1" applyNumberFormat="1" applyFont="1" applyBorder="1"/>
    <xf numFmtId="3" fontId="29" fillId="0" borderId="33" xfId="1" applyNumberFormat="1" applyFont="1" applyBorder="1"/>
    <xf numFmtId="3" fontId="29" fillId="0" borderId="34" xfId="1" applyNumberFormat="1" applyFont="1" applyBorder="1"/>
    <xf numFmtId="3" fontId="30" fillId="0" borderId="65" xfId="1" applyNumberFormat="1" applyFont="1" applyBorder="1" applyAlignment="1">
      <alignment wrapText="1"/>
    </xf>
    <xf numFmtId="2" fontId="22" fillId="0" borderId="0" xfId="0" applyNumberFormat="1" applyFont="1"/>
    <xf numFmtId="164" fontId="30" fillId="0" borderId="67" xfId="1" applyNumberFormat="1" applyFont="1" applyBorder="1"/>
    <xf numFmtId="0" fontId="30" fillId="0" borderId="47" xfId="1" applyFont="1" applyBorder="1" applyAlignment="1">
      <alignment horizontal="left" vertical="top"/>
    </xf>
    <xf numFmtId="0" fontId="30" fillId="0" borderId="5" xfId="1" applyFont="1" applyBorder="1"/>
    <xf numFmtId="1" fontId="30" fillId="0" borderId="5" xfId="1" applyNumberFormat="1" applyFont="1" applyBorder="1"/>
    <xf numFmtId="1" fontId="30" fillId="0" borderId="7" xfId="1" applyNumberFormat="1" applyFont="1" applyBorder="1"/>
    <xf numFmtId="3" fontId="30" fillId="0" borderId="5" xfId="1" applyNumberFormat="1" applyFont="1" applyBorder="1"/>
    <xf numFmtId="2" fontId="29" fillId="0" borderId="5" xfId="0" applyNumberFormat="1" applyFont="1" applyBorder="1"/>
    <xf numFmtId="165" fontId="29" fillId="0" borderId="5" xfId="0" applyNumberFormat="1" applyFont="1" applyBorder="1"/>
    <xf numFmtId="3" fontId="29" fillId="0" borderId="45" xfId="1" applyNumberFormat="1" applyFont="1" applyBorder="1"/>
    <xf numFmtId="0" fontId="30" fillId="0" borderId="67" xfId="1" applyFont="1" applyBorder="1" applyAlignment="1">
      <alignment horizontal="left" vertical="top"/>
    </xf>
    <xf numFmtId="0" fontId="21" fillId="0" borderId="67" xfId="1" applyFont="1" applyFill="1" applyBorder="1" applyAlignment="1">
      <alignment horizontal="left" vertical="top"/>
    </xf>
    <xf numFmtId="0" fontId="0" fillId="0" borderId="0" xfId="0" applyFill="1"/>
    <xf numFmtId="0" fontId="7" fillId="0" borderId="0" xfId="7"/>
    <xf numFmtId="0" fontId="25" fillId="7" borderId="68" xfId="6" applyFont="1" applyFill="1" applyBorder="1" applyAlignment="1">
      <alignment horizontal="left" vertical="top"/>
    </xf>
    <xf numFmtId="166" fontId="36" fillId="0" borderId="0" xfId="8" applyNumberFormat="1" applyFont="1" applyProtection="1"/>
    <xf numFmtId="0" fontId="36" fillId="0" borderId="0" xfId="8" applyNumberFormat="1" applyFont="1" applyProtection="1"/>
    <xf numFmtId="0" fontId="37" fillId="0" borderId="0" xfId="8" applyNumberFormat="1" applyFont="1" applyProtection="1"/>
    <xf numFmtId="167" fontId="38" fillId="8" borderId="69" xfId="0" applyNumberFormat="1" applyFont="1" applyFill="1" applyBorder="1" applyAlignment="1" applyProtection="1">
      <alignment horizontal="right" vertical="top" wrapText="1"/>
    </xf>
    <xf numFmtId="166" fontId="37" fillId="0" borderId="0" xfId="8" applyNumberFormat="1" applyFont="1" applyProtection="1"/>
    <xf numFmtId="4" fontId="39" fillId="0" borderId="3" xfId="1" applyNumberFormat="1" applyFont="1" applyBorder="1" applyAlignment="1">
      <alignment horizontal="left" vertical="top"/>
    </xf>
    <xf numFmtId="0" fontId="7" fillId="0" borderId="0" xfId="9" applyAlignment="1">
      <alignment horizontal="center" vertical="center" wrapText="1"/>
    </xf>
    <xf numFmtId="0" fontId="7" fillId="0" borderId="67" xfId="9" applyBorder="1" applyAlignment="1">
      <alignment horizontal="center" vertical="center"/>
    </xf>
    <xf numFmtId="0" fontId="7" fillId="0" borderId="0" xfId="9" applyAlignment="1">
      <alignment vertical="center"/>
    </xf>
    <xf numFmtId="0" fontId="7" fillId="0" borderId="0" xfId="9" applyAlignment="1">
      <alignment horizontal="center"/>
    </xf>
    <xf numFmtId="0" fontId="7" fillId="0" borderId="0" xfId="9" applyAlignment="1">
      <alignment horizontal="center" vertical="center"/>
    </xf>
    <xf numFmtId="0" fontId="41" fillId="0" borderId="38" xfId="9" applyFont="1" applyBorder="1" applyAlignment="1">
      <alignment horizontal="center" vertical="center" wrapText="1"/>
    </xf>
    <xf numFmtId="0" fontId="41" fillId="0" borderId="2" xfId="9" applyFont="1" applyBorder="1" applyAlignment="1">
      <alignment horizontal="center" vertical="center" wrapText="1"/>
    </xf>
    <xf numFmtId="0" fontId="41" fillId="0" borderId="5" xfId="9" applyFont="1" applyBorder="1" applyAlignment="1">
      <alignment horizontal="center" vertical="center" wrapText="1"/>
    </xf>
    <xf numFmtId="0" fontId="41" fillId="0" borderId="2" xfId="9" applyFont="1" applyBorder="1" applyAlignment="1">
      <alignment horizontal="center" vertical="center"/>
    </xf>
    <xf numFmtId="0" fontId="41" fillId="0" borderId="5" xfId="9" applyFont="1" applyBorder="1" applyAlignment="1">
      <alignment horizontal="center" vertical="center"/>
    </xf>
    <xf numFmtId="0" fontId="29" fillId="0" borderId="67" xfId="1" applyFont="1" applyFill="1" applyBorder="1" applyAlignment="1">
      <alignment horizontal="left" vertical="top"/>
    </xf>
    <xf numFmtId="0" fontId="7" fillId="0" borderId="0" xfId="9" applyAlignment="1"/>
    <xf numFmtId="43" fontId="41" fillId="0" borderId="67" xfId="5" applyFont="1" applyBorder="1" applyAlignment="1"/>
    <xf numFmtId="0" fontId="7" fillId="0" borderId="0" xfId="9" applyAlignment="1">
      <alignment horizontal="right"/>
    </xf>
    <xf numFmtId="0" fontId="42" fillId="0" borderId="5" xfId="11" applyFont="1" applyBorder="1"/>
    <xf numFmtId="0" fontId="34" fillId="11" borderId="5" xfId="11" applyFont="1" applyFill="1" applyBorder="1" applyAlignment="1">
      <alignment horizontal="center"/>
    </xf>
    <xf numFmtId="0" fontId="0" fillId="0" borderId="70" xfId="0" applyBorder="1"/>
    <xf numFmtId="0" fontId="0" fillId="0" borderId="70" xfId="0" applyBorder="1" applyAlignment="1">
      <alignment horizontal="left"/>
    </xf>
    <xf numFmtId="0" fontId="35" fillId="0" borderId="70" xfId="0" applyFont="1" applyBorder="1" applyAlignment="1">
      <alignment horizontal="center" vertical="center"/>
    </xf>
    <xf numFmtId="0" fontId="10" fillId="10" borderId="70" xfId="11" applyFont="1" applyFill="1" applyBorder="1" applyAlignment="1">
      <alignment horizontal="center"/>
    </xf>
    <xf numFmtId="0" fontId="10" fillId="10" borderId="70" xfId="11" applyFont="1" applyFill="1" applyBorder="1" applyAlignment="1">
      <alignment horizontal="center" vertical="center" wrapText="1"/>
    </xf>
    <xf numFmtId="0" fontId="6" fillId="0" borderId="70" xfId="11" applyBorder="1" applyAlignment="1">
      <alignment horizontal="center"/>
    </xf>
    <xf numFmtId="0" fontId="42" fillId="0" borderId="70" xfId="11" applyFont="1" applyBorder="1"/>
    <xf numFmtId="0" fontId="34" fillId="11" borderId="70" xfId="11" applyFont="1" applyFill="1" applyBorder="1" applyAlignment="1">
      <alignment horizontal="center"/>
    </xf>
    <xf numFmtId="0" fontId="42" fillId="0" borderId="5" xfId="11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4" fillId="11" borderId="9" xfId="11" applyFont="1" applyFill="1" applyBorder="1" applyAlignment="1">
      <alignment horizontal="center"/>
    </xf>
    <xf numFmtId="0" fontId="34" fillId="11" borderId="38" xfId="11" applyFont="1" applyFill="1" applyBorder="1" applyAlignment="1">
      <alignment horizontal="center"/>
    </xf>
    <xf numFmtId="0" fontId="43" fillId="0" borderId="70" xfId="11" applyFont="1" applyBorder="1" applyAlignment="1">
      <alignment horizontal="center"/>
    </xf>
    <xf numFmtId="0" fontId="43" fillId="0" borderId="9" xfId="11" applyFont="1" applyBorder="1" applyAlignment="1">
      <alignment horizontal="center"/>
    </xf>
    <xf numFmtId="0" fontId="43" fillId="0" borderId="5" xfId="11" applyFont="1" applyBorder="1" applyAlignment="1">
      <alignment horizontal="center"/>
    </xf>
    <xf numFmtId="0" fontId="43" fillId="0" borderId="38" xfId="11" applyFont="1" applyBorder="1" applyAlignment="1">
      <alignment horizontal="center"/>
    </xf>
    <xf numFmtId="0" fontId="42" fillId="0" borderId="70" xfId="11" applyFont="1" applyBorder="1" applyAlignment="1">
      <alignment horizontal="left"/>
    </xf>
    <xf numFmtId="0" fontId="42" fillId="0" borderId="9" xfId="11" applyFont="1" applyBorder="1" applyAlignment="1">
      <alignment horizontal="left"/>
    </xf>
    <xf numFmtId="0" fontId="42" fillId="0" borderId="5" xfId="11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43" fillId="0" borderId="38" xfId="11" applyFont="1" applyBorder="1" applyAlignment="1">
      <alignment horizontal="center" vertical="center"/>
    </xf>
    <xf numFmtId="0" fontId="43" fillId="0" borderId="5" xfId="11" applyFont="1" applyBorder="1" applyAlignment="1">
      <alignment horizontal="center" vertical="center"/>
    </xf>
    <xf numFmtId="0" fontId="43" fillId="0" borderId="2" xfId="11" applyFont="1" applyBorder="1" applyAlignment="1">
      <alignment horizontal="center" vertical="center"/>
    </xf>
    <xf numFmtId="0" fontId="43" fillId="0" borderId="70" xfId="11" applyFont="1" applyBorder="1" applyAlignment="1">
      <alignment horizontal="center" vertical="center"/>
    </xf>
    <xf numFmtId="0" fontId="43" fillId="0" borderId="9" xfId="11" applyFont="1" applyBorder="1" applyAlignment="1">
      <alignment horizontal="center" vertical="center"/>
    </xf>
    <xf numFmtId="0" fontId="43" fillId="0" borderId="70" xfId="11" applyFont="1" applyBorder="1" applyAlignment="1">
      <alignment vertical="center"/>
    </xf>
    <xf numFmtId="0" fontId="42" fillId="0" borderId="9" xfId="11" applyFont="1" applyBorder="1"/>
    <xf numFmtId="0" fontId="42" fillId="0" borderId="38" xfId="11" applyFont="1" applyBorder="1"/>
    <xf numFmtId="0" fontId="42" fillId="0" borderId="70" xfId="11" applyFont="1" applyFill="1" applyBorder="1"/>
    <xf numFmtId="0" fontId="42" fillId="0" borderId="9" xfId="11" applyFont="1" applyFill="1" applyBorder="1"/>
    <xf numFmtId="0" fontId="42" fillId="0" borderId="5" xfId="11" applyFont="1" applyFill="1" applyBorder="1"/>
    <xf numFmtId="0" fontId="43" fillId="12" borderId="70" xfId="11" applyFont="1" applyFill="1" applyBorder="1" applyAlignment="1">
      <alignment horizontal="center"/>
    </xf>
    <xf numFmtId="0" fontId="43" fillId="12" borderId="9" xfId="11" applyFont="1" applyFill="1" applyBorder="1" applyAlignment="1">
      <alignment horizontal="center"/>
    </xf>
    <xf numFmtId="0" fontId="43" fillId="12" borderId="5" xfId="11" applyFont="1" applyFill="1" applyBorder="1" applyAlignment="1">
      <alignment horizontal="center"/>
    </xf>
    <xf numFmtId="0" fontId="43" fillId="5" borderId="70" xfId="11" applyFont="1" applyFill="1" applyBorder="1" applyAlignment="1">
      <alignment horizontal="center"/>
    </xf>
    <xf numFmtId="0" fontId="43" fillId="5" borderId="9" xfId="11" applyFont="1" applyFill="1" applyBorder="1" applyAlignment="1">
      <alignment horizontal="center"/>
    </xf>
    <xf numFmtId="0" fontId="43" fillId="5" borderId="5" xfId="11" applyFont="1" applyFill="1" applyBorder="1" applyAlignment="1">
      <alignment horizontal="center"/>
    </xf>
    <xf numFmtId="0" fontId="43" fillId="13" borderId="70" xfId="11" applyFont="1" applyFill="1" applyBorder="1" applyAlignment="1">
      <alignment horizontal="center"/>
    </xf>
    <xf numFmtId="0" fontId="43" fillId="14" borderId="70" xfId="11" applyFont="1" applyFill="1" applyBorder="1" applyAlignment="1">
      <alignment horizontal="center"/>
    </xf>
    <xf numFmtId="0" fontId="43" fillId="13" borderId="9" xfId="11" applyFont="1" applyFill="1" applyBorder="1" applyAlignment="1">
      <alignment horizontal="center"/>
    </xf>
    <xf numFmtId="0" fontId="43" fillId="14" borderId="9" xfId="11" applyFont="1" applyFill="1" applyBorder="1" applyAlignment="1">
      <alignment horizontal="center"/>
    </xf>
    <xf numFmtId="0" fontId="43" fillId="13" borderId="5" xfId="11" applyFont="1" applyFill="1" applyBorder="1" applyAlignment="1">
      <alignment horizontal="center"/>
    </xf>
    <xf numFmtId="0" fontId="43" fillId="14" borderId="5" xfId="11" applyFont="1" applyFill="1" applyBorder="1" applyAlignment="1">
      <alignment horizontal="center"/>
    </xf>
    <xf numFmtId="0" fontId="43" fillId="13" borderId="38" xfId="11" applyFont="1" applyFill="1" applyBorder="1" applyAlignment="1">
      <alignment horizontal="center"/>
    </xf>
    <xf numFmtId="0" fontId="34" fillId="11" borderId="2" xfId="11" applyFont="1" applyFill="1" applyBorder="1" applyAlignment="1">
      <alignment horizontal="center"/>
    </xf>
    <xf numFmtId="0" fontId="43" fillId="0" borderId="2" xfId="11" applyFont="1" applyBorder="1" applyAlignment="1">
      <alignment horizontal="center"/>
    </xf>
    <xf numFmtId="43" fontId="44" fillId="0" borderId="70" xfId="13" applyFont="1" applyBorder="1"/>
    <xf numFmtId="43" fontId="41" fillId="0" borderId="70" xfId="13" applyFont="1" applyBorder="1"/>
    <xf numFmtId="0" fontId="43" fillId="12" borderId="70" xfId="11" applyFont="1" applyFill="1" applyBorder="1" applyAlignment="1">
      <alignment horizontal="center" vertical="center"/>
    </xf>
    <xf numFmtId="0" fontId="42" fillId="15" borderId="70" xfId="11" applyFont="1" applyFill="1" applyBorder="1" applyAlignment="1">
      <alignment horizontal="center"/>
    </xf>
    <xf numFmtId="0" fontId="42" fillId="15" borderId="9" xfId="11" applyFont="1" applyFill="1" applyBorder="1" applyAlignment="1">
      <alignment horizontal="center"/>
    </xf>
    <xf numFmtId="0" fontId="42" fillId="15" borderId="5" xfId="11" applyFont="1" applyFill="1" applyBorder="1" applyAlignment="1">
      <alignment horizontal="center"/>
    </xf>
    <xf numFmtId="0" fontId="42" fillId="15" borderId="38" xfId="11" applyFont="1" applyFill="1" applyBorder="1" applyAlignment="1">
      <alignment horizontal="center"/>
    </xf>
    <xf numFmtId="0" fontId="42" fillId="0" borderId="70" xfId="11" applyFont="1" applyFill="1" applyBorder="1" applyAlignment="1">
      <alignment horizontal="left"/>
    </xf>
    <xf numFmtId="0" fontId="35" fillId="0" borderId="5" xfId="0" applyFont="1" applyFill="1" applyBorder="1" applyAlignment="1">
      <alignment horizontal="center" vertical="center"/>
    </xf>
    <xf numFmtId="0" fontId="42" fillId="0" borderId="29" xfId="11" applyFont="1" applyFill="1" applyBorder="1"/>
    <xf numFmtId="0" fontId="46" fillId="0" borderId="9" xfId="11" applyFont="1" applyFill="1" applyBorder="1"/>
    <xf numFmtId="0" fontId="43" fillId="12" borderId="9" xfId="11" applyFont="1" applyFill="1" applyBorder="1" applyAlignment="1">
      <alignment horizontal="center" vertical="center"/>
    </xf>
    <xf numFmtId="0" fontId="43" fillId="5" borderId="9" xfId="11" applyFont="1" applyFill="1" applyBorder="1" applyAlignment="1">
      <alignment horizontal="center" vertical="center"/>
    </xf>
    <xf numFmtId="166" fontId="47" fillId="0" borderId="0" xfId="14" applyNumberFormat="1" applyFont="1" applyProtection="1"/>
    <xf numFmtId="0" fontId="0" fillId="0" borderId="0" xfId="0"/>
    <xf numFmtId="0" fontId="0" fillId="0" borderId="70" xfId="0" applyBorder="1" applyAlignment="1">
      <alignment horizontal="left"/>
    </xf>
    <xf numFmtId="0" fontId="35" fillId="0" borderId="5" xfId="0" applyFont="1" applyBorder="1" applyAlignment="1">
      <alignment horizontal="center" vertical="center"/>
    </xf>
    <xf numFmtId="0" fontId="30" fillId="0" borderId="72" xfId="1" applyFont="1" applyFill="1" applyBorder="1"/>
    <xf numFmtId="3" fontId="29" fillId="0" borderId="72" xfId="1" applyNumberFormat="1" applyFont="1" applyFill="1" applyBorder="1"/>
    <xf numFmtId="2" fontId="29" fillId="0" borderId="72" xfId="0" applyNumberFormat="1" applyFont="1" applyFill="1" applyBorder="1"/>
    <xf numFmtId="165" fontId="29" fillId="0" borderId="72" xfId="0" applyNumberFormat="1" applyFont="1" applyFill="1" applyBorder="1"/>
    <xf numFmtId="0" fontId="21" fillId="0" borderId="24" xfId="1" applyFont="1" applyFill="1" applyBorder="1" applyAlignment="1">
      <alignment horizontal="left" vertical="top"/>
    </xf>
    <xf numFmtId="1" fontId="30" fillId="0" borderId="72" xfId="1" applyNumberFormat="1" applyFont="1" applyFill="1" applyBorder="1"/>
    <xf numFmtId="3" fontId="30" fillId="0" borderId="72" xfId="1" applyNumberFormat="1" applyFont="1" applyFill="1" applyBorder="1"/>
    <xf numFmtId="2" fontId="30" fillId="0" borderId="72" xfId="0" applyNumberFormat="1" applyFont="1" applyFill="1" applyBorder="1"/>
    <xf numFmtId="0" fontId="30" fillId="0" borderId="73" xfId="1" applyFont="1" applyFill="1" applyBorder="1"/>
    <xf numFmtId="1" fontId="30" fillId="0" borderId="73" xfId="1" applyNumberFormat="1" applyFont="1" applyFill="1" applyBorder="1"/>
    <xf numFmtId="1" fontId="30" fillId="0" borderId="71" xfId="1" applyNumberFormat="1" applyFont="1" applyFill="1" applyBorder="1"/>
    <xf numFmtId="3" fontId="30" fillId="0" borderId="73" xfId="1" applyNumberFormat="1" applyFont="1" applyFill="1" applyBorder="1"/>
    <xf numFmtId="2" fontId="45" fillId="0" borderId="74" xfId="0" applyNumberFormat="1" applyFont="1" applyFill="1" applyBorder="1"/>
    <xf numFmtId="2" fontId="45" fillId="0" borderId="74" xfId="0" applyNumberFormat="1" applyFont="1" applyBorder="1"/>
    <xf numFmtId="1" fontId="30" fillId="0" borderId="75" xfId="1" applyNumberFormat="1" applyFont="1" applyFill="1" applyBorder="1"/>
    <xf numFmtId="3" fontId="30" fillId="0" borderId="72" xfId="1" applyNumberFormat="1" applyFont="1" applyBorder="1"/>
    <xf numFmtId="0" fontId="30" fillId="0" borderId="72" xfId="1" applyFont="1" applyBorder="1"/>
    <xf numFmtId="0" fontId="30" fillId="0" borderId="72" xfId="1" applyFont="1" applyBorder="1" applyAlignment="1">
      <alignment horizontal="left" vertical="top"/>
    </xf>
    <xf numFmtId="1" fontId="30" fillId="0" borderId="72" xfId="1" applyNumberFormat="1" applyFont="1" applyBorder="1"/>
    <xf numFmtId="1" fontId="30" fillId="0" borderId="75" xfId="1" applyNumberFormat="1" applyFont="1" applyBorder="1"/>
    <xf numFmtId="2" fontId="29" fillId="0" borderId="72" xfId="0" applyNumberFormat="1" applyFont="1" applyBorder="1"/>
    <xf numFmtId="165" fontId="29" fillId="0" borderId="72" xfId="0" applyNumberFormat="1" applyFont="1" applyBorder="1"/>
    <xf numFmtId="0" fontId="30" fillId="0" borderId="9" xfId="1" applyFont="1" applyFill="1" applyBorder="1"/>
    <xf numFmtId="164" fontId="29" fillId="0" borderId="5" xfId="1" applyNumberFormat="1" applyFont="1" applyFill="1" applyBorder="1"/>
    <xf numFmtId="0" fontId="30" fillId="0" borderId="5" xfId="1" applyFont="1" applyFill="1" applyBorder="1"/>
    <xf numFmtId="3" fontId="29" fillId="0" borderId="5" xfId="1" applyNumberFormat="1" applyFont="1" applyFill="1" applyBorder="1"/>
    <xf numFmtId="165" fontId="29" fillId="0" borderId="5" xfId="0" applyNumberFormat="1" applyFont="1" applyFill="1" applyBorder="1"/>
    <xf numFmtId="0" fontId="19" fillId="5" borderId="76" xfId="1" applyFont="1" applyFill="1" applyBorder="1" applyAlignment="1">
      <alignment horizontal="center" vertical="center" wrapText="1"/>
    </xf>
    <xf numFmtId="164" fontId="19" fillId="5" borderId="77" xfId="1" applyNumberFormat="1" applyFont="1" applyFill="1" applyBorder="1" applyAlignment="1">
      <alignment horizontal="center" vertical="center" wrapText="1"/>
    </xf>
    <xf numFmtId="0" fontId="19" fillId="5" borderId="77" xfId="1" applyFont="1" applyFill="1" applyBorder="1" applyAlignment="1">
      <alignment horizontal="center" vertical="center" wrapText="1"/>
    </xf>
    <xf numFmtId="0" fontId="19" fillId="5" borderId="78" xfId="1" applyFont="1" applyFill="1" applyBorder="1" applyAlignment="1">
      <alignment horizontal="center" vertical="center" wrapText="1"/>
    </xf>
    <xf numFmtId="3" fontId="19" fillId="5" borderId="76" xfId="1" applyNumberFormat="1" applyFont="1" applyFill="1" applyBorder="1" applyAlignment="1">
      <alignment horizontal="center" vertical="center" wrapText="1"/>
    </xf>
    <xf numFmtId="3" fontId="19" fillId="5" borderId="77" xfId="1" applyNumberFormat="1" applyFont="1" applyFill="1" applyBorder="1" applyAlignment="1">
      <alignment horizontal="center" vertical="center" wrapText="1"/>
    </xf>
    <xf numFmtId="0" fontId="19" fillId="5" borderId="36" xfId="1" applyFont="1" applyFill="1" applyBorder="1" applyAlignment="1">
      <alignment horizontal="center" vertical="center" wrapText="1"/>
    </xf>
    <xf numFmtId="0" fontId="0" fillId="0" borderId="0" xfId="0" applyAlignment="1"/>
    <xf numFmtId="3" fontId="30" fillId="0" borderId="8" xfId="1" applyNumberFormat="1" applyFont="1" applyBorder="1" applyAlignment="1">
      <alignment wrapText="1"/>
    </xf>
    <xf numFmtId="3" fontId="30" fillId="0" borderId="79" xfId="1" applyNumberFormat="1" applyFont="1" applyBorder="1" applyAlignment="1">
      <alignment wrapText="1"/>
    </xf>
    <xf numFmtId="3" fontId="30" fillId="0" borderId="80" xfId="1" applyNumberFormat="1" applyFont="1" applyBorder="1"/>
    <xf numFmtId="3" fontId="29" fillId="0" borderId="70" xfId="1" applyNumberFormat="1" applyFont="1" applyBorder="1"/>
    <xf numFmtId="0" fontId="0" fillId="0" borderId="0" xfId="0" applyBorder="1" applyAlignment="1">
      <alignment horizontal="center" vertical="center"/>
    </xf>
    <xf numFmtId="0" fontId="14" fillId="0" borderId="81" xfId="0" applyFont="1" applyBorder="1" applyAlignment="1">
      <alignment horizontal="center"/>
    </xf>
    <xf numFmtId="0" fontId="21" fillId="0" borderId="82" xfId="1" applyFont="1" applyFill="1" applyBorder="1" applyAlignment="1">
      <alignment horizontal="left" vertical="top"/>
    </xf>
    <xf numFmtId="0" fontId="12" fillId="0" borderId="83" xfId="1" applyBorder="1"/>
    <xf numFmtId="3" fontId="12" fillId="0" borderId="84" xfId="1" applyNumberFormat="1" applyBorder="1"/>
    <xf numFmtId="0" fontId="13" fillId="0" borderId="85" xfId="1" applyFont="1" applyBorder="1" applyAlignment="1">
      <alignment horizontal="left" vertical="top"/>
    </xf>
    <xf numFmtId="0" fontId="25" fillId="7" borderId="86" xfId="10" applyNumberFormat="1" applyFont="1" applyFill="1" applyBorder="1" applyAlignment="1">
      <alignment horizontal="left" vertical="top"/>
    </xf>
    <xf numFmtId="0" fontId="30" fillId="0" borderId="24" xfId="1" applyFont="1" applyFill="1" applyBorder="1" applyAlignment="1">
      <alignment horizontal="left" vertical="top"/>
    </xf>
    <xf numFmtId="2" fontId="30" fillId="0" borderId="74" xfId="0" applyNumberFormat="1" applyFont="1" applyFill="1" applyBorder="1"/>
    <xf numFmtId="0" fontId="30" fillId="0" borderId="72" xfId="1" applyFont="1" applyFill="1" applyBorder="1" applyAlignment="1">
      <alignment horizontal="center" vertical="center"/>
    </xf>
    <xf numFmtId="1" fontId="30" fillId="0" borderId="71" xfId="1" applyNumberFormat="1" applyFont="1" applyFill="1" applyBorder="1" applyAlignment="1">
      <alignment horizontal="center" vertical="center"/>
    </xf>
    <xf numFmtId="0" fontId="21" fillId="0" borderId="24" xfId="1" applyFont="1" applyFill="1" applyBorder="1" applyAlignment="1">
      <alignment horizontal="left" vertical="center"/>
    </xf>
    <xf numFmtId="0" fontId="19" fillId="5" borderId="87" xfId="1" applyFont="1" applyFill="1" applyBorder="1" applyAlignment="1">
      <alignment horizontal="center" vertical="center" wrapText="1"/>
    </xf>
    <xf numFmtId="0" fontId="0" fillId="0" borderId="5" xfId="0" applyBorder="1"/>
    <xf numFmtId="3" fontId="29" fillId="0" borderId="70" xfId="1" applyNumberFormat="1" applyFont="1" applyFill="1" applyBorder="1"/>
    <xf numFmtId="3" fontId="30" fillId="0" borderId="70" xfId="1" applyNumberFormat="1" applyFont="1" applyBorder="1"/>
    <xf numFmtId="3" fontId="30" fillId="0" borderId="70" xfId="1" applyNumberFormat="1" applyFont="1" applyBorder="1" applyAlignment="1">
      <alignment wrapText="1"/>
    </xf>
    <xf numFmtId="2" fontId="30" fillId="0" borderId="70" xfId="0" applyNumberFormat="1" applyFont="1" applyBorder="1"/>
    <xf numFmtId="3" fontId="20" fillId="0" borderId="70" xfId="1" applyNumberFormat="1" applyFont="1" applyBorder="1"/>
    <xf numFmtId="3" fontId="30" fillId="16" borderId="70" xfId="1" applyNumberFormat="1" applyFont="1" applyFill="1" applyBorder="1"/>
    <xf numFmtId="3" fontId="29" fillId="16" borderId="70" xfId="1" applyNumberFormat="1" applyFont="1" applyFill="1" applyBorder="1"/>
    <xf numFmtId="0" fontId="0" fillId="0" borderId="88" xfId="0" applyBorder="1" applyAlignment="1"/>
    <xf numFmtId="0" fontId="0" fillId="0" borderId="76" xfId="0" applyBorder="1" applyAlignment="1"/>
    <xf numFmtId="0" fontId="0" fillId="0" borderId="77" xfId="0" applyBorder="1" applyAlignment="1"/>
    <xf numFmtId="0" fontId="0" fillId="0" borderId="89" xfId="0" applyFill="1" applyBorder="1" applyAlignment="1"/>
    <xf numFmtId="14" fontId="11" fillId="0" borderId="77" xfId="0" applyNumberFormat="1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0" fillId="0" borderId="2" xfId="0" applyFill="1" applyBorder="1" applyAlignment="1"/>
    <xf numFmtId="14" fontId="11" fillId="0" borderId="90" xfId="0" applyNumberFormat="1" applyFont="1" applyBorder="1" applyAlignment="1">
      <alignment horizontal="center" vertical="center" wrapText="1"/>
    </xf>
    <xf numFmtId="0" fontId="21" fillId="0" borderId="91" xfId="1" applyFont="1" applyFill="1" applyBorder="1" applyAlignment="1">
      <alignment horizontal="left" vertical="top"/>
    </xf>
    <xf numFmtId="0" fontId="11" fillId="0" borderId="36" xfId="0" applyFont="1" applyBorder="1" applyAlignment="1">
      <alignment horizontal="center" vertical="center" wrapText="1"/>
    </xf>
    <xf numFmtId="0" fontId="0" fillId="0" borderId="93" xfId="0" applyBorder="1" applyAlignment="1"/>
    <xf numFmtId="0" fontId="11" fillId="0" borderId="78" xfId="0" applyFont="1" applyBorder="1" applyAlignment="1">
      <alignment horizontal="center" vertical="center" wrapText="1"/>
    </xf>
    <xf numFmtId="0" fontId="0" fillId="0" borderId="94" xfId="0" applyBorder="1" applyAlignment="1"/>
    <xf numFmtId="0" fontId="0" fillId="0" borderId="92" xfId="0" applyFill="1" applyBorder="1" applyAlignment="1"/>
    <xf numFmtId="0" fontId="0" fillId="0" borderId="93" xfId="0" applyFill="1" applyBorder="1" applyAlignment="1"/>
    <xf numFmtId="0" fontId="50" fillId="17" borderId="95" xfId="0" applyFont="1" applyFill="1" applyBorder="1" applyAlignment="1">
      <alignment horizontal="left" vertical="top"/>
    </xf>
    <xf numFmtId="1" fontId="25" fillId="7" borderId="95" xfId="0" applyNumberFormat="1" applyFont="1" applyFill="1" applyBorder="1" applyAlignment="1">
      <alignment horizontal="right" vertical="top"/>
    </xf>
    <xf numFmtId="0" fontId="25" fillId="7" borderId="95" xfId="0" applyFont="1" applyFill="1" applyBorder="1" applyAlignment="1">
      <alignment horizontal="left" vertical="top"/>
    </xf>
    <xf numFmtId="0" fontId="0" fillId="0" borderId="0" xfId="0"/>
    <xf numFmtId="0" fontId="0" fillId="0" borderId="96" xfId="0" applyFill="1" applyBorder="1" applyAlignment="1"/>
    <xf numFmtId="0" fontId="48" fillId="7" borderId="97" xfId="38" applyNumberFormat="1" applyFont="1" applyFill="1" applyBorder="1" applyAlignment="1">
      <alignment horizontal="left" vertical="top"/>
    </xf>
    <xf numFmtId="1" fontId="25" fillId="7" borderId="97" xfId="38" applyNumberFormat="1" applyFont="1" applyFill="1" applyBorder="1" applyAlignment="1">
      <alignment horizontal="right" vertical="top"/>
    </xf>
    <xf numFmtId="0" fontId="25" fillId="7" borderId="97" xfId="38" applyNumberFormat="1" applyFont="1" applyFill="1" applyBorder="1" applyAlignment="1">
      <alignment horizontal="left" vertical="top"/>
    </xf>
    <xf numFmtId="3" fontId="25" fillId="7" borderId="97" xfId="38" applyNumberFormat="1" applyFont="1" applyFill="1" applyBorder="1" applyAlignment="1">
      <alignment horizontal="right" vertical="top"/>
    </xf>
    <xf numFmtId="2" fontId="25" fillId="7" borderId="97" xfId="38" applyNumberFormat="1" applyFont="1" applyFill="1" applyBorder="1" applyAlignment="1">
      <alignment horizontal="right" vertical="top"/>
    </xf>
    <xf numFmtId="4" fontId="25" fillId="7" borderId="97" xfId="38" applyNumberFormat="1" applyFont="1" applyFill="1" applyBorder="1" applyAlignment="1">
      <alignment horizontal="right" vertical="top"/>
    </xf>
    <xf numFmtId="166" fontId="35" fillId="18" borderId="0" xfId="0" applyNumberFormat="1" applyFont="1" applyFill="1"/>
    <xf numFmtId="166" fontId="35" fillId="0" borderId="0" xfId="0" applyNumberFormat="1" applyFont="1"/>
    <xf numFmtId="166" fontId="35" fillId="18" borderId="98" xfId="0" applyNumberFormat="1" applyFont="1" applyFill="1" applyBorder="1"/>
    <xf numFmtId="3" fontId="29" fillId="0" borderId="99" xfId="1" applyNumberFormat="1" applyFont="1" applyBorder="1"/>
    <xf numFmtId="3" fontId="29" fillId="0" borderId="99" xfId="1" applyNumberFormat="1" applyFont="1" applyBorder="1" applyAlignment="1">
      <alignment horizontal="left" vertical="center"/>
    </xf>
    <xf numFmtId="0" fontId="30" fillId="16" borderId="72" xfId="1" applyFont="1" applyFill="1" applyBorder="1"/>
    <xf numFmtId="0" fontId="1" fillId="16" borderId="0" xfId="0" applyFont="1" applyFill="1"/>
    <xf numFmtId="0" fontId="30" fillId="16" borderId="5" xfId="1" applyFont="1" applyFill="1" applyBorder="1"/>
    <xf numFmtId="0" fontId="29" fillId="16" borderId="5" xfId="1" applyFont="1" applyFill="1" applyBorder="1"/>
    <xf numFmtId="2" fontId="30" fillId="16" borderId="72" xfId="0" applyNumberFormat="1" applyFont="1" applyFill="1" applyBorder="1"/>
    <xf numFmtId="0" fontId="21" fillId="19" borderId="24" xfId="1" applyFont="1" applyFill="1" applyBorder="1" applyAlignment="1">
      <alignment horizontal="left" vertical="top"/>
    </xf>
    <xf numFmtId="164" fontId="29" fillId="19" borderId="5" xfId="1" applyNumberFormat="1" applyFont="1" applyFill="1" applyBorder="1"/>
    <xf numFmtId="0" fontId="30" fillId="19" borderId="72" xfId="1" applyFont="1" applyFill="1" applyBorder="1"/>
    <xf numFmtId="0" fontId="1" fillId="19" borderId="0" xfId="0" applyFont="1" applyFill="1"/>
    <xf numFmtId="0" fontId="10" fillId="0" borderId="8" xfId="0" applyFont="1" applyBorder="1" applyAlignment="1">
      <alignment horizontal="center"/>
    </xf>
    <xf numFmtId="0" fontId="41" fillId="0" borderId="38" xfId="11" applyFont="1" applyBorder="1" applyAlignment="1">
      <alignment horizontal="center" vertical="center" wrapText="1"/>
    </xf>
    <xf numFmtId="0" fontId="41" fillId="0" borderId="2" xfId="11" applyFont="1" applyBorder="1" applyAlignment="1">
      <alignment horizontal="center" vertical="center" wrapText="1"/>
    </xf>
    <xf numFmtId="0" fontId="41" fillId="0" borderId="5" xfId="11" applyFont="1" applyBorder="1" applyAlignment="1">
      <alignment horizontal="center" vertical="center" wrapText="1"/>
    </xf>
    <xf numFmtId="0" fontId="43" fillId="12" borderId="38" xfId="11" applyFont="1" applyFill="1" applyBorder="1" applyAlignment="1">
      <alignment horizontal="center" vertical="center"/>
    </xf>
    <xf numFmtId="0" fontId="43" fillId="12" borderId="5" xfId="11" applyFont="1" applyFill="1" applyBorder="1" applyAlignment="1">
      <alignment horizontal="center" vertical="center"/>
    </xf>
    <xf numFmtId="0" fontId="10" fillId="10" borderId="70" xfId="11" applyFont="1" applyFill="1" applyBorder="1" applyAlignment="1">
      <alignment horizontal="center"/>
    </xf>
    <xf numFmtId="0" fontId="40" fillId="9" borderId="70" xfId="0" applyFont="1" applyFill="1" applyBorder="1" applyAlignment="1">
      <alignment horizontal="center" vertical="center" wrapText="1"/>
    </xf>
    <xf numFmtId="0" fontId="43" fillId="12" borderId="1" xfId="11" applyFont="1" applyFill="1" applyBorder="1" applyAlignment="1">
      <alignment horizontal="center" vertical="center"/>
    </xf>
    <xf numFmtId="0" fontId="43" fillId="12" borderId="29" xfId="11" applyFont="1" applyFill="1" applyBorder="1" applyAlignment="1">
      <alignment horizontal="center" vertical="center"/>
    </xf>
  </cellXfs>
  <cellStyles count="39">
    <cellStyle name="Обычный" xfId="0" builtinId="0"/>
    <cellStyle name="Обычный 2" xfId="4" xr:uid="{00000000-0005-0000-0000-000001000000}"/>
    <cellStyle name="Обычный 2 2" xfId="19" xr:uid="{9A197BC5-7B0A-497A-BC71-A80297AF9735}"/>
    <cellStyle name="Обычный 3" xfId="1" xr:uid="{00000000-0005-0000-0000-000002000000}"/>
    <cellStyle name="Обычный 4" xfId="7" xr:uid="{00000000-0005-0000-0000-000003000000}"/>
    <cellStyle name="Обычный 4 2" xfId="21" xr:uid="{4E5AA1DE-0247-45F3-A3B8-0875D279A515}"/>
    <cellStyle name="Обычный 5" xfId="8" xr:uid="{00000000-0005-0000-0000-000004000000}"/>
    <cellStyle name="Обычный 6" xfId="14" xr:uid="{00000000-0005-0000-0000-000005000000}"/>
    <cellStyle name="Обычный 6 2" xfId="26" xr:uid="{E7422167-23D9-412E-A7E4-6E0F548D08B7}"/>
    <cellStyle name="Обычный 7" xfId="3" xr:uid="{00000000-0005-0000-0000-000006000000}"/>
    <cellStyle name="Обычный 7 2" xfId="9" xr:uid="{00000000-0005-0000-0000-000007000000}"/>
    <cellStyle name="Обычный 7 2 2" xfId="12" xr:uid="{00000000-0005-0000-0000-000008000000}"/>
    <cellStyle name="Обычный 7 2 2 2" xfId="24" xr:uid="{17E16DC8-AC3E-4D37-811B-C1418B2D06E3}"/>
    <cellStyle name="Обычный 7 2 3" xfId="16" xr:uid="{340845B7-F3B9-496E-96BF-6EBC06B9BBD4}"/>
    <cellStyle name="Обычный 7 2 3 2" xfId="28" xr:uid="{C7C4713B-C74B-4C27-B85A-5B0679C4300B}"/>
    <cellStyle name="Обычный 7 2 4" xfId="22" xr:uid="{E674A594-648A-4DAF-A234-D191D5D5A1B7}"/>
    <cellStyle name="Обычный 7 2 5" xfId="32" xr:uid="{0F817B9C-3110-40B4-B318-F1837C2D58BC}"/>
    <cellStyle name="Обычный 7 2 6" xfId="36" xr:uid="{0D591DB7-E094-407D-95E0-098712F27418}"/>
    <cellStyle name="Обычный 7 3" xfId="11" xr:uid="{00000000-0005-0000-0000-000009000000}"/>
    <cellStyle name="Обычный 7 3 2" xfId="23" xr:uid="{D8BF916F-9784-4BC9-AD3C-3B1365B23675}"/>
    <cellStyle name="Обычный 7 4" xfId="15" xr:uid="{D98429BE-F47E-44FA-A5A8-8CCF02033553}"/>
    <cellStyle name="Обычный 7 4 2" xfId="27" xr:uid="{8BE0A8FC-6EE1-45B5-AF09-5E00ECE03D72}"/>
    <cellStyle name="Обычный 7 5" xfId="18" xr:uid="{DFFBC670-7876-4955-893D-2CEB2E6EC958}"/>
    <cellStyle name="Обычный 7 6" xfId="31" xr:uid="{259AB8AC-23D3-4938-936E-DB87F743D4D7}"/>
    <cellStyle name="Обычный 7 7" xfId="35" xr:uid="{C0121FCE-F87E-4B04-9DA7-44410A56A0F0}"/>
    <cellStyle name="Обычный 8" xfId="30" xr:uid="{53C2192C-9B11-4A43-8695-79DC779AD866}"/>
    <cellStyle name="Обычный_Аренда техники" xfId="10" xr:uid="{00000000-0005-0000-0000-00000A000000}"/>
    <cellStyle name="Обычный_АрендаОтчет" xfId="2" xr:uid="{00000000-0005-0000-0000-00000B000000}"/>
    <cellStyle name="Обычный_Лист1" xfId="6" xr:uid="{00000000-0005-0000-0000-00000C000000}"/>
    <cellStyle name="Обычный_Оренда техники" xfId="38" xr:uid="{D52A607E-264C-461B-8619-0DB862020C26}"/>
    <cellStyle name="Финансовый" xfId="5" builtinId="3"/>
    <cellStyle name="Финансовый 2" xfId="13" xr:uid="{00000000-0005-0000-0000-00000E000000}"/>
    <cellStyle name="Финансовый 2 2" xfId="25" xr:uid="{84D69094-9A88-411B-B318-FC3C90BC7870}"/>
    <cellStyle name="Финансовый 3" xfId="17" xr:uid="{0ED412BA-94BC-404E-9D11-A5239AE9ADC0}"/>
    <cellStyle name="Финансовый 3 2" xfId="29" xr:uid="{67B17475-A6AD-4615-ADE6-BD5769E75531}"/>
    <cellStyle name="Финансовый 4" xfId="20" xr:uid="{28F43980-06A8-443A-86BD-30BD49655676}"/>
    <cellStyle name="Финансовый 5" xfId="33" xr:uid="{CFE64A32-219A-4A37-ABB0-DDBD51A00F63}"/>
    <cellStyle name="Финансовый 6" xfId="34" xr:uid="{8D37AF0B-C7A5-4A89-9431-9B6EB78BB05C}"/>
    <cellStyle name="Финансовый 7" xfId="37" xr:uid="{57D7E402-A190-4E0E-AA38-BC02C23B5E6A}"/>
  </cellStyles>
  <dxfs count="4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196</xdr:row>
      <xdr:rowOff>0</xdr:rowOff>
    </xdr:from>
    <xdr:to>
      <xdr:col>23</xdr:col>
      <xdr:colOff>462534</xdr:colOff>
      <xdr:row>252</xdr:row>
      <xdr:rowOff>44434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CB771A-26AD-B3A4-8478-534F0F04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58720"/>
          <a:ext cx="18285714" cy="102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2;&#1057;&#1045;/&#1058;&#1077;&#1093;&#1085;&#1080;&#1082;&#1072;,%20&#1083;&#1086;&#1075;&#1080;&#1089;&#1090;&#1080;&#1082;&#1072;/&#1088;&#1072;&#1087;&#1086;&#1088;&#1090;+&#1090;&#1072;&#1073;&#1077;&#1083;&#1100;+&#1090;&#1086;&#1087;&#1083;&#1080;&#1074;&#1086;/&#1060;&#1077;&#1074;&#1088;&#1072;&#1083;&#1100;/&#1058;&#1072;&#1073;&#1077;&#1083;&#1100;&#1057;&#1087;&#1077;&#1094;&#1090;&#1077;&#1093;&#1085;&#1080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070;&#1051;&#1068;/&#1058;&#1072;&#1073;&#1077;&#1083;&#1100;&#1057;&#1087;&#1077;&#1094;&#1090;&#1077;&#1093;&#1085;&#1080;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102;&#1085;&#1100;/&#1090;&#1086;&#1087;&#1083;&#1080;&#1074;&#1086;%20&#1089;%20&#1084;&#1086;&#1090;&#1086;&#1095;&#1072;&#1089;&#1072;&#1084;&#108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070;&#1051;&#1068;/&#1090;&#1086;&#1087;&#1083;&#1080;&#1074;&#1086;%20&#1089;%20&#1084;&#1086;&#1090;&#1086;&#1095;&#1072;&#1089;&#1072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ель"/>
      <sheetName val="ИНФО"/>
      <sheetName val="МЕХАНИЗАТОРЫ"/>
      <sheetName val="СВОД"/>
      <sheetName val="График"/>
      <sheetName val="ИНФО_СПЕЦТЕХНИКА"/>
      <sheetName val="Объекты"/>
      <sheetName val="К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Староконстантинов</v>
          </cell>
        </row>
        <row r="3">
          <cell r="B3" t="str">
            <v>Приднепровский МЕТАЛЛ</v>
          </cell>
        </row>
        <row r="4">
          <cell r="B4" t="str">
            <v>МЭЗ СЕТИ</v>
          </cell>
        </row>
        <row r="5">
          <cell r="B5" t="str">
            <v>Ретал</v>
          </cell>
        </row>
        <row r="6">
          <cell r="B6" t="str">
            <v>Биогаз</v>
          </cell>
        </row>
        <row r="7">
          <cell r="B7" t="str">
            <v>Крушинка</v>
          </cell>
        </row>
        <row r="8">
          <cell r="B8" t="str">
            <v>Подгорцы</v>
          </cell>
        </row>
        <row r="9">
          <cell r="B9" t="str">
            <v>Турбина-2</v>
          </cell>
        </row>
        <row r="10">
          <cell r="B10" t="str">
            <v>Ладыжин-3</v>
          </cell>
        </row>
        <row r="11">
          <cell r="B11" t="str">
            <v>Флекси Танки</v>
          </cell>
        </row>
        <row r="12">
          <cell r="B12" t="str">
            <v>Стороняя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ель"/>
      <sheetName val="ИНФО"/>
      <sheetName val="МЕХАНИЗАТОРЫ"/>
      <sheetName val="СВОД"/>
      <sheetName val="График"/>
      <sheetName val="ИНФО_СПЕЦТЕХНИКА"/>
      <sheetName val="Объекты"/>
      <sheetName val="КОД"/>
    </sheetNames>
    <sheetDataSet>
      <sheetData sheetId="0">
        <row r="1">
          <cell r="B1" t="str">
            <v>РАПОРТЫ ПО ЕДИНИЦАМ СТРОИТЕЛЬНОЙ ТЕХНИКИ</v>
          </cell>
        </row>
      </sheetData>
      <sheetData sheetId="1">
        <row r="1">
          <cell r="B1" t="str">
            <v>Табель</v>
          </cell>
        </row>
      </sheetData>
      <sheetData sheetId="2" refreshError="1"/>
      <sheetData sheetId="3"/>
      <sheetData sheetId="4" refreshError="1"/>
      <sheetData sheetId="5">
        <row r="4">
          <cell r="D4" t="str">
            <v>Телескоп №1</v>
          </cell>
        </row>
      </sheetData>
      <sheetData sheetId="6">
        <row r="2">
          <cell r="B2" t="str">
            <v>Староконстантинов</v>
          </cell>
        </row>
        <row r="3">
          <cell r="B3" t="str">
            <v>Приднепровский МЕТАЛЛ</v>
          </cell>
        </row>
        <row r="4">
          <cell r="B4" t="str">
            <v>МЭЗ СЕТИ</v>
          </cell>
        </row>
        <row r="5">
          <cell r="B5" t="str">
            <v>Ретал</v>
          </cell>
        </row>
        <row r="6">
          <cell r="B6" t="str">
            <v>Биогаз</v>
          </cell>
        </row>
        <row r="7">
          <cell r="B7" t="str">
            <v>Крушинка</v>
          </cell>
        </row>
        <row r="8">
          <cell r="B8" t="str">
            <v>Подгорцы</v>
          </cell>
        </row>
        <row r="9">
          <cell r="B9" t="str">
            <v>Турбина-2</v>
          </cell>
        </row>
        <row r="10">
          <cell r="B10" t="str">
            <v>Ладыжин-3</v>
          </cell>
        </row>
        <row r="11">
          <cell r="B11" t="str">
            <v>Флекси Танки</v>
          </cell>
        </row>
        <row r="12">
          <cell r="B12" t="str">
            <v>Стороняя</v>
          </cell>
        </row>
      </sheetData>
      <sheetData sheetId="7">
        <row r="1">
          <cell r="A1" t="str">
            <v>Наименование (полное)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4"/>
      <sheetName val="Март 2024"/>
      <sheetName val="Апрель 2024"/>
      <sheetName val="Май 2024 "/>
      <sheetName val="Июнь 2024 "/>
      <sheetName val="февраль-апрель "/>
      <sheetName val="Борецька"/>
      <sheetName val="Тарас"/>
    </sheetNames>
    <sheetDataSet>
      <sheetData sheetId="0" refreshError="1"/>
      <sheetData sheetId="1" refreshError="1"/>
      <sheetData sheetId="2"/>
      <sheetData sheetId="3">
        <row r="2">
          <cell r="E2">
            <v>80</v>
          </cell>
          <cell r="H2">
            <v>14075</v>
          </cell>
        </row>
        <row r="3">
          <cell r="E3">
            <v>110</v>
          </cell>
          <cell r="H3">
            <v>10563</v>
          </cell>
        </row>
        <row r="4">
          <cell r="H4" t="e">
            <v>#N/A</v>
          </cell>
        </row>
        <row r="5">
          <cell r="E5">
            <v>60</v>
          </cell>
          <cell r="H5">
            <v>9096</v>
          </cell>
        </row>
        <row r="6">
          <cell r="E6">
            <v>110</v>
          </cell>
          <cell r="H6">
            <v>0</v>
          </cell>
        </row>
        <row r="7">
          <cell r="E7">
            <v>90</v>
          </cell>
          <cell r="H7">
            <v>4934</v>
          </cell>
        </row>
        <row r="9">
          <cell r="E9">
            <v>90</v>
          </cell>
          <cell r="H9">
            <v>17188</v>
          </cell>
        </row>
        <row r="10">
          <cell r="E10">
            <v>20</v>
          </cell>
          <cell r="H10">
            <v>3915</v>
          </cell>
        </row>
        <row r="11">
          <cell r="E11">
            <v>10</v>
          </cell>
          <cell r="H11">
            <v>11698</v>
          </cell>
        </row>
        <row r="12">
          <cell r="E12">
            <v>169</v>
          </cell>
          <cell r="H12">
            <v>7064</v>
          </cell>
        </row>
        <row r="13">
          <cell r="E13">
            <v>150</v>
          </cell>
          <cell r="H13">
            <v>30838</v>
          </cell>
        </row>
        <row r="14">
          <cell r="E14">
            <v>120</v>
          </cell>
          <cell r="H14">
            <v>34272</v>
          </cell>
        </row>
        <row r="15">
          <cell r="E15">
            <v>229</v>
          </cell>
          <cell r="H15">
            <v>559189</v>
          </cell>
        </row>
        <row r="16">
          <cell r="E16">
            <v>143</v>
          </cell>
          <cell r="H16">
            <v>64107</v>
          </cell>
        </row>
        <row r="17">
          <cell r="H17" t="e">
            <v>#N/A</v>
          </cell>
        </row>
        <row r="18">
          <cell r="E18">
            <v>130</v>
          </cell>
        </row>
        <row r="19">
          <cell r="E19">
            <v>20</v>
          </cell>
          <cell r="H19">
            <v>5749</v>
          </cell>
        </row>
        <row r="22">
          <cell r="E22">
            <v>1531</v>
          </cell>
        </row>
      </sheetData>
      <sheetData sheetId="4"/>
      <sheetData sheetId="5" refreshError="1"/>
      <sheetData sheetId="6" refreshError="1"/>
      <sheetData sheetId="7">
        <row r="4">
          <cell r="C4" t="str">
            <v>Телескоп 1</v>
          </cell>
          <cell r="D4" t="str">
            <v>№1</v>
          </cell>
          <cell r="E4" t="str">
            <v>JCB 535-125</v>
          </cell>
          <cell r="F4">
            <v>2008</v>
          </cell>
          <cell r="H4" t="str">
            <v>16871 АІ</v>
          </cell>
          <cell r="I4">
            <v>0.53</v>
          </cell>
          <cell r="J4">
            <v>13830</v>
          </cell>
          <cell r="K4">
            <v>15</v>
          </cell>
          <cell r="L4">
            <v>907</v>
          </cell>
          <cell r="M4">
            <v>494</v>
          </cell>
          <cell r="N4">
            <v>171</v>
          </cell>
          <cell r="O4">
            <v>103</v>
          </cell>
          <cell r="P4">
            <v>3.4</v>
          </cell>
        </row>
        <row r="5">
          <cell r="C5" t="str">
            <v>Телескоп 2</v>
          </cell>
          <cell r="D5" t="str">
            <v>№2</v>
          </cell>
          <cell r="E5" t="str">
            <v>JCB 535-125</v>
          </cell>
          <cell r="F5">
            <v>2011</v>
          </cell>
          <cell r="H5" t="str">
            <v>24257 АІ</v>
          </cell>
          <cell r="I5">
            <v>0.53</v>
          </cell>
          <cell r="J5">
            <v>10107</v>
          </cell>
          <cell r="K5">
            <v>28</v>
          </cell>
          <cell r="L5">
            <v>430</v>
          </cell>
          <cell r="M5">
            <v>540</v>
          </cell>
          <cell r="N5">
            <v>202</v>
          </cell>
          <cell r="O5">
            <v>130</v>
          </cell>
          <cell r="P5">
            <v>3.4</v>
          </cell>
        </row>
        <row r="6">
          <cell r="D6" t="str">
            <v>№3</v>
          </cell>
          <cell r="E6" t="str">
            <v>JCB 535-105</v>
          </cell>
          <cell r="F6">
            <v>2012</v>
          </cell>
          <cell r="H6" t="str">
            <v>74869 АA</v>
          </cell>
          <cell r="I6">
            <v>0.53</v>
          </cell>
          <cell r="O6">
            <v>0</v>
          </cell>
          <cell r="P6">
            <v>3.4</v>
          </cell>
        </row>
        <row r="7">
          <cell r="C7" t="str">
            <v>Телескоп JCB 535-140 (№4)</v>
          </cell>
          <cell r="D7" t="str">
            <v>№4</v>
          </cell>
          <cell r="E7" t="str">
            <v>JCb 535-140</v>
          </cell>
          <cell r="F7">
            <v>2013</v>
          </cell>
          <cell r="H7" t="str">
            <v>76330 АA</v>
          </cell>
          <cell r="I7">
            <v>0.53</v>
          </cell>
          <cell r="J7">
            <v>8363</v>
          </cell>
          <cell r="K7">
            <v>14</v>
          </cell>
          <cell r="L7">
            <v>520</v>
          </cell>
          <cell r="M7">
            <v>594</v>
          </cell>
          <cell r="N7">
            <v>187</v>
          </cell>
          <cell r="O7">
            <v>134</v>
          </cell>
          <cell r="P7">
            <v>3.4</v>
          </cell>
        </row>
        <row r="8">
          <cell r="C8" t="str">
            <v>Телескоп JCB 540-170 №5</v>
          </cell>
          <cell r="D8" t="str">
            <v>№5</v>
          </cell>
          <cell r="E8" t="str">
            <v>JCB 540-170</v>
          </cell>
          <cell r="F8">
            <v>2013</v>
          </cell>
          <cell r="H8" t="str">
            <v>79905 АA</v>
          </cell>
          <cell r="I8">
            <v>0.53</v>
          </cell>
          <cell r="K8">
            <v>12</v>
          </cell>
          <cell r="L8">
            <v>560</v>
          </cell>
          <cell r="M8">
            <v>647</v>
          </cell>
          <cell r="N8">
            <v>204</v>
          </cell>
          <cell r="O8">
            <v>108.12</v>
          </cell>
          <cell r="P8">
            <v>3.4</v>
          </cell>
        </row>
        <row r="9">
          <cell r="D9" t="str">
            <v>Ротор</v>
          </cell>
          <cell r="E9" t="str">
            <v>Dieci Pegasus  40.25</v>
          </cell>
          <cell r="F9">
            <v>2008</v>
          </cell>
          <cell r="H9" t="str">
            <v>25685 АA</v>
          </cell>
          <cell r="K9" t="str">
            <v xml:space="preserve">Н/Д </v>
          </cell>
        </row>
        <row r="10">
          <cell r="C10" t="str">
            <v>Экскаватор  JCB</v>
          </cell>
          <cell r="D10">
            <v>2007</v>
          </cell>
          <cell r="E10" t="str">
            <v>JCB 3CX SM 4T</v>
          </cell>
          <cell r="F10">
            <v>2007</v>
          </cell>
          <cell r="H10" t="str">
            <v>23510 АA</v>
          </cell>
          <cell r="I10">
            <v>0.55000000000000004</v>
          </cell>
          <cell r="K10">
            <v>17</v>
          </cell>
          <cell r="L10">
            <v>760</v>
          </cell>
          <cell r="M10">
            <v>525</v>
          </cell>
          <cell r="N10">
            <v>162</v>
          </cell>
          <cell r="O10">
            <v>89.100000000000009</v>
          </cell>
          <cell r="P10">
            <v>4.0999999999999996</v>
          </cell>
        </row>
        <row r="11">
          <cell r="C11" t="str">
            <v>Экскаватор  JCB 3CX 2008</v>
          </cell>
          <cell r="D11">
            <v>2008</v>
          </cell>
          <cell r="E11" t="str">
            <v>JCB 3CX 2008</v>
          </cell>
          <cell r="F11">
            <v>2008</v>
          </cell>
          <cell r="H11" t="str">
            <v>76742 AA</v>
          </cell>
          <cell r="I11">
            <v>0.55000000000000004</v>
          </cell>
          <cell r="J11">
            <v>3230</v>
          </cell>
          <cell r="K11">
            <v>16</v>
          </cell>
          <cell r="L11">
            <v>837</v>
          </cell>
          <cell r="M11">
            <v>831</v>
          </cell>
          <cell r="N11">
            <v>195</v>
          </cell>
          <cell r="O11">
            <v>173</v>
          </cell>
          <cell r="P11">
            <v>4.0999999999999996</v>
          </cell>
        </row>
        <row r="12">
          <cell r="C12" t="str">
            <v>Экскаватор  JCB 2013</v>
          </cell>
          <cell r="D12">
            <v>2013</v>
          </cell>
          <cell r="E12" t="str">
            <v>JCB 3CX 2013</v>
          </cell>
          <cell r="F12">
            <v>2013</v>
          </cell>
          <cell r="H12" t="str">
            <v>74303 AA</v>
          </cell>
          <cell r="I12">
            <v>0.55000000000000004</v>
          </cell>
          <cell r="J12">
            <v>10827</v>
          </cell>
          <cell r="K12">
            <v>21</v>
          </cell>
          <cell r="L12">
            <v>990</v>
          </cell>
          <cell r="M12">
            <v>690</v>
          </cell>
          <cell r="N12">
            <v>144</v>
          </cell>
          <cell r="O12">
            <v>141</v>
          </cell>
          <cell r="P12">
            <v>4.0999999999999996</v>
          </cell>
        </row>
        <row r="13">
          <cell r="C13" t="str">
            <v xml:space="preserve">Экскаватор  JCB 220 </v>
          </cell>
          <cell r="D13">
            <v>220</v>
          </cell>
          <cell r="E13" t="str">
            <v>JCB 220 LC</v>
          </cell>
          <cell r="F13">
            <v>2013</v>
          </cell>
          <cell r="H13" t="str">
            <v>72992 AA</v>
          </cell>
          <cell r="I13">
            <v>0.79</v>
          </cell>
          <cell r="J13">
            <v>6543</v>
          </cell>
          <cell r="K13">
            <v>45</v>
          </cell>
          <cell r="L13">
            <v>40</v>
          </cell>
          <cell r="M13">
            <v>306</v>
          </cell>
          <cell r="N13">
            <v>12</v>
          </cell>
          <cell r="O13">
            <v>21</v>
          </cell>
          <cell r="P13">
            <v>10.5</v>
          </cell>
        </row>
        <row r="14">
          <cell r="C14" t="str">
            <v>Автокран XCMG</v>
          </cell>
          <cell r="D14" t="str">
            <v>XCMG - 25</v>
          </cell>
          <cell r="E14" t="str">
            <v>XCMG - 25 K</v>
          </cell>
          <cell r="F14">
            <v>2016</v>
          </cell>
          <cell r="H14" t="str">
            <v>KA2204BC</v>
          </cell>
          <cell r="I14">
            <v>0.7</v>
          </cell>
          <cell r="J14">
            <v>53610</v>
          </cell>
          <cell r="K14">
            <v>42</v>
          </cell>
          <cell r="L14">
            <v>577</v>
          </cell>
          <cell r="M14">
            <v>560</v>
          </cell>
          <cell r="N14">
            <v>223</v>
          </cell>
          <cell r="O14">
            <v>106</v>
          </cell>
          <cell r="P14">
            <v>3.2</v>
          </cell>
        </row>
        <row r="15">
          <cell r="D15" t="str">
            <v>XCMG - 55</v>
          </cell>
          <cell r="E15" t="str">
            <v>XCMG QAY55</v>
          </cell>
          <cell r="F15">
            <v>2014</v>
          </cell>
          <cell r="H15" t="str">
            <v>75855 AA</v>
          </cell>
          <cell r="K15" t="str">
            <v>Н/Д</v>
          </cell>
        </row>
        <row r="16">
          <cell r="D16" t="str">
            <v>Клинцы</v>
          </cell>
          <cell r="E16" t="str">
            <v>Клинцы кс-55713-1н</v>
          </cell>
          <cell r="F16">
            <v>2008</v>
          </cell>
          <cell r="H16" t="str">
            <v>КА6916АР</v>
          </cell>
          <cell r="K16" t="str">
            <v>Н/Д</v>
          </cell>
        </row>
        <row r="17">
          <cell r="D17" t="str">
            <v>РДК  №1</v>
          </cell>
          <cell r="E17" t="str">
            <v>РДК-250-3</v>
          </cell>
          <cell r="F17">
            <v>1990</v>
          </cell>
          <cell r="K17" t="str">
            <v>Н/Д</v>
          </cell>
        </row>
        <row r="18">
          <cell r="D18" t="str">
            <v>РДК №2</v>
          </cell>
          <cell r="E18" t="str">
            <v xml:space="preserve">РДК-250-3 </v>
          </cell>
          <cell r="F18">
            <v>1989</v>
          </cell>
          <cell r="K18" t="str">
            <v>Н/Д</v>
          </cell>
        </row>
        <row r="19">
          <cell r="C19" t="str">
            <v>МАЗ 264</v>
          </cell>
          <cell r="D19">
            <v>264</v>
          </cell>
          <cell r="E19" t="str">
            <v>МАЗ 5550</v>
          </cell>
          <cell r="F19">
            <v>2019</v>
          </cell>
          <cell r="H19" t="str">
            <v>АА9157КМ</v>
          </cell>
          <cell r="I19" t="str">
            <v>км</v>
          </cell>
          <cell r="J19">
            <v>27209</v>
          </cell>
          <cell r="K19">
            <v>27</v>
          </cell>
          <cell r="L19">
            <v>868</v>
          </cell>
          <cell r="M19">
            <v>683</v>
          </cell>
          <cell r="N19">
            <v>118</v>
          </cell>
          <cell r="O19">
            <v>499</v>
          </cell>
          <cell r="P19">
            <v>0.9</v>
          </cell>
        </row>
        <row r="20">
          <cell r="C20" t="str">
            <v>МАЗ 265</v>
          </cell>
          <cell r="D20">
            <v>265</v>
          </cell>
          <cell r="E20" t="str">
            <v>МАЗ 5550</v>
          </cell>
          <cell r="F20">
            <v>2019</v>
          </cell>
          <cell r="H20" t="str">
            <v>АА9158КМ</v>
          </cell>
          <cell r="I20" t="str">
            <v>км</v>
          </cell>
          <cell r="J20">
            <v>32305</v>
          </cell>
          <cell r="K20">
            <v>19</v>
          </cell>
          <cell r="L20">
            <v>217</v>
          </cell>
          <cell r="M20">
            <v>460</v>
          </cell>
          <cell r="N20">
            <v>97</v>
          </cell>
          <cell r="O20">
            <v>98</v>
          </cell>
          <cell r="P20">
            <v>0.9</v>
          </cell>
        </row>
        <row r="21">
          <cell r="C21" t="str">
            <v>Самосвал Камаз</v>
          </cell>
          <cell r="D21" t="str">
            <v>Самосвал  Камаз</v>
          </cell>
          <cell r="E21" t="str">
            <v>Камаз 53215-053-15</v>
          </cell>
          <cell r="F21">
            <v>2011</v>
          </cell>
          <cell r="H21" t="str">
            <v>KA2057AM</v>
          </cell>
          <cell r="I21" t="str">
            <v>км</v>
          </cell>
          <cell r="J21">
            <v>556233</v>
          </cell>
          <cell r="K21">
            <v>38</v>
          </cell>
          <cell r="L21">
            <v>509</v>
          </cell>
          <cell r="M21">
            <v>968</v>
          </cell>
          <cell r="N21">
            <v>167</v>
          </cell>
          <cell r="O21">
            <v>733</v>
          </cell>
          <cell r="P21">
            <v>0.9</v>
          </cell>
        </row>
        <row r="22">
          <cell r="C22" t="str">
            <v>Самосвал МАЗ</v>
          </cell>
          <cell r="D22" t="str">
            <v>Самосвал МАЗ</v>
          </cell>
          <cell r="E22" t="str">
            <v>МАЗ 65162</v>
          </cell>
          <cell r="H22" t="str">
            <v>KA5409BB</v>
          </cell>
          <cell r="I22" t="str">
            <v>км</v>
          </cell>
          <cell r="J22">
            <v>62974</v>
          </cell>
          <cell r="K22">
            <v>45</v>
          </cell>
          <cell r="L22">
            <v>336</v>
          </cell>
          <cell r="M22">
            <v>368</v>
          </cell>
          <cell r="N22">
            <v>70</v>
          </cell>
          <cell r="O22">
            <v>83</v>
          </cell>
          <cell r="P22">
            <v>0.9</v>
          </cell>
        </row>
        <row r="23">
          <cell r="C23" t="str">
            <v>Виброкаток</v>
          </cell>
          <cell r="D23" t="str">
            <v>Каток</v>
          </cell>
          <cell r="E23" t="str">
            <v>HAMM 3307</v>
          </cell>
          <cell r="F23">
            <v>2013</v>
          </cell>
          <cell r="H23" t="str">
            <v>26123 AI</v>
          </cell>
          <cell r="I23">
            <v>0.6</v>
          </cell>
          <cell r="J23">
            <v>4690</v>
          </cell>
          <cell r="K23">
            <v>22</v>
          </cell>
          <cell r="L23">
            <v>240</v>
          </cell>
          <cell r="M23">
            <v>125</v>
          </cell>
          <cell r="N23">
            <v>16</v>
          </cell>
          <cell r="O23">
            <v>9.6</v>
          </cell>
          <cell r="P23">
            <v>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4"/>
      <sheetName val="Март 2024"/>
      <sheetName val="Апрель 2024"/>
      <sheetName val="Май 2024 "/>
      <sheetName val="Июнь 2024 "/>
      <sheetName val="Июль 2024"/>
      <sheetName val="февраль-апрель "/>
      <sheetName val="Борецька"/>
      <sheetName val="Тарас"/>
    </sheetNames>
    <sheetDataSet>
      <sheetData sheetId="0"/>
      <sheetData sheetId="1"/>
      <sheetData sheetId="2"/>
      <sheetData sheetId="3"/>
      <sheetData sheetId="4">
        <row r="2">
          <cell r="H2">
            <v>14075</v>
          </cell>
        </row>
      </sheetData>
      <sheetData sheetId="5"/>
      <sheetData sheetId="6"/>
      <sheetData sheetId="7"/>
      <sheetData sheetId="8">
        <row r="4">
          <cell r="C4" t="str">
            <v>Телескоп 1</v>
          </cell>
          <cell r="D4" t="str">
            <v>№1</v>
          </cell>
          <cell r="E4" t="str">
            <v>JCB 535-125</v>
          </cell>
          <cell r="F4">
            <v>2008</v>
          </cell>
          <cell r="H4" t="str">
            <v>16871 АІ</v>
          </cell>
          <cell r="I4">
            <v>0.53</v>
          </cell>
          <cell r="J4">
            <v>13830</v>
          </cell>
          <cell r="K4">
            <v>15</v>
          </cell>
          <cell r="L4">
            <v>907</v>
          </cell>
          <cell r="M4">
            <v>494</v>
          </cell>
          <cell r="N4">
            <v>171</v>
          </cell>
          <cell r="O4">
            <v>103</v>
          </cell>
          <cell r="P4">
            <v>3.4</v>
          </cell>
        </row>
        <row r="5">
          <cell r="C5" t="str">
            <v>Телескоп 2</v>
          </cell>
          <cell r="D5" t="str">
            <v>№2</v>
          </cell>
          <cell r="E5" t="str">
            <v>JCB 535-125</v>
          </cell>
          <cell r="F5">
            <v>2011</v>
          </cell>
          <cell r="H5" t="str">
            <v>24257 АІ</v>
          </cell>
          <cell r="I5">
            <v>0.53</v>
          </cell>
          <cell r="J5">
            <v>10107</v>
          </cell>
          <cell r="K5">
            <v>28</v>
          </cell>
          <cell r="L5">
            <v>430</v>
          </cell>
          <cell r="M5">
            <v>540</v>
          </cell>
          <cell r="N5">
            <v>202</v>
          </cell>
          <cell r="O5">
            <v>130</v>
          </cell>
          <cell r="P5">
            <v>3.4</v>
          </cell>
        </row>
        <row r="6">
          <cell r="D6" t="str">
            <v>№3</v>
          </cell>
          <cell r="E6" t="str">
            <v>JCB 535-105</v>
          </cell>
          <cell r="F6">
            <v>2012</v>
          </cell>
          <cell r="H6" t="str">
            <v>74869 АA</v>
          </cell>
          <cell r="I6">
            <v>0.53</v>
          </cell>
          <cell r="O6">
            <v>0</v>
          </cell>
          <cell r="P6">
            <v>3.4</v>
          </cell>
        </row>
        <row r="7">
          <cell r="C7" t="str">
            <v>Телескоп JCB 535-140 (№4)</v>
          </cell>
          <cell r="D7" t="str">
            <v>№4</v>
          </cell>
          <cell r="E7" t="str">
            <v>JCb 535-140</v>
          </cell>
          <cell r="F7">
            <v>2013</v>
          </cell>
          <cell r="H7" t="str">
            <v>76330 АA</v>
          </cell>
          <cell r="I7">
            <v>0.53</v>
          </cell>
          <cell r="J7">
            <v>8363</v>
          </cell>
          <cell r="K7">
            <v>14</v>
          </cell>
          <cell r="L7">
            <v>520</v>
          </cell>
          <cell r="M7">
            <v>594</v>
          </cell>
          <cell r="N7">
            <v>187</v>
          </cell>
          <cell r="O7">
            <v>134</v>
          </cell>
          <cell r="P7">
            <v>3.4</v>
          </cell>
        </row>
        <row r="8">
          <cell r="C8" t="str">
            <v>Телескоп JCB 540-170 №5</v>
          </cell>
          <cell r="D8" t="str">
            <v>№5</v>
          </cell>
          <cell r="E8" t="str">
            <v>JCB 540-170</v>
          </cell>
          <cell r="F8">
            <v>2013</v>
          </cell>
          <cell r="H8" t="str">
            <v>79905 АA</v>
          </cell>
          <cell r="I8">
            <v>0.53</v>
          </cell>
          <cell r="K8">
            <v>12</v>
          </cell>
          <cell r="L8">
            <v>560</v>
          </cell>
          <cell r="M8">
            <v>647</v>
          </cell>
          <cell r="N8">
            <v>204</v>
          </cell>
          <cell r="O8">
            <v>108.12</v>
          </cell>
          <cell r="P8">
            <v>3.4</v>
          </cell>
        </row>
        <row r="9">
          <cell r="D9" t="str">
            <v>Ротор</v>
          </cell>
          <cell r="E9" t="str">
            <v>Dieci Pegasus  40.25</v>
          </cell>
          <cell r="F9">
            <v>2008</v>
          </cell>
          <cell r="H9" t="str">
            <v>25685 АA</v>
          </cell>
          <cell r="K9" t="str">
            <v xml:space="preserve">Н/Д </v>
          </cell>
        </row>
        <row r="10">
          <cell r="C10" t="str">
            <v>Экскаватор  JCB</v>
          </cell>
          <cell r="D10">
            <v>2007</v>
          </cell>
          <cell r="E10" t="str">
            <v>JCB 3CX SM 4T</v>
          </cell>
          <cell r="F10">
            <v>2007</v>
          </cell>
          <cell r="H10" t="str">
            <v>23510 АA</v>
          </cell>
          <cell r="I10">
            <v>0.55000000000000004</v>
          </cell>
          <cell r="K10">
            <v>17</v>
          </cell>
          <cell r="L10">
            <v>760</v>
          </cell>
          <cell r="M10">
            <v>525</v>
          </cell>
          <cell r="N10">
            <v>162</v>
          </cell>
          <cell r="O10">
            <v>89.100000000000009</v>
          </cell>
          <cell r="P10">
            <v>4.0999999999999996</v>
          </cell>
        </row>
        <row r="11">
          <cell r="C11" t="str">
            <v>Экскаватор  JCB 3CX 2008</v>
          </cell>
          <cell r="D11">
            <v>2008</v>
          </cell>
          <cell r="E11" t="str">
            <v>JCB 3CX 2008</v>
          </cell>
          <cell r="F11">
            <v>2008</v>
          </cell>
          <cell r="H11" t="str">
            <v>76742 AA</v>
          </cell>
          <cell r="I11">
            <v>0.55000000000000004</v>
          </cell>
          <cell r="J11">
            <v>3230</v>
          </cell>
          <cell r="K11">
            <v>16</v>
          </cell>
          <cell r="L11">
            <v>837</v>
          </cell>
          <cell r="M11">
            <v>831</v>
          </cell>
          <cell r="N11">
            <v>195</v>
          </cell>
          <cell r="O11">
            <v>173</v>
          </cell>
          <cell r="P11">
            <v>4.0999999999999996</v>
          </cell>
        </row>
        <row r="12">
          <cell r="C12" t="str">
            <v>Экскаватор  JCB 2013</v>
          </cell>
          <cell r="D12">
            <v>2013</v>
          </cell>
          <cell r="E12" t="str">
            <v>JCB 3CX 2013</v>
          </cell>
          <cell r="F12">
            <v>2013</v>
          </cell>
          <cell r="H12" t="str">
            <v>74303 AA</v>
          </cell>
          <cell r="I12">
            <v>0.55000000000000004</v>
          </cell>
          <cell r="J12">
            <v>10827</v>
          </cell>
          <cell r="K12">
            <v>21</v>
          </cell>
          <cell r="L12">
            <v>990</v>
          </cell>
          <cell r="M12">
            <v>690</v>
          </cell>
          <cell r="N12">
            <v>144</v>
          </cell>
          <cell r="O12">
            <v>141</v>
          </cell>
          <cell r="P12">
            <v>4.0999999999999996</v>
          </cell>
        </row>
        <row r="13">
          <cell r="C13" t="str">
            <v xml:space="preserve">Экскаватор  JCB 220 </v>
          </cell>
          <cell r="D13">
            <v>220</v>
          </cell>
          <cell r="E13" t="str">
            <v>JCB 220 LC</v>
          </cell>
          <cell r="F13">
            <v>2013</v>
          </cell>
          <cell r="H13" t="str">
            <v>72992 AA</v>
          </cell>
          <cell r="I13">
            <v>0.79</v>
          </cell>
          <cell r="J13">
            <v>6543</v>
          </cell>
          <cell r="K13">
            <v>45</v>
          </cell>
          <cell r="L13">
            <v>40</v>
          </cell>
          <cell r="M13">
            <v>306</v>
          </cell>
          <cell r="N13">
            <v>12</v>
          </cell>
          <cell r="O13">
            <v>21</v>
          </cell>
          <cell r="P13">
            <v>10.5</v>
          </cell>
        </row>
        <row r="14">
          <cell r="C14" t="str">
            <v>Автокран XCMG</v>
          </cell>
          <cell r="D14" t="str">
            <v>XCMG - 25</v>
          </cell>
          <cell r="E14" t="str">
            <v>XCMG - 25 K</v>
          </cell>
          <cell r="F14">
            <v>2016</v>
          </cell>
          <cell r="H14" t="str">
            <v>KA2204BC</v>
          </cell>
          <cell r="I14">
            <v>0.7</v>
          </cell>
          <cell r="J14">
            <v>53610</v>
          </cell>
          <cell r="K14">
            <v>42</v>
          </cell>
          <cell r="L14">
            <v>577</v>
          </cell>
          <cell r="M14">
            <v>560</v>
          </cell>
          <cell r="N14">
            <v>223</v>
          </cell>
          <cell r="O14">
            <v>106</v>
          </cell>
          <cell r="P14">
            <v>3.2</v>
          </cell>
        </row>
        <row r="15">
          <cell r="D15" t="str">
            <v>XCMG - 55</v>
          </cell>
          <cell r="E15" t="str">
            <v>XCMG QAY55</v>
          </cell>
          <cell r="F15">
            <v>2014</v>
          </cell>
          <cell r="H15" t="str">
            <v>75855 AA</v>
          </cell>
          <cell r="K15" t="str">
            <v>Н/Д</v>
          </cell>
        </row>
        <row r="16">
          <cell r="D16" t="str">
            <v>Клинцы</v>
          </cell>
          <cell r="E16" t="str">
            <v>Клинцы кс-55713-1н</v>
          </cell>
          <cell r="F16">
            <v>2008</v>
          </cell>
          <cell r="H16" t="str">
            <v>КА6916АР</v>
          </cell>
          <cell r="K16" t="str">
            <v>Н/Д</v>
          </cell>
        </row>
        <row r="17">
          <cell r="D17" t="str">
            <v>РДК  №1</v>
          </cell>
          <cell r="E17" t="str">
            <v>РДК-250-3</v>
          </cell>
          <cell r="F17">
            <v>1990</v>
          </cell>
          <cell r="K17" t="str">
            <v>Н/Д</v>
          </cell>
        </row>
        <row r="18">
          <cell r="D18" t="str">
            <v>РДК №2</v>
          </cell>
          <cell r="E18" t="str">
            <v xml:space="preserve">РДК-250-3 </v>
          </cell>
          <cell r="F18">
            <v>1989</v>
          </cell>
          <cell r="K18" t="str">
            <v>Н/Д</v>
          </cell>
        </row>
        <row r="19">
          <cell r="C19" t="str">
            <v>МАЗ 264</v>
          </cell>
          <cell r="D19">
            <v>264</v>
          </cell>
          <cell r="E19" t="str">
            <v>МАЗ 5550</v>
          </cell>
          <cell r="F19">
            <v>2019</v>
          </cell>
          <cell r="H19" t="str">
            <v>АА9157КМ</v>
          </cell>
          <cell r="I19" t="str">
            <v>км</v>
          </cell>
          <cell r="J19">
            <v>27209</v>
          </cell>
          <cell r="K19">
            <v>27</v>
          </cell>
          <cell r="L19">
            <v>868</v>
          </cell>
          <cell r="M19">
            <v>683</v>
          </cell>
          <cell r="N19">
            <v>118</v>
          </cell>
          <cell r="O19">
            <v>499</v>
          </cell>
          <cell r="P19">
            <v>0.9</v>
          </cell>
        </row>
        <row r="20">
          <cell r="C20" t="str">
            <v>МАЗ 265</v>
          </cell>
          <cell r="D20">
            <v>265</v>
          </cell>
          <cell r="E20" t="str">
            <v>МАЗ 5550</v>
          </cell>
          <cell r="F20">
            <v>2019</v>
          </cell>
          <cell r="H20" t="str">
            <v>АА9158КМ</v>
          </cell>
          <cell r="I20" t="str">
            <v>км</v>
          </cell>
          <cell r="J20">
            <v>32305</v>
          </cell>
          <cell r="K20">
            <v>19</v>
          </cell>
          <cell r="L20">
            <v>217</v>
          </cell>
          <cell r="M20">
            <v>460</v>
          </cell>
          <cell r="N20">
            <v>97</v>
          </cell>
          <cell r="O20">
            <v>98</v>
          </cell>
          <cell r="P20">
            <v>0.9</v>
          </cell>
        </row>
        <row r="21">
          <cell r="C21" t="str">
            <v>Самосвал Камаз</v>
          </cell>
          <cell r="D21" t="str">
            <v>Самосвал  Камаз</v>
          </cell>
          <cell r="E21" t="str">
            <v>Камаз 53215-053-15</v>
          </cell>
          <cell r="F21">
            <v>2011</v>
          </cell>
          <cell r="H21" t="str">
            <v>KA2057AM</v>
          </cell>
          <cell r="I21" t="str">
            <v>км</v>
          </cell>
          <cell r="J21">
            <v>556233</v>
          </cell>
          <cell r="K21">
            <v>38</v>
          </cell>
          <cell r="L21">
            <v>509</v>
          </cell>
          <cell r="M21">
            <v>968</v>
          </cell>
          <cell r="N21">
            <v>167</v>
          </cell>
          <cell r="O21">
            <v>733</v>
          </cell>
          <cell r="P21">
            <v>0.9</v>
          </cell>
        </row>
        <row r="22">
          <cell r="C22" t="str">
            <v>Самосвал МАЗ</v>
          </cell>
          <cell r="D22" t="str">
            <v>Самосвал МАЗ</v>
          </cell>
          <cell r="E22" t="str">
            <v>МАЗ 65162</v>
          </cell>
          <cell r="H22" t="str">
            <v>KA5409BB</v>
          </cell>
          <cell r="I22" t="str">
            <v>км</v>
          </cell>
          <cell r="J22">
            <v>62974</v>
          </cell>
          <cell r="K22">
            <v>45</v>
          </cell>
          <cell r="L22">
            <v>336</v>
          </cell>
          <cell r="M22">
            <v>368</v>
          </cell>
          <cell r="N22">
            <v>70</v>
          </cell>
          <cell r="O22">
            <v>83</v>
          </cell>
          <cell r="P22">
            <v>0.9</v>
          </cell>
        </row>
        <row r="23">
          <cell r="C23" t="str">
            <v>Виброкаток</v>
          </cell>
          <cell r="D23" t="str">
            <v>Каток</v>
          </cell>
          <cell r="E23" t="str">
            <v>HAMM 3307</v>
          </cell>
          <cell r="F23">
            <v>2013</v>
          </cell>
          <cell r="H23" t="str">
            <v>26123 AI</v>
          </cell>
          <cell r="I23">
            <v>0.6</v>
          </cell>
          <cell r="J23">
            <v>4690</v>
          </cell>
          <cell r="K23">
            <v>22</v>
          </cell>
          <cell r="L23">
            <v>240</v>
          </cell>
          <cell r="M23">
            <v>125</v>
          </cell>
          <cell r="N23">
            <v>16</v>
          </cell>
          <cell r="O23">
            <v>9.6</v>
          </cell>
          <cell r="P23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zoomScaleNormal="100" workbookViewId="0">
      <selection activeCell="E13" sqref="E13"/>
    </sheetView>
  </sheetViews>
  <sheetFormatPr defaultRowHeight="15" outlineLevelCol="1" x14ac:dyDescent="0.25"/>
  <cols>
    <col min="1" max="1" width="21.7109375" customWidth="1"/>
    <col min="2" max="2" width="18.7109375" customWidth="1"/>
    <col min="3" max="3" width="11.42578125" customWidth="1"/>
    <col min="6" max="6" width="11.28515625" customWidth="1"/>
    <col min="7" max="7" width="9.5703125" bestFit="1" customWidth="1"/>
    <col min="10" max="10" width="11.7109375" customWidth="1"/>
    <col min="15" max="17" width="0" hidden="1" customWidth="1" outlineLevel="1"/>
    <col min="18" max="18" width="22.7109375" customWidth="1" collapsed="1"/>
    <col min="19" max="19" width="15.7109375" customWidth="1"/>
    <col min="20" max="20" width="9.85546875" bestFit="1" customWidth="1"/>
  </cols>
  <sheetData>
    <row r="1" spans="1:19" ht="68.25" thickBot="1" x14ac:dyDescent="0.3">
      <c r="A1" s="128" t="s">
        <v>15</v>
      </c>
      <c r="B1" s="129" t="s">
        <v>16</v>
      </c>
      <c r="C1" s="130" t="s">
        <v>17</v>
      </c>
      <c r="D1" s="130" t="s">
        <v>18</v>
      </c>
      <c r="E1" s="128" t="s">
        <v>19</v>
      </c>
      <c r="F1" s="131" t="s">
        <v>77</v>
      </c>
      <c r="G1" s="132" t="s">
        <v>20</v>
      </c>
      <c r="H1" s="133" t="s">
        <v>21</v>
      </c>
      <c r="I1" s="133" t="s">
        <v>78</v>
      </c>
      <c r="J1" s="134" t="s">
        <v>22</v>
      </c>
      <c r="K1" s="134" t="s">
        <v>23</v>
      </c>
      <c r="L1" s="130" t="s">
        <v>24</v>
      </c>
      <c r="M1" s="135" t="s">
        <v>79</v>
      </c>
      <c r="N1" s="136" t="s">
        <v>25</v>
      </c>
      <c r="O1" s="137" t="s">
        <v>26</v>
      </c>
      <c r="P1" s="137" t="s">
        <v>27</v>
      </c>
      <c r="Q1" s="137" t="s">
        <v>28</v>
      </c>
      <c r="R1" s="138"/>
    </row>
    <row r="2" spans="1:19" x14ac:dyDescent="0.25">
      <c r="A2" s="139" t="s">
        <v>29</v>
      </c>
      <c r="B2" s="140">
        <v>45444</v>
      </c>
      <c r="C2" s="105">
        <f>'[3]Май 2024 '!E2</f>
        <v>80</v>
      </c>
      <c r="D2" s="141">
        <f t="shared" ref="D2:D21" si="0">SUMIF($A$30:$A$99,A2,$B$30:$B$99)</f>
        <v>0</v>
      </c>
      <c r="E2" s="105">
        <v>80</v>
      </c>
      <c r="F2" s="142">
        <f>C2+D2-E2</f>
        <v>0</v>
      </c>
      <c r="G2" s="7">
        <f>'[3]Май 2024 '!H2</f>
        <v>14075</v>
      </c>
      <c r="H2" s="127">
        <v>14075</v>
      </c>
      <c r="I2" s="127">
        <f>H2-G2</f>
        <v>0</v>
      </c>
      <c r="J2" s="9">
        <v>0</v>
      </c>
      <c r="K2" s="9"/>
      <c r="L2" s="9">
        <v>0</v>
      </c>
      <c r="M2" s="9">
        <f>VLOOKUP(A2,[3]Тарас!$C$4:$P$23,14,0)</f>
        <v>3.4</v>
      </c>
      <c r="N2" s="143"/>
      <c r="O2" s="7">
        <f>194.94*I2</f>
        <v>0</v>
      </c>
      <c r="P2" s="7">
        <f>F2*$K$25</f>
        <v>0</v>
      </c>
      <c r="Q2" s="7">
        <f>O2-P2</f>
        <v>0</v>
      </c>
    </row>
    <row r="3" spans="1:19" x14ac:dyDescent="0.25">
      <c r="A3" s="22" t="s">
        <v>30</v>
      </c>
      <c r="B3" s="140">
        <v>45444</v>
      </c>
      <c r="C3" s="105">
        <f>'[3]Май 2024 '!E3</f>
        <v>110</v>
      </c>
      <c r="D3" s="141">
        <f t="shared" si="0"/>
        <v>500</v>
      </c>
      <c r="E3" s="105">
        <v>120</v>
      </c>
      <c r="F3" s="144">
        <f t="shared" ref="F3:F21" si="1">C3+D3-E3</f>
        <v>490</v>
      </c>
      <c r="G3" s="7">
        <f>'[3]Май 2024 '!H3</f>
        <v>10563</v>
      </c>
      <c r="H3" s="127">
        <v>10647</v>
      </c>
      <c r="I3" s="127">
        <f t="shared" ref="I3:I19" si="2">H3-G3</f>
        <v>84</v>
      </c>
      <c r="J3" s="9">
        <v>0</v>
      </c>
      <c r="K3" s="9"/>
      <c r="L3" s="9">
        <v>191</v>
      </c>
      <c r="M3" s="9">
        <f>VLOOKUP(A3,[3]Тарас!$C$4:$P$23,14,0)</f>
        <v>3.4</v>
      </c>
      <c r="N3" s="145">
        <f>F3/I3</f>
        <v>5.833333333333333</v>
      </c>
      <c r="O3" s="7">
        <f t="shared" ref="O3:O21" si="3">194.94*I3</f>
        <v>16374.96</v>
      </c>
      <c r="P3" s="7">
        <f t="shared" ref="P3:P21" si="4">F3*$K$25</f>
        <v>26100.363597623145</v>
      </c>
      <c r="Q3" s="7">
        <f>O3-P3</f>
        <v>-9725.4035976231462</v>
      </c>
    </row>
    <row r="4" spans="1:19" hidden="1" x14ac:dyDescent="0.25">
      <c r="A4" s="146" t="s">
        <v>31</v>
      </c>
      <c r="B4" s="140">
        <v>45444</v>
      </c>
      <c r="C4" s="105">
        <f>'[3]Май 2024 '!E4</f>
        <v>0</v>
      </c>
      <c r="D4" s="141">
        <f t="shared" si="0"/>
        <v>0</v>
      </c>
      <c r="E4" s="105"/>
      <c r="F4" s="144">
        <f t="shared" si="1"/>
        <v>0</v>
      </c>
      <c r="G4" s="7" t="e">
        <f>'[3]Май 2024 '!H4</f>
        <v>#N/A</v>
      </c>
      <c r="H4" s="127"/>
      <c r="I4" s="127"/>
      <c r="J4" s="9">
        <v>0</v>
      </c>
      <c r="K4" s="9"/>
      <c r="L4" s="9"/>
      <c r="M4" s="9" t="e">
        <f>VLOOKUP(A4,[3]Тарас!$C$4:$P$23,14,0)</f>
        <v>#N/A</v>
      </c>
      <c r="N4" s="143" t="e">
        <f t="shared" ref="N4:N19" si="5">F4/I4</f>
        <v>#DIV/0!</v>
      </c>
      <c r="O4" s="7">
        <f t="shared" si="3"/>
        <v>0</v>
      </c>
      <c r="P4" s="7">
        <f t="shared" si="4"/>
        <v>0</v>
      </c>
      <c r="Q4" s="7">
        <f t="shared" ref="Q4:Q21" si="6">O4-P4</f>
        <v>0</v>
      </c>
    </row>
    <row r="5" spans="1:19" x14ac:dyDescent="0.25">
      <c r="A5" s="22" t="s">
        <v>10</v>
      </c>
      <c r="B5" s="140">
        <v>45444</v>
      </c>
      <c r="C5" s="105">
        <f>'[3]Май 2024 '!E5</f>
        <v>60</v>
      </c>
      <c r="D5" s="141">
        <f t="shared" si="0"/>
        <v>600</v>
      </c>
      <c r="E5" s="105">
        <v>110</v>
      </c>
      <c r="F5" s="144">
        <f t="shared" si="1"/>
        <v>550</v>
      </c>
      <c r="G5" s="7">
        <f>'[3]Май 2024 '!H5</f>
        <v>9096</v>
      </c>
      <c r="H5" s="127">
        <v>9280</v>
      </c>
      <c r="I5" s="127">
        <f t="shared" si="2"/>
        <v>184</v>
      </c>
      <c r="J5" s="9">
        <v>0</v>
      </c>
      <c r="K5" s="9"/>
      <c r="L5" s="9">
        <v>210</v>
      </c>
      <c r="M5" s="9">
        <f>VLOOKUP(A5,[3]Тарас!$C$4:$P$23,14,0)</f>
        <v>3.4</v>
      </c>
      <c r="N5" s="147">
        <f t="shared" si="5"/>
        <v>2.9891304347826089</v>
      </c>
      <c r="O5" s="7">
        <f t="shared" si="3"/>
        <v>35868.959999999999</v>
      </c>
      <c r="P5" s="7">
        <f t="shared" si="4"/>
        <v>29296.326487128023</v>
      </c>
      <c r="Q5" s="7">
        <f>O5-P5</f>
        <v>6572.6335128719766</v>
      </c>
    </row>
    <row r="6" spans="1:19" x14ac:dyDescent="0.25">
      <c r="A6" s="22" t="s">
        <v>11</v>
      </c>
      <c r="B6" s="140">
        <v>45444</v>
      </c>
      <c r="C6" s="105">
        <f>'[3]Май 2024 '!E6</f>
        <v>110</v>
      </c>
      <c r="D6" s="141">
        <f t="shared" si="0"/>
        <v>0</v>
      </c>
      <c r="E6" s="105">
        <v>60</v>
      </c>
      <c r="F6" s="144">
        <f t="shared" si="1"/>
        <v>50</v>
      </c>
      <c r="G6" s="7">
        <f>'[3]Май 2024 '!H6</f>
        <v>0</v>
      </c>
      <c r="H6" s="127">
        <v>0</v>
      </c>
      <c r="I6" s="127">
        <f>L6*0.53</f>
        <v>2.6500000000000004</v>
      </c>
      <c r="J6" s="9">
        <v>0</v>
      </c>
      <c r="K6" s="9"/>
      <c r="L6" s="9">
        <v>5</v>
      </c>
      <c r="M6" s="9">
        <f>VLOOKUP(A6,[3]Тарас!$C$4:$P$23,14,0)</f>
        <v>3.4</v>
      </c>
      <c r="N6" s="145">
        <f t="shared" si="5"/>
        <v>18.867924528301884</v>
      </c>
      <c r="O6" s="7">
        <f t="shared" si="3"/>
        <v>516.59100000000001</v>
      </c>
      <c r="P6" s="7">
        <f t="shared" si="4"/>
        <v>2663.3024079207294</v>
      </c>
      <c r="Q6" s="7">
        <f>O6-P6</f>
        <v>-2146.7114079207295</v>
      </c>
    </row>
    <row r="7" spans="1:19" x14ac:dyDescent="0.25">
      <c r="A7" s="22" t="s">
        <v>32</v>
      </c>
      <c r="B7" s="140">
        <v>45444</v>
      </c>
      <c r="C7" s="105">
        <f>'[3]Май 2024 '!E7</f>
        <v>90</v>
      </c>
      <c r="D7" s="141">
        <f t="shared" si="0"/>
        <v>100</v>
      </c>
      <c r="E7" s="105">
        <v>85</v>
      </c>
      <c r="F7" s="144">
        <f t="shared" si="1"/>
        <v>105</v>
      </c>
      <c r="G7" s="7">
        <f>'[3]Май 2024 '!H7</f>
        <v>4934</v>
      </c>
      <c r="H7" s="127">
        <v>4948</v>
      </c>
      <c r="I7" s="127">
        <f t="shared" si="2"/>
        <v>14</v>
      </c>
      <c r="J7" s="9">
        <v>0</v>
      </c>
      <c r="K7" s="9"/>
      <c r="L7" s="9">
        <v>66</v>
      </c>
      <c r="M7" s="9">
        <f>VLOOKUP(A7,[3]Тарас!$C$4:$P$23,14,0)</f>
        <v>5</v>
      </c>
      <c r="N7" s="145">
        <f t="shared" si="5"/>
        <v>7.5</v>
      </c>
      <c r="O7" s="7">
        <f>285*I7</f>
        <v>3990</v>
      </c>
      <c r="P7" s="7">
        <f t="shared" si="4"/>
        <v>5592.9350566335315</v>
      </c>
      <c r="Q7" s="7">
        <f t="shared" si="6"/>
        <v>-1602.9350566335315</v>
      </c>
    </row>
    <row r="8" spans="1:19" hidden="1" x14ac:dyDescent="0.25">
      <c r="A8" s="22" t="s">
        <v>33</v>
      </c>
      <c r="B8" s="140">
        <v>45444</v>
      </c>
      <c r="C8" s="105">
        <f>'[3]Май 2024 '!E8</f>
        <v>0</v>
      </c>
      <c r="D8" s="141">
        <f t="shared" si="0"/>
        <v>0</v>
      </c>
      <c r="E8" s="105"/>
      <c r="F8" s="144">
        <f t="shared" si="1"/>
        <v>0</v>
      </c>
      <c r="G8" s="7">
        <f>'[3]Май 2024 '!H8</f>
        <v>0</v>
      </c>
      <c r="H8" s="127"/>
      <c r="I8" s="127">
        <f t="shared" si="2"/>
        <v>0</v>
      </c>
      <c r="J8" s="9">
        <v>0</v>
      </c>
      <c r="K8" s="9"/>
      <c r="L8" s="9"/>
      <c r="M8" s="9" t="e">
        <f>VLOOKUP(A8,[3]Тарас!$C$4:$P$23,14,0)</f>
        <v>#N/A</v>
      </c>
      <c r="N8" s="143" t="e">
        <f t="shared" si="5"/>
        <v>#DIV/0!</v>
      </c>
      <c r="O8" s="7"/>
      <c r="P8" s="7">
        <f t="shared" si="4"/>
        <v>0</v>
      </c>
      <c r="Q8" s="7">
        <f t="shared" si="6"/>
        <v>0</v>
      </c>
    </row>
    <row r="9" spans="1:19" x14ac:dyDescent="0.25">
      <c r="A9" s="22" t="s">
        <v>12</v>
      </c>
      <c r="B9" s="140">
        <v>45444</v>
      </c>
      <c r="C9" s="105">
        <f>'[3]Май 2024 '!E9</f>
        <v>90</v>
      </c>
      <c r="D9" s="141">
        <f t="shared" si="0"/>
        <v>695.86</v>
      </c>
      <c r="E9" s="105">
        <v>70</v>
      </c>
      <c r="F9" s="142">
        <f>C9+D9-E9</f>
        <v>715.86</v>
      </c>
      <c r="G9" s="7">
        <f>'[3]Май 2024 '!H9</f>
        <v>17188</v>
      </c>
      <c r="H9" s="127">
        <v>17307</v>
      </c>
      <c r="I9" s="127">
        <f t="shared" si="2"/>
        <v>119</v>
      </c>
      <c r="J9" s="9">
        <v>0</v>
      </c>
      <c r="K9" s="9"/>
      <c r="L9" s="9">
        <v>152</v>
      </c>
      <c r="M9" s="9">
        <f>VLOOKUP(A9,[3]Тарас!$C$4:$P$23,14,0)</f>
        <v>4.0999999999999996</v>
      </c>
      <c r="N9" s="145">
        <f>F9/I9</f>
        <v>6.0156302521008405</v>
      </c>
      <c r="O9" s="7">
        <f>235.41*I9</f>
        <v>28013.79</v>
      </c>
      <c r="P9" s="7">
        <f t="shared" si="4"/>
        <v>38131.033234682662</v>
      </c>
      <c r="Q9" s="7">
        <f>O9-P9</f>
        <v>-10117.243234682661</v>
      </c>
    </row>
    <row r="10" spans="1:19" x14ac:dyDescent="0.25">
      <c r="A10" s="22" t="s">
        <v>14</v>
      </c>
      <c r="B10" s="140">
        <v>45444</v>
      </c>
      <c r="C10" s="105">
        <f>'[3]Май 2024 '!E10</f>
        <v>20</v>
      </c>
      <c r="D10" s="141">
        <f t="shared" si="0"/>
        <v>200</v>
      </c>
      <c r="E10" s="105">
        <v>20</v>
      </c>
      <c r="F10" s="144">
        <f t="shared" si="1"/>
        <v>200</v>
      </c>
      <c r="G10" s="7">
        <f>'[3]Май 2024 '!H10</f>
        <v>3915</v>
      </c>
      <c r="H10" s="127">
        <v>39553</v>
      </c>
      <c r="I10" s="127">
        <f t="shared" si="2"/>
        <v>35638</v>
      </c>
      <c r="J10" s="9">
        <v>0</v>
      </c>
      <c r="K10" s="9"/>
      <c r="L10" s="9">
        <v>113</v>
      </c>
      <c r="M10" s="9">
        <f>VLOOKUP(A10,[3]Тарас!$C$4:$P$23,14,0)</f>
        <v>4.0999999999999996</v>
      </c>
      <c r="N10" s="145">
        <f t="shared" si="5"/>
        <v>5.6119872046691737E-3</v>
      </c>
      <c r="O10" s="7">
        <f t="shared" ref="O10:O11" si="7">235.41*I10</f>
        <v>8389541.5800000001</v>
      </c>
      <c r="P10" s="7">
        <f t="shared" si="4"/>
        <v>10653.209631682917</v>
      </c>
      <c r="Q10" s="7">
        <f t="shared" si="6"/>
        <v>8378888.3703683168</v>
      </c>
    </row>
    <row r="11" spans="1:19" x14ac:dyDescent="0.25">
      <c r="A11" s="22" t="s">
        <v>13</v>
      </c>
      <c r="B11" s="140">
        <v>45444</v>
      </c>
      <c r="C11" s="105">
        <f>'[3]Май 2024 '!E11</f>
        <v>10</v>
      </c>
      <c r="D11" s="141">
        <f t="shared" si="0"/>
        <v>800</v>
      </c>
      <c r="E11" s="105">
        <v>10</v>
      </c>
      <c r="F11" s="144">
        <f t="shared" si="1"/>
        <v>800</v>
      </c>
      <c r="G11" s="7">
        <f>'[3]Май 2024 '!H11</f>
        <v>11698</v>
      </c>
      <c r="H11" s="127">
        <v>11904</v>
      </c>
      <c r="I11" s="127">
        <f t="shared" si="2"/>
        <v>206</v>
      </c>
      <c r="J11" s="9">
        <v>0</v>
      </c>
      <c r="K11" s="9"/>
      <c r="L11" s="9">
        <v>193</v>
      </c>
      <c r="M11" s="9">
        <f>VLOOKUP(A11,[3]Тарас!$C$4:$P$23,14,0)</f>
        <v>4.0999999999999996</v>
      </c>
      <c r="N11" s="147">
        <f t="shared" si="5"/>
        <v>3.883495145631068</v>
      </c>
      <c r="O11" s="7">
        <f t="shared" si="7"/>
        <v>48494.46</v>
      </c>
      <c r="P11" s="7">
        <f t="shared" si="4"/>
        <v>42612.83852673167</v>
      </c>
      <c r="Q11" s="7">
        <f t="shared" si="6"/>
        <v>5881.6214732683293</v>
      </c>
    </row>
    <row r="12" spans="1:19" x14ac:dyDescent="0.25">
      <c r="A12" s="22" t="s">
        <v>34</v>
      </c>
      <c r="B12" s="140">
        <v>45444</v>
      </c>
      <c r="C12" s="105">
        <f>'[3]Май 2024 '!E12</f>
        <v>169</v>
      </c>
      <c r="D12" s="141">
        <f t="shared" si="0"/>
        <v>100</v>
      </c>
      <c r="E12" s="105">
        <v>80</v>
      </c>
      <c r="F12" s="144">
        <f>C12+D12-E12</f>
        <v>189</v>
      </c>
      <c r="G12" s="7">
        <f>'[3]Май 2024 '!H12</f>
        <v>7064</v>
      </c>
      <c r="H12" s="127">
        <v>7096</v>
      </c>
      <c r="I12" s="127">
        <f t="shared" si="2"/>
        <v>32</v>
      </c>
      <c r="J12" s="9">
        <v>0</v>
      </c>
      <c r="K12" s="9"/>
      <c r="L12" s="9">
        <v>10</v>
      </c>
      <c r="M12" s="9">
        <f>VLOOKUP(A12,[3]Тарас!$C$4:$P$23,14,0)</f>
        <v>10.5</v>
      </c>
      <c r="N12" s="147">
        <f>F12/I12</f>
        <v>5.90625</v>
      </c>
      <c r="O12" s="7">
        <f>595.65*I12</f>
        <v>19060.8</v>
      </c>
      <c r="P12" s="7">
        <f t="shared" si="4"/>
        <v>10067.283101940357</v>
      </c>
      <c r="Q12" s="7">
        <f t="shared" si="6"/>
        <v>8993.5168980596427</v>
      </c>
      <c r="S12" s="11"/>
    </row>
    <row r="13" spans="1:19" x14ac:dyDescent="0.25">
      <c r="A13" s="22" t="s">
        <v>35</v>
      </c>
      <c r="B13" s="140">
        <v>45444</v>
      </c>
      <c r="C13" s="105">
        <f>'[3]Май 2024 '!E13</f>
        <v>150</v>
      </c>
      <c r="D13" s="141">
        <f t="shared" si="0"/>
        <v>537.12</v>
      </c>
      <c r="E13" s="105">
        <v>40</v>
      </c>
      <c r="F13" s="144">
        <f>C13+D13-E13</f>
        <v>647.12</v>
      </c>
      <c r="G13" s="7">
        <f>'[3]Май 2024 '!H13</f>
        <v>30838</v>
      </c>
      <c r="H13" s="127">
        <v>31643</v>
      </c>
      <c r="I13" s="127">
        <f t="shared" si="2"/>
        <v>805</v>
      </c>
      <c r="J13" s="9">
        <v>0</v>
      </c>
      <c r="K13" s="9">
        <v>260</v>
      </c>
      <c r="L13" s="9">
        <v>194</v>
      </c>
      <c r="M13" s="9">
        <f>VLOOKUP(A13,[3]Тарас!$C$4:$P$23,14,0)</f>
        <v>0.9</v>
      </c>
      <c r="N13" s="143">
        <f>F13/I13</f>
        <v>0.80387577639751551</v>
      </c>
      <c r="O13" s="7">
        <f>(51.3*(I13-K13))+(K13*14.25)</f>
        <v>31663.5</v>
      </c>
      <c r="P13" s="7">
        <f>F13*$K$25</f>
        <v>34469.525084273249</v>
      </c>
      <c r="Q13" s="7">
        <f t="shared" si="6"/>
        <v>-2806.0250842732494</v>
      </c>
    </row>
    <row r="14" spans="1:19" x14ac:dyDescent="0.25">
      <c r="A14" s="22" t="s">
        <v>7</v>
      </c>
      <c r="B14" s="140">
        <v>45444</v>
      </c>
      <c r="C14" s="105">
        <f>'[3]Май 2024 '!E14</f>
        <v>120</v>
      </c>
      <c r="D14" s="141">
        <f t="shared" si="0"/>
        <v>459.42</v>
      </c>
      <c r="E14" s="105">
        <v>140</v>
      </c>
      <c r="F14" s="144">
        <f>C14+D14-E14</f>
        <v>439.42000000000007</v>
      </c>
      <c r="G14" s="7">
        <f>'[3]Май 2024 '!H14</f>
        <v>34272</v>
      </c>
      <c r="H14" s="127">
        <v>34719</v>
      </c>
      <c r="I14" s="127">
        <f t="shared" si="2"/>
        <v>447</v>
      </c>
      <c r="J14" s="9">
        <v>0</v>
      </c>
      <c r="K14" s="9">
        <v>320</v>
      </c>
      <c r="L14" s="9">
        <v>81</v>
      </c>
      <c r="M14" s="9">
        <f>VLOOKUP(A14,[3]Тарас!$C$4:$P$23,14,0)</f>
        <v>0.9</v>
      </c>
      <c r="N14" s="147">
        <f t="shared" si="5"/>
        <v>0.98304250559284134</v>
      </c>
      <c r="O14" s="7">
        <f>(51.3*(I14-K14))+(K14*14.25)</f>
        <v>11075.099999999999</v>
      </c>
      <c r="P14" s="7">
        <f t="shared" si="4"/>
        <v>23406.166881770539</v>
      </c>
      <c r="Q14" s="7">
        <f t="shared" si="6"/>
        <v>-12331.066881770541</v>
      </c>
    </row>
    <row r="15" spans="1:19" x14ac:dyDescent="0.25">
      <c r="A15" s="22" t="s">
        <v>8</v>
      </c>
      <c r="B15" s="140">
        <v>45444</v>
      </c>
      <c r="C15" s="105">
        <f>'[3]Май 2024 '!E15</f>
        <v>229</v>
      </c>
      <c r="D15" s="141">
        <f t="shared" si="0"/>
        <v>129.65</v>
      </c>
      <c r="E15" s="105">
        <v>130</v>
      </c>
      <c r="F15" s="144">
        <f>C15+D15-E15</f>
        <v>228.64999999999998</v>
      </c>
      <c r="G15" s="7">
        <f>'[3]Май 2024 '!H15</f>
        <v>559189</v>
      </c>
      <c r="H15" s="127">
        <v>559553</v>
      </c>
      <c r="I15" s="127">
        <f t="shared" si="2"/>
        <v>364</v>
      </c>
      <c r="J15" s="9">
        <v>0</v>
      </c>
      <c r="K15" s="9"/>
      <c r="L15" s="9">
        <v>76</v>
      </c>
      <c r="M15" s="9">
        <f>VLOOKUP(A15,[3]Тарас!$C$4:$P$23,14,0)</f>
        <v>0.9</v>
      </c>
      <c r="N15" s="147">
        <f t="shared" si="5"/>
        <v>0.62815934065934065</v>
      </c>
      <c r="O15" s="7">
        <f>(51.3*(I15-K15))+(K15*19.85)</f>
        <v>18673.2</v>
      </c>
      <c r="P15" s="7">
        <f>F15*$K$25</f>
        <v>12179.281911421493</v>
      </c>
      <c r="Q15" s="7">
        <f t="shared" si="6"/>
        <v>6493.9180885785081</v>
      </c>
    </row>
    <row r="16" spans="1:19" x14ac:dyDescent="0.25">
      <c r="A16" s="22" t="s">
        <v>9</v>
      </c>
      <c r="B16" s="140">
        <v>45444</v>
      </c>
      <c r="C16" s="105">
        <f>'[3]Май 2024 '!E16</f>
        <v>143</v>
      </c>
      <c r="D16" s="141">
        <f t="shared" si="0"/>
        <v>179.71</v>
      </c>
      <c r="E16" s="105">
        <v>240</v>
      </c>
      <c r="F16" s="144">
        <f>C16+D16-E16</f>
        <v>82.710000000000036</v>
      </c>
      <c r="G16" s="7">
        <f>'[3]Май 2024 '!H16</f>
        <v>64107</v>
      </c>
      <c r="H16" s="127">
        <v>64160</v>
      </c>
      <c r="I16" s="127">
        <f t="shared" si="2"/>
        <v>53</v>
      </c>
      <c r="J16" s="9">
        <v>0</v>
      </c>
      <c r="K16" s="9"/>
      <c r="L16" s="9">
        <v>22</v>
      </c>
      <c r="M16" s="9">
        <f>VLOOKUP(A16,[3]Тарас!$C$4:$P$23,14,0)</f>
        <v>0.9</v>
      </c>
      <c r="N16" s="145">
        <f t="shared" si="5"/>
        <v>1.5605660377358497</v>
      </c>
      <c r="O16" s="12">
        <f>(51.3*(I16-K16))</f>
        <v>2718.8999999999996</v>
      </c>
      <c r="P16" s="7">
        <f>F16*$K$25</f>
        <v>4405.6348431824717</v>
      </c>
      <c r="Q16" s="7">
        <f t="shared" si="6"/>
        <v>-1686.7348431824721</v>
      </c>
      <c r="S16" s="11"/>
    </row>
    <row r="17" spans="1:19" hidden="1" x14ac:dyDescent="0.25">
      <c r="A17" s="22" t="s">
        <v>36</v>
      </c>
      <c r="B17" s="140">
        <v>45444</v>
      </c>
      <c r="C17" s="105">
        <f>'[3]Май 2024 '!E17</f>
        <v>0</v>
      </c>
      <c r="D17" s="141">
        <f t="shared" si="0"/>
        <v>0</v>
      </c>
      <c r="E17" s="105"/>
      <c r="F17" s="144">
        <f t="shared" si="1"/>
        <v>0</v>
      </c>
      <c r="G17" s="7" t="e">
        <f>'[3]Май 2024 '!H17</f>
        <v>#N/A</v>
      </c>
      <c r="H17" s="127"/>
      <c r="I17" s="127" t="e">
        <f t="shared" si="2"/>
        <v>#N/A</v>
      </c>
      <c r="J17" s="9">
        <v>0</v>
      </c>
      <c r="K17" s="9"/>
      <c r="L17" s="9"/>
      <c r="M17" s="9" t="e">
        <f>VLOOKUP(A17,[3]Тарас!$C$4:$P$23,14,0)</f>
        <v>#N/A</v>
      </c>
      <c r="N17" s="143" t="e">
        <f t="shared" si="5"/>
        <v>#N/A</v>
      </c>
      <c r="O17" s="12"/>
      <c r="P17" s="7">
        <f t="shared" si="4"/>
        <v>0</v>
      </c>
      <c r="Q17" s="7">
        <f t="shared" si="6"/>
        <v>0</v>
      </c>
    </row>
    <row r="18" spans="1:19" x14ac:dyDescent="0.25">
      <c r="A18" s="148" t="s">
        <v>37</v>
      </c>
      <c r="B18" s="140">
        <v>45444</v>
      </c>
      <c r="C18" s="105">
        <f>'[3]Май 2024 '!E18</f>
        <v>130</v>
      </c>
      <c r="D18" s="141">
        <f t="shared" si="0"/>
        <v>400</v>
      </c>
      <c r="E18" s="105">
        <v>130</v>
      </c>
      <c r="F18" s="144">
        <f t="shared" si="1"/>
        <v>400</v>
      </c>
      <c r="G18" s="7">
        <f>'[3]Май 2024 '!H18</f>
        <v>0</v>
      </c>
      <c r="H18" s="127">
        <v>0</v>
      </c>
      <c r="I18" s="127">
        <f>L18*0.7</f>
        <v>49.699999999999996</v>
      </c>
      <c r="J18" s="9">
        <v>0</v>
      </c>
      <c r="K18" s="9"/>
      <c r="L18" s="9">
        <v>71</v>
      </c>
      <c r="M18" s="9">
        <v>5.0999999999999996</v>
      </c>
      <c r="N18" s="145">
        <f t="shared" si="5"/>
        <v>8.0482897384305847</v>
      </c>
      <c r="O18" s="12"/>
      <c r="P18" s="7">
        <f t="shared" si="4"/>
        <v>21306.419263365835</v>
      </c>
      <c r="Q18" s="7">
        <f t="shared" si="6"/>
        <v>-21306.419263365835</v>
      </c>
      <c r="S18" s="11"/>
    </row>
    <row r="19" spans="1:19" x14ac:dyDescent="0.25">
      <c r="A19" s="22" t="s">
        <v>5</v>
      </c>
      <c r="B19" s="140">
        <v>45444</v>
      </c>
      <c r="C19" s="105">
        <f>'[3]Май 2024 '!E19</f>
        <v>20</v>
      </c>
      <c r="D19" s="141">
        <f t="shared" si="0"/>
        <v>320</v>
      </c>
      <c r="E19" s="105">
        <v>100</v>
      </c>
      <c r="F19" s="9">
        <f>C19+D19-E19</f>
        <v>240</v>
      </c>
      <c r="G19" s="7">
        <f>'[3]Май 2024 '!H19</f>
        <v>5749</v>
      </c>
      <c r="H19" s="127">
        <v>5827</v>
      </c>
      <c r="I19" s="12">
        <f t="shared" si="2"/>
        <v>78</v>
      </c>
      <c r="J19" s="9">
        <v>0</v>
      </c>
      <c r="K19" s="9"/>
      <c r="L19" s="9">
        <v>215</v>
      </c>
      <c r="M19" s="9">
        <f>VLOOKUP(A19,[3]Тарас!$C$4:$P$23,14,0)</f>
        <v>3.2</v>
      </c>
      <c r="N19" s="147">
        <f t="shared" si="5"/>
        <v>3.0769230769230771</v>
      </c>
      <c r="O19" s="12">
        <f>182.4*I19</f>
        <v>14227.2</v>
      </c>
      <c r="P19" s="7">
        <f>F19*$K$25</f>
        <v>12783.8515580195</v>
      </c>
      <c r="Q19" s="7">
        <f t="shared" si="6"/>
        <v>1443.3484419805009</v>
      </c>
      <c r="S19" s="11"/>
    </row>
    <row r="20" spans="1:19" x14ac:dyDescent="0.25">
      <c r="A20" s="22" t="s">
        <v>6</v>
      </c>
      <c r="B20" s="140">
        <v>45444</v>
      </c>
      <c r="C20" s="105">
        <f>'[3]Май 2024 '!E20</f>
        <v>0</v>
      </c>
      <c r="D20" s="141">
        <f t="shared" si="0"/>
        <v>0</v>
      </c>
      <c r="E20" s="105"/>
      <c r="F20" s="144">
        <f t="shared" si="1"/>
        <v>0</v>
      </c>
      <c r="G20" s="7">
        <f>'[3]Май 2024 '!H20</f>
        <v>0</v>
      </c>
      <c r="H20" s="127"/>
      <c r="I20" s="149">
        <v>0</v>
      </c>
      <c r="J20" s="9">
        <v>0</v>
      </c>
      <c r="K20" s="18"/>
      <c r="L20" s="18"/>
      <c r="M20" s="150"/>
      <c r="N20" t="e">
        <f>VLOOKUP(A20,[3]Тарас!$C$4:$N$23,12,0)</f>
        <v>#N/A</v>
      </c>
      <c r="O20" s="1">
        <f t="shared" si="3"/>
        <v>0</v>
      </c>
      <c r="P20" s="7">
        <f t="shared" si="4"/>
        <v>0</v>
      </c>
      <c r="Q20" s="7">
        <f t="shared" si="6"/>
        <v>0</v>
      </c>
    </row>
    <row r="21" spans="1:19" ht="15.75" hidden="1" thickBot="1" x14ac:dyDescent="0.3">
      <c r="A21" s="151" t="s">
        <v>38</v>
      </c>
      <c r="B21" s="140">
        <v>45383</v>
      </c>
      <c r="C21" s="105">
        <f>'[3]Апрель 2024'!E21</f>
        <v>0</v>
      </c>
      <c r="D21" s="141">
        <f t="shared" si="0"/>
        <v>0</v>
      </c>
      <c r="E21" s="105"/>
      <c r="F21" s="144">
        <f t="shared" si="1"/>
        <v>0</v>
      </c>
      <c r="G21" s="14"/>
      <c r="H21" s="14"/>
      <c r="I21" s="152">
        <v>0</v>
      </c>
      <c r="J21" s="14">
        <v>0</v>
      </c>
      <c r="K21" s="153"/>
      <c r="L21" s="153"/>
      <c r="M21" s="150"/>
      <c r="N21" t="e">
        <f>VLOOKUP(A21,[3]Тарас!$C$4:$N$23,12,0)</f>
        <v>#N/A</v>
      </c>
      <c r="O21" s="1">
        <f t="shared" si="3"/>
        <v>0</v>
      </c>
      <c r="P21" s="7">
        <f t="shared" si="4"/>
        <v>0</v>
      </c>
      <c r="Q21" s="7">
        <f t="shared" si="6"/>
        <v>0</v>
      </c>
    </row>
    <row r="22" spans="1:19" x14ac:dyDescent="0.25">
      <c r="C22" s="154">
        <f>SUM(C2:C21)</f>
        <v>1531</v>
      </c>
      <c r="D22" s="155">
        <f>SUM(D2:D21)</f>
        <v>5021.76</v>
      </c>
      <c r="E22" s="154">
        <f>SUM(E2:E21)</f>
        <v>1415</v>
      </c>
    </row>
    <row r="23" spans="1:19" x14ac:dyDescent="0.25">
      <c r="C23" t="b">
        <f>C22='[3]Май 2024 '!E22</f>
        <v>1</v>
      </c>
      <c r="D23">
        <f>D22-B100</f>
        <v>0</v>
      </c>
    </row>
    <row r="25" spans="1:19" x14ac:dyDescent="0.25">
      <c r="D25" s="17"/>
      <c r="J25" s="18" t="s">
        <v>39</v>
      </c>
      <c r="K25" s="19">
        <f>SUM(C30:C99)/B100</f>
        <v>53.266048158414584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126" t="s">
        <v>15</v>
      </c>
      <c r="B29" s="126" t="s">
        <v>41</v>
      </c>
      <c r="C29" s="126" t="s">
        <v>42</v>
      </c>
      <c r="D29" s="126" t="s">
        <v>43</v>
      </c>
    </row>
    <row r="30" spans="1:19" x14ac:dyDescent="0.25">
      <c r="A30" s="2" t="s">
        <v>5</v>
      </c>
      <c r="B30" s="3">
        <v>160</v>
      </c>
      <c r="C30" s="4">
        <v>8638.4</v>
      </c>
      <c r="D30" s="25" t="s">
        <v>45</v>
      </c>
    </row>
    <row r="31" spans="1:19" x14ac:dyDescent="0.25">
      <c r="A31" s="10" t="s">
        <v>5</v>
      </c>
      <c r="B31" s="105">
        <v>160</v>
      </c>
      <c r="C31" s="7">
        <v>8638.4</v>
      </c>
      <c r="D31" s="26" t="s">
        <v>45</v>
      </c>
    </row>
    <row r="32" spans="1:19" x14ac:dyDescent="0.25">
      <c r="A32" s="10" t="s">
        <v>8</v>
      </c>
      <c r="B32" s="105">
        <v>129.65</v>
      </c>
      <c r="C32" s="7">
        <v>6999.8</v>
      </c>
      <c r="D32" s="26" t="s">
        <v>45</v>
      </c>
    </row>
    <row r="33" spans="1:4" x14ac:dyDescent="0.25">
      <c r="A33" s="10" t="s">
        <v>13</v>
      </c>
      <c r="B33" s="105">
        <v>100</v>
      </c>
      <c r="C33" s="7">
        <v>5399</v>
      </c>
      <c r="D33" s="26" t="s">
        <v>45</v>
      </c>
    </row>
    <row r="34" spans="1:4" x14ac:dyDescent="0.25">
      <c r="A34" s="10" t="s">
        <v>13</v>
      </c>
      <c r="B34" s="105">
        <v>100</v>
      </c>
      <c r="C34" s="7">
        <v>5399</v>
      </c>
      <c r="D34" s="26" t="s">
        <v>45</v>
      </c>
    </row>
    <row r="35" spans="1:4" x14ac:dyDescent="0.25">
      <c r="A35" s="10" t="s">
        <v>13</v>
      </c>
      <c r="B35" s="105">
        <v>100</v>
      </c>
      <c r="C35" s="7">
        <v>5199</v>
      </c>
      <c r="D35" s="26" t="s">
        <v>45</v>
      </c>
    </row>
    <row r="36" spans="1:4" x14ac:dyDescent="0.25">
      <c r="A36" s="10" t="s">
        <v>13</v>
      </c>
      <c r="B36" s="105">
        <v>100</v>
      </c>
      <c r="C36" s="7">
        <v>5399</v>
      </c>
      <c r="D36" s="26" t="s">
        <v>45</v>
      </c>
    </row>
    <row r="37" spans="1:4" x14ac:dyDescent="0.25">
      <c r="A37" s="10" t="s">
        <v>13</v>
      </c>
      <c r="B37" s="105">
        <v>100</v>
      </c>
      <c r="C37" s="7">
        <v>5399</v>
      </c>
      <c r="D37" s="26" t="s">
        <v>45</v>
      </c>
    </row>
    <row r="38" spans="1:4" x14ac:dyDescent="0.25">
      <c r="A38" s="10" t="s">
        <v>13</v>
      </c>
      <c r="B38" s="105">
        <v>100</v>
      </c>
      <c r="C38" s="7">
        <v>5199</v>
      </c>
      <c r="D38" s="26" t="s">
        <v>45</v>
      </c>
    </row>
    <row r="39" spans="1:4" x14ac:dyDescent="0.25">
      <c r="A39" s="10" t="s">
        <v>13</v>
      </c>
      <c r="B39" s="105">
        <v>100</v>
      </c>
      <c r="C39" s="7">
        <v>5399</v>
      </c>
      <c r="D39" s="26" t="s">
        <v>45</v>
      </c>
    </row>
    <row r="40" spans="1:4" x14ac:dyDescent="0.25">
      <c r="A40" s="10" t="s">
        <v>13</v>
      </c>
      <c r="B40" s="105">
        <v>100</v>
      </c>
      <c r="C40" s="7">
        <v>5299</v>
      </c>
      <c r="D40" s="26" t="s">
        <v>45</v>
      </c>
    </row>
    <row r="41" spans="1:4" x14ac:dyDescent="0.25">
      <c r="A41" s="10" t="s">
        <v>10</v>
      </c>
      <c r="B41" s="105">
        <v>100</v>
      </c>
      <c r="C41" s="7">
        <v>5399</v>
      </c>
      <c r="D41" s="26" t="s">
        <v>45</v>
      </c>
    </row>
    <row r="42" spans="1:4" x14ac:dyDescent="0.25">
      <c r="A42" s="10" t="s">
        <v>10</v>
      </c>
      <c r="B42" s="105">
        <v>100</v>
      </c>
      <c r="C42" s="7">
        <v>5199</v>
      </c>
      <c r="D42" s="26" t="s">
        <v>45</v>
      </c>
    </row>
    <row r="43" spans="1:4" x14ac:dyDescent="0.25">
      <c r="A43" s="10" t="s">
        <v>10</v>
      </c>
      <c r="B43" s="105">
        <v>100</v>
      </c>
      <c r="C43" s="7">
        <v>5399</v>
      </c>
      <c r="D43" s="26" t="s">
        <v>45</v>
      </c>
    </row>
    <row r="44" spans="1:4" x14ac:dyDescent="0.25">
      <c r="A44" s="10" t="s">
        <v>10</v>
      </c>
      <c r="B44" s="105">
        <v>100</v>
      </c>
      <c r="C44" s="7">
        <v>5399</v>
      </c>
      <c r="D44" s="26" t="s">
        <v>45</v>
      </c>
    </row>
    <row r="45" spans="1:4" x14ac:dyDescent="0.25">
      <c r="A45" s="10" t="s">
        <v>10</v>
      </c>
      <c r="B45" s="105">
        <v>100</v>
      </c>
      <c r="C45" s="7">
        <v>5299</v>
      </c>
      <c r="D45" s="26" t="s">
        <v>45</v>
      </c>
    </row>
    <row r="46" spans="1:4" x14ac:dyDescent="0.25">
      <c r="A46" s="10" t="s">
        <v>10</v>
      </c>
      <c r="B46" s="105">
        <v>100</v>
      </c>
      <c r="C46" s="7">
        <v>5299</v>
      </c>
      <c r="D46" s="26" t="s">
        <v>45</v>
      </c>
    </row>
    <row r="47" spans="1:4" x14ac:dyDescent="0.25">
      <c r="A47" s="10" t="s">
        <v>35</v>
      </c>
      <c r="B47" s="105">
        <v>100</v>
      </c>
      <c r="C47" s="7">
        <v>5399</v>
      </c>
      <c r="D47" s="26" t="s">
        <v>45</v>
      </c>
    </row>
    <row r="48" spans="1:4" x14ac:dyDescent="0.25">
      <c r="A48" s="10" t="s">
        <v>35</v>
      </c>
      <c r="B48" s="105">
        <v>100</v>
      </c>
      <c r="C48" s="7">
        <v>5399</v>
      </c>
      <c r="D48" s="26" t="s">
        <v>45</v>
      </c>
    </row>
    <row r="49" spans="1:5" x14ac:dyDescent="0.25">
      <c r="A49" s="10" t="s">
        <v>35</v>
      </c>
      <c r="B49" s="105">
        <v>100</v>
      </c>
      <c r="C49" s="7">
        <v>5399</v>
      </c>
      <c r="D49" s="26" t="s">
        <v>45</v>
      </c>
    </row>
    <row r="50" spans="1:5" ht="15.75" thickBot="1" x14ac:dyDescent="0.3">
      <c r="A50" s="10" t="s">
        <v>35</v>
      </c>
      <c r="B50" s="105">
        <v>37.119999999999997</v>
      </c>
      <c r="C50" s="7">
        <v>1929.87</v>
      </c>
      <c r="D50" s="26" t="s">
        <v>45</v>
      </c>
    </row>
    <row r="51" spans="1:5" ht="15.75" thickBot="1" x14ac:dyDescent="0.3">
      <c r="A51" s="13" t="s">
        <v>35</v>
      </c>
      <c r="B51" s="14">
        <v>100</v>
      </c>
      <c r="C51" s="15">
        <v>5299</v>
      </c>
      <c r="D51" s="23" t="s">
        <v>45</v>
      </c>
      <c r="E51" s="24">
        <f>SUM(C30:C51)</f>
        <v>122388.47</v>
      </c>
    </row>
    <row r="52" spans="1:5" x14ac:dyDescent="0.25">
      <c r="A52" s="2" t="s">
        <v>35</v>
      </c>
      <c r="B52" s="3">
        <v>100</v>
      </c>
      <c r="C52" s="4">
        <f>B52*50</f>
        <v>5000</v>
      </c>
      <c r="D52" s="25" t="s">
        <v>44</v>
      </c>
    </row>
    <row r="53" spans="1:5" x14ac:dyDescent="0.25">
      <c r="A53" s="10" t="s">
        <v>7</v>
      </c>
      <c r="B53" s="105">
        <v>100</v>
      </c>
      <c r="C53" s="7">
        <f t="shared" ref="C53:C56" si="8">B53*50</f>
        <v>5000</v>
      </c>
      <c r="D53" s="26" t="s">
        <v>44</v>
      </c>
    </row>
    <row r="54" spans="1:5" x14ac:dyDescent="0.25">
      <c r="A54" s="10" t="s">
        <v>12</v>
      </c>
      <c r="B54" s="105">
        <v>100</v>
      </c>
      <c r="C54" s="7">
        <f t="shared" si="8"/>
        <v>5000</v>
      </c>
      <c r="D54" s="26" t="s">
        <v>44</v>
      </c>
    </row>
    <row r="55" spans="1:5" ht="15.75" thickBot="1" x14ac:dyDescent="0.3">
      <c r="A55" s="10" t="s">
        <v>12</v>
      </c>
      <c r="B55" s="105">
        <v>100</v>
      </c>
      <c r="C55" s="7">
        <f t="shared" si="8"/>
        <v>5000</v>
      </c>
      <c r="D55" s="26" t="s">
        <v>44</v>
      </c>
    </row>
    <row r="56" spans="1:5" ht="15.75" thickBot="1" x14ac:dyDescent="0.3">
      <c r="A56" s="13" t="s">
        <v>12</v>
      </c>
      <c r="B56" s="14">
        <v>100</v>
      </c>
      <c r="C56" s="15">
        <f t="shared" si="8"/>
        <v>5000</v>
      </c>
      <c r="D56" s="23" t="s">
        <v>44</v>
      </c>
      <c r="E56" s="24">
        <f>SUM(C52:C56)</f>
        <v>25000</v>
      </c>
    </row>
    <row r="57" spans="1:5" ht="15.75" thickBot="1" x14ac:dyDescent="0.3">
      <c r="A57" s="2" t="s">
        <v>34</v>
      </c>
      <c r="B57" s="3">
        <v>20</v>
      </c>
      <c r="C57" s="4">
        <v>979.8</v>
      </c>
      <c r="D57" s="25" t="s">
        <v>47</v>
      </c>
    </row>
    <row r="58" spans="1:5" ht="15.75" thickBot="1" x14ac:dyDescent="0.3">
      <c r="A58" s="13" t="s">
        <v>34</v>
      </c>
      <c r="B58" s="14">
        <v>80</v>
      </c>
      <c r="C58" s="15">
        <v>3919.2</v>
      </c>
      <c r="D58" s="23" t="s">
        <v>47</v>
      </c>
      <c r="E58" s="24">
        <f>SUM(C57:C58)</f>
        <v>4899</v>
      </c>
    </row>
    <row r="59" spans="1:5" x14ac:dyDescent="0.25">
      <c r="A59" s="2" t="s">
        <v>37</v>
      </c>
      <c r="B59" s="3">
        <v>400</v>
      </c>
      <c r="C59" s="4">
        <v>22036</v>
      </c>
      <c r="D59" s="25" t="s">
        <v>46</v>
      </c>
    </row>
    <row r="60" spans="1:5" x14ac:dyDescent="0.25">
      <c r="A60" s="10" t="s">
        <v>7</v>
      </c>
      <c r="B60" s="105">
        <v>359.42</v>
      </c>
      <c r="C60" s="7">
        <v>19800.439999999999</v>
      </c>
      <c r="D60" s="156" t="s">
        <v>46</v>
      </c>
    </row>
    <row r="61" spans="1:5" x14ac:dyDescent="0.25">
      <c r="A61" s="10" t="s">
        <v>9</v>
      </c>
      <c r="B61" s="105">
        <v>179.71</v>
      </c>
      <c r="C61" s="7">
        <v>9900.2199999999993</v>
      </c>
      <c r="D61" s="156" t="s">
        <v>46</v>
      </c>
    </row>
    <row r="62" spans="1:5" x14ac:dyDescent="0.25">
      <c r="A62" s="10" t="s">
        <v>32</v>
      </c>
      <c r="B62" s="105">
        <v>100</v>
      </c>
      <c r="C62" s="7">
        <v>5509</v>
      </c>
      <c r="D62" s="156" t="s">
        <v>46</v>
      </c>
    </row>
    <row r="63" spans="1:5" ht="15.75" thickBot="1" x14ac:dyDescent="0.3">
      <c r="A63" s="10" t="s">
        <v>14</v>
      </c>
      <c r="B63" s="105">
        <v>200</v>
      </c>
      <c r="C63" s="7">
        <v>11018</v>
      </c>
      <c r="D63" s="156" t="s">
        <v>46</v>
      </c>
    </row>
    <row r="64" spans="1:5" ht="15.75" thickBot="1" x14ac:dyDescent="0.3">
      <c r="A64" s="13" t="s">
        <v>30</v>
      </c>
      <c r="B64" s="14">
        <v>500</v>
      </c>
      <c r="C64" s="15">
        <v>27545</v>
      </c>
      <c r="D64" s="157" t="s">
        <v>46</v>
      </c>
      <c r="E64" s="24">
        <f>SUM(C59:C64)</f>
        <v>95808.66</v>
      </c>
    </row>
    <row r="65" spans="1:7" x14ac:dyDescent="0.25">
      <c r="A65" s="2" t="s">
        <v>12</v>
      </c>
      <c r="B65" s="3">
        <v>100</v>
      </c>
      <c r="C65" s="4">
        <v>4899</v>
      </c>
      <c r="D65" s="25" t="s">
        <v>48</v>
      </c>
      <c r="F65" s="30"/>
    </row>
    <row r="66" spans="1:7" ht="15.75" thickBot="1" x14ac:dyDescent="0.3">
      <c r="A66" s="10" t="s">
        <v>12</v>
      </c>
      <c r="B66" s="105">
        <v>100</v>
      </c>
      <c r="C66" s="7">
        <v>4899</v>
      </c>
      <c r="D66" s="156" t="s">
        <v>48</v>
      </c>
    </row>
    <row r="67" spans="1:7" ht="15.75" thickBot="1" x14ac:dyDescent="0.3">
      <c r="A67" s="13" t="s">
        <v>12</v>
      </c>
      <c r="B67" s="14">
        <v>195.86</v>
      </c>
      <c r="C67" s="15">
        <v>9595.18</v>
      </c>
      <c r="D67" s="157" t="s">
        <v>48</v>
      </c>
      <c r="E67" s="24">
        <f>SUM(C65:C67)</f>
        <v>19393.18</v>
      </c>
    </row>
    <row r="68" spans="1:7" ht="15.75" thickBot="1" x14ac:dyDescent="0.3">
      <c r="A68" s="158"/>
      <c r="B68" s="159"/>
      <c r="C68" s="160"/>
      <c r="D68" s="161"/>
    </row>
    <row r="69" spans="1:7" ht="15.75" hidden="1" thickBot="1" x14ac:dyDescent="0.3">
      <c r="A69" s="10"/>
      <c r="B69" s="105"/>
      <c r="C69" s="7"/>
      <c r="D69" s="22"/>
    </row>
    <row r="70" spans="1:7" ht="15.75" hidden="1" thickBot="1" x14ac:dyDescent="0.3">
      <c r="A70" s="10"/>
      <c r="B70" s="105"/>
      <c r="C70" s="7"/>
      <c r="D70" s="22"/>
    </row>
    <row r="71" spans="1:7" ht="15.75" hidden="1" thickBot="1" x14ac:dyDescent="0.3">
      <c r="A71" s="10"/>
      <c r="B71" s="105"/>
      <c r="C71" s="7"/>
      <c r="D71" s="22"/>
    </row>
    <row r="72" spans="1:7" ht="15.75" hidden="1" thickBot="1" x14ac:dyDescent="0.3">
      <c r="A72" s="10"/>
      <c r="B72" s="105"/>
      <c r="C72" s="7"/>
      <c r="D72" s="22"/>
    </row>
    <row r="73" spans="1:7" ht="15.75" hidden="1" thickBot="1" x14ac:dyDescent="0.3">
      <c r="A73" s="10"/>
      <c r="B73" s="105"/>
      <c r="C73" s="7"/>
      <c r="D73" s="22"/>
    </row>
    <row r="74" spans="1:7" ht="15.75" hidden="1" thickBot="1" x14ac:dyDescent="0.3">
      <c r="A74" s="10"/>
      <c r="B74" s="105"/>
      <c r="C74" s="7"/>
      <c r="D74" s="22"/>
    </row>
    <row r="75" spans="1:7" ht="15.75" hidden="1" thickBot="1" x14ac:dyDescent="0.3">
      <c r="A75" s="13"/>
      <c r="B75" s="14"/>
      <c r="C75" s="15"/>
      <c r="D75" s="22"/>
      <c r="G75" s="20"/>
    </row>
    <row r="76" spans="1:7" ht="15.75" hidden="1" thickBot="1" x14ac:dyDescent="0.3">
      <c r="A76" s="2"/>
      <c r="B76" s="3"/>
      <c r="C76" s="4"/>
      <c r="D76" s="22"/>
    </row>
    <row r="77" spans="1:7" ht="15.75" hidden="1" thickBot="1" x14ac:dyDescent="0.3">
      <c r="A77" s="10"/>
      <c r="B77" s="105"/>
      <c r="C77" s="7"/>
      <c r="D77" s="22"/>
    </row>
    <row r="78" spans="1:7" ht="15.75" hidden="1" thickBot="1" x14ac:dyDescent="0.3">
      <c r="A78" s="22"/>
      <c r="B78" s="105"/>
      <c r="C78" s="7"/>
      <c r="D78" s="22"/>
    </row>
    <row r="79" spans="1:7" ht="15.75" hidden="1" thickBot="1" x14ac:dyDescent="0.3">
      <c r="A79" s="22"/>
      <c r="B79" s="105"/>
      <c r="C79" s="7"/>
      <c r="D79" s="22"/>
    </row>
    <row r="80" spans="1:7" ht="15.75" hidden="1" thickBot="1" x14ac:dyDescent="0.3">
      <c r="A80" s="10"/>
      <c r="B80" s="105"/>
      <c r="C80" s="7"/>
      <c r="D80" s="22"/>
    </row>
    <row r="81" spans="1:7" ht="15.75" hidden="1" thickBot="1" x14ac:dyDescent="0.3">
      <c r="A81" s="10"/>
      <c r="B81" s="105"/>
      <c r="C81" s="7"/>
      <c r="D81" s="22"/>
    </row>
    <row r="82" spans="1:7" ht="15.75" hidden="1" thickBot="1" x14ac:dyDescent="0.3">
      <c r="A82" s="27"/>
      <c r="B82" s="105"/>
      <c r="C82" s="7"/>
      <c r="D82" s="22" t="s">
        <v>46</v>
      </c>
    </row>
    <row r="83" spans="1:7" ht="15.75" hidden="1" thickBot="1" x14ac:dyDescent="0.3">
      <c r="A83" s="27"/>
      <c r="B83" s="105"/>
      <c r="C83" s="7"/>
      <c r="D83" s="22" t="s">
        <v>46</v>
      </c>
    </row>
    <row r="84" spans="1:7" ht="15.75" hidden="1" thickBot="1" x14ac:dyDescent="0.3">
      <c r="A84" s="13"/>
      <c r="B84" s="14"/>
      <c r="C84" s="15"/>
      <c r="D84" s="22" t="s">
        <v>46</v>
      </c>
      <c r="F84" s="30">
        <f>-337162.41-C80</f>
        <v>-337162.41</v>
      </c>
      <c r="G84" s="30"/>
    </row>
    <row r="85" spans="1:7" ht="15.75" hidden="1" thickBot="1" x14ac:dyDescent="0.3">
      <c r="A85" s="27"/>
      <c r="B85" s="3"/>
      <c r="C85" s="4"/>
      <c r="D85" s="22" t="s">
        <v>48</v>
      </c>
    </row>
    <row r="86" spans="1:7" ht="15.75" hidden="1" thickBot="1" x14ac:dyDescent="0.3">
      <c r="A86" s="27"/>
      <c r="B86" s="105"/>
      <c r="C86" s="7"/>
      <c r="D86" s="22" t="s">
        <v>48</v>
      </c>
    </row>
    <row r="87" spans="1:7" ht="15.75" hidden="1" thickBot="1" x14ac:dyDescent="0.3">
      <c r="A87" s="10"/>
      <c r="B87" s="105"/>
      <c r="C87" s="7"/>
      <c r="D87" s="22" t="s">
        <v>48</v>
      </c>
    </row>
    <row r="88" spans="1:7" ht="15.75" hidden="1" thickBot="1" x14ac:dyDescent="0.3">
      <c r="A88" s="10"/>
      <c r="B88" s="105"/>
      <c r="C88" s="7"/>
      <c r="D88" s="22" t="s">
        <v>48</v>
      </c>
    </row>
    <row r="89" spans="1:7" ht="15.75" hidden="1" thickBot="1" x14ac:dyDescent="0.3">
      <c r="A89" s="10"/>
      <c r="B89" s="105"/>
      <c r="C89" s="7"/>
      <c r="D89" s="22" t="s">
        <v>48</v>
      </c>
    </row>
    <row r="90" spans="1:7" ht="15.75" hidden="1" thickBot="1" x14ac:dyDescent="0.3">
      <c r="A90" s="10"/>
      <c r="B90" s="105"/>
      <c r="C90" s="7"/>
      <c r="D90" s="22" t="s">
        <v>48</v>
      </c>
    </row>
    <row r="91" spans="1:7" ht="15.75" hidden="1" thickBot="1" x14ac:dyDescent="0.3">
      <c r="A91" s="10"/>
      <c r="B91" s="105"/>
      <c r="C91" s="7"/>
      <c r="D91" s="22" t="s">
        <v>48</v>
      </c>
    </row>
    <row r="92" spans="1:7" ht="15.75" hidden="1" thickBot="1" x14ac:dyDescent="0.3">
      <c r="A92" s="10"/>
      <c r="B92" s="105"/>
      <c r="C92" s="7"/>
      <c r="D92" s="22" t="s">
        <v>48</v>
      </c>
    </row>
    <row r="93" spans="1:7" ht="15.75" hidden="1" thickBot="1" x14ac:dyDescent="0.3">
      <c r="A93" s="10"/>
      <c r="B93" s="105"/>
      <c r="C93" s="7"/>
      <c r="D93" s="22" t="s">
        <v>48</v>
      </c>
    </row>
    <row r="94" spans="1:7" ht="15.75" hidden="1" thickBot="1" x14ac:dyDescent="0.3">
      <c r="A94" s="10"/>
      <c r="B94" s="105"/>
      <c r="C94" s="7"/>
      <c r="D94" s="22" t="s">
        <v>48</v>
      </c>
    </row>
    <row r="95" spans="1:7" ht="15.75" hidden="1" thickBot="1" x14ac:dyDescent="0.3">
      <c r="A95" s="10"/>
      <c r="B95" s="105"/>
      <c r="C95" s="7"/>
      <c r="D95" s="22" t="s">
        <v>48</v>
      </c>
    </row>
    <row r="96" spans="1:7" ht="15.75" hidden="1" thickBot="1" x14ac:dyDescent="0.3">
      <c r="A96" s="10"/>
      <c r="B96" s="105"/>
      <c r="C96" s="7"/>
      <c r="D96" s="22" t="s">
        <v>48</v>
      </c>
    </row>
    <row r="97" spans="1:7" ht="15.75" hidden="1" thickBot="1" x14ac:dyDescent="0.3">
      <c r="A97" s="10"/>
      <c r="B97" s="105"/>
      <c r="C97" s="7"/>
      <c r="D97" s="22" t="s">
        <v>48</v>
      </c>
    </row>
    <row r="98" spans="1:7" ht="15.75" hidden="1" thickBot="1" x14ac:dyDescent="0.3">
      <c r="A98" s="10"/>
      <c r="B98" s="105"/>
      <c r="C98" s="7"/>
      <c r="D98" s="22" t="s">
        <v>48</v>
      </c>
    </row>
    <row r="99" spans="1:7" ht="15.75" hidden="1" thickBot="1" x14ac:dyDescent="0.3">
      <c r="A99" s="13"/>
      <c r="B99" s="14"/>
      <c r="C99" s="15"/>
      <c r="D99" s="22" t="s">
        <v>48</v>
      </c>
      <c r="E99" s="31">
        <f>SUM(C85:C99)</f>
        <v>0</v>
      </c>
      <c r="F99" s="30"/>
      <c r="G99" s="30"/>
    </row>
    <row r="100" spans="1:7" ht="15.75" thickBot="1" x14ac:dyDescent="0.3">
      <c r="A100" s="32"/>
      <c r="B100" s="33">
        <f>SUM(B30:B99)</f>
        <v>5021.7599999999993</v>
      </c>
      <c r="C100" s="34">
        <f>SUM(C30:C99)</f>
        <v>267489.31</v>
      </c>
    </row>
    <row r="101" spans="1:7" x14ac:dyDescent="0.25">
      <c r="C101" s="30"/>
    </row>
    <row r="102" spans="1:7" x14ac:dyDescent="0.25">
      <c r="C102" s="30"/>
    </row>
  </sheetData>
  <autoFilter ref="A1:Q23" xr:uid="{00000000-0009-0000-0000-000000000000}"/>
  <mergeCells count="1">
    <mergeCell ref="A28:D28"/>
  </mergeCells>
  <conditionalFormatting sqref="F1:F21">
    <cfRule type="cellIs" dxfId="45" priority="1" operator="lessThan">
      <formula>0</formula>
    </cfRule>
  </conditionalFormatting>
  <conditionalFormatting sqref="I19:I21">
    <cfRule type="cellIs" dxfId="44" priority="2" operator="greaterThanOrEqual">
      <formula>500</formula>
    </cfRule>
    <cfRule type="cellIs" dxfId="43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5"/>
  <sheetViews>
    <sheetView zoomScaleNormal="100" workbookViewId="0">
      <selection activeCell="U5" sqref="U5"/>
    </sheetView>
  </sheetViews>
  <sheetFormatPr defaultRowHeight="15" outlineLevelCol="1" x14ac:dyDescent="0.25"/>
  <cols>
    <col min="1" max="1" width="21.7109375" customWidth="1"/>
    <col min="2" max="2" width="18.7109375" hidden="1" customWidth="1" outlineLevel="1"/>
    <col min="3" max="3" width="11.42578125" hidden="1" customWidth="1" outlineLevel="1"/>
    <col min="4" max="5" width="8.85546875" hidden="1" customWidth="1" outlineLevel="1"/>
    <col min="6" max="6" width="11.28515625" customWidth="1" collapsed="1"/>
    <col min="7" max="7" width="9.5703125" hidden="1" customWidth="1" outlineLevel="1"/>
    <col min="8" max="8" width="8.85546875" hidden="1" customWidth="1" outlineLevel="1"/>
    <col min="9" max="9" width="8.85546875" collapsed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7" width="8.85546875" customWidth="1" outlineLevel="1"/>
    <col min="18" max="18" width="22.710937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107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108" t="s">
        <v>49</v>
      </c>
      <c r="N1" s="108" t="s">
        <v>25</v>
      </c>
      <c r="O1" s="42" t="s">
        <v>26</v>
      </c>
      <c r="P1" s="42" t="s">
        <v>27</v>
      </c>
      <c r="Q1" s="42" t="s">
        <v>28</v>
      </c>
      <c r="R1" s="42" t="s">
        <v>4</v>
      </c>
    </row>
    <row r="2" spans="1:19" ht="15.75" hidden="1" thickBot="1" x14ac:dyDescent="0.3">
      <c r="A2" s="43" t="s">
        <v>29</v>
      </c>
      <c r="B2" s="109">
        <v>45474</v>
      </c>
      <c r="C2" s="110">
        <v>80</v>
      </c>
      <c r="D2" s="111">
        <f t="shared" ref="D2:D21" si="0">SUMIF($A$30:$A$112,A2,$B$30:$B$112)</f>
        <v>0</v>
      </c>
      <c r="E2" s="110"/>
      <c r="F2" s="47">
        <f>C2+D2-E2</f>
        <v>80</v>
      </c>
      <c r="G2" s="112">
        <f>'[4]Июнь 2024 '!H2</f>
        <v>14075</v>
      </c>
      <c r="H2" s="113"/>
      <c r="I2" s="113">
        <f>H2-G2</f>
        <v>-14075</v>
      </c>
      <c r="J2" s="110">
        <v>0</v>
      </c>
      <c r="K2" s="110"/>
      <c r="L2" s="110">
        <v>0</v>
      </c>
      <c r="M2" s="110">
        <f>VLOOKUP(A2,[4]Тарас!$C$4:$P$23,14,0)</f>
        <v>3.4</v>
      </c>
      <c r="N2" s="114"/>
      <c r="O2" s="112">
        <f>194.94*I2</f>
        <v>-2743780.5</v>
      </c>
      <c r="P2" s="112">
        <f>F2*$K$25</f>
        <v>4116.5560862552693</v>
      </c>
      <c r="Q2" s="112">
        <f>O2-P2</f>
        <v>-2747897.0560862552</v>
      </c>
      <c r="R2" s="112"/>
    </row>
    <row r="3" spans="1:19" x14ac:dyDescent="0.25">
      <c r="A3" s="52" t="s">
        <v>30</v>
      </c>
      <c r="B3" s="53">
        <v>45474</v>
      </c>
      <c r="C3" s="54">
        <v>120</v>
      </c>
      <c r="D3" s="55">
        <f t="shared" si="0"/>
        <v>100</v>
      </c>
      <c r="E3" s="54">
        <v>40</v>
      </c>
      <c r="F3" s="56">
        <f>C3+D3-E3</f>
        <v>180</v>
      </c>
      <c r="G3" s="57">
        <v>10647</v>
      </c>
      <c r="H3" s="58">
        <v>10718</v>
      </c>
      <c r="I3" s="58">
        <f t="shared" ref="I3:I19" si="1">H3-G3</f>
        <v>71</v>
      </c>
      <c r="J3" s="59">
        <v>0</v>
      </c>
      <c r="K3" s="59"/>
      <c r="L3" s="59">
        <v>82</v>
      </c>
      <c r="M3" s="59">
        <v>3.4</v>
      </c>
      <c r="N3" s="94">
        <f>F3/I3</f>
        <v>2.535211267605634</v>
      </c>
      <c r="O3" s="57">
        <f>194.94*I3</f>
        <v>13840.74</v>
      </c>
      <c r="P3" s="57">
        <f>F3*$K$25</f>
        <v>9262.2511940743552</v>
      </c>
      <c r="Q3" s="60">
        <f>O3-P3</f>
        <v>4578.4888059256446</v>
      </c>
      <c r="R3" s="60"/>
    </row>
    <row r="4" spans="1:19" ht="14.45" hidden="1" customHeight="1" x14ac:dyDescent="0.25">
      <c r="A4" s="61" t="s">
        <v>31</v>
      </c>
      <c r="B4" s="62">
        <v>45474</v>
      </c>
      <c r="C4" s="123">
        <v>0</v>
      </c>
      <c r="D4" s="124">
        <f t="shared" si="0"/>
        <v>0</v>
      </c>
      <c r="E4" s="123"/>
      <c r="F4" s="65">
        <f t="shared" ref="F4:F21" si="2">C4+D4-E4</f>
        <v>0</v>
      </c>
      <c r="G4" s="66">
        <v>0</v>
      </c>
      <c r="H4" s="125"/>
      <c r="I4" s="125"/>
      <c r="J4" s="68">
        <v>0</v>
      </c>
      <c r="K4" s="68"/>
      <c r="L4" s="68"/>
      <c r="M4" s="68" t="e">
        <v>#N/A</v>
      </c>
      <c r="N4" s="71" t="e">
        <f t="shared" ref="N4:N20" si="3">F4/I4</f>
        <v>#DIV/0!</v>
      </c>
      <c r="O4" s="66">
        <f t="shared" ref="O4:O21" si="4">194.94*I4</f>
        <v>0</v>
      </c>
      <c r="P4" s="66">
        <f t="shared" ref="P4:P21" si="5">F4*$K$25</f>
        <v>0</v>
      </c>
      <c r="Q4" s="69">
        <f t="shared" ref="Q4:Q21" si="6">O4-P4</f>
        <v>0</v>
      </c>
      <c r="R4" s="69"/>
    </row>
    <row r="5" spans="1:19" x14ac:dyDescent="0.25">
      <c r="A5" s="70" t="s">
        <v>10</v>
      </c>
      <c r="B5" s="62">
        <v>45474</v>
      </c>
      <c r="C5" s="123">
        <v>110</v>
      </c>
      <c r="D5" s="124">
        <f t="shared" si="0"/>
        <v>860</v>
      </c>
      <c r="E5" s="123">
        <v>115</v>
      </c>
      <c r="F5" s="65">
        <f t="shared" si="2"/>
        <v>855</v>
      </c>
      <c r="G5" s="66">
        <v>9280</v>
      </c>
      <c r="H5" s="125">
        <v>9455</v>
      </c>
      <c r="I5" s="125">
        <f t="shared" si="1"/>
        <v>175</v>
      </c>
      <c r="J5" s="68">
        <v>0</v>
      </c>
      <c r="K5" s="68"/>
      <c r="L5" s="68">
        <v>242</v>
      </c>
      <c r="M5" s="68">
        <v>3.4</v>
      </c>
      <c r="N5" s="72">
        <f>F5/I5</f>
        <v>4.8857142857142861</v>
      </c>
      <c r="O5" s="66">
        <f>194.94*I5</f>
        <v>34114.5</v>
      </c>
      <c r="P5" s="66">
        <f>F5*$K$25</f>
        <v>43995.693171853185</v>
      </c>
      <c r="Q5" s="96">
        <f>O5-P5</f>
        <v>-9881.193171853185</v>
      </c>
      <c r="R5" s="96"/>
      <c r="S5" s="102"/>
    </row>
    <row r="6" spans="1:19" x14ac:dyDescent="0.25">
      <c r="A6" s="70" t="s">
        <v>11</v>
      </c>
      <c r="B6" s="62">
        <v>45474</v>
      </c>
      <c r="C6" s="123">
        <v>60</v>
      </c>
      <c r="D6" s="124">
        <f t="shared" si="0"/>
        <v>0</v>
      </c>
      <c r="E6" s="123">
        <v>50</v>
      </c>
      <c r="F6" s="65">
        <f t="shared" si="2"/>
        <v>10</v>
      </c>
      <c r="G6" s="66">
        <v>0</v>
      </c>
      <c r="H6" s="125"/>
      <c r="I6" s="125">
        <f>L6*0.53</f>
        <v>1.59</v>
      </c>
      <c r="J6" s="68">
        <v>0</v>
      </c>
      <c r="K6" s="68"/>
      <c r="L6" s="68">
        <v>3</v>
      </c>
      <c r="M6" s="68">
        <v>3.4</v>
      </c>
      <c r="N6" s="72">
        <f t="shared" si="3"/>
        <v>6.2893081761006284</v>
      </c>
      <c r="O6" s="66">
        <f t="shared" si="4"/>
        <v>309.95460000000003</v>
      </c>
      <c r="P6" s="66">
        <f>F6*$K$25</f>
        <v>514.56951078190866</v>
      </c>
      <c r="Q6" s="96">
        <f>O6-P6</f>
        <v>-204.61491078190863</v>
      </c>
      <c r="R6" s="69" t="s">
        <v>52</v>
      </c>
    </row>
    <row r="7" spans="1:19" x14ac:dyDescent="0.25">
      <c r="A7" s="70" t="s">
        <v>32</v>
      </c>
      <c r="B7" s="62">
        <v>45474</v>
      </c>
      <c r="C7" s="123">
        <v>85</v>
      </c>
      <c r="D7" s="124">
        <f t="shared" si="0"/>
        <v>83</v>
      </c>
      <c r="E7" s="123">
        <v>150</v>
      </c>
      <c r="F7" s="65">
        <f t="shared" si="2"/>
        <v>18</v>
      </c>
      <c r="G7" s="66">
        <v>4948</v>
      </c>
      <c r="H7" s="125">
        <v>4958</v>
      </c>
      <c r="I7" s="125">
        <f t="shared" si="1"/>
        <v>10</v>
      </c>
      <c r="J7" s="68">
        <v>0</v>
      </c>
      <c r="K7" s="68"/>
      <c r="L7" s="68">
        <v>9</v>
      </c>
      <c r="M7" s="68">
        <v>5</v>
      </c>
      <c r="N7" s="71">
        <f t="shared" si="3"/>
        <v>1.8</v>
      </c>
      <c r="O7" s="66">
        <f>285*I7</f>
        <v>2850</v>
      </c>
      <c r="P7" s="66">
        <f t="shared" si="5"/>
        <v>926.2251194074355</v>
      </c>
      <c r="Q7" s="69">
        <f t="shared" si="6"/>
        <v>1923.7748805925644</v>
      </c>
      <c r="R7" s="69"/>
    </row>
    <row r="8" spans="1:19" hidden="1" x14ac:dyDescent="0.25">
      <c r="A8" s="70" t="s">
        <v>33</v>
      </c>
      <c r="B8" s="62">
        <v>45474</v>
      </c>
      <c r="C8" s="123">
        <v>0</v>
      </c>
      <c r="D8" s="124">
        <f t="shared" si="0"/>
        <v>0</v>
      </c>
      <c r="E8" s="123"/>
      <c r="F8" s="65">
        <f t="shared" si="2"/>
        <v>0</v>
      </c>
      <c r="G8" s="66">
        <v>0</v>
      </c>
      <c r="H8" s="125"/>
      <c r="I8" s="125">
        <f t="shared" si="1"/>
        <v>0</v>
      </c>
      <c r="J8" s="68">
        <v>0</v>
      </c>
      <c r="K8" s="68"/>
      <c r="L8" s="68"/>
      <c r="M8" s="68" t="e">
        <v>#N/A</v>
      </c>
      <c r="N8" s="71" t="e">
        <f t="shared" si="3"/>
        <v>#DIV/0!</v>
      </c>
      <c r="O8" s="66"/>
      <c r="P8" s="66">
        <f t="shared" si="5"/>
        <v>0</v>
      </c>
      <c r="Q8" s="69">
        <f t="shared" si="6"/>
        <v>0</v>
      </c>
      <c r="R8" s="69"/>
    </row>
    <row r="9" spans="1:19" x14ac:dyDescent="0.25">
      <c r="A9" s="70" t="s">
        <v>12</v>
      </c>
      <c r="B9" s="62">
        <v>45474</v>
      </c>
      <c r="C9" s="123">
        <v>70</v>
      </c>
      <c r="D9" s="124">
        <f t="shared" si="0"/>
        <v>800</v>
      </c>
      <c r="E9" s="123">
        <v>70</v>
      </c>
      <c r="F9" s="47">
        <f>C9+D9-E9</f>
        <v>800</v>
      </c>
      <c r="G9" s="66">
        <v>17307</v>
      </c>
      <c r="H9" s="125">
        <v>17434</v>
      </c>
      <c r="I9" s="125">
        <f>H9-G9</f>
        <v>127</v>
      </c>
      <c r="J9" s="68">
        <v>0</v>
      </c>
      <c r="K9" s="68"/>
      <c r="L9" s="68">
        <v>198</v>
      </c>
      <c r="M9" s="68">
        <v>4.0999999999999996</v>
      </c>
      <c r="N9" s="72">
        <f>F9/I9</f>
        <v>6.2992125984251972</v>
      </c>
      <c r="O9" s="66">
        <f>235.41*I9</f>
        <v>29897.07</v>
      </c>
      <c r="P9" s="66">
        <f>F9*$K$25</f>
        <v>41165.560862552687</v>
      </c>
      <c r="Q9" s="96">
        <f>O9-P9</f>
        <v>-11268.490862552688</v>
      </c>
      <c r="R9" s="69"/>
    </row>
    <row r="10" spans="1:19" x14ac:dyDescent="0.25">
      <c r="A10" s="70" t="s">
        <v>14</v>
      </c>
      <c r="B10" s="62">
        <v>45474</v>
      </c>
      <c r="C10" s="123">
        <v>20</v>
      </c>
      <c r="D10" s="124">
        <f t="shared" si="0"/>
        <v>799.94</v>
      </c>
      <c r="E10" s="123">
        <v>30</v>
      </c>
      <c r="F10" s="47">
        <f>C10+D10-E10</f>
        <v>789.94</v>
      </c>
      <c r="G10" s="66">
        <v>39553</v>
      </c>
      <c r="H10" s="125">
        <v>39728</v>
      </c>
      <c r="I10" s="125">
        <f t="shared" si="1"/>
        <v>175</v>
      </c>
      <c r="J10" s="68">
        <v>0</v>
      </c>
      <c r="K10" s="68"/>
      <c r="L10" s="68">
        <v>233</v>
      </c>
      <c r="M10" s="68">
        <v>4.0999999999999996</v>
      </c>
      <c r="N10" s="72">
        <f t="shared" si="3"/>
        <v>4.5139428571428573</v>
      </c>
      <c r="O10" s="66">
        <f t="shared" ref="O10:O11" si="7">235.41*I10</f>
        <v>41196.75</v>
      </c>
      <c r="P10" s="66">
        <f t="shared" si="5"/>
        <v>40647.90393470609</v>
      </c>
      <c r="Q10" s="69">
        <f t="shared" si="6"/>
        <v>548.84606529391021</v>
      </c>
      <c r="R10" s="69"/>
    </row>
    <row r="11" spans="1:19" x14ac:dyDescent="0.25">
      <c r="A11" s="70" t="s">
        <v>13</v>
      </c>
      <c r="B11" s="62">
        <v>45474</v>
      </c>
      <c r="C11" s="123">
        <v>10</v>
      </c>
      <c r="D11" s="124">
        <f t="shared" si="0"/>
        <v>850</v>
      </c>
      <c r="E11" s="123">
        <v>15</v>
      </c>
      <c r="F11" s="65">
        <f t="shared" si="2"/>
        <v>845</v>
      </c>
      <c r="G11" s="66">
        <v>11904</v>
      </c>
      <c r="H11" s="125">
        <v>12082</v>
      </c>
      <c r="I11" s="125">
        <f t="shared" si="1"/>
        <v>178</v>
      </c>
      <c r="J11" s="68">
        <v>0</v>
      </c>
      <c r="K11" s="68"/>
      <c r="L11" s="68">
        <v>237</v>
      </c>
      <c r="M11" s="68">
        <v>4.0999999999999996</v>
      </c>
      <c r="N11" s="72">
        <f t="shared" si="3"/>
        <v>4.7471910112359552</v>
      </c>
      <c r="O11" s="66">
        <f t="shared" si="7"/>
        <v>41902.979999999996</v>
      </c>
      <c r="P11" s="66">
        <f t="shared" si="5"/>
        <v>43481.12366107128</v>
      </c>
      <c r="Q11" s="96">
        <f t="shared" si="6"/>
        <v>-1578.1436610712844</v>
      </c>
      <c r="R11" s="69"/>
    </row>
    <row r="12" spans="1:19" hidden="1" x14ac:dyDescent="0.25">
      <c r="A12" s="70" t="s">
        <v>34</v>
      </c>
      <c r="B12" s="62">
        <v>45474</v>
      </c>
      <c r="C12" s="123">
        <v>80</v>
      </c>
      <c r="D12" s="124">
        <f t="shared" si="0"/>
        <v>0</v>
      </c>
      <c r="E12" s="123"/>
      <c r="F12" s="65">
        <f>C12+D12-E12</f>
        <v>80</v>
      </c>
      <c r="G12" s="66">
        <v>7096</v>
      </c>
      <c r="H12" s="125"/>
      <c r="I12" s="125">
        <f t="shared" si="1"/>
        <v>-7096</v>
      </c>
      <c r="J12" s="68">
        <v>0</v>
      </c>
      <c r="K12" s="68"/>
      <c r="L12" s="68"/>
      <c r="M12" s="68">
        <v>10.5</v>
      </c>
      <c r="N12" s="72">
        <f>F12/I12</f>
        <v>-1.1273957158962795E-2</v>
      </c>
      <c r="O12" s="66">
        <f>595.65*I12</f>
        <v>-4226732.3999999994</v>
      </c>
      <c r="P12" s="66">
        <f t="shared" si="5"/>
        <v>4116.5560862552693</v>
      </c>
      <c r="Q12" s="96">
        <f t="shared" si="6"/>
        <v>-4230848.9560862547</v>
      </c>
      <c r="R12" s="69"/>
      <c r="S12" s="11"/>
    </row>
    <row r="13" spans="1:19" x14ac:dyDescent="0.25">
      <c r="A13" s="99" t="s">
        <v>35</v>
      </c>
      <c r="B13" s="62">
        <v>45474</v>
      </c>
      <c r="C13" s="123">
        <v>40</v>
      </c>
      <c r="D13" s="124">
        <f t="shared" si="0"/>
        <v>400</v>
      </c>
      <c r="E13" s="123">
        <v>130</v>
      </c>
      <c r="F13" s="65">
        <f>C13+D13-E13</f>
        <v>310</v>
      </c>
      <c r="G13" s="66">
        <v>31643</v>
      </c>
      <c r="H13" s="125">
        <v>31832</v>
      </c>
      <c r="I13" s="125">
        <f t="shared" si="1"/>
        <v>189</v>
      </c>
      <c r="J13" s="68">
        <v>0</v>
      </c>
      <c r="K13" s="68"/>
      <c r="L13" s="68">
        <v>175</v>
      </c>
      <c r="M13" s="68">
        <v>0.9</v>
      </c>
      <c r="N13" s="72">
        <f>F13/I13</f>
        <v>1.6402116402116402</v>
      </c>
      <c r="O13" s="66">
        <f>(51.3*(I13-K13))+(K13*14.25)</f>
        <v>9695.6999999999989</v>
      </c>
      <c r="P13" s="66">
        <f>F13*$K$25</f>
        <v>15951.654834239167</v>
      </c>
      <c r="Q13" s="96">
        <f t="shared" si="6"/>
        <v>-6255.9548342391681</v>
      </c>
      <c r="R13" s="69" t="s">
        <v>53</v>
      </c>
    </row>
    <row r="14" spans="1:19" x14ac:dyDescent="0.25">
      <c r="A14" s="99" t="s">
        <v>7</v>
      </c>
      <c r="B14" s="62">
        <v>45474</v>
      </c>
      <c r="C14" s="123">
        <v>140</v>
      </c>
      <c r="D14" s="124">
        <f t="shared" si="0"/>
        <v>500</v>
      </c>
      <c r="E14" s="123">
        <v>150</v>
      </c>
      <c r="F14" s="47">
        <f>C14+D14-E14</f>
        <v>490</v>
      </c>
      <c r="G14" s="66">
        <v>34719</v>
      </c>
      <c r="H14" s="125">
        <v>35350</v>
      </c>
      <c r="I14" s="125">
        <f>H14-G14</f>
        <v>631</v>
      </c>
      <c r="J14" s="68">
        <v>0</v>
      </c>
      <c r="K14" s="68"/>
      <c r="L14" s="68">
        <v>135</v>
      </c>
      <c r="M14" s="68">
        <v>0.9</v>
      </c>
      <c r="N14" s="71">
        <f t="shared" si="3"/>
        <v>0.77654516640253568</v>
      </c>
      <c r="O14" s="66">
        <f>(51.3*(I14-K14))+(K14*14.25)</f>
        <v>32370.3</v>
      </c>
      <c r="P14" s="66">
        <f>F14*$K$25</f>
        <v>25213.906028313522</v>
      </c>
      <c r="Q14" s="69">
        <f t="shared" si="6"/>
        <v>7156.393971686477</v>
      </c>
      <c r="R14" s="69" t="s">
        <v>55</v>
      </c>
    </row>
    <row r="15" spans="1:19" x14ac:dyDescent="0.25">
      <c r="A15" s="99" t="s">
        <v>8</v>
      </c>
      <c r="B15" s="62">
        <v>45474</v>
      </c>
      <c r="C15" s="123">
        <v>130</v>
      </c>
      <c r="D15" s="124">
        <f t="shared" si="0"/>
        <v>200</v>
      </c>
      <c r="E15" s="123">
        <v>137</v>
      </c>
      <c r="F15" s="65">
        <f>C15+D15-E15</f>
        <v>193</v>
      </c>
      <c r="G15" s="66">
        <v>559353</v>
      </c>
      <c r="H15" s="125">
        <v>559550</v>
      </c>
      <c r="I15" s="125">
        <f t="shared" si="1"/>
        <v>197</v>
      </c>
      <c r="J15" s="68">
        <v>0</v>
      </c>
      <c r="K15" s="68"/>
      <c r="L15" s="68">
        <v>128</v>
      </c>
      <c r="M15" s="68">
        <v>0.9</v>
      </c>
      <c r="N15" s="71">
        <f t="shared" si="3"/>
        <v>0.97969543147208127</v>
      </c>
      <c r="O15" s="66">
        <f>(51.3*(I15-K15))+(K15*19.85)</f>
        <v>10106.099999999999</v>
      </c>
      <c r="P15" s="66">
        <f>F15*$K$25</f>
        <v>9931.1915580908371</v>
      </c>
      <c r="Q15" s="69">
        <f t="shared" si="6"/>
        <v>174.90844190916141</v>
      </c>
      <c r="R15" s="69" t="s">
        <v>54</v>
      </c>
    </row>
    <row r="16" spans="1:19" x14ac:dyDescent="0.25">
      <c r="A16" s="99" t="s">
        <v>9</v>
      </c>
      <c r="B16" s="62">
        <v>45474</v>
      </c>
      <c r="C16" s="123">
        <v>240</v>
      </c>
      <c r="D16" s="124">
        <f t="shared" si="0"/>
        <v>59.54</v>
      </c>
      <c r="E16" s="123">
        <v>160</v>
      </c>
      <c r="F16" s="65">
        <f>C16+D16-E16</f>
        <v>139.54000000000002</v>
      </c>
      <c r="G16" s="66">
        <v>64160</v>
      </c>
      <c r="H16" s="125">
        <v>64239</v>
      </c>
      <c r="I16" s="125">
        <f t="shared" si="1"/>
        <v>79</v>
      </c>
      <c r="J16" s="68">
        <v>0</v>
      </c>
      <c r="K16" s="68"/>
      <c r="L16" s="68">
        <v>16</v>
      </c>
      <c r="M16" s="68">
        <v>0.9</v>
      </c>
      <c r="N16" s="72">
        <f t="shared" si="3"/>
        <v>1.7663291139240509</v>
      </c>
      <c r="O16" s="66">
        <f>(51.3*(I16-K16))+(K16*19.85)</f>
        <v>4052.7</v>
      </c>
      <c r="P16" s="66">
        <f>F16*$K$25</f>
        <v>7180.3029534507541</v>
      </c>
      <c r="Q16" s="96">
        <f t="shared" si="6"/>
        <v>-3127.6029534507543</v>
      </c>
      <c r="R16" s="69" t="s">
        <v>56</v>
      </c>
      <c r="S16" s="11"/>
    </row>
    <row r="17" spans="1:19" ht="15" hidden="1" customHeight="1" x14ac:dyDescent="0.25">
      <c r="A17" s="99" t="s">
        <v>36</v>
      </c>
      <c r="B17" s="62">
        <v>45474</v>
      </c>
      <c r="C17" s="123">
        <v>0</v>
      </c>
      <c r="D17" s="124">
        <f t="shared" si="0"/>
        <v>0</v>
      </c>
      <c r="E17" s="123"/>
      <c r="F17" s="65">
        <f t="shared" si="2"/>
        <v>0</v>
      </c>
      <c r="G17" s="66">
        <v>0</v>
      </c>
      <c r="H17" s="125"/>
      <c r="I17" s="125">
        <f t="shared" si="1"/>
        <v>0</v>
      </c>
      <c r="J17" s="68">
        <v>0</v>
      </c>
      <c r="K17" s="68"/>
      <c r="L17" s="68"/>
      <c r="M17" s="68" t="e">
        <v>#N/A</v>
      </c>
      <c r="N17" s="71" t="e">
        <f t="shared" si="3"/>
        <v>#DIV/0!</v>
      </c>
      <c r="O17" s="73"/>
      <c r="P17" s="66">
        <f t="shared" si="5"/>
        <v>0</v>
      </c>
      <c r="Q17" s="69">
        <f t="shared" si="6"/>
        <v>0</v>
      </c>
      <c r="R17" s="69"/>
    </row>
    <row r="18" spans="1:19" x14ac:dyDescent="0.25">
      <c r="A18" s="100" t="s">
        <v>37</v>
      </c>
      <c r="B18" s="62">
        <v>45474</v>
      </c>
      <c r="C18" s="123">
        <v>130</v>
      </c>
      <c r="D18" s="124">
        <f t="shared" si="0"/>
        <v>380</v>
      </c>
      <c r="E18" s="123">
        <v>190</v>
      </c>
      <c r="F18" s="65">
        <f t="shared" si="2"/>
        <v>320</v>
      </c>
      <c r="G18" s="66">
        <v>0</v>
      </c>
      <c r="H18" s="125"/>
      <c r="I18" s="125">
        <f>L18*0.7</f>
        <v>70</v>
      </c>
      <c r="J18" s="68">
        <v>0</v>
      </c>
      <c r="K18" s="68"/>
      <c r="L18" s="68">
        <v>100</v>
      </c>
      <c r="M18" s="68">
        <v>5.0999999999999996</v>
      </c>
      <c r="N18" s="71">
        <f t="shared" si="3"/>
        <v>4.5714285714285712</v>
      </c>
      <c r="O18" s="66">
        <f>290.07*I18</f>
        <v>20304.899999999998</v>
      </c>
      <c r="P18" s="66">
        <f t="shared" si="5"/>
        <v>16466.224345021077</v>
      </c>
      <c r="Q18" s="69">
        <f t="shared" si="6"/>
        <v>3838.6756549789206</v>
      </c>
      <c r="R18" s="69" t="s">
        <v>57</v>
      </c>
      <c r="S18" s="11"/>
    </row>
    <row r="19" spans="1:19" x14ac:dyDescent="0.25">
      <c r="A19" s="99" t="s">
        <v>5</v>
      </c>
      <c r="B19" s="62">
        <v>45474</v>
      </c>
      <c r="C19" s="123">
        <v>100</v>
      </c>
      <c r="D19" s="124">
        <f t="shared" si="0"/>
        <v>570</v>
      </c>
      <c r="E19" s="123">
        <v>180</v>
      </c>
      <c r="F19" s="68">
        <f>C19+D19-E19</f>
        <v>490</v>
      </c>
      <c r="G19" s="66">
        <v>5827</v>
      </c>
      <c r="H19" s="125">
        <v>5973</v>
      </c>
      <c r="I19" s="73">
        <f t="shared" si="1"/>
        <v>146</v>
      </c>
      <c r="J19" s="68">
        <v>0</v>
      </c>
      <c r="K19" s="68"/>
      <c r="L19" s="68">
        <v>274</v>
      </c>
      <c r="M19" s="68">
        <v>3.2</v>
      </c>
      <c r="N19" s="71">
        <f t="shared" si="3"/>
        <v>3.3561643835616439</v>
      </c>
      <c r="O19" s="73">
        <f>182.4*I19</f>
        <v>26630.400000000001</v>
      </c>
      <c r="P19" s="66">
        <f>F19*$K$25</f>
        <v>25213.906028313522</v>
      </c>
      <c r="Q19" s="69">
        <f t="shared" si="6"/>
        <v>1416.4939716864792</v>
      </c>
      <c r="R19" s="69" t="s">
        <v>58</v>
      </c>
      <c r="S19" s="11"/>
    </row>
    <row r="20" spans="1:19" ht="15.75" thickBot="1" x14ac:dyDescent="0.3">
      <c r="A20" s="101" t="s">
        <v>6</v>
      </c>
      <c r="B20" s="74">
        <v>45474</v>
      </c>
      <c r="C20" s="75">
        <v>230</v>
      </c>
      <c r="D20" s="76">
        <f t="shared" si="0"/>
        <v>300</v>
      </c>
      <c r="E20" s="75">
        <v>230</v>
      </c>
      <c r="F20" s="97">
        <f>C20+D20-E20</f>
        <v>300</v>
      </c>
      <c r="G20" s="77">
        <f>'[4]Июнь 2024 '!H20</f>
        <v>0</v>
      </c>
      <c r="H20" s="78"/>
      <c r="I20" s="78">
        <f>L20*0.7</f>
        <v>16.099999999999998</v>
      </c>
      <c r="J20" s="75">
        <v>0</v>
      </c>
      <c r="K20" s="79">
        <v>360</v>
      </c>
      <c r="L20" s="75">
        <v>23</v>
      </c>
      <c r="M20" s="75">
        <v>2.9</v>
      </c>
      <c r="N20" s="95">
        <f t="shared" si="3"/>
        <v>18.633540372670812</v>
      </c>
      <c r="O20" s="73">
        <f>I20*165.3+28.5*K20</f>
        <v>12921.33</v>
      </c>
      <c r="P20" s="77">
        <f>F20*$K$25</f>
        <v>15437.085323457259</v>
      </c>
      <c r="Q20" s="98">
        <f t="shared" si="6"/>
        <v>-2515.7553234572588</v>
      </c>
      <c r="R20" s="80" t="s">
        <v>59</v>
      </c>
    </row>
    <row r="21" spans="1:19" ht="11.45" hidden="1" customHeight="1" thickBot="1" x14ac:dyDescent="0.3">
      <c r="A21" s="81" t="s">
        <v>38</v>
      </c>
      <c r="B21" s="82">
        <v>45474</v>
      </c>
      <c r="C21" s="83">
        <f>'[4]Июнь 2024 '!E21</f>
        <v>0</v>
      </c>
      <c r="D21" s="84">
        <f t="shared" si="0"/>
        <v>0</v>
      </c>
      <c r="E21" s="83"/>
      <c r="F21" s="85">
        <f t="shared" si="2"/>
        <v>0</v>
      </c>
      <c r="G21" s="86">
        <f>'[4]Июнь 2024 '!H21</f>
        <v>0</v>
      </c>
      <c r="H21" s="87"/>
      <c r="I21" s="88">
        <v>0</v>
      </c>
      <c r="J21" s="87">
        <v>0</v>
      </c>
      <c r="K21" s="89"/>
      <c r="L21" s="89"/>
      <c r="M21" s="90"/>
      <c r="N21" s="51" t="e">
        <f>VLOOKUP(A21,[4]Тарас!$C$4:$N$23,12,0)</f>
        <v>#N/A</v>
      </c>
      <c r="O21" s="91">
        <f t="shared" si="4"/>
        <v>0</v>
      </c>
      <c r="P21" s="86">
        <f t="shared" si="5"/>
        <v>0</v>
      </c>
      <c r="Q21" s="86">
        <f t="shared" si="6"/>
        <v>0</v>
      </c>
      <c r="R21" s="51"/>
    </row>
    <row r="22" spans="1:19" x14ac:dyDescent="0.25">
      <c r="A22" s="51"/>
      <c r="B22" s="51"/>
      <c r="C22" s="92">
        <f>SUM(C2:C21)</f>
        <v>1645</v>
      </c>
      <c r="D22" s="93">
        <f>SUM(D2:D21)</f>
        <v>5902.4800000000005</v>
      </c>
      <c r="E22" s="92">
        <f>SUM(E2:E21)</f>
        <v>1647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25">
      <c r="A23" s="51"/>
      <c r="B23" s="51"/>
      <c r="C23" s="51"/>
      <c r="D23" s="51">
        <f>D22-B113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25">
      <c r="D25" s="17"/>
      <c r="J25" s="18" t="s">
        <v>39</v>
      </c>
      <c r="K25" s="19">
        <f>SUM(C30:C112)/B113</f>
        <v>51.456951078190862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126" t="s">
        <v>15</v>
      </c>
      <c r="B29" s="126" t="s">
        <v>41</v>
      </c>
      <c r="C29" s="126" t="s">
        <v>42</v>
      </c>
      <c r="D29" s="126" t="s">
        <v>43</v>
      </c>
    </row>
    <row r="30" spans="1:19" x14ac:dyDescent="0.25">
      <c r="A30" s="2" t="s">
        <v>12</v>
      </c>
      <c r="B30" s="3">
        <v>100</v>
      </c>
      <c r="C30" s="12">
        <f>B30*47.63</f>
        <v>4763</v>
      </c>
      <c r="D30" s="22" t="s">
        <v>44</v>
      </c>
    </row>
    <row r="31" spans="1:19" x14ac:dyDescent="0.25">
      <c r="A31" s="10" t="s">
        <v>12</v>
      </c>
      <c r="B31" s="9">
        <v>100</v>
      </c>
      <c r="C31" s="12">
        <f t="shared" ref="C31:C47" si="8">B31*47.63</f>
        <v>4763</v>
      </c>
      <c r="D31" s="22" t="s">
        <v>44</v>
      </c>
    </row>
    <row r="32" spans="1:19" x14ac:dyDescent="0.25">
      <c r="A32" s="10" t="s">
        <v>12</v>
      </c>
      <c r="B32" s="9">
        <v>100</v>
      </c>
      <c r="C32" s="12">
        <f t="shared" si="8"/>
        <v>4763</v>
      </c>
      <c r="D32" s="22" t="s">
        <v>44</v>
      </c>
    </row>
    <row r="33" spans="1:5" x14ac:dyDescent="0.25">
      <c r="A33" s="10" t="s">
        <v>12</v>
      </c>
      <c r="B33" s="9">
        <v>100</v>
      </c>
      <c r="C33" s="12">
        <f t="shared" si="8"/>
        <v>4763</v>
      </c>
      <c r="D33" s="22" t="s">
        <v>44</v>
      </c>
    </row>
    <row r="34" spans="1:5" x14ac:dyDescent="0.25">
      <c r="A34" s="10" t="s">
        <v>12</v>
      </c>
      <c r="B34" s="9">
        <v>100</v>
      </c>
      <c r="C34" s="12">
        <f t="shared" si="8"/>
        <v>4763</v>
      </c>
      <c r="D34" s="22" t="s">
        <v>44</v>
      </c>
    </row>
    <row r="35" spans="1:5" x14ac:dyDescent="0.25">
      <c r="A35" s="10" t="s">
        <v>12</v>
      </c>
      <c r="B35" s="9">
        <v>100</v>
      </c>
      <c r="C35" s="12">
        <f t="shared" si="8"/>
        <v>4763</v>
      </c>
      <c r="D35" s="22" t="s">
        <v>44</v>
      </c>
    </row>
    <row r="36" spans="1:5" x14ac:dyDescent="0.25">
      <c r="A36" s="10" t="s">
        <v>12</v>
      </c>
      <c r="B36" s="9">
        <v>100</v>
      </c>
      <c r="C36" s="12">
        <f t="shared" si="8"/>
        <v>4763</v>
      </c>
      <c r="D36" s="22" t="s">
        <v>44</v>
      </c>
    </row>
    <row r="37" spans="1:5" x14ac:dyDescent="0.25">
      <c r="A37" s="10" t="s">
        <v>12</v>
      </c>
      <c r="B37" s="9">
        <v>100</v>
      </c>
      <c r="C37" s="12">
        <f t="shared" si="8"/>
        <v>4763</v>
      </c>
      <c r="D37" s="22" t="s">
        <v>44</v>
      </c>
    </row>
    <row r="38" spans="1:5" x14ac:dyDescent="0.25">
      <c r="A38" s="10" t="s">
        <v>7</v>
      </c>
      <c r="B38" s="105">
        <v>100</v>
      </c>
      <c r="C38" s="12">
        <f t="shared" si="8"/>
        <v>4763</v>
      </c>
      <c r="D38" s="22" t="s">
        <v>44</v>
      </c>
    </row>
    <row r="39" spans="1:5" x14ac:dyDescent="0.25">
      <c r="A39" s="10" t="s">
        <v>7</v>
      </c>
      <c r="B39" s="105">
        <v>100</v>
      </c>
      <c r="C39" s="12">
        <f t="shared" si="8"/>
        <v>4763</v>
      </c>
      <c r="D39" s="22" t="s">
        <v>44</v>
      </c>
    </row>
    <row r="40" spans="1:5" x14ac:dyDescent="0.25">
      <c r="A40" s="10" t="s">
        <v>7</v>
      </c>
      <c r="B40" s="105">
        <v>100</v>
      </c>
      <c r="C40" s="12">
        <f t="shared" si="8"/>
        <v>4763</v>
      </c>
      <c r="D40" s="22" t="s">
        <v>44</v>
      </c>
    </row>
    <row r="41" spans="1:5" x14ac:dyDescent="0.25">
      <c r="A41" s="10" t="s">
        <v>7</v>
      </c>
      <c r="B41" s="105">
        <v>100</v>
      </c>
      <c r="C41" s="12">
        <f t="shared" si="8"/>
        <v>4763</v>
      </c>
      <c r="D41" s="22" t="s">
        <v>44</v>
      </c>
    </row>
    <row r="42" spans="1:5" x14ac:dyDescent="0.25">
      <c r="A42" s="10" t="s">
        <v>7</v>
      </c>
      <c r="B42" s="105">
        <v>100</v>
      </c>
      <c r="C42" s="12">
        <f t="shared" si="8"/>
        <v>4763</v>
      </c>
      <c r="D42" s="22" t="s">
        <v>44</v>
      </c>
    </row>
    <row r="43" spans="1:5" x14ac:dyDescent="0.25">
      <c r="A43" s="10" t="s">
        <v>6</v>
      </c>
      <c r="B43" s="105">
        <v>100</v>
      </c>
      <c r="C43" s="7">
        <f t="shared" si="8"/>
        <v>4763</v>
      </c>
      <c r="D43" s="22" t="s">
        <v>44</v>
      </c>
    </row>
    <row r="44" spans="1:5" x14ac:dyDescent="0.25">
      <c r="A44" s="10" t="s">
        <v>35</v>
      </c>
      <c r="B44" s="105">
        <v>100</v>
      </c>
      <c r="C44" s="7">
        <f t="shared" si="8"/>
        <v>4763</v>
      </c>
      <c r="D44" s="22" t="s">
        <v>44</v>
      </c>
    </row>
    <row r="45" spans="1:5" x14ac:dyDescent="0.25">
      <c r="A45" s="10" t="s">
        <v>35</v>
      </c>
      <c r="B45" s="105">
        <v>100</v>
      </c>
      <c r="C45" s="7">
        <f t="shared" si="8"/>
        <v>4763</v>
      </c>
      <c r="D45" s="22" t="s">
        <v>44</v>
      </c>
    </row>
    <row r="46" spans="1:5" x14ac:dyDescent="0.25">
      <c r="A46" s="10" t="s">
        <v>35</v>
      </c>
      <c r="B46" s="105">
        <v>100</v>
      </c>
      <c r="C46" s="7">
        <f t="shared" si="8"/>
        <v>4763</v>
      </c>
      <c r="D46" s="22" t="s">
        <v>44</v>
      </c>
    </row>
    <row r="47" spans="1:5" ht="15.75" thickBot="1" x14ac:dyDescent="0.3">
      <c r="A47" s="10" t="s">
        <v>35</v>
      </c>
      <c r="B47" s="105">
        <v>100</v>
      </c>
      <c r="C47" s="7">
        <f t="shared" si="8"/>
        <v>4763</v>
      </c>
      <c r="D47" s="22" t="s">
        <v>44</v>
      </c>
    </row>
    <row r="48" spans="1:5" ht="15.75" thickBot="1" x14ac:dyDescent="0.3">
      <c r="A48" s="13"/>
      <c r="B48" s="14"/>
      <c r="C48" s="15"/>
      <c r="D48" s="23"/>
      <c r="E48" s="24">
        <f>SUM(C30:C48)</f>
        <v>85734</v>
      </c>
    </row>
    <row r="49" spans="1:4" x14ac:dyDescent="0.25">
      <c r="A49" s="2" t="s">
        <v>5</v>
      </c>
      <c r="B49" s="3">
        <v>50</v>
      </c>
      <c r="C49" s="4">
        <v>2649.5</v>
      </c>
      <c r="D49" s="25" t="s">
        <v>45</v>
      </c>
    </row>
    <row r="50" spans="1:4" x14ac:dyDescent="0.25">
      <c r="A50" s="10" t="s">
        <v>5</v>
      </c>
      <c r="B50" s="105">
        <v>40</v>
      </c>
      <c r="C50" s="7">
        <v>2119.6</v>
      </c>
      <c r="D50" s="26" t="s">
        <v>45</v>
      </c>
    </row>
    <row r="51" spans="1:4" x14ac:dyDescent="0.25">
      <c r="A51" s="10" t="s">
        <v>5</v>
      </c>
      <c r="B51" s="105">
        <v>160</v>
      </c>
      <c r="C51" s="7">
        <v>8478.4</v>
      </c>
      <c r="D51" s="26" t="s">
        <v>45</v>
      </c>
    </row>
    <row r="52" spans="1:4" x14ac:dyDescent="0.25">
      <c r="A52" s="10" t="s">
        <v>5</v>
      </c>
      <c r="B52" s="105">
        <v>160</v>
      </c>
      <c r="C52" s="7">
        <v>8478.4</v>
      </c>
      <c r="D52" s="26" t="s">
        <v>45</v>
      </c>
    </row>
    <row r="53" spans="1:4" x14ac:dyDescent="0.25">
      <c r="A53" s="27" t="s">
        <v>5</v>
      </c>
      <c r="B53" s="105">
        <v>160</v>
      </c>
      <c r="C53" s="7">
        <v>8558.4</v>
      </c>
      <c r="D53" s="26" t="s">
        <v>45</v>
      </c>
    </row>
    <row r="54" spans="1:4" x14ac:dyDescent="0.25">
      <c r="A54" s="27" t="s">
        <v>8</v>
      </c>
      <c r="B54" s="105">
        <v>100</v>
      </c>
      <c r="C54" s="7">
        <v>5299</v>
      </c>
      <c r="D54" s="26" t="s">
        <v>45</v>
      </c>
    </row>
    <row r="55" spans="1:4" x14ac:dyDescent="0.25">
      <c r="A55" s="27" t="s">
        <v>8</v>
      </c>
      <c r="B55" s="105">
        <v>100</v>
      </c>
      <c r="C55" s="7">
        <v>5349</v>
      </c>
      <c r="D55" s="26" t="s">
        <v>45</v>
      </c>
    </row>
    <row r="56" spans="1:4" x14ac:dyDescent="0.25">
      <c r="A56" s="27" t="s">
        <v>37</v>
      </c>
      <c r="B56" s="105">
        <v>100</v>
      </c>
      <c r="C56" s="7">
        <v>5099</v>
      </c>
      <c r="D56" s="26" t="s">
        <v>45</v>
      </c>
    </row>
    <row r="57" spans="1:4" x14ac:dyDescent="0.25">
      <c r="A57" s="27" t="s">
        <v>37</v>
      </c>
      <c r="B57" s="105">
        <v>100</v>
      </c>
      <c r="C57" s="7">
        <v>5099</v>
      </c>
      <c r="D57" s="26" t="s">
        <v>45</v>
      </c>
    </row>
    <row r="58" spans="1:4" x14ac:dyDescent="0.25">
      <c r="A58" s="27" t="s">
        <v>37</v>
      </c>
      <c r="B58" s="105">
        <v>150</v>
      </c>
      <c r="C58" s="7">
        <v>8023.5</v>
      </c>
      <c r="D58" s="26" t="s">
        <v>45</v>
      </c>
    </row>
    <row r="59" spans="1:4" x14ac:dyDescent="0.25">
      <c r="A59" s="27" t="s">
        <v>37</v>
      </c>
      <c r="B59" s="105">
        <v>30</v>
      </c>
      <c r="C59" s="7">
        <v>1604.7</v>
      </c>
      <c r="D59" s="26" t="s">
        <v>45</v>
      </c>
    </row>
    <row r="60" spans="1:4" x14ac:dyDescent="0.25">
      <c r="A60" s="27" t="s">
        <v>13</v>
      </c>
      <c r="B60" s="105">
        <v>100</v>
      </c>
      <c r="C60" s="7">
        <v>5299</v>
      </c>
      <c r="D60" s="26" t="s">
        <v>45</v>
      </c>
    </row>
    <row r="61" spans="1:4" x14ac:dyDescent="0.25">
      <c r="A61" s="27" t="s">
        <v>13</v>
      </c>
      <c r="B61" s="105">
        <v>70</v>
      </c>
      <c r="C61" s="7">
        <v>3709.3</v>
      </c>
      <c r="D61" s="26" t="s">
        <v>45</v>
      </c>
    </row>
    <row r="62" spans="1:4" x14ac:dyDescent="0.25">
      <c r="A62" s="27" t="s">
        <v>13</v>
      </c>
      <c r="B62" s="105">
        <v>30</v>
      </c>
      <c r="C62" s="7">
        <v>1529.7</v>
      </c>
      <c r="D62" s="26" t="s">
        <v>45</v>
      </c>
    </row>
    <row r="63" spans="1:4" x14ac:dyDescent="0.25">
      <c r="A63" s="27" t="s">
        <v>13</v>
      </c>
      <c r="B63" s="105">
        <v>30</v>
      </c>
      <c r="C63" s="7">
        <v>1529.7</v>
      </c>
      <c r="D63" s="26" t="s">
        <v>45</v>
      </c>
    </row>
    <row r="64" spans="1:4" x14ac:dyDescent="0.25">
      <c r="A64" s="27" t="s">
        <v>13</v>
      </c>
      <c r="B64" s="105">
        <v>60</v>
      </c>
      <c r="C64" s="7">
        <v>3179.4</v>
      </c>
      <c r="D64" s="26" t="s">
        <v>45</v>
      </c>
    </row>
    <row r="65" spans="1:4" x14ac:dyDescent="0.25">
      <c r="A65" s="27" t="s">
        <v>13</v>
      </c>
      <c r="B65" s="105">
        <v>100</v>
      </c>
      <c r="C65" s="7">
        <v>5299</v>
      </c>
      <c r="D65" s="26" t="s">
        <v>45</v>
      </c>
    </row>
    <row r="66" spans="1:4" x14ac:dyDescent="0.25">
      <c r="A66" s="27" t="s">
        <v>13</v>
      </c>
      <c r="B66" s="105">
        <v>100</v>
      </c>
      <c r="C66" s="7">
        <v>5299</v>
      </c>
      <c r="D66" s="26" t="s">
        <v>45</v>
      </c>
    </row>
    <row r="67" spans="1:4" x14ac:dyDescent="0.25">
      <c r="A67" s="27" t="s">
        <v>13</v>
      </c>
      <c r="B67" s="105">
        <v>100</v>
      </c>
      <c r="C67" s="7">
        <v>5299</v>
      </c>
      <c r="D67" s="26" t="s">
        <v>45</v>
      </c>
    </row>
    <row r="68" spans="1:4" x14ac:dyDescent="0.25">
      <c r="A68" s="27" t="s">
        <v>13</v>
      </c>
      <c r="B68" s="105">
        <v>60</v>
      </c>
      <c r="C68" s="7">
        <v>3059.4</v>
      </c>
      <c r="D68" s="26" t="s">
        <v>45</v>
      </c>
    </row>
    <row r="69" spans="1:4" x14ac:dyDescent="0.25">
      <c r="A69" s="27" t="s">
        <v>13</v>
      </c>
      <c r="B69" s="105">
        <v>100</v>
      </c>
      <c r="C69" s="7">
        <v>5149</v>
      </c>
      <c r="D69" s="26" t="s">
        <v>45</v>
      </c>
    </row>
    <row r="70" spans="1:4" x14ac:dyDescent="0.25">
      <c r="A70" s="27" t="s">
        <v>13</v>
      </c>
      <c r="B70" s="105">
        <v>100</v>
      </c>
      <c r="C70" s="7">
        <v>5399</v>
      </c>
      <c r="D70" s="26" t="s">
        <v>45</v>
      </c>
    </row>
    <row r="71" spans="1:4" x14ac:dyDescent="0.25">
      <c r="A71" s="27" t="s">
        <v>10</v>
      </c>
      <c r="B71" s="105">
        <v>80</v>
      </c>
      <c r="C71" s="7">
        <v>4239.2</v>
      </c>
      <c r="D71" s="26" t="s">
        <v>45</v>
      </c>
    </row>
    <row r="72" spans="1:4" x14ac:dyDescent="0.25">
      <c r="A72" s="27" t="s">
        <v>10</v>
      </c>
      <c r="B72" s="105">
        <v>60</v>
      </c>
      <c r="C72" s="7">
        <v>3059.4</v>
      </c>
      <c r="D72" s="26" t="s">
        <v>45</v>
      </c>
    </row>
    <row r="73" spans="1:4" x14ac:dyDescent="0.25">
      <c r="A73" s="27" t="s">
        <v>10</v>
      </c>
      <c r="B73" s="105">
        <v>60</v>
      </c>
      <c r="C73" s="7">
        <v>3179.4</v>
      </c>
      <c r="D73" s="26" t="s">
        <v>45</v>
      </c>
    </row>
    <row r="74" spans="1:4" x14ac:dyDescent="0.25">
      <c r="A74" s="27" t="s">
        <v>10</v>
      </c>
      <c r="B74" s="105">
        <v>100</v>
      </c>
      <c r="C74" s="7">
        <v>5299</v>
      </c>
      <c r="D74" s="26" t="s">
        <v>45</v>
      </c>
    </row>
    <row r="75" spans="1:4" x14ac:dyDescent="0.25">
      <c r="A75" s="27" t="s">
        <v>10</v>
      </c>
      <c r="B75" s="105">
        <v>60</v>
      </c>
      <c r="C75" s="7">
        <v>3179.4</v>
      </c>
      <c r="D75" s="26" t="s">
        <v>45</v>
      </c>
    </row>
    <row r="76" spans="1:4" x14ac:dyDescent="0.25">
      <c r="A76" s="27" t="s">
        <v>10</v>
      </c>
      <c r="B76" s="105">
        <v>100</v>
      </c>
      <c r="C76" s="7">
        <v>5299</v>
      </c>
      <c r="D76" s="26" t="s">
        <v>45</v>
      </c>
    </row>
    <row r="77" spans="1:4" x14ac:dyDescent="0.25">
      <c r="A77" s="27" t="s">
        <v>10</v>
      </c>
      <c r="B77" s="105">
        <v>100</v>
      </c>
      <c r="C77" s="7">
        <v>5099</v>
      </c>
      <c r="D77" s="26" t="s">
        <v>45</v>
      </c>
    </row>
    <row r="78" spans="1:4" x14ac:dyDescent="0.25">
      <c r="A78" s="27" t="s">
        <v>10</v>
      </c>
      <c r="B78" s="105">
        <v>100</v>
      </c>
      <c r="C78" s="7">
        <v>5349</v>
      </c>
      <c r="D78" s="26" t="s">
        <v>45</v>
      </c>
    </row>
    <row r="79" spans="1:4" x14ac:dyDescent="0.25">
      <c r="A79" s="27" t="s">
        <v>10</v>
      </c>
      <c r="B79" s="105">
        <v>100</v>
      </c>
      <c r="C79" s="7">
        <v>5149</v>
      </c>
      <c r="D79" s="26" t="s">
        <v>45</v>
      </c>
    </row>
    <row r="80" spans="1:4" ht="15.75" thickBot="1" x14ac:dyDescent="0.3">
      <c r="A80" s="27" t="s">
        <v>10</v>
      </c>
      <c r="B80" s="105">
        <v>100</v>
      </c>
      <c r="C80" s="7">
        <v>5399</v>
      </c>
      <c r="D80" s="26" t="s">
        <v>45</v>
      </c>
    </row>
    <row r="81" spans="1:7" ht="15.75" thickBot="1" x14ac:dyDescent="0.3">
      <c r="A81" s="27"/>
      <c r="B81" s="105"/>
      <c r="C81" s="7"/>
      <c r="D81" s="28"/>
      <c r="E81" s="24">
        <f>SUM(C49:C81)</f>
        <v>150761.39999999997</v>
      </c>
    </row>
    <row r="82" spans="1:7" x14ac:dyDescent="0.25">
      <c r="A82" s="2" t="s">
        <v>9</v>
      </c>
      <c r="B82" s="5">
        <v>59.54</v>
      </c>
      <c r="C82" s="29">
        <v>3280.06</v>
      </c>
      <c r="D82" s="25" t="s">
        <v>46</v>
      </c>
    </row>
    <row r="83" spans="1:7" x14ac:dyDescent="0.25">
      <c r="A83" s="10" t="s">
        <v>14</v>
      </c>
      <c r="B83" s="9">
        <v>799.94</v>
      </c>
      <c r="C83" s="12">
        <v>44068.694600000003</v>
      </c>
      <c r="D83" s="26" t="s">
        <v>46</v>
      </c>
    </row>
    <row r="84" spans="1:7" ht="15.75" thickBot="1" x14ac:dyDescent="0.3">
      <c r="A84" s="27" t="s">
        <v>32</v>
      </c>
      <c r="B84" s="105">
        <v>83</v>
      </c>
      <c r="C84" s="127">
        <v>4572.47</v>
      </c>
      <c r="D84" s="26" t="s">
        <v>46</v>
      </c>
    </row>
    <row r="85" spans="1:7" ht="15.75" thickBot="1" x14ac:dyDescent="0.3">
      <c r="A85" s="13" t="s">
        <v>30</v>
      </c>
      <c r="B85" s="14">
        <v>100</v>
      </c>
      <c r="C85" s="16">
        <v>5509</v>
      </c>
      <c r="D85" s="23" t="s">
        <v>46</v>
      </c>
      <c r="E85" s="24">
        <f>SUM(C82:C85)</f>
        <v>57430.224600000001</v>
      </c>
    </row>
    <row r="86" spans="1:7" x14ac:dyDescent="0.25">
      <c r="A86" s="10" t="s">
        <v>6</v>
      </c>
      <c r="B86" s="105">
        <v>100</v>
      </c>
      <c r="C86" s="7">
        <v>4899</v>
      </c>
      <c r="D86" s="22" t="s">
        <v>47</v>
      </c>
    </row>
    <row r="87" spans="1:7" ht="15.75" thickBot="1" x14ac:dyDescent="0.3">
      <c r="A87" s="10" t="s">
        <v>6</v>
      </c>
      <c r="B87" s="105">
        <v>100</v>
      </c>
      <c r="C87" s="7">
        <v>4899</v>
      </c>
      <c r="D87" s="22" t="s">
        <v>47</v>
      </c>
    </row>
    <row r="88" spans="1:7" ht="15.75" thickBot="1" x14ac:dyDescent="0.3">
      <c r="A88" s="13"/>
      <c r="B88" s="14"/>
      <c r="C88" s="15"/>
      <c r="D88" s="22"/>
      <c r="E88" s="24">
        <f>SUM(C86:C88)</f>
        <v>9798</v>
      </c>
      <c r="G88" s="20"/>
    </row>
    <row r="89" spans="1:7" ht="15.75" hidden="1" thickBot="1" x14ac:dyDescent="0.3">
      <c r="A89" s="2"/>
      <c r="B89" s="3"/>
      <c r="C89" s="4"/>
      <c r="D89" s="22"/>
    </row>
    <row r="90" spans="1:7" ht="15.75" hidden="1" thickBot="1" x14ac:dyDescent="0.3">
      <c r="A90" s="10"/>
      <c r="B90" s="105"/>
      <c r="C90" s="7"/>
      <c r="D90" s="22"/>
    </row>
    <row r="91" spans="1:7" ht="15.75" hidden="1" thickBot="1" x14ac:dyDescent="0.3">
      <c r="A91" s="22"/>
      <c r="B91" s="105"/>
      <c r="C91" s="7"/>
      <c r="D91" s="22"/>
    </row>
    <row r="92" spans="1:7" ht="15.75" hidden="1" thickBot="1" x14ac:dyDescent="0.3">
      <c r="A92" s="22"/>
      <c r="B92" s="105"/>
      <c r="C92" s="7"/>
      <c r="D92" s="22"/>
    </row>
    <row r="93" spans="1:7" ht="15.75" hidden="1" thickBot="1" x14ac:dyDescent="0.3">
      <c r="A93" s="10"/>
      <c r="B93" s="105"/>
      <c r="C93" s="7"/>
      <c r="D93" s="22"/>
    </row>
    <row r="94" spans="1:7" ht="15.75" hidden="1" thickBot="1" x14ac:dyDescent="0.3">
      <c r="A94" s="10"/>
      <c r="B94" s="105"/>
      <c r="C94" s="7"/>
      <c r="D94" s="22"/>
    </row>
    <row r="95" spans="1:7" ht="15.75" hidden="1" thickBot="1" x14ac:dyDescent="0.3">
      <c r="A95" s="27"/>
      <c r="B95" s="105"/>
      <c r="C95" s="7"/>
      <c r="D95" s="22" t="s">
        <v>46</v>
      </c>
    </row>
    <row r="96" spans="1:7" ht="15.75" hidden="1" thickBot="1" x14ac:dyDescent="0.3">
      <c r="A96" s="27"/>
      <c r="B96" s="105"/>
      <c r="C96" s="7"/>
      <c r="D96" s="22" t="s">
        <v>46</v>
      </c>
    </row>
    <row r="97" spans="1:7" ht="15.75" hidden="1" thickBot="1" x14ac:dyDescent="0.3">
      <c r="A97" s="13"/>
      <c r="B97" s="14"/>
      <c r="C97" s="15"/>
      <c r="D97" s="22" t="s">
        <v>46</v>
      </c>
      <c r="F97" s="30">
        <f>-337162.41-C93</f>
        <v>-337162.41</v>
      </c>
      <c r="G97" s="30"/>
    </row>
    <row r="98" spans="1:7" ht="15.75" hidden="1" thickBot="1" x14ac:dyDescent="0.3">
      <c r="A98" s="27"/>
      <c r="B98" s="3"/>
      <c r="C98" s="4"/>
      <c r="D98" s="22" t="s">
        <v>48</v>
      </c>
    </row>
    <row r="99" spans="1:7" ht="15.75" hidden="1" thickBot="1" x14ac:dyDescent="0.3">
      <c r="A99" s="27"/>
      <c r="B99" s="105"/>
      <c r="C99" s="7"/>
      <c r="D99" s="22" t="s">
        <v>48</v>
      </c>
    </row>
    <row r="100" spans="1:7" ht="15.75" hidden="1" thickBot="1" x14ac:dyDescent="0.3">
      <c r="A100" s="10"/>
      <c r="B100" s="105"/>
      <c r="C100" s="7"/>
      <c r="D100" s="22" t="s">
        <v>48</v>
      </c>
    </row>
    <row r="101" spans="1:7" ht="15.75" hidden="1" thickBot="1" x14ac:dyDescent="0.3">
      <c r="A101" s="10"/>
      <c r="B101" s="105"/>
      <c r="C101" s="7"/>
      <c r="D101" s="22" t="s">
        <v>48</v>
      </c>
    </row>
    <row r="102" spans="1:7" ht="15.75" hidden="1" thickBot="1" x14ac:dyDescent="0.3">
      <c r="A102" s="10"/>
      <c r="B102" s="105"/>
      <c r="C102" s="7"/>
      <c r="D102" s="22" t="s">
        <v>48</v>
      </c>
    </row>
    <row r="103" spans="1:7" ht="15.75" hidden="1" thickBot="1" x14ac:dyDescent="0.3">
      <c r="A103" s="10"/>
      <c r="B103" s="105"/>
      <c r="C103" s="7"/>
      <c r="D103" s="22" t="s">
        <v>48</v>
      </c>
    </row>
    <row r="104" spans="1:7" ht="15.75" hidden="1" thickBot="1" x14ac:dyDescent="0.3">
      <c r="A104" s="10"/>
      <c r="B104" s="105"/>
      <c r="C104" s="7"/>
      <c r="D104" s="22" t="s">
        <v>48</v>
      </c>
    </row>
    <row r="105" spans="1:7" ht="15.75" hidden="1" thickBot="1" x14ac:dyDescent="0.3">
      <c r="A105" s="10"/>
      <c r="B105" s="105"/>
      <c r="C105" s="7"/>
      <c r="D105" s="22" t="s">
        <v>48</v>
      </c>
    </row>
    <row r="106" spans="1:7" ht="15.75" hidden="1" thickBot="1" x14ac:dyDescent="0.3">
      <c r="A106" s="10"/>
      <c r="B106" s="105"/>
      <c r="C106" s="7"/>
      <c r="D106" s="22" t="s">
        <v>48</v>
      </c>
    </row>
    <row r="107" spans="1:7" ht="15.75" hidden="1" thickBot="1" x14ac:dyDescent="0.3">
      <c r="A107" s="10"/>
      <c r="B107" s="105"/>
      <c r="C107" s="7"/>
      <c r="D107" s="22" t="s">
        <v>48</v>
      </c>
    </row>
    <row r="108" spans="1:7" ht="15.75" hidden="1" thickBot="1" x14ac:dyDescent="0.3">
      <c r="A108" s="10"/>
      <c r="B108" s="105"/>
      <c r="C108" s="7"/>
      <c r="D108" s="22" t="s">
        <v>48</v>
      </c>
    </row>
    <row r="109" spans="1:7" ht="15.75" hidden="1" thickBot="1" x14ac:dyDescent="0.3">
      <c r="A109" s="10"/>
      <c r="B109" s="105"/>
      <c r="C109" s="7"/>
      <c r="D109" s="22" t="s">
        <v>48</v>
      </c>
    </row>
    <row r="110" spans="1:7" ht="15.75" hidden="1" thickBot="1" x14ac:dyDescent="0.3">
      <c r="A110" s="10"/>
      <c r="B110" s="105"/>
      <c r="C110" s="7"/>
      <c r="D110" s="22" t="s">
        <v>48</v>
      </c>
    </row>
    <row r="111" spans="1:7" ht="15.75" hidden="1" thickBot="1" x14ac:dyDescent="0.3">
      <c r="A111" s="10"/>
      <c r="B111" s="105"/>
      <c r="C111" s="7"/>
      <c r="D111" s="22" t="s">
        <v>48</v>
      </c>
    </row>
    <row r="112" spans="1:7" ht="15.75" hidden="1" thickBot="1" x14ac:dyDescent="0.3">
      <c r="A112" s="13"/>
      <c r="B112" s="14"/>
      <c r="C112" s="15"/>
      <c r="D112" s="22" t="s">
        <v>48</v>
      </c>
      <c r="E112" s="31">
        <f>SUM(C98:C112)</f>
        <v>0</v>
      </c>
      <c r="F112" s="30"/>
      <c r="G112" s="30"/>
    </row>
    <row r="113" spans="1:3" ht="15.75" thickBot="1" x14ac:dyDescent="0.3">
      <c r="A113" s="32"/>
      <c r="B113" s="33">
        <f>SUM(B30:B112)</f>
        <v>5902.48</v>
      </c>
      <c r="C113" s="34">
        <f>SUM(C30:C112)</f>
        <v>303723.62459999998</v>
      </c>
    </row>
    <row r="114" spans="1:3" x14ac:dyDescent="0.25">
      <c r="C114" s="30"/>
    </row>
    <row r="115" spans="1:3" x14ac:dyDescent="0.25">
      <c r="C115" s="30"/>
    </row>
  </sheetData>
  <autoFilter ref="A1:Q23" xr:uid="{00000000-0009-0000-0000-000001000000}"/>
  <mergeCells count="1">
    <mergeCell ref="A28:D28"/>
  </mergeCells>
  <conditionalFormatting sqref="F1:F21">
    <cfRule type="cellIs" dxfId="42" priority="1" operator="lessThan">
      <formula>0</formula>
    </cfRule>
  </conditionalFormatting>
  <conditionalFormatting sqref="I19 I21">
    <cfRule type="cellIs" dxfId="41" priority="2" operator="greaterThanOrEqual">
      <formula>500</formula>
    </cfRule>
    <cfRule type="cellIs" dxfId="40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1"/>
  <sheetViews>
    <sheetView zoomScaleNormal="100" workbookViewId="0">
      <selection activeCell="U5" sqref="U5"/>
    </sheetView>
  </sheetViews>
  <sheetFormatPr defaultRowHeight="15" outlineLevelCol="1" x14ac:dyDescent="0.25"/>
  <cols>
    <col min="1" max="1" width="21.7109375" customWidth="1"/>
    <col min="2" max="2" width="18.7109375" hidden="1" customWidth="1" outlineLevel="1"/>
    <col min="3" max="3" width="11.42578125" hidden="1" customWidth="1" outlineLevel="1"/>
    <col min="4" max="5" width="8.85546875" hidden="1" customWidth="1" outlineLevel="1"/>
    <col min="6" max="6" width="11.28515625" customWidth="1" collapsed="1"/>
    <col min="7" max="7" width="9.5703125" hidden="1" customWidth="1" outlineLevel="1"/>
    <col min="8" max="8" width="8.85546875" hidden="1" customWidth="1" outlineLevel="1"/>
    <col min="9" max="9" width="8.85546875" collapsed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5" width="11.28515625" customWidth="1" outlineLevel="1"/>
    <col min="16" max="17" width="8.85546875" customWidth="1" outlineLevel="1"/>
    <col min="18" max="18" width="22.710937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107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108" t="s">
        <v>49</v>
      </c>
      <c r="N1" s="108" t="s">
        <v>25</v>
      </c>
      <c r="O1" s="42" t="s">
        <v>26</v>
      </c>
      <c r="P1" s="42" t="s">
        <v>27</v>
      </c>
      <c r="Q1" s="42" t="s">
        <v>28</v>
      </c>
      <c r="R1" s="42" t="s">
        <v>4</v>
      </c>
    </row>
    <row r="2" spans="1:19" hidden="1" x14ac:dyDescent="0.25">
      <c r="A2" s="43" t="s">
        <v>29</v>
      </c>
      <c r="B2" s="109">
        <v>45474</v>
      </c>
      <c r="C2" s="110">
        <v>80</v>
      </c>
      <c r="D2" s="111">
        <f>SUMIF($A$29:$A$128,A2,$B$29:$B$128)</f>
        <v>0</v>
      </c>
      <c r="E2" s="110"/>
      <c r="F2" s="47">
        <f>C2+D2-E2</f>
        <v>80</v>
      </c>
      <c r="G2" s="112">
        <f>'[4]Июнь 2024 '!H2</f>
        <v>14075</v>
      </c>
      <c r="H2" s="113"/>
      <c r="I2" s="113">
        <f>H2-G2</f>
        <v>-14075</v>
      </c>
      <c r="J2" s="110">
        <v>0</v>
      </c>
      <c r="K2" s="110"/>
      <c r="L2" s="110">
        <v>0</v>
      </c>
      <c r="M2" s="110">
        <f>VLOOKUP(A2,[4]Тарас!$C$4:$P$23,14,0)</f>
        <v>3.4</v>
      </c>
      <c r="N2" s="114"/>
      <c r="O2" s="112">
        <f>194.94*I2</f>
        <v>-2743780.5</v>
      </c>
      <c r="P2" s="112">
        <f>F2*$K$24</f>
        <v>4081.1489830312025</v>
      </c>
      <c r="Q2" s="112">
        <f>O2-P2</f>
        <v>-2747861.648983031</v>
      </c>
      <c r="R2" s="112"/>
    </row>
    <row r="3" spans="1:19" hidden="1" x14ac:dyDescent="0.25">
      <c r="A3" s="52" t="s">
        <v>30</v>
      </c>
      <c r="B3" s="53">
        <v>45474</v>
      </c>
      <c r="C3" s="54"/>
      <c r="D3" s="55"/>
      <c r="E3" s="54"/>
      <c r="F3" s="56"/>
      <c r="G3" s="57"/>
      <c r="H3" s="58"/>
      <c r="I3" s="58"/>
      <c r="J3" s="59"/>
      <c r="K3" s="59"/>
      <c r="L3" s="59"/>
      <c r="M3" s="59"/>
      <c r="N3" s="94"/>
      <c r="O3" s="57"/>
      <c r="P3" s="57"/>
      <c r="Q3" s="60"/>
      <c r="R3" s="60"/>
    </row>
    <row r="4" spans="1:19" ht="14.45" hidden="1" customHeight="1" x14ac:dyDescent="0.25">
      <c r="A4" s="115" t="s">
        <v>31</v>
      </c>
      <c r="B4" s="62">
        <v>45474</v>
      </c>
      <c r="C4" s="110">
        <v>0</v>
      </c>
      <c r="D4" s="111">
        <f t="shared" ref="D4:D20" si="0">SUMIF($A$29:$A$128,A4,$B$29:$B$128)</f>
        <v>0</v>
      </c>
      <c r="E4" s="110"/>
      <c r="F4" s="65">
        <f t="shared" ref="F4:F18" si="1">C4+D4-E4</f>
        <v>0</v>
      </c>
      <c r="G4" s="112">
        <v>0</v>
      </c>
      <c r="H4" s="113"/>
      <c r="I4" s="113"/>
      <c r="J4" s="68">
        <v>0</v>
      </c>
      <c r="K4" s="68"/>
      <c r="L4" s="68"/>
      <c r="M4" s="68" t="e">
        <v>#N/A</v>
      </c>
      <c r="N4" s="71" t="e">
        <f t="shared" ref="N4:N20" si="2">F4/I4</f>
        <v>#DIV/0!</v>
      </c>
      <c r="O4" s="112">
        <f t="shared" ref="O4" si="3">194.94*I4</f>
        <v>0</v>
      </c>
      <c r="P4" s="112">
        <f t="shared" ref="P4:P20" si="4">F4*$K$24</f>
        <v>0</v>
      </c>
      <c r="Q4" s="116">
        <f t="shared" ref="Q4:Q20" si="5">O4-P4</f>
        <v>0</v>
      </c>
      <c r="R4" s="116"/>
    </row>
    <row r="5" spans="1:19" x14ac:dyDescent="0.25">
      <c r="A5" s="70" t="s">
        <v>10</v>
      </c>
      <c r="B5" s="62">
        <v>45474</v>
      </c>
      <c r="C5" s="110">
        <v>115</v>
      </c>
      <c r="D5" s="111">
        <f t="shared" si="0"/>
        <v>926.25</v>
      </c>
      <c r="E5" s="110">
        <v>70</v>
      </c>
      <c r="F5" s="47">
        <f>C5+D5-E5</f>
        <v>971.25</v>
      </c>
      <c r="G5" s="112">
        <v>9455</v>
      </c>
      <c r="H5" s="113">
        <v>9655</v>
      </c>
      <c r="I5" s="113">
        <f t="shared" ref="I5:I17" si="6">H5-G5</f>
        <v>200</v>
      </c>
      <c r="J5" s="68">
        <v>0</v>
      </c>
      <c r="K5" s="68"/>
      <c r="L5" s="68">
        <v>254</v>
      </c>
      <c r="M5" s="68">
        <v>3.4</v>
      </c>
      <c r="N5" s="72">
        <f>F5/I5</f>
        <v>4.8562500000000002</v>
      </c>
      <c r="O5" s="112">
        <f>194.94*I5</f>
        <v>38988</v>
      </c>
      <c r="P5" s="112">
        <f t="shared" si="4"/>
        <v>49547.699372113195</v>
      </c>
      <c r="Q5" s="117">
        <f>O5-P5</f>
        <v>-10559.699372113195</v>
      </c>
      <c r="R5" s="117"/>
      <c r="S5" s="102"/>
    </row>
    <row r="6" spans="1:19" x14ac:dyDescent="0.25">
      <c r="A6" s="70" t="s">
        <v>11</v>
      </c>
      <c r="B6" s="62">
        <v>45474</v>
      </c>
      <c r="C6" s="110">
        <v>50</v>
      </c>
      <c r="D6" s="111">
        <f t="shared" si="0"/>
        <v>210</v>
      </c>
      <c r="E6" s="110">
        <v>120</v>
      </c>
      <c r="F6" s="65">
        <f t="shared" si="1"/>
        <v>140</v>
      </c>
      <c r="G6" s="112"/>
      <c r="H6" s="113"/>
      <c r="I6" s="113">
        <f>L6*0.53</f>
        <v>36.57</v>
      </c>
      <c r="J6" s="68">
        <v>0</v>
      </c>
      <c r="K6" s="68"/>
      <c r="L6" s="68">
        <v>69</v>
      </c>
      <c r="M6" s="68">
        <v>3.4</v>
      </c>
      <c r="N6" s="71">
        <f>F6/I6</f>
        <v>3.8282745419742956</v>
      </c>
      <c r="O6" s="112">
        <f>194.94*I6</f>
        <v>7128.9557999999997</v>
      </c>
      <c r="P6" s="112">
        <f t="shared" si="4"/>
        <v>7142.0107203046045</v>
      </c>
      <c r="Q6" s="117">
        <f>O6-P6</f>
        <v>-13.054920304604821</v>
      </c>
      <c r="R6" s="116" t="s">
        <v>52</v>
      </c>
    </row>
    <row r="7" spans="1:19" x14ac:dyDescent="0.25">
      <c r="A7" s="70" t="s">
        <v>32</v>
      </c>
      <c r="B7" s="62">
        <v>45474</v>
      </c>
      <c r="C7" s="110">
        <v>150</v>
      </c>
      <c r="D7" s="111">
        <f t="shared" si="0"/>
        <v>0</v>
      </c>
      <c r="E7" s="110">
        <v>125</v>
      </c>
      <c r="F7" s="65">
        <f t="shared" si="1"/>
        <v>25</v>
      </c>
      <c r="G7" s="112">
        <v>4958</v>
      </c>
      <c r="H7" s="113">
        <v>4970</v>
      </c>
      <c r="I7" s="113">
        <f>H7-G7</f>
        <v>12</v>
      </c>
      <c r="J7" s="68">
        <v>0</v>
      </c>
      <c r="K7" s="68"/>
      <c r="L7" s="68">
        <v>20</v>
      </c>
      <c r="M7" s="68">
        <v>5</v>
      </c>
      <c r="N7" s="71">
        <f t="shared" si="2"/>
        <v>2.0833333333333335</v>
      </c>
      <c r="O7" s="112">
        <f>285*I7</f>
        <v>3420</v>
      </c>
      <c r="P7" s="112">
        <f t="shared" si="4"/>
        <v>1275.3590571972506</v>
      </c>
      <c r="Q7" s="116">
        <f t="shared" si="5"/>
        <v>2144.6409428027491</v>
      </c>
      <c r="R7" s="116"/>
    </row>
    <row r="8" spans="1:19" hidden="1" x14ac:dyDescent="0.25">
      <c r="A8" s="70" t="s">
        <v>33</v>
      </c>
      <c r="B8" s="62">
        <v>45474</v>
      </c>
      <c r="C8" s="110"/>
      <c r="D8" s="111">
        <f t="shared" si="0"/>
        <v>0</v>
      </c>
      <c r="E8" s="110"/>
      <c r="F8" s="65">
        <f t="shared" si="1"/>
        <v>0</v>
      </c>
      <c r="G8" s="112"/>
      <c r="H8" s="113"/>
      <c r="I8" s="113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112"/>
      <c r="P8" s="112">
        <f t="shared" si="4"/>
        <v>0</v>
      </c>
      <c r="Q8" s="116">
        <f t="shared" si="5"/>
        <v>0</v>
      </c>
      <c r="R8" s="116"/>
    </row>
    <row r="9" spans="1:19" x14ac:dyDescent="0.25">
      <c r="A9" s="70" t="s">
        <v>12</v>
      </c>
      <c r="B9" s="62">
        <v>45474</v>
      </c>
      <c r="C9" s="110">
        <v>70</v>
      </c>
      <c r="D9" s="111">
        <f t="shared" si="0"/>
        <v>789.18</v>
      </c>
      <c r="E9" s="110">
        <v>55</v>
      </c>
      <c r="F9" s="47">
        <f>C9+D9-E9</f>
        <v>804.18</v>
      </c>
      <c r="G9" s="112">
        <v>17434</v>
      </c>
      <c r="H9" s="113">
        <v>17608</v>
      </c>
      <c r="I9" s="113">
        <f>H9-G9</f>
        <v>174</v>
      </c>
      <c r="J9" s="68">
        <v>0</v>
      </c>
      <c r="K9" s="68"/>
      <c r="L9" s="68">
        <v>198</v>
      </c>
      <c r="M9" s="68">
        <v>4.0999999999999996</v>
      </c>
      <c r="N9" s="72">
        <f>F9/I9</f>
        <v>4.6217241379310341</v>
      </c>
      <c r="O9" s="112">
        <f>235.41*I9</f>
        <v>40961.339999999997</v>
      </c>
      <c r="P9" s="112">
        <f t="shared" si="4"/>
        <v>41024.729864675399</v>
      </c>
      <c r="Q9" s="117">
        <f>O9-P9</f>
        <v>-63.38986467540235</v>
      </c>
      <c r="R9" s="116"/>
    </row>
    <row r="10" spans="1:19" ht="39" x14ac:dyDescent="0.25">
      <c r="A10" s="70" t="s">
        <v>14</v>
      </c>
      <c r="B10" s="62">
        <v>45474</v>
      </c>
      <c r="C10" s="110">
        <v>30</v>
      </c>
      <c r="D10" s="111">
        <f t="shared" si="0"/>
        <v>874</v>
      </c>
      <c r="E10" s="110">
        <v>0</v>
      </c>
      <c r="F10" s="47">
        <f>C10+D10-E10</f>
        <v>904</v>
      </c>
      <c r="G10" s="112">
        <v>39728</v>
      </c>
      <c r="H10" s="113"/>
      <c r="I10" s="113">
        <f>L10*0.55</f>
        <v>116.60000000000001</v>
      </c>
      <c r="J10" s="68">
        <v>0</v>
      </c>
      <c r="K10" s="68"/>
      <c r="L10" s="68">
        <v>212</v>
      </c>
      <c r="M10" s="68">
        <v>4.0999999999999996</v>
      </c>
      <c r="N10" s="72">
        <f t="shared" si="2"/>
        <v>7.7530017152658655</v>
      </c>
      <c r="O10" s="112">
        <f t="shared" ref="O10:O11" si="7">235.41*I10</f>
        <v>27448.806</v>
      </c>
      <c r="P10" s="112">
        <f t="shared" si="4"/>
        <v>46116.98350825259</v>
      </c>
      <c r="Q10" s="117">
        <f t="shared" si="5"/>
        <v>-18668.177508252589</v>
      </c>
      <c r="R10" s="118" t="s">
        <v>69</v>
      </c>
    </row>
    <row r="11" spans="1:19" x14ac:dyDescent="0.25">
      <c r="A11" s="70" t="s">
        <v>13</v>
      </c>
      <c r="B11" s="62">
        <v>45474</v>
      </c>
      <c r="C11" s="110">
        <v>15</v>
      </c>
      <c r="D11" s="111">
        <f t="shared" si="0"/>
        <v>849.99</v>
      </c>
      <c r="E11" s="110">
        <v>10</v>
      </c>
      <c r="F11" s="65">
        <f t="shared" si="1"/>
        <v>854.99</v>
      </c>
      <c r="G11" s="112">
        <v>12082</v>
      </c>
      <c r="H11" s="113">
        <v>12270</v>
      </c>
      <c r="I11" s="113">
        <f t="shared" si="6"/>
        <v>188</v>
      </c>
      <c r="J11" s="68">
        <v>0</v>
      </c>
      <c r="K11" s="68"/>
      <c r="L11" s="68">
        <v>251</v>
      </c>
      <c r="M11" s="68">
        <v>4.0999999999999996</v>
      </c>
      <c r="N11" s="72">
        <f t="shared" si="2"/>
        <v>4.5478191489361706</v>
      </c>
      <c r="O11" s="112">
        <f t="shared" si="7"/>
        <v>44257.08</v>
      </c>
      <c r="P11" s="112">
        <f t="shared" si="4"/>
        <v>43616.769612523094</v>
      </c>
      <c r="Q11" s="116">
        <f t="shared" si="5"/>
        <v>640.31038747690764</v>
      </c>
      <c r="R11" s="116"/>
    </row>
    <row r="12" spans="1:19" x14ac:dyDescent="0.25">
      <c r="A12" s="70" t="s">
        <v>34</v>
      </c>
      <c r="B12" s="62">
        <v>45474</v>
      </c>
      <c r="C12" s="110">
        <v>80</v>
      </c>
      <c r="D12" s="111">
        <f t="shared" si="0"/>
        <v>1811.92</v>
      </c>
      <c r="E12" s="110">
        <v>394</v>
      </c>
      <c r="F12" s="65">
        <f>C12+D12-E12</f>
        <v>1497.92</v>
      </c>
      <c r="G12" s="112">
        <v>7096</v>
      </c>
      <c r="H12" s="113">
        <v>7255</v>
      </c>
      <c r="I12" s="113">
        <f>H12-G12</f>
        <v>159</v>
      </c>
      <c r="J12" s="68">
        <v>0</v>
      </c>
      <c r="K12" s="68"/>
      <c r="L12" s="68">
        <v>240</v>
      </c>
      <c r="M12" s="68">
        <v>10.5</v>
      </c>
      <c r="N12" s="72">
        <f>F12/I12</f>
        <v>9.4208805031446552</v>
      </c>
      <c r="O12" s="112">
        <f>595.65*I12</f>
        <v>94708.349999999991</v>
      </c>
      <c r="P12" s="112">
        <f t="shared" si="4"/>
        <v>76415.433558276243</v>
      </c>
      <c r="Q12" s="116">
        <f t="shared" si="5"/>
        <v>18292.916441723748</v>
      </c>
      <c r="R12" s="116" t="s">
        <v>70</v>
      </c>
      <c r="S12" s="11"/>
    </row>
    <row r="13" spans="1:19" x14ac:dyDescent="0.25">
      <c r="A13" s="99" t="s">
        <v>35</v>
      </c>
      <c r="B13" s="62">
        <v>45474</v>
      </c>
      <c r="C13" s="110">
        <v>130</v>
      </c>
      <c r="D13" s="111">
        <f t="shared" si="0"/>
        <v>472.27</v>
      </c>
      <c r="E13" s="110">
        <v>150</v>
      </c>
      <c r="F13" s="65">
        <f>C13+D13-E13</f>
        <v>452.27</v>
      </c>
      <c r="G13" s="112">
        <v>31832</v>
      </c>
      <c r="H13" s="113">
        <v>32189</v>
      </c>
      <c r="I13" s="113">
        <f t="shared" si="6"/>
        <v>357</v>
      </c>
      <c r="J13" s="68">
        <v>0</v>
      </c>
      <c r="K13" s="68"/>
      <c r="L13" s="68">
        <v>143</v>
      </c>
      <c r="M13" s="68">
        <v>0.9</v>
      </c>
      <c r="N13" s="72">
        <f>F13/I13</f>
        <v>1.2668627450980392</v>
      </c>
      <c r="O13" s="112">
        <f>(51.3*(I13-K13))+(K13*14.25)</f>
        <v>18314.099999999999</v>
      </c>
      <c r="P13" s="112">
        <f t="shared" si="4"/>
        <v>23072.265631944025</v>
      </c>
      <c r="Q13" s="117">
        <f t="shared" si="5"/>
        <v>-4758.1656319440262</v>
      </c>
      <c r="R13" s="116" t="s">
        <v>71</v>
      </c>
    </row>
    <row r="14" spans="1:19" x14ac:dyDescent="0.25">
      <c r="A14" s="99" t="s">
        <v>7</v>
      </c>
      <c r="B14" s="62">
        <v>45474</v>
      </c>
      <c r="C14" s="110">
        <v>150</v>
      </c>
      <c r="D14" s="111">
        <f t="shared" si="0"/>
        <v>524.91999999999996</v>
      </c>
      <c r="E14" s="110">
        <v>150</v>
      </c>
      <c r="F14" s="47">
        <f>C14+D14-E14</f>
        <v>524.91999999999996</v>
      </c>
      <c r="G14" s="112">
        <v>35350</v>
      </c>
      <c r="H14" s="113">
        <v>35800</v>
      </c>
      <c r="I14" s="113">
        <f>H14-G14</f>
        <v>450</v>
      </c>
      <c r="J14" s="68">
        <v>0</v>
      </c>
      <c r="K14" s="68"/>
      <c r="L14" s="68">
        <v>180</v>
      </c>
      <c r="M14" s="68">
        <v>0.9</v>
      </c>
      <c r="N14" s="72">
        <f t="shared" si="2"/>
        <v>1.1664888888888889</v>
      </c>
      <c r="O14" s="112">
        <f>(51.3*(I14-K14))+(K14*14.25)</f>
        <v>23085</v>
      </c>
      <c r="P14" s="112">
        <f t="shared" si="4"/>
        <v>26778.459052159233</v>
      </c>
      <c r="Q14" s="117">
        <f t="shared" si="5"/>
        <v>-3693.4590521592327</v>
      </c>
      <c r="R14" s="116"/>
    </row>
    <row r="15" spans="1:19" x14ac:dyDescent="0.25">
      <c r="A15" s="99" t="s">
        <v>8</v>
      </c>
      <c r="B15" s="62">
        <v>45474</v>
      </c>
      <c r="C15" s="110">
        <v>137</v>
      </c>
      <c r="D15" s="111">
        <f t="shared" si="0"/>
        <v>500</v>
      </c>
      <c r="E15" s="110">
        <v>170</v>
      </c>
      <c r="F15" s="65">
        <f>C15+D15-E15</f>
        <v>467</v>
      </c>
      <c r="G15" s="112">
        <v>559550</v>
      </c>
      <c r="H15" s="113">
        <v>559867</v>
      </c>
      <c r="I15" s="113">
        <f t="shared" si="6"/>
        <v>317</v>
      </c>
      <c r="J15" s="68">
        <v>0</v>
      </c>
      <c r="K15" s="68"/>
      <c r="L15" s="68">
        <v>124</v>
      </c>
      <c r="M15" s="68">
        <v>0.9</v>
      </c>
      <c r="N15" s="72">
        <f t="shared" si="2"/>
        <v>1.473186119873817</v>
      </c>
      <c r="O15" s="112">
        <f>(51.3*(I15-K15))+(K15*19.85)</f>
        <v>16262.099999999999</v>
      </c>
      <c r="P15" s="112">
        <f t="shared" si="4"/>
        <v>23823.707188444645</v>
      </c>
      <c r="Q15" s="117">
        <f t="shared" si="5"/>
        <v>-7561.6071884446465</v>
      </c>
      <c r="R15" s="116" t="s">
        <v>72</v>
      </c>
    </row>
    <row r="16" spans="1:19" x14ac:dyDescent="0.25">
      <c r="A16" s="99" t="s">
        <v>9</v>
      </c>
      <c r="B16" s="62">
        <v>45474</v>
      </c>
      <c r="C16" s="110">
        <v>160</v>
      </c>
      <c r="D16" s="111">
        <f t="shared" si="0"/>
        <v>626.98</v>
      </c>
      <c r="E16" s="110">
        <v>161</v>
      </c>
      <c r="F16" s="65">
        <f>C16+D16-E16</f>
        <v>625.98</v>
      </c>
      <c r="G16" s="112">
        <v>64239</v>
      </c>
      <c r="H16" s="113">
        <v>65010</v>
      </c>
      <c r="I16" s="113">
        <f t="shared" si="6"/>
        <v>771</v>
      </c>
      <c r="J16" s="68">
        <v>0</v>
      </c>
      <c r="K16" s="68">
        <v>220</v>
      </c>
      <c r="L16" s="68">
        <v>108</v>
      </c>
      <c r="M16" s="68">
        <v>0.9</v>
      </c>
      <c r="N16" s="71">
        <f>F16/I16</f>
        <v>0.81190661478599224</v>
      </c>
      <c r="O16" s="112">
        <f>(51.3*(I16-K16))+(K16*19.85)</f>
        <v>32633.3</v>
      </c>
      <c r="P16" s="112">
        <f t="shared" si="4"/>
        <v>31933.970504973404</v>
      </c>
      <c r="Q16" s="116">
        <f t="shared" si="5"/>
        <v>699.3294950265954</v>
      </c>
      <c r="R16" s="116" t="s">
        <v>73</v>
      </c>
      <c r="S16" s="11"/>
    </row>
    <row r="17" spans="1:19" ht="15" hidden="1" customHeight="1" x14ac:dyDescent="0.25">
      <c r="A17" s="99" t="s">
        <v>36</v>
      </c>
      <c r="B17" s="62">
        <v>45474</v>
      </c>
      <c r="C17" s="110"/>
      <c r="D17" s="111">
        <f t="shared" si="0"/>
        <v>0</v>
      </c>
      <c r="E17" s="110"/>
      <c r="F17" s="65">
        <f t="shared" si="1"/>
        <v>0</v>
      </c>
      <c r="G17" s="112"/>
      <c r="H17" s="113"/>
      <c r="I17" s="113">
        <f t="shared" si="6"/>
        <v>0</v>
      </c>
      <c r="J17" s="68">
        <v>0</v>
      </c>
      <c r="K17" s="68"/>
      <c r="L17" s="68"/>
      <c r="M17" s="68" t="e">
        <v>#N/A</v>
      </c>
      <c r="N17" s="71" t="e">
        <f t="shared" si="2"/>
        <v>#DIV/0!</v>
      </c>
      <c r="O17" s="73"/>
      <c r="P17" s="112">
        <f t="shared" si="4"/>
        <v>0</v>
      </c>
      <c r="Q17" s="116">
        <f t="shared" si="5"/>
        <v>0</v>
      </c>
      <c r="R17" s="116"/>
    </row>
    <row r="18" spans="1:19" x14ac:dyDescent="0.25">
      <c r="A18" s="100" t="s">
        <v>37</v>
      </c>
      <c r="B18" s="62">
        <v>45474</v>
      </c>
      <c r="C18" s="110">
        <v>190</v>
      </c>
      <c r="D18" s="111">
        <f t="shared" si="0"/>
        <v>559.99</v>
      </c>
      <c r="E18" s="110">
        <v>170</v>
      </c>
      <c r="F18" s="65">
        <f t="shared" si="1"/>
        <v>579.99</v>
      </c>
      <c r="G18" s="112"/>
      <c r="H18" s="113"/>
      <c r="I18" s="113">
        <f>L18*0.7</f>
        <v>105</v>
      </c>
      <c r="J18" s="68">
        <v>0</v>
      </c>
      <c r="K18" s="68"/>
      <c r="L18" s="68">
        <v>150</v>
      </c>
      <c r="M18" s="68">
        <v>5.0999999999999996</v>
      </c>
      <c r="N18" s="72">
        <f t="shared" si="2"/>
        <v>5.523714285714286</v>
      </c>
      <c r="O18" s="112">
        <f>290.07*I18</f>
        <v>30457.35</v>
      </c>
      <c r="P18" s="112">
        <f t="shared" si="4"/>
        <v>29587.81998335334</v>
      </c>
      <c r="Q18" s="116">
        <f t="shared" si="5"/>
        <v>869.53001664665862</v>
      </c>
      <c r="R18" s="116" t="s">
        <v>74</v>
      </c>
      <c r="S18" s="11"/>
    </row>
    <row r="19" spans="1:19" x14ac:dyDescent="0.25">
      <c r="A19" s="99" t="s">
        <v>5</v>
      </c>
      <c r="B19" s="62">
        <v>45474</v>
      </c>
      <c r="C19" s="110">
        <v>180</v>
      </c>
      <c r="D19" s="111">
        <f t="shared" si="0"/>
        <v>424.84</v>
      </c>
      <c r="E19" s="110">
        <v>230</v>
      </c>
      <c r="F19" s="68">
        <f>C19+D19-E19</f>
        <v>374.83999999999992</v>
      </c>
      <c r="G19" s="112">
        <v>5973</v>
      </c>
      <c r="H19" s="113">
        <v>6073</v>
      </c>
      <c r="I19" s="73">
        <f>H19-G19</f>
        <v>100</v>
      </c>
      <c r="J19" s="68">
        <v>0</v>
      </c>
      <c r="K19" s="68"/>
      <c r="L19" s="68">
        <v>280</v>
      </c>
      <c r="M19" s="68">
        <v>3.2</v>
      </c>
      <c r="N19" s="72">
        <f t="shared" si="2"/>
        <v>3.7483999999999993</v>
      </c>
      <c r="O19" s="73">
        <f>182.4*I19</f>
        <v>18240</v>
      </c>
      <c r="P19" s="112">
        <f t="shared" si="4"/>
        <v>19122.223559992693</v>
      </c>
      <c r="Q19" s="117">
        <f t="shared" si="5"/>
        <v>-882.22355999269348</v>
      </c>
      <c r="R19" s="116" t="s">
        <v>75</v>
      </c>
      <c r="S19" s="11"/>
    </row>
    <row r="20" spans="1:19" ht="15.75" thickBot="1" x14ac:dyDescent="0.3">
      <c r="A20" s="101" t="s">
        <v>6</v>
      </c>
      <c r="B20" s="74">
        <v>45474</v>
      </c>
      <c r="C20" s="75">
        <v>230</v>
      </c>
      <c r="D20" s="76">
        <f t="shared" si="0"/>
        <v>401.41999999999996</v>
      </c>
      <c r="E20" s="75">
        <v>230</v>
      </c>
      <c r="F20" s="97">
        <f>C20+D20-E20</f>
        <v>401.41999999999996</v>
      </c>
      <c r="G20" s="77"/>
      <c r="H20" s="78"/>
      <c r="I20" s="78">
        <f>L20*0.7</f>
        <v>140.69999999999999</v>
      </c>
      <c r="J20" s="75">
        <v>0</v>
      </c>
      <c r="K20" s="79"/>
      <c r="L20" s="75">
        <v>201</v>
      </c>
      <c r="M20" s="75">
        <v>2.9</v>
      </c>
      <c r="N20" s="104">
        <f t="shared" si="2"/>
        <v>2.8530206112295664</v>
      </c>
      <c r="O20" s="73">
        <f>I20*165.3+28.5*K20</f>
        <v>23257.71</v>
      </c>
      <c r="P20" s="77">
        <f t="shared" si="4"/>
        <v>20478.185309604814</v>
      </c>
      <c r="Q20" s="80">
        <f t="shared" si="5"/>
        <v>2779.5246903951847</v>
      </c>
      <c r="R20" s="80" t="s">
        <v>76</v>
      </c>
    </row>
    <row r="21" spans="1:19" x14ac:dyDescent="0.25">
      <c r="A21" s="51"/>
      <c r="B21" s="51"/>
      <c r="C21" s="92">
        <f>SUM(C5:C20)</f>
        <v>1687</v>
      </c>
      <c r="D21" s="93">
        <f>SUM(D2:D20)</f>
        <v>8971.76</v>
      </c>
      <c r="E21" s="92">
        <f>SUM(E2:E20)</f>
        <v>2035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 spans="1:19" x14ac:dyDescent="0.25">
      <c r="A22" s="51"/>
      <c r="B22" s="51"/>
      <c r="C22" s="51"/>
      <c r="D22" s="51">
        <f>D21-B129</f>
        <v>0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4" spans="1:19" x14ac:dyDescent="0.25">
      <c r="D24" s="17"/>
      <c r="J24" s="18" t="s">
        <v>39</v>
      </c>
      <c r="K24" s="19">
        <f>SUM(C29:C128)/B129</f>
        <v>51.01436228789003</v>
      </c>
    </row>
    <row r="26" spans="1:19" x14ac:dyDescent="0.25">
      <c r="H26" s="20"/>
    </row>
    <row r="27" spans="1:19" x14ac:dyDescent="0.25">
      <c r="A27" s="487" t="s">
        <v>40</v>
      </c>
      <c r="B27" s="487"/>
      <c r="C27" s="487"/>
      <c r="D27" s="487"/>
    </row>
    <row r="28" spans="1:19" ht="15.75" thickBot="1" x14ac:dyDescent="0.3">
      <c r="A28" s="119" t="s">
        <v>15</v>
      </c>
      <c r="B28" s="119" t="s">
        <v>41</v>
      </c>
      <c r="C28" s="119" t="s">
        <v>42</v>
      </c>
      <c r="D28" s="119" t="s">
        <v>43</v>
      </c>
    </row>
    <row r="29" spans="1:19" x14ac:dyDescent="0.25">
      <c r="A29" s="2" t="s">
        <v>12</v>
      </c>
      <c r="B29" s="3">
        <v>92.08</v>
      </c>
      <c r="C29" s="12">
        <f>B29*50.5</f>
        <v>4650.04</v>
      </c>
      <c r="D29" s="22" t="s">
        <v>44</v>
      </c>
    </row>
    <row r="30" spans="1:19" x14ac:dyDescent="0.25">
      <c r="A30" s="10" t="s">
        <v>12</v>
      </c>
      <c r="B30" s="9">
        <v>45.87</v>
      </c>
      <c r="C30" s="12">
        <f t="shared" ref="C30:C37" si="8">B30*50.5</f>
        <v>2316.4349999999999</v>
      </c>
      <c r="D30" s="22" t="s">
        <v>44</v>
      </c>
    </row>
    <row r="31" spans="1:19" x14ac:dyDescent="0.25">
      <c r="A31" s="10" t="s">
        <v>12</v>
      </c>
      <c r="B31" s="9">
        <v>100</v>
      </c>
      <c r="C31" s="12">
        <f t="shared" si="8"/>
        <v>5050</v>
      </c>
      <c r="D31" s="22" t="s">
        <v>44</v>
      </c>
    </row>
    <row r="32" spans="1:19" x14ac:dyDescent="0.25">
      <c r="A32" s="10" t="s">
        <v>12</v>
      </c>
      <c r="B32" s="9">
        <v>100</v>
      </c>
      <c r="C32" s="12">
        <f t="shared" si="8"/>
        <v>5050</v>
      </c>
      <c r="D32" s="22" t="s">
        <v>44</v>
      </c>
    </row>
    <row r="33" spans="1:5" x14ac:dyDescent="0.25">
      <c r="A33" s="10" t="s">
        <v>12</v>
      </c>
      <c r="B33" s="9">
        <v>96.46</v>
      </c>
      <c r="C33" s="12">
        <f t="shared" si="8"/>
        <v>4871.2299999999996</v>
      </c>
      <c r="D33" s="22" t="s">
        <v>44</v>
      </c>
    </row>
    <row r="34" spans="1:5" x14ac:dyDescent="0.25">
      <c r="A34" s="10" t="s">
        <v>12</v>
      </c>
      <c r="B34" s="9">
        <v>54.77</v>
      </c>
      <c r="C34" s="12">
        <f t="shared" si="8"/>
        <v>2765.8850000000002</v>
      </c>
      <c r="D34" s="22" t="s">
        <v>44</v>
      </c>
    </row>
    <row r="35" spans="1:5" x14ac:dyDescent="0.25">
      <c r="A35" s="10" t="s">
        <v>12</v>
      </c>
      <c r="B35" s="9">
        <v>100</v>
      </c>
      <c r="C35" s="12">
        <f t="shared" si="8"/>
        <v>5050</v>
      </c>
      <c r="D35" s="22" t="s">
        <v>44</v>
      </c>
    </row>
    <row r="36" spans="1:5" x14ac:dyDescent="0.25">
      <c r="A36" s="10" t="s">
        <v>12</v>
      </c>
      <c r="B36" s="9">
        <v>100</v>
      </c>
      <c r="C36" s="12">
        <f t="shared" si="8"/>
        <v>5050</v>
      </c>
      <c r="D36" s="22" t="s">
        <v>44</v>
      </c>
    </row>
    <row r="37" spans="1:5" x14ac:dyDescent="0.25">
      <c r="A37" s="10" t="s">
        <v>12</v>
      </c>
      <c r="B37" s="120">
        <v>100</v>
      </c>
      <c r="C37" s="12">
        <f t="shared" si="8"/>
        <v>5050</v>
      </c>
      <c r="D37" s="22" t="s">
        <v>44</v>
      </c>
    </row>
    <row r="38" spans="1:5" x14ac:dyDescent="0.25">
      <c r="A38" s="10" t="s">
        <v>6</v>
      </c>
      <c r="B38" s="120">
        <v>50</v>
      </c>
      <c r="C38" s="12">
        <f>B38*50.5</f>
        <v>2525</v>
      </c>
      <c r="D38" s="22" t="s">
        <v>44</v>
      </c>
    </row>
    <row r="39" spans="1:5" x14ac:dyDescent="0.25">
      <c r="A39" s="10" t="s">
        <v>6</v>
      </c>
      <c r="B39" s="120">
        <v>138.41999999999999</v>
      </c>
      <c r="C39" s="12">
        <f t="shared" ref="C39:C47" si="9">B39*50.5</f>
        <v>6990.2099999999991</v>
      </c>
      <c r="D39" s="22" t="s">
        <v>44</v>
      </c>
    </row>
    <row r="40" spans="1:5" x14ac:dyDescent="0.25">
      <c r="A40" s="10" t="s">
        <v>6</v>
      </c>
      <c r="B40" s="120">
        <v>13</v>
      </c>
      <c r="C40" s="12">
        <f t="shared" si="9"/>
        <v>656.5</v>
      </c>
      <c r="D40" s="22" t="s">
        <v>44</v>
      </c>
    </row>
    <row r="41" spans="1:5" x14ac:dyDescent="0.25">
      <c r="A41" s="10" t="s">
        <v>6</v>
      </c>
      <c r="B41" s="120">
        <v>100</v>
      </c>
      <c r="C41" s="12">
        <f t="shared" si="9"/>
        <v>5050</v>
      </c>
      <c r="D41" s="22" t="s">
        <v>44</v>
      </c>
    </row>
    <row r="42" spans="1:5" x14ac:dyDescent="0.25">
      <c r="A42" s="10" t="s">
        <v>6</v>
      </c>
      <c r="B42" s="120">
        <v>100</v>
      </c>
      <c r="C42" s="12">
        <f t="shared" si="9"/>
        <v>5050</v>
      </c>
      <c r="D42" s="22" t="s">
        <v>44</v>
      </c>
    </row>
    <row r="43" spans="1:5" x14ac:dyDescent="0.25">
      <c r="A43" s="10" t="s">
        <v>35</v>
      </c>
      <c r="B43" s="120">
        <v>50</v>
      </c>
      <c r="C43" s="12">
        <f t="shared" si="9"/>
        <v>2525</v>
      </c>
      <c r="D43" s="22" t="s">
        <v>44</v>
      </c>
    </row>
    <row r="44" spans="1:5" x14ac:dyDescent="0.25">
      <c r="A44" s="10" t="s">
        <v>35</v>
      </c>
      <c r="B44" s="120">
        <v>190.51</v>
      </c>
      <c r="C44" s="12">
        <f t="shared" si="9"/>
        <v>9620.7549999999992</v>
      </c>
      <c r="D44" s="22" t="s">
        <v>44</v>
      </c>
    </row>
    <row r="45" spans="1:5" x14ac:dyDescent="0.25">
      <c r="A45" s="10" t="s">
        <v>35</v>
      </c>
      <c r="B45" s="120">
        <v>31.76</v>
      </c>
      <c r="C45" s="12">
        <f t="shared" si="9"/>
        <v>1603.88</v>
      </c>
      <c r="D45" s="22" t="s">
        <v>44</v>
      </c>
    </row>
    <row r="46" spans="1:5" x14ac:dyDescent="0.25">
      <c r="A46" s="10" t="s">
        <v>35</v>
      </c>
      <c r="B46" s="120">
        <v>100</v>
      </c>
      <c r="C46" s="12">
        <f t="shared" si="9"/>
        <v>5050</v>
      </c>
      <c r="D46" s="22" t="s">
        <v>44</v>
      </c>
    </row>
    <row r="47" spans="1:5" ht="15.75" thickBot="1" x14ac:dyDescent="0.3">
      <c r="A47" s="10" t="s">
        <v>35</v>
      </c>
      <c r="B47" s="120">
        <v>100</v>
      </c>
      <c r="C47" s="12">
        <f t="shared" si="9"/>
        <v>5050</v>
      </c>
      <c r="D47" s="22" t="s">
        <v>44</v>
      </c>
    </row>
    <row r="48" spans="1:5" ht="15.75" thickBot="1" x14ac:dyDescent="0.3">
      <c r="A48" s="13"/>
      <c r="B48" s="14"/>
      <c r="C48" s="15"/>
      <c r="D48" s="23"/>
      <c r="E48" s="24">
        <f>SUM(C29:C48)</f>
        <v>83974.934999999998</v>
      </c>
    </row>
    <row r="49" spans="1:4" x14ac:dyDescent="0.25">
      <c r="A49" s="2" t="s">
        <v>5</v>
      </c>
      <c r="B49" s="3">
        <v>100</v>
      </c>
      <c r="C49" s="4">
        <v>5349</v>
      </c>
      <c r="D49" s="25" t="s">
        <v>45</v>
      </c>
    </row>
    <row r="50" spans="1:4" x14ac:dyDescent="0.25">
      <c r="A50" s="10" t="s">
        <v>5</v>
      </c>
      <c r="B50" s="120">
        <v>150</v>
      </c>
      <c r="C50" s="121">
        <v>8023.5</v>
      </c>
      <c r="D50" s="26" t="s">
        <v>45</v>
      </c>
    </row>
    <row r="51" spans="1:4" x14ac:dyDescent="0.25">
      <c r="A51" s="10" t="s">
        <v>5</v>
      </c>
      <c r="B51" s="120">
        <v>150</v>
      </c>
      <c r="C51" s="121">
        <v>8023.5</v>
      </c>
      <c r="D51" s="26" t="s">
        <v>45</v>
      </c>
    </row>
    <row r="52" spans="1:4" x14ac:dyDescent="0.25">
      <c r="A52" s="10" t="s">
        <v>5</v>
      </c>
      <c r="B52" s="120">
        <v>24.84</v>
      </c>
      <c r="C52" s="121">
        <v>1328.69</v>
      </c>
      <c r="D52" s="26" t="s">
        <v>45</v>
      </c>
    </row>
    <row r="53" spans="1:4" x14ac:dyDescent="0.25">
      <c r="A53" s="27" t="s">
        <v>8</v>
      </c>
      <c r="B53" s="120">
        <v>100</v>
      </c>
      <c r="C53" s="121">
        <v>5349</v>
      </c>
      <c r="D53" s="26" t="s">
        <v>45</v>
      </c>
    </row>
    <row r="54" spans="1:4" x14ac:dyDescent="0.25">
      <c r="A54" s="27" t="s">
        <v>8</v>
      </c>
      <c r="B54" s="120">
        <v>100</v>
      </c>
      <c r="C54" s="121">
        <v>5349</v>
      </c>
      <c r="D54" s="26" t="s">
        <v>45</v>
      </c>
    </row>
    <row r="55" spans="1:4" x14ac:dyDescent="0.25">
      <c r="A55" s="27" t="s">
        <v>8</v>
      </c>
      <c r="B55" s="120">
        <v>100</v>
      </c>
      <c r="C55" s="121">
        <v>5349</v>
      </c>
      <c r="D55" s="26" t="s">
        <v>45</v>
      </c>
    </row>
    <row r="56" spans="1:4" x14ac:dyDescent="0.25">
      <c r="A56" s="27" t="s">
        <v>8</v>
      </c>
      <c r="B56" s="120">
        <v>100</v>
      </c>
      <c r="C56" s="121">
        <v>5149</v>
      </c>
      <c r="D56" s="26" t="s">
        <v>45</v>
      </c>
    </row>
    <row r="57" spans="1:4" x14ac:dyDescent="0.25">
      <c r="A57" s="27" t="s">
        <v>8</v>
      </c>
      <c r="B57" s="120">
        <v>100</v>
      </c>
      <c r="C57" s="121">
        <v>5149</v>
      </c>
      <c r="D57" s="26" t="s">
        <v>45</v>
      </c>
    </row>
    <row r="58" spans="1:4" x14ac:dyDescent="0.25">
      <c r="A58" s="27" t="s">
        <v>37</v>
      </c>
      <c r="B58" s="120">
        <v>160</v>
      </c>
      <c r="C58" s="121">
        <v>8558.4</v>
      </c>
      <c r="D58" s="26" t="s">
        <v>45</v>
      </c>
    </row>
    <row r="59" spans="1:4" x14ac:dyDescent="0.25">
      <c r="A59" s="27" t="s">
        <v>37</v>
      </c>
      <c r="B59" s="120">
        <v>150</v>
      </c>
      <c r="C59" s="121">
        <v>8023.5</v>
      </c>
      <c r="D59" s="26" t="s">
        <v>45</v>
      </c>
    </row>
    <row r="60" spans="1:4" x14ac:dyDescent="0.25">
      <c r="A60" s="27" t="s">
        <v>37</v>
      </c>
      <c r="B60" s="120">
        <v>50</v>
      </c>
      <c r="C60" s="121">
        <v>2674.5</v>
      </c>
      <c r="D60" s="26" t="s">
        <v>45</v>
      </c>
    </row>
    <row r="61" spans="1:4" x14ac:dyDescent="0.25">
      <c r="A61" s="27" t="s">
        <v>37</v>
      </c>
      <c r="B61" s="120">
        <v>150</v>
      </c>
      <c r="C61" s="121">
        <v>8023.5</v>
      </c>
      <c r="D61" s="26" t="s">
        <v>45</v>
      </c>
    </row>
    <row r="62" spans="1:4" x14ac:dyDescent="0.25">
      <c r="A62" s="27" t="s">
        <v>37</v>
      </c>
      <c r="B62" s="120">
        <v>49.99</v>
      </c>
      <c r="C62" s="121">
        <v>2673.97</v>
      </c>
      <c r="D62" s="26" t="s">
        <v>45</v>
      </c>
    </row>
    <row r="63" spans="1:4" x14ac:dyDescent="0.25">
      <c r="A63" s="27" t="s">
        <v>13</v>
      </c>
      <c r="B63" s="120">
        <v>50</v>
      </c>
      <c r="C63" s="121">
        <v>2674.5</v>
      </c>
      <c r="D63" s="26" t="s">
        <v>45</v>
      </c>
    </row>
    <row r="64" spans="1:4" x14ac:dyDescent="0.25">
      <c r="A64" s="27" t="s">
        <v>13</v>
      </c>
      <c r="B64" s="120">
        <v>49.99</v>
      </c>
      <c r="C64" s="121">
        <v>2673.97</v>
      </c>
      <c r="D64" s="26" t="s">
        <v>45</v>
      </c>
    </row>
    <row r="65" spans="1:4" x14ac:dyDescent="0.25">
      <c r="A65" s="27" t="s">
        <v>13</v>
      </c>
      <c r="B65" s="120">
        <v>50</v>
      </c>
      <c r="C65" s="121">
        <v>2674.5</v>
      </c>
      <c r="D65" s="26" t="s">
        <v>45</v>
      </c>
    </row>
    <row r="66" spans="1:4" x14ac:dyDescent="0.25">
      <c r="A66" s="27" t="s">
        <v>13</v>
      </c>
      <c r="B66" s="120">
        <v>100</v>
      </c>
      <c r="C66" s="121">
        <v>5349</v>
      </c>
      <c r="D66" s="26" t="s">
        <v>45</v>
      </c>
    </row>
    <row r="67" spans="1:4" x14ac:dyDescent="0.25">
      <c r="A67" s="27" t="s">
        <v>13</v>
      </c>
      <c r="B67" s="120">
        <v>100</v>
      </c>
      <c r="C67" s="121">
        <v>5149</v>
      </c>
      <c r="D67" s="26" t="s">
        <v>45</v>
      </c>
    </row>
    <row r="68" spans="1:4" x14ac:dyDescent="0.25">
      <c r="A68" s="27" t="s">
        <v>13</v>
      </c>
      <c r="B68" s="120">
        <v>100</v>
      </c>
      <c r="C68" s="121">
        <v>5349</v>
      </c>
      <c r="D68" s="26" t="s">
        <v>45</v>
      </c>
    </row>
    <row r="69" spans="1:4" x14ac:dyDescent="0.25">
      <c r="A69" s="27" t="s">
        <v>13</v>
      </c>
      <c r="B69" s="120">
        <v>100</v>
      </c>
      <c r="C69" s="121">
        <v>5349</v>
      </c>
      <c r="D69" s="26" t="s">
        <v>45</v>
      </c>
    </row>
    <row r="70" spans="1:4" x14ac:dyDescent="0.25">
      <c r="A70" s="27" t="s">
        <v>13</v>
      </c>
      <c r="B70" s="120">
        <v>100</v>
      </c>
      <c r="C70" s="121">
        <v>5149</v>
      </c>
      <c r="D70" s="26" t="s">
        <v>45</v>
      </c>
    </row>
    <row r="71" spans="1:4" x14ac:dyDescent="0.25">
      <c r="A71" s="27" t="s">
        <v>13</v>
      </c>
      <c r="B71" s="120">
        <v>100</v>
      </c>
      <c r="C71" s="121">
        <v>5349</v>
      </c>
      <c r="D71" s="26" t="s">
        <v>45</v>
      </c>
    </row>
    <row r="72" spans="1:4" x14ac:dyDescent="0.25">
      <c r="A72" s="27" t="s">
        <v>13</v>
      </c>
      <c r="B72" s="120">
        <v>100</v>
      </c>
      <c r="C72" s="121">
        <v>5149</v>
      </c>
      <c r="D72" s="26" t="s">
        <v>45</v>
      </c>
    </row>
    <row r="73" spans="1:4" x14ac:dyDescent="0.25">
      <c r="A73" s="27" t="s">
        <v>10</v>
      </c>
      <c r="B73" s="120">
        <v>100</v>
      </c>
      <c r="C73" s="121">
        <v>5199</v>
      </c>
      <c r="D73" s="26" t="s">
        <v>45</v>
      </c>
    </row>
    <row r="74" spans="1:4" x14ac:dyDescent="0.25">
      <c r="A74" s="27" t="s">
        <v>10</v>
      </c>
      <c r="B74" s="120">
        <v>100</v>
      </c>
      <c r="C74" s="121">
        <v>5349</v>
      </c>
      <c r="D74" s="26" t="s">
        <v>45</v>
      </c>
    </row>
    <row r="75" spans="1:4" x14ac:dyDescent="0.25">
      <c r="A75" s="27" t="s">
        <v>10</v>
      </c>
      <c r="B75" s="120">
        <v>100</v>
      </c>
      <c r="C75" s="121">
        <v>5349</v>
      </c>
      <c r="D75" s="26" t="s">
        <v>45</v>
      </c>
    </row>
    <row r="76" spans="1:4" x14ac:dyDescent="0.25">
      <c r="A76" s="27" t="s">
        <v>10</v>
      </c>
      <c r="B76" s="120">
        <v>21.36</v>
      </c>
      <c r="C76" s="121">
        <v>1099.83</v>
      </c>
      <c r="D76" s="26" t="s">
        <v>45</v>
      </c>
    </row>
    <row r="77" spans="1:4" x14ac:dyDescent="0.25">
      <c r="A77" s="27" t="s">
        <v>10</v>
      </c>
      <c r="B77" s="120">
        <v>100</v>
      </c>
      <c r="C77" s="121">
        <v>5349</v>
      </c>
      <c r="D77" s="26" t="s">
        <v>45</v>
      </c>
    </row>
    <row r="78" spans="1:4" x14ac:dyDescent="0.25">
      <c r="A78" s="27" t="s">
        <v>10</v>
      </c>
      <c r="B78" s="120">
        <v>100</v>
      </c>
      <c r="C78" s="121">
        <v>5349</v>
      </c>
      <c r="D78" s="26" t="s">
        <v>45</v>
      </c>
    </row>
    <row r="79" spans="1:4" x14ac:dyDescent="0.25">
      <c r="A79" s="27" t="s">
        <v>10</v>
      </c>
      <c r="B79" s="120">
        <v>40</v>
      </c>
      <c r="C79" s="121">
        <v>2139.6</v>
      </c>
      <c r="D79" s="26" t="s">
        <v>45</v>
      </c>
    </row>
    <row r="80" spans="1:4" x14ac:dyDescent="0.25">
      <c r="A80" s="27" t="s">
        <v>10</v>
      </c>
      <c r="B80" s="120">
        <v>64.89</v>
      </c>
      <c r="C80" s="121">
        <v>3470.97</v>
      </c>
      <c r="D80" s="26" t="s">
        <v>45</v>
      </c>
    </row>
    <row r="81" spans="1:5" x14ac:dyDescent="0.25">
      <c r="A81" s="27" t="s">
        <v>10</v>
      </c>
      <c r="B81" s="120">
        <v>100</v>
      </c>
      <c r="C81" s="121">
        <v>5149</v>
      </c>
      <c r="D81" s="26" t="s">
        <v>45</v>
      </c>
    </row>
    <row r="82" spans="1:5" x14ac:dyDescent="0.25">
      <c r="A82" s="27" t="s">
        <v>10</v>
      </c>
      <c r="B82" s="120">
        <v>100</v>
      </c>
      <c r="C82" s="121">
        <v>5349</v>
      </c>
      <c r="D82" s="26" t="s">
        <v>45</v>
      </c>
    </row>
    <row r="83" spans="1:5" x14ac:dyDescent="0.25">
      <c r="A83" s="27" t="s">
        <v>10</v>
      </c>
      <c r="B83" s="120">
        <v>100</v>
      </c>
      <c r="C83" s="121">
        <v>5149</v>
      </c>
      <c r="D83" s="26" t="s">
        <v>45</v>
      </c>
    </row>
    <row r="84" spans="1:5" x14ac:dyDescent="0.25">
      <c r="A84" s="27" t="s">
        <v>9</v>
      </c>
      <c r="B84" s="120">
        <v>150</v>
      </c>
      <c r="C84" s="121">
        <v>7873.5</v>
      </c>
      <c r="D84" s="26" t="s">
        <v>45</v>
      </c>
    </row>
    <row r="85" spans="1:5" x14ac:dyDescent="0.25">
      <c r="A85" s="27" t="s">
        <v>9</v>
      </c>
      <c r="B85" s="120">
        <v>50</v>
      </c>
      <c r="C85" s="121">
        <v>2624.5</v>
      </c>
      <c r="D85" s="26" t="s">
        <v>45</v>
      </c>
    </row>
    <row r="86" spans="1:5" x14ac:dyDescent="0.25">
      <c r="A86" s="27" t="s">
        <v>9</v>
      </c>
      <c r="B86" s="120">
        <v>100</v>
      </c>
      <c r="C86" s="121">
        <v>5349</v>
      </c>
      <c r="D86" s="26" t="s">
        <v>45</v>
      </c>
    </row>
    <row r="87" spans="1:5" x14ac:dyDescent="0.25">
      <c r="A87" s="27" t="s">
        <v>9</v>
      </c>
      <c r="B87" s="120">
        <v>100</v>
      </c>
      <c r="C87" s="121">
        <v>5349</v>
      </c>
      <c r="D87" s="26" t="s">
        <v>45</v>
      </c>
    </row>
    <row r="88" spans="1:5" x14ac:dyDescent="0.25">
      <c r="A88" s="27" t="s">
        <v>9</v>
      </c>
      <c r="B88" s="120">
        <v>100</v>
      </c>
      <c r="C88" s="121">
        <v>5349</v>
      </c>
      <c r="D88" s="26" t="s">
        <v>45</v>
      </c>
    </row>
    <row r="89" spans="1:5" x14ac:dyDescent="0.25">
      <c r="A89" s="27" t="s">
        <v>9</v>
      </c>
      <c r="B89" s="120">
        <v>70.98</v>
      </c>
      <c r="C89" s="121">
        <v>3654.76</v>
      </c>
      <c r="D89" s="26" t="s">
        <v>45</v>
      </c>
    </row>
    <row r="90" spans="1:5" x14ac:dyDescent="0.25">
      <c r="A90" s="27"/>
      <c r="B90" s="120"/>
      <c r="C90" s="121"/>
      <c r="D90" s="26" t="s">
        <v>45</v>
      </c>
    </row>
    <row r="91" spans="1:5" ht="15.75" thickBot="1" x14ac:dyDescent="0.3">
      <c r="A91" s="27"/>
      <c r="B91" s="120"/>
      <c r="C91" s="121"/>
      <c r="D91" s="26" t="s">
        <v>45</v>
      </c>
    </row>
    <row r="92" spans="1:5" ht="15.75" thickBot="1" x14ac:dyDescent="0.3">
      <c r="A92" s="27"/>
      <c r="B92" s="120"/>
      <c r="C92" s="121"/>
      <c r="D92" s="28"/>
      <c r="E92" s="24">
        <f>SUM(C49:C92)</f>
        <v>203041.69</v>
      </c>
    </row>
    <row r="93" spans="1:5" x14ac:dyDescent="0.25">
      <c r="A93" s="2"/>
      <c r="B93" s="5"/>
      <c r="C93" s="29"/>
      <c r="D93" s="25" t="s">
        <v>46</v>
      </c>
    </row>
    <row r="94" spans="1:5" x14ac:dyDescent="0.25">
      <c r="A94" s="10"/>
      <c r="B94" s="9"/>
      <c r="C94" s="12"/>
      <c r="D94" s="26" t="s">
        <v>46</v>
      </c>
    </row>
    <row r="95" spans="1:5" ht="15.75" thickBot="1" x14ac:dyDescent="0.3">
      <c r="A95" s="27"/>
      <c r="B95" s="120"/>
      <c r="C95" s="122"/>
      <c r="D95" s="26" t="s">
        <v>46</v>
      </c>
    </row>
    <row r="96" spans="1:5" ht="15.75" thickBot="1" x14ac:dyDescent="0.3">
      <c r="A96" s="13"/>
      <c r="B96" s="14"/>
      <c r="C96" s="16"/>
      <c r="D96" s="23" t="s">
        <v>46</v>
      </c>
      <c r="E96" s="24">
        <f>SUM(C93:C96)</f>
        <v>0</v>
      </c>
    </row>
    <row r="97" spans="1:7" x14ac:dyDescent="0.25">
      <c r="A97" s="10" t="s">
        <v>7</v>
      </c>
      <c r="B97" s="120">
        <v>200</v>
      </c>
      <c r="C97" s="121">
        <v>9798</v>
      </c>
      <c r="D97" s="22" t="s">
        <v>47</v>
      </c>
    </row>
    <row r="98" spans="1:7" ht="15.75" thickBot="1" x14ac:dyDescent="0.3">
      <c r="A98" s="10" t="s">
        <v>11</v>
      </c>
      <c r="B98" s="120">
        <v>210</v>
      </c>
      <c r="C98" s="121">
        <v>10287.9</v>
      </c>
      <c r="D98" s="22" t="s">
        <v>47</v>
      </c>
    </row>
    <row r="99" spans="1:7" ht="15.75" thickBot="1" x14ac:dyDescent="0.3">
      <c r="A99" s="13"/>
      <c r="B99" s="14"/>
      <c r="C99" s="15"/>
      <c r="D99" s="22"/>
      <c r="E99" s="24">
        <f>SUM(C97:C99)</f>
        <v>20085.900000000001</v>
      </c>
      <c r="G99" s="20"/>
    </row>
    <row r="100" spans="1:7" ht="15.75" thickBot="1" x14ac:dyDescent="0.3">
      <c r="A100" s="13" t="s">
        <v>9</v>
      </c>
      <c r="B100" s="14">
        <v>56</v>
      </c>
      <c r="C100" s="15">
        <v>3085.04</v>
      </c>
      <c r="D100" s="22" t="s">
        <v>46</v>
      </c>
      <c r="E100" s="24">
        <f>SUM(C100:C100)</f>
        <v>3085.04</v>
      </c>
      <c r="F100" s="30"/>
      <c r="G100" s="30"/>
    </row>
    <row r="101" spans="1:7" x14ac:dyDescent="0.25">
      <c r="A101" s="27" t="s">
        <v>34</v>
      </c>
      <c r="B101" s="3">
        <v>200</v>
      </c>
      <c r="C101" s="4">
        <v>9798</v>
      </c>
      <c r="D101" s="22" t="s">
        <v>48</v>
      </c>
    </row>
    <row r="102" spans="1:7" x14ac:dyDescent="0.25">
      <c r="A102" s="27" t="s">
        <v>34</v>
      </c>
      <c r="B102" s="120">
        <v>200</v>
      </c>
      <c r="C102" s="121">
        <v>9798</v>
      </c>
      <c r="D102" s="22" t="s">
        <v>48</v>
      </c>
    </row>
    <row r="103" spans="1:7" x14ac:dyDescent="0.25">
      <c r="A103" s="10" t="s">
        <v>34</v>
      </c>
      <c r="B103" s="120">
        <v>160</v>
      </c>
      <c r="C103" s="121">
        <v>7838.4</v>
      </c>
      <c r="D103" s="22" t="s">
        <v>48</v>
      </c>
    </row>
    <row r="104" spans="1:7" x14ac:dyDescent="0.25">
      <c r="A104" s="10" t="s">
        <v>34</v>
      </c>
      <c r="B104" s="120">
        <v>160</v>
      </c>
      <c r="C104" s="121">
        <v>7838.4</v>
      </c>
      <c r="D104" s="22" t="s">
        <v>48</v>
      </c>
    </row>
    <row r="105" spans="1:7" x14ac:dyDescent="0.25">
      <c r="A105" s="10" t="s">
        <v>34</v>
      </c>
      <c r="B105" s="120">
        <v>160</v>
      </c>
      <c r="C105" s="121">
        <v>7838.4</v>
      </c>
      <c r="D105" s="22" t="s">
        <v>48</v>
      </c>
    </row>
    <row r="106" spans="1:7" x14ac:dyDescent="0.25">
      <c r="A106" s="10" t="s">
        <v>34</v>
      </c>
      <c r="B106" s="120">
        <v>200</v>
      </c>
      <c r="C106" s="121">
        <v>9798</v>
      </c>
      <c r="D106" s="22" t="s">
        <v>48</v>
      </c>
    </row>
    <row r="107" spans="1:7" x14ac:dyDescent="0.25">
      <c r="A107" s="10" t="s">
        <v>34</v>
      </c>
      <c r="B107" s="120">
        <v>160</v>
      </c>
      <c r="C107" s="121">
        <v>7838.4</v>
      </c>
      <c r="D107" s="22" t="s">
        <v>48</v>
      </c>
    </row>
    <row r="108" spans="1:7" x14ac:dyDescent="0.25">
      <c r="A108" s="10" t="s">
        <v>34</v>
      </c>
      <c r="B108" s="120">
        <v>160</v>
      </c>
      <c r="C108" s="121">
        <v>7838.4</v>
      </c>
      <c r="D108" s="22" t="s">
        <v>48</v>
      </c>
    </row>
    <row r="109" spans="1:7" x14ac:dyDescent="0.25">
      <c r="A109" s="10" t="s">
        <v>34</v>
      </c>
      <c r="B109" s="120">
        <v>160</v>
      </c>
      <c r="C109" s="121">
        <v>7838.4</v>
      </c>
      <c r="D109" s="22" t="s">
        <v>48</v>
      </c>
    </row>
    <row r="110" spans="1:7" x14ac:dyDescent="0.25">
      <c r="A110" s="10" t="s">
        <v>34</v>
      </c>
      <c r="B110" s="120">
        <v>111.92</v>
      </c>
      <c r="C110" s="121">
        <v>5482.96</v>
      </c>
      <c r="D110" s="22" t="s">
        <v>48</v>
      </c>
    </row>
    <row r="111" spans="1:7" x14ac:dyDescent="0.25">
      <c r="A111" s="10" t="s">
        <v>34</v>
      </c>
      <c r="B111" s="120">
        <v>140</v>
      </c>
      <c r="C111" s="121">
        <v>6858.6</v>
      </c>
      <c r="D111" s="22" t="s">
        <v>48</v>
      </c>
    </row>
    <row r="112" spans="1:7" x14ac:dyDescent="0.25">
      <c r="A112" s="10" t="s">
        <v>14</v>
      </c>
      <c r="B112" s="120">
        <v>40</v>
      </c>
      <c r="C112" s="121">
        <v>1959.6</v>
      </c>
      <c r="D112" s="22" t="s">
        <v>48</v>
      </c>
    </row>
    <row r="113" spans="1:7" x14ac:dyDescent="0.25">
      <c r="A113" s="10" t="s">
        <v>14</v>
      </c>
      <c r="B113" s="120">
        <v>60</v>
      </c>
      <c r="C113" s="121">
        <v>2939.4</v>
      </c>
      <c r="D113" s="22" t="s">
        <v>48</v>
      </c>
    </row>
    <row r="114" spans="1:7" x14ac:dyDescent="0.25">
      <c r="A114" s="10" t="s">
        <v>14</v>
      </c>
      <c r="B114" s="120">
        <v>40</v>
      </c>
      <c r="C114" s="121">
        <v>1959.6</v>
      </c>
      <c r="D114" s="22" t="s">
        <v>48</v>
      </c>
    </row>
    <row r="115" spans="1:7" x14ac:dyDescent="0.25">
      <c r="A115" s="10" t="s">
        <v>14</v>
      </c>
      <c r="B115" s="120">
        <v>60</v>
      </c>
      <c r="C115" s="121">
        <v>2939.4</v>
      </c>
      <c r="D115" s="22" t="s">
        <v>48</v>
      </c>
    </row>
    <row r="116" spans="1:7" x14ac:dyDescent="0.25">
      <c r="A116" s="10" t="s">
        <v>14</v>
      </c>
      <c r="B116" s="120">
        <v>100</v>
      </c>
      <c r="C116" s="121">
        <v>4899</v>
      </c>
      <c r="D116" s="22" t="s">
        <v>48</v>
      </c>
    </row>
    <row r="117" spans="1:7" x14ac:dyDescent="0.25">
      <c r="A117" s="10" t="s">
        <v>14</v>
      </c>
      <c r="B117" s="120">
        <v>100</v>
      </c>
      <c r="C117" s="121">
        <v>4899</v>
      </c>
      <c r="D117" s="22" t="s">
        <v>48</v>
      </c>
    </row>
    <row r="118" spans="1:7" x14ac:dyDescent="0.25">
      <c r="A118" s="10" t="s">
        <v>14</v>
      </c>
      <c r="B118" s="120">
        <v>100</v>
      </c>
      <c r="C118" s="121">
        <v>4899</v>
      </c>
      <c r="D118" s="22" t="s">
        <v>48</v>
      </c>
    </row>
    <row r="119" spans="1:7" x14ac:dyDescent="0.25">
      <c r="A119" s="10" t="s">
        <v>14</v>
      </c>
      <c r="B119" s="120">
        <v>100</v>
      </c>
      <c r="C119" s="121">
        <v>4899</v>
      </c>
      <c r="D119" s="22" t="s">
        <v>48</v>
      </c>
    </row>
    <row r="120" spans="1:7" x14ac:dyDescent="0.25">
      <c r="A120" s="10" t="s">
        <v>14</v>
      </c>
      <c r="B120" s="120">
        <v>100</v>
      </c>
      <c r="C120" s="121">
        <v>4899</v>
      </c>
      <c r="D120" s="22" t="s">
        <v>48</v>
      </c>
    </row>
    <row r="121" spans="1:7" x14ac:dyDescent="0.25">
      <c r="A121" s="10" t="s">
        <v>14</v>
      </c>
      <c r="B121" s="120">
        <v>14</v>
      </c>
      <c r="C121" s="121">
        <v>685.86</v>
      </c>
      <c r="D121" s="22" t="s">
        <v>48</v>
      </c>
    </row>
    <row r="122" spans="1:7" x14ac:dyDescent="0.25">
      <c r="A122" s="10" t="s">
        <v>14</v>
      </c>
      <c r="B122" s="120">
        <v>160</v>
      </c>
      <c r="C122" s="121">
        <v>7838.4</v>
      </c>
      <c r="D122" s="22" t="s">
        <v>48</v>
      </c>
    </row>
    <row r="123" spans="1:7" x14ac:dyDescent="0.25">
      <c r="A123" s="10" t="s">
        <v>7</v>
      </c>
      <c r="B123" s="120">
        <v>100</v>
      </c>
      <c r="C123" s="121">
        <v>4899</v>
      </c>
      <c r="D123" s="22" t="s">
        <v>48</v>
      </c>
    </row>
    <row r="124" spans="1:7" x14ac:dyDescent="0.25">
      <c r="A124" s="10" t="s">
        <v>7</v>
      </c>
      <c r="B124" s="120">
        <v>64.959999999999994</v>
      </c>
      <c r="C124" s="121">
        <v>3182.39</v>
      </c>
      <c r="D124" s="22" t="s">
        <v>48</v>
      </c>
    </row>
    <row r="125" spans="1:7" x14ac:dyDescent="0.25">
      <c r="A125" s="10" t="s">
        <v>7</v>
      </c>
      <c r="B125" s="120">
        <v>59.96</v>
      </c>
      <c r="C125" s="121">
        <v>2937.44</v>
      </c>
      <c r="D125" s="22" t="s">
        <v>48</v>
      </c>
    </row>
    <row r="126" spans="1:7" x14ac:dyDescent="0.25">
      <c r="A126" s="10" t="s">
        <v>7</v>
      </c>
      <c r="B126" s="120">
        <v>100</v>
      </c>
      <c r="C126" s="121">
        <v>4899</v>
      </c>
      <c r="D126" s="22" t="s">
        <v>48</v>
      </c>
    </row>
    <row r="127" spans="1:7" ht="15.75" thickBot="1" x14ac:dyDescent="0.3">
      <c r="A127" s="10"/>
      <c r="B127" s="120"/>
      <c r="C127" s="121"/>
      <c r="D127" s="22" t="s">
        <v>48</v>
      </c>
    </row>
    <row r="128" spans="1:7" ht="15.75" thickBot="1" x14ac:dyDescent="0.3">
      <c r="A128" s="13"/>
      <c r="B128" s="14"/>
      <c r="C128" s="15"/>
      <c r="D128" s="22" t="s">
        <v>48</v>
      </c>
      <c r="E128" s="31">
        <f>SUM(C101:C128)</f>
        <v>147501.05000000002</v>
      </c>
      <c r="F128" s="30"/>
      <c r="G128" s="30"/>
    </row>
    <row r="129" spans="1:3" ht="15.75" thickBot="1" x14ac:dyDescent="0.3">
      <c r="A129" s="32"/>
      <c r="B129" s="33">
        <f>SUM(B29:B128)</f>
        <v>8971.7599999999984</v>
      </c>
      <c r="C129" s="34">
        <f>SUM(C29:C128)</f>
        <v>457688.61500000017</v>
      </c>
    </row>
    <row r="130" spans="1:3" x14ac:dyDescent="0.25">
      <c r="C130" s="30"/>
    </row>
    <row r="131" spans="1:3" x14ac:dyDescent="0.25">
      <c r="C131" s="30"/>
    </row>
  </sheetData>
  <autoFilter ref="A1:Q22" xr:uid="{00000000-0009-0000-0000-000002000000}"/>
  <mergeCells count="1">
    <mergeCell ref="A27:D27"/>
  </mergeCells>
  <conditionalFormatting sqref="F1:F20">
    <cfRule type="cellIs" dxfId="39" priority="1" operator="lessThan">
      <formula>0</formula>
    </cfRule>
  </conditionalFormatting>
  <conditionalFormatting sqref="I19">
    <cfRule type="cellIs" dxfId="38" priority="2" operator="greaterThanOrEqual">
      <formula>500</formula>
    </cfRule>
    <cfRule type="cellIs" dxfId="37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2"/>
  <sheetViews>
    <sheetView zoomScaleNormal="100" workbookViewId="0">
      <selection activeCell="A15" sqref="A15:XFD15"/>
    </sheetView>
  </sheetViews>
  <sheetFormatPr defaultRowHeight="15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5" width="11.28515625" customWidth="1" outlineLevel="1"/>
    <col min="16" max="16" width="8.85546875" customWidth="1" outlineLevel="1"/>
    <col min="17" max="17" width="10.5703125" customWidth="1" outlineLevel="1"/>
    <col min="18" max="18" width="22.710937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42" t="s">
        <v>26</v>
      </c>
      <c r="P1" s="42" t="s">
        <v>27</v>
      </c>
      <c r="Q1" s="42" t="s">
        <v>28</v>
      </c>
      <c r="R1" s="42" t="s">
        <v>4</v>
      </c>
    </row>
    <row r="2" spans="1:19" ht="15.75" hidden="1" thickBot="1" x14ac:dyDescent="0.3">
      <c r="A2" s="43" t="s">
        <v>29</v>
      </c>
      <c r="B2" s="44">
        <v>45474</v>
      </c>
      <c r="C2" s="45">
        <v>80</v>
      </c>
      <c r="D2" s="46">
        <f t="shared" ref="D2:D21" si="0">SUMIF($A$30:$A$149,A2,$B$30:$B$149)</f>
        <v>0</v>
      </c>
      <c r="E2" s="45"/>
      <c r="F2" s="47">
        <f>C2+D2-E2</f>
        <v>80</v>
      </c>
      <c r="G2" s="48">
        <f>'[4]Июнь 2024 '!H2</f>
        <v>14075</v>
      </c>
      <c r="H2" s="49"/>
      <c r="I2" s="49">
        <f>H2-G2</f>
        <v>-14075</v>
      </c>
      <c r="J2" s="45">
        <v>0</v>
      </c>
      <c r="K2" s="45"/>
      <c r="L2" s="45">
        <v>0</v>
      </c>
      <c r="M2" s="45">
        <f>VLOOKUP(A2,[4]Тарас!$C$4:$P$23,14,0)</f>
        <v>3.4</v>
      </c>
      <c r="N2" s="50"/>
      <c r="O2" s="48">
        <f>194.94*I2</f>
        <v>-2743780.5</v>
      </c>
      <c r="P2" s="48">
        <f>F2*$K$25</f>
        <v>4049.5086510639903</v>
      </c>
      <c r="Q2" s="48">
        <f>O2-P2</f>
        <v>-2747830.0086510638</v>
      </c>
      <c r="R2" s="48"/>
    </row>
    <row r="3" spans="1:19" x14ac:dyDescent="0.25">
      <c r="A3" s="52" t="s">
        <v>30</v>
      </c>
      <c r="B3" s="62">
        <v>45536</v>
      </c>
      <c r="C3" s="54">
        <v>40</v>
      </c>
      <c r="D3" s="64">
        <f t="shared" si="0"/>
        <v>400</v>
      </c>
      <c r="E3" s="54">
        <v>30</v>
      </c>
      <c r="F3" s="47">
        <f>C3+D3-E3</f>
        <v>410</v>
      </c>
      <c r="G3" s="57">
        <v>10718</v>
      </c>
      <c r="H3" s="58"/>
      <c r="I3" s="58">
        <f>L3*0.53</f>
        <v>60.42</v>
      </c>
      <c r="J3" s="59"/>
      <c r="K3" s="59"/>
      <c r="L3" s="59">
        <v>114</v>
      </c>
      <c r="M3" s="68">
        <v>3.4</v>
      </c>
      <c r="N3" s="72">
        <f>F3/I3</f>
        <v>6.7858325057927837</v>
      </c>
      <c r="O3" s="66">
        <f>194.94*I3</f>
        <v>11778.274800000001</v>
      </c>
      <c r="P3" s="66">
        <f>F3*$K$25</f>
        <v>20753.731836702951</v>
      </c>
      <c r="Q3" s="96">
        <f>O3-P3</f>
        <v>-8975.4570367029501</v>
      </c>
      <c r="R3" s="60" t="s">
        <v>62</v>
      </c>
    </row>
    <row r="4" spans="1:19" ht="14.45" hidden="1" customHeight="1" x14ac:dyDescent="0.25">
      <c r="A4" s="61" t="s">
        <v>31</v>
      </c>
      <c r="B4" s="62">
        <v>45536</v>
      </c>
      <c r="C4" s="63"/>
      <c r="D4" s="64">
        <f t="shared" si="0"/>
        <v>0</v>
      </c>
      <c r="E4" s="63"/>
      <c r="F4" s="65">
        <f t="shared" ref="F4:F19" si="1">C4+D4-E4</f>
        <v>0</v>
      </c>
      <c r="G4" s="66"/>
      <c r="H4" s="67"/>
      <c r="I4" s="67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66">
        <f t="shared" ref="O4" si="3">194.94*I4</f>
        <v>0</v>
      </c>
      <c r="P4" s="66">
        <f t="shared" ref="P4:P21" si="4">F4*$K$25</f>
        <v>0</v>
      </c>
      <c r="Q4" s="69">
        <f t="shared" ref="Q4:Q21" si="5">O4-P4</f>
        <v>0</v>
      </c>
      <c r="R4" s="69"/>
    </row>
    <row r="5" spans="1:19" x14ac:dyDescent="0.25">
      <c r="A5" s="70" t="s">
        <v>10</v>
      </c>
      <c r="B5" s="62">
        <v>45536</v>
      </c>
      <c r="C5" s="63">
        <v>70</v>
      </c>
      <c r="D5" s="64">
        <f t="shared" si="0"/>
        <v>775.33999999999992</v>
      </c>
      <c r="E5" s="63">
        <v>10</v>
      </c>
      <c r="F5" s="47">
        <f>C5+D5-E5</f>
        <v>835.33999999999992</v>
      </c>
      <c r="G5" s="66">
        <v>9655</v>
      </c>
      <c r="H5" s="67">
        <v>9842</v>
      </c>
      <c r="I5" s="67">
        <f t="shared" ref="I5:I18" si="6">H5-G5</f>
        <v>187</v>
      </c>
      <c r="J5" s="68">
        <v>0</v>
      </c>
      <c r="K5" s="68"/>
      <c r="L5" s="68">
        <v>186</v>
      </c>
      <c r="M5" s="68">
        <v>3.4</v>
      </c>
      <c r="N5" s="72">
        <f>F5/I5</f>
        <v>4.4670588235294115</v>
      </c>
      <c r="O5" s="66">
        <f>194.94*I5</f>
        <v>36453.78</v>
      </c>
      <c r="P5" s="66">
        <f t="shared" si="4"/>
        <v>42283.956957247414</v>
      </c>
      <c r="Q5" s="96">
        <f>O5-P5</f>
        <v>-5830.176957247415</v>
      </c>
      <c r="R5" s="96"/>
      <c r="S5" s="102"/>
    </row>
    <row r="6" spans="1:19" x14ac:dyDescent="0.25">
      <c r="A6" s="70" t="s">
        <v>11</v>
      </c>
      <c r="B6" s="62">
        <v>45536</v>
      </c>
      <c r="C6" s="63">
        <v>120</v>
      </c>
      <c r="D6" s="64">
        <f t="shared" si="0"/>
        <v>319.49</v>
      </c>
      <c r="E6" s="63">
        <v>20</v>
      </c>
      <c r="F6" s="65">
        <f t="shared" si="1"/>
        <v>419.49</v>
      </c>
      <c r="G6" s="66"/>
      <c r="H6" s="67"/>
      <c r="I6" s="67">
        <f>L6*0.53</f>
        <v>33.92</v>
      </c>
      <c r="J6" s="68">
        <v>0</v>
      </c>
      <c r="K6" s="68"/>
      <c r="L6" s="68">
        <v>64</v>
      </c>
      <c r="M6" s="68">
        <v>3.4</v>
      </c>
      <c r="N6" s="72">
        <f>F6/I6</f>
        <v>12.367040094339622</v>
      </c>
      <c r="O6" s="66">
        <f>194.94*I6</f>
        <v>6612.3648000000003</v>
      </c>
      <c r="P6" s="66">
        <f t="shared" si="4"/>
        <v>21234.104800435416</v>
      </c>
      <c r="Q6" s="96">
        <f>O6-P6</f>
        <v>-14621.740000435417</v>
      </c>
      <c r="R6" s="69" t="s">
        <v>61</v>
      </c>
    </row>
    <row r="7" spans="1:19" x14ac:dyDescent="0.25">
      <c r="A7" s="70" t="s">
        <v>32</v>
      </c>
      <c r="B7" s="62">
        <v>45536</v>
      </c>
      <c r="C7" s="63">
        <v>125</v>
      </c>
      <c r="D7" s="64">
        <f t="shared" si="0"/>
        <v>0</v>
      </c>
      <c r="E7" s="63">
        <v>65</v>
      </c>
      <c r="F7" s="65">
        <f t="shared" si="1"/>
        <v>60</v>
      </c>
      <c r="G7" s="66">
        <v>4970</v>
      </c>
      <c r="H7" s="67">
        <v>4981</v>
      </c>
      <c r="I7" s="67">
        <f>H7-G7</f>
        <v>11</v>
      </c>
      <c r="J7" s="68">
        <v>0</v>
      </c>
      <c r="K7" s="68"/>
      <c r="L7" s="68">
        <v>10</v>
      </c>
      <c r="M7" s="68">
        <v>5</v>
      </c>
      <c r="N7" s="71">
        <f t="shared" si="2"/>
        <v>5.4545454545454541</v>
      </c>
      <c r="O7" s="66">
        <f>285*I7</f>
        <v>3135</v>
      </c>
      <c r="P7" s="66">
        <f t="shared" si="4"/>
        <v>3037.1314882979927</v>
      </c>
      <c r="Q7" s="69">
        <f t="shared" si="5"/>
        <v>97.868511702007254</v>
      </c>
      <c r="R7" s="69"/>
    </row>
    <row r="8" spans="1:19" hidden="1" x14ac:dyDescent="0.25">
      <c r="A8" s="70" t="s">
        <v>33</v>
      </c>
      <c r="B8" s="62">
        <v>45536</v>
      </c>
      <c r="C8" s="63"/>
      <c r="D8" s="64">
        <f t="shared" si="0"/>
        <v>0</v>
      </c>
      <c r="E8" s="63"/>
      <c r="F8" s="65">
        <f t="shared" si="1"/>
        <v>0</v>
      </c>
      <c r="G8" s="66"/>
      <c r="H8" s="67"/>
      <c r="I8" s="67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66"/>
      <c r="P8" s="66">
        <f t="shared" si="4"/>
        <v>0</v>
      </c>
      <c r="Q8" s="69">
        <f t="shared" si="5"/>
        <v>0</v>
      </c>
      <c r="R8" s="69"/>
    </row>
    <row r="9" spans="1:19" x14ac:dyDescent="0.25">
      <c r="A9" s="70" t="s">
        <v>12</v>
      </c>
      <c r="B9" s="62">
        <v>45536</v>
      </c>
      <c r="C9" s="63">
        <v>55</v>
      </c>
      <c r="D9" s="64">
        <f t="shared" si="0"/>
        <v>974.87999999999988</v>
      </c>
      <c r="E9" s="63">
        <v>10</v>
      </c>
      <c r="F9" s="47">
        <f>C9+D9-E9</f>
        <v>1019.8799999999999</v>
      </c>
      <c r="G9" s="66">
        <v>17608</v>
      </c>
      <c r="H9" s="67">
        <v>17802</v>
      </c>
      <c r="I9" s="67">
        <f>H9-G9</f>
        <v>194</v>
      </c>
      <c r="J9" s="68">
        <v>0</v>
      </c>
      <c r="K9" s="68"/>
      <c r="L9" s="68">
        <v>242</v>
      </c>
      <c r="M9" s="68">
        <v>4.0999999999999996</v>
      </c>
      <c r="N9" s="72">
        <f>F9/I9</f>
        <v>5.2571134020618553</v>
      </c>
      <c r="O9" s="66">
        <f>235.41*I9</f>
        <v>45669.54</v>
      </c>
      <c r="P9" s="66">
        <f t="shared" si="4"/>
        <v>51625.161038089274</v>
      </c>
      <c r="Q9" s="96">
        <f>O9-P9</f>
        <v>-5955.6210380892735</v>
      </c>
      <c r="R9" s="69"/>
    </row>
    <row r="10" spans="1:19" x14ac:dyDescent="0.25">
      <c r="A10" s="70" t="s">
        <v>14</v>
      </c>
      <c r="B10" s="62">
        <v>45536</v>
      </c>
      <c r="C10" s="63">
        <v>0</v>
      </c>
      <c r="D10" s="64">
        <f t="shared" si="0"/>
        <v>1111.3699999999999</v>
      </c>
      <c r="E10" s="63">
        <v>20</v>
      </c>
      <c r="F10" s="47">
        <f>C10+D10-E10</f>
        <v>1091.3699999999999</v>
      </c>
      <c r="G10" s="66"/>
      <c r="H10" s="67"/>
      <c r="I10" s="67">
        <f>L10*0.55</f>
        <v>114.4</v>
      </c>
      <c r="J10" s="68">
        <v>0</v>
      </c>
      <c r="K10" s="68"/>
      <c r="L10" s="68">
        <v>208</v>
      </c>
      <c r="M10" s="68">
        <v>4.0999999999999996</v>
      </c>
      <c r="N10" s="72">
        <f t="shared" si="2"/>
        <v>9.5399475524475505</v>
      </c>
      <c r="O10" s="66">
        <f t="shared" ref="O10" si="7">235.41*I10</f>
        <v>26930.904000000002</v>
      </c>
      <c r="P10" s="66">
        <f t="shared" si="4"/>
        <v>55243.903206396331</v>
      </c>
      <c r="Q10" s="96">
        <f t="shared" si="5"/>
        <v>-28312.999206396329</v>
      </c>
      <c r="R10" s="103"/>
    </row>
    <row r="11" spans="1:19" x14ac:dyDescent="0.25">
      <c r="A11" s="70" t="s">
        <v>13</v>
      </c>
      <c r="B11" s="62">
        <v>45536</v>
      </c>
      <c r="C11" s="63">
        <v>10</v>
      </c>
      <c r="D11" s="64">
        <f t="shared" si="0"/>
        <v>400</v>
      </c>
      <c r="E11" s="63">
        <v>20</v>
      </c>
      <c r="F11" s="65">
        <f t="shared" si="1"/>
        <v>390</v>
      </c>
      <c r="G11" s="66">
        <v>12270</v>
      </c>
      <c r="H11" s="67"/>
      <c r="I11" s="67">
        <f t="shared" si="6"/>
        <v>-12270</v>
      </c>
      <c r="J11" s="68">
        <v>0</v>
      </c>
      <c r="K11" s="68"/>
      <c r="L11" s="68">
        <v>91</v>
      </c>
      <c r="M11" s="68">
        <v>4.0999999999999996</v>
      </c>
      <c r="N11" s="72"/>
      <c r="O11" s="66"/>
      <c r="P11" s="66"/>
      <c r="Q11" s="69"/>
      <c r="R11" s="69" t="s">
        <v>63</v>
      </c>
    </row>
    <row r="12" spans="1:19" x14ac:dyDescent="0.25">
      <c r="A12" s="70" t="s">
        <v>34</v>
      </c>
      <c r="B12" s="62">
        <v>45536</v>
      </c>
      <c r="C12" s="63">
        <v>394</v>
      </c>
      <c r="D12" s="64">
        <f t="shared" si="0"/>
        <v>1831.05</v>
      </c>
      <c r="E12" s="63">
        <v>301</v>
      </c>
      <c r="F12" s="65">
        <f t="shared" ref="F12:F17" si="8">C12+D12-E12</f>
        <v>1924.0500000000002</v>
      </c>
      <c r="G12" s="66">
        <v>7255</v>
      </c>
      <c r="H12" s="67">
        <v>7387</v>
      </c>
      <c r="I12" s="67">
        <f>H12-G12</f>
        <v>132</v>
      </c>
      <c r="J12" s="68">
        <v>0</v>
      </c>
      <c r="K12" s="68"/>
      <c r="L12" s="68">
        <v>230</v>
      </c>
      <c r="M12" s="68">
        <v>10.5</v>
      </c>
      <c r="N12" s="72">
        <f>F12/I12</f>
        <v>14.576136363636365</v>
      </c>
      <c r="O12" s="66">
        <f>595.65*I12</f>
        <v>78625.8</v>
      </c>
      <c r="P12" s="66">
        <f t="shared" si="4"/>
        <v>97393.214000995882</v>
      </c>
      <c r="Q12" s="69">
        <f t="shared" si="5"/>
        <v>-18767.414000995879</v>
      </c>
      <c r="R12" s="69" t="s">
        <v>65</v>
      </c>
      <c r="S12" s="11"/>
    </row>
    <row r="13" spans="1:19" x14ac:dyDescent="0.25">
      <c r="A13" s="99" t="s">
        <v>35</v>
      </c>
      <c r="B13" s="62">
        <v>45536</v>
      </c>
      <c r="C13" s="63">
        <v>150</v>
      </c>
      <c r="D13" s="64">
        <f t="shared" si="0"/>
        <v>580.43000000000006</v>
      </c>
      <c r="E13" s="63">
        <v>150</v>
      </c>
      <c r="F13" s="65">
        <f t="shared" si="8"/>
        <v>580.43000000000006</v>
      </c>
      <c r="G13" s="66">
        <v>32189</v>
      </c>
      <c r="H13" s="67">
        <v>32692</v>
      </c>
      <c r="I13" s="67">
        <f t="shared" si="6"/>
        <v>503</v>
      </c>
      <c r="J13" s="68">
        <v>0</v>
      </c>
      <c r="K13" s="68"/>
      <c r="L13" s="68">
        <v>222</v>
      </c>
      <c r="M13" s="68">
        <v>0.9</v>
      </c>
      <c r="N13" s="72">
        <f>F13/I13</f>
        <v>1.1539363817097417</v>
      </c>
      <c r="O13" s="66">
        <f>(51.3*(I13-K13))+(K13*14.25)</f>
        <v>25803.899999999998</v>
      </c>
      <c r="P13" s="66">
        <f t="shared" si="4"/>
        <v>29380.703829213402</v>
      </c>
      <c r="Q13" s="96">
        <f>O13-P13</f>
        <v>-3576.8038292134042</v>
      </c>
      <c r="R13" s="69"/>
    </row>
    <row r="14" spans="1:19" x14ac:dyDescent="0.25">
      <c r="A14" s="99" t="s">
        <v>7</v>
      </c>
      <c r="B14" s="62">
        <v>45536</v>
      </c>
      <c r="C14" s="63">
        <v>150</v>
      </c>
      <c r="D14" s="64">
        <f t="shared" si="0"/>
        <v>547.46</v>
      </c>
      <c r="E14" s="63">
        <v>160</v>
      </c>
      <c r="F14" s="47">
        <f t="shared" si="8"/>
        <v>537.46</v>
      </c>
      <c r="G14" s="66">
        <v>35800</v>
      </c>
      <c r="H14" s="67">
        <v>37210</v>
      </c>
      <c r="I14" s="67">
        <f>H14-G14</f>
        <v>1410</v>
      </c>
      <c r="J14" s="68">
        <v>0</v>
      </c>
      <c r="K14" s="68">
        <v>450</v>
      </c>
      <c r="L14" s="68">
        <v>189</v>
      </c>
      <c r="M14" s="68">
        <v>0.9</v>
      </c>
      <c r="N14" s="72">
        <f>F14/I14</f>
        <v>0.38117730496453905</v>
      </c>
      <c r="O14" s="66">
        <f>(51.3*(I14-K14))+(K14*14.25)</f>
        <v>55660.5</v>
      </c>
      <c r="P14" s="66">
        <f t="shared" si="4"/>
        <v>27205.611495010653</v>
      </c>
      <c r="Q14" s="69">
        <f t="shared" si="5"/>
        <v>28454.888504989347</v>
      </c>
      <c r="R14" s="69"/>
    </row>
    <row r="15" spans="1:19" x14ac:dyDescent="0.25">
      <c r="A15" s="99" t="s">
        <v>8</v>
      </c>
      <c r="B15" s="62">
        <v>45536</v>
      </c>
      <c r="C15" s="63">
        <v>170</v>
      </c>
      <c r="D15" s="64">
        <f t="shared" si="0"/>
        <v>254.47</v>
      </c>
      <c r="E15" s="63">
        <v>204</v>
      </c>
      <c r="F15" s="65">
        <f t="shared" si="8"/>
        <v>220.47000000000003</v>
      </c>
      <c r="G15" s="66">
        <v>559867</v>
      </c>
      <c r="H15" s="67">
        <v>560504</v>
      </c>
      <c r="I15" s="67">
        <f t="shared" si="6"/>
        <v>637</v>
      </c>
      <c r="J15" s="68">
        <v>0</v>
      </c>
      <c r="K15" s="68">
        <v>413</v>
      </c>
      <c r="L15" s="68">
        <v>4</v>
      </c>
      <c r="M15" s="68">
        <v>0.9</v>
      </c>
      <c r="N15" s="72">
        <f t="shared" si="2"/>
        <v>0.34610675039246475</v>
      </c>
      <c r="O15" s="66">
        <f>(51.3*(I15-K15))+(K15*19.85)</f>
        <v>19689.25</v>
      </c>
      <c r="P15" s="66">
        <f t="shared" si="4"/>
        <v>11159.939653750975</v>
      </c>
      <c r="Q15" s="69">
        <f t="shared" si="5"/>
        <v>8529.3103462490253</v>
      </c>
      <c r="R15" s="69"/>
    </row>
    <row r="16" spans="1:19" x14ac:dyDescent="0.25">
      <c r="A16" s="99" t="s">
        <v>9</v>
      </c>
      <c r="B16" s="62">
        <v>45536</v>
      </c>
      <c r="C16" s="63">
        <v>161</v>
      </c>
      <c r="D16" s="64">
        <f t="shared" si="0"/>
        <v>1498.88</v>
      </c>
      <c r="E16" s="63">
        <v>181</v>
      </c>
      <c r="F16" s="65">
        <f t="shared" si="8"/>
        <v>1478.88</v>
      </c>
      <c r="G16" s="66">
        <v>65010</v>
      </c>
      <c r="H16" s="67">
        <v>68211</v>
      </c>
      <c r="I16" s="67">
        <f t="shared" ref="I16" si="9">H16-G16</f>
        <v>3201</v>
      </c>
      <c r="J16" s="68">
        <v>0</v>
      </c>
      <c r="K16" s="68">
        <v>250</v>
      </c>
      <c r="L16" s="68">
        <v>89</v>
      </c>
      <c r="M16" s="68">
        <v>0.9</v>
      </c>
      <c r="N16" s="71">
        <f>F16/I16</f>
        <v>0.4620056232427367</v>
      </c>
      <c r="O16" s="66">
        <f>(51.3*(I16-K16))+(K16*19.85)</f>
        <v>156348.79999999999</v>
      </c>
      <c r="P16" s="66">
        <f t="shared" ref="P16" si="10">F16*$K$25</f>
        <v>74859.216923568922</v>
      </c>
      <c r="Q16" s="69">
        <f t="shared" ref="Q16" si="11">O16-P16</f>
        <v>81489.583076431067</v>
      </c>
      <c r="R16" s="69" t="s">
        <v>66</v>
      </c>
      <c r="S16" s="11"/>
    </row>
    <row r="17" spans="1:19" x14ac:dyDescent="0.25">
      <c r="A17" s="99" t="s">
        <v>60</v>
      </c>
      <c r="B17" s="62">
        <v>45536</v>
      </c>
      <c r="C17" s="63">
        <v>0</v>
      </c>
      <c r="D17" s="64">
        <f t="shared" si="0"/>
        <v>940.02</v>
      </c>
      <c r="E17" s="63">
        <v>160</v>
      </c>
      <c r="F17" s="65">
        <f t="shared" si="8"/>
        <v>780.02</v>
      </c>
      <c r="G17" s="66">
        <v>63140</v>
      </c>
      <c r="H17" s="67">
        <v>64118</v>
      </c>
      <c r="I17" s="67">
        <f t="shared" si="6"/>
        <v>978</v>
      </c>
      <c r="J17" s="68">
        <v>0</v>
      </c>
      <c r="K17" s="68">
        <v>480</v>
      </c>
      <c r="L17" s="68">
        <v>76</v>
      </c>
      <c r="M17" s="68">
        <v>0.9</v>
      </c>
      <c r="N17" s="71">
        <f>F17/I17</f>
        <v>0.79756646216768912</v>
      </c>
      <c r="O17" s="66">
        <f>(51.3*(I17-K17))+(K17*19.85)</f>
        <v>35075.399999999994</v>
      </c>
      <c r="P17" s="66">
        <f t="shared" si="4"/>
        <v>39483.721725036667</v>
      </c>
      <c r="Q17" s="69">
        <f t="shared" si="5"/>
        <v>-4408.3217250366724</v>
      </c>
      <c r="R17" s="69" t="s">
        <v>67</v>
      </c>
      <c r="S17" s="11"/>
    </row>
    <row r="18" spans="1:19" ht="15" hidden="1" customHeight="1" x14ac:dyDescent="0.25">
      <c r="A18" s="99" t="s">
        <v>36</v>
      </c>
      <c r="B18" s="62">
        <v>45536</v>
      </c>
      <c r="C18" s="63"/>
      <c r="D18" s="64">
        <f t="shared" si="0"/>
        <v>0</v>
      </c>
      <c r="E18" s="63"/>
      <c r="F18" s="65">
        <f t="shared" si="1"/>
        <v>0</v>
      </c>
      <c r="G18" s="66"/>
      <c r="H18" s="67"/>
      <c r="I18" s="67">
        <f t="shared" si="6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66">
        <f t="shared" si="4"/>
        <v>0</v>
      </c>
      <c r="Q18" s="69">
        <f t="shared" si="5"/>
        <v>0</v>
      </c>
      <c r="R18" s="69"/>
    </row>
    <row r="19" spans="1:19" x14ac:dyDescent="0.25">
      <c r="A19" s="100" t="s">
        <v>37</v>
      </c>
      <c r="B19" s="62">
        <v>45536</v>
      </c>
      <c r="C19" s="63">
        <v>170</v>
      </c>
      <c r="D19" s="64">
        <f t="shared" si="0"/>
        <v>299.95</v>
      </c>
      <c r="E19" s="63">
        <v>40</v>
      </c>
      <c r="F19" s="65">
        <f t="shared" si="1"/>
        <v>429.95</v>
      </c>
      <c r="G19" s="66"/>
      <c r="H19" s="67"/>
      <c r="I19" s="67">
        <f>L19*0.7</f>
        <v>35</v>
      </c>
      <c r="J19" s="68">
        <v>0</v>
      </c>
      <c r="K19" s="68"/>
      <c r="L19" s="68">
        <v>50</v>
      </c>
      <c r="M19" s="68">
        <v>5.0999999999999996</v>
      </c>
      <c r="N19" s="72">
        <f t="shared" si="2"/>
        <v>12.284285714285714</v>
      </c>
      <c r="O19" s="66">
        <f>290.07*I19</f>
        <v>10152.449999999999</v>
      </c>
      <c r="P19" s="66">
        <f t="shared" si="4"/>
        <v>21763.578056562033</v>
      </c>
      <c r="Q19" s="96">
        <f t="shared" si="5"/>
        <v>-11611.128056562035</v>
      </c>
      <c r="R19" s="69" t="s">
        <v>61</v>
      </c>
      <c r="S19" s="11"/>
    </row>
    <row r="20" spans="1:19" x14ac:dyDescent="0.25">
      <c r="A20" s="99" t="s">
        <v>5</v>
      </c>
      <c r="B20" s="62">
        <v>45536</v>
      </c>
      <c r="C20" s="63">
        <v>230</v>
      </c>
      <c r="D20" s="64">
        <f t="shared" si="0"/>
        <v>250</v>
      </c>
      <c r="E20" s="63">
        <v>60</v>
      </c>
      <c r="F20" s="68">
        <f>C20+D20-E20</f>
        <v>420</v>
      </c>
      <c r="G20" s="66">
        <v>6073</v>
      </c>
      <c r="H20" s="67">
        <v>6142</v>
      </c>
      <c r="I20" s="73">
        <f>H20-G20</f>
        <v>69</v>
      </c>
      <c r="J20" s="68">
        <v>0</v>
      </c>
      <c r="K20" s="68"/>
      <c r="L20" s="68">
        <v>195</v>
      </c>
      <c r="M20" s="68">
        <v>3.2</v>
      </c>
      <c r="N20" s="72">
        <f>F20/I20</f>
        <v>6.0869565217391308</v>
      </c>
      <c r="O20" s="73">
        <f>182.4*I20</f>
        <v>12585.6</v>
      </c>
      <c r="P20" s="66">
        <f t="shared" si="4"/>
        <v>21259.920418085949</v>
      </c>
      <c r="Q20" s="96">
        <f t="shared" si="5"/>
        <v>-8674.3204180859484</v>
      </c>
      <c r="R20" s="69" t="s">
        <v>68</v>
      </c>
      <c r="S20" s="11"/>
    </row>
    <row r="21" spans="1:19" ht="39.75" thickBot="1" x14ac:dyDescent="0.3">
      <c r="A21" s="101" t="s">
        <v>6</v>
      </c>
      <c r="B21" s="62">
        <v>45536</v>
      </c>
      <c r="C21" s="75">
        <v>230</v>
      </c>
      <c r="D21" s="76">
        <f t="shared" si="0"/>
        <v>229.82999999999998</v>
      </c>
      <c r="E21" s="75">
        <v>152</v>
      </c>
      <c r="F21" s="97">
        <f>C21+D21-E21</f>
        <v>307.83</v>
      </c>
      <c r="G21" s="77"/>
      <c r="H21" s="78"/>
      <c r="I21" s="78">
        <f>L21*0.7</f>
        <v>110.6</v>
      </c>
      <c r="J21" s="75">
        <v>0</v>
      </c>
      <c r="K21" s="79"/>
      <c r="L21" s="75">
        <v>158</v>
      </c>
      <c r="M21" s="75">
        <v>2.9</v>
      </c>
      <c r="N21" s="104">
        <f t="shared" si="2"/>
        <v>2.7832730560578662</v>
      </c>
      <c r="O21" s="73">
        <f>I21*165.3+28.5*K21</f>
        <v>18282.18</v>
      </c>
      <c r="P21" s="77">
        <f t="shared" si="4"/>
        <v>15582.003100712851</v>
      </c>
      <c r="Q21" s="80">
        <f t="shared" si="5"/>
        <v>2700.1768992871494</v>
      </c>
      <c r="R21" s="103" t="s">
        <v>64</v>
      </c>
    </row>
    <row r="22" spans="1:19" x14ac:dyDescent="0.25">
      <c r="A22" s="51"/>
      <c r="B22" s="51"/>
      <c r="C22" s="92">
        <f>SUM(C5:C21)</f>
        <v>2035</v>
      </c>
      <c r="D22" s="93">
        <f>SUM(D2:D21)</f>
        <v>10413.170000000002</v>
      </c>
      <c r="E22" s="92">
        <f>SUM(E2:E21)</f>
        <v>1583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25">
      <c r="A23" s="51"/>
      <c r="B23" s="51"/>
      <c r="C23" s="51"/>
      <c r="D23" s="106">
        <f>D22-B150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25">
      <c r="D25" s="17"/>
      <c r="J25" s="18" t="s">
        <v>39</v>
      </c>
      <c r="K25" s="19">
        <f>SUM(C30:C149)/B150</f>
        <v>50.618858138299878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21" t="s">
        <v>15</v>
      </c>
      <c r="B29" s="21" t="s">
        <v>41</v>
      </c>
      <c r="C29" s="21" t="s">
        <v>42</v>
      </c>
      <c r="D29" s="21" t="s">
        <v>43</v>
      </c>
    </row>
    <row r="30" spans="1:19" x14ac:dyDescent="0.25">
      <c r="A30" s="2" t="s">
        <v>12</v>
      </c>
      <c r="B30" s="3">
        <v>78.63</v>
      </c>
      <c r="C30" s="12">
        <f>B30*50.5</f>
        <v>3970.8149999999996</v>
      </c>
      <c r="D30" s="22" t="s">
        <v>44</v>
      </c>
    </row>
    <row r="31" spans="1:19" x14ac:dyDescent="0.25">
      <c r="A31" s="10" t="s">
        <v>12</v>
      </c>
      <c r="B31" s="9">
        <v>100</v>
      </c>
      <c r="C31" s="12">
        <f t="shared" ref="C31:C38" si="12">B31*50.5</f>
        <v>5050</v>
      </c>
      <c r="D31" s="22" t="s">
        <v>44</v>
      </c>
    </row>
    <row r="32" spans="1:19" x14ac:dyDescent="0.25">
      <c r="A32" s="10" t="s">
        <v>12</v>
      </c>
      <c r="B32" s="9">
        <v>100</v>
      </c>
      <c r="C32" s="12">
        <f t="shared" si="12"/>
        <v>5050</v>
      </c>
      <c r="D32" s="22" t="s">
        <v>44</v>
      </c>
    </row>
    <row r="33" spans="1:4" x14ac:dyDescent="0.25">
      <c r="A33" s="10" t="s">
        <v>12</v>
      </c>
      <c r="B33" s="9">
        <v>100</v>
      </c>
      <c r="C33" s="12">
        <f t="shared" si="12"/>
        <v>5050</v>
      </c>
      <c r="D33" s="22" t="s">
        <v>44</v>
      </c>
    </row>
    <row r="34" spans="1:4" x14ac:dyDescent="0.25">
      <c r="A34" s="10" t="s">
        <v>12</v>
      </c>
      <c r="B34" s="9">
        <v>97.24</v>
      </c>
      <c r="C34" s="12">
        <f t="shared" si="12"/>
        <v>4910.62</v>
      </c>
      <c r="D34" s="22" t="s">
        <v>44</v>
      </c>
    </row>
    <row r="35" spans="1:4" x14ac:dyDescent="0.25">
      <c r="A35" s="10" t="s">
        <v>12</v>
      </c>
      <c r="B35" s="9">
        <v>35.71</v>
      </c>
      <c r="C35" s="12">
        <f t="shared" si="12"/>
        <v>1803.355</v>
      </c>
      <c r="D35" s="22" t="s">
        <v>44</v>
      </c>
    </row>
    <row r="36" spans="1:4" x14ac:dyDescent="0.25">
      <c r="A36" s="10" t="s">
        <v>12</v>
      </c>
      <c r="B36" s="9">
        <v>100</v>
      </c>
      <c r="C36" s="12">
        <f t="shared" si="12"/>
        <v>5050</v>
      </c>
      <c r="D36" s="22" t="s">
        <v>44</v>
      </c>
    </row>
    <row r="37" spans="1:4" x14ac:dyDescent="0.25">
      <c r="A37" s="10" t="s">
        <v>12</v>
      </c>
      <c r="B37" s="9">
        <v>100</v>
      </c>
      <c r="C37" s="12">
        <f t="shared" si="12"/>
        <v>5050</v>
      </c>
      <c r="D37" s="22" t="s">
        <v>44</v>
      </c>
    </row>
    <row r="38" spans="1:4" x14ac:dyDescent="0.25">
      <c r="A38" s="10" t="s">
        <v>6</v>
      </c>
      <c r="B38" s="6">
        <v>100</v>
      </c>
      <c r="C38" s="12">
        <f t="shared" si="12"/>
        <v>5050</v>
      </c>
      <c r="D38" s="22" t="s">
        <v>44</v>
      </c>
    </row>
    <row r="39" spans="1:4" x14ac:dyDescent="0.25">
      <c r="A39" s="10" t="s">
        <v>6</v>
      </c>
      <c r="B39" s="6">
        <v>123.63</v>
      </c>
      <c r="C39" s="12">
        <f>B39*50.5</f>
        <v>6243.3149999999996</v>
      </c>
      <c r="D39" s="22" t="s">
        <v>44</v>
      </c>
    </row>
    <row r="40" spans="1:4" x14ac:dyDescent="0.25">
      <c r="A40" s="10" t="s">
        <v>6</v>
      </c>
      <c r="B40" s="6">
        <v>6.2</v>
      </c>
      <c r="C40" s="12">
        <f t="shared" ref="C40:C68" si="13">B40*50.5</f>
        <v>313.10000000000002</v>
      </c>
      <c r="D40" s="22" t="s">
        <v>44</v>
      </c>
    </row>
    <row r="41" spans="1:4" x14ac:dyDescent="0.25">
      <c r="A41" s="10" t="s">
        <v>35</v>
      </c>
      <c r="B41" s="6">
        <v>100</v>
      </c>
      <c r="C41" s="12">
        <f t="shared" si="13"/>
        <v>5050</v>
      </c>
      <c r="D41" s="22" t="s">
        <v>44</v>
      </c>
    </row>
    <row r="42" spans="1:4" x14ac:dyDescent="0.25">
      <c r="A42" s="10" t="s">
        <v>35</v>
      </c>
      <c r="B42" s="6">
        <v>100</v>
      </c>
      <c r="C42" s="12">
        <f t="shared" si="13"/>
        <v>5050</v>
      </c>
      <c r="D42" s="22" t="s">
        <v>44</v>
      </c>
    </row>
    <row r="43" spans="1:4" x14ac:dyDescent="0.25">
      <c r="A43" s="10" t="s">
        <v>35</v>
      </c>
      <c r="B43" s="6">
        <v>100</v>
      </c>
      <c r="C43" s="12">
        <f t="shared" si="13"/>
        <v>5050</v>
      </c>
      <c r="D43" s="22" t="s">
        <v>44</v>
      </c>
    </row>
    <row r="44" spans="1:4" x14ac:dyDescent="0.25">
      <c r="A44" s="10" t="s">
        <v>35</v>
      </c>
      <c r="B44" s="6">
        <v>153.22999999999999</v>
      </c>
      <c r="C44" s="12">
        <f t="shared" si="13"/>
        <v>7738.1149999999998</v>
      </c>
      <c r="D44" s="22" t="s">
        <v>44</v>
      </c>
    </row>
    <row r="45" spans="1:4" x14ac:dyDescent="0.25">
      <c r="A45" s="10" t="s">
        <v>35</v>
      </c>
      <c r="B45" s="6">
        <v>27.2</v>
      </c>
      <c r="C45" s="12">
        <f t="shared" si="13"/>
        <v>1373.6</v>
      </c>
      <c r="D45" s="22" t="s">
        <v>44</v>
      </c>
    </row>
    <row r="46" spans="1:4" x14ac:dyDescent="0.25">
      <c r="A46" s="10" t="s">
        <v>35</v>
      </c>
      <c r="B46" s="6">
        <v>100</v>
      </c>
      <c r="C46" s="12">
        <f t="shared" si="13"/>
        <v>5050</v>
      </c>
      <c r="D46" s="22" t="s">
        <v>44</v>
      </c>
    </row>
    <row r="47" spans="1:4" x14ac:dyDescent="0.25">
      <c r="A47" s="10" t="s">
        <v>11</v>
      </c>
      <c r="B47" s="6">
        <v>100</v>
      </c>
      <c r="C47" s="12">
        <f t="shared" si="13"/>
        <v>5050</v>
      </c>
      <c r="D47" s="22" t="s">
        <v>44</v>
      </c>
    </row>
    <row r="48" spans="1:4" x14ac:dyDescent="0.25">
      <c r="A48" s="10" t="s">
        <v>11</v>
      </c>
      <c r="B48" s="6">
        <v>109.49</v>
      </c>
      <c r="C48" s="12">
        <f t="shared" si="13"/>
        <v>5529.2449999999999</v>
      </c>
      <c r="D48" s="22" t="s">
        <v>44</v>
      </c>
    </row>
    <row r="49" spans="1:4" x14ac:dyDescent="0.25">
      <c r="A49" s="22" t="s">
        <v>11</v>
      </c>
      <c r="B49" s="9">
        <v>110</v>
      </c>
      <c r="C49" s="12">
        <f t="shared" si="13"/>
        <v>5555</v>
      </c>
      <c r="D49" s="22" t="s">
        <v>44</v>
      </c>
    </row>
    <row r="50" spans="1:4" x14ac:dyDescent="0.25">
      <c r="A50" s="10" t="s">
        <v>9</v>
      </c>
      <c r="B50" s="9">
        <v>4.2699999999999996</v>
      </c>
      <c r="C50" s="12">
        <f t="shared" si="13"/>
        <v>215.63499999999999</v>
      </c>
      <c r="D50" s="22" t="s">
        <v>44</v>
      </c>
    </row>
    <row r="51" spans="1:4" x14ac:dyDescent="0.25">
      <c r="A51" s="10" t="s">
        <v>9</v>
      </c>
      <c r="B51" s="9">
        <v>95.73</v>
      </c>
      <c r="C51" s="12">
        <f t="shared" si="13"/>
        <v>4834.3649999999998</v>
      </c>
      <c r="D51" s="22" t="s">
        <v>44</v>
      </c>
    </row>
    <row r="52" spans="1:4" x14ac:dyDescent="0.25">
      <c r="A52" s="10" t="s">
        <v>9</v>
      </c>
      <c r="B52" s="9">
        <v>100</v>
      </c>
      <c r="C52" s="12">
        <f t="shared" si="13"/>
        <v>5050</v>
      </c>
      <c r="D52" s="22" t="s">
        <v>44</v>
      </c>
    </row>
    <row r="53" spans="1:4" x14ac:dyDescent="0.25">
      <c r="A53" s="10" t="s">
        <v>9</v>
      </c>
      <c r="B53" s="9">
        <v>100</v>
      </c>
      <c r="C53" s="12">
        <f t="shared" si="13"/>
        <v>5050</v>
      </c>
      <c r="D53" s="22" t="s">
        <v>44</v>
      </c>
    </row>
    <row r="54" spans="1:4" x14ac:dyDescent="0.25">
      <c r="A54" s="10" t="s">
        <v>9</v>
      </c>
      <c r="B54" s="9">
        <v>100</v>
      </c>
      <c r="C54" s="12">
        <f t="shared" si="13"/>
        <v>5050</v>
      </c>
      <c r="D54" s="22" t="s">
        <v>44</v>
      </c>
    </row>
    <row r="55" spans="1:4" x14ac:dyDescent="0.25">
      <c r="A55" s="10" t="s">
        <v>9</v>
      </c>
      <c r="B55" s="9">
        <v>100</v>
      </c>
      <c r="C55" s="12">
        <f t="shared" si="13"/>
        <v>5050</v>
      </c>
      <c r="D55" s="22" t="s">
        <v>44</v>
      </c>
    </row>
    <row r="56" spans="1:4" x14ac:dyDescent="0.25">
      <c r="A56" s="10" t="s">
        <v>9</v>
      </c>
      <c r="B56" s="9">
        <v>104.12</v>
      </c>
      <c r="C56" s="12">
        <f t="shared" si="13"/>
        <v>5258.06</v>
      </c>
      <c r="D56" s="22" t="s">
        <v>44</v>
      </c>
    </row>
    <row r="57" spans="1:4" x14ac:dyDescent="0.25">
      <c r="A57" s="10" t="s">
        <v>9</v>
      </c>
      <c r="B57" s="9">
        <v>49.93</v>
      </c>
      <c r="C57" s="12">
        <f t="shared" si="13"/>
        <v>2521.4650000000001</v>
      </c>
      <c r="D57" s="22" t="s">
        <v>44</v>
      </c>
    </row>
    <row r="58" spans="1:4" x14ac:dyDescent="0.25">
      <c r="A58" s="10" t="s">
        <v>9</v>
      </c>
      <c r="B58" s="9">
        <v>190.73</v>
      </c>
      <c r="C58" s="12">
        <f t="shared" si="13"/>
        <v>9631.8649999999998</v>
      </c>
      <c r="D58" s="22" t="s">
        <v>44</v>
      </c>
    </row>
    <row r="59" spans="1:4" x14ac:dyDescent="0.25">
      <c r="A59" s="10" t="s">
        <v>9</v>
      </c>
      <c r="B59" s="9">
        <v>34.840000000000003</v>
      </c>
      <c r="C59" s="12">
        <f t="shared" si="13"/>
        <v>1759.42</v>
      </c>
      <c r="D59" s="22" t="s">
        <v>44</v>
      </c>
    </row>
    <row r="60" spans="1:4" x14ac:dyDescent="0.25">
      <c r="A60" s="10" t="s">
        <v>9</v>
      </c>
      <c r="B60" s="9">
        <v>190.71</v>
      </c>
      <c r="C60" s="12">
        <f t="shared" si="13"/>
        <v>9630.8549999999996</v>
      </c>
      <c r="D60" s="22" t="s">
        <v>44</v>
      </c>
    </row>
    <row r="61" spans="1:4" x14ac:dyDescent="0.25">
      <c r="A61" s="10" t="s">
        <v>9</v>
      </c>
      <c r="B61" s="9">
        <v>43.42</v>
      </c>
      <c r="C61" s="12">
        <f t="shared" si="13"/>
        <v>2192.71</v>
      </c>
      <c r="D61" s="22" t="s">
        <v>44</v>
      </c>
    </row>
    <row r="62" spans="1:4" x14ac:dyDescent="0.25">
      <c r="A62" s="10" t="s">
        <v>9</v>
      </c>
      <c r="B62" s="9">
        <v>198.13</v>
      </c>
      <c r="C62" s="12">
        <f t="shared" si="13"/>
        <v>10005.565000000001</v>
      </c>
      <c r="D62" s="22" t="s">
        <v>44</v>
      </c>
    </row>
    <row r="63" spans="1:4" x14ac:dyDescent="0.25">
      <c r="A63" s="10" t="s">
        <v>9</v>
      </c>
      <c r="B63" s="9">
        <v>29</v>
      </c>
      <c r="C63" s="12">
        <f t="shared" si="13"/>
        <v>1464.5</v>
      </c>
      <c r="D63" s="22" t="s">
        <v>44</v>
      </c>
    </row>
    <row r="64" spans="1:4" ht="15.75" thickBot="1" x14ac:dyDescent="0.3">
      <c r="A64" s="10" t="s">
        <v>9</v>
      </c>
      <c r="B64" s="9">
        <v>158</v>
      </c>
      <c r="C64" s="12">
        <f t="shared" si="13"/>
        <v>7979</v>
      </c>
      <c r="D64" s="22" t="s">
        <v>44</v>
      </c>
    </row>
    <row r="65" spans="1:5" hidden="1" x14ac:dyDescent="0.25">
      <c r="A65" s="22"/>
      <c r="B65" s="9"/>
      <c r="C65" s="12">
        <f t="shared" si="13"/>
        <v>0</v>
      </c>
      <c r="D65" s="22" t="s">
        <v>44</v>
      </c>
    </row>
    <row r="66" spans="1:5" hidden="1" x14ac:dyDescent="0.25">
      <c r="A66" s="22"/>
      <c r="B66" s="9"/>
      <c r="C66" s="12">
        <f t="shared" si="13"/>
        <v>0</v>
      </c>
      <c r="D66" s="22" t="s">
        <v>44</v>
      </c>
    </row>
    <row r="67" spans="1:5" hidden="1" x14ac:dyDescent="0.25">
      <c r="A67" s="22"/>
      <c r="B67" s="9"/>
      <c r="C67" s="12">
        <f t="shared" si="13"/>
        <v>0</v>
      </c>
      <c r="D67" s="22" t="s">
        <v>44</v>
      </c>
    </row>
    <row r="68" spans="1:5" hidden="1" x14ac:dyDescent="0.25">
      <c r="A68" s="22"/>
      <c r="B68" s="9"/>
      <c r="C68" s="12">
        <f t="shared" si="13"/>
        <v>0</v>
      </c>
      <c r="D68" s="22" t="s">
        <v>44</v>
      </c>
    </row>
    <row r="69" spans="1:5" hidden="1" x14ac:dyDescent="0.25">
      <c r="A69" s="22"/>
      <c r="B69" s="9"/>
      <c r="C69" s="12"/>
      <c r="D69" s="22" t="s">
        <v>44</v>
      </c>
    </row>
    <row r="70" spans="1:5" hidden="1" x14ac:dyDescent="0.25">
      <c r="A70" s="22"/>
      <c r="B70" s="9"/>
      <c r="C70" s="12"/>
      <c r="D70" s="22"/>
    </row>
    <row r="71" spans="1:5" ht="15.75" hidden="1" thickBot="1" x14ac:dyDescent="0.3">
      <c r="A71" s="22"/>
      <c r="B71" s="9"/>
      <c r="C71" s="12"/>
      <c r="D71" s="22"/>
    </row>
    <row r="72" spans="1:5" ht="15.75" thickBot="1" x14ac:dyDescent="0.3">
      <c r="A72" s="13"/>
      <c r="B72" s="14"/>
      <c r="C72" s="15"/>
      <c r="D72" s="23"/>
      <c r="E72" s="24">
        <f>SUM(C30:C72)</f>
        <v>168680.60500000001</v>
      </c>
    </row>
    <row r="73" spans="1:5" x14ac:dyDescent="0.25">
      <c r="A73" s="2" t="s">
        <v>5</v>
      </c>
      <c r="B73" s="3">
        <v>100</v>
      </c>
      <c r="C73" s="4">
        <v>5349</v>
      </c>
      <c r="D73" s="25" t="s">
        <v>45</v>
      </c>
    </row>
    <row r="74" spans="1:5" x14ac:dyDescent="0.25">
      <c r="A74" s="10" t="s">
        <v>5</v>
      </c>
      <c r="B74" s="6">
        <v>100</v>
      </c>
      <c r="C74" s="7">
        <v>5349</v>
      </c>
      <c r="D74" s="26" t="s">
        <v>45</v>
      </c>
    </row>
    <row r="75" spans="1:5" x14ac:dyDescent="0.25">
      <c r="A75" s="10" t="s">
        <v>5</v>
      </c>
      <c r="B75" s="6">
        <v>50</v>
      </c>
      <c r="C75" s="7">
        <v>2674.5</v>
      </c>
      <c r="D75" s="26" t="s">
        <v>45</v>
      </c>
    </row>
    <row r="76" spans="1:5" x14ac:dyDescent="0.25">
      <c r="A76" s="27" t="s">
        <v>8</v>
      </c>
      <c r="B76" s="6">
        <v>140</v>
      </c>
      <c r="C76" s="7">
        <v>7488.6</v>
      </c>
      <c r="D76" s="26" t="s">
        <v>45</v>
      </c>
    </row>
    <row r="77" spans="1:5" x14ac:dyDescent="0.25">
      <c r="A77" s="27" t="s">
        <v>37</v>
      </c>
      <c r="B77" s="6">
        <v>60.49</v>
      </c>
      <c r="C77" s="7">
        <v>3235.61</v>
      </c>
      <c r="D77" s="26" t="s">
        <v>45</v>
      </c>
    </row>
    <row r="78" spans="1:5" x14ac:dyDescent="0.25">
      <c r="A78" s="27" t="s">
        <v>37</v>
      </c>
      <c r="B78" s="6">
        <v>17.649999999999999</v>
      </c>
      <c r="C78" s="7">
        <v>944.1</v>
      </c>
      <c r="D78" s="26" t="s">
        <v>45</v>
      </c>
    </row>
    <row r="79" spans="1:5" x14ac:dyDescent="0.25">
      <c r="A79" s="27" t="s">
        <v>37</v>
      </c>
      <c r="B79" s="6">
        <v>21.81</v>
      </c>
      <c r="C79" s="7">
        <v>1166.6199999999999</v>
      </c>
      <c r="D79" s="26" t="s">
        <v>45</v>
      </c>
    </row>
    <row r="80" spans="1:5" x14ac:dyDescent="0.25">
      <c r="A80" s="27" t="s">
        <v>37</v>
      </c>
      <c r="B80" s="6">
        <v>100</v>
      </c>
      <c r="C80" s="7">
        <v>5349</v>
      </c>
      <c r="D80" s="26" t="s">
        <v>45</v>
      </c>
    </row>
    <row r="81" spans="1:4" x14ac:dyDescent="0.25">
      <c r="A81" s="27" t="s">
        <v>37</v>
      </c>
      <c r="B81" s="6">
        <v>100</v>
      </c>
      <c r="C81" s="7">
        <v>5349</v>
      </c>
      <c r="D81" s="26" t="s">
        <v>45</v>
      </c>
    </row>
    <row r="82" spans="1:4" x14ac:dyDescent="0.25">
      <c r="A82" s="27" t="s">
        <v>13</v>
      </c>
      <c r="B82" s="6">
        <v>100</v>
      </c>
      <c r="C82" s="7">
        <v>5349</v>
      </c>
      <c r="D82" s="26" t="s">
        <v>45</v>
      </c>
    </row>
    <row r="83" spans="1:4" x14ac:dyDescent="0.25">
      <c r="A83" s="27" t="s">
        <v>13</v>
      </c>
      <c r="B83" s="6">
        <v>100</v>
      </c>
      <c r="C83" s="7">
        <v>5349</v>
      </c>
      <c r="D83" s="26" t="s">
        <v>45</v>
      </c>
    </row>
    <row r="84" spans="1:4" x14ac:dyDescent="0.25">
      <c r="A84" s="27" t="s">
        <v>13</v>
      </c>
      <c r="B84" s="6">
        <v>100</v>
      </c>
      <c r="C84" s="7">
        <v>5349</v>
      </c>
      <c r="D84" s="26" t="s">
        <v>45</v>
      </c>
    </row>
    <row r="85" spans="1:4" x14ac:dyDescent="0.25">
      <c r="A85" s="27" t="s">
        <v>13</v>
      </c>
      <c r="B85" s="6">
        <v>100</v>
      </c>
      <c r="C85" s="7">
        <v>5349</v>
      </c>
      <c r="D85" s="26" t="s">
        <v>45</v>
      </c>
    </row>
    <row r="86" spans="1:4" x14ac:dyDescent="0.25">
      <c r="A86" s="27" t="s">
        <v>10</v>
      </c>
      <c r="B86" s="6">
        <v>100</v>
      </c>
      <c r="C86" s="7">
        <v>5349</v>
      </c>
      <c r="D86" s="26" t="s">
        <v>45</v>
      </c>
    </row>
    <row r="87" spans="1:4" x14ac:dyDescent="0.25">
      <c r="A87" s="27" t="s">
        <v>10</v>
      </c>
      <c r="B87" s="6">
        <v>100</v>
      </c>
      <c r="C87" s="7">
        <v>5349</v>
      </c>
      <c r="D87" s="26" t="s">
        <v>45</v>
      </c>
    </row>
    <row r="88" spans="1:4" x14ac:dyDescent="0.25">
      <c r="A88" s="27" t="s">
        <v>10</v>
      </c>
      <c r="B88" s="6">
        <v>100</v>
      </c>
      <c r="C88" s="7">
        <v>5349</v>
      </c>
      <c r="D88" s="26" t="s">
        <v>45</v>
      </c>
    </row>
    <row r="89" spans="1:4" x14ac:dyDescent="0.25">
      <c r="A89" s="27" t="s">
        <v>10</v>
      </c>
      <c r="B89" s="6">
        <v>52</v>
      </c>
      <c r="C89" s="7">
        <v>2781.48</v>
      </c>
      <c r="D89" s="26" t="s">
        <v>45</v>
      </c>
    </row>
    <row r="90" spans="1:4" x14ac:dyDescent="0.25">
      <c r="A90" s="27" t="s">
        <v>10</v>
      </c>
      <c r="B90" s="6">
        <v>23.34</v>
      </c>
      <c r="C90" s="7">
        <v>1248.46</v>
      </c>
      <c r="D90" s="26" t="s">
        <v>45</v>
      </c>
    </row>
    <row r="91" spans="1:4" x14ac:dyDescent="0.25">
      <c r="A91" s="27" t="s">
        <v>10</v>
      </c>
      <c r="B91" s="6">
        <v>100</v>
      </c>
      <c r="C91" s="7">
        <v>5349</v>
      </c>
      <c r="D91" s="26" t="s">
        <v>45</v>
      </c>
    </row>
    <row r="92" spans="1:4" x14ac:dyDescent="0.25">
      <c r="A92" s="27" t="s">
        <v>10</v>
      </c>
      <c r="B92" s="6">
        <v>100</v>
      </c>
      <c r="C92" s="7">
        <v>5349</v>
      </c>
      <c r="D92" s="26" t="s">
        <v>45</v>
      </c>
    </row>
    <row r="93" spans="1:4" x14ac:dyDescent="0.25">
      <c r="A93" s="27" t="s">
        <v>10</v>
      </c>
      <c r="B93" s="6">
        <v>100</v>
      </c>
      <c r="C93" s="7">
        <v>5349</v>
      </c>
      <c r="D93" s="26" t="s">
        <v>45</v>
      </c>
    </row>
    <row r="94" spans="1:4" x14ac:dyDescent="0.25">
      <c r="A94" s="27" t="s">
        <v>10</v>
      </c>
      <c r="B94" s="6">
        <v>100</v>
      </c>
      <c r="C94" s="7">
        <v>5349</v>
      </c>
      <c r="D94" s="26" t="s">
        <v>45</v>
      </c>
    </row>
    <row r="95" spans="1:4" x14ac:dyDescent="0.25">
      <c r="A95" s="27" t="s">
        <v>34</v>
      </c>
      <c r="B95" s="6">
        <v>100</v>
      </c>
      <c r="C95" s="7">
        <v>5349</v>
      </c>
      <c r="D95" s="26" t="s">
        <v>45</v>
      </c>
    </row>
    <row r="96" spans="1:4" x14ac:dyDescent="0.25">
      <c r="A96" s="27" t="s">
        <v>34</v>
      </c>
      <c r="B96" s="6">
        <v>60.9</v>
      </c>
      <c r="C96" s="7">
        <v>3257.54</v>
      </c>
      <c r="D96" s="26" t="s">
        <v>45</v>
      </c>
    </row>
    <row r="97" spans="1:5" x14ac:dyDescent="0.25">
      <c r="A97" s="27"/>
      <c r="B97" s="6"/>
      <c r="C97" s="7"/>
      <c r="D97" s="26" t="s">
        <v>45</v>
      </c>
    </row>
    <row r="98" spans="1:5" x14ac:dyDescent="0.25">
      <c r="A98" s="27"/>
      <c r="B98" s="6"/>
      <c r="C98" s="7"/>
      <c r="D98" s="26" t="s">
        <v>45</v>
      </c>
    </row>
    <row r="99" spans="1:5" x14ac:dyDescent="0.25">
      <c r="A99" s="27"/>
      <c r="B99" s="6"/>
      <c r="C99" s="7"/>
      <c r="D99" s="26" t="s">
        <v>45</v>
      </c>
    </row>
    <row r="100" spans="1:5" x14ac:dyDescent="0.25">
      <c r="A100" s="27"/>
      <c r="B100" s="6"/>
      <c r="C100" s="7"/>
      <c r="D100" s="26" t="s">
        <v>45</v>
      </c>
    </row>
    <row r="101" spans="1:5" x14ac:dyDescent="0.25">
      <c r="A101" s="27"/>
      <c r="B101" s="6"/>
      <c r="C101" s="7"/>
      <c r="D101" s="26" t="s">
        <v>45</v>
      </c>
    </row>
    <row r="102" spans="1:5" ht="15.75" thickBot="1" x14ac:dyDescent="0.3">
      <c r="A102" s="27"/>
      <c r="B102" s="6"/>
      <c r="C102" s="7"/>
      <c r="D102" s="26" t="s">
        <v>45</v>
      </c>
    </row>
    <row r="103" spans="1:5" ht="15.75" thickBot="1" x14ac:dyDescent="0.3">
      <c r="A103" s="27"/>
      <c r="B103" s="6"/>
      <c r="C103" s="7"/>
      <c r="D103" s="28"/>
      <c r="E103" s="24">
        <f>SUM(C73:C103)</f>
        <v>108380.90999999999</v>
      </c>
    </row>
    <row r="104" spans="1:5" x14ac:dyDescent="0.25">
      <c r="A104" s="2"/>
      <c r="B104" s="5"/>
      <c r="C104" s="29"/>
      <c r="D104" s="25" t="s">
        <v>46</v>
      </c>
    </row>
    <row r="105" spans="1:5" x14ac:dyDescent="0.25">
      <c r="A105" s="10"/>
      <c r="B105" s="9"/>
      <c r="C105" s="12"/>
      <c r="D105" s="26" t="s">
        <v>46</v>
      </c>
    </row>
    <row r="106" spans="1:5" ht="15.75" thickBot="1" x14ac:dyDescent="0.3">
      <c r="A106" s="27"/>
      <c r="B106" s="6"/>
      <c r="C106" s="8"/>
      <c r="D106" s="26" t="s">
        <v>46</v>
      </c>
    </row>
    <row r="107" spans="1:5" ht="15.75" thickBot="1" x14ac:dyDescent="0.3">
      <c r="A107" s="13"/>
      <c r="B107" s="14"/>
      <c r="C107" s="16"/>
      <c r="D107" s="23" t="s">
        <v>46</v>
      </c>
      <c r="E107" s="24">
        <f>SUM(C104:C107)</f>
        <v>0</v>
      </c>
    </row>
    <row r="108" spans="1:5" x14ac:dyDescent="0.25">
      <c r="A108" s="10" t="s">
        <v>7</v>
      </c>
      <c r="B108" s="6">
        <v>165.3</v>
      </c>
      <c r="C108" s="7">
        <v>8098.05</v>
      </c>
      <c r="D108" s="22" t="s">
        <v>47</v>
      </c>
    </row>
    <row r="109" spans="1:5" x14ac:dyDescent="0.25">
      <c r="A109" s="22" t="s">
        <v>30</v>
      </c>
      <c r="B109" s="9">
        <f>100+100</f>
        <v>200</v>
      </c>
      <c r="C109" s="12">
        <f>4899+5599</f>
        <v>10498</v>
      </c>
      <c r="D109" s="22" t="s">
        <v>47</v>
      </c>
    </row>
    <row r="110" spans="1:5" x14ac:dyDescent="0.25">
      <c r="A110" s="22" t="s">
        <v>30</v>
      </c>
      <c r="B110" s="9">
        <v>200</v>
      </c>
      <c r="C110" s="12">
        <v>9798</v>
      </c>
      <c r="D110" s="22" t="s">
        <v>47</v>
      </c>
    </row>
    <row r="111" spans="1:5" x14ac:dyDescent="0.25">
      <c r="A111" s="22" t="s">
        <v>60</v>
      </c>
      <c r="B111" s="9">
        <v>100</v>
      </c>
      <c r="C111" s="12">
        <v>4899</v>
      </c>
      <c r="D111" s="22" t="s">
        <v>47</v>
      </c>
    </row>
    <row r="112" spans="1:5" x14ac:dyDescent="0.25">
      <c r="A112" s="22" t="s">
        <v>60</v>
      </c>
      <c r="B112" s="9">
        <v>120</v>
      </c>
      <c r="C112" s="12">
        <v>5878.8</v>
      </c>
      <c r="D112" s="22" t="s">
        <v>47</v>
      </c>
    </row>
    <row r="113" spans="1:7" x14ac:dyDescent="0.25">
      <c r="A113" s="27" t="s">
        <v>60</v>
      </c>
      <c r="B113" s="105">
        <v>182.46</v>
      </c>
      <c r="C113" s="7">
        <v>8938.7099999999991</v>
      </c>
      <c r="D113" s="22" t="s">
        <v>47</v>
      </c>
    </row>
    <row r="114" spans="1:7" x14ac:dyDescent="0.25">
      <c r="A114" s="27" t="s">
        <v>60</v>
      </c>
      <c r="B114" s="105">
        <v>160.74</v>
      </c>
      <c r="C114" s="7">
        <v>7874.65</v>
      </c>
      <c r="D114" s="22" t="s">
        <v>47</v>
      </c>
    </row>
    <row r="115" spans="1:7" x14ac:dyDescent="0.25">
      <c r="A115" s="27" t="s">
        <v>60</v>
      </c>
      <c r="B115" s="105">
        <f>176.82+200</f>
        <v>376.82</v>
      </c>
      <c r="C115" s="7">
        <f>8662.41+11198</f>
        <v>19860.41</v>
      </c>
      <c r="D115" s="22" t="s">
        <v>47</v>
      </c>
    </row>
    <row r="116" spans="1:7" x14ac:dyDescent="0.25">
      <c r="A116" s="27" t="s">
        <v>14</v>
      </c>
      <c r="B116" s="105">
        <f>258.66+100</f>
        <v>358.66</v>
      </c>
      <c r="C116" s="7">
        <f>12671.75+5599</f>
        <v>18270.75</v>
      </c>
      <c r="D116" s="22" t="s">
        <v>47</v>
      </c>
    </row>
    <row r="117" spans="1:7" x14ac:dyDescent="0.25">
      <c r="A117" s="27" t="s">
        <v>14</v>
      </c>
      <c r="B117" s="105">
        <v>132.71</v>
      </c>
      <c r="C117" s="7">
        <v>6501.46</v>
      </c>
      <c r="D117" s="22" t="s">
        <v>47</v>
      </c>
    </row>
    <row r="118" spans="1:7" x14ac:dyDescent="0.25">
      <c r="A118" s="27"/>
      <c r="B118" s="105"/>
      <c r="C118" s="7"/>
      <c r="D118" s="22" t="s">
        <v>47</v>
      </c>
    </row>
    <row r="119" spans="1:7" ht="15.75" thickBot="1" x14ac:dyDescent="0.3">
      <c r="A119" s="27"/>
      <c r="B119" s="105"/>
      <c r="C119" s="7"/>
      <c r="D119" s="22"/>
    </row>
    <row r="120" spans="1:7" ht="15.75" thickBot="1" x14ac:dyDescent="0.3">
      <c r="A120" s="13"/>
      <c r="B120" s="14"/>
      <c r="C120" s="15"/>
      <c r="D120" s="22"/>
      <c r="E120" s="24">
        <f>SUM(C108:C120)</f>
        <v>100617.83000000002</v>
      </c>
      <c r="G120" s="20"/>
    </row>
    <row r="121" spans="1:7" ht="15.75" thickBot="1" x14ac:dyDescent="0.3">
      <c r="A121" s="13" t="s">
        <v>9</v>
      </c>
      <c r="B121" s="14"/>
      <c r="C121" s="15"/>
      <c r="D121" s="22" t="s">
        <v>46</v>
      </c>
      <c r="E121" s="24">
        <f>SUM(C121:C121)</f>
        <v>0</v>
      </c>
      <c r="F121" s="30"/>
      <c r="G121" s="30"/>
    </row>
    <row r="122" spans="1:7" x14ac:dyDescent="0.25">
      <c r="A122" s="27" t="s">
        <v>34</v>
      </c>
      <c r="B122" s="3">
        <v>160</v>
      </c>
      <c r="C122" s="4">
        <v>7838.4</v>
      </c>
      <c r="D122" s="22" t="s">
        <v>48</v>
      </c>
    </row>
    <row r="123" spans="1:7" x14ac:dyDescent="0.25">
      <c r="A123" s="27" t="s">
        <v>34</v>
      </c>
      <c r="B123" s="6">
        <v>160</v>
      </c>
      <c r="C123" s="7">
        <v>7838.4</v>
      </c>
      <c r="D123" s="22" t="s">
        <v>48</v>
      </c>
    </row>
    <row r="124" spans="1:7" x14ac:dyDescent="0.25">
      <c r="A124" s="10" t="s">
        <v>34</v>
      </c>
      <c r="B124" s="6">
        <v>240.07</v>
      </c>
      <c r="C124" s="7">
        <v>11761.03</v>
      </c>
      <c r="D124" s="22" t="s">
        <v>48</v>
      </c>
    </row>
    <row r="125" spans="1:7" x14ac:dyDescent="0.25">
      <c r="A125" s="10" t="s">
        <v>34</v>
      </c>
      <c r="B125" s="6">
        <v>240</v>
      </c>
      <c r="C125" s="7">
        <v>11757.6</v>
      </c>
      <c r="D125" s="22" t="s">
        <v>48</v>
      </c>
    </row>
    <row r="126" spans="1:7" x14ac:dyDescent="0.25">
      <c r="A126" s="10" t="s">
        <v>34</v>
      </c>
      <c r="B126" s="6">
        <v>160</v>
      </c>
      <c r="C126" s="7">
        <v>7838.4</v>
      </c>
      <c r="D126" s="22" t="s">
        <v>48</v>
      </c>
    </row>
    <row r="127" spans="1:7" x14ac:dyDescent="0.25">
      <c r="A127" s="10" t="s">
        <v>34</v>
      </c>
      <c r="B127" s="6">
        <v>-138.30000000000001</v>
      </c>
      <c r="C127" s="7">
        <v>-6775.32</v>
      </c>
      <c r="D127" s="22" t="s">
        <v>48</v>
      </c>
    </row>
    <row r="128" spans="1:7" x14ac:dyDescent="0.25">
      <c r="A128" s="10" t="s">
        <v>34</v>
      </c>
      <c r="B128" s="6">
        <v>138.30000000000001</v>
      </c>
      <c r="C128" s="7">
        <v>6775.32</v>
      </c>
      <c r="D128" s="22" t="s">
        <v>48</v>
      </c>
    </row>
    <row r="129" spans="1:4" x14ac:dyDescent="0.25">
      <c r="A129" s="10" t="s">
        <v>34</v>
      </c>
      <c r="B129" s="6">
        <v>310.08999999999997</v>
      </c>
      <c r="C129" s="7">
        <v>15191.31</v>
      </c>
      <c r="D129" s="22" t="s">
        <v>48</v>
      </c>
    </row>
    <row r="130" spans="1:4" x14ac:dyDescent="0.25">
      <c r="A130" s="10" t="s">
        <v>34</v>
      </c>
      <c r="B130" s="6">
        <v>243.18</v>
      </c>
      <c r="C130" s="7">
        <v>11913.39</v>
      </c>
      <c r="D130" s="22" t="s">
        <v>48</v>
      </c>
    </row>
    <row r="131" spans="1:4" x14ac:dyDescent="0.25">
      <c r="A131" s="10" t="s">
        <v>34</v>
      </c>
      <c r="B131" s="6">
        <v>156.81</v>
      </c>
      <c r="C131" s="7">
        <v>7682.12</v>
      </c>
      <c r="D131" s="22" t="s">
        <v>48</v>
      </c>
    </row>
    <row r="132" spans="1:4" x14ac:dyDescent="0.25">
      <c r="A132" s="10" t="s">
        <v>12</v>
      </c>
      <c r="B132" s="6">
        <v>263.3</v>
      </c>
      <c r="C132" s="7">
        <v>12899.07</v>
      </c>
      <c r="D132" s="22" t="s">
        <v>48</v>
      </c>
    </row>
    <row r="133" spans="1:4" x14ac:dyDescent="0.25">
      <c r="A133" s="10" t="s">
        <v>14</v>
      </c>
      <c r="B133" s="6">
        <v>100</v>
      </c>
      <c r="C133" s="7">
        <v>4899</v>
      </c>
      <c r="D133" s="22" t="s">
        <v>48</v>
      </c>
    </row>
    <row r="134" spans="1:4" x14ac:dyDescent="0.25">
      <c r="A134" s="10" t="s">
        <v>14</v>
      </c>
      <c r="B134" s="6">
        <v>100</v>
      </c>
      <c r="C134" s="7">
        <v>4899</v>
      </c>
      <c r="D134" s="22" t="s">
        <v>48</v>
      </c>
    </row>
    <row r="135" spans="1:4" x14ac:dyDescent="0.25">
      <c r="A135" s="10" t="s">
        <v>14</v>
      </c>
      <c r="B135" s="6">
        <v>100</v>
      </c>
      <c r="C135" s="7">
        <v>4899</v>
      </c>
      <c r="D135" s="22" t="s">
        <v>48</v>
      </c>
    </row>
    <row r="136" spans="1:4" x14ac:dyDescent="0.25">
      <c r="A136" s="10" t="s">
        <v>14</v>
      </c>
      <c r="B136" s="6">
        <v>60</v>
      </c>
      <c r="C136" s="7">
        <v>2939.4</v>
      </c>
      <c r="D136" s="22" t="s">
        <v>48</v>
      </c>
    </row>
    <row r="137" spans="1:4" x14ac:dyDescent="0.25">
      <c r="A137" s="10" t="s">
        <v>14</v>
      </c>
      <c r="B137" s="6">
        <v>60</v>
      </c>
      <c r="C137" s="7">
        <v>2939.4</v>
      </c>
      <c r="D137" s="22" t="s">
        <v>48</v>
      </c>
    </row>
    <row r="138" spans="1:4" x14ac:dyDescent="0.25">
      <c r="A138" s="10" t="s">
        <v>14</v>
      </c>
      <c r="B138" s="6">
        <v>200</v>
      </c>
      <c r="C138" s="7">
        <v>9798</v>
      </c>
      <c r="D138" s="22" t="s">
        <v>48</v>
      </c>
    </row>
    <row r="139" spans="1:4" x14ac:dyDescent="0.25">
      <c r="A139" s="10" t="s">
        <v>7</v>
      </c>
      <c r="B139" s="6">
        <v>100</v>
      </c>
      <c r="C139" s="7">
        <v>4899</v>
      </c>
      <c r="D139" s="22" t="s">
        <v>48</v>
      </c>
    </row>
    <row r="140" spans="1:4" x14ac:dyDescent="0.25">
      <c r="A140" s="10" t="s">
        <v>7</v>
      </c>
      <c r="B140" s="6">
        <v>100</v>
      </c>
      <c r="C140" s="7">
        <v>4899</v>
      </c>
      <c r="D140" s="22" t="s">
        <v>48</v>
      </c>
    </row>
    <row r="141" spans="1:4" x14ac:dyDescent="0.25">
      <c r="A141" s="10" t="s">
        <v>7</v>
      </c>
      <c r="B141" s="6">
        <v>100</v>
      </c>
      <c r="C141" s="7">
        <v>4899</v>
      </c>
      <c r="D141" s="22" t="s">
        <v>48</v>
      </c>
    </row>
    <row r="142" spans="1:4" x14ac:dyDescent="0.25">
      <c r="A142" s="10" t="s">
        <v>7</v>
      </c>
      <c r="B142" s="6">
        <v>70.08</v>
      </c>
      <c r="C142" s="7">
        <v>3433.22</v>
      </c>
      <c r="D142" s="22" t="s">
        <v>48</v>
      </c>
    </row>
    <row r="143" spans="1:4" x14ac:dyDescent="0.25">
      <c r="A143" s="10" t="s">
        <v>7</v>
      </c>
      <c r="B143" s="6">
        <v>12.08</v>
      </c>
      <c r="C143" s="7">
        <v>591.79999999999995</v>
      </c>
      <c r="D143" s="22" t="s">
        <v>48</v>
      </c>
    </row>
    <row r="144" spans="1:4" x14ac:dyDescent="0.25">
      <c r="A144" s="10" t="s">
        <v>8</v>
      </c>
      <c r="B144" s="6">
        <v>114.47</v>
      </c>
      <c r="C144" s="7">
        <v>5607.89</v>
      </c>
      <c r="D144" s="22" t="s">
        <v>48</v>
      </c>
    </row>
    <row r="145" spans="1:7" x14ac:dyDescent="0.25">
      <c r="A145" s="10"/>
      <c r="B145" s="6"/>
      <c r="C145" s="7"/>
      <c r="D145" s="22" t="s">
        <v>48</v>
      </c>
    </row>
    <row r="146" spans="1:7" x14ac:dyDescent="0.25">
      <c r="A146" s="10"/>
      <c r="B146" s="6"/>
      <c r="C146" s="7"/>
      <c r="D146" s="22" t="s">
        <v>48</v>
      </c>
    </row>
    <row r="147" spans="1:7" x14ac:dyDescent="0.25">
      <c r="A147" s="10"/>
      <c r="B147" s="6"/>
      <c r="C147" s="7"/>
      <c r="D147" s="22" t="s">
        <v>48</v>
      </c>
    </row>
    <row r="148" spans="1:7" ht="15.75" thickBot="1" x14ac:dyDescent="0.3">
      <c r="A148" s="10"/>
      <c r="B148" s="6"/>
      <c r="C148" s="7"/>
      <c r="D148" s="22" t="s">
        <v>48</v>
      </c>
    </row>
    <row r="149" spans="1:7" ht="15.75" thickBot="1" x14ac:dyDescent="0.3">
      <c r="A149" s="13"/>
      <c r="B149" s="14"/>
      <c r="C149" s="15"/>
      <c r="D149" s="22" t="s">
        <v>48</v>
      </c>
      <c r="E149" s="31">
        <f>SUM(C122:C149)</f>
        <v>149423.43</v>
      </c>
      <c r="F149" s="30"/>
      <c r="G149" s="30"/>
    </row>
    <row r="150" spans="1:7" ht="15.75" thickBot="1" x14ac:dyDescent="0.3">
      <c r="A150" s="32"/>
      <c r="B150" s="33">
        <f>SUM(B30:B149)</f>
        <v>10413.169999999998</v>
      </c>
      <c r="C150" s="34">
        <f>SUM(C30:C149)</f>
        <v>527102.77500000002</v>
      </c>
    </row>
    <row r="151" spans="1:7" x14ac:dyDescent="0.25">
      <c r="C151" s="30"/>
    </row>
    <row r="152" spans="1:7" x14ac:dyDescent="0.25">
      <c r="C152" s="30"/>
    </row>
  </sheetData>
  <autoFilter ref="A1:Q23" xr:uid="{00000000-0009-0000-0000-000003000000}"/>
  <mergeCells count="1">
    <mergeCell ref="A28:D28"/>
  </mergeCells>
  <conditionalFormatting sqref="F1:F21">
    <cfRule type="cellIs" dxfId="36" priority="1" operator="lessThan">
      <formula>0</formula>
    </cfRule>
  </conditionalFormatting>
  <conditionalFormatting sqref="I20">
    <cfRule type="cellIs" dxfId="35" priority="2" operator="greaterThanOrEqual">
      <formula>500</formula>
    </cfRule>
    <cfRule type="cellIs" dxfId="34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5"/>
  <sheetViews>
    <sheetView zoomScaleNormal="100" workbookViewId="0">
      <selection activeCell="E5" sqref="E5:E20"/>
    </sheetView>
  </sheetViews>
  <sheetFormatPr defaultRowHeight="15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hidden="1" customWidth="1" outlineLevel="1"/>
    <col min="8" max="8" width="8.85546875" hidden="1" customWidth="1" outlineLevel="1"/>
    <col min="9" max="9" width="8.85546875" collapsed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7" width="8.85546875" customWidth="1" outlineLevel="1"/>
    <col min="18" max="18" width="22.710937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42" t="s">
        <v>26</v>
      </c>
      <c r="P1" s="42" t="s">
        <v>27</v>
      </c>
      <c r="Q1" s="42" t="s">
        <v>28</v>
      </c>
      <c r="R1" s="42" t="s">
        <v>4</v>
      </c>
    </row>
    <row r="2" spans="1:19" ht="15.75" hidden="1" thickBot="1" x14ac:dyDescent="0.3">
      <c r="A2" s="43" t="s">
        <v>29</v>
      </c>
      <c r="B2" s="44">
        <v>45474</v>
      </c>
      <c r="C2" s="45">
        <v>80</v>
      </c>
      <c r="D2" s="46">
        <f t="shared" ref="D2:D21" si="0">SUMIF($A$30:$A$112,A2,$B$30:$B$112)</f>
        <v>0</v>
      </c>
      <c r="E2" s="45"/>
      <c r="F2" s="47">
        <f>C2+D2-E2</f>
        <v>80</v>
      </c>
      <c r="G2" s="48">
        <f>'[4]Июнь 2024 '!H2</f>
        <v>14075</v>
      </c>
      <c r="H2" s="49"/>
      <c r="I2" s="49">
        <f>H2-G2</f>
        <v>-14075</v>
      </c>
      <c r="J2" s="45">
        <v>0</v>
      </c>
      <c r="K2" s="45"/>
      <c r="L2" s="45">
        <v>0</v>
      </c>
      <c r="M2" s="45">
        <f>VLOOKUP(A2,[4]Тарас!$C$4:$P$23,14,0)</f>
        <v>3.4</v>
      </c>
      <c r="N2" s="50"/>
      <c r="O2" s="48">
        <f>194.94*I2</f>
        <v>-2743780.5</v>
      </c>
      <c r="P2" s="48">
        <f>F2*$K$25</f>
        <v>4116.5560862552693</v>
      </c>
      <c r="Q2" s="48">
        <f>O2-P2</f>
        <v>-2747897.0560862552</v>
      </c>
      <c r="R2" s="48"/>
    </row>
    <row r="3" spans="1:19" x14ac:dyDescent="0.25">
      <c r="A3" s="52" t="s">
        <v>30</v>
      </c>
      <c r="B3" s="53">
        <v>45474</v>
      </c>
      <c r="C3" s="54">
        <v>120</v>
      </c>
      <c r="D3" s="55">
        <f t="shared" si="0"/>
        <v>100</v>
      </c>
      <c r="E3" s="54">
        <v>40</v>
      </c>
      <c r="F3" s="56">
        <f>C3+D3-E3</f>
        <v>180</v>
      </c>
      <c r="G3" s="57">
        <v>10647</v>
      </c>
      <c r="H3" s="58">
        <v>10718</v>
      </c>
      <c r="I3" s="58">
        <f t="shared" ref="I3:I19" si="1">H3-G3</f>
        <v>71</v>
      </c>
      <c r="J3" s="59">
        <v>0</v>
      </c>
      <c r="K3" s="59"/>
      <c r="L3" s="59">
        <v>82</v>
      </c>
      <c r="M3" s="59">
        <v>3.4</v>
      </c>
      <c r="N3" s="94">
        <f>F3/I3</f>
        <v>2.535211267605634</v>
      </c>
      <c r="O3" s="57">
        <f>194.94*I3</f>
        <v>13840.74</v>
      </c>
      <c r="P3" s="57">
        <f>F3*$K$25</f>
        <v>9262.2511940743552</v>
      </c>
      <c r="Q3" s="60">
        <f>O3-P3</f>
        <v>4578.4888059256446</v>
      </c>
      <c r="R3" s="60"/>
    </row>
    <row r="4" spans="1:19" ht="14.45" hidden="1" customHeight="1" x14ac:dyDescent="0.25">
      <c r="A4" s="61" t="s">
        <v>31</v>
      </c>
      <c r="B4" s="62">
        <v>45474</v>
      </c>
      <c r="C4" s="63">
        <v>0</v>
      </c>
      <c r="D4" s="64">
        <f t="shared" si="0"/>
        <v>0</v>
      </c>
      <c r="E4" s="63"/>
      <c r="F4" s="65">
        <f t="shared" ref="F4:F21" si="2">C4+D4-E4</f>
        <v>0</v>
      </c>
      <c r="G4" s="66">
        <v>0</v>
      </c>
      <c r="H4" s="67"/>
      <c r="I4" s="67"/>
      <c r="J4" s="68">
        <v>0</v>
      </c>
      <c r="K4" s="68"/>
      <c r="L4" s="68"/>
      <c r="M4" s="68" t="e">
        <v>#N/A</v>
      </c>
      <c r="N4" s="71" t="e">
        <f t="shared" ref="N4:N20" si="3">F4/I4</f>
        <v>#DIV/0!</v>
      </c>
      <c r="O4" s="66">
        <f t="shared" ref="O4:O21" si="4">194.94*I4</f>
        <v>0</v>
      </c>
      <c r="P4" s="66">
        <f t="shared" ref="P4:P21" si="5">F4*$K$25</f>
        <v>0</v>
      </c>
      <c r="Q4" s="69">
        <f t="shared" ref="Q4:Q21" si="6">O4-P4</f>
        <v>0</v>
      </c>
      <c r="R4" s="69"/>
    </row>
    <row r="5" spans="1:19" x14ac:dyDescent="0.25">
      <c r="A5" s="70" t="s">
        <v>10</v>
      </c>
      <c r="B5" s="62">
        <v>45474</v>
      </c>
      <c r="C5" s="63">
        <v>110</v>
      </c>
      <c r="D5" s="64">
        <f t="shared" si="0"/>
        <v>860</v>
      </c>
      <c r="E5" s="63">
        <v>115</v>
      </c>
      <c r="F5" s="65">
        <f t="shared" si="2"/>
        <v>855</v>
      </c>
      <c r="G5" s="66">
        <v>9280</v>
      </c>
      <c r="H5" s="67">
        <v>9455</v>
      </c>
      <c r="I5" s="67">
        <f t="shared" si="1"/>
        <v>175</v>
      </c>
      <c r="J5" s="68">
        <v>0</v>
      </c>
      <c r="K5" s="68"/>
      <c r="L5" s="68">
        <v>242</v>
      </c>
      <c r="M5" s="68">
        <v>3.4</v>
      </c>
      <c r="N5" s="72">
        <f>F5/I5</f>
        <v>4.8857142857142861</v>
      </c>
      <c r="O5" s="66">
        <f>194.94*I5</f>
        <v>34114.5</v>
      </c>
      <c r="P5" s="66">
        <f>F5*$K$25</f>
        <v>43995.693171853185</v>
      </c>
      <c r="Q5" s="96">
        <f>O5-P5</f>
        <v>-9881.193171853185</v>
      </c>
      <c r="R5" s="96"/>
      <c r="S5" s="102"/>
    </row>
    <row r="6" spans="1:19" x14ac:dyDescent="0.25">
      <c r="A6" s="70" t="s">
        <v>11</v>
      </c>
      <c r="B6" s="62">
        <v>45474</v>
      </c>
      <c r="C6" s="63">
        <v>60</v>
      </c>
      <c r="D6" s="64">
        <f t="shared" si="0"/>
        <v>0</v>
      </c>
      <c r="E6" s="63">
        <v>50</v>
      </c>
      <c r="F6" s="65">
        <f t="shared" si="2"/>
        <v>10</v>
      </c>
      <c r="G6" s="66">
        <v>0</v>
      </c>
      <c r="H6" s="67"/>
      <c r="I6" s="67">
        <f>L6*0.53</f>
        <v>1.59</v>
      </c>
      <c r="J6" s="68">
        <v>0</v>
      </c>
      <c r="K6" s="68"/>
      <c r="L6" s="68">
        <v>3</v>
      </c>
      <c r="M6" s="68">
        <v>3.4</v>
      </c>
      <c r="N6" s="72">
        <f t="shared" si="3"/>
        <v>6.2893081761006284</v>
      </c>
      <c r="O6" s="66">
        <f t="shared" si="4"/>
        <v>309.95460000000003</v>
      </c>
      <c r="P6" s="66">
        <f>F6*$K$25</f>
        <v>514.56951078190866</v>
      </c>
      <c r="Q6" s="96">
        <f>O6-P6</f>
        <v>-204.61491078190863</v>
      </c>
      <c r="R6" s="69" t="s">
        <v>52</v>
      </c>
    </row>
    <row r="7" spans="1:19" x14ac:dyDescent="0.25">
      <c r="A7" s="70" t="s">
        <v>32</v>
      </c>
      <c r="B7" s="62">
        <v>45474</v>
      </c>
      <c r="C7" s="63">
        <v>85</v>
      </c>
      <c r="D7" s="64">
        <f t="shared" si="0"/>
        <v>83</v>
      </c>
      <c r="E7" s="63">
        <v>150</v>
      </c>
      <c r="F7" s="65">
        <f t="shared" si="2"/>
        <v>18</v>
      </c>
      <c r="G7" s="66">
        <v>4948</v>
      </c>
      <c r="H7" s="67">
        <v>4958</v>
      </c>
      <c r="I7" s="67">
        <f t="shared" si="1"/>
        <v>10</v>
      </c>
      <c r="J7" s="68">
        <v>0</v>
      </c>
      <c r="K7" s="68"/>
      <c r="L7" s="68">
        <v>9</v>
      </c>
      <c r="M7" s="68">
        <v>5</v>
      </c>
      <c r="N7" s="71">
        <f t="shared" si="3"/>
        <v>1.8</v>
      </c>
      <c r="O7" s="66">
        <f>285*I7</f>
        <v>2850</v>
      </c>
      <c r="P7" s="66">
        <f t="shared" si="5"/>
        <v>926.2251194074355</v>
      </c>
      <c r="Q7" s="69">
        <f t="shared" si="6"/>
        <v>1923.7748805925644</v>
      </c>
      <c r="R7" s="69"/>
    </row>
    <row r="8" spans="1:19" hidden="1" x14ac:dyDescent="0.25">
      <c r="A8" s="70" t="s">
        <v>33</v>
      </c>
      <c r="B8" s="62">
        <v>45474</v>
      </c>
      <c r="C8" s="63">
        <v>0</v>
      </c>
      <c r="D8" s="64">
        <f t="shared" si="0"/>
        <v>0</v>
      </c>
      <c r="E8" s="63"/>
      <c r="F8" s="65">
        <f t="shared" si="2"/>
        <v>0</v>
      </c>
      <c r="G8" s="66">
        <v>0</v>
      </c>
      <c r="H8" s="67"/>
      <c r="I8" s="67">
        <f t="shared" si="1"/>
        <v>0</v>
      </c>
      <c r="J8" s="68">
        <v>0</v>
      </c>
      <c r="K8" s="68"/>
      <c r="L8" s="68"/>
      <c r="M8" s="68" t="e">
        <v>#N/A</v>
      </c>
      <c r="N8" s="71" t="e">
        <f t="shared" si="3"/>
        <v>#DIV/0!</v>
      </c>
      <c r="O8" s="66"/>
      <c r="P8" s="66">
        <f t="shared" si="5"/>
        <v>0</v>
      </c>
      <c r="Q8" s="69">
        <f t="shared" si="6"/>
        <v>0</v>
      </c>
      <c r="R8" s="69"/>
    </row>
    <row r="9" spans="1:19" x14ac:dyDescent="0.25">
      <c r="A9" s="70" t="s">
        <v>12</v>
      </c>
      <c r="B9" s="62">
        <v>45474</v>
      </c>
      <c r="C9" s="63">
        <v>70</v>
      </c>
      <c r="D9" s="64">
        <f t="shared" si="0"/>
        <v>800</v>
      </c>
      <c r="E9" s="63">
        <v>70</v>
      </c>
      <c r="F9" s="47">
        <f>C9+D9-E9</f>
        <v>800</v>
      </c>
      <c r="G9" s="66">
        <v>17307</v>
      </c>
      <c r="H9" s="67">
        <v>17434</v>
      </c>
      <c r="I9" s="67">
        <f>H9-G9</f>
        <v>127</v>
      </c>
      <c r="J9" s="68">
        <v>0</v>
      </c>
      <c r="K9" s="68"/>
      <c r="L9" s="68">
        <v>198</v>
      </c>
      <c r="M9" s="68">
        <v>4.0999999999999996</v>
      </c>
      <c r="N9" s="72">
        <f>F9/I9</f>
        <v>6.2992125984251972</v>
      </c>
      <c r="O9" s="66">
        <f>235.41*I9</f>
        <v>29897.07</v>
      </c>
      <c r="P9" s="66">
        <f>F9*$K$25</f>
        <v>41165.560862552687</v>
      </c>
      <c r="Q9" s="96">
        <f>O9-P9</f>
        <v>-11268.490862552688</v>
      </c>
      <c r="R9" s="69"/>
    </row>
    <row r="10" spans="1:19" x14ac:dyDescent="0.25">
      <c r="A10" s="70" t="s">
        <v>14</v>
      </c>
      <c r="B10" s="62">
        <v>45474</v>
      </c>
      <c r="C10" s="63">
        <v>20</v>
      </c>
      <c r="D10" s="64">
        <f t="shared" si="0"/>
        <v>799.94</v>
      </c>
      <c r="E10" s="63">
        <v>30</v>
      </c>
      <c r="F10" s="47">
        <f>C10+D10-E10</f>
        <v>789.94</v>
      </c>
      <c r="G10" s="66">
        <v>39553</v>
      </c>
      <c r="H10" s="67">
        <v>39728</v>
      </c>
      <c r="I10" s="67">
        <f t="shared" si="1"/>
        <v>175</v>
      </c>
      <c r="J10" s="68">
        <v>0</v>
      </c>
      <c r="K10" s="68"/>
      <c r="L10" s="68">
        <v>233</v>
      </c>
      <c r="M10" s="68">
        <v>4.0999999999999996</v>
      </c>
      <c r="N10" s="72">
        <f t="shared" si="3"/>
        <v>4.5139428571428573</v>
      </c>
      <c r="O10" s="66">
        <f t="shared" ref="O10:O11" si="7">235.41*I10</f>
        <v>41196.75</v>
      </c>
      <c r="P10" s="66">
        <f t="shared" si="5"/>
        <v>40647.90393470609</v>
      </c>
      <c r="Q10" s="69">
        <f t="shared" si="6"/>
        <v>548.84606529391021</v>
      </c>
      <c r="R10" s="69"/>
    </row>
    <row r="11" spans="1:19" x14ac:dyDescent="0.25">
      <c r="A11" s="70" t="s">
        <v>13</v>
      </c>
      <c r="B11" s="62">
        <v>45474</v>
      </c>
      <c r="C11" s="63">
        <v>10</v>
      </c>
      <c r="D11" s="64">
        <f t="shared" si="0"/>
        <v>850</v>
      </c>
      <c r="E11" s="63">
        <v>15</v>
      </c>
      <c r="F11" s="65">
        <f t="shared" si="2"/>
        <v>845</v>
      </c>
      <c r="G11" s="66">
        <v>11904</v>
      </c>
      <c r="H11" s="67">
        <v>12082</v>
      </c>
      <c r="I11" s="67">
        <f t="shared" si="1"/>
        <v>178</v>
      </c>
      <c r="J11" s="68">
        <v>0</v>
      </c>
      <c r="K11" s="68"/>
      <c r="L11" s="68">
        <v>237</v>
      </c>
      <c r="M11" s="68">
        <v>4.0999999999999996</v>
      </c>
      <c r="N11" s="72">
        <f t="shared" si="3"/>
        <v>4.7471910112359552</v>
      </c>
      <c r="O11" s="66">
        <f t="shared" si="7"/>
        <v>41902.979999999996</v>
      </c>
      <c r="P11" s="66">
        <f t="shared" si="5"/>
        <v>43481.12366107128</v>
      </c>
      <c r="Q11" s="96">
        <f t="shared" si="6"/>
        <v>-1578.1436610712844</v>
      </c>
      <c r="R11" s="69"/>
    </row>
    <row r="12" spans="1:19" hidden="1" x14ac:dyDescent="0.25">
      <c r="A12" s="70" t="s">
        <v>34</v>
      </c>
      <c r="B12" s="62">
        <v>45474</v>
      </c>
      <c r="C12" s="63">
        <v>80</v>
      </c>
      <c r="D12" s="64">
        <f t="shared" si="0"/>
        <v>0</v>
      </c>
      <c r="E12" s="63"/>
      <c r="F12" s="65">
        <f>C12+D12-E12</f>
        <v>80</v>
      </c>
      <c r="G12" s="66">
        <v>7096</v>
      </c>
      <c r="H12" s="67"/>
      <c r="I12" s="67">
        <f t="shared" si="1"/>
        <v>-7096</v>
      </c>
      <c r="J12" s="68">
        <v>0</v>
      </c>
      <c r="K12" s="68"/>
      <c r="L12" s="68"/>
      <c r="M12" s="68">
        <v>10.5</v>
      </c>
      <c r="N12" s="72">
        <f>F12/I12</f>
        <v>-1.1273957158962795E-2</v>
      </c>
      <c r="O12" s="66">
        <f>595.65*I12</f>
        <v>-4226732.3999999994</v>
      </c>
      <c r="P12" s="66">
        <f t="shared" si="5"/>
        <v>4116.5560862552693</v>
      </c>
      <c r="Q12" s="96">
        <f t="shared" si="6"/>
        <v>-4230848.9560862547</v>
      </c>
      <c r="R12" s="69"/>
      <c r="S12" s="11"/>
    </row>
    <row r="13" spans="1:19" x14ac:dyDescent="0.25">
      <c r="A13" s="99" t="s">
        <v>35</v>
      </c>
      <c r="B13" s="62">
        <v>45474</v>
      </c>
      <c r="C13" s="63">
        <v>40</v>
      </c>
      <c r="D13" s="64">
        <f t="shared" si="0"/>
        <v>400</v>
      </c>
      <c r="E13" s="63">
        <v>130</v>
      </c>
      <c r="F13" s="65">
        <f>C13+D13-E13</f>
        <v>310</v>
      </c>
      <c r="G13" s="66">
        <v>31643</v>
      </c>
      <c r="H13" s="67">
        <v>31832</v>
      </c>
      <c r="I13" s="67">
        <f t="shared" si="1"/>
        <v>189</v>
      </c>
      <c r="J13" s="68">
        <v>0</v>
      </c>
      <c r="K13" s="68"/>
      <c r="L13" s="68">
        <v>175</v>
      </c>
      <c r="M13" s="68">
        <v>0.9</v>
      </c>
      <c r="N13" s="72">
        <f>F13/I13</f>
        <v>1.6402116402116402</v>
      </c>
      <c r="O13" s="66">
        <f>(51.3*(I13-K13))+(K13*14.25)</f>
        <v>9695.6999999999989</v>
      </c>
      <c r="P13" s="66">
        <f>F13*$K$25</f>
        <v>15951.654834239167</v>
      </c>
      <c r="Q13" s="96">
        <f t="shared" si="6"/>
        <v>-6255.9548342391681</v>
      </c>
      <c r="R13" s="69" t="s">
        <v>53</v>
      </c>
    </row>
    <row r="14" spans="1:19" x14ac:dyDescent="0.25">
      <c r="A14" s="99" t="s">
        <v>7</v>
      </c>
      <c r="B14" s="62">
        <v>45474</v>
      </c>
      <c r="C14" s="63">
        <v>140</v>
      </c>
      <c r="D14" s="64">
        <f t="shared" si="0"/>
        <v>500</v>
      </c>
      <c r="E14" s="63">
        <v>150</v>
      </c>
      <c r="F14" s="47">
        <f>C14+D14-E14</f>
        <v>490</v>
      </c>
      <c r="G14" s="66">
        <v>34719</v>
      </c>
      <c r="H14" s="67">
        <v>35350</v>
      </c>
      <c r="I14" s="67">
        <f>H14-G14</f>
        <v>631</v>
      </c>
      <c r="J14" s="68">
        <v>0</v>
      </c>
      <c r="K14" s="68"/>
      <c r="L14" s="68">
        <v>135</v>
      </c>
      <c r="M14" s="68">
        <v>0.9</v>
      </c>
      <c r="N14" s="71">
        <f t="shared" si="3"/>
        <v>0.77654516640253568</v>
      </c>
      <c r="O14" s="66">
        <f>(51.3*(I14-K14))+(K14*14.25)</f>
        <v>32370.3</v>
      </c>
      <c r="P14" s="66">
        <f>F14*$K$25</f>
        <v>25213.906028313522</v>
      </c>
      <c r="Q14" s="69">
        <f t="shared" si="6"/>
        <v>7156.393971686477</v>
      </c>
      <c r="R14" s="69" t="s">
        <v>55</v>
      </c>
    </row>
    <row r="15" spans="1:19" x14ac:dyDescent="0.25">
      <c r="A15" s="99" t="s">
        <v>8</v>
      </c>
      <c r="B15" s="62">
        <v>45474</v>
      </c>
      <c r="C15" s="63">
        <v>130</v>
      </c>
      <c r="D15" s="64">
        <f t="shared" si="0"/>
        <v>200</v>
      </c>
      <c r="E15" s="63">
        <v>137</v>
      </c>
      <c r="F15" s="65">
        <f>C15+D15-E15</f>
        <v>193</v>
      </c>
      <c r="G15" s="66">
        <v>559353</v>
      </c>
      <c r="H15" s="67">
        <v>559550</v>
      </c>
      <c r="I15" s="67">
        <f t="shared" si="1"/>
        <v>197</v>
      </c>
      <c r="J15" s="68">
        <v>0</v>
      </c>
      <c r="K15" s="68"/>
      <c r="L15" s="68">
        <v>128</v>
      </c>
      <c r="M15" s="68">
        <v>0.9</v>
      </c>
      <c r="N15" s="71">
        <f t="shared" si="3"/>
        <v>0.97969543147208127</v>
      </c>
      <c r="O15" s="66">
        <f>(51.3*(I15-K15))+(K15*19.85)</f>
        <v>10106.099999999999</v>
      </c>
      <c r="P15" s="66">
        <f>F15*$K$25</f>
        <v>9931.1915580908371</v>
      </c>
      <c r="Q15" s="69">
        <f t="shared" si="6"/>
        <v>174.90844190916141</v>
      </c>
      <c r="R15" s="69" t="s">
        <v>54</v>
      </c>
    </row>
    <row r="16" spans="1:19" x14ac:dyDescent="0.25">
      <c r="A16" s="99" t="s">
        <v>9</v>
      </c>
      <c r="B16" s="62">
        <v>45474</v>
      </c>
      <c r="C16" s="63">
        <v>240</v>
      </c>
      <c r="D16" s="64">
        <f t="shared" si="0"/>
        <v>59.54</v>
      </c>
      <c r="E16" s="63">
        <v>160</v>
      </c>
      <c r="F16" s="65">
        <f>C16+D16-E16</f>
        <v>139.54000000000002</v>
      </c>
      <c r="G16" s="66">
        <v>64160</v>
      </c>
      <c r="H16" s="67">
        <v>64239</v>
      </c>
      <c r="I16" s="67">
        <f t="shared" si="1"/>
        <v>79</v>
      </c>
      <c r="J16" s="68">
        <v>0</v>
      </c>
      <c r="K16" s="68"/>
      <c r="L16" s="68">
        <v>16</v>
      </c>
      <c r="M16" s="68">
        <v>0.9</v>
      </c>
      <c r="N16" s="72">
        <f t="shared" si="3"/>
        <v>1.7663291139240509</v>
      </c>
      <c r="O16" s="66">
        <f>(51.3*(I16-K16))+(K16*19.85)</f>
        <v>4052.7</v>
      </c>
      <c r="P16" s="66">
        <f>F16*$K$25</f>
        <v>7180.3029534507541</v>
      </c>
      <c r="Q16" s="96">
        <f t="shared" si="6"/>
        <v>-3127.6029534507543</v>
      </c>
      <c r="R16" s="69" t="s">
        <v>56</v>
      </c>
      <c r="S16" s="11"/>
    </row>
    <row r="17" spans="1:19" ht="15" hidden="1" customHeight="1" x14ac:dyDescent="0.25">
      <c r="A17" s="99" t="s">
        <v>36</v>
      </c>
      <c r="B17" s="62">
        <v>45474</v>
      </c>
      <c r="C17" s="63">
        <v>0</v>
      </c>
      <c r="D17" s="64">
        <f t="shared" si="0"/>
        <v>0</v>
      </c>
      <c r="E17" s="63"/>
      <c r="F17" s="65">
        <f t="shared" si="2"/>
        <v>0</v>
      </c>
      <c r="G17" s="66">
        <v>0</v>
      </c>
      <c r="H17" s="67"/>
      <c r="I17" s="67">
        <f t="shared" si="1"/>
        <v>0</v>
      </c>
      <c r="J17" s="68">
        <v>0</v>
      </c>
      <c r="K17" s="68"/>
      <c r="L17" s="68"/>
      <c r="M17" s="68" t="e">
        <v>#N/A</v>
      </c>
      <c r="N17" s="71" t="e">
        <f t="shared" si="3"/>
        <v>#DIV/0!</v>
      </c>
      <c r="O17" s="73"/>
      <c r="P17" s="66">
        <f t="shared" si="5"/>
        <v>0</v>
      </c>
      <c r="Q17" s="69">
        <f t="shared" si="6"/>
        <v>0</v>
      </c>
      <c r="R17" s="69"/>
    </row>
    <row r="18" spans="1:19" x14ac:dyDescent="0.25">
      <c r="A18" s="100" t="s">
        <v>37</v>
      </c>
      <c r="B18" s="62">
        <v>45474</v>
      </c>
      <c r="C18" s="63">
        <v>130</v>
      </c>
      <c r="D18" s="64">
        <f t="shared" si="0"/>
        <v>380</v>
      </c>
      <c r="E18" s="63">
        <v>190</v>
      </c>
      <c r="F18" s="65">
        <f t="shared" si="2"/>
        <v>320</v>
      </c>
      <c r="G18" s="66">
        <v>0</v>
      </c>
      <c r="H18" s="67"/>
      <c r="I18" s="67">
        <f>L18*0.7</f>
        <v>70</v>
      </c>
      <c r="J18" s="68">
        <v>0</v>
      </c>
      <c r="K18" s="68"/>
      <c r="L18" s="68">
        <v>100</v>
      </c>
      <c r="M18" s="68">
        <v>5.0999999999999996</v>
      </c>
      <c r="N18" s="71">
        <f t="shared" si="3"/>
        <v>4.5714285714285712</v>
      </c>
      <c r="O18" s="66">
        <f>290.07*I18</f>
        <v>20304.899999999998</v>
      </c>
      <c r="P18" s="66">
        <f t="shared" si="5"/>
        <v>16466.224345021077</v>
      </c>
      <c r="Q18" s="69">
        <f t="shared" si="6"/>
        <v>3838.6756549789206</v>
      </c>
      <c r="R18" s="69" t="s">
        <v>57</v>
      </c>
      <c r="S18" s="11"/>
    </row>
    <row r="19" spans="1:19" x14ac:dyDescent="0.25">
      <c r="A19" s="99" t="s">
        <v>5</v>
      </c>
      <c r="B19" s="62">
        <v>45474</v>
      </c>
      <c r="C19" s="63">
        <v>100</v>
      </c>
      <c r="D19" s="64">
        <f t="shared" si="0"/>
        <v>570</v>
      </c>
      <c r="E19" s="63">
        <v>180</v>
      </c>
      <c r="F19" s="68">
        <f>C19+D19-E19</f>
        <v>490</v>
      </c>
      <c r="G19" s="66">
        <v>5827</v>
      </c>
      <c r="H19" s="67">
        <v>5973</v>
      </c>
      <c r="I19" s="73">
        <f t="shared" si="1"/>
        <v>146</v>
      </c>
      <c r="J19" s="68">
        <v>0</v>
      </c>
      <c r="K19" s="68"/>
      <c r="L19" s="68">
        <v>274</v>
      </c>
      <c r="M19" s="68">
        <v>3.2</v>
      </c>
      <c r="N19" s="71">
        <f t="shared" si="3"/>
        <v>3.3561643835616439</v>
      </c>
      <c r="O19" s="73">
        <f>182.4*I19</f>
        <v>26630.400000000001</v>
      </c>
      <c r="P19" s="66">
        <f>F19*$K$25</f>
        <v>25213.906028313522</v>
      </c>
      <c r="Q19" s="69">
        <f t="shared" si="6"/>
        <v>1416.4939716864792</v>
      </c>
      <c r="R19" s="69" t="s">
        <v>58</v>
      </c>
      <c r="S19" s="11"/>
    </row>
    <row r="20" spans="1:19" ht="15.75" thickBot="1" x14ac:dyDescent="0.3">
      <c r="A20" s="101" t="s">
        <v>6</v>
      </c>
      <c r="B20" s="74">
        <v>45474</v>
      </c>
      <c r="C20" s="75">
        <v>230</v>
      </c>
      <c r="D20" s="76">
        <f t="shared" si="0"/>
        <v>300</v>
      </c>
      <c r="E20" s="75">
        <v>230</v>
      </c>
      <c r="F20" s="97">
        <f>C20+D20-E20</f>
        <v>300</v>
      </c>
      <c r="G20" s="77">
        <f>'[4]Июнь 2024 '!H20</f>
        <v>0</v>
      </c>
      <c r="H20" s="78"/>
      <c r="I20" s="78">
        <f>L20*0.7</f>
        <v>16.099999999999998</v>
      </c>
      <c r="J20" s="75">
        <v>0</v>
      </c>
      <c r="K20" s="79">
        <v>360</v>
      </c>
      <c r="L20" s="75">
        <v>23</v>
      </c>
      <c r="M20" s="75">
        <v>2.9</v>
      </c>
      <c r="N20" s="95">
        <f t="shared" si="3"/>
        <v>18.633540372670812</v>
      </c>
      <c r="O20" s="73">
        <f>I20*165.3+28.5*K20</f>
        <v>12921.33</v>
      </c>
      <c r="P20" s="77">
        <f>F20*$K$25</f>
        <v>15437.085323457259</v>
      </c>
      <c r="Q20" s="98">
        <f t="shared" si="6"/>
        <v>-2515.7553234572588</v>
      </c>
      <c r="R20" s="80" t="s">
        <v>59</v>
      </c>
    </row>
    <row r="21" spans="1:19" ht="11.45" hidden="1" customHeight="1" thickBot="1" x14ac:dyDescent="0.3">
      <c r="A21" s="81" t="s">
        <v>38</v>
      </c>
      <c r="B21" s="82">
        <v>45474</v>
      </c>
      <c r="C21" s="83">
        <f>'[4]Июнь 2024 '!E21</f>
        <v>0</v>
      </c>
      <c r="D21" s="84">
        <f t="shared" si="0"/>
        <v>0</v>
      </c>
      <c r="E21" s="83"/>
      <c r="F21" s="85">
        <f t="shared" si="2"/>
        <v>0</v>
      </c>
      <c r="G21" s="86">
        <f>'[4]Июнь 2024 '!H21</f>
        <v>0</v>
      </c>
      <c r="H21" s="87"/>
      <c r="I21" s="88">
        <v>0</v>
      </c>
      <c r="J21" s="87">
        <v>0</v>
      </c>
      <c r="K21" s="89"/>
      <c r="L21" s="89"/>
      <c r="M21" s="90"/>
      <c r="N21" s="51" t="e">
        <f>VLOOKUP(A21,[4]Тарас!$C$4:$N$23,12,0)</f>
        <v>#N/A</v>
      </c>
      <c r="O21" s="91">
        <f t="shared" si="4"/>
        <v>0</v>
      </c>
      <c r="P21" s="86">
        <f t="shared" si="5"/>
        <v>0</v>
      </c>
      <c r="Q21" s="86">
        <f t="shared" si="6"/>
        <v>0</v>
      </c>
      <c r="R21" s="51"/>
    </row>
    <row r="22" spans="1:19" x14ac:dyDescent="0.25">
      <c r="A22" s="51"/>
      <c r="B22" s="51"/>
      <c r="C22" s="92">
        <f>SUM(C2:C21)</f>
        <v>1645</v>
      </c>
      <c r="D22" s="93">
        <f>SUM(D2:D21)</f>
        <v>5902.4800000000005</v>
      </c>
      <c r="E22" s="92">
        <f>SUM(E2:E21)</f>
        <v>1647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25">
      <c r="A23" s="51"/>
      <c r="B23" s="51"/>
      <c r="C23" s="51"/>
      <c r="D23" s="51">
        <f>D22-B113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25">
      <c r="D25" s="17"/>
      <c r="J25" s="18" t="s">
        <v>39</v>
      </c>
      <c r="K25" s="19">
        <f>SUM(C30:C112)/B113</f>
        <v>51.456951078190862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21" t="s">
        <v>15</v>
      </c>
      <c r="B29" s="21" t="s">
        <v>41</v>
      </c>
      <c r="C29" s="21" t="s">
        <v>42</v>
      </c>
      <c r="D29" s="21" t="s">
        <v>43</v>
      </c>
    </row>
    <row r="30" spans="1:19" x14ac:dyDescent="0.25">
      <c r="A30" s="2" t="s">
        <v>12</v>
      </c>
      <c r="B30" s="3">
        <v>100</v>
      </c>
      <c r="C30" s="12">
        <f>B30*47.63</f>
        <v>4763</v>
      </c>
      <c r="D30" s="22" t="s">
        <v>44</v>
      </c>
    </row>
    <row r="31" spans="1:19" x14ac:dyDescent="0.25">
      <c r="A31" s="10" t="s">
        <v>12</v>
      </c>
      <c r="B31" s="9">
        <v>100</v>
      </c>
      <c r="C31" s="12">
        <f t="shared" ref="C31:C47" si="8">B31*47.63</f>
        <v>4763</v>
      </c>
      <c r="D31" s="22" t="s">
        <v>44</v>
      </c>
    </row>
    <row r="32" spans="1:19" x14ac:dyDescent="0.25">
      <c r="A32" s="10" t="s">
        <v>12</v>
      </c>
      <c r="B32" s="9">
        <v>100</v>
      </c>
      <c r="C32" s="12">
        <f t="shared" si="8"/>
        <v>4763</v>
      </c>
      <c r="D32" s="22" t="s">
        <v>44</v>
      </c>
    </row>
    <row r="33" spans="1:5" x14ac:dyDescent="0.25">
      <c r="A33" s="10" t="s">
        <v>12</v>
      </c>
      <c r="B33" s="9">
        <v>100</v>
      </c>
      <c r="C33" s="12">
        <f t="shared" si="8"/>
        <v>4763</v>
      </c>
      <c r="D33" s="22" t="s">
        <v>44</v>
      </c>
    </row>
    <row r="34" spans="1:5" x14ac:dyDescent="0.25">
      <c r="A34" s="10" t="s">
        <v>12</v>
      </c>
      <c r="B34" s="9">
        <v>100</v>
      </c>
      <c r="C34" s="12">
        <f t="shared" si="8"/>
        <v>4763</v>
      </c>
      <c r="D34" s="22" t="s">
        <v>44</v>
      </c>
    </row>
    <row r="35" spans="1:5" x14ac:dyDescent="0.25">
      <c r="A35" s="10" t="s">
        <v>12</v>
      </c>
      <c r="B35" s="9">
        <v>100</v>
      </c>
      <c r="C35" s="12">
        <f t="shared" si="8"/>
        <v>4763</v>
      </c>
      <c r="D35" s="22" t="s">
        <v>44</v>
      </c>
    </row>
    <row r="36" spans="1:5" x14ac:dyDescent="0.25">
      <c r="A36" s="10" t="s">
        <v>12</v>
      </c>
      <c r="B36" s="9">
        <v>100</v>
      </c>
      <c r="C36" s="12">
        <f t="shared" si="8"/>
        <v>4763</v>
      </c>
      <c r="D36" s="22" t="s">
        <v>44</v>
      </c>
    </row>
    <row r="37" spans="1:5" x14ac:dyDescent="0.25">
      <c r="A37" s="10" t="s">
        <v>12</v>
      </c>
      <c r="B37" s="9">
        <v>100</v>
      </c>
      <c r="C37" s="12">
        <f t="shared" si="8"/>
        <v>4763</v>
      </c>
      <c r="D37" s="22" t="s">
        <v>44</v>
      </c>
    </row>
    <row r="38" spans="1:5" x14ac:dyDescent="0.25">
      <c r="A38" s="10" t="s">
        <v>7</v>
      </c>
      <c r="B38" s="6">
        <v>100</v>
      </c>
      <c r="C38" s="12">
        <f t="shared" si="8"/>
        <v>4763</v>
      </c>
      <c r="D38" s="22" t="s">
        <v>44</v>
      </c>
    </row>
    <row r="39" spans="1:5" x14ac:dyDescent="0.25">
      <c r="A39" s="10" t="s">
        <v>7</v>
      </c>
      <c r="B39" s="6">
        <v>100</v>
      </c>
      <c r="C39" s="12">
        <f t="shared" si="8"/>
        <v>4763</v>
      </c>
      <c r="D39" s="22" t="s">
        <v>44</v>
      </c>
    </row>
    <row r="40" spans="1:5" x14ac:dyDescent="0.25">
      <c r="A40" s="10" t="s">
        <v>7</v>
      </c>
      <c r="B40" s="6">
        <v>100</v>
      </c>
      <c r="C40" s="12">
        <f t="shared" si="8"/>
        <v>4763</v>
      </c>
      <c r="D40" s="22" t="s">
        <v>44</v>
      </c>
    </row>
    <row r="41" spans="1:5" x14ac:dyDescent="0.25">
      <c r="A41" s="10" t="s">
        <v>7</v>
      </c>
      <c r="B41" s="6">
        <v>100</v>
      </c>
      <c r="C41" s="12">
        <f t="shared" si="8"/>
        <v>4763</v>
      </c>
      <c r="D41" s="22" t="s">
        <v>44</v>
      </c>
    </row>
    <row r="42" spans="1:5" x14ac:dyDescent="0.25">
      <c r="A42" s="10" t="s">
        <v>7</v>
      </c>
      <c r="B42" s="6">
        <v>100</v>
      </c>
      <c r="C42" s="12">
        <f t="shared" si="8"/>
        <v>4763</v>
      </c>
      <c r="D42" s="22" t="s">
        <v>44</v>
      </c>
    </row>
    <row r="43" spans="1:5" x14ac:dyDescent="0.25">
      <c r="A43" s="10" t="s">
        <v>6</v>
      </c>
      <c r="B43" s="6">
        <v>100</v>
      </c>
      <c r="C43" s="7">
        <f t="shared" si="8"/>
        <v>4763</v>
      </c>
      <c r="D43" s="22" t="s">
        <v>44</v>
      </c>
    </row>
    <row r="44" spans="1:5" x14ac:dyDescent="0.25">
      <c r="A44" s="10" t="s">
        <v>35</v>
      </c>
      <c r="B44" s="6">
        <v>100</v>
      </c>
      <c r="C44" s="7">
        <f t="shared" si="8"/>
        <v>4763</v>
      </c>
      <c r="D44" s="22" t="s">
        <v>44</v>
      </c>
    </row>
    <row r="45" spans="1:5" x14ac:dyDescent="0.25">
      <c r="A45" s="10" t="s">
        <v>35</v>
      </c>
      <c r="B45" s="6">
        <v>100</v>
      </c>
      <c r="C45" s="7">
        <f t="shared" si="8"/>
        <v>4763</v>
      </c>
      <c r="D45" s="22" t="s">
        <v>44</v>
      </c>
    </row>
    <row r="46" spans="1:5" x14ac:dyDescent="0.25">
      <c r="A46" s="10" t="s">
        <v>35</v>
      </c>
      <c r="B46" s="6">
        <v>100</v>
      </c>
      <c r="C46" s="7">
        <f t="shared" si="8"/>
        <v>4763</v>
      </c>
      <c r="D46" s="22" t="s">
        <v>44</v>
      </c>
    </row>
    <row r="47" spans="1:5" ht="15.75" thickBot="1" x14ac:dyDescent="0.3">
      <c r="A47" s="10" t="s">
        <v>35</v>
      </c>
      <c r="B47" s="6">
        <v>100</v>
      </c>
      <c r="C47" s="7">
        <f t="shared" si="8"/>
        <v>4763</v>
      </c>
      <c r="D47" s="22" t="s">
        <v>44</v>
      </c>
    </row>
    <row r="48" spans="1:5" ht="15.75" thickBot="1" x14ac:dyDescent="0.3">
      <c r="A48" s="13"/>
      <c r="B48" s="14"/>
      <c r="C48" s="15"/>
      <c r="D48" s="23"/>
      <c r="E48" s="24">
        <f>SUM(C30:C48)</f>
        <v>85734</v>
      </c>
    </row>
    <row r="49" spans="1:4" x14ac:dyDescent="0.25">
      <c r="A49" s="2" t="s">
        <v>5</v>
      </c>
      <c r="B49" s="3">
        <v>50</v>
      </c>
      <c r="C49" s="4">
        <v>2649.5</v>
      </c>
      <c r="D49" s="25" t="s">
        <v>45</v>
      </c>
    </row>
    <row r="50" spans="1:4" x14ac:dyDescent="0.25">
      <c r="A50" s="10" t="s">
        <v>5</v>
      </c>
      <c r="B50" s="6">
        <v>40</v>
      </c>
      <c r="C50" s="7">
        <v>2119.6</v>
      </c>
      <c r="D50" s="26" t="s">
        <v>45</v>
      </c>
    </row>
    <row r="51" spans="1:4" x14ac:dyDescent="0.25">
      <c r="A51" s="10" t="s">
        <v>5</v>
      </c>
      <c r="B51" s="6">
        <v>160</v>
      </c>
      <c r="C51" s="7">
        <v>8478.4</v>
      </c>
      <c r="D51" s="26" t="s">
        <v>45</v>
      </c>
    </row>
    <row r="52" spans="1:4" x14ac:dyDescent="0.25">
      <c r="A52" s="10" t="s">
        <v>5</v>
      </c>
      <c r="B52" s="6">
        <v>160</v>
      </c>
      <c r="C52" s="7">
        <v>8478.4</v>
      </c>
      <c r="D52" s="26" t="s">
        <v>45</v>
      </c>
    </row>
    <row r="53" spans="1:4" x14ac:dyDescent="0.25">
      <c r="A53" s="27" t="s">
        <v>5</v>
      </c>
      <c r="B53" s="6">
        <v>160</v>
      </c>
      <c r="C53" s="7">
        <v>8558.4</v>
      </c>
      <c r="D53" s="26" t="s">
        <v>45</v>
      </c>
    </row>
    <row r="54" spans="1:4" x14ac:dyDescent="0.25">
      <c r="A54" s="27" t="s">
        <v>8</v>
      </c>
      <c r="B54" s="6">
        <v>100</v>
      </c>
      <c r="C54" s="7">
        <v>5299</v>
      </c>
      <c r="D54" s="26" t="s">
        <v>45</v>
      </c>
    </row>
    <row r="55" spans="1:4" x14ac:dyDescent="0.25">
      <c r="A55" s="27" t="s">
        <v>8</v>
      </c>
      <c r="B55" s="6">
        <v>100</v>
      </c>
      <c r="C55" s="7">
        <v>5349</v>
      </c>
      <c r="D55" s="26" t="s">
        <v>45</v>
      </c>
    </row>
    <row r="56" spans="1:4" x14ac:dyDescent="0.25">
      <c r="A56" s="27" t="s">
        <v>37</v>
      </c>
      <c r="B56" s="6">
        <v>100</v>
      </c>
      <c r="C56" s="7">
        <v>5099</v>
      </c>
      <c r="D56" s="26" t="s">
        <v>45</v>
      </c>
    </row>
    <row r="57" spans="1:4" x14ac:dyDescent="0.25">
      <c r="A57" s="27" t="s">
        <v>37</v>
      </c>
      <c r="B57" s="6">
        <v>100</v>
      </c>
      <c r="C57" s="7">
        <v>5099</v>
      </c>
      <c r="D57" s="26" t="s">
        <v>45</v>
      </c>
    </row>
    <row r="58" spans="1:4" x14ac:dyDescent="0.25">
      <c r="A58" s="27" t="s">
        <v>37</v>
      </c>
      <c r="B58" s="6">
        <v>150</v>
      </c>
      <c r="C58" s="7">
        <v>8023.5</v>
      </c>
      <c r="D58" s="26" t="s">
        <v>45</v>
      </c>
    </row>
    <row r="59" spans="1:4" x14ac:dyDescent="0.25">
      <c r="A59" s="27" t="s">
        <v>37</v>
      </c>
      <c r="B59" s="6">
        <v>30</v>
      </c>
      <c r="C59" s="7">
        <v>1604.7</v>
      </c>
      <c r="D59" s="26" t="s">
        <v>45</v>
      </c>
    </row>
    <row r="60" spans="1:4" x14ac:dyDescent="0.25">
      <c r="A60" s="27" t="s">
        <v>13</v>
      </c>
      <c r="B60" s="6">
        <v>100</v>
      </c>
      <c r="C60" s="7">
        <v>5299</v>
      </c>
      <c r="D60" s="26" t="s">
        <v>45</v>
      </c>
    </row>
    <row r="61" spans="1:4" x14ac:dyDescent="0.25">
      <c r="A61" s="27" t="s">
        <v>13</v>
      </c>
      <c r="B61" s="6">
        <v>70</v>
      </c>
      <c r="C61" s="7">
        <v>3709.3</v>
      </c>
      <c r="D61" s="26" t="s">
        <v>45</v>
      </c>
    </row>
    <row r="62" spans="1:4" x14ac:dyDescent="0.25">
      <c r="A62" s="27" t="s">
        <v>13</v>
      </c>
      <c r="B62" s="6">
        <v>30</v>
      </c>
      <c r="C62" s="7">
        <v>1529.7</v>
      </c>
      <c r="D62" s="26" t="s">
        <v>45</v>
      </c>
    </row>
    <row r="63" spans="1:4" x14ac:dyDescent="0.25">
      <c r="A63" s="27" t="s">
        <v>13</v>
      </c>
      <c r="B63" s="6">
        <v>30</v>
      </c>
      <c r="C63" s="7">
        <v>1529.7</v>
      </c>
      <c r="D63" s="26" t="s">
        <v>45</v>
      </c>
    </row>
    <row r="64" spans="1:4" x14ac:dyDescent="0.25">
      <c r="A64" s="27" t="s">
        <v>13</v>
      </c>
      <c r="B64" s="6">
        <v>60</v>
      </c>
      <c r="C64" s="7">
        <v>3179.4</v>
      </c>
      <c r="D64" s="26" t="s">
        <v>45</v>
      </c>
    </row>
    <row r="65" spans="1:4" x14ac:dyDescent="0.25">
      <c r="A65" s="27" t="s">
        <v>13</v>
      </c>
      <c r="B65" s="6">
        <v>100</v>
      </c>
      <c r="C65" s="7">
        <v>5299</v>
      </c>
      <c r="D65" s="26" t="s">
        <v>45</v>
      </c>
    </row>
    <row r="66" spans="1:4" x14ac:dyDescent="0.25">
      <c r="A66" s="27" t="s">
        <v>13</v>
      </c>
      <c r="B66" s="6">
        <v>100</v>
      </c>
      <c r="C66" s="7">
        <v>5299</v>
      </c>
      <c r="D66" s="26" t="s">
        <v>45</v>
      </c>
    </row>
    <row r="67" spans="1:4" x14ac:dyDescent="0.25">
      <c r="A67" s="27" t="s">
        <v>13</v>
      </c>
      <c r="B67" s="6">
        <v>100</v>
      </c>
      <c r="C67" s="7">
        <v>5299</v>
      </c>
      <c r="D67" s="26" t="s">
        <v>45</v>
      </c>
    </row>
    <row r="68" spans="1:4" x14ac:dyDescent="0.25">
      <c r="A68" s="27" t="s">
        <v>13</v>
      </c>
      <c r="B68" s="6">
        <v>60</v>
      </c>
      <c r="C68" s="7">
        <v>3059.4</v>
      </c>
      <c r="D68" s="26" t="s">
        <v>45</v>
      </c>
    </row>
    <row r="69" spans="1:4" x14ac:dyDescent="0.25">
      <c r="A69" s="27" t="s">
        <v>13</v>
      </c>
      <c r="B69" s="6">
        <v>100</v>
      </c>
      <c r="C69" s="7">
        <v>5149</v>
      </c>
      <c r="D69" s="26" t="s">
        <v>45</v>
      </c>
    </row>
    <row r="70" spans="1:4" x14ac:dyDescent="0.25">
      <c r="A70" s="27" t="s">
        <v>13</v>
      </c>
      <c r="B70" s="6">
        <v>100</v>
      </c>
      <c r="C70" s="7">
        <v>5399</v>
      </c>
      <c r="D70" s="26" t="s">
        <v>45</v>
      </c>
    </row>
    <row r="71" spans="1:4" x14ac:dyDescent="0.25">
      <c r="A71" s="27" t="s">
        <v>10</v>
      </c>
      <c r="B71" s="6">
        <v>80</v>
      </c>
      <c r="C71" s="7">
        <v>4239.2</v>
      </c>
      <c r="D71" s="26" t="s">
        <v>45</v>
      </c>
    </row>
    <row r="72" spans="1:4" x14ac:dyDescent="0.25">
      <c r="A72" s="27" t="s">
        <v>10</v>
      </c>
      <c r="B72" s="6">
        <v>60</v>
      </c>
      <c r="C72" s="7">
        <v>3059.4</v>
      </c>
      <c r="D72" s="26" t="s">
        <v>45</v>
      </c>
    </row>
    <row r="73" spans="1:4" x14ac:dyDescent="0.25">
      <c r="A73" s="27" t="s">
        <v>10</v>
      </c>
      <c r="B73" s="6">
        <v>60</v>
      </c>
      <c r="C73" s="7">
        <v>3179.4</v>
      </c>
      <c r="D73" s="26" t="s">
        <v>45</v>
      </c>
    </row>
    <row r="74" spans="1:4" x14ac:dyDescent="0.25">
      <c r="A74" s="27" t="s">
        <v>10</v>
      </c>
      <c r="B74" s="6">
        <v>100</v>
      </c>
      <c r="C74" s="7">
        <v>5299</v>
      </c>
      <c r="D74" s="26" t="s">
        <v>45</v>
      </c>
    </row>
    <row r="75" spans="1:4" x14ac:dyDescent="0.25">
      <c r="A75" s="27" t="s">
        <v>10</v>
      </c>
      <c r="B75" s="6">
        <v>60</v>
      </c>
      <c r="C75" s="7">
        <v>3179.4</v>
      </c>
      <c r="D75" s="26" t="s">
        <v>45</v>
      </c>
    </row>
    <row r="76" spans="1:4" x14ac:dyDescent="0.25">
      <c r="A76" s="27" t="s">
        <v>10</v>
      </c>
      <c r="B76" s="6">
        <v>100</v>
      </c>
      <c r="C76" s="7">
        <v>5299</v>
      </c>
      <c r="D76" s="26" t="s">
        <v>45</v>
      </c>
    </row>
    <row r="77" spans="1:4" x14ac:dyDescent="0.25">
      <c r="A77" s="27" t="s">
        <v>10</v>
      </c>
      <c r="B77" s="6">
        <v>100</v>
      </c>
      <c r="C77" s="7">
        <v>5099</v>
      </c>
      <c r="D77" s="26" t="s">
        <v>45</v>
      </c>
    </row>
    <row r="78" spans="1:4" x14ac:dyDescent="0.25">
      <c r="A78" s="27" t="s">
        <v>10</v>
      </c>
      <c r="B78" s="6">
        <v>100</v>
      </c>
      <c r="C78" s="7">
        <v>5349</v>
      </c>
      <c r="D78" s="26" t="s">
        <v>45</v>
      </c>
    </row>
    <row r="79" spans="1:4" x14ac:dyDescent="0.25">
      <c r="A79" s="27" t="s">
        <v>10</v>
      </c>
      <c r="B79" s="6">
        <v>100</v>
      </c>
      <c r="C79" s="7">
        <v>5149</v>
      </c>
      <c r="D79" s="26" t="s">
        <v>45</v>
      </c>
    </row>
    <row r="80" spans="1:4" ht="15.75" thickBot="1" x14ac:dyDescent="0.3">
      <c r="A80" s="27" t="s">
        <v>10</v>
      </c>
      <c r="B80" s="6">
        <v>100</v>
      </c>
      <c r="C80" s="7">
        <v>5399</v>
      </c>
      <c r="D80" s="26" t="s">
        <v>45</v>
      </c>
    </row>
    <row r="81" spans="1:7" ht="15.75" thickBot="1" x14ac:dyDescent="0.3">
      <c r="A81" s="27"/>
      <c r="B81" s="6"/>
      <c r="C81" s="7"/>
      <c r="D81" s="28"/>
      <c r="E81" s="24">
        <f>SUM(C49:C81)</f>
        <v>150761.39999999997</v>
      </c>
    </row>
    <row r="82" spans="1:7" x14ac:dyDescent="0.25">
      <c r="A82" s="2" t="s">
        <v>9</v>
      </c>
      <c r="B82" s="5">
        <v>59.54</v>
      </c>
      <c r="C82" s="29">
        <v>3280.06</v>
      </c>
      <c r="D82" s="25" t="s">
        <v>46</v>
      </c>
    </row>
    <row r="83" spans="1:7" x14ac:dyDescent="0.25">
      <c r="A83" s="10" t="s">
        <v>14</v>
      </c>
      <c r="B83" s="9">
        <v>799.94</v>
      </c>
      <c r="C83" s="12">
        <v>44068.694600000003</v>
      </c>
      <c r="D83" s="26" t="s">
        <v>46</v>
      </c>
    </row>
    <row r="84" spans="1:7" ht="15.75" thickBot="1" x14ac:dyDescent="0.3">
      <c r="A84" s="27" t="s">
        <v>32</v>
      </c>
      <c r="B84" s="6">
        <v>83</v>
      </c>
      <c r="C84" s="8">
        <v>4572.47</v>
      </c>
      <c r="D84" s="26" t="s">
        <v>46</v>
      </c>
    </row>
    <row r="85" spans="1:7" ht="15.75" thickBot="1" x14ac:dyDescent="0.3">
      <c r="A85" s="13" t="s">
        <v>30</v>
      </c>
      <c r="B85" s="14">
        <v>100</v>
      </c>
      <c r="C85" s="16">
        <v>5509</v>
      </c>
      <c r="D85" s="23" t="s">
        <v>46</v>
      </c>
      <c r="E85" s="24">
        <f>SUM(C82:C85)</f>
        <v>57430.224600000001</v>
      </c>
    </row>
    <row r="86" spans="1:7" x14ac:dyDescent="0.25">
      <c r="A86" s="10" t="s">
        <v>6</v>
      </c>
      <c r="B86" s="6">
        <v>100</v>
      </c>
      <c r="C86" s="7">
        <v>4899</v>
      </c>
      <c r="D86" s="22" t="s">
        <v>47</v>
      </c>
    </row>
    <row r="87" spans="1:7" ht="15.75" thickBot="1" x14ac:dyDescent="0.3">
      <c r="A87" s="10" t="s">
        <v>6</v>
      </c>
      <c r="B87" s="6">
        <v>100</v>
      </c>
      <c r="C87" s="7">
        <v>4899</v>
      </c>
      <c r="D87" s="22" t="s">
        <v>47</v>
      </c>
    </row>
    <row r="88" spans="1:7" ht="15.75" thickBot="1" x14ac:dyDescent="0.3">
      <c r="A88" s="13"/>
      <c r="B88" s="14"/>
      <c r="C88" s="15"/>
      <c r="D88" s="22"/>
      <c r="E88" s="24">
        <f>SUM(C86:C88)</f>
        <v>9798</v>
      </c>
      <c r="G88" s="20"/>
    </row>
    <row r="89" spans="1:7" ht="15.75" hidden="1" thickBot="1" x14ac:dyDescent="0.3">
      <c r="A89" s="2"/>
      <c r="B89" s="3"/>
      <c r="C89" s="4"/>
      <c r="D89" s="22"/>
    </row>
    <row r="90" spans="1:7" ht="15.75" hidden="1" thickBot="1" x14ac:dyDescent="0.3">
      <c r="A90" s="10"/>
      <c r="B90" s="6"/>
      <c r="C90" s="7"/>
      <c r="D90" s="22"/>
    </row>
    <row r="91" spans="1:7" ht="15.75" hidden="1" thickBot="1" x14ac:dyDescent="0.3">
      <c r="A91" s="22"/>
      <c r="B91" s="6"/>
      <c r="C91" s="7"/>
      <c r="D91" s="22"/>
    </row>
    <row r="92" spans="1:7" ht="15.75" hidden="1" thickBot="1" x14ac:dyDescent="0.3">
      <c r="A92" s="22"/>
      <c r="B92" s="6"/>
      <c r="C92" s="7"/>
      <c r="D92" s="22"/>
    </row>
    <row r="93" spans="1:7" ht="15.75" hidden="1" thickBot="1" x14ac:dyDescent="0.3">
      <c r="A93" s="10"/>
      <c r="B93" s="6"/>
      <c r="C93" s="7"/>
      <c r="D93" s="22"/>
    </row>
    <row r="94" spans="1:7" ht="15.75" hidden="1" thickBot="1" x14ac:dyDescent="0.3">
      <c r="A94" s="10"/>
      <c r="B94" s="6"/>
      <c r="C94" s="7"/>
      <c r="D94" s="22"/>
    </row>
    <row r="95" spans="1:7" ht="15.75" hidden="1" thickBot="1" x14ac:dyDescent="0.3">
      <c r="A95" s="27"/>
      <c r="B95" s="6"/>
      <c r="C95" s="7"/>
      <c r="D95" s="22" t="s">
        <v>46</v>
      </c>
    </row>
    <row r="96" spans="1:7" ht="15.75" hidden="1" thickBot="1" x14ac:dyDescent="0.3">
      <c r="A96" s="27"/>
      <c r="B96" s="6"/>
      <c r="C96" s="7"/>
      <c r="D96" s="22" t="s">
        <v>46</v>
      </c>
    </row>
    <row r="97" spans="1:7" ht="15.75" hidden="1" thickBot="1" x14ac:dyDescent="0.3">
      <c r="A97" s="13"/>
      <c r="B97" s="14"/>
      <c r="C97" s="15"/>
      <c r="D97" s="22" t="s">
        <v>46</v>
      </c>
      <c r="F97" s="30">
        <f>-337162.41-C93</f>
        <v>-337162.41</v>
      </c>
      <c r="G97" s="30"/>
    </row>
    <row r="98" spans="1:7" ht="15.75" hidden="1" thickBot="1" x14ac:dyDescent="0.3">
      <c r="A98" s="27"/>
      <c r="B98" s="3"/>
      <c r="C98" s="4"/>
      <c r="D98" s="22" t="s">
        <v>48</v>
      </c>
    </row>
    <row r="99" spans="1:7" ht="15.75" hidden="1" thickBot="1" x14ac:dyDescent="0.3">
      <c r="A99" s="27"/>
      <c r="B99" s="6"/>
      <c r="C99" s="7"/>
      <c r="D99" s="22" t="s">
        <v>48</v>
      </c>
    </row>
    <row r="100" spans="1:7" ht="15.75" hidden="1" thickBot="1" x14ac:dyDescent="0.3">
      <c r="A100" s="10"/>
      <c r="B100" s="6"/>
      <c r="C100" s="7"/>
      <c r="D100" s="22" t="s">
        <v>48</v>
      </c>
    </row>
    <row r="101" spans="1:7" ht="15.75" hidden="1" thickBot="1" x14ac:dyDescent="0.3">
      <c r="A101" s="10"/>
      <c r="B101" s="6"/>
      <c r="C101" s="7"/>
      <c r="D101" s="22" t="s">
        <v>48</v>
      </c>
    </row>
    <row r="102" spans="1:7" ht="15.75" hidden="1" thickBot="1" x14ac:dyDescent="0.3">
      <c r="A102" s="10"/>
      <c r="B102" s="6"/>
      <c r="C102" s="7"/>
      <c r="D102" s="22" t="s">
        <v>48</v>
      </c>
    </row>
    <row r="103" spans="1:7" ht="15.75" hidden="1" thickBot="1" x14ac:dyDescent="0.3">
      <c r="A103" s="10"/>
      <c r="B103" s="6"/>
      <c r="C103" s="7"/>
      <c r="D103" s="22" t="s">
        <v>48</v>
      </c>
    </row>
    <row r="104" spans="1:7" ht="15.75" hidden="1" thickBot="1" x14ac:dyDescent="0.3">
      <c r="A104" s="10"/>
      <c r="B104" s="6"/>
      <c r="C104" s="7"/>
      <c r="D104" s="22" t="s">
        <v>48</v>
      </c>
    </row>
    <row r="105" spans="1:7" ht="15.75" hidden="1" thickBot="1" x14ac:dyDescent="0.3">
      <c r="A105" s="10"/>
      <c r="B105" s="6"/>
      <c r="C105" s="7"/>
      <c r="D105" s="22" t="s">
        <v>48</v>
      </c>
    </row>
    <row r="106" spans="1:7" ht="15.75" hidden="1" thickBot="1" x14ac:dyDescent="0.3">
      <c r="A106" s="10"/>
      <c r="B106" s="6"/>
      <c r="C106" s="7"/>
      <c r="D106" s="22" t="s">
        <v>48</v>
      </c>
    </row>
    <row r="107" spans="1:7" ht="15.75" hidden="1" thickBot="1" x14ac:dyDescent="0.3">
      <c r="A107" s="10"/>
      <c r="B107" s="6"/>
      <c r="C107" s="7"/>
      <c r="D107" s="22" t="s">
        <v>48</v>
      </c>
    </row>
    <row r="108" spans="1:7" ht="15.75" hidden="1" thickBot="1" x14ac:dyDescent="0.3">
      <c r="A108" s="10"/>
      <c r="B108" s="6"/>
      <c r="C108" s="7"/>
      <c r="D108" s="22" t="s">
        <v>48</v>
      </c>
    </row>
    <row r="109" spans="1:7" ht="15.75" hidden="1" thickBot="1" x14ac:dyDescent="0.3">
      <c r="A109" s="10"/>
      <c r="B109" s="6"/>
      <c r="C109" s="7"/>
      <c r="D109" s="22" t="s">
        <v>48</v>
      </c>
    </row>
    <row r="110" spans="1:7" ht="15.75" hidden="1" thickBot="1" x14ac:dyDescent="0.3">
      <c r="A110" s="10"/>
      <c r="B110" s="6"/>
      <c r="C110" s="7"/>
      <c r="D110" s="22" t="s">
        <v>48</v>
      </c>
    </row>
    <row r="111" spans="1:7" ht="15.75" hidden="1" thickBot="1" x14ac:dyDescent="0.3">
      <c r="A111" s="10"/>
      <c r="B111" s="6"/>
      <c r="C111" s="7"/>
      <c r="D111" s="22" t="s">
        <v>48</v>
      </c>
    </row>
    <row r="112" spans="1:7" ht="15.75" hidden="1" thickBot="1" x14ac:dyDescent="0.3">
      <c r="A112" s="13"/>
      <c r="B112" s="14"/>
      <c r="C112" s="15"/>
      <c r="D112" s="22" t="s">
        <v>48</v>
      </c>
      <c r="E112" s="31">
        <f>SUM(C98:C112)</f>
        <v>0</v>
      </c>
      <c r="F112" s="30"/>
      <c r="G112" s="30"/>
    </row>
    <row r="113" spans="1:3" ht="15.75" thickBot="1" x14ac:dyDescent="0.3">
      <c r="A113" s="32"/>
      <c r="B113" s="33">
        <f>SUM(B30:B112)</f>
        <v>5902.48</v>
      </c>
      <c r="C113" s="34">
        <f>SUM(C30:C112)</f>
        <v>303723.62459999998</v>
      </c>
    </row>
    <row r="114" spans="1:3" x14ac:dyDescent="0.25">
      <c r="C114" s="30"/>
    </row>
    <row r="115" spans="1:3" x14ac:dyDescent="0.25">
      <c r="C115" s="30"/>
    </row>
  </sheetData>
  <autoFilter ref="A1:Q23" xr:uid="{00000000-0009-0000-0000-000004000000}"/>
  <mergeCells count="1">
    <mergeCell ref="A28:D28"/>
  </mergeCells>
  <conditionalFormatting sqref="F1:F21">
    <cfRule type="cellIs" dxfId="33" priority="1" operator="lessThan">
      <formula>0</formula>
    </cfRule>
  </conditionalFormatting>
  <conditionalFormatting sqref="I19 I21">
    <cfRule type="cellIs" dxfId="32" priority="2" operator="greaterThanOrEqual">
      <formula>500</formula>
    </cfRule>
    <cfRule type="cellIs" dxfId="31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1"/>
  <sheetViews>
    <sheetView zoomScaleNormal="100" workbookViewId="0">
      <selection activeCell="X13" sqref="X13"/>
    </sheetView>
  </sheetViews>
  <sheetFormatPr defaultRowHeight="15" outlineLevelCol="1" x14ac:dyDescent="0.25"/>
  <cols>
    <col min="1" max="1" width="21.7109375" customWidth="1"/>
    <col min="2" max="2" width="18.7109375" hidden="1" customWidth="1" outlineLevel="1"/>
    <col min="3" max="3" width="11.42578125" hidden="1" customWidth="1" outlineLevel="1"/>
    <col min="4" max="5" width="8.85546875" hidden="1" customWidth="1" outlineLevel="1"/>
    <col min="6" max="6" width="11.28515625" customWidth="1" collapsed="1"/>
    <col min="7" max="7" width="9.5703125" hidden="1" customWidth="1" outlineLevel="1"/>
    <col min="8" max="8" width="8.85546875" hidden="1" customWidth="1" outlineLevel="1"/>
    <col min="9" max="9" width="8.85546875" collapsed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5" width="11.28515625" customWidth="1" outlineLevel="1"/>
    <col min="16" max="16" width="8.85546875" customWidth="1" outlineLevel="1"/>
    <col min="17" max="17" width="10.5703125" customWidth="1" outlineLevel="1"/>
    <col min="18" max="18" width="22.7109375" hidden="1" customWidth="1"/>
    <col min="19" max="19" width="15.7109375" customWidth="1"/>
    <col min="20" max="20" width="9.85546875" bestFit="1" customWidth="1"/>
  </cols>
  <sheetData>
    <row r="1" spans="1:20" ht="90" thickBot="1" x14ac:dyDescent="0.3">
      <c r="A1" s="35" t="s">
        <v>15</v>
      </c>
      <c r="B1" s="177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178" t="s">
        <v>49</v>
      </c>
      <c r="N1" s="178" t="s">
        <v>25</v>
      </c>
      <c r="O1" s="42" t="s">
        <v>95</v>
      </c>
      <c r="P1" s="42" t="s">
        <v>89</v>
      </c>
      <c r="Q1" s="42" t="s">
        <v>96</v>
      </c>
      <c r="R1" s="42" t="s">
        <v>4</v>
      </c>
      <c r="S1" s="42" t="s">
        <v>98</v>
      </c>
      <c r="T1" s="42" t="s">
        <v>100</v>
      </c>
    </row>
    <row r="2" spans="1:20" ht="15.75" hidden="1" thickBot="1" x14ac:dyDescent="0.3">
      <c r="A2" s="43" t="s">
        <v>29</v>
      </c>
      <c r="B2" s="179">
        <v>45474</v>
      </c>
      <c r="C2" s="180">
        <v>80</v>
      </c>
      <c r="D2" s="181">
        <f t="shared" ref="D2:D21" si="0">SUMIF($A$30:$A$188,A2,$B$30:$B$188)</f>
        <v>0</v>
      </c>
      <c r="E2" s="180"/>
      <c r="F2" s="47">
        <f>C2+D2-E2</f>
        <v>80</v>
      </c>
      <c r="G2" s="182">
        <f>'[4]Июнь 2024 '!H2</f>
        <v>14075</v>
      </c>
      <c r="H2" s="183"/>
      <c r="I2" s="183">
        <f>H2-G2</f>
        <v>-14075</v>
      </c>
      <c r="J2" s="180">
        <v>0</v>
      </c>
      <c r="K2" s="180"/>
      <c r="L2" s="180">
        <v>0</v>
      </c>
      <c r="M2" s="180">
        <f>VLOOKUP(A2,[4]Тарас!$C$4:$P$23,14,0)</f>
        <v>3.4</v>
      </c>
      <c r="N2" s="184"/>
      <c r="O2" s="182">
        <f>194.94*I2</f>
        <v>-2743780.5</v>
      </c>
      <c r="P2" s="182">
        <f>F2*$K$25</f>
        <v>3915.4135111311743</v>
      </c>
      <c r="Q2" s="182">
        <f>O2-P2</f>
        <v>-2747695.913511131</v>
      </c>
      <c r="R2" s="182"/>
      <c r="S2" s="182"/>
      <c r="T2" s="182"/>
    </row>
    <row r="3" spans="1:20" x14ac:dyDescent="0.25">
      <c r="A3" s="52" t="s">
        <v>30</v>
      </c>
      <c r="B3" s="62">
        <v>45566</v>
      </c>
      <c r="C3" s="54">
        <v>30</v>
      </c>
      <c r="D3" s="181">
        <f t="shared" si="0"/>
        <v>1057.02</v>
      </c>
      <c r="E3" s="54">
        <v>60</v>
      </c>
      <c r="F3" s="47">
        <f>C3+D3-E3</f>
        <v>1027.02</v>
      </c>
      <c r="G3" s="57"/>
      <c r="H3" s="58">
        <v>10943</v>
      </c>
      <c r="I3" s="183">
        <f>L3*0.53</f>
        <v>94.34</v>
      </c>
      <c r="J3" s="59"/>
      <c r="K3" s="59"/>
      <c r="L3" s="59">
        <v>178</v>
      </c>
      <c r="M3" s="68">
        <v>3.4</v>
      </c>
      <c r="N3" s="72">
        <f>F3/I3</f>
        <v>10.886368454526181</v>
      </c>
      <c r="O3" s="224">
        <f>N3-M3</f>
        <v>7.4863684545261808</v>
      </c>
      <c r="P3" s="182">
        <f>O3*I3*$K$25</f>
        <v>34566.445100319346</v>
      </c>
      <c r="Q3" s="225" t="s">
        <v>97</v>
      </c>
      <c r="R3" s="228"/>
      <c r="S3" s="212">
        <v>2900</v>
      </c>
      <c r="T3" s="212"/>
    </row>
    <row r="4" spans="1:20" ht="14.45" hidden="1" customHeight="1" x14ac:dyDescent="0.25">
      <c r="A4" s="186" t="s">
        <v>31</v>
      </c>
      <c r="B4" s="62">
        <v>45536</v>
      </c>
      <c r="C4" s="180"/>
      <c r="D4" s="181">
        <f t="shared" si="0"/>
        <v>0</v>
      </c>
      <c r="E4" s="180"/>
      <c r="F4" s="65">
        <f t="shared" ref="F4:F19" si="1">C4+D4-E4</f>
        <v>0</v>
      </c>
      <c r="G4" s="182"/>
      <c r="H4" s="183"/>
      <c r="I4" s="183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224" t="e">
        <f t="shared" ref="O4:O13" si="3">N4-M4</f>
        <v>#DIV/0!</v>
      </c>
      <c r="P4" s="182" t="e">
        <f t="shared" ref="P4:P12" si="4">O4*I4*K26</f>
        <v>#DIV/0!</v>
      </c>
      <c r="Q4" s="225"/>
      <c r="R4" s="229"/>
      <c r="S4" s="212"/>
      <c r="T4" s="212"/>
    </row>
    <row r="5" spans="1:20" x14ac:dyDescent="0.25">
      <c r="A5" s="70" t="s">
        <v>10</v>
      </c>
      <c r="B5" s="62">
        <v>45566</v>
      </c>
      <c r="C5" s="180">
        <v>10</v>
      </c>
      <c r="D5" s="181">
        <f t="shared" si="0"/>
        <v>890</v>
      </c>
      <c r="E5" s="180">
        <v>60</v>
      </c>
      <c r="F5" s="47">
        <f>C5+D5-E5</f>
        <v>840</v>
      </c>
      <c r="G5" s="182">
        <v>9842</v>
      </c>
      <c r="H5" s="183">
        <v>10004</v>
      </c>
      <c r="I5" s="183">
        <f t="shared" ref="I5:I18" si="5">H5-G5</f>
        <v>162</v>
      </c>
      <c r="J5" s="68">
        <v>0</v>
      </c>
      <c r="K5" s="68"/>
      <c r="L5" s="68">
        <v>253</v>
      </c>
      <c r="M5" s="68">
        <v>3.4</v>
      </c>
      <c r="N5" s="72">
        <f>F5/I5</f>
        <v>5.1851851851851851</v>
      </c>
      <c r="O5" s="224">
        <f t="shared" si="3"/>
        <v>1.7851851851851852</v>
      </c>
      <c r="P5" s="182">
        <f>O5*I5*$K$25</f>
        <v>14154.219842739196</v>
      </c>
      <c r="Q5" s="225" t="s">
        <v>99</v>
      </c>
      <c r="R5" s="229"/>
      <c r="S5" s="212">
        <v>57000</v>
      </c>
      <c r="T5" s="212">
        <f>S5-P5</f>
        <v>42845.7801572608</v>
      </c>
    </row>
    <row r="6" spans="1:20" ht="18" customHeight="1" x14ac:dyDescent="0.25">
      <c r="A6" s="70" t="s">
        <v>11</v>
      </c>
      <c r="B6" s="62">
        <v>45566</v>
      </c>
      <c r="C6" s="180">
        <v>20</v>
      </c>
      <c r="D6" s="181">
        <f t="shared" si="0"/>
        <v>828</v>
      </c>
      <c r="E6" s="180">
        <v>70</v>
      </c>
      <c r="F6" s="65">
        <f t="shared" si="1"/>
        <v>778</v>
      </c>
      <c r="G6" s="182"/>
      <c r="H6" s="183"/>
      <c r="I6" s="183">
        <f>L6*0.53</f>
        <v>108.65</v>
      </c>
      <c r="J6" s="68">
        <v>0</v>
      </c>
      <c r="K6" s="68"/>
      <c r="L6" s="68">
        <v>205</v>
      </c>
      <c r="M6" s="68">
        <v>3.4</v>
      </c>
      <c r="N6" s="72">
        <f>F6/I6</f>
        <v>7.1606074551311547</v>
      </c>
      <c r="O6" s="224">
        <f t="shared" si="3"/>
        <v>3.7606074551311548</v>
      </c>
      <c r="P6" s="182">
        <f>O6*I6*$K$25</f>
        <v>19997.485081413583</v>
      </c>
      <c r="Q6" s="225" t="s">
        <v>97</v>
      </c>
      <c r="R6" s="229"/>
      <c r="S6" s="212">
        <v>33300</v>
      </c>
      <c r="T6" s="212"/>
    </row>
    <row r="7" spans="1:20" hidden="1" x14ac:dyDescent="0.25">
      <c r="A7" s="70" t="s">
        <v>32</v>
      </c>
      <c r="B7" s="62">
        <v>45566</v>
      </c>
      <c r="C7" s="180">
        <v>65</v>
      </c>
      <c r="D7" s="181">
        <f t="shared" si="0"/>
        <v>60</v>
      </c>
      <c r="E7" s="180">
        <v>85</v>
      </c>
      <c r="F7" s="65">
        <f t="shared" si="1"/>
        <v>40</v>
      </c>
      <c r="G7" s="182">
        <v>4981</v>
      </c>
      <c r="H7" s="183">
        <v>4992</v>
      </c>
      <c r="I7" s="183">
        <f>H7-G7</f>
        <v>11</v>
      </c>
      <c r="J7" s="68">
        <v>0</v>
      </c>
      <c r="K7" s="68"/>
      <c r="L7" s="68">
        <v>3</v>
      </c>
      <c r="M7" s="68">
        <v>5</v>
      </c>
      <c r="N7" s="71">
        <f t="shared" si="2"/>
        <v>3.6363636363636362</v>
      </c>
      <c r="O7" s="224">
        <f t="shared" si="3"/>
        <v>-1.3636363636363638</v>
      </c>
      <c r="P7" s="182">
        <f t="shared" si="4"/>
        <v>0</v>
      </c>
      <c r="Q7" s="225"/>
      <c r="R7" s="229"/>
      <c r="S7" s="212"/>
      <c r="T7" s="212"/>
    </row>
    <row r="8" spans="1:20" hidden="1" x14ac:dyDescent="0.25">
      <c r="A8" s="70" t="s">
        <v>33</v>
      </c>
      <c r="B8" s="62">
        <v>45566</v>
      </c>
      <c r="C8" s="180"/>
      <c r="D8" s="181">
        <f t="shared" si="0"/>
        <v>0</v>
      </c>
      <c r="E8" s="180"/>
      <c r="F8" s="65">
        <f t="shared" si="1"/>
        <v>0</v>
      </c>
      <c r="G8" s="182"/>
      <c r="H8" s="183"/>
      <c r="I8" s="183">
        <f t="shared" si="5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224" t="e">
        <f t="shared" si="3"/>
        <v>#DIV/0!</v>
      </c>
      <c r="P8" s="182" t="e">
        <f t="shared" si="4"/>
        <v>#DIV/0!</v>
      </c>
      <c r="Q8" s="225"/>
      <c r="R8" s="229"/>
      <c r="S8" s="212"/>
      <c r="T8" s="212"/>
    </row>
    <row r="9" spans="1:20" hidden="1" x14ac:dyDescent="0.25">
      <c r="A9" s="70" t="s">
        <v>12</v>
      </c>
      <c r="B9" s="62">
        <v>45566</v>
      </c>
      <c r="C9" s="180">
        <v>10</v>
      </c>
      <c r="D9" s="181">
        <f t="shared" si="0"/>
        <v>840.05</v>
      </c>
      <c r="E9" s="180">
        <v>50</v>
      </c>
      <c r="F9" s="47">
        <f>C9+D9-E9</f>
        <v>800.05</v>
      </c>
      <c r="G9" s="182">
        <v>17802</v>
      </c>
      <c r="H9" s="183">
        <v>18010</v>
      </c>
      <c r="I9" s="183">
        <f>H9-G9</f>
        <v>208</v>
      </c>
      <c r="J9" s="68">
        <v>0</v>
      </c>
      <c r="K9" s="68"/>
      <c r="L9" s="68">
        <v>216</v>
      </c>
      <c r="M9" s="68">
        <v>4.0999999999999996</v>
      </c>
      <c r="N9" s="71">
        <f>F9/I9</f>
        <v>3.8463942307692305</v>
      </c>
      <c r="O9" s="224">
        <f t="shared" si="3"/>
        <v>-0.25360576923076916</v>
      </c>
      <c r="P9" s="182">
        <f t="shared" si="4"/>
        <v>0</v>
      </c>
      <c r="Q9" s="225"/>
      <c r="R9" s="229"/>
      <c r="S9" s="212"/>
      <c r="T9" s="212"/>
    </row>
    <row r="10" spans="1:20" x14ac:dyDescent="0.25">
      <c r="A10" s="70" t="s">
        <v>14</v>
      </c>
      <c r="B10" s="62">
        <v>45566</v>
      </c>
      <c r="C10" s="180">
        <v>20</v>
      </c>
      <c r="D10" s="181">
        <f t="shared" si="0"/>
        <v>830</v>
      </c>
      <c r="E10" s="180">
        <v>80</v>
      </c>
      <c r="F10" s="47">
        <f>C10+D10-E10</f>
        <v>770</v>
      </c>
      <c r="G10" s="182"/>
      <c r="H10" s="183"/>
      <c r="I10" s="183">
        <f>L10*0.55</f>
        <v>97.350000000000009</v>
      </c>
      <c r="J10" s="68">
        <v>0</v>
      </c>
      <c r="K10" s="68"/>
      <c r="L10" s="68">
        <v>177</v>
      </c>
      <c r="M10" s="68">
        <v>4.0999999999999996</v>
      </c>
      <c r="N10" s="72">
        <f>F10/I10</f>
        <v>7.9096045197740104</v>
      </c>
      <c r="O10" s="224">
        <f t="shared" si="3"/>
        <v>3.8096045197740107</v>
      </c>
      <c r="P10" s="182">
        <f>O10*I10*$K$25</f>
        <v>18151.122897570785</v>
      </c>
      <c r="Q10" s="225" t="s">
        <v>101</v>
      </c>
      <c r="R10" s="230"/>
      <c r="S10" s="212">
        <v>36400</v>
      </c>
      <c r="T10" s="212">
        <f>S10-P10</f>
        <v>18248.877102429215</v>
      </c>
    </row>
    <row r="11" spans="1:20" hidden="1" x14ac:dyDescent="0.25">
      <c r="A11" s="70" t="s">
        <v>13</v>
      </c>
      <c r="B11" s="62">
        <v>45566</v>
      </c>
      <c r="C11" s="180">
        <v>20</v>
      </c>
      <c r="D11" s="181">
        <f t="shared" si="0"/>
        <v>0</v>
      </c>
      <c r="E11" s="180">
        <v>20</v>
      </c>
      <c r="F11" s="65">
        <f t="shared" si="1"/>
        <v>0</v>
      </c>
      <c r="G11" s="182"/>
      <c r="H11" s="183"/>
      <c r="I11" s="183">
        <f t="shared" si="5"/>
        <v>0</v>
      </c>
      <c r="J11" s="68">
        <v>0</v>
      </c>
      <c r="K11" s="68"/>
      <c r="L11" s="68"/>
      <c r="M11" s="68">
        <v>4.0999999999999996</v>
      </c>
      <c r="N11" s="72"/>
      <c r="O11" s="224">
        <f t="shared" si="3"/>
        <v>-4.0999999999999996</v>
      </c>
      <c r="P11" s="182">
        <f t="shared" si="4"/>
        <v>0</v>
      </c>
      <c r="Q11" s="225"/>
      <c r="R11" s="229"/>
      <c r="S11" s="212"/>
      <c r="T11" s="226"/>
    </row>
    <row r="12" spans="1:20" hidden="1" x14ac:dyDescent="0.25">
      <c r="A12" s="70" t="s">
        <v>34</v>
      </c>
      <c r="B12" s="62">
        <v>45566</v>
      </c>
      <c r="C12" s="180">
        <v>301</v>
      </c>
      <c r="D12" s="181">
        <f t="shared" si="0"/>
        <v>2127.8999999999996</v>
      </c>
      <c r="E12" s="180">
        <v>129</v>
      </c>
      <c r="F12" s="65">
        <f t="shared" si="1"/>
        <v>2299.8999999999996</v>
      </c>
      <c r="G12" s="182">
        <v>7387</v>
      </c>
      <c r="H12" s="183">
        <v>7583</v>
      </c>
      <c r="I12" s="183">
        <f>H12-G12</f>
        <v>196</v>
      </c>
      <c r="J12" s="68">
        <v>0</v>
      </c>
      <c r="K12" s="68"/>
      <c r="L12" s="68">
        <v>230</v>
      </c>
      <c r="M12" s="68">
        <v>10.5</v>
      </c>
      <c r="N12" s="72">
        <f>F12/I12</f>
        <v>11.734183673469387</v>
      </c>
      <c r="O12" s="224">
        <f t="shared" si="3"/>
        <v>1.2341836734693867</v>
      </c>
      <c r="P12" s="182">
        <f t="shared" si="4"/>
        <v>0</v>
      </c>
      <c r="Q12" s="225"/>
      <c r="R12" s="229" t="s">
        <v>83</v>
      </c>
      <c r="S12" s="212"/>
      <c r="T12" s="226"/>
    </row>
    <row r="13" spans="1:20" x14ac:dyDescent="0.25">
      <c r="A13" s="99" t="s">
        <v>35</v>
      </c>
      <c r="B13" s="62">
        <v>45566</v>
      </c>
      <c r="C13" s="180">
        <v>150</v>
      </c>
      <c r="D13" s="181">
        <f t="shared" si="0"/>
        <v>788.69</v>
      </c>
      <c r="E13" s="180">
        <v>40</v>
      </c>
      <c r="F13" s="65">
        <f t="shared" si="1"/>
        <v>898.69</v>
      </c>
      <c r="G13" s="182">
        <v>32692</v>
      </c>
      <c r="H13" s="183">
        <v>33450</v>
      </c>
      <c r="I13" s="183">
        <f t="shared" si="5"/>
        <v>758</v>
      </c>
      <c r="J13" s="68">
        <v>0</v>
      </c>
      <c r="K13" s="68"/>
      <c r="L13" s="68">
        <v>214</v>
      </c>
      <c r="M13" s="68">
        <v>0.9</v>
      </c>
      <c r="N13" s="72">
        <f>F13/I13</f>
        <v>1.1856068601583114</v>
      </c>
      <c r="O13" s="224">
        <f t="shared" si="3"/>
        <v>0.28560686015831138</v>
      </c>
      <c r="P13" s="182">
        <f>O13*I13*$K$25</f>
        <v>10595.598387809852</v>
      </c>
      <c r="Q13" s="225" t="s">
        <v>102</v>
      </c>
      <c r="R13" s="229"/>
      <c r="S13" s="212">
        <v>35300</v>
      </c>
      <c r="T13" s="227">
        <f>S13-P13</f>
        <v>24704.401612190148</v>
      </c>
    </row>
    <row r="14" spans="1:20" hidden="1" x14ac:dyDescent="0.25">
      <c r="A14" s="99" t="s">
        <v>7</v>
      </c>
      <c r="B14" s="62">
        <v>45566</v>
      </c>
      <c r="C14" s="180">
        <v>160</v>
      </c>
      <c r="D14" s="181">
        <f t="shared" si="0"/>
        <v>876.11</v>
      </c>
      <c r="E14" s="180">
        <v>150</v>
      </c>
      <c r="F14" s="47">
        <f t="shared" si="1"/>
        <v>886.11000000000013</v>
      </c>
      <c r="G14" s="182">
        <v>37210</v>
      </c>
      <c r="H14" s="183">
        <v>38463</v>
      </c>
      <c r="I14" s="183">
        <f>H14-G14</f>
        <v>1253</v>
      </c>
      <c r="J14" s="68">
        <v>0</v>
      </c>
      <c r="K14" s="68">
        <v>730</v>
      </c>
      <c r="L14" s="68">
        <v>197</v>
      </c>
      <c r="M14" s="68">
        <v>0.9</v>
      </c>
      <c r="N14" s="71">
        <f>F14/I14</f>
        <v>0.70719074221867528</v>
      </c>
      <c r="O14" s="182">
        <f>(51.3*(I14-K14))+(K14*14.25)</f>
        <v>37232.399999999994</v>
      </c>
      <c r="P14" s="182">
        <f>F14*$K$25</f>
        <v>43368.588329355567</v>
      </c>
      <c r="Q14" s="185">
        <f t="shared" ref="Q14:Q21" si="6">O14-P14</f>
        <v>-6136.1883293555729</v>
      </c>
      <c r="R14" s="231"/>
      <c r="S14" s="1"/>
    </row>
    <row r="15" spans="1:20" hidden="1" x14ac:dyDescent="0.25">
      <c r="A15" s="99" t="s">
        <v>8</v>
      </c>
      <c r="B15" s="62">
        <v>45566</v>
      </c>
      <c r="C15" s="180">
        <v>204</v>
      </c>
      <c r="D15" s="181">
        <f t="shared" si="0"/>
        <v>0</v>
      </c>
      <c r="E15" s="180">
        <v>204</v>
      </c>
      <c r="F15" s="65">
        <f t="shared" si="1"/>
        <v>0</v>
      </c>
      <c r="G15" s="182">
        <v>560504</v>
      </c>
      <c r="H15" s="183"/>
      <c r="I15" s="183">
        <f t="shared" si="5"/>
        <v>-560504</v>
      </c>
      <c r="J15" s="68">
        <v>0</v>
      </c>
      <c r="K15" s="68"/>
      <c r="L15" s="68"/>
      <c r="M15" s="68">
        <v>0.9</v>
      </c>
      <c r="N15" s="72">
        <f t="shared" si="2"/>
        <v>0</v>
      </c>
      <c r="O15" s="182">
        <f>(51.3*(I15-K15))+(K15*19.85)</f>
        <v>-28753855.199999999</v>
      </c>
      <c r="P15" s="182">
        <f t="shared" ref="P15:P21" si="7">F15*$K$25</f>
        <v>0</v>
      </c>
      <c r="Q15" s="187">
        <f t="shared" si="6"/>
        <v>-28753855.199999999</v>
      </c>
      <c r="R15" s="231"/>
      <c r="S15" s="1"/>
    </row>
    <row r="16" spans="1:20" hidden="1" x14ac:dyDescent="0.25">
      <c r="A16" s="99" t="s">
        <v>9</v>
      </c>
      <c r="B16" s="62">
        <v>45566</v>
      </c>
      <c r="C16" s="180">
        <v>181</v>
      </c>
      <c r="D16" s="181">
        <f t="shared" si="0"/>
        <v>1545.02</v>
      </c>
      <c r="E16" s="180">
        <v>130</v>
      </c>
      <c r="F16" s="65">
        <f t="shared" si="1"/>
        <v>1596.02</v>
      </c>
      <c r="G16" s="182">
        <v>68211</v>
      </c>
      <c r="H16" s="183">
        <v>70039</v>
      </c>
      <c r="I16" s="183">
        <f t="shared" si="5"/>
        <v>1828</v>
      </c>
      <c r="J16" s="68">
        <v>0</v>
      </c>
      <c r="K16" s="68"/>
      <c r="L16" s="68">
        <v>228</v>
      </c>
      <c r="M16" s="68">
        <v>0.9</v>
      </c>
      <c r="N16" s="71">
        <f>F16/I16</f>
        <v>0.87309628008752738</v>
      </c>
      <c r="O16" s="182">
        <f>(51.3*(I16-K16))+(K16*19.85)</f>
        <v>93776.4</v>
      </c>
      <c r="P16" s="182">
        <f t="shared" si="7"/>
        <v>78113.478400444714</v>
      </c>
      <c r="Q16" s="187">
        <f t="shared" si="6"/>
        <v>15662.92159955528</v>
      </c>
      <c r="R16" s="231" t="s">
        <v>84</v>
      </c>
      <c r="S16" s="232"/>
    </row>
    <row r="17" spans="1:19" hidden="1" x14ac:dyDescent="0.25">
      <c r="A17" s="99" t="s">
        <v>60</v>
      </c>
      <c r="B17" s="62">
        <v>45566</v>
      </c>
      <c r="C17" s="180">
        <v>160</v>
      </c>
      <c r="D17" s="181">
        <f t="shared" si="0"/>
        <v>2237.81</v>
      </c>
      <c r="E17" s="180">
        <v>150</v>
      </c>
      <c r="F17" s="65">
        <f t="shared" si="1"/>
        <v>2247.81</v>
      </c>
      <c r="G17" s="182">
        <v>64118</v>
      </c>
      <c r="H17" s="183">
        <v>67426</v>
      </c>
      <c r="I17" s="183">
        <f t="shared" si="5"/>
        <v>3308</v>
      </c>
      <c r="J17" s="68">
        <v>0</v>
      </c>
      <c r="K17" s="68">
        <v>730</v>
      </c>
      <c r="L17" s="68">
        <v>243</v>
      </c>
      <c r="M17" s="68">
        <v>0.9</v>
      </c>
      <c r="N17" s="71">
        <f>F17/I17</f>
        <v>0.67950725513905685</v>
      </c>
      <c r="O17" s="182">
        <f>(51.3*(I17-K17))+(K17*19.85)</f>
        <v>146741.9</v>
      </c>
      <c r="P17" s="182">
        <f t="shared" si="7"/>
        <v>110013.82055569706</v>
      </c>
      <c r="Q17" s="187">
        <f t="shared" si="6"/>
        <v>36728.07944430293</v>
      </c>
      <c r="R17" s="231" t="s">
        <v>85</v>
      </c>
      <c r="S17" s="232"/>
    </row>
    <row r="18" spans="1:19" ht="15" hidden="1" customHeight="1" x14ac:dyDescent="0.25">
      <c r="A18" s="99" t="s">
        <v>36</v>
      </c>
      <c r="B18" s="62">
        <v>45566</v>
      </c>
      <c r="C18" s="180"/>
      <c r="D18" s="181">
        <f t="shared" si="0"/>
        <v>0</v>
      </c>
      <c r="E18" s="180"/>
      <c r="F18" s="65">
        <f t="shared" si="1"/>
        <v>0</v>
      </c>
      <c r="G18" s="182"/>
      <c r="H18" s="183"/>
      <c r="I18" s="183">
        <f t="shared" si="5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182">
        <f t="shared" si="7"/>
        <v>0</v>
      </c>
      <c r="Q18" s="187">
        <f t="shared" si="6"/>
        <v>0</v>
      </c>
      <c r="R18" s="231"/>
      <c r="S18" s="1"/>
    </row>
    <row r="19" spans="1:19" hidden="1" x14ac:dyDescent="0.25">
      <c r="A19" s="100" t="s">
        <v>37</v>
      </c>
      <c r="B19" s="62">
        <v>45566</v>
      </c>
      <c r="C19" s="180">
        <v>40</v>
      </c>
      <c r="D19" s="181">
        <f t="shared" si="0"/>
        <v>260</v>
      </c>
      <c r="E19" s="180">
        <v>70</v>
      </c>
      <c r="F19" s="65">
        <f t="shared" si="1"/>
        <v>230</v>
      </c>
      <c r="G19" s="182"/>
      <c r="H19" s="183"/>
      <c r="I19" s="183">
        <f>L19*0.7</f>
        <v>32.199999999999996</v>
      </c>
      <c r="J19" s="68">
        <v>0</v>
      </c>
      <c r="K19" s="68"/>
      <c r="L19" s="68">
        <v>46</v>
      </c>
      <c r="M19" s="68">
        <v>5.0999999999999996</v>
      </c>
      <c r="N19" s="72">
        <f t="shared" si="2"/>
        <v>7.1428571428571441</v>
      </c>
      <c r="O19" s="182">
        <f>290.07*I19</f>
        <v>9340.253999999999</v>
      </c>
      <c r="P19" s="182">
        <f t="shared" si="7"/>
        <v>11256.813844502127</v>
      </c>
      <c r="Q19" s="185">
        <f t="shared" si="6"/>
        <v>-1916.5598445021278</v>
      </c>
      <c r="R19" s="231"/>
      <c r="S19" s="232"/>
    </row>
    <row r="20" spans="1:19" hidden="1" x14ac:dyDescent="0.25">
      <c r="A20" s="99" t="s">
        <v>5</v>
      </c>
      <c r="B20" s="62">
        <v>45566</v>
      </c>
      <c r="C20" s="180">
        <v>60</v>
      </c>
      <c r="D20" s="181">
        <f t="shared" si="0"/>
        <v>280</v>
      </c>
      <c r="E20" s="180">
        <v>224</v>
      </c>
      <c r="F20" s="68">
        <f>C20+D20-E20</f>
        <v>116</v>
      </c>
      <c r="G20" s="182">
        <v>6142</v>
      </c>
      <c r="H20" s="183">
        <v>6213</v>
      </c>
      <c r="I20" s="73">
        <f>H20-G20</f>
        <v>71</v>
      </c>
      <c r="J20" s="68">
        <v>0</v>
      </c>
      <c r="K20" s="68"/>
      <c r="L20" s="68">
        <v>239</v>
      </c>
      <c r="M20" s="68">
        <v>3.2</v>
      </c>
      <c r="N20" s="71">
        <f>F20/I20</f>
        <v>1.6338028169014085</v>
      </c>
      <c r="O20" s="73">
        <f>182.4*I20</f>
        <v>12950.4</v>
      </c>
      <c r="P20" s="182">
        <f t="shared" si="7"/>
        <v>5677.3495911402033</v>
      </c>
      <c r="Q20" s="187">
        <f t="shared" si="6"/>
        <v>7273.0504088597963</v>
      </c>
      <c r="R20" s="231" t="s">
        <v>86</v>
      </c>
      <c r="S20" s="232"/>
    </row>
    <row r="21" spans="1:19" ht="15.75" hidden="1" thickBot="1" x14ac:dyDescent="0.3">
      <c r="A21" s="101" t="s">
        <v>6</v>
      </c>
      <c r="B21" s="62">
        <v>45566</v>
      </c>
      <c r="C21" s="75">
        <v>152</v>
      </c>
      <c r="D21" s="76">
        <f t="shared" si="0"/>
        <v>493.91999999999996</v>
      </c>
      <c r="E21" s="75">
        <v>40</v>
      </c>
      <c r="F21" s="97">
        <f>C21+D21-E21</f>
        <v>605.91999999999996</v>
      </c>
      <c r="G21" s="77"/>
      <c r="H21" s="78"/>
      <c r="I21" s="78">
        <f>L21*0.7</f>
        <v>155.39999999999998</v>
      </c>
      <c r="J21" s="75">
        <v>0</v>
      </c>
      <c r="K21" s="79"/>
      <c r="L21" s="75">
        <v>222</v>
      </c>
      <c r="M21" s="75">
        <v>2.9</v>
      </c>
      <c r="N21" s="95">
        <f t="shared" si="2"/>
        <v>3.8990990990990992</v>
      </c>
      <c r="O21" s="73">
        <f>I21*165.3+28.5*K21</f>
        <v>25687.62</v>
      </c>
      <c r="P21" s="77">
        <f t="shared" si="7"/>
        <v>29655.341933307514</v>
      </c>
      <c r="Q21" s="98">
        <f t="shared" si="6"/>
        <v>-3967.7219333075154</v>
      </c>
      <c r="R21" s="231" t="s">
        <v>87</v>
      </c>
      <c r="S21" s="1"/>
    </row>
    <row r="22" spans="1:19" hidden="1" x14ac:dyDescent="0.25">
      <c r="A22" s="51"/>
      <c r="B22" s="51"/>
      <c r="C22" s="92">
        <f>SUM(C3:C21)</f>
        <v>1583</v>
      </c>
      <c r="D22" s="93">
        <f>SUM(D2:D21)</f>
        <v>13114.52</v>
      </c>
      <c r="E22" s="92">
        <f>SUM(E2:E21)</f>
        <v>1562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1"/>
    </row>
    <row r="23" spans="1:19" x14ac:dyDescent="0.25">
      <c r="A23" s="51"/>
      <c r="B23" s="51"/>
      <c r="C23" s="51"/>
      <c r="D23" s="106">
        <f>D22-B189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1"/>
    </row>
    <row r="25" spans="1:19" x14ac:dyDescent="0.25">
      <c r="D25" s="17"/>
      <c r="J25" s="18" t="s">
        <v>39</v>
      </c>
      <c r="K25" s="19">
        <f>SUM(C30:C188)/B189</f>
        <v>48.942668889139682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189" t="s">
        <v>15</v>
      </c>
      <c r="B29" s="189" t="s">
        <v>41</v>
      </c>
      <c r="C29" s="189" t="s">
        <v>42</v>
      </c>
      <c r="D29" s="189" t="s">
        <v>43</v>
      </c>
    </row>
    <row r="30" spans="1:19" x14ac:dyDescent="0.25">
      <c r="A30" s="70" t="s">
        <v>12</v>
      </c>
      <c r="B30" s="3">
        <v>46.11</v>
      </c>
      <c r="C30" s="12">
        <f>B30*48.625</f>
        <v>2242.0987500000001</v>
      </c>
      <c r="D30" s="22" t="s">
        <v>44</v>
      </c>
    </row>
    <row r="31" spans="1:19" x14ac:dyDescent="0.25">
      <c r="A31" s="70" t="s">
        <v>12</v>
      </c>
      <c r="B31" s="9">
        <v>53.89</v>
      </c>
      <c r="C31" s="12">
        <f t="shared" ref="C31:C94" si="8">B31*48.625</f>
        <v>2620.4012499999999</v>
      </c>
      <c r="D31" s="22" t="s">
        <v>44</v>
      </c>
    </row>
    <row r="32" spans="1:19" x14ac:dyDescent="0.25">
      <c r="A32" s="70" t="s">
        <v>12</v>
      </c>
      <c r="B32" s="9">
        <v>114.64</v>
      </c>
      <c r="C32" s="12">
        <f t="shared" si="8"/>
        <v>5574.37</v>
      </c>
      <c r="D32" s="22" t="s">
        <v>44</v>
      </c>
    </row>
    <row r="33" spans="1:4" x14ac:dyDescent="0.25">
      <c r="A33" s="70" t="s">
        <v>12</v>
      </c>
      <c r="B33" s="9">
        <v>85.36</v>
      </c>
      <c r="C33" s="12">
        <f t="shared" si="8"/>
        <v>4150.63</v>
      </c>
      <c r="D33" s="22" t="s">
        <v>44</v>
      </c>
    </row>
    <row r="34" spans="1:4" x14ac:dyDescent="0.25">
      <c r="A34" s="70" t="s">
        <v>12</v>
      </c>
      <c r="B34" s="9">
        <v>100</v>
      </c>
      <c r="C34" s="12">
        <f t="shared" si="8"/>
        <v>4862.5</v>
      </c>
      <c r="D34" s="22" t="s">
        <v>44</v>
      </c>
    </row>
    <row r="35" spans="1:4" x14ac:dyDescent="0.25">
      <c r="A35" s="70" t="s">
        <v>12</v>
      </c>
      <c r="B35" s="9">
        <v>100</v>
      </c>
      <c r="C35" s="12">
        <f t="shared" si="8"/>
        <v>4862.5</v>
      </c>
      <c r="D35" s="22" t="s">
        <v>44</v>
      </c>
    </row>
    <row r="36" spans="1:4" x14ac:dyDescent="0.25">
      <c r="A36" s="70" t="s">
        <v>12</v>
      </c>
      <c r="B36" s="9">
        <v>100</v>
      </c>
      <c r="C36" s="12">
        <f t="shared" si="8"/>
        <v>4862.5</v>
      </c>
      <c r="D36" s="22" t="s">
        <v>44</v>
      </c>
    </row>
    <row r="37" spans="1:4" x14ac:dyDescent="0.25">
      <c r="A37" s="70" t="s">
        <v>12</v>
      </c>
      <c r="B37" s="9">
        <v>40.049999999999997</v>
      </c>
      <c r="C37" s="12">
        <f t="shared" si="8"/>
        <v>1947.4312499999999</v>
      </c>
      <c r="D37" s="22" t="s">
        <v>44</v>
      </c>
    </row>
    <row r="38" spans="1:4" x14ac:dyDescent="0.25">
      <c r="A38" s="70" t="s">
        <v>12</v>
      </c>
      <c r="B38" s="167">
        <v>100</v>
      </c>
      <c r="C38" s="12">
        <f t="shared" si="8"/>
        <v>4862.5</v>
      </c>
      <c r="D38" s="22" t="s">
        <v>44</v>
      </c>
    </row>
    <row r="39" spans="1:4" x14ac:dyDescent="0.25">
      <c r="A39" s="70" t="s">
        <v>12</v>
      </c>
      <c r="B39" s="167">
        <v>100</v>
      </c>
      <c r="C39" s="12">
        <f t="shared" si="8"/>
        <v>4862.5</v>
      </c>
      <c r="D39" s="22" t="s">
        <v>44</v>
      </c>
    </row>
    <row r="40" spans="1:4" x14ac:dyDescent="0.25">
      <c r="A40" s="10" t="s">
        <v>7</v>
      </c>
      <c r="B40" s="167">
        <v>100</v>
      </c>
      <c r="C40" s="12">
        <f t="shared" si="8"/>
        <v>4862.5</v>
      </c>
      <c r="D40" s="22" t="s">
        <v>44</v>
      </c>
    </row>
    <row r="41" spans="1:4" x14ac:dyDescent="0.25">
      <c r="A41" s="10" t="s">
        <v>7</v>
      </c>
      <c r="B41" s="167">
        <v>140.01</v>
      </c>
      <c r="C41" s="12">
        <f t="shared" si="8"/>
        <v>6807.9862499999999</v>
      </c>
      <c r="D41" s="22" t="s">
        <v>44</v>
      </c>
    </row>
    <row r="42" spans="1:4" x14ac:dyDescent="0.25">
      <c r="A42" s="10" t="s">
        <v>7</v>
      </c>
      <c r="B42" s="167">
        <v>53.34</v>
      </c>
      <c r="C42" s="12">
        <f t="shared" si="8"/>
        <v>2593.6575000000003</v>
      </c>
      <c r="D42" s="22" t="s">
        <v>44</v>
      </c>
    </row>
    <row r="43" spans="1:4" x14ac:dyDescent="0.25">
      <c r="A43" s="10" t="s">
        <v>7</v>
      </c>
      <c r="B43" s="167">
        <v>130</v>
      </c>
      <c r="C43" s="12">
        <f t="shared" si="8"/>
        <v>6321.25</v>
      </c>
      <c r="D43" s="22" t="s">
        <v>44</v>
      </c>
    </row>
    <row r="44" spans="1:4" x14ac:dyDescent="0.25">
      <c r="A44" s="10" t="s">
        <v>7</v>
      </c>
      <c r="B44" s="167">
        <v>130</v>
      </c>
      <c r="C44" s="12">
        <f t="shared" si="8"/>
        <v>6321.25</v>
      </c>
      <c r="D44" s="22" t="s">
        <v>44</v>
      </c>
    </row>
    <row r="45" spans="1:4" x14ac:dyDescent="0.25">
      <c r="A45" s="10" t="s">
        <v>6</v>
      </c>
      <c r="B45" s="167">
        <v>120</v>
      </c>
      <c r="C45" s="12">
        <f t="shared" si="8"/>
        <v>5835</v>
      </c>
      <c r="D45" s="22" t="s">
        <v>44</v>
      </c>
    </row>
    <row r="46" spans="1:4" x14ac:dyDescent="0.25">
      <c r="A46" s="10" t="s">
        <v>6</v>
      </c>
      <c r="B46" s="167">
        <v>43.91</v>
      </c>
      <c r="C46" s="12">
        <f t="shared" si="8"/>
        <v>2135.1237499999997</v>
      </c>
      <c r="D46" s="22" t="s">
        <v>44</v>
      </c>
    </row>
    <row r="47" spans="1:4" x14ac:dyDescent="0.25">
      <c r="A47" s="10" t="s">
        <v>6</v>
      </c>
      <c r="B47" s="167">
        <v>35</v>
      </c>
      <c r="C47" s="12">
        <f t="shared" si="8"/>
        <v>1701.875</v>
      </c>
      <c r="D47" s="22" t="s">
        <v>44</v>
      </c>
    </row>
    <row r="48" spans="1:4" x14ac:dyDescent="0.25">
      <c r="A48" s="10" t="s">
        <v>6</v>
      </c>
      <c r="B48" s="167">
        <v>150</v>
      </c>
      <c r="C48" s="12">
        <f t="shared" si="8"/>
        <v>7293.75</v>
      </c>
      <c r="D48" s="22" t="s">
        <v>44</v>
      </c>
    </row>
    <row r="49" spans="1:4" x14ac:dyDescent="0.25">
      <c r="A49" s="22" t="s">
        <v>6</v>
      </c>
      <c r="B49" s="9">
        <v>145.01</v>
      </c>
      <c r="C49" s="12">
        <f t="shared" si="8"/>
        <v>7051.1112499999999</v>
      </c>
      <c r="D49" s="22" t="s">
        <v>44</v>
      </c>
    </row>
    <row r="50" spans="1:4" x14ac:dyDescent="0.25">
      <c r="A50" s="10" t="s">
        <v>35</v>
      </c>
      <c r="B50" s="9">
        <v>169.93</v>
      </c>
      <c r="C50" s="12">
        <f t="shared" si="8"/>
        <v>8262.8462500000005</v>
      </c>
      <c r="D50" s="22" t="s">
        <v>44</v>
      </c>
    </row>
    <row r="51" spans="1:4" x14ac:dyDescent="0.25">
      <c r="A51" s="10" t="s">
        <v>35</v>
      </c>
      <c r="B51" s="9">
        <v>147.38999999999999</v>
      </c>
      <c r="C51" s="12">
        <f t="shared" si="8"/>
        <v>7166.838749999999</v>
      </c>
      <c r="D51" s="22" t="s">
        <v>44</v>
      </c>
    </row>
    <row r="52" spans="1:4" x14ac:dyDescent="0.25">
      <c r="A52" s="10" t="s">
        <v>35</v>
      </c>
      <c r="B52" s="9">
        <v>104.83</v>
      </c>
      <c r="C52" s="12">
        <f t="shared" si="8"/>
        <v>5097.3587500000003</v>
      </c>
      <c r="D52" s="22" t="s">
        <v>44</v>
      </c>
    </row>
    <row r="53" spans="1:4" x14ac:dyDescent="0.25">
      <c r="A53" s="10" t="s">
        <v>35</v>
      </c>
      <c r="B53" s="9">
        <v>66.540000000000006</v>
      </c>
      <c r="C53" s="12">
        <f t="shared" si="8"/>
        <v>3235.5075000000002</v>
      </c>
      <c r="D53" s="22" t="s">
        <v>44</v>
      </c>
    </row>
    <row r="54" spans="1:4" x14ac:dyDescent="0.25">
      <c r="A54" s="10" t="s">
        <v>35</v>
      </c>
      <c r="B54" s="9">
        <v>100</v>
      </c>
      <c r="C54" s="12">
        <f t="shared" si="8"/>
        <v>4862.5</v>
      </c>
      <c r="D54" s="22" t="s">
        <v>44</v>
      </c>
    </row>
    <row r="55" spans="1:4" x14ac:dyDescent="0.25">
      <c r="A55" s="10" t="s">
        <v>35</v>
      </c>
      <c r="B55" s="9">
        <v>100</v>
      </c>
      <c r="C55" s="12">
        <f t="shared" si="8"/>
        <v>4862.5</v>
      </c>
      <c r="D55" s="22" t="s">
        <v>44</v>
      </c>
    </row>
    <row r="56" spans="1:4" x14ac:dyDescent="0.25">
      <c r="A56" s="10" t="s">
        <v>35</v>
      </c>
      <c r="B56" s="9">
        <v>100</v>
      </c>
      <c r="C56" s="12">
        <f t="shared" si="8"/>
        <v>4862.5</v>
      </c>
      <c r="D56" s="22" t="s">
        <v>44</v>
      </c>
    </row>
    <row r="57" spans="1:4" x14ac:dyDescent="0.25">
      <c r="A57" s="10" t="s">
        <v>30</v>
      </c>
      <c r="B57" s="9">
        <v>136.31</v>
      </c>
      <c r="C57" s="12">
        <f t="shared" si="8"/>
        <v>6628.0737500000005</v>
      </c>
      <c r="D57" s="22" t="s">
        <v>44</v>
      </c>
    </row>
    <row r="58" spans="1:4" x14ac:dyDescent="0.25">
      <c r="A58" s="10" t="s">
        <v>30</v>
      </c>
      <c r="B58" s="9">
        <v>130</v>
      </c>
      <c r="C58" s="12">
        <f t="shared" si="8"/>
        <v>6321.25</v>
      </c>
      <c r="D58" s="22" t="s">
        <v>44</v>
      </c>
    </row>
    <row r="59" spans="1:4" x14ac:dyDescent="0.25">
      <c r="A59" s="10" t="s">
        <v>30</v>
      </c>
      <c r="B59" s="9">
        <v>100</v>
      </c>
      <c r="C59" s="12">
        <f t="shared" si="8"/>
        <v>4862.5</v>
      </c>
      <c r="D59" s="22" t="s">
        <v>44</v>
      </c>
    </row>
    <row r="60" spans="1:4" x14ac:dyDescent="0.25">
      <c r="A60" s="10" t="s">
        <v>30</v>
      </c>
      <c r="B60" s="9">
        <v>110</v>
      </c>
      <c r="C60" s="12">
        <f t="shared" si="8"/>
        <v>5348.75</v>
      </c>
      <c r="D60" s="22" t="s">
        <v>44</v>
      </c>
    </row>
    <row r="61" spans="1:4" x14ac:dyDescent="0.25">
      <c r="A61" s="10" t="s">
        <v>30</v>
      </c>
      <c r="B61" s="9">
        <v>40.71</v>
      </c>
      <c r="C61" s="12">
        <f t="shared" si="8"/>
        <v>1979.5237500000001</v>
      </c>
      <c r="D61" s="22" t="s">
        <v>44</v>
      </c>
    </row>
    <row r="62" spans="1:4" x14ac:dyDescent="0.25">
      <c r="A62" s="10" t="s">
        <v>30</v>
      </c>
      <c r="B62" s="9">
        <v>120</v>
      </c>
      <c r="C62" s="12">
        <f t="shared" si="8"/>
        <v>5835</v>
      </c>
      <c r="D62" s="22" t="s">
        <v>44</v>
      </c>
    </row>
    <row r="63" spans="1:4" x14ac:dyDescent="0.25">
      <c r="A63" s="10" t="s">
        <v>30</v>
      </c>
      <c r="B63" s="9">
        <v>40</v>
      </c>
      <c r="C63" s="12">
        <f t="shared" si="8"/>
        <v>1945</v>
      </c>
      <c r="D63" s="22" t="s">
        <v>44</v>
      </c>
    </row>
    <row r="64" spans="1:4" x14ac:dyDescent="0.25">
      <c r="A64" s="10" t="s">
        <v>30</v>
      </c>
      <c r="B64" s="9">
        <v>100</v>
      </c>
      <c r="C64" s="12">
        <f t="shared" si="8"/>
        <v>4862.5</v>
      </c>
      <c r="D64" s="22" t="s">
        <v>44</v>
      </c>
    </row>
    <row r="65" spans="1:4" x14ac:dyDescent="0.25">
      <c r="A65" s="10" t="s">
        <v>30</v>
      </c>
      <c r="B65" s="9">
        <v>100</v>
      </c>
      <c r="C65" s="12">
        <f t="shared" si="8"/>
        <v>4862.5</v>
      </c>
      <c r="D65" s="22" t="s">
        <v>44</v>
      </c>
    </row>
    <row r="66" spans="1:4" x14ac:dyDescent="0.25">
      <c r="A66" s="22" t="s">
        <v>11</v>
      </c>
      <c r="B66" s="9">
        <v>160.07</v>
      </c>
      <c r="C66" s="12">
        <f t="shared" si="8"/>
        <v>7783.4037499999995</v>
      </c>
      <c r="D66" s="22" t="s">
        <v>44</v>
      </c>
    </row>
    <row r="67" spans="1:4" x14ac:dyDescent="0.25">
      <c r="A67" s="22" t="s">
        <v>11</v>
      </c>
      <c r="B67" s="9">
        <v>59.93</v>
      </c>
      <c r="C67" s="12">
        <f t="shared" si="8"/>
        <v>2914.0962500000001</v>
      </c>
      <c r="D67" s="22" t="s">
        <v>44</v>
      </c>
    </row>
    <row r="68" spans="1:4" x14ac:dyDescent="0.25">
      <c r="A68" s="22" t="s">
        <v>11</v>
      </c>
      <c r="B68" s="9">
        <v>105.02</v>
      </c>
      <c r="C68" s="12">
        <f t="shared" si="8"/>
        <v>5106.5974999999999</v>
      </c>
      <c r="D68" s="22" t="s">
        <v>44</v>
      </c>
    </row>
    <row r="69" spans="1:4" x14ac:dyDescent="0.25">
      <c r="A69" s="22" t="s">
        <v>11</v>
      </c>
      <c r="B69" s="9">
        <v>57.21</v>
      </c>
      <c r="C69" s="12">
        <f t="shared" si="8"/>
        <v>2781.8362499999998</v>
      </c>
      <c r="D69" s="22" t="s">
        <v>44</v>
      </c>
    </row>
    <row r="70" spans="1:4" x14ac:dyDescent="0.25">
      <c r="A70" s="22" t="s">
        <v>11</v>
      </c>
      <c r="B70" s="9">
        <v>100</v>
      </c>
      <c r="C70" s="12">
        <f t="shared" si="8"/>
        <v>4862.5</v>
      </c>
      <c r="D70" s="22" t="s">
        <v>44</v>
      </c>
    </row>
    <row r="71" spans="1:4" x14ac:dyDescent="0.25">
      <c r="A71" s="22" t="s">
        <v>11</v>
      </c>
      <c r="B71" s="9">
        <v>45.77</v>
      </c>
      <c r="C71" s="12">
        <f t="shared" si="8"/>
        <v>2225.5662500000003</v>
      </c>
      <c r="D71" s="22" t="s">
        <v>44</v>
      </c>
    </row>
    <row r="72" spans="1:4" x14ac:dyDescent="0.25">
      <c r="A72" s="22" t="s">
        <v>11</v>
      </c>
      <c r="B72" s="9">
        <v>100</v>
      </c>
      <c r="C72" s="12">
        <f t="shared" si="8"/>
        <v>4862.5</v>
      </c>
      <c r="D72" s="22" t="s">
        <v>44</v>
      </c>
    </row>
    <row r="73" spans="1:4" x14ac:dyDescent="0.25">
      <c r="A73" s="22" t="s">
        <v>11</v>
      </c>
      <c r="B73" s="9">
        <v>100</v>
      </c>
      <c r="C73" s="12">
        <f t="shared" si="8"/>
        <v>4862.5</v>
      </c>
      <c r="D73" s="22" t="s">
        <v>44</v>
      </c>
    </row>
    <row r="74" spans="1:4" x14ac:dyDescent="0.25">
      <c r="A74" s="22" t="s">
        <v>11</v>
      </c>
      <c r="B74" s="9">
        <v>100</v>
      </c>
      <c r="C74" s="12">
        <f t="shared" si="8"/>
        <v>4862.5</v>
      </c>
      <c r="D74" s="22" t="s">
        <v>44</v>
      </c>
    </row>
    <row r="75" spans="1:4" x14ac:dyDescent="0.25">
      <c r="A75" s="22" t="s">
        <v>60</v>
      </c>
      <c r="B75" s="9">
        <v>190.71</v>
      </c>
      <c r="C75" s="12">
        <f t="shared" si="8"/>
        <v>9273.2737500000003</v>
      </c>
      <c r="D75" s="22" t="s">
        <v>44</v>
      </c>
    </row>
    <row r="76" spans="1:4" x14ac:dyDescent="0.25">
      <c r="A76" s="22" t="s">
        <v>60</v>
      </c>
      <c r="B76" s="9">
        <v>137.57</v>
      </c>
      <c r="C76" s="12">
        <f t="shared" si="8"/>
        <v>6689.3412499999995</v>
      </c>
      <c r="D76" s="22" t="s">
        <v>44</v>
      </c>
    </row>
    <row r="77" spans="1:4" x14ac:dyDescent="0.25">
      <c r="A77" s="22" t="s">
        <v>60</v>
      </c>
      <c r="B77" s="9">
        <v>95.92</v>
      </c>
      <c r="C77" s="12">
        <f t="shared" si="8"/>
        <v>4664.1099999999997</v>
      </c>
      <c r="D77" s="22" t="s">
        <v>44</v>
      </c>
    </row>
    <row r="78" spans="1:4" x14ac:dyDescent="0.25">
      <c r="A78" s="22" t="s">
        <v>60</v>
      </c>
      <c r="B78" s="9">
        <v>175.8</v>
      </c>
      <c r="C78" s="12">
        <f t="shared" si="8"/>
        <v>8548.2750000000015</v>
      </c>
      <c r="D78" s="22" t="s">
        <v>44</v>
      </c>
    </row>
    <row r="79" spans="1:4" x14ac:dyDescent="0.25">
      <c r="A79" s="22" t="s">
        <v>60</v>
      </c>
      <c r="B79" s="9">
        <v>198.19</v>
      </c>
      <c r="C79" s="12">
        <f t="shared" si="8"/>
        <v>9636.9887500000004</v>
      </c>
      <c r="D79" s="22" t="s">
        <v>44</v>
      </c>
    </row>
    <row r="80" spans="1:4" x14ac:dyDescent="0.25">
      <c r="A80" s="22" t="s">
        <v>60</v>
      </c>
      <c r="B80" s="9">
        <v>51.23</v>
      </c>
      <c r="C80" s="12">
        <f t="shared" si="8"/>
        <v>2491.0587499999997</v>
      </c>
      <c r="D80" s="22" t="s">
        <v>44</v>
      </c>
    </row>
    <row r="81" spans="1:4" x14ac:dyDescent="0.25">
      <c r="A81" s="22" t="s">
        <v>60</v>
      </c>
      <c r="B81" s="9">
        <v>180</v>
      </c>
      <c r="C81" s="12">
        <f t="shared" si="8"/>
        <v>8752.5</v>
      </c>
      <c r="D81" s="22" t="s">
        <v>44</v>
      </c>
    </row>
    <row r="82" spans="1:4" x14ac:dyDescent="0.25">
      <c r="A82" s="22" t="s">
        <v>60</v>
      </c>
      <c r="B82" s="9">
        <v>84.36</v>
      </c>
      <c r="C82" s="12">
        <f t="shared" si="8"/>
        <v>4102.0050000000001</v>
      </c>
      <c r="D82" s="22" t="s">
        <v>44</v>
      </c>
    </row>
    <row r="83" spans="1:4" x14ac:dyDescent="0.25">
      <c r="A83" s="22" t="s">
        <v>60</v>
      </c>
      <c r="B83" s="9">
        <v>198.11</v>
      </c>
      <c r="C83" s="12">
        <f t="shared" si="8"/>
        <v>9633.098750000001</v>
      </c>
      <c r="D83" s="22" t="s">
        <v>44</v>
      </c>
    </row>
    <row r="84" spans="1:4" x14ac:dyDescent="0.25">
      <c r="A84" s="22" t="s">
        <v>60</v>
      </c>
      <c r="B84" s="9">
        <v>198.32</v>
      </c>
      <c r="C84" s="12">
        <f t="shared" si="8"/>
        <v>9643.31</v>
      </c>
      <c r="D84" s="22" t="s">
        <v>44</v>
      </c>
    </row>
    <row r="85" spans="1:4" x14ac:dyDescent="0.25">
      <c r="A85" s="22" t="s">
        <v>9</v>
      </c>
      <c r="B85" s="9">
        <v>125</v>
      </c>
      <c r="C85" s="12">
        <f t="shared" si="8"/>
        <v>6078.125</v>
      </c>
      <c r="D85" s="22" t="s">
        <v>44</v>
      </c>
    </row>
    <row r="86" spans="1:4" x14ac:dyDescent="0.25">
      <c r="A86" s="22" t="s">
        <v>9</v>
      </c>
      <c r="B86" s="9">
        <v>67</v>
      </c>
      <c r="C86" s="12">
        <f t="shared" si="8"/>
        <v>3257.875</v>
      </c>
      <c r="D86" s="22" t="s">
        <v>44</v>
      </c>
    </row>
    <row r="87" spans="1:4" x14ac:dyDescent="0.25">
      <c r="A87" s="22" t="s">
        <v>9</v>
      </c>
      <c r="B87" s="9">
        <v>160</v>
      </c>
      <c r="C87" s="12">
        <f t="shared" si="8"/>
        <v>7780</v>
      </c>
      <c r="D87" s="22" t="s">
        <v>44</v>
      </c>
    </row>
    <row r="88" spans="1:4" x14ac:dyDescent="0.25">
      <c r="A88" s="22" t="s">
        <v>9</v>
      </c>
      <c r="B88" s="9">
        <v>80</v>
      </c>
      <c r="C88" s="12">
        <f t="shared" si="8"/>
        <v>3890</v>
      </c>
      <c r="D88" s="22" t="s">
        <v>44</v>
      </c>
    </row>
    <row r="89" spans="1:4" x14ac:dyDescent="0.25">
      <c r="A89" s="22" t="s">
        <v>9</v>
      </c>
      <c r="B89" s="9">
        <v>198.19</v>
      </c>
      <c r="C89" s="12">
        <f t="shared" si="8"/>
        <v>9636.9887500000004</v>
      </c>
      <c r="D89" s="22" t="s">
        <v>44</v>
      </c>
    </row>
    <row r="90" spans="1:4" x14ac:dyDescent="0.25">
      <c r="A90" s="22" t="s">
        <v>9</v>
      </c>
      <c r="B90" s="9">
        <v>11.81</v>
      </c>
      <c r="C90" s="12">
        <f t="shared" si="8"/>
        <v>574.26125000000002</v>
      </c>
      <c r="D90" s="22" t="s">
        <v>44</v>
      </c>
    </row>
    <row r="91" spans="1:4" x14ac:dyDescent="0.25">
      <c r="A91" s="22" t="s">
        <v>9</v>
      </c>
      <c r="B91" s="9">
        <v>198.36</v>
      </c>
      <c r="C91" s="12">
        <f t="shared" si="8"/>
        <v>9645.255000000001</v>
      </c>
      <c r="D91" s="22" t="s">
        <v>44</v>
      </c>
    </row>
    <row r="92" spans="1:4" x14ac:dyDescent="0.25">
      <c r="A92" s="22" t="s">
        <v>9</v>
      </c>
      <c r="B92" s="9">
        <v>51.64</v>
      </c>
      <c r="C92" s="12">
        <f t="shared" si="8"/>
        <v>2510.9949999999999</v>
      </c>
      <c r="D92" s="22" t="s">
        <v>44</v>
      </c>
    </row>
    <row r="93" spans="1:4" x14ac:dyDescent="0.25">
      <c r="A93" s="22" t="s">
        <v>9</v>
      </c>
      <c r="B93" s="9">
        <v>206.72</v>
      </c>
      <c r="C93" s="12">
        <f t="shared" si="8"/>
        <v>10051.76</v>
      </c>
      <c r="D93" s="22" t="s">
        <v>44</v>
      </c>
    </row>
    <row r="94" spans="1:4" x14ac:dyDescent="0.25">
      <c r="A94" s="22" t="s">
        <v>9</v>
      </c>
      <c r="B94" s="9">
        <v>50</v>
      </c>
      <c r="C94" s="12">
        <f t="shared" si="8"/>
        <v>2431.25</v>
      </c>
      <c r="D94" s="22" t="s">
        <v>44</v>
      </c>
    </row>
    <row r="95" spans="1:4" x14ac:dyDescent="0.25">
      <c r="A95" s="22" t="s">
        <v>9</v>
      </c>
      <c r="B95" s="9">
        <v>198.19</v>
      </c>
      <c r="C95" s="12">
        <f t="shared" ref="C95:C111" si="9">B95*48.625</f>
        <v>9636.9887500000004</v>
      </c>
      <c r="D95" s="22" t="s">
        <v>44</v>
      </c>
    </row>
    <row r="96" spans="1:4" x14ac:dyDescent="0.25">
      <c r="A96" s="22" t="s">
        <v>9</v>
      </c>
      <c r="B96" s="9">
        <v>198.11</v>
      </c>
      <c r="C96" s="12">
        <f t="shared" si="9"/>
        <v>9633.098750000001</v>
      </c>
      <c r="D96" s="22" t="s">
        <v>44</v>
      </c>
    </row>
    <row r="97" spans="1:5" x14ac:dyDescent="0.25">
      <c r="A97" s="22" t="s">
        <v>34</v>
      </c>
      <c r="B97" s="9">
        <v>160</v>
      </c>
      <c r="C97" s="12">
        <f t="shared" si="9"/>
        <v>7780</v>
      </c>
      <c r="D97" s="22" t="s">
        <v>44</v>
      </c>
    </row>
    <row r="98" spans="1:5" x14ac:dyDescent="0.25">
      <c r="A98" s="22" t="s">
        <v>34</v>
      </c>
      <c r="B98" s="9">
        <v>190.49</v>
      </c>
      <c r="C98" s="12">
        <f t="shared" si="9"/>
        <v>9262.5762500000001</v>
      </c>
      <c r="D98" s="22" t="s">
        <v>44</v>
      </c>
    </row>
    <row r="99" spans="1:5" x14ac:dyDescent="0.25">
      <c r="A99" s="22" t="s">
        <v>34</v>
      </c>
      <c r="B99" s="9">
        <v>190.47</v>
      </c>
      <c r="C99" s="12">
        <f t="shared" si="9"/>
        <v>9261.6037500000002</v>
      </c>
      <c r="D99" s="22" t="s">
        <v>44</v>
      </c>
    </row>
    <row r="100" spans="1:5" x14ac:dyDescent="0.25">
      <c r="A100" s="22" t="s">
        <v>34</v>
      </c>
      <c r="B100" s="9">
        <v>119.04</v>
      </c>
      <c r="C100" s="12">
        <f t="shared" si="9"/>
        <v>5788.3200000000006</v>
      </c>
      <c r="D100" s="22" t="s">
        <v>44</v>
      </c>
    </row>
    <row r="101" spans="1:5" x14ac:dyDescent="0.25">
      <c r="A101" s="22" t="s">
        <v>34</v>
      </c>
      <c r="B101" s="9">
        <v>190.64</v>
      </c>
      <c r="C101" s="12">
        <f t="shared" si="9"/>
        <v>9269.869999999999</v>
      </c>
      <c r="D101" s="22" t="s">
        <v>44</v>
      </c>
    </row>
    <row r="102" spans="1:5" x14ac:dyDescent="0.25">
      <c r="A102" s="22" t="s">
        <v>34</v>
      </c>
      <c r="B102" s="9">
        <v>90.32</v>
      </c>
      <c r="C102" s="12">
        <f t="shared" si="9"/>
        <v>4391.8099999999995</v>
      </c>
      <c r="D102" s="22" t="s">
        <v>44</v>
      </c>
    </row>
    <row r="103" spans="1:5" x14ac:dyDescent="0.25">
      <c r="A103" s="22" t="s">
        <v>34</v>
      </c>
      <c r="B103" s="9">
        <v>190.58</v>
      </c>
      <c r="C103" s="12">
        <f t="shared" si="9"/>
        <v>9266.9525000000012</v>
      </c>
      <c r="D103" s="22" t="s">
        <v>44</v>
      </c>
    </row>
    <row r="104" spans="1:5" x14ac:dyDescent="0.25">
      <c r="A104" s="22" t="s">
        <v>34</v>
      </c>
      <c r="B104" s="9">
        <v>110.05</v>
      </c>
      <c r="C104" s="12">
        <f t="shared" si="9"/>
        <v>5351.1812499999996</v>
      </c>
      <c r="D104" s="22" t="s">
        <v>44</v>
      </c>
    </row>
    <row r="105" spans="1:5" x14ac:dyDescent="0.25">
      <c r="A105" s="22" t="s">
        <v>34</v>
      </c>
      <c r="B105" s="9">
        <v>198.16</v>
      </c>
      <c r="C105" s="12">
        <f t="shared" si="9"/>
        <v>9635.5300000000007</v>
      </c>
      <c r="D105" s="22" t="s">
        <v>44</v>
      </c>
    </row>
    <row r="106" spans="1:5" x14ac:dyDescent="0.25">
      <c r="A106" s="22" t="s">
        <v>34</v>
      </c>
      <c r="B106" s="9">
        <v>85</v>
      </c>
      <c r="C106" s="12">
        <f t="shared" si="9"/>
        <v>4133.125</v>
      </c>
      <c r="D106" s="22" t="s">
        <v>44</v>
      </c>
    </row>
    <row r="107" spans="1:5" x14ac:dyDescent="0.25">
      <c r="A107" s="22" t="s">
        <v>34</v>
      </c>
      <c r="B107" s="9">
        <v>198.1</v>
      </c>
      <c r="C107" s="12">
        <f t="shared" si="9"/>
        <v>9632.6124999999993</v>
      </c>
      <c r="D107" s="22" t="s">
        <v>44</v>
      </c>
    </row>
    <row r="108" spans="1:5" x14ac:dyDescent="0.25">
      <c r="A108" s="22" t="s">
        <v>34</v>
      </c>
      <c r="B108" s="9">
        <v>105.05</v>
      </c>
      <c r="C108" s="12">
        <f t="shared" si="9"/>
        <v>5108.0562499999996</v>
      </c>
      <c r="D108" s="22" t="s">
        <v>44</v>
      </c>
    </row>
    <row r="109" spans="1:5" x14ac:dyDescent="0.25">
      <c r="A109" s="22" t="s">
        <v>34</v>
      </c>
      <c r="B109" s="9">
        <v>150</v>
      </c>
      <c r="C109" s="12">
        <f t="shared" si="9"/>
        <v>7293.75</v>
      </c>
      <c r="D109" s="22" t="s">
        <v>44</v>
      </c>
    </row>
    <row r="110" spans="1:5" ht="15.75" thickBot="1" x14ac:dyDescent="0.3">
      <c r="A110" s="22" t="s">
        <v>34</v>
      </c>
      <c r="B110" s="9">
        <v>150</v>
      </c>
      <c r="C110" s="12">
        <f t="shared" si="9"/>
        <v>7293.75</v>
      </c>
      <c r="D110" s="22" t="s">
        <v>44</v>
      </c>
    </row>
    <row r="111" spans="1:5" ht="15.75" thickBot="1" x14ac:dyDescent="0.3">
      <c r="A111" s="13" t="s">
        <v>32</v>
      </c>
      <c r="B111" s="14">
        <v>60</v>
      </c>
      <c r="C111" s="12">
        <f t="shared" si="9"/>
        <v>2917.5</v>
      </c>
      <c r="D111" s="22" t="s">
        <v>44</v>
      </c>
      <c r="E111" s="24">
        <f>SUM(C30:C111)</f>
        <v>467974.78000000009</v>
      </c>
    </row>
    <row r="112" spans="1:5" ht="15.75" thickBot="1" x14ac:dyDescent="0.3">
      <c r="A112" s="2" t="s">
        <v>5</v>
      </c>
      <c r="B112" s="3">
        <v>120</v>
      </c>
      <c r="C112" s="4">
        <v>6418.8</v>
      </c>
      <c r="D112" s="25" t="s">
        <v>45</v>
      </c>
    </row>
    <row r="113" spans="1:5" x14ac:dyDescent="0.25">
      <c r="A113" s="2" t="s">
        <v>5</v>
      </c>
      <c r="B113" s="167">
        <v>160</v>
      </c>
      <c r="C113" s="174">
        <v>8558.4</v>
      </c>
      <c r="D113" s="26" t="s">
        <v>45</v>
      </c>
    </row>
    <row r="114" spans="1:5" x14ac:dyDescent="0.25">
      <c r="A114" s="10" t="s">
        <v>37</v>
      </c>
      <c r="B114" s="167">
        <v>160</v>
      </c>
      <c r="C114" s="174">
        <v>8238.4</v>
      </c>
      <c r="D114" s="26" t="s">
        <v>45</v>
      </c>
    </row>
    <row r="115" spans="1:5" x14ac:dyDescent="0.25">
      <c r="A115" s="27" t="s">
        <v>37</v>
      </c>
      <c r="B115" s="167">
        <v>100</v>
      </c>
      <c r="C115" s="174">
        <v>5349</v>
      </c>
      <c r="D115" s="26" t="s">
        <v>45</v>
      </c>
    </row>
    <row r="116" spans="1:5" x14ac:dyDescent="0.25">
      <c r="A116" s="27" t="s">
        <v>10</v>
      </c>
      <c r="B116" s="167">
        <v>100</v>
      </c>
      <c r="C116" s="174">
        <v>5349</v>
      </c>
      <c r="D116" s="26" t="s">
        <v>45</v>
      </c>
    </row>
    <row r="117" spans="1:5" x14ac:dyDescent="0.25">
      <c r="A117" s="27" t="s">
        <v>10</v>
      </c>
      <c r="B117" s="167">
        <v>100</v>
      </c>
      <c r="C117" s="174">
        <v>5349</v>
      </c>
      <c r="D117" s="26" t="s">
        <v>45</v>
      </c>
    </row>
    <row r="118" spans="1:5" x14ac:dyDescent="0.25">
      <c r="A118" s="27" t="s">
        <v>10</v>
      </c>
      <c r="B118" s="167">
        <v>100</v>
      </c>
      <c r="C118" s="174">
        <v>5349</v>
      </c>
      <c r="D118" s="26" t="s">
        <v>45</v>
      </c>
    </row>
    <row r="119" spans="1:5" x14ac:dyDescent="0.25">
      <c r="A119" s="27" t="s">
        <v>10</v>
      </c>
      <c r="B119" s="167">
        <v>20</v>
      </c>
      <c r="C119" s="174">
        <v>1069.8</v>
      </c>
      <c r="D119" s="26" t="s">
        <v>45</v>
      </c>
    </row>
    <row r="120" spans="1:5" x14ac:dyDescent="0.25">
      <c r="A120" s="27" t="s">
        <v>10</v>
      </c>
      <c r="B120" s="167">
        <v>70</v>
      </c>
      <c r="C120" s="174">
        <v>3744.3</v>
      </c>
      <c r="D120" s="26" t="s">
        <v>45</v>
      </c>
    </row>
    <row r="121" spans="1:5" x14ac:dyDescent="0.25">
      <c r="A121" s="27" t="s">
        <v>10</v>
      </c>
      <c r="B121" s="167">
        <v>100</v>
      </c>
      <c r="C121" s="174">
        <v>5349</v>
      </c>
      <c r="D121" s="26" t="s">
        <v>45</v>
      </c>
    </row>
    <row r="122" spans="1:5" x14ac:dyDescent="0.25">
      <c r="A122" s="27" t="s">
        <v>10</v>
      </c>
      <c r="B122" s="167">
        <v>100</v>
      </c>
      <c r="C122" s="174">
        <v>5349</v>
      </c>
      <c r="D122" s="26" t="s">
        <v>45</v>
      </c>
    </row>
    <row r="123" spans="1:5" x14ac:dyDescent="0.25">
      <c r="A123" s="27" t="s">
        <v>10</v>
      </c>
      <c r="B123" s="167">
        <v>100</v>
      </c>
      <c r="C123" s="174">
        <v>5149</v>
      </c>
      <c r="D123" s="26" t="s">
        <v>45</v>
      </c>
    </row>
    <row r="124" spans="1:5" x14ac:dyDescent="0.25">
      <c r="A124" s="27" t="s">
        <v>10</v>
      </c>
      <c r="B124" s="167">
        <v>100</v>
      </c>
      <c r="C124" s="174">
        <v>5349</v>
      </c>
      <c r="D124" s="26" t="s">
        <v>45</v>
      </c>
    </row>
    <row r="125" spans="1:5" x14ac:dyDescent="0.25">
      <c r="A125" s="27" t="s">
        <v>10</v>
      </c>
      <c r="B125" s="167">
        <v>100</v>
      </c>
      <c r="C125" s="174">
        <v>5499</v>
      </c>
      <c r="D125" s="26" t="s">
        <v>45</v>
      </c>
      <c r="E125" s="26" t="s">
        <v>80</v>
      </c>
    </row>
    <row r="126" spans="1:5" ht="15.75" thickBot="1" x14ac:dyDescent="0.3">
      <c r="A126" s="27"/>
      <c r="B126" s="167"/>
      <c r="C126" s="174"/>
      <c r="D126" s="26" t="s">
        <v>45</v>
      </c>
    </row>
    <row r="127" spans="1:5" ht="15.75" hidden="1" thickBot="1" x14ac:dyDescent="0.3">
      <c r="A127" s="27"/>
      <c r="B127" s="167"/>
      <c r="C127" s="174"/>
      <c r="D127" s="26"/>
    </row>
    <row r="128" spans="1:5" ht="15.75" hidden="1" thickBot="1" x14ac:dyDescent="0.3">
      <c r="A128" s="27"/>
      <c r="B128" s="167"/>
      <c r="C128" s="174"/>
      <c r="D128" s="26"/>
    </row>
    <row r="129" spans="1:5" ht="15.75" hidden="1" thickBot="1" x14ac:dyDescent="0.3">
      <c r="A129" s="27"/>
      <c r="B129" s="167"/>
      <c r="C129" s="174"/>
      <c r="D129" s="26"/>
    </row>
    <row r="130" spans="1:5" ht="15.75" hidden="1" thickBot="1" x14ac:dyDescent="0.3">
      <c r="A130" s="27"/>
      <c r="B130" s="167"/>
      <c r="C130" s="174"/>
      <c r="D130" s="26"/>
    </row>
    <row r="131" spans="1:5" ht="15.75" hidden="1" thickBot="1" x14ac:dyDescent="0.3">
      <c r="A131" s="27"/>
      <c r="B131" s="167"/>
      <c r="C131" s="174"/>
      <c r="D131" s="26"/>
    </row>
    <row r="132" spans="1:5" ht="15.75" hidden="1" thickBot="1" x14ac:dyDescent="0.3">
      <c r="A132" s="27"/>
      <c r="B132" s="167"/>
      <c r="C132" s="174"/>
      <c r="D132" s="26"/>
    </row>
    <row r="133" spans="1:5" ht="15.75" hidden="1" thickBot="1" x14ac:dyDescent="0.3">
      <c r="A133" s="27"/>
      <c r="B133" s="167"/>
      <c r="C133" s="174"/>
      <c r="D133" s="26"/>
    </row>
    <row r="134" spans="1:5" ht="15.75" hidden="1" thickBot="1" x14ac:dyDescent="0.3">
      <c r="A134" s="27"/>
      <c r="B134" s="167"/>
      <c r="C134" s="174"/>
      <c r="D134" s="26"/>
    </row>
    <row r="135" spans="1:5" ht="15.75" hidden="1" thickBot="1" x14ac:dyDescent="0.3">
      <c r="A135" s="27"/>
      <c r="B135" s="167"/>
      <c r="C135" s="174"/>
      <c r="D135" s="26"/>
    </row>
    <row r="136" spans="1:5" ht="15.75" hidden="1" thickBot="1" x14ac:dyDescent="0.3">
      <c r="A136" s="27"/>
      <c r="B136" s="167"/>
      <c r="C136" s="174"/>
      <c r="D136" s="26"/>
    </row>
    <row r="137" spans="1:5" ht="15.75" hidden="1" thickBot="1" x14ac:dyDescent="0.3">
      <c r="A137" s="27"/>
      <c r="B137" s="167"/>
      <c r="C137" s="174"/>
      <c r="D137" s="26"/>
    </row>
    <row r="138" spans="1:5" ht="15.75" hidden="1" thickBot="1" x14ac:dyDescent="0.3">
      <c r="A138" s="27"/>
      <c r="B138" s="167"/>
      <c r="C138" s="174"/>
      <c r="D138" s="26"/>
    </row>
    <row r="139" spans="1:5" ht="15.75" hidden="1" thickBot="1" x14ac:dyDescent="0.3">
      <c r="A139" s="27"/>
      <c r="B139" s="167"/>
      <c r="C139" s="174"/>
      <c r="D139" s="26"/>
    </row>
    <row r="140" spans="1:5" ht="15.75" hidden="1" thickBot="1" x14ac:dyDescent="0.3">
      <c r="A140" s="27"/>
      <c r="B140" s="167"/>
      <c r="C140" s="174"/>
      <c r="D140" s="26"/>
    </row>
    <row r="141" spans="1:5" ht="15.75" hidden="1" thickBot="1" x14ac:dyDescent="0.3">
      <c r="A141" s="27"/>
      <c r="B141" s="167"/>
      <c r="C141" s="174"/>
      <c r="D141" s="26"/>
    </row>
    <row r="142" spans="1:5" ht="15.75" thickBot="1" x14ac:dyDescent="0.3">
      <c r="A142" s="27"/>
      <c r="B142" s="167"/>
      <c r="C142" s="174"/>
      <c r="D142" s="28"/>
      <c r="E142" s="24">
        <f>SUM(C112:C142)</f>
        <v>76120.700000000012</v>
      </c>
    </row>
    <row r="143" spans="1:5" x14ac:dyDescent="0.25">
      <c r="A143" s="2"/>
      <c r="B143" s="5"/>
      <c r="C143" s="29"/>
      <c r="D143" s="25" t="s">
        <v>46</v>
      </c>
    </row>
    <row r="144" spans="1:5" x14ac:dyDescent="0.25">
      <c r="A144" s="10"/>
      <c r="B144" s="9"/>
      <c r="C144" s="12"/>
      <c r="D144" s="26" t="s">
        <v>46</v>
      </c>
    </row>
    <row r="145" spans="1:7" ht="15.75" thickBot="1" x14ac:dyDescent="0.3">
      <c r="A145" s="27"/>
      <c r="B145" s="167"/>
      <c r="C145" s="168"/>
      <c r="D145" s="26" t="s">
        <v>46</v>
      </c>
    </row>
    <row r="146" spans="1:7" ht="15.75" thickBot="1" x14ac:dyDescent="0.3">
      <c r="A146" s="13"/>
      <c r="B146" s="14"/>
      <c r="C146" s="16"/>
      <c r="D146" s="23" t="s">
        <v>46</v>
      </c>
      <c r="E146" s="24">
        <f>SUM(C143:C146)</f>
        <v>0</v>
      </c>
    </row>
    <row r="147" spans="1:7" x14ac:dyDescent="0.25">
      <c r="A147" s="10" t="s">
        <v>7</v>
      </c>
      <c r="B147" s="167">
        <v>145.53</v>
      </c>
      <c r="C147" s="174">
        <v>7129.51</v>
      </c>
      <c r="D147" s="162" t="s">
        <v>47</v>
      </c>
    </row>
    <row r="148" spans="1:7" x14ac:dyDescent="0.25">
      <c r="A148" s="22" t="s">
        <v>7</v>
      </c>
      <c r="B148" s="9">
        <v>107.23</v>
      </c>
      <c r="C148" s="174">
        <v>5253.2</v>
      </c>
      <c r="D148" s="162" t="s">
        <v>47</v>
      </c>
    </row>
    <row r="149" spans="1:7" x14ac:dyDescent="0.25">
      <c r="A149" s="22" t="s">
        <v>60</v>
      </c>
      <c r="B149" s="9">
        <v>223.69</v>
      </c>
      <c r="C149" s="174">
        <v>10958.57</v>
      </c>
      <c r="D149" s="162" t="s">
        <v>47</v>
      </c>
    </row>
    <row r="150" spans="1:7" x14ac:dyDescent="0.25">
      <c r="A150" s="22" t="s">
        <v>60</v>
      </c>
      <c r="B150" s="9">
        <v>176.95</v>
      </c>
      <c r="C150" s="174">
        <v>8668.7800000000007</v>
      </c>
      <c r="D150" s="162" t="s">
        <v>47</v>
      </c>
    </row>
    <row r="151" spans="1:7" x14ac:dyDescent="0.25">
      <c r="A151" s="22" t="s">
        <v>60</v>
      </c>
      <c r="B151" s="9">
        <v>176.96</v>
      </c>
      <c r="C151" s="174">
        <v>8669.27</v>
      </c>
      <c r="D151" s="162" t="s">
        <v>47</v>
      </c>
    </row>
    <row r="152" spans="1:7" x14ac:dyDescent="0.25">
      <c r="A152" s="10" t="s">
        <v>30</v>
      </c>
      <c r="B152" s="167">
        <v>180</v>
      </c>
      <c r="C152" s="174">
        <v>7977.6</v>
      </c>
      <c r="D152" s="162" t="s">
        <v>81</v>
      </c>
    </row>
    <row r="153" spans="1:7" x14ac:dyDescent="0.25">
      <c r="A153" s="27" t="s">
        <v>14</v>
      </c>
      <c r="B153" s="167">
        <v>210</v>
      </c>
      <c r="C153" s="174">
        <v>9307.2000000000007</v>
      </c>
      <c r="D153" s="162" t="s">
        <v>81</v>
      </c>
    </row>
    <row r="154" spans="1:7" x14ac:dyDescent="0.25">
      <c r="A154" s="22" t="s">
        <v>7</v>
      </c>
      <c r="B154" s="167">
        <v>60</v>
      </c>
      <c r="C154" s="174">
        <v>2659.2</v>
      </c>
      <c r="D154" s="162" t="s">
        <v>81</v>
      </c>
    </row>
    <row r="155" spans="1:7" x14ac:dyDescent="0.25">
      <c r="A155" s="22" t="s">
        <v>60</v>
      </c>
      <c r="B155" s="167">
        <v>150</v>
      </c>
      <c r="C155" s="174">
        <v>6648</v>
      </c>
      <c r="D155" s="162" t="s">
        <v>81</v>
      </c>
    </row>
    <row r="156" spans="1:7" x14ac:dyDescent="0.25">
      <c r="A156" s="27"/>
      <c r="B156" s="167"/>
      <c r="C156" s="174"/>
      <c r="D156" s="22"/>
    </row>
    <row r="157" spans="1:7" x14ac:dyDescent="0.25">
      <c r="A157" s="27"/>
      <c r="B157" s="167"/>
      <c r="C157" s="174"/>
      <c r="D157" s="22"/>
    </row>
    <row r="158" spans="1:7" ht="15.75" thickBot="1" x14ac:dyDescent="0.3">
      <c r="A158" s="27"/>
      <c r="B158" s="167"/>
      <c r="C158" s="174"/>
      <c r="D158" s="22"/>
    </row>
    <row r="159" spans="1:7" ht="15.75" thickBot="1" x14ac:dyDescent="0.3">
      <c r="A159" s="13"/>
      <c r="B159" s="14"/>
      <c r="C159" s="15"/>
      <c r="D159" s="22"/>
      <c r="E159" s="24">
        <f>SUM(C147:C159)</f>
        <v>67271.33</v>
      </c>
      <c r="G159" s="20"/>
    </row>
    <row r="160" spans="1:7" ht="15.75" thickBot="1" x14ac:dyDescent="0.3">
      <c r="A160" s="13"/>
      <c r="B160" s="14"/>
      <c r="C160" s="15"/>
      <c r="D160" s="22"/>
      <c r="E160" s="24">
        <f>SUM(C160:C160)</f>
        <v>0</v>
      </c>
      <c r="F160" s="30"/>
      <c r="G160" s="30"/>
    </row>
    <row r="161" spans="1:4" x14ac:dyDescent="0.25">
      <c r="A161" s="27" t="s">
        <v>14</v>
      </c>
      <c r="B161" s="3">
        <v>120</v>
      </c>
      <c r="C161" s="4">
        <v>5878.8</v>
      </c>
      <c r="D161" s="22" t="s">
        <v>82</v>
      </c>
    </row>
    <row r="162" spans="1:4" x14ac:dyDescent="0.25">
      <c r="A162" s="27" t="s">
        <v>14</v>
      </c>
      <c r="B162" s="167">
        <v>100</v>
      </c>
      <c r="C162" s="174">
        <v>4899</v>
      </c>
      <c r="D162" s="22" t="s">
        <v>82</v>
      </c>
    </row>
    <row r="163" spans="1:4" x14ac:dyDescent="0.25">
      <c r="A163" s="27" t="s">
        <v>14</v>
      </c>
      <c r="B163" s="167">
        <v>100</v>
      </c>
      <c r="C163" s="174">
        <v>4899</v>
      </c>
      <c r="D163" s="22" t="s">
        <v>82</v>
      </c>
    </row>
    <row r="164" spans="1:4" x14ac:dyDescent="0.25">
      <c r="A164" s="27" t="s">
        <v>14</v>
      </c>
      <c r="B164" s="167">
        <v>100</v>
      </c>
      <c r="C164" s="174">
        <v>4799</v>
      </c>
      <c r="D164" s="22" t="s">
        <v>82</v>
      </c>
    </row>
    <row r="165" spans="1:4" x14ac:dyDescent="0.25">
      <c r="A165" s="27" t="s">
        <v>14</v>
      </c>
      <c r="B165" s="167">
        <v>100</v>
      </c>
      <c r="C165" s="174">
        <v>4799</v>
      </c>
      <c r="D165" s="22" t="s">
        <v>82</v>
      </c>
    </row>
    <row r="166" spans="1:4" x14ac:dyDescent="0.25">
      <c r="A166" s="27" t="s">
        <v>14</v>
      </c>
      <c r="B166" s="167">
        <v>100</v>
      </c>
      <c r="C166" s="174">
        <v>4799</v>
      </c>
      <c r="D166" s="22" t="s">
        <v>82</v>
      </c>
    </row>
    <row r="167" spans="1:4" x14ac:dyDescent="0.25">
      <c r="A167" s="22" t="s">
        <v>7</v>
      </c>
      <c r="B167" s="167">
        <v>10</v>
      </c>
      <c r="C167" s="174">
        <v>419</v>
      </c>
      <c r="D167" s="22"/>
    </row>
    <row r="168" spans="1:4" hidden="1" x14ac:dyDescent="0.25">
      <c r="A168" s="10"/>
      <c r="B168" s="167"/>
      <c r="C168" s="174"/>
      <c r="D168" s="22"/>
    </row>
    <row r="169" spans="1:4" hidden="1" x14ac:dyDescent="0.25">
      <c r="A169" s="10"/>
      <c r="B169" s="167"/>
      <c r="C169" s="174"/>
      <c r="D169" s="22"/>
    </row>
    <row r="170" spans="1:4" hidden="1" x14ac:dyDescent="0.25">
      <c r="A170" s="10"/>
      <c r="B170" s="167"/>
      <c r="C170" s="174"/>
      <c r="D170" s="22"/>
    </row>
    <row r="171" spans="1:4" hidden="1" x14ac:dyDescent="0.25">
      <c r="A171" s="10"/>
      <c r="B171" s="167"/>
      <c r="C171" s="174"/>
      <c r="D171" s="22"/>
    </row>
    <row r="172" spans="1:4" hidden="1" x14ac:dyDescent="0.25">
      <c r="A172" s="10"/>
      <c r="B172" s="167"/>
      <c r="C172" s="174"/>
      <c r="D172" s="22"/>
    </row>
    <row r="173" spans="1:4" hidden="1" x14ac:dyDescent="0.25">
      <c r="A173" s="10"/>
      <c r="B173" s="167"/>
      <c r="C173" s="174"/>
      <c r="D173" s="22"/>
    </row>
    <row r="174" spans="1:4" hidden="1" x14ac:dyDescent="0.25">
      <c r="A174" s="10"/>
      <c r="B174" s="167"/>
      <c r="C174" s="174"/>
      <c r="D174" s="22"/>
    </row>
    <row r="175" spans="1:4" hidden="1" x14ac:dyDescent="0.25">
      <c r="A175" s="10"/>
      <c r="B175" s="167"/>
      <c r="C175" s="174"/>
      <c r="D175" s="22"/>
    </row>
    <row r="176" spans="1:4" hidden="1" x14ac:dyDescent="0.25">
      <c r="A176" s="10"/>
      <c r="B176" s="167"/>
      <c r="C176" s="174"/>
      <c r="D176" s="22"/>
    </row>
    <row r="177" spans="1:7" hidden="1" x14ac:dyDescent="0.25">
      <c r="A177" s="10"/>
      <c r="B177" s="167"/>
      <c r="C177" s="174"/>
      <c r="D177" s="22"/>
    </row>
    <row r="178" spans="1:7" hidden="1" x14ac:dyDescent="0.25">
      <c r="A178" s="10"/>
      <c r="B178" s="167"/>
      <c r="C178" s="174"/>
      <c r="D178" s="22"/>
    </row>
    <row r="179" spans="1:7" hidden="1" x14ac:dyDescent="0.25">
      <c r="A179" s="10"/>
      <c r="B179" s="167"/>
      <c r="C179" s="174"/>
      <c r="D179" s="22"/>
    </row>
    <row r="180" spans="1:7" hidden="1" x14ac:dyDescent="0.25">
      <c r="A180" s="10"/>
      <c r="B180" s="167"/>
      <c r="C180" s="174"/>
      <c r="D180" s="22"/>
    </row>
    <row r="181" spans="1:7" hidden="1" x14ac:dyDescent="0.25">
      <c r="A181" s="10"/>
      <c r="B181" s="167"/>
      <c r="C181" s="174"/>
      <c r="D181" s="22"/>
    </row>
    <row r="182" spans="1:7" hidden="1" x14ac:dyDescent="0.25">
      <c r="A182" s="10"/>
      <c r="B182" s="167"/>
      <c r="C182" s="174"/>
      <c r="D182" s="22"/>
    </row>
    <row r="183" spans="1:7" hidden="1" x14ac:dyDescent="0.25">
      <c r="A183" s="10"/>
      <c r="B183" s="167"/>
      <c r="C183" s="174"/>
      <c r="D183" s="22"/>
    </row>
    <row r="184" spans="1:7" hidden="1" x14ac:dyDescent="0.25">
      <c r="A184" s="10"/>
      <c r="B184" s="167"/>
      <c r="C184" s="174"/>
      <c r="D184" s="22"/>
    </row>
    <row r="185" spans="1:7" hidden="1" x14ac:dyDescent="0.25">
      <c r="A185" s="10"/>
      <c r="B185" s="167"/>
      <c r="C185" s="174"/>
      <c r="D185" s="22"/>
    </row>
    <row r="186" spans="1:7" hidden="1" x14ac:dyDescent="0.25">
      <c r="A186" s="10"/>
      <c r="B186" s="167"/>
      <c r="C186" s="174"/>
      <c r="D186" s="22"/>
    </row>
    <row r="187" spans="1:7" ht="15.75" thickBot="1" x14ac:dyDescent="0.3">
      <c r="A187" s="10"/>
      <c r="B187" s="167"/>
      <c r="C187" s="174"/>
      <c r="D187" s="22"/>
    </row>
    <row r="188" spans="1:7" ht="15.75" thickBot="1" x14ac:dyDescent="0.3">
      <c r="A188" s="13"/>
      <c r="B188" s="14"/>
      <c r="C188" s="15"/>
      <c r="D188" s="22"/>
      <c r="E188" s="31">
        <f>SUM(C161:C188)</f>
        <v>30492.799999999999</v>
      </c>
      <c r="F188" s="30"/>
      <c r="G188" s="30"/>
    </row>
    <row r="189" spans="1:7" ht="15.75" thickBot="1" x14ac:dyDescent="0.3">
      <c r="A189" s="32"/>
      <c r="B189" s="33">
        <f>SUM(B30:B188)</f>
        <v>13114.519999999997</v>
      </c>
      <c r="C189" s="34">
        <f>SUM(C30:C188)</f>
        <v>641859.61</v>
      </c>
    </row>
    <row r="190" spans="1:7" x14ac:dyDescent="0.25">
      <c r="C190" s="30"/>
    </row>
    <row r="191" spans="1:7" x14ac:dyDescent="0.25">
      <c r="C191" s="30"/>
    </row>
  </sheetData>
  <autoFilter ref="A1:Q23" xr:uid="{00000000-0009-0000-0000-000005000000}"/>
  <mergeCells count="1">
    <mergeCell ref="A28:D28"/>
  </mergeCells>
  <conditionalFormatting sqref="F1:F21">
    <cfRule type="cellIs" dxfId="30" priority="1" operator="lessThan">
      <formula>0</formula>
    </cfRule>
  </conditionalFormatting>
  <conditionalFormatting sqref="I20">
    <cfRule type="cellIs" dxfId="29" priority="2" operator="greaterThanOrEqual">
      <formula>500</formula>
    </cfRule>
    <cfRule type="cellIs" dxfId="28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1"/>
  <sheetViews>
    <sheetView zoomScaleNormal="100" workbookViewId="0">
      <selection activeCell="A5" sqref="A5"/>
    </sheetView>
  </sheetViews>
  <sheetFormatPr defaultRowHeight="15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customWidth="1" outlineLevel="1"/>
    <col min="14" max="14" width="13.140625" customWidth="1"/>
    <col min="15" max="15" width="11.28515625" customWidth="1" outlineLevel="1"/>
    <col min="16" max="16" width="8.85546875" customWidth="1" outlineLevel="1"/>
    <col min="17" max="17" width="10.5703125" customWidth="1" outlineLevel="1"/>
    <col min="18" max="18" width="22.710937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177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178" t="s">
        <v>49</v>
      </c>
      <c r="N1" s="178" t="s">
        <v>25</v>
      </c>
      <c r="O1" s="42" t="s">
        <v>26</v>
      </c>
      <c r="P1" s="42" t="s">
        <v>27</v>
      </c>
      <c r="Q1" s="42" t="s">
        <v>28</v>
      </c>
      <c r="R1" s="42" t="s">
        <v>4</v>
      </c>
    </row>
    <row r="2" spans="1:19" ht="15.75" hidden="1" thickBot="1" x14ac:dyDescent="0.3">
      <c r="A2" s="43" t="s">
        <v>29</v>
      </c>
      <c r="B2" s="179">
        <v>45474</v>
      </c>
      <c r="C2" s="180">
        <v>80</v>
      </c>
      <c r="D2" s="181">
        <f t="shared" ref="D2:D21" si="0">SUMIF($A$30:$A$188,A2,$B$30:$B$188)</f>
        <v>0</v>
      </c>
      <c r="E2" s="180"/>
      <c r="F2" s="47">
        <f>C2+D2-E2</f>
        <v>80</v>
      </c>
      <c r="G2" s="182">
        <f>'[4]Июнь 2024 '!H2</f>
        <v>14075</v>
      </c>
      <c r="H2" s="183"/>
      <c r="I2" s="183">
        <f>H2-G2</f>
        <v>-14075</v>
      </c>
      <c r="J2" s="180">
        <v>0</v>
      </c>
      <c r="K2" s="180"/>
      <c r="L2" s="180">
        <v>0</v>
      </c>
      <c r="M2" s="180">
        <f>VLOOKUP(A2,[4]Тарас!$C$4:$P$23,14,0)</f>
        <v>3.4</v>
      </c>
      <c r="N2" s="184"/>
      <c r="O2" s="182">
        <f>194.94*I2</f>
        <v>-2743780.5</v>
      </c>
      <c r="P2" s="182">
        <f>F2*$K$25</f>
        <v>3915.4135111311743</v>
      </c>
      <c r="Q2" s="182">
        <f>O2-P2</f>
        <v>-2747695.913511131</v>
      </c>
      <c r="R2" s="182"/>
    </row>
    <row r="3" spans="1:19" x14ac:dyDescent="0.25">
      <c r="A3" s="52" t="s">
        <v>30</v>
      </c>
      <c r="B3" s="62">
        <v>45566</v>
      </c>
      <c r="C3" s="54">
        <v>30</v>
      </c>
      <c r="D3" s="181">
        <f t="shared" si="0"/>
        <v>1057.02</v>
      </c>
      <c r="E3" s="54">
        <v>60</v>
      </c>
      <c r="F3" s="47">
        <f>C3+D3-E3</f>
        <v>1027.02</v>
      </c>
      <c r="G3" s="57"/>
      <c r="H3" s="58">
        <v>10943</v>
      </c>
      <c r="I3" s="183">
        <f>L3*0.53</f>
        <v>94.34</v>
      </c>
      <c r="J3" s="59"/>
      <c r="K3" s="59"/>
      <c r="L3" s="59">
        <v>178</v>
      </c>
      <c r="M3" s="68">
        <v>3.4</v>
      </c>
      <c r="N3" s="72">
        <f>F3/I3</f>
        <v>10.886368454526181</v>
      </c>
      <c r="O3" s="182">
        <f>194.94*I3</f>
        <v>18390.639600000002</v>
      </c>
      <c r="P3" s="182">
        <f>F3*$K$25</f>
        <v>50265.099802524237</v>
      </c>
      <c r="Q3" s="185">
        <f>O3-P3</f>
        <v>-31874.460202524235</v>
      </c>
      <c r="R3" s="60"/>
    </row>
    <row r="4" spans="1:19" ht="14.45" hidden="1" customHeight="1" x14ac:dyDescent="0.25">
      <c r="A4" s="186" t="s">
        <v>31</v>
      </c>
      <c r="B4" s="62">
        <v>45536</v>
      </c>
      <c r="C4" s="180"/>
      <c r="D4" s="181">
        <f t="shared" si="0"/>
        <v>0</v>
      </c>
      <c r="E4" s="180"/>
      <c r="F4" s="65">
        <f t="shared" ref="F4:F19" si="1">C4+D4-E4</f>
        <v>0</v>
      </c>
      <c r="G4" s="182"/>
      <c r="H4" s="183"/>
      <c r="I4" s="183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182">
        <f t="shared" ref="O4" si="3">194.94*I4</f>
        <v>0</v>
      </c>
      <c r="P4" s="182">
        <f t="shared" ref="P4:P21" si="4">F4*$K$25</f>
        <v>0</v>
      </c>
      <c r="Q4" s="187">
        <f t="shared" ref="Q4:Q21" si="5">O4-P4</f>
        <v>0</v>
      </c>
      <c r="R4" s="187"/>
    </row>
    <row r="5" spans="1:19" x14ac:dyDescent="0.25">
      <c r="A5" s="70" t="s">
        <v>10</v>
      </c>
      <c r="B5" s="62">
        <v>45566</v>
      </c>
      <c r="C5" s="180">
        <v>10</v>
      </c>
      <c r="D5" s="181">
        <f t="shared" si="0"/>
        <v>890</v>
      </c>
      <c r="E5" s="180">
        <v>60</v>
      </c>
      <c r="F5" s="47">
        <f>C5+D5-E5</f>
        <v>840</v>
      </c>
      <c r="G5" s="182">
        <v>9842</v>
      </c>
      <c r="H5" s="183">
        <v>10004</v>
      </c>
      <c r="I5" s="183">
        <f t="shared" ref="I5:I18" si="6">H5-G5</f>
        <v>162</v>
      </c>
      <c r="J5" s="68">
        <v>0</v>
      </c>
      <c r="K5" s="68"/>
      <c r="L5" s="68">
        <v>253</v>
      </c>
      <c r="M5" s="68">
        <v>3.4</v>
      </c>
      <c r="N5" s="72">
        <f>F5/I5</f>
        <v>5.1851851851851851</v>
      </c>
      <c r="O5" s="182">
        <f>194.94*I5</f>
        <v>31580.28</v>
      </c>
      <c r="P5" s="182">
        <f t="shared" si="4"/>
        <v>41111.84186687733</v>
      </c>
      <c r="Q5" s="185">
        <f>O5-P5</f>
        <v>-9531.5618668773313</v>
      </c>
      <c r="R5" s="185"/>
      <c r="S5" s="102"/>
    </row>
    <row r="6" spans="1:19" ht="18" customHeight="1" x14ac:dyDescent="0.25">
      <c r="A6" s="70" t="s">
        <v>11</v>
      </c>
      <c r="B6" s="62">
        <v>45566</v>
      </c>
      <c r="C6" s="180">
        <v>20</v>
      </c>
      <c r="D6" s="181">
        <f t="shared" si="0"/>
        <v>828</v>
      </c>
      <c r="E6" s="180">
        <v>70</v>
      </c>
      <c r="F6" s="65">
        <f t="shared" si="1"/>
        <v>778</v>
      </c>
      <c r="G6" s="182"/>
      <c r="H6" s="183"/>
      <c r="I6" s="183">
        <f>L6*0.53</f>
        <v>108.65</v>
      </c>
      <c r="J6" s="68">
        <v>0</v>
      </c>
      <c r="K6" s="68"/>
      <c r="L6" s="68">
        <v>205</v>
      </c>
      <c r="M6" s="68">
        <v>3.4</v>
      </c>
      <c r="N6" s="72">
        <f>F6/I6</f>
        <v>7.1606074551311547</v>
      </c>
      <c r="O6" s="182">
        <f>194.94*I6</f>
        <v>21180.231</v>
      </c>
      <c r="P6" s="182">
        <f t="shared" si="4"/>
        <v>38077.396395750671</v>
      </c>
      <c r="Q6" s="185">
        <f>O6-P6</f>
        <v>-16897.165395750671</v>
      </c>
      <c r="R6" s="187"/>
    </row>
    <row r="7" spans="1:19" x14ac:dyDescent="0.25">
      <c r="A7" s="70" t="s">
        <v>32</v>
      </c>
      <c r="B7" s="62">
        <v>45566</v>
      </c>
      <c r="C7" s="180">
        <v>65</v>
      </c>
      <c r="D7" s="181">
        <f t="shared" si="0"/>
        <v>60</v>
      </c>
      <c r="E7" s="180">
        <v>85</v>
      </c>
      <c r="F7" s="65">
        <f t="shared" si="1"/>
        <v>40</v>
      </c>
      <c r="G7" s="182">
        <v>4981</v>
      </c>
      <c r="H7" s="183">
        <v>4992</v>
      </c>
      <c r="I7" s="183">
        <f>H7-G7</f>
        <v>11</v>
      </c>
      <c r="J7" s="68">
        <v>0</v>
      </c>
      <c r="K7" s="68"/>
      <c r="L7" s="68">
        <v>3</v>
      </c>
      <c r="M7" s="68">
        <v>5</v>
      </c>
      <c r="N7" s="71">
        <f t="shared" si="2"/>
        <v>3.6363636363636362</v>
      </c>
      <c r="O7" s="182">
        <f>285*I7</f>
        <v>3135</v>
      </c>
      <c r="P7" s="182">
        <f t="shared" si="4"/>
        <v>1957.7067555655872</v>
      </c>
      <c r="Q7" s="187">
        <f t="shared" si="5"/>
        <v>1177.2932444344128</v>
      </c>
      <c r="R7" s="187"/>
    </row>
    <row r="8" spans="1:19" hidden="1" x14ac:dyDescent="0.25">
      <c r="A8" s="70" t="s">
        <v>33</v>
      </c>
      <c r="B8" s="62">
        <v>45566</v>
      </c>
      <c r="C8" s="180"/>
      <c r="D8" s="181">
        <f t="shared" si="0"/>
        <v>0</v>
      </c>
      <c r="E8" s="180"/>
      <c r="F8" s="65">
        <f t="shared" si="1"/>
        <v>0</v>
      </c>
      <c r="G8" s="182"/>
      <c r="H8" s="183"/>
      <c r="I8" s="183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182"/>
      <c r="P8" s="182">
        <f t="shared" si="4"/>
        <v>0</v>
      </c>
      <c r="Q8" s="187">
        <f t="shared" si="5"/>
        <v>0</v>
      </c>
      <c r="R8" s="187"/>
    </row>
    <row r="9" spans="1:19" x14ac:dyDescent="0.25">
      <c r="A9" s="70" t="s">
        <v>12</v>
      </c>
      <c r="B9" s="62">
        <v>45566</v>
      </c>
      <c r="C9" s="180">
        <v>10</v>
      </c>
      <c r="D9" s="181">
        <f t="shared" si="0"/>
        <v>840.05</v>
      </c>
      <c r="E9" s="180">
        <v>50</v>
      </c>
      <c r="F9" s="47">
        <f>C9+D9-E9</f>
        <v>800.05</v>
      </c>
      <c r="G9" s="182">
        <v>17802</v>
      </c>
      <c r="H9" s="183">
        <v>18010</v>
      </c>
      <c r="I9" s="183">
        <f>H9-G9</f>
        <v>208</v>
      </c>
      <c r="J9" s="68">
        <v>0</v>
      </c>
      <c r="K9" s="68"/>
      <c r="L9" s="68">
        <v>216</v>
      </c>
      <c r="M9" s="68">
        <v>4.0999999999999996</v>
      </c>
      <c r="N9" s="71">
        <f>F9/I9</f>
        <v>3.8463942307692305</v>
      </c>
      <c r="O9" s="182">
        <f>235.41*I9</f>
        <v>48965.279999999999</v>
      </c>
      <c r="P9" s="182">
        <f t="shared" si="4"/>
        <v>39156.582244756202</v>
      </c>
      <c r="Q9" s="187">
        <f>O9-P9</f>
        <v>9808.6977552437966</v>
      </c>
      <c r="R9" s="187"/>
    </row>
    <row r="10" spans="1:19" x14ac:dyDescent="0.25">
      <c r="A10" s="70" t="s">
        <v>14</v>
      </c>
      <c r="B10" s="62">
        <v>45566</v>
      </c>
      <c r="C10" s="180">
        <v>20</v>
      </c>
      <c r="D10" s="181">
        <f t="shared" si="0"/>
        <v>830</v>
      </c>
      <c r="E10" s="180">
        <v>80</v>
      </c>
      <c r="F10" s="47">
        <f>C10+D10-E10</f>
        <v>770</v>
      </c>
      <c r="G10" s="182"/>
      <c r="H10" s="183"/>
      <c r="I10" s="183">
        <f>L10*0.55</f>
        <v>97.350000000000009</v>
      </c>
      <c r="J10" s="68">
        <v>0</v>
      </c>
      <c r="K10" s="68"/>
      <c r="L10" s="68">
        <v>177</v>
      </c>
      <c r="M10" s="68">
        <v>4.0999999999999996</v>
      </c>
      <c r="N10" s="72">
        <f>F10/I10</f>
        <v>7.9096045197740104</v>
      </c>
      <c r="O10" s="182">
        <f t="shared" ref="O10:O11" si="7">235.41*I10</f>
        <v>22917.163500000002</v>
      </c>
      <c r="P10" s="182">
        <f>F10*$K$25</f>
        <v>37685.855044637552</v>
      </c>
      <c r="Q10" s="185">
        <f t="shared" si="5"/>
        <v>-14768.69154463755</v>
      </c>
      <c r="R10" s="188"/>
    </row>
    <row r="11" spans="1:19" hidden="1" x14ac:dyDescent="0.25">
      <c r="A11" s="70" t="s">
        <v>13</v>
      </c>
      <c r="B11" s="62">
        <v>45566</v>
      </c>
      <c r="C11" s="180">
        <v>20</v>
      </c>
      <c r="D11" s="181">
        <f t="shared" si="0"/>
        <v>0</v>
      </c>
      <c r="E11" s="180">
        <v>20</v>
      </c>
      <c r="F11" s="65">
        <f t="shared" si="1"/>
        <v>0</v>
      </c>
      <c r="G11" s="182"/>
      <c r="H11" s="183"/>
      <c r="I11" s="183">
        <f t="shared" si="6"/>
        <v>0</v>
      </c>
      <c r="J11" s="68">
        <v>0</v>
      </c>
      <c r="K11" s="68"/>
      <c r="L11" s="68"/>
      <c r="M11" s="68">
        <v>4.0999999999999996</v>
      </c>
      <c r="N11" s="72"/>
      <c r="O11" s="182">
        <f t="shared" si="7"/>
        <v>0</v>
      </c>
      <c r="P11" s="182">
        <f>F11*$K$25</f>
        <v>0</v>
      </c>
      <c r="Q11" s="185">
        <f t="shared" si="5"/>
        <v>0</v>
      </c>
      <c r="R11" s="187"/>
    </row>
    <row r="12" spans="1:19" x14ac:dyDescent="0.25">
      <c r="A12" s="70" t="s">
        <v>34</v>
      </c>
      <c r="B12" s="62">
        <v>45566</v>
      </c>
      <c r="C12" s="180">
        <v>301</v>
      </c>
      <c r="D12" s="181">
        <f t="shared" si="0"/>
        <v>2127.8999999999996</v>
      </c>
      <c r="E12" s="180">
        <v>129</v>
      </c>
      <c r="F12" s="65">
        <f t="shared" si="1"/>
        <v>2299.8999999999996</v>
      </c>
      <c r="G12" s="182">
        <v>7387</v>
      </c>
      <c r="H12" s="183">
        <v>7583</v>
      </c>
      <c r="I12" s="183">
        <f>H12-G12</f>
        <v>196</v>
      </c>
      <c r="J12" s="68">
        <v>0</v>
      </c>
      <c r="K12" s="68"/>
      <c r="L12" s="68">
        <v>230</v>
      </c>
      <c r="M12" s="68">
        <v>10.5</v>
      </c>
      <c r="N12" s="72">
        <f>F12/I12</f>
        <v>11.734183673469387</v>
      </c>
      <c r="O12" s="182">
        <f>595.65*I12</f>
        <v>116747.4</v>
      </c>
      <c r="P12" s="182">
        <f t="shared" si="4"/>
        <v>112563.24417813234</v>
      </c>
      <c r="Q12" s="185">
        <f t="shared" si="5"/>
        <v>4184.155821867651</v>
      </c>
      <c r="R12" s="187" t="s">
        <v>83</v>
      </c>
      <c r="S12" s="11"/>
    </row>
    <row r="13" spans="1:19" x14ac:dyDescent="0.25">
      <c r="A13" s="99" t="s">
        <v>35</v>
      </c>
      <c r="B13" s="62">
        <v>45566</v>
      </c>
      <c r="C13" s="180">
        <v>150</v>
      </c>
      <c r="D13" s="181">
        <f t="shared" si="0"/>
        <v>788.69</v>
      </c>
      <c r="E13" s="180">
        <v>40</v>
      </c>
      <c r="F13" s="65">
        <f t="shared" si="1"/>
        <v>898.69</v>
      </c>
      <c r="G13" s="182">
        <v>32692</v>
      </c>
      <c r="H13" s="183">
        <v>33450</v>
      </c>
      <c r="I13" s="183">
        <f t="shared" si="6"/>
        <v>758</v>
      </c>
      <c r="J13" s="68">
        <v>0</v>
      </c>
      <c r="K13" s="68"/>
      <c r="L13" s="68">
        <v>214</v>
      </c>
      <c r="M13" s="68">
        <v>0.9</v>
      </c>
      <c r="N13" s="72">
        <f>F13/I13</f>
        <v>1.1856068601583114</v>
      </c>
      <c r="O13" s="182">
        <f>(51.3*(I13-K13))+(K13*14.25)</f>
        <v>38885.4</v>
      </c>
      <c r="P13" s="182">
        <f t="shared" si="4"/>
        <v>43984.287103980947</v>
      </c>
      <c r="Q13" s="185">
        <f>O13-P13</f>
        <v>-5098.8871039809455</v>
      </c>
      <c r="R13" s="187"/>
    </row>
    <row r="14" spans="1:19" x14ac:dyDescent="0.25">
      <c r="A14" s="99" t="s">
        <v>7</v>
      </c>
      <c r="B14" s="62">
        <v>45566</v>
      </c>
      <c r="C14" s="180">
        <v>160</v>
      </c>
      <c r="D14" s="181">
        <f t="shared" si="0"/>
        <v>876.11</v>
      </c>
      <c r="E14" s="180">
        <v>150</v>
      </c>
      <c r="F14" s="47">
        <f t="shared" si="1"/>
        <v>886.11000000000013</v>
      </c>
      <c r="G14" s="182">
        <v>37210</v>
      </c>
      <c r="H14" s="183">
        <v>38463</v>
      </c>
      <c r="I14" s="183">
        <f>H14-G14</f>
        <v>1253</v>
      </c>
      <c r="J14" s="68">
        <v>0</v>
      </c>
      <c r="K14" s="68">
        <v>730</v>
      </c>
      <c r="L14" s="68">
        <v>197</v>
      </c>
      <c r="M14" s="68">
        <v>0.9</v>
      </c>
      <c r="N14" s="71">
        <f>F14/I14</f>
        <v>0.70719074221867528</v>
      </c>
      <c r="O14" s="182">
        <f>(51.3*(I14-K14))+(K14*14.25)</f>
        <v>37232.399999999994</v>
      </c>
      <c r="P14" s="182">
        <f>F14*$K$25</f>
        <v>43368.588329355567</v>
      </c>
      <c r="Q14" s="185">
        <f t="shared" si="5"/>
        <v>-6136.1883293555729</v>
      </c>
      <c r="R14" s="187"/>
    </row>
    <row r="15" spans="1:19" hidden="1" x14ac:dyDescent="0.25">
      <c r="A15" s="99" t="s">
        <v>8</v>
      </c>
      <c r="B15" s="62">
        <v>45566</v>
      </c>
      <c r="C15" s="180">
        <v>204</v>
      </c>
      <c r="D15" s="181">
        <f t="shared" si="0"/>
        <v>0</v>
      </c>
      <c r="E15" s="180">
        <v>204</v>
      </c>
      <c r="F15" s="65">
        <f t="shared" si="1"/>
        <v>0</v>
      </c>
      <c r="G15" s="182">
        <v>560504</v>
      </c>
      <c r="H15" s="183"/>
      <c r="I15" s="183">
        <f t="shared" si="6"/>
        <v>-560504</v>
      </c>
      <c r="J15" s="68">
        <v>0</v>
      </c>
      <c r="K15" s="68"/>
      <c r="L15" s="68"/>
      <c r="M15" s="68">
        <v>0.9</v>
      </c>
      <c r="N15" s="72">
        <f t="shared" si="2"/>
        <v>0</v>
      </c>
      <c r="O15" s="182">
        <f>(51.3*(I15-K15))+(K15*19.85)</f>
        <v>-28753855.199999999</v>
      </c>
      <c r="P15" s="182">
        <f t="shared" si="4"/>
        <v>0</v>
      </c>
      <c r="Q15" s="187">
        <f t="shared" si="5"/>
        <v>-28753855.199999999</v>
      </c>
      <c r="R15" s="187"/>
    </row>
    <row r="16" spans="1:19" x14ac:dyDescent="0.25">
      <c r="A16" s="99" t="s">
        <v>9</v>
      </c>
      <c r="B16" s="62">
        <v>45566</v>
      </c>
      <c r="C16" s="180">
        <v>181</v>
      </c>
      <c r="D16" s="181">
        <f t="shared" si="0"/>
        <v>1545.02</v>
      </c>
      <c r="E16" s="180">
        <v>130</v>
      </c>
      <c r="F16" s="65">
        <f t="shared" si="1"/>
        <v>1596.02</v>
      </c>
      <c r="G16" s="182">
        <v>68211</v>
      </c>
      <c r="H16" s="183">
        <v>70039</v>
      </c>
      <c r="I16" s="183">
        <f t="shared" si="6"/>
        <v>1828</v>
      </c>
      <c r="J16" s="68">
        <v>0</v>
      </c>
      <c r="K16" s="68"/>
      <c r="L16" s="68">
        <v>228</v>
      </c>
      <c r="M16" s="68">
        <v>0.9</v>
      </c>
      <c r="N16" s="71">
        <f>F16/I16</f>
        <v>0.87309628008752738</v>
      </c>
      <c r="O16" s="182">
        <f>(51.3*(I16-K16))+(K16*19.85)</f>
        <v>93776.4</v>
      </c>
      <c r="P16" s="182">
        <f t="shared" si="4"/>
        <v>78113.478400444714</v>
      </c>
      <c r="Q16" s="187">
        <f t="shared" si="5"/>
        <v>15662.92159955528</v>
      </c>
      <c r="R16" s="187" t="s">
        <v>84</v>
      </c>
      <c r="S16" s="11"/>
    </row>
    <row r="17" spans="1:19" x14ac:dyDescent="0.25">
      <c r="A17" s="99" t="s">
        <v>60</v>
      </c>
      <c r="B17" s="62">
        <v>45566</v>
      </c>
      <c r="C17" s="180">
        <v>160</v>
      </c>
      <c r="D17" s="181">
        <f t="shared" si="0"/>
        <v>2237.81</v>
      </c>
      <c r="E17" s="180">
        <v>150</v>
      </c>
      <c r="F17" s="65">
        <f t="shared" si="1"/>
        <v>2247.81</v>
      </c>
      <c r="G17" s="182">
        <v>64118</v>
      </c>
      <c r="H17" s="183">
        <v>67426</v>
      </c>
      <c r="I17" s="183">
        <f t="shared" si="6"/>
        <v>3308</v>
      </c>
      <c r="J17" s="68">
        <v>0</v>
      </c>
      <c r="K17" s="68">
        <v>730</v>
      </c>
      <c r="L17" s="68">
        <v>243</v>
      </c>
      <c r="M17" s="68">
        <v>0.9</v>
      </c>
      <c r="N17" s="71">
        <f>F17/I17</f>
        <v>0.67950725513905685</v>
      </c>
      <c r="O17" s="182">
        <f>(51.3*(I17-K17))+(K17*19.85)</f>
        <v>146741.9</v>
      </c>
      <c r="P17" s="182">
        <f t="shared" si="4"/>
        <v>110013.82055569706</v>
      </c>
      <c r="Q17" s="187">
        <f t="shared" si="5"/>
        <v>36728.07944430293</v>
      </c>
      <c r="R17" s="187" t="s">
        <v>85</v>
      </c>
      <c r="S17" s="11"/>
    </row>
    <row r="18" spans="1:19" ht="15" hidden="1" customHeight="1" x14ac:dyDescent="0.25">
      <c r="A18" s="99" t="s">
        <v>36</v>
      </c>
      <c r="B18" s="62">
        <v>45566</v>
      </c>
      <c r="C18" s="180"/>
      <c r="D18" s="181">
        <f t="shared" si="0"/>
        <v>0</v>
      </c>
      <c r="E18" s="180"/>
      <c r="F18" s="65">
        <f t="shared" si="1"/>
        <v>0</v>
      </c>
      <c r="G18" s="182"/>
      <c r="H18" s="183"/>
      <c r="I18" s="183">
        <f t="shared" si="6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182">
        <f t="shared" si="4"/>
        <v>0</v>
      </c>
      <c r="Q18" s="187">
        <f t="shared" si="5"/>
        <v>0</v>
      </c>
      <c r="R18" s="187"/>
    </row>
    <row r="19" spans="1:19" x14ac:dyDescent="0.25">
      <c r="A19" s="100" t="s">
        <v>37</v>
      </c>
      <c r="B19" s="62">
        <v>45566</v>
      </c>
      <c r="C19" s="180">
        <v>40</v>
      </c>
      <c r="D19" s="181">
        <f t="shared" si="0"/>
        <v>260</v>
      </c>
      <c r="E19" s="180">
        <v>70</v>
      </c>
      <c r="F19" s="65">
        <f t="shared" si="1"/>
        <v>230</v>
      </c>
      <c r="G19" s="182"/>
      <c r="H19" s="183"/>
      <c r="I19" s="183">
        <f>L19*0.7</f>
        <v>32.199999999999996</v>
      </c>
      <c r="J19" s="68">
        <v>0</v>
      </c>
      <c r="K19" s="68"/>
      <c r="L19" s="68">
        <v>46</v>
      </c>
      <c r="M19" s="68">
        <v>5.0999999999999996</v>
      </c>
      <c r="N19" s="72">
        <f t="shared" si="2"/>
        <v>7.1428571428571441</v>
      </c>
      <c r="O19" s="182">
        <f>290.07*I19</f>
        <v>9340.253999999999</v>
      </c>
      <c r="P19" s="182">
        <f t="shared" si="4"/>
        <v>11256.813844502127</v>
      </c>
      <c r="Q19" s="185">
        <f t="shared" si="5"/>
        <v>-1916.5598445021278</v>
      </c>
      <c r="R19" s="187"/>
      <c r="S19" s="11"/>
    </row>
    <row r="20" spans="1:19" x14ac:dyDescent="0.25">
      <c r="A20" s="99" t="s">
        <v>5</v>
      </c>
      <c r="B20" s="62">
        <v>45566</v>
      </c>
      <c r="C20" s="180">
        <v>60</v>
      </c>
      <c r="D20" s="181">
        <f t="shared" si="0"/>
        <v>280</v>
      </c>
      <c r="E20" s="180">
        <v>224</v>
      </c>
      <c r="F20" s="68">
        <f>C20+D20-E20</f>
        <v>116</v>
      </c>
      <c r="G20" s="182">
        <v>6142</v>
      </c>
      <c r="H20" s="183">
        <v>6213</v>
      </c>
      <c r="I20" s="73">
        <f>H20-G20</f>
        <v>71</v>
      </c>
      <c r="J20" s="68">
        <v>0</v>
      </c>
      <c r="K20" s="68"/>
      <c r="L20" s="68">
        <v>239</v>
      </c>
      <c r="M20" s="68">
        <v>3.2</v>
      </c>
      <c r="N20" s="71">
        <f>F20/I20</f>
        <v>1.6338028169014085</v>
      </c>
      <c r="O20" s="73">
        <f>182.4*I20</f>
        <v>12950.4</v>
      </c>
      <c r="P20" s="182">
        <f t="shared" si="4"/>
        <v>5677.3495911402033</v>
      </c>
      <c r="Q20" s="187">
        <f t="shared" si="5"/>
        <v>7273.0504088597963</v>
      </c>
      <c r="R20" s="187" t="s">
        <v>86</v>
      </c>
      <c r="S20" s="11"/>
    </row>
    <row r="21" spans="1:19" ht="15.75" thickBot="1" x14ac:dyDescent="0.3">
      <c r="A21" s="101" t="s">
        <v>6</v>
      </c>
      <c r="B21" s="62">
        <v>45566</v>
      </c>
      <c r="C21" s="75">
        <v>152</v>
      </c>
      <c r="D21" s="76">
        <f t="shared" si="0"/>
        <v>493.91999999999996</v>
      </c>
      <c r="E21" s="75">
        <v>40</v>
      </c>
      <c r="F21" s="97">
        <f>C21+D21-E21</f>
        <v>605.91999999999996</v>
      </c>
      <c r="G21" s="77"/>
      <c r="H21" s="78"/>
      <c r="I21" s="78">
        <f>L21*0.7</f>
        <v>155.39999999999998</v>
      </c>
      <c r="J21" s="75">
        <v>0</v>
      </c>
      <c r="K21" s="79"/>
      <c r="L21" s="75">
        <v>222</v>
      </c>
      <c r="M21" s="75">
        <v>2.9</v>
      </c>
      <c r="N21" s="95">
        <f t="shared" si="2"/>
        <v>3.8990990990990992</v>
      </c>
      <c r="O21" s="73">
        <f>I21*165.3+28.5*K21</f>
        <v>25687.62</v>
      </c>
      <c r="P21" s="77">
        <f t="shared" si="4"/>
        <v>29655.341933307514</v>
      </c>
      <c r="Q21" s="98">
        <f t="shared" si="5"/>
        <v>-3967.7219333075154</v>
      </c>
      <c r="R21" s="187" t="s">
        <v>87</v>
      </c>
    </row>
    <row r="22" spans="1:19" x14ac:dyDescent="0.25">
      <c r="A22" s="51"/>
      <c r="B22" s="51"/>
      <c r="C22" s="92">
        <f>SUM(C3:C21)</f>
        <v>1583</v>
      </c>
      <c r="D22" s="93">
        <f>SUM(D2:D21)</f>
        <v>13114.52</v>
      </c>
      <c r="E22" s="92">
        <f>SUM(E2:E21)</f>
        <v>1562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25">
      <c r="A23" s="51"/>
      <c r="B23" s="51"/>
      <c r="C23" s="51"/>
      <c r="D23" s="106">
        <f>D22-B189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25">
      <c r="D25" s="17"/>
      <c r="J25" s="18" t="s">
        <v>39</v>
      </c>
      <c r="K25" s="19">
        <f>SUM(C30:C188)/B189</f>
        <v>48.942668889139682</v>
      </c>
    </row>
    <row r="27" spans="1:19" x14ac:dyDescent="0.25">
      <c r="H27" s="20"/>
    </row>
    <row r="28" spans="1:19" x14ac:dyDescent="0.25">
      <c r="A28" s="487" t="s">
        <v>40</v>
      </c>
      <c r="B28" s="487"/>
      <c r="C28" s="487"/>
      <c r="D28" s="487"/>
    </row>
    <row r="29" spans="1:19" ht="15.75" thickBot="1" x14ac:dyDescent="0.3">
      <c r="A29" s="189" t="s">
        <v>15</v>
      </c>
      <c r="B29" s="189" t="s">
        <v>41</v>
      </c>
      <c r="C29" s="189" t="s">
        <v>42</v>
      </c>
      <c r="D29" s="189" t="s">
        <v>43</v>
      </c>
    </row>
    <row r="30" spans="1:19" x14ac:dyDescent="0.25">
      <c r="A30" s="70" t="s">
        <v>12</v>
      </c>
      <c r="B30" s="3">
        <v>46.11</v>
      </c>
      <c r="C30" s="12">
        <f>B30*48.625</f>
        <v>2242.0987500000001</v>
      </c>
      <c r="D30" s="22" t="s">
        <v>44</v>
      </c>
    </row>
    <row r="31" spans="1:19" x14ac:dyDescent="0.25">
      <c r="A31" s="70" t="s">
        <v>12</v>
      </c>
      <c r="B31" s="9">
        <v>53.89</v>
      </c>
      <c r="C31" s="12">
        <f t="shared" ref="C31:C94" si="8">B31*48.625</f>
        <v>2620.4012499999999</v>
      </c>
      <c r="D31" s="22" t="s">
        <v>44</v>
      </c>
    </row>
    <row r="32" spans="1:19" x14ac:dyDescent="0.25">
      <c r="A32" s="70" t="s">
        <v>12</v>
      </c>
      <c r="B32" s="9">
        <v>114.64</v>
      </c>
      <c r="C32" s="12">
        <f t="shared" si="8"/>
        <v>5574.37</v>
      </c>
      <c r="D32" s="22" t="s">
        <v>44</v>
      </c>
    </row>
    <row r="33" spans="1:4" x14ac:dyDescent="0.25">
      <c r="A33" s="70" t="s">
        <v>12</v>
      </c>
      <c r="B33" s="9">
        <v>85.36</v>
      </c>
      <c r="C33" s="12">
        <f t="shared" si="8"/>
        <v>4150.63</v>
      </c>
      <c r="D33" s="22" t="s">
        <v>44</v>
      </c>
    </row>
    <row r="34" spans="1:4" x14ac:dyDescent="0.25">
      <c r="A34" s="70" t="s">
        <v>12</v>
      </c>
      <c r="B34" s="9">
        <v>100</v>
      </c>
      <c r="C34" s="12">
        <f t="shared" si="8"/>
        <v>4862.5</v>
      </c>
      <c r="D34" s="22" t="s">
        <v>44</v>
      </c>
    </row>
    <row r="35" spans="1:4" x14ac:dyDescent="0.25">
      <c r="A35" s="70" t="s">
        <v>12</v>
      </c>
      <c r="B35" s="9">
        <v>100</v>
      </c>
      <c r="C35" s="12">
        <f t="shared" si="8"/>
        <v>4862.5</v>
      </c>
      <c r="D35" s="22" t="s">
        <v>44</v>
      </c>
    </row>
    <row r="36" spans="1:4" x14ac:dyDescent="0.25">
      <c r="A36" s="70" t="s">
        <v>12</v>
      </c>
      <c r="B36" s="9">
        <v>100</v>
      </c>
      <c r="C36" s="12">
        <f t="shared" si="8"/>
        <v>4862.5</v>
      </c>
      <c r="D36" s="22" t="s">
        <v>44</v>
      </c>
    </row>
    <row r="37" spans="1:4" x14ac:dyDescent="0.25">
      <c r="A37" s="70" t="s">
        <v>12</v>
      </c>
      <c r="B37" s="9">
        <v>40.049999999999997</v>
      </c>
      <c r="C37" s="12">
        <f t="shared" si="8"/>
        <v>1947.4312499999999</v>
      </c>
      <c r="D37" s="22" t="s">
        <v>44</v>
      </c>
    </row>
    <row r="38" spans="1:4" x14ac:dyDescent="0.25">
      <c r="A38" s="70" t="s">
        <v>12</v>
      </c>
      <c r="B38" s="167">
        <v>100</v>
      </c>
      <c r="C38" s="12">
        <f t="shared" si="8"/>
        <v>4862.5</v>
      </c>
      <c r="D38" s="22" t="s">
        <v>44</v>
      </c>
    </row>
    <row r="39" spans="1:4" x14ac:dyDescent="0.25">
      <c r="A39" s="70" t="s">
        <v>12</v>
      </c>
      <c r="B39" s="167">
        <v>100</v>
      </c>
      <c r="C39" s="12">
        <f t="shared" si="8"/>
        <v>4862.5</v>
      </c>
      <c r="D39" s="22" t="s">
        <v>44</v>
      </c>
    </row>
    <row r="40" spans="1:4" x14ac:dyDescent="0.25">
      <c r="A40" s="10" t="s">
        <v>7</v>
      </c>
      <c r="B40" s="167">
        <v>100</v>
      </c>
      <c r="C40" s="12">
        <f t="shared" si="8"/>
        <v>4862.5</v>
      </c>
      <c r="D40" s="22" t="s">
        <v>44</v>
      </c>
    </row>
    <row r="41" spans="1:4" x14ac:dyDescent="0.25">
      <c r="A41" s="10" t="s">
        <v>7</v>
      </c>
      <c r="B41" s="167">
        <v>140.01</v>
      </c>
      <c r="C41" s="12">
        <f t="shared" si="8"/>
        <v>6807.9862499999999</v>
      </c>
      <c r="D41" s="22" t="s">
        <v>44</v>
      </c>
    </row>
    <row r="42" spans="1:4" x14ac:dyDescent="0.25">
      <c r="A42" s="10" t="s">
        <v>7</v>
      </c>
      <c r="B42" s="167">
        <v>53.34</v>
      </c>
      <c r="C42" s="12">
        <f t="shared" si="8"/>
        <v>2593.6575000000003</v>
      </c>
      <c r="D42" s="22" t="s">
        <v>44</v>
      </c>
    </row>
    <row r="43" spans="1:4" x14ac:dyDescent="0.25">
      <c r="A43" s="10" t="s">
        <v>7</v>
      </c>
      <c r="B43" s="167">
        <v>130</v>
      </c>
      <c r="C43" s="12">
        <f t="shared" si="8"/>
        <v>6321.25</v>
      </c>
      <c r="D43" s="22" t="s">
        <v>44</v>
      </c>
    </row>
    <row r="44" spans="1:4" x14ac:dyDescent="0.25">
      <c r="A44" s="10" t="s">
        <v>7</v>
      </c>
      <c r="B44" s="167">
        <v>130</v>
      </c>
      <c r="C44" s="12">
        <f t="shared" si="8"/>
        <v>6321.25</v>
      </c>
      <c r="D44" s="22" t="s">
        <v>44</v>
      </c>
    </row>
    <row r="45" spans="1:4" x14ac:dyDescent="0.25">
      <c r="A45" s="10" t="s">
        <v>6</v>
      </c>
      <c r="B45" s="167">
        <v>120</v>
      </c>
      <c r="C45" s="12">
        <f t="shared" si="8"/>
        <v>5835</v>
      </c>
      <c r="D45" s="22" t="s">
        <v>44</v>
      </c>
    </row>
    <row r="46" spans="1:4" x14ac:dyDescent="0.25">
      <c r="A46" s="10" t="s">
        <v>6</v>
      </c>
      <c r="B46" s="167">
        <v>43.91</v>
      </c>
      <c r="C46" s="12">
        <f t="shared" si="8"/>
        <v>2135.1237499999997</v>
      </c>
      <c r="D46" s="22" t="s">
        <v>44</v>
      </c>
    </row>
    <row r="47" spans="1:4" x14ac:dyDescent="0.25">
      <c r="A47" s="10" t="s">
        <v>6</v>
      </c>
      <c r="B47" s="167">
        <v>35</v>
      </c>
      <c r="C47" s="12">
        <f t="shared" si="8"/>
        <v>1701.875</v>
      </c>
      <c r="D47" s="22" t="s">
        <v>44</v>
      </c>
    </row>
    <row r="48" spans="1:4" x14ac:dyDescent="0.25">
      <c r="A48" s="10" t="s">
        <v>6</v>
      </c>
      <c r="B48" s="167">
        <v>150</v>
      </c>
      <c r="C48" s="12">
        <f t="shared" si="8"/>
        <v>7293.75</v>
      </c>
      <c r="D48" s="22" t="s">
        <v>44</v>
      </c>
    </row>
    <row r="49" spans="1:4" x14ac:dyDescent="0.25">
      <c r="A49" s="22" t="s">
        <v>6</v>
      </c>
      <c r="B49" s="9">
        <v>145.01</v>
      </c>
      <c r="C49" s="12">
        <f t="shared" si="8"/>
        <v>7051.1112499999999</v>
      </c>
      <c r="D49" s="22" t="s">
        <v>44</v>
      </c>
    </row>
    <row r="50" spans="1:4" x14ac:dyDescent="0.25">
      <c r="A50" s="10" t="s">
        <v>35</v>
      </c>
      <c r="B50" s="9">
        <v>169.93</v>
      </c>
      <c r="C50" s="12">
        <f t="shared" si="8"/>
        <v>8262.8462500000005</v>
      </c>
      <c r="D50" s="22" t="s">
        <v>44</v>
      </c>
    </row>
    <row r="51" spans="1:4" x14ac:dyDescent="0.25">
      <c r="A51" s="10" t="s">
        <v>35</v>
      </c>
      <c r="B51" s="9">
        <v>147.38999999999999</v>
      </c>
      <c r="C51" s="12">
        <f t="shared" si="8"/>
        <v>7166.838749999999</v>
      </c>
      <c r="D51" s="22" t="s">
        <v>44</v>
      </c>
    </row>
    <row r="52" spans="1:4" x14ac:dyDescent="0.25">
      <c r="A52" s="10" t="s">
        <v>35</v>
      </c>
      <c r="B52" s="9">
        <v>104.83</v>
      </c>
      <c r="C52" s="12">
        <f t="shared" si="8"/>
        <v>5097.3587500000003</v>
      </c>
      <c r="D52" s="22" t="s">
        <v>44</v>
      </c>
    </row>
    <row r="53" spans="1:4" x14ac:dyDescent="0.25">
      <c r="A53" s="10" t="s">
        <v>35</v>
      </c>
      <c r="B53" s="9">
        <v>66.540000000000006</v>
      </c>
      <c r="C53" s="12">
        <f t="shared" si="8"/>
        <v>3235.5075000000002</v>
      </c>
      <c r="D53" s="22" t="s">
        <v>44</v>
      </c>
    </row>
    <row r="54" spans="1:4" x14ac:dyDescent="0.25">
      <c r="A54" s="10" t="s">
        <v>35</v>
      </c>
      <c r="B54" s="9">
        <v>100</v>
      </c>
      <c r="C54" s="12">
        <f t="shared" si="8"/>
        <v>4862.5</v>
      </c>
      <c r="D54" s="22" t="s">
        <v>44</v>
      </c>
    </row>
    <row r="55" spans="1:4" x14ac:dyDescent="0.25">
      <c r="A55" s="10" t="s">
        <v>35</v>
      </c>
      <c r="B55" s="9">
        <v>100</v>
      </c>
      <c r="C55" s="12">
        <f t="shared" si="8"/>
        <v>4862.5</v>
      </c>
      <c r="D55" s="22" t="s">
        <v>44</v>
      </c>
    </row>
    <row r="56" spans="1:4" x14ac:dyDescent="0.25">
      <c r="A56" s="10" t="s">
        <v>35</v>
      </c>
      <c r="B56" s="9">
        <v>100</v>
      </c>
      <c r="C56" s="12">
        <f t="shared" si="8"/>
        <v>4862.5</v>
      </c>
      <c r="D56" s="22" t="s">
        <v>44</v>
      </c>
    </row>
    <row r="57" spans="1:4" x14ac:dyDescent="0.25">
      <c r="A57" s="10" t="s">
        <v>30</v>
      </c>
      <c r="B57" s="9">
        <v>136.31</v>
      </c>
      <c r="C57" s="12">
        <f t="shared" si="8"/>
        <v>6628.0737500000005</v>
      </c>
      <c r="D57" s="22" t="s">
        <v>44</v>
      </c>
    </row>
    <row r="58" spans="1:4" x14ac:dyDescent="0.25">
      <c r="A58" s="10" t="s">
        <v>30</v>
      </c>
      <c r="B58" s="9">
        <v>130</v>
      </c>
      <c r="C58" s="12">
        <f t="shared" si="8"/>
        <v>6321.25</v>
      </c>
      <c r="D58" s="22" t="s">
        <v>44</v>
      </c>
    </row>
    <row r="59" spans="1:4" x14ac:dyDescent="0.25">
      <c r="A59" s="10" t="s">
        <v>30</v>
      </c>
      <c r="B59" s="9">
        <v>100</v>
      </c>
      <c r="C59" s="12">
        <f t="shared" si="8"/>
        <v>4862.5</v>
      </c>
      <c r="D59" s="22" t="s">
        <v>44</v>
      </c>
    </row>
    <row r="60" spans="1:4" x14ac:dyDescent="0.25">
      <c r="A60" s="10" t="s">
        <v>30</v>
      </c>
      <c r="B60" s="9">
        <v>110</v>
      </c>
      <c r="C60" s="12">
        <f t="shared" si="8"/>
        <v>5348.75</v>
      </c>
      <c r="D60" s="22" t="s">
        <v>44</v>
      </c>
    </row>
    <row r="61" spans="1:4" x14ac:dyDescent="0.25">
      <c r="A61" s="10" t="s">
        <v>30</v>
      </c>
      <c r="B61" s="9">
        <v>40.71</v>
      </c>
      <c r="C61" s="12">
        <f t="shared" si="8"/>
        <v>1979.5237500000001</v>
      </c>
      <c r="D61" s="22" t="s">
        <v>44</v>
      </c>
    </row>
    <row r="62" spans="1:4" x14ac:dyDescent="0.25">
      <c r="A62" s="10" t="s">
        <v>30</v>
      </c>
      <c r="B62" s="9">
        <v>120</v>
      </c>
      <c r="C62" s="12">
        <f t="shared" si="8"/>
        <v>5835</v>
      </c>
      <c r="D62" s="22" t="s">
        <v>44</v>
      </c>
    </row>
    <row r="63" spans="1:4" x14ac:dyDescent="0.25">
      <c r="A63" s="10" t="s">
        <v>30</v>
      </c>
      <c r="B63" s="9">
        <v>40</v>
      </c>
      <c r="C63" s="12">
        <f t="shared" si="8"/>
        <v>1945</v>
      </c>
      <c r="D63" s="22" t="s">
        <v>44</v>
      </c>
    </row>
    <row r="64" spans="1:4" x14ac:dyDescent="0.25">
      <c r="A64" s="10" t="s">
        <v>30</v>
      </c>
      <c r="B64" s="9">
        <v>100</v>
      </c>
      <c r="C64" s="12">
        <f t="shared" si="8"/>
        <v>4862.5</v>
      </c>
      <c r="D64" s="22" t="s">
        <v>44</v>
      </c>
    </row>
    <row r="65" spans="1:4" x14ac:dyDescent="0.25">
      <c r="A65" s="10" t="s">
        <v>30</v>
      </c>
      <c r="B65" s="9">
        <v>100</v>
      </c>
      <c r="C65" s="12">
        <f t="shared" si="8"/>
        <v>4862.5</v>
      </c>
      <c r="D65" s="22" t="s">
        <v>44</v>
      </c>
    </row>
    <row r="66" spans="1:4" x14ac:dyDescent="0.25">
      <c r="A66" s="22" t="s">
        <v>11</v>
      </c>
      <c r="B66" s="9">
        <v>160.07</v>
      </c>
      <c r="C66" s="12">
        <f t="shared" si="8"/>
        <v>7783.4037499999995</v>
      </c>
      <c r="D66" s="22" t="s">
        <v>44</v>
      </c>
    </row>
    <row r="67" spans="1:4" x14ac:dyDescent="0.25">
      <c r="A67" s="22" t="s">
        <v>11</v>
      </c>
      <c r="B67" s="9">
        <v>59.93</v>
      </c>
      <c r="C67" s="12">
        <f t="shared" si="8"/>
        <v>2914.0962500000001</v>
      </c>
      <c r="D67" s="22" t="s">
        <v>44</v>
      </c>
    </row>
    <row r="68" spans="1:4" x14ac:dyDescent="0.25">
      <c r="A68" s="22" t="s">
        <v>11</v>
      </c>
      <c r="B68" s="9">
        <v>105.02</v>
      </c>
      <c r="C68" s="12">
        <f t="shared" si="8"/>
        <v>5106.5974999999999</v>
      </c>
      <c r="D68" s="22" t="s">
        <v>44</v>
      </c>
    </row>
    <row r="69" spans="1:4" x14ac:dyDescent="0.25">
      <c r="A69" s="22" t="s">
        <v>11</v>
      </c>
      <c r="B69" s="9">
        <v>57.21</v>
      </c>
      <c r="C69" s="12">
        <f t="shared" si="8"/>
        <v>2781.8362499999998</v>
      </c>
      <c r="D69" s="22" t="s">
        <v>44</v>
      </c>
    </row>
    <row r="70" spans="1:4" x14ac:dyDescent="0.25">
      <c r="A70" s="22" t="s">
        <v>11</v>
      </c>
      <c r="B70" s="9">
        <v>100</v>
      </c>
      <c r="C70" s="12">
        <f t="shared" si="8"/>
        <v>4862.5</v>
      </c>
      <c r="D70" s="22" t="s">
        <v>44</v>
      </c>
    </row>
    <row r="71" spans="1:4" x14ac:dyDescent="0.25">
      <c r="A71" s="22" t="s">
        <v>11</v>
      </c>
      <c r="B71" s="9">
        <v>45.77</v>
      </c>
      <c r="C71" s="12">
        <f t="shared" si="8"/>
        <v>2225.5662500000003</v>
      </c>
      <c r="D71" s="22" t="s">
        <v>44</v>
      </c>
    </row>
    <row r="72" spans="1:4" x14ac:dyDescent="0.25">
      <c r="A72" s="22" t="s">
        <v>11</v>
      </c>
      <c r="B72" s="9">
        <v>100</v>
      </c>
      <c r="C72" s="12">
        <f t="shared" si="8"/>
        <v>4862.5</v>
      </c>
      <c r="D72" s="22" t="s">
        <v>44</v>
      </c>
    </row>
    <row r="73" spans="1:4" x14ac:dyDescent="0.25">
      <c r="A73" s="22" t="s">
        <v>11</v>
      </c>
      <c r="B73" s="9">
        <v>100</v>
      </c>
      <c r="C73" s="12">
        <f t="shared" si="8"/>
        <v>4862.5</v>
      </c>
      <c r="D73" s="22" t="s">
        <v>44</v>
      </c>
    </row>
    <row r="74" spans="1:4" x14ac:dyDescent="0.25">
      <c r="A74" s="22" t="s">
        <v>11</v>
      </c>
      <c r="B74" s="9">
        <v>100</v>
      </c>
      <c r="C74" s="12">
        <f t="shared" si="8"/>
        <v>4862.5</v>
      </c>
      <c r="D74" s="22" t="s">
        <v>44</v>
      </c>
    </row>
    <row r="75" spans="1:4" x14ac:dyDescent="0.25">
      <c r="A75" s="22" t="s">
        <v>60</v>
      </c>
      <c r="B75" s="9">
        <v>190.71</v>
      </c>
      <c r="C75" s="12">
        <f t="shared" si="8"/>
        <v>9273.2737500000003</v>
      </c>
      <c r="D75" s="22" t="s">
        <v>44</v>
      </c>
    </row>
    <row r="76" spans="1:4" x14ac:dyDescent="0.25">
      <c r="A76" s="22" t="s">
        <v>60</v>
      </c>
      <c r="B76" s="9">
        <v>137.57</v>
      </c>
      <c r="C76" s="12">
        <f t="shared" si="8"/>
        <v>6689.3412499999995</v>
      </c>
      <c r="D76" s="22" t="s">
        <v>44</v>
      </c>
    </row>
    <row r="77" spans="1:4" x14ac:dyDescent="0.25">
      <c r="A77" s="22" t="s">
        <v>60</v>
      </c>
      <c r="B77" s="9">
        <v>95.92</v>
      </c>
      <c r="C77" s="12">
        <f t="shared" si="8"/>
        <v>4664.1099999999997</v>
      </c>
      <c r="D77" s="22" t="s">
        <v>44</v>
      </c>
    </row>
    <row r="78" spans="1:4" x14ac:dyDescent="0.25">
      <c r="A78" s="22" t="s">
        <v>60</v>
      </c>
      <c r="B78" s="9">
        <v>175.8</v>
      </c>
      <c r="C78" s="12">
        <f t="shared" si="8"/>
        <v>8548.2750000000015</v>
      </c>
      <c r="D78" s="22" t="s">
        <v>44</v>
      </c>
    </row>
    <row r="79" spans="1:4" x14ac:dyDescent="0.25">
      <c r="A79" s="22" t="s">
        <v>60</v>
      </c>
      <c r="B79" s="9">
        <v>198.19</v>
      </c>
      <c r="C79" s="12">
        <f t="shared" si="8"/>
        <v>9636.9887500000004</v>
      </c>
      <c r="D79" s="22" t="s">
        <v>44</v>
      </c>
    </row>
    <row r="80" spans="1:4" x14ac:dyDescent="0.25">
      <c r="A80" s="22" t="s">
        <v>60</v>
      </c>
      <c r="B80" s="9">
        <v>51.23</v>
      </c>
      <c r="C80" s="12">
        <f t="shared" si="8"/>
        <v>2491.0587499999997</v>
      </c>
      <c r="D80" s="22" t="s">
        <v>44</v>
      </c>
    </row>
    <row r="81" spans="1:4" x14ac:dyDescent="0.25">
      <c r="A81" s="22" t="s">
        <v>60</v>
      </c>
      <c r="B81" s="9">
        <v>180</v>
      </c>
      <c r="C81" s="12">
        <f t="shared" si="8"/>
        <v>8752.5</v>
      </c>
      <c r="D81" s="22" t="s">
        <v>44</v>
      </c>
    </row>
    <row r="82" spans="1:4" x14ac:dyDescent="0.25">
      <c r="A82" s="22" t="s">
        <v>60</v>
      </c>
      <c r="B82" s="9">
        <v>84.36</v>
      </c>
      <c r="C82" s="12">
        <f t="shared" si="8"/>
        <v>4102.0050000000001</v>
      </c>
      <c r="D82" s="22" t="s">
        <v>44</v>
      </c>
    </row>
    <row r="83" spans="1:4" x14ac:dyDescent="0.25">
      <c r="A83" s="22" t="s">
        <v>60</v>
      </c>
      <c r="B83" s="9">
        <v>198.11</v>
      </c>
      <c r="C83" s="12">
        <f t="shared" si="8"/>
        <v>9633.098750000001</v>
      </c>
      <c r="D83" s="22" t="s">
        <v>44</v>
      </c>
    </row>
    <row r="84" spans="1:4" x14ac:dyDescent="0.25">
      <c r="A84" s="22" t="s">
        <v>60</v>
      </c>
      <c r="B84" s="9">
        <v>198.32</v>
      </c>
      <c r="C84" s="12">
        <f t="shared" si="8"/>
        <v>9643.31</v>
      </c>
      <c r="D84" s="22" t="s">
        <v>44</v>
      </c>
    </row>
    <row r="85" spans="1:4" x14ac:dyDescent="0.25">
      <c r="A85" s="22" t="s">
        <v>9</v>
      </c>
      <c r="B85" s="9">
        <v>125</v>
      </c>
      <c r="C85" s="12">
        <f t="shared" si="8"/>
        <v>6078.125</v>
      </c>
      <c r="D85" s="22" t="s">
        <v>44</v>
      </c>
    </row>
    <row r="86" spans="1:4" x14ac:dyDescent="0.25">
      <c r="A86" s="22" t="s">
        <v>9</v>
      </c>
      <c r="B86" s="9">
        <v>67</v>
      </c>
      <c r="C86" s="12">
        <f t="shared" si="8"/>
        <v>3257.875</v>
      </c>
      <c r="D86" s="22" t="s">
        <v>44</v>
      </c>
    </row>
    <row r="87" spans="1:4" x14ac:dyDescent="0.25">
      <c r="A87" s="22" t="s">
        <v>9</v>
      </c>
      <c r="B87" s="9">
        <v>160</v>
      </c>
      <c r="C87" s="12">
        <f t="shared" si="8"/>
        <v>7780</v>
      </c>
      <c r="D87" s="22" t="s">
        <v>44</v>
      </c>
    </row>
    <row r="88" spans="1:4" x14ac:dyDescent="0.25">
      <c r="A88" s="22" t="s">
        <v>9</v>
      </c>
      <c r="B88" s="9">
        <v>80</v>
      </c>
      <c r="C88" s="12">
        <f t="shared" si="8"/>
        <v>3890</v>
      </c>
      <c r="D88" s="22" t="s">
        <v>44</v>
      </c>
    </row>
    <row r="89" spans="1:4" x14ac:dyDescent="0.25">
      <c r="A89" s="22" t="s">
        <v>9</v>
      </c>
      <c r="B89" s="9">
        <v>198.19</v>
      </c>
      <c r="C89" s="12">
        <f t="shared" si="8"/>
        <v>9636.9887500000004</v>
      </c>
      <c r="D89" s="22" t="s">
        <v>44</v>
      </c>
    </row>
    <row r="90" spans="1:4" x14ac:dyDescent="0.25">
      <c r="A90" s="22" t="s">
        <v>9</v>
      </c>
      <c r="B90" s="9">
        <v>11.81</v>
      </c>
      <c r="C90" s="12">
        <f t="shared" si="8"/>
        <v>574.26125000000002</v>
      </c>
      <c r="D90" s="22" t="s">
        <v>44</v>
      </c>
    </row>
    <row r="91" spans="1:4" x14ac:dyDescent="0.25">
      <c r="A91" s="22" t="s">
        <v>9</v>
      </c>
      <c r="B91" s="9">
        <v>198.36</v>
      </c>
      <c r="C91" s="12">
        <f t="shared" si="8"/>
        <v>9645.255000000001</v>
      </c>
      <c r="D91" s="22" t="s">
        <v>44</v>
      </c>
    </row>
    <row r="92" spans="1:4" x14ac:dyDescent="0.25">
      <c r="A92" s="22" t="s">
        <v>9</v>
      </c>
      <c r="B92" s="9">
        <v>51.64</v>
      </c>
      <c r="C92" s="12">
        <f t="shared" si="8"/>
        <v>2510.9949999999999</v>
      </c>
      <c r="D92" s="22" t="s">
        <v>44</v>
      </c>
    </row>
    <row r="93" spans="1:4" x14ac:dyDescent="0.25">
      <c r="A93" s="22" t="s">
        <v>9</v>
      </c>
      <c r="B93" s="9">
        <v>206.72</v>
      </c>
      <c r="C93" s="12">
        <f t="shared" si="8"/>
        <v>10051.76</v>
      </c>
      <c r="D93" s="22" t="s">
        <v>44</v>
      </c>
    </row>
    <row r="94" spans="1:4" x14ac:dyDescent="0.25">
      <c r="A94" s="22" t="s">
        <v>9</v>
      </c>
      <c r="B94" s="9">
        <v>50</v>
      </c>
      <c r="C94" s="12">
        <f t="shared" si="8"/>
        <v>2431.25</v>
      </c>
      <c r="D94" s="22" t="s">
        <v>44</v>
      </c>
    </row>
    <row r="95" spans="1:4" x14ac:dyDescent="0.25">
      <c r="A95" s="22" t="s">
        <v>9</v>
      </c>
      <c r="B95" s="9">
        <v>198.19</v>
      </c>
      <c r="C95" s="12">
        <f t="shared" ref="C95:C111" si="9">B95*48.625</f>
        <v>9636.9887500000004</v>
      </c>
      <c r="D95" s="22" t="s">
        <v>44</v>
      </c>
    </row>
    <row r="96" spans="1:4" x14ac:dyDescent="0.25">
      <c r="A96" s="22" t="s">
        <v>9</v>
      </c>
      <c r="B96" s="9">
        <v>198.11</v>
      </c>
      <c r="C96" s="12">
        <f t="shared" si="9"/>
        <v>9633.098750000001</v>
      </c>
      <c r="D96" s="22" t="s">
        <v>44</v>
      </c>
    </row>
    <row r="97" spans="1:5" x14ac:dyDescent="0.25">
      <c r="A97" s="22" t="s">
        <v>34</v>
      </c>
      <c r="B97" s="9">
        <v>160</v>
      </c>
      <c r="C97" s="12">
        <f t="shared" si="9"/>
        <v>7780</v>
      </c>
      <c r="D97" s="22" t="s">
        <v>44</v>
      </c>
    </row>
    <row r="98" spans="1:5" x14ac:dyDescent="0.25">
      <c r="A98" s="22" t="s">
        <v>34</v>
      </c>
      <c r="B98" s="9">
        <v>190.49</v>
      </c>
      <c r="C98" s="12">
        <f t="shared" si="9"/>
        <v>9262.5762500000001</v>
      </c>
      <c r="D98" s="22" t="s">
        <v>44</v>
      </c>
    </row>
    <row r="99" spans="1:5" x14ac:dyDescent="0.25">
      <c r="A99" s="22" t="s">
        <v>34</v>
      </c>
      <c r="B99" s="9">
        <v>190.47</v>
      </c>
      <c r="C99" s="12">
        <f t="shared" si="9"/>
        <v>9261.6037500000002</v>
      </c>
      <c r="D99" s="22" t="s">
        <v>44</v>
      </c>
    </row>
    <row r="100" spans="1:5" x14ac:dyDescent="0.25">
      <c r="A100" s="22" t="s">
        <v>34</v>
      </c>
      <c r="B100" s="9">
        <v>119.04</v>
      </c>
      <c r="C100" s="12">
        <f t="shared" si="9"/>
        <v>5788.3200000000006</v>
      </c>
      <c r="D100" s="22" t="s">
        <v>44</v>
      </c>
    </row>
    <row r="101" spans="1:5" x14ac:dyDescent="0.25">
      <c r="A101" s="22" t="s">
        <v>34</v>
      </c>
      <c r="B101" s="9">
        <v>190.64</v>
      </c>
      <c r="C101" s="12">
        <f t="shared" si="9"/>
        <v>9269.869999999999</v>
      </c>
      <c r="D101" s="22" t="s">
        <v>44</v>
      </c>
    </row>
    <row r="102" spans="1:5" x14ac:dyDescent="0.25">
      <c r="A102" s="22" t="s">
        <v>34</v>
      </c>
      <c r="B102" s="9">
        <v>90.32</v>
      </c>
      <c r="C102" s="12">
        <f t="shared" si="9"/>
        <v>4391.8099999999995</v>
      </c>
      <c r="D102" s="22" t="s">
        <v>44</v>
      </c>
    </row>
    <row r="103" spans="1:5" x14ac:dyDescent="0.25">
      <c r="A103" s="22" t="s">
        <v>34</v>
      </c>
      <c r="B103" s="9">
        <v>190.58</v>
      </c>
      <c r="C103" s="12">
        <f t="shared" si="9"/>
        <v>9266.9525000000012</v>
      </c>
      <c r="D103" s="22" t="s">
        <v>44</v>
      </c>
    </row>
    <row r="104" spans="1:5" x14ac:dyDescent="0.25">
      <c r="A104" s="22" t="s">
        <v>34</v>
      </c>
      <c r="B104" s="9">
        <v>110.05</v>
      </c>
      <c r="C104" s="12">
        <f t="shared" si="9"/>
        <v>5351.1812499999996</v>
      </c>
      <c r="D104" s="22" t="s">
        <v>44</v>
      </c>
    </row>
    <row r="105" spans="1:5" x14ac:dyDescent="0.25">
      <c r="A105" s="22" t="s">
        <v>34</v>
      </c>
      <c r="B105" s="9">
        <v>198.16</v>
      </c>
      <c r="C105" s="12">
        <f t="shared" si="9"/>
        <v>9635.5300000000007</v>
      </c>
      <c r="D105" s="22" t="s">
        <v>44</v>
      </c>
    </row>
    <row r="106" spans="1:5" x14ac:dyDescent="0.25">
      <c r="A106" s="22" t="s">
        <v>34</v>
      </c>
      <c r="B106" s="9">
        <v>85</v>
      </c>
      <c r="C106" s="12">
        <f t="shared" si="9"/>
        <v>4133.125</v>
      </c>
      <c r="D106" s="22" t="s">
        <v>44</v>
      </c>
    </row>
    <row r="107" spans="1:5" x14ac:dyDescent="0.25">
      <c r="A107" s="22" t="s">
        <v>34</v>
      </c>
      <c r="B107" s="9">
        <v>198.1</v>
      </c>
      <c r="C107" s="12">
        <f t="shared" si="9"/>
        <v>9632.6124999999993</v>
      </c>
      <c r="D107" s="22" t="s">
        <v>44</v>
      </c>
    </row>
    <row r="108" spans="1:5" x14ac:dyDescent="0.25">
      <c r="A108" s="22" t="s">
        <v>34</v>
      </c>
      <c r="B108" s="9">
        <v>105.05</v>
      </c>
      <c r="C108" s="12">
        <f t="shared" si="9"/>
        <v>5108.0562499999996</v>
      </c>
      <c r="D108" s="22" t="s">
        <v>44</v>
      </c>
    </row>
    <row r="109" spans="1:5" x14ac:dyDescent="0.25">
      <c r="A109" s="22" t="s">
        <v>34</v>
      </c>
      <c r="B109" s="9">
        <v>150</v>
      </c>
      <c r="C109" s="12">
        <f t="shared" si="9"/>
        <v>7293.75</v>
      </c>
      <c r="D109" s="22" t="s">
        <v>44</v>
      </c>
    </row>
    <row r="110" spans="1:5" ht="15.75" thickBot="1" x14ac:dyDescent="0.3">
      <c r="A110" s="22" t="s">
        <v>34</v>
      </c>
      <c r="B110" s="9">
        <v>150</v>
      </c>
      <c r="C110" s="12">
        <f t="shared" si="9"/>
        <v>7293.75</v>
      </c>
      <c r="D110" s="22" t="s">
        <v>44</v>
      </c>
    </row>
    <row r="111" spans="1:5" ht="15.75" thickBot="1" x14ac:dyDescent="0.3">
      <c r="A111" s="13" t="s">
        <v>32</v>
      </c>
      <c r="B111" s="14">
        <v>60</v>
      </c>
      <c r="C111" s="12">
        <f t="shared" si="9"/>
        <v>2917.5</v>
      </c>
      <c r="D111" s="22" t="s">
        <v>44</v>
      </c>
      <c r="E111" s="24">
        <f>SUM(C30:C111)</f>
        <v>467974.78000000009</v>
      </c>
    </row>
    <row r="112" spans="1:5" ht="15.75" thickBot="1" x14ac:dyDescent="0.3">
      <c r="A112" s="2" t="s">
        <v>5</v>
      </c>
      <c r="B112" s="3">
        <v>120</v>
      </c>
      <c r="C112" s="4">
        <v>6418.8</v>
      </c>
      <c r="D112" s="25" t="s">
        <v>45</v>
      </c>
    </row>
    <row r="113" spans="1:5" x14ac:dyDescent="0.25">
      <c r="A113" s="2" t="s">
        <v>5</v>
      </c>
      <c r="B113" s="167">
        <v>160</v>
      </c>
      <c r="C113" s="174">
        <v>8558.4</v>
      </c>
      <c r="D113" s="26" t="s">
        <v>45</v>
      </c>
    </row>
    <row r="114" spans="1:5" x14ac:dyDescent="0.25">
      <c r="A114" s="10" t="s">
        <v>37</v>
      </c>
      <c r="B114" s="167">
        <v>160</v>
      </c>
      <c r="C114" s="174">
        <v>8238.4</v>
      </c>
      <c r="D114" s="26" t="s">
        <v>45</v>
      </c>
    </row>
    <row r="115" spans="1:5" x14ac:dyDescent="0.25">
      <c r="A115" s="27" t="s">
        <v>37</v>
      </c>
      <c r="B115" s="167">
        <v>100</v>
      </c>
      <c r="C115" s="174">
        <v>5349</v>
      </c>
      <c r="D115" s="26" t="s">
        <v>45</v>
      </c>
    </row>
    <row r="116" spans="1:5" x14ac:dyDescent="0.25">
      <c r="A116" s="27" t="s">
        <v>10</v>
      </c>
      <c r="B116" s="167">
        <v>100</v>
      </c>
      <c r="C116" s="174">
        <v>5349</v>
      </c>
      <c r="D116" s="26" t="s">
        <v>45</v>
      </c>
    </row>
    <row r="117" spans="1:5" x14ac:dyDescent="0.25">
      <c r="A117" s="27" t="s">
        <v>10</v>
      </c>
      <c r="B117" s="167">
        <v>100</v>
      </c>
      <c r="C117" s="174">
        <v>5349</v>
      </c>
      <c r="D117" s="26" t="s">
        <v>45</v>
      </c>
    </row>
    <row r="118" spans="1:5" x14ac:dyDescent="0.25">
      <c r="A118" s="27" t="s">
        <v>10</v>
      </c>
      <c r="B118" s="167">
        <v>100</v>
      </c>
      <c r="C118" s="174">
        <v>5349</v>
      </c>
      <c r="D118" s="26" t="s">
        <v>45</v>
      </c>
    </row>
    <row r="119" spans="1:5" x14ac:dyDescent="0.25">
      <c r="A119" s="27" t="s">
        <v>10</v>
      </c>
      <c r="B119" s="167">
        <v>20</v>
      </c>
      <c r="C119" s="174">
        <v>1069.8</v>
      </c>
      <c r="D119" s="26" t="s">
        <v>45</v>
      </c>
    </row>
    <row r="120" spans="1:5" x14ac:dyDescent="0.25">
      <c r="A120" s="27" t="s">
        <v>10</v>
      </c>
      <c r="B120" s="167">
        <v>70</v>
      </c>
      <c r="C120" s="174">
        <v>3744.3</v>
      </c>
      <c r="D120" s="26" t="s">
        <v>45</v>
      </c>
    </row>
    <row r="121" spans="1:5" x14ac:dyDescent="0.25">
      <c r="A121" s="27" t="s">
        <v>10</v>
      </c>
      <c r="B121" s="167">
        <v>100</v>
      </c>
      <c r="C121" s="174">
        <v>5349</v>
      </c>
      <c r="D121" s="26" t="s">
        <v>45</v>
      </c>
    </row>
    <row r="122" spans="1:5" x14ac:dyDescent="0.25">
      <c r="A122" s="27" t="s">
        <v>10</v>
      </c>
      <c r="B122" s="167">
        <v>100</v>
      </c>
      <c r="C122" s="174">
        <v>5349</v>
      </c>
      <c r="D122" s="26" t="s">
        <v>45</v>
      </c>
    </row>
    <row r="123" spans="1:5" x14ac:dyDescent="0.25">
      <c r="A123" s="27" t="s">
        <v>10</v>
      </c>
      <c r="B123" s="167">
        <v>100</v>
      </c>
      <c r="C123" s="174">
        <v>5149</v>
      </c>
      <c r="D123" s="26" t="s">
        <v>45</v>
      </c>
    </row>
    <row r="124" spans="1:5" x14ac:dyDescent="0.25">
      <c r="A124" s="27" t="s">
        <v>10</v>
      </c>
      <c r="B124" s="167">
        <v>100</v>
      </c>
      <c r="C124" s="174">
        <v>5349</v>
      </c>
      <c r="D124" s="26" t="s">
        <v>45</v>
      </c>
    </row>
    <row r="125" spans="1:5" x14ac:dyDescent="0.25">
      <c r="A125" s="27" t="s">
        <v>10</v>
      </c>
      <c r="B125" s="167">
        <v>100</v>
      </c>
      <c r="C125" s="174">
        <v>5499</v>
      </c>
      <c r="D125" s="26" t="s">
        <v>45</v>
      </c>
      <c r="E125" s="26" t="s">
        <v>80</v>
      </c>
    </row>
    <row r="126" spans="1:5" ht="15.75" thickBot="1" x14ac:dyDescent="0.3">
      <c r="A126" s="27"/>
      <c r="B126" s="167"/>
      <c r="C126" s="174"/>
      <c r="D126" s="26" t="s">
        <v>45</v>
      </c>
    </row>
    <row r="127" spans="1:5" ht="15.75" hidden="1" thickBot="1" x14ac:dyDescent="0.3">
      <c r="A127" s="27"/>
      <c r="B127" s="167"/>
      <c r="C127" s="174"/>
      <c r="D127" s="26"/>
    </row>
    <row r="128" spans="1:5" ht="15.75" hidden="1" thickBot="1" x14ac:dyDescent="0.3">
      <c r="A128" s="27"/>
      <c r="B128" s="167"/>
      <c r="C128" s="174"/>
      <c r="D128" s="26"/>
    </row>
    <row r="129" spans="1:5" ht="15.75" hidden="1" thickBot="1" x14ac:dyDescent="0.3">
      <c r="A129" s="27"/>
      <c r="B129" s="167"/>
      <c r="C129" s="174"/>
      <c r="D129" s="26"/>
    </row>
    <row r="130" spans="1:5" ht="15.75" hidden="1" thickBot="1" x14ac:dyDescent="0.3">
      <c r="A130" s="27"/>
      <c r="B130" s="167"/>
      <c r="C130" s="174"/>
      <c r="D130" s="26"/>
    </row>
    <row r="131" spans="1:5" ht="15.75" hidden="1" thickBot="1" x14ac:dyDescent="0.3">
      <c r="A131" s="27"/>
      <c r="B131" s="167"/>
      <c r="C131" s="174"/>
      <c r="D131" s="26"/>
    </row>
    <row r="132" spans="1:5" ht="15.75" hidden="1" thickBot="1" x14ac:dyDescent="0.3">
      <c r="A132" s="27"/>
      <c r="B132" s="167"/>
      <c r="C132" s="174"/>
      <c r="D132" s="26"/>
    </row>
    <row r="133" spans="1:5" ht="15.75" hidden="1" thickBot="1" x14ac:dyDescent="0.3">
      <c r="A133" s="27"/>
      <c r="B133" s="167"/>
      <c r="C133" s="174"/>
      <c r="D133" s="26"/>
    </row>
    <row r="134" spans="1:5" ht="15.75" hidden="1" thickBot="1" x14ac:dyDescent="0.3">
      <c r="A134" s="27"/>
      <c r="B134" s="167"/>
      <c r="C134" s="174"/>
      <c r="D134" s="26"/>
    </row>
    <row r="135" spans="1:5" ht="15.75" hidden="1" thickBot="1" x14ac:dyDescent="0.3">
      <c r="A135" s="27"/>
      <c r="B135" s="167"/>
      <c r="C135" s="174"/>
      <c r="D135" s="26"/>
    </row>
    <row r="136" spans="1:5" ht="15.75" hidden="1" thickBot="1" x14ac:dyDescent="0.3">
      <c r="A136" s="27"/>
      <c r="B136" s="167"/>
      <c r="C136" s="174"/>
      <c r="D136" s="26"/>
    </row>
    <row r="137" spans="1:5" ht="15.75" hidden="1" thickBot="1" x14ac:dyDescent="0.3">
      <c r="A137" s="27"/>
      <c r="B137" s="167"/>
      <c r="C137" s="174"/>
      <c r="D137" s="26"/>
    </row>
    <row r="138" spans="1:5" ht="15.75" hidden="1" thickBot="1" x14ac:dyDescent="0.3">
      <c r="A138" s="27"/>
      <c r="B138" s="167"/>
      <c r="C138" s="174"/>
      <c r="D138" s="26"/>
    </row>
    <row r="139" spans="1:5" ht="15.75" hidden="1" thickBot="1" x14ac:dyDescent="0.3">
      <c r="A139" s="27"/>
      <c r="B139" s="167"/>
      <c r="C139" s="174"/>
      <c r="D139" s="26"/>
    </row>
    <row r="140" spans="1:5" ht="15.75" hidden="1" thickBot="1" x14ac:dyDescent="0.3">
      <c r="A140" s="27"/>
      <c r="B140" s="167"/>
      <c r="C140" s="174"/>
      <c r="D140" s="26"/>
    </row>
    <row r="141" spans="1:5" ht="15.75" hidden="1" thickBot="1" x14ac:dyDescent="0.3">
      <c r="A141" s="27"/>
      <c r="B141" s="167"/>
      <c r="C141" s="174"/>
      <c r="D141" s="26"/>
    </row>
    <row r="142" spans="1:5" ht="15.75" thickBot="1" x14ac:dyDescent="0.3">
      <c r="A142" s="27"/>
      <c r="B142" s="167"/>
      <c r="C142" s="174"/>
      <c r="D142" s="28"/>
      <c r="E142" s="24">
        <f>SUM(C112:C142)</f>
        <v>76120.700000000012</v>
      </c>
    </row>
    <row r="143" spans="1:5" x14ac:dyDescent="0.25">
      <c r="A143" s="2"/>
      <c r="B143" s="5"/>
      <c r="C143" s="29"/>
      <c r="D143" s="25" t="s">
        <v>46</v>
      </c>
    </row>
    <row r="144" spans="1:5" x14ac:dyDescent="0.25">
      <c r="A144" s="10"/>
      <c r="B144" s="9"/>
      <c r="C144" s="12"/>
      <c r="D144" s="26" t="s">
        <v>46</v>
      </c>
    </row>
    <row r="145" spans="1:7" ht="15.75" thickBot="1" x14ac:dyDescent="0.3">
      <c r="A145" s="27"/>
      <c r="B145" s="167"/>
      <c r="C145" s="168"/>
      <c r="D145" s="26" t="s">
        <v>46</v>
      </c>
    </row>
    <row r="146" spans="1:7" ht="15.75" thickBot="1" x14ac:dyDescent="0.3">
      <c r="A146" s="13"/>
      <c r="B146" s="14"/>
      <c r="C146" s="16"/>
      <c r="D146" s="23" t="s">
        <v>46</v>
      </c>
      <c r="E146" s="24">
        <f>SUM(C143:C146)</f>
        <v>0</v>
      </c>
    </row>
    <row r="147" spans="1:7" x14ac:dyDescent="0.25">
      <c r="A147" s="10" t="s">
        <v>7</v>
      </c>
      <c r="B147" s="167">
        <v>145.53</v>
      </c>
      <c r="C147" s="174">
        <v>7129.51</v>
      </c>
      <c r="D147" s="162" t="s">
        <v>47</v>
      </c>
    </row>
    <row r="148" spans="1:7" x14ac:dyDescent="0.25">
      <c r="A148" s="22" t="s">
        <v>7</v>
      </c>
      <c r="B148" s="9">
        <v>107.23</v>
      </c>
      <c r="C148" s="174">
        <v>5253.2</v>
      </c>
      <c r="D148" s="162" t="s">
        <v>47</v>
      </c>
    </row>
    <row r="149" spans="1:7" x14ac:dyDescent="0.25">
      <c r="A149" s="22" t="s">
        <v>60</v>
      </c>
      <c r="B149" s="9">
        <v>223.69</v>
      </c>
      <c r="C149" s="174">
        <v>10958.57</v>
      </c>
      <c r="D149" s="162" t="s">
        <v>47</v>
      </c>
    </row>
    <row r="150" spans="1:7" x14ac:dyDescent="0.25">
      <c r="A150" s="22" t="s">
        <v>60</v>
      </c>
      <c r="B150" s="9">
        <v>176.95</v>
      </c>
      <c r="C150" s="174">
        <v>8668.7800000000007</v>
      </c>
      <c r="D150" s="162" t="s">
        <v>47</v>
      </c>
    </row>
    <row r="151" spans="1:7" x14ac:dyDescent="0.25">
      <c r="A151" s="22" t="s">
        <v>60</v>
      </c>
      <c r="B151" s="9">
        <v>176.96</v>
      </c>
      <c r="C151" s="174">
        <v>8669.27</v>
      </c>
      <c r="D151" s="162" t="s">
        <v>47</v>
      </c>
    </row>
    <row r="152" spans="1:7" x14ac:dyDescent="0.25">
      <c r="A152" s="10" t="s">
        <v>30</v>
      </c>
      <c r="B152" s="167">
        <v>180</v>
      </c>
      <c r="C152" s="174">
        <v>7977.6</v>
      </c>
      <c r="D152" s="162" t="s">
        <v>81</v>
      </c>
    </row>
    <row r="153" spans="1:7" x14ac:dyDescent="0.25">
      <c r="A153" s="27" t="s">
        <v>14</v>
      </c>
      <c r="B153" s="167">
        <v>210</v>
      </c>
      <c r="C153" s="174">
        <v>9307.2000000000007</v>
      </c>
      <c r="D153" s="162" t="s">
        <v>81</v>
      </c>
    </row>
    <row r="154" spans="1:7" x14ac:dyDescent="0.25">
      <c r="A154" s="22" t="s">
        <v>7</v>
      </c>
      <c r="B154" s="167">
        <v>60</v>
      </c>
      <c r="C154" s="174">
        <v>2659.2</v>
      </c>
      <c r="D154" s="162" t="s">
        <v>81</v>
      </c>
    </row>
    <row r="155" spans="1:7" x14ac:dyDescent="0.25">
      <c r="A155" s="22" t="s">
        <v>60</v>
      </c>
      <c r="B155" s="167">
        <v>150</v>
      </c>
      <c r="C155" s="174">
        <v>6648</v>
      </c>
      <c r="D155" s="162" t="s">
        <v>81</v>
      </c>
    </row>
    <row r="156" spans="1:7" x14ac:dyDescent="0.25">
      <c r="A156" s="27"/>
      <c r="B156" s="167"/>
      <c r="C156" s="174"/>
      <c r="D156" s="22"/>
    </row>
    <row r="157" spans="1:7" x14ac:dyDescent="0.25">
      <c r="A157" s="27"/>
      <c r="B157" s="167"/>
      <c r="C157" s="174"/>
      <c r="D157" s="22"/>
    </row>
    <row r="158" spans="1:7" ht="15.75" thickBot="1" x14ac:dyDescent="0.3">
      <c r="A158" s="27"/>
      <c r="B158" s="167"/>
      <c r="C158" s="174"/>
      <c r="D158" s="22"/>
    </row>
    <row r="159" spans="1:7" ht="15.75" thickBot="1" x14ac:dyDescent="0.3">
      <c r="A159" s="13"/>
      <c r="B159" s="14"/>
      <c r="C159" s="15"/>
      <c r="D159" s="22"/>
      <c r="E159" s="24">
        <f>SUM(C147:C159)</f>
        <v>67271.33</v>
      </c>
      <c r="G159" s="20"/>
    </row>
    <row r="160" spans="1:7" ht="15.75" thickBot="1" x14ac:dyDescent="0.3">
      <c r="A160" s="13"/>
      <c r="B160" s="14"/>
      <c r="C160" s="15"/>
      <c r="D160" s="22"/>
      <c r="E160" s="24">
        <f>SUM(C160:C160)</f>
        <v>0</v>
      </c>
      <c r="F160" s="30"/>
      <c r="G160" s="30"/>
    </row>
    <row r="161" spans="1:4" x14ac:dyDescent="0.25">
      <c r="A161" s="27" t="s">
        <v>14</v>
      </c>
      <c r="B161" s="3">
        <v>120</v>
      </c>
      <c r="C161" s="4">
        <v>5878.8</v>
      </c>
      <c r="D161" s="22" t="s">
        <v>82</v>
      </c>
    </row>
    <row r="162" spans="1:4" x14ac:dyDescent="0.25">
      <c r="A162" s="27" t="s">
        <v>14</v>
      </c>
      <c r="B162" s="167">
        <v>100</v>
      </c>
      <c r="C162" s="174">
        <v>4899</v>
      </c>
      <c r="D162" s="22" t="s">
        <v>82</v>
      </c>
    </row>
    <row r="163" spans="1:4" x14ac:dyDescent="0.25">
      <c r="A163" s="27" t="s">
        <v>14</v>
      </c>
      <c r="B163" s="167">
        <v>100</v>
      </c>
      <c r="C163" s="174">
        <v>4899</v>
      </c>
      <c r="D163" s="22" t="s">
        <v>82</v>
      </c>
    </row>
    <row r="164" spans="1:4" x14ac:dyDescent="0.25">
      <c r="A164" s="27" t="s">
        <v>14</v>
      </c>
      <c r="B164" s="167">
        <v>100</v>
      </c>
      <c r="C164" s="174">
        <v>4799</v>
      </c>
      <c r="D164" s="22" t="s">
        <v>82</v>
      </c>
    </row>
    <row r="165" spans="1:4" x14ac:dyDescent="0.25">
      <c r="A165" s="27" t="s">
        <v>14</v>
      </c>
      <c r="B165" s="167">
        <v>100</v>
      </c>
      <c r="C165" s="174">
        <v>4799</v>
      </c>
      <c r="D165" s="22" t="s">
        <v>82</v>
      </c>
    </row>
    <row r="166" spans="1:4" x14ac:dyDescent="0.25">
      <c r="A166" s="27" t="s">
        <v>14</v>
      </c>
      <c r="B166" s="167">
        <v>100</v>
      </c>
      <c r="C166" s="174">
        <v>4799</v>
      </c>
      <c r="D166" s="22" t="s">
        <v>82</v>
      </c>
    </row>
    <row r="167" spans="1:4" x14ac:dyDescent="0.25">
      <c r="A167" s="22" t="s">
        <v>7</v>
      </c>
      <c r="B167" s="167">
        <v>10</v>
      </c>
      <c r="C167" s="174">
        <v>419</v>
      </c>
      <c r="D167" s="22"/>
    </row>
    <row r="168" spans="1:4" hidden="1" x14ac:dyDescent="0.25">
      <c r="A168" s="10"/>
      <c r="B168" s="167"/>
      <c r="C168" s="174"/>
      <c r="D168" s="22"/>
    </row>
    <row r="169" spans="1:4" hidden="1" x14ac:dyDescent="0.25">
      <c r="A169" s="10"/>
      <c r="B169" s="167"/>
      <c r="C169" s="174"/>
      <c r="D169" s="22"/>
    </row>
    <row r="170" spans="1:4" hidden="1" x14ac:dyDescent="0.25">
      <c r="A170" s="10"/>
      <c r="B170" s="167"/>
      <c r="C170" s="174"/>
      <c r="D170" s="22"/>
    </row>
    <row r="171" spans="1:4" hidden="1" x14ac:dyDescent="0.25">
      <c r="A171" s="10"/>
      <c r="B171" s="167"/>
      <c r="C171" s="174"/>
      <c r="D171" s="22"/>
    </row>
    <row r="172" spans="1:4" hidden="1" x14ac:dyDescent="0.25">
      <c r="A172" s="10"/>
      <c r="B172" s="167"/>
      <c r="C172" s="174"/>
      <c r="D172" s="22"/>
    </row>
    <row r="173" spans="1:4" hidden="1" x14ac:dyDescent="0.25">
      <c r="A173" s="10"/>
      <c r="B173" s="167"/>
      <c r="C173" s="174"/>
      <c r="D173" s="22"/>
    </row>
    <row r="174" spans="1:4" hidden="1" x14ac:dyDescent="0.25">
      <c r="A174" s="10"/>
      <c r="B174" s="167"/>
      <c r="C174" s="174"/>
      <c r="D174" s="22"/>
    </row>
    <row r="175" spans="1:4" hidden="1" x14ac:dyDescent="0.25">
      <c r="A175" s="10"/>
      <c r="B175" s="167"/>
      <c r="C175" s="174"/>
      <c r="D175" s="22"/>
    </row>
    <row r="176" spans="1:4" hidden="1" x14ac:dyDescent="0.25">
      <c r="A176" s="10"/>
      <c r="B176" s="167"/>
      <c r="C176" s="174"/>
      <c r="D176" s="22"/>
    </row>
    <row r="177" spans="1:7" hidden="1" x14ac:dyDescent="0.25">
      <c r="A177" s="10"/>
      <c r="B177" s="167"/>
      <c r="C177" s="174"/>
      <c r="D177" s="22"/>
    </row>
    <row r="178" spans="1:7" hidden="1" x14ac:dyDescent="0.25">
      <c r="A178" s="10"/>
      <c r="B178" s="167"/>
      <c r="C178" s="174"/>
      <c r="D178" s="22"/>
    </row>
    <row r="179" spans="1:7" hidden="1" x14ac:dyDescent="0.25">
      <c r="A179" s="10"/>
      <c r="B179" s="167"/>
      <c r="C179" s="174"/>
      <c r="D179" s="22"/>
    </row>
    <row r="180" spans="1:7" hidden="1" x14ac:dyDescent="0.25">
      <c r="A180" s="10"/>
      <c r="B180" s="167"/>
      <c r="C180" s="174"/>
      <c r="D180" s="22"/>
    </row>
    <row r="181" spans="1:7" hidden="1" x14ac:dyDescent="0.25">
      <c r="A181" s="10"/>
      <c r="B181" s="167"/>
      <c r="C181" s="174"/>
      <c r="D181" s="22"/>
    </row>
    <row r="182" spans="1:7" hidden="1" x14ac:dyDescent="0.25">
      <c r="A182" s="10"/>
      <c r="B182" s="167"/>
      <c r="C182" s="174"/>
      <c r="D182" s="22"/>
    </row>
    <row r="183" spans="1:7" hidden="1" x14ac:dyDescent="0.25">
      <c r="A183" s="10"/>
      <c r="B183" s="167"/>
      <c r="C183" s="174"/>
      <c r="D183" s="22"/>
    </row>
    <row r="184" spans="1:7" hidden="1" x14ac:dyDescent="0.25">
      <c r="A184" s="10"/>
      <c r="B184" s="167"/>
      <c r="C184" s="174"/>
      <c r="D184" s="22"/>
    </row>
    <row r="185" spans="1:7" hidden="1" x14ac:dyDescent="0.25">
      <c r="A185" s="10"/>
      <c r="B185" s="167"/>
      <c r="C185" s="174"/>
      <c r="D185" s="22"/>
    </row>
    <row r="186" spans="1:7" hidden="1" x14ac:dyDescent="0.25">
      <c r="A186" s="10"/>
      <c r="B186" s="167"/>
      <c r="C186" s="174"/>
      <c r="D186" s="22"/>
    </row>
    <row r="187" spans="1:7" ht="15.75" thickBot="1" x14ac:dyDescent="0.3">
      <c r="A187" s="10"/>
      <c r="B187" s="167"/>
      <c r="C187" s="174"/>
      <c r="D187" s="22"/>
    </row>
    <row r="188" spans="1:7" ht="15.75" thickBot="1" x14ac:dyDescent="0.3">
      <c r="A188" s="13"/>
      <c r="B188" s="14"/>
      <c r="C188" s="15"/>
      <c r="D188" s="22"/>
      <c r="E188" s="31">
        <f>SUM(C161:C188)</f>
        <v>30492.799999999999</v>
      </c>
      <c r="F188" s="30"/>
      <c r="G188" s="30"/>
    </row>
    <row r="189" spans="1:7" ht="15.75" thickBot="1" x14ac:dyDescent="0.3">
      <c r="A189" s="32"/>
      <c r="B189" s="33">
        <f>SUM(B30:B188)</f>
        <v>13114.519999999997</v>
      </c>
      <c r="C189" s="34">
        <f>SUM(C30:C188)</f>
        <v>641859.61</v>
      </c>
    </row>
    <row r="190" spans="1:7" x14ac:dyDescent="0.25">
      <c r="C190" s="30"/>
    </row>
    <row r="191" spans="1:7" x14ac:dyDescent="0.25">
      <c r="C191" s="30"/>
    </row>
  </sheetData>
  <autoFilter ref="A1:Q23" xr:uid="{00000000-0009-0000-0000-000006000000}"/>
  <mergeCells count="1">
    <mergeCell ref="A28:D28"/>
  </mergeCells>
  <conditionalFormatting sqref="F1:F21">
    <cfRule type="cellIs" dxfId="27" priority="1" operator="lessThan">
      <formula>0</formula>
    </cfRule>
  </conditionalFormatting>
  <conditionalFormatting sqref="I20">
    <cfRule type="cellIs" dxfId="26" priority="2" operator="greaterThanOrEqual">
      <formula>500</formula>
    </cfRule>
    <cfRule type="cellIs" dxfId="25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6"/>
  <sheetViews>
    <sheetView topLeftCell="A7" zoomScaleNormal="100" workbookViewId="0">
      <selection activeCell="A18" sqref="A18:XFD18"/>
    </sheetView>
  </sheetViews>
  <sheetFormatPr defaultRowHeight="15" outlineLevelRow="1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customWidth="1" outlineLevel="1"/>
    <col min="14" max="15" width="13.140625" customWidth="1"/>
    <col min="16" max="16" width="11.28515625" customWidth="1" outlineLevel="1"/>
    <col min="17" max="17" width="22.7109375" customWidth="1"/>
    <col min="18" max="18" width="15.7109375" customWidth="1"/>
    <col min="19" max="19" width="9.85546875" bestFit="1" customWidth="1"/>
  </cols>
  <sheetData>
    <row r="1" spans="1:18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178" t="s">
        <v>95</v>
      </c>
      <c r="P1" s="178" t="s">
        <v>89</v>
      </c>
      <c r="Q1" s="42" t="s">
        <v>4</v>
      </c>
    </row>
    <row r="2" spans="1:18" ht="15.75" hidden="1" thickBot="1" x14ac:dyDescent="0.3">
      <c r="A2" s="43" t="s">
        <v>29</v>
      </c>
      <c r="B2" s="44">
        <v>45474</v>
      </c>
      <c r="C2" s="45"/>
      <c r="D2" s="46">
        <f t="shared" ref="D2:D19" si="0">SUMIF($A$28:$A$203,A2,$B$28:$B$203)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VLOOKUP(A2,[4]Тарас!$C$4:$P$23,14,0)</f>
        <v>3.4</v>
      </c>
      <c r="N2" s="50"/>
      <c r="O2" s="190"/>
      <c r="P2" s="48">
        <f>194.94*I2</f>
        <v>0</v>
      </c>
      <c r="Q2" s="48"/>
    </row>
    <row r="3" spans="1:18" s="11" customFormat="1" x14ac:dyDescent="0.25">
      <c r="A3" s="191" t="s">
        <v>30</v>
      </c>
      <c r="B3" s="192">
        <v>45597</v>
      </c>
      <c r="C3" s="193">
        <v>60</v>
      </c>
      <c r="D3" s="194">
        <f t="shared" si="0"/>
        <v>1158.9321468298108</v>
      </c>
      <c r="E3" s="193">
        <v>80</v>
      </c>
      <c r="F3" s="195">
        <f>C3+D3-E3</f>
        <v>1138.9321468298108</v>
      </c>
      <c r="G3" s="196">
        <f>10943</f>
        <v>10943</v>
      </c>
      <c r="H3" s="197">
        <v>11154</v>
      </c>
      <c r="I3" s="198">
        <f>H3-G3</f>
        <v>211</v>
      </c>
      <c r="J3" s="199"/>
      <c r="K3" s="199"/>
      <c r="L3" s="199">
        <v>218</v>
      </c>
      <c r="M3" s="200">
        <v>4.7300000000000004</v>
      </c>
      <c r="N3" s="221">
        <f>F3/I3</f>
        <v>5.3977826863972078</v>
      </c>
      <c r="O3" s="222">
        <f>N3-M3</f>
        <v>0.66778268639720739</v>
      </c>
      <c r="P3" s="209">
        <f>(I3*O3*$K$23)</f>
        <v>6758.6770421520796</v>
      </c>
      <c r="Q3" s="205"/>
    </row>
    <row r="4" spans="1:18" x14ac:dyDescent="0.25">
      <c r="A4" s="206" t="s">
        <v>10</v>
      </c>
      <c r="B4" s="192">
        <v>45597</v>
      </c>
      <c r="C4" s="207">
        <v>60</v>
      </c>
      <c r="D4" s="194">
        <f t="shared" si="0"/>
        <v>710</v>
      </c>
      <c r="E4" s="207">
        <v>30</v>
      </c>
      <c r="F4" s="195">
        <f>C4+D4-E4</f>
        <v>740</v>
      </c>
      <c r="G4" s="203">
        <v>10004</v>
      </c>
      <c r="H4" s="198">
        <v>10160</v>
      </c>
      <c r="I4" s="198">
        <f t="shared" ref="I4:I16" si="1">H4-G4</f>
        <v>156</v>
      </c>
      <c r="J4" s="200">
        <v>0</v>
      </c>
      <c r="K4" s="200"/>
      <c r="L4" s="200">
        <v>198</v>
      </c>
      <c r="M4" s="200">
        <v>4.7300000000000004</v>
      </c>
      <c r="N4" s="201">
        <f>F4/I4</f>
        <v>4.7435897435897436</v>
      </c>
      <c r="O4" s="202"/>
      <c r="P4" s="203"/>
      <c r="Q4" s="204"/>
      <c r="R4" s="102"/>
    </row>
    <row r="5" spans="1:18" s="11" customFormat="1" ht="43.9" customHeight="1" x14ac:dyDescent="0.25">
      <c r="A5" s="206" t="s">
        <v>11</v>
      </c>
      <c r="B5" s="192">
        <v>45597</v>
      </c>
      <c r="C5" s="207">
        <v>70</v>
      </c>
      <c r="D5" s="194">
        <f t="shared" si="0"/>
        <v>779.92</v>
      </c>
      <c r="E5" s="207">
        <v>65</v>
      </c>
      <c r="F5" s="195">
        <f t="shared" ref="F5:F17" si="2">C5+D5-E5</f>
        <v>784.92</v>
      </c>
      <c r="G5" s="203"/>
      <c r="H5" s="198">
        <v>7961</v>
      </c>
      <c r="I5" s="198">
        <f>L5*0.65</f>
        <v>87.75</v>
      </c>
      <c r="J5" s="200">
        <v>0</v>
      </c>
      <c r="K5" s="200"/>
      <c r="L5" s="200">
        <v>135</v>
      </c>
      <c r="M5" s="200">
        <v>4.7300000000000004</v>
      </c>
      <c r="N5" s="221">
        <f>F5/I5</f>
        <v>8.9449572649572637</v>
      </c>
      <c r="O5" s="222">
        <f>N5-M5</f>
        <v>4.2149572649572633</v>
      </c>
      <c r="P5" s="209">
        <f t="shared" ref="P5:P18" si="3">(I5*O5*$K$23)</f>
        <v>17741.256920111682</v>
      </c>
      <c r="Q5" s="208" t="s">
        <v>90</v>
      </c>
    </row>
    <row r="6" spans="1:18" x14ac:dyDescent="0.25">
      <c r="A6" s="206" t="s">
        <v>32</v>
      </c>
      <c r="B6" s="192">
        <v>45597</v>
      </c>
      <c r="C6" s="207">
        <v>85</v>
      </c>
      <c r="D6" s="194">
        <f t="shared" si="0"/>
        <v>352.30255839822024</v>
      </c>
      <c r="E6" s="207">
        <v>40</v>
      </c>
      <c r="F6" s="195">
        <f t="shared" si="2"/>
        <v>397.30255839822024</v>
      </c>
      <c r="G6" s="203">
        <v>4992</v>
      </c>
      <c r="H6" s="198">
        <v>5089</v>
      </c>
      <c r="I6" s="198">
        <f>H6-G6</f>
        <v>97</v>
      </c>
      <c r="J6" s="200">
        <v>0</v>
      </c>
      <c r="K6" s="200"/>
      <c r="L6" s="200">
        <v>194</v>
      </c>
      <c r="M6" s="200">
        <v>5</v>
      </c>
      <c r="N6" s="201">
        <f t="shared" ref="N6:N19" si="4">F6/I6</f>
        <v>4.095902663899178</v>
      </c>
      <c r="O6" s="202"/>
      <c r="P6" s="203"/>
      <c r="Q6" s="204"/>
    </row>
    <row r="7" spans="1:18" s="11" customFormat="1" ht="39" x14ac:dyDescent="0.25">
      <c r="A7" s="206" t="s">
        <v>33</v>
      </c>
      <c r="B7" s="192">
        <v>45597</v>
      </c>
      <c r="C7" s="207"/>
      <c r="D7" s="194">
        <f t="shared" si="0"/>
        <v>180</v>
      </c>
      <c r="E7" s="207">
        <v>50</v>
      </c>
      <c r="F7" s="195">
        <f t="shared" si="2"/>
        <v>130</v>
      </c>
      <c r="G7" s="203"/>
      <c r="H7" s="198">
        <v>10529</v>
      </c>
      <c r="I7" s="198">
        <f>L7*0.78</f>
        <v>28.080000000000002</v>
      </c>
      <c r="J7" s="200">
        <v>0</v>
      </c>
      <c r="K7" s="200"/>
      <c r="L7" s="200">
        <v>36</v>
      </c>
      <c r="M7" s="200">
        <v>3.8</v>
      </c>
      <c r="N7" s="221">
        <f t="shared" si="4"/>
        <v>4.6296296296296298</v>
      </c>
      <c r="O7" s="222">
        <f t="shared" ref="O7:O18" si="5">N7-M7</f>
        <v>0.82962962962962994</v>
      </c>
      <c r="P7" s="209">
        <f t="shared" si="3"/>
        <v>1117.4431612042911</v>
      </c>
      <c r="Q7" s="208" t="s">
        <v>90</v>
      </c>
    </row>
    <row r="8" spans="1:18" x14ac:dyDescent="0.25">
      <c r="A8" s="206" t="s">
        <v>12</v>
      </c>
      <c r="B8" s="192">
        <v>45597</v>
      </c>
      <c r="C8" s="207">
        <v>50</v>
      </c>
      <c r="D8" s="194">
        <f t="shared" si="0"/>
        <v>804.93082313681862</v>
      </c>
      <c r="E8" s="207">
        <v>10</v>
      </c>
      <c r="F8" s="195">
        <f>C8+D8-E8</f>
        <v>844.93082313681862</v>
      </c>
      <c r="G8" s="203">
        <v>18010</v>
      </c>
      <c r="H8" s="198">
        <v>18186</v>
      </c>
      <c r="I8" s="198">
        <f>H8-G8</f>
        <v>176</v>
      </c>
      <c r="J8" s="200">
        <v>0</v>
      </c>
      <c r="K8" s="200"/>
      <c r="L8" s="200">
        <v>219</v>
      </c>
      <c r="M8" s="200">
        <v>4.3499999999999996</v>
      </c>
      <c r="N8" s="221">
        <f t="shared" ref="N8:N16" si="6">F8/I8</f>
        <v>4.8007433132773789</v>
      </c>
      <c r="O8" s="222">
        <f t="shared" si="5"/>
        <v>0.45074331327737927</v>
      </c>
      <c r="P8" s="209">
        <f t="shared" si="3"/>
        <v>3805.2749736841183</v>
      </c>
      <c r="Q8" s="204"/>
    </row>
    <row r="9" spans="1:18" s="11" customFormat="1" x14ac:dyDescent="0.25">
      <c r="A9" s="206" t="s">
        <v>14</v>
      </c>
      <c r="B9" s="192">
        <v>45597</v>
      </c>
      <c r="C9" s="207">
        <v>80</v>
      </c>
      <c r="D9" s="194">
        <f t="shared" si="0"/>
        <v>600</v>
      </c>
      <c r="E9" s="207">
        <v>65</v>
      </c>
      <c r="F9" s="195">
        <f>C9+D9-E9</f>
        <v>615</v>
      </c>
      <c r="G9" s="203">
        <v>4</v>
      </c>
      <c r="H9" s="198">
        <v>108</v>
      </c>
      <c r="I9" s="198">
        <f>H9-G9</f>
        <v>104</v>
      </c>
      <c r="J9" s="200">
        <v>0</v>
      </c>
      <c r="K9" s="200"/>
      <c r="L9" s="200">
        <v>149</v>
      </c>
      <c r="M9" s="200">
        <v>4.3499999999999996</v>
      </c>
      <c r="N9" s="221">
        <f t="shared" si="6"/>
        <v>5.9134615384615383</v>
      </c>
      <c r="O9" s="222">
        <f t="shared" si="5"/>
        <v>1.5634615384615387</v>
      </c>
      <c r="P9" s="209">
        <f t="shared" si="3"/>
        <v>7799.4616248204702</v>
      </c>
      <c r="Q9" s="208"/>
    </row>
    <row r="10" spans="1:18" x14ac:dyDescent="0.25">
      <c r="A10" s="206" t="s">
        <v>13</v>
      </c>
      <c r="B10" s="192">
        <v>45597</v>
      </c>
      <c r="C10" s="207">
        <v>20</v>
      </c>
      <c r="D10" s="194">
        <f t="shared" si="0"/>
        <v>528.98776418242494</v>
      </c>
      <c r="E10" s="207">
        <v>25</v>
      </c>
      <c r="F10" s="195">
        <f t="shared" si="2"/>
        <v>523.98776418242494</v>
      </c>
      <c r="G10" s="203">
        <v>12270</v>
      </c>
      <c r="H10" s="198">
        <v>12463</v>
      </c>
      <c r="I10" s="198">
        <f t="shared" si="1"/>
        <v>193</v>
      </c>
      <c r="J10" s="200">
        <v>0</v>
      </c>
      <c r="K10" s="200"/>
      <c r="L10" s="200">
        <v>126</v>
      </c>
      <c r="M10" s="200">
        <v>4.3499999999999996</v>
      </c>
      <c r="N10" s="201">
        <f t="shared" si="6"/>
        <v>2.7149625087172278</v>
      </c>
      <c r="O10" s="202"/>
      <c r="P10" s="203"/>
      <c r="Q10" s="204"/>
    </row>
    <row r="11" spans="1:18" x14ac:dyDescent="0.25">
      <c r="A11" s="206" t="s">
        <v>34</v>
      </c>
      <c r="B11" s="192">
        <v>45597</v>
      </c>
      <c r="C11" s="207">
        <v>129</v>
      </c>
      <c r="D11" s="194">
        <f t="shared" si="0"/>
        <v>2495.9969632925472</v>
      </c>
      <c r="E11" s="207">
        <v>504</v>
      </c>
      <c r="F11" s="195">
        <f t="shared" si="2"/>
        <v>2120.9969632925472</v>
      </c>
      <c r="G11" s="203">
        <v>7583</v>
      </c>
      <c r="H11" s="198">
        <v>7748</v>
      </c>
      <c r="I11" s="198">
        <f>H11-G11</f>
        <v>165</v>
      </c>
      <c r="J11" s="200">
        <v>0</v>
      </c>
      <c r="K11" s="200"/>
      <c r="L11" s="200">
        <v>225</v>
      </c>
      <c r="M11" s="200">
        <v>10.5</v>
      </c>
      <c r="N11" s="221">
        <f t="shared" si="6"/>
        <v>12.854527050257861</v>
      </c>
      <c r="O11" s="222">
        <f t="shared" si="5"/>
        <v>2.354527050257861</v>
      </c>
      <c r="P11" s="209">
        <f t="shared" si="3"/>
        <v>18635.099363834608</v>
      </c>
      <c r="Q11" s="204" t="s">
        <v>93</v>
      </c>
      <c r="R11" s="11"/>
    </row>
    <row r="12" spans="1:18" x14ac:dyDescent="0.25">
      <c r="A12" s="206" t="s">
        <v>35</v>
      </c>
      <c r="B12" s="192">
        <v>45597</v>
      </c>
      <c r="C12" s="207">
        <v>40</v>
      </c>
      <c r="D12" s="194">
        <f t="shared" si="0"/>
        <v>887.34776418242495</v>
      </c>
      <c r="E12" s="207">
        <v>150</v>
      </c>
      <c r="F12" s="195">
        <f t="shared" si="2"/>
        <v>777.34776418242495</v>
      </c>
      <c r="G12" s="203">
        <v>33450</v>
      </c>
      <c r="H12" s="198">
        <v>33919</v>
      </c>
      <c r="I12" s="198">
        <f t="shared" si="1"/>
        <v>469</v>
      </c>
      <c r="J12" s="200">
        <v>0</v>
      </c>
      <c r="K12" s="200"/>
      <c r="L12" s="200">
        <v>223</v>
      </c>
      <c r="M12" s="200">
        <v>0.9</v>
      </c>
      <c r="N12" s="201">
        <f t="shared" si="6"/>
        <v>1.6574579193655117</v>
      </c>
      <c r="O12" s="222">
        <f>N12-M12</f>
        <v>0.75745791936551166</v>
      </c>
      <c r="P12" s="209">
        <f>(I12*O12*$K$23)</f>
        <v>17040.229422165408</v>
      </c>
      <c r="Q12" s="204"/>
    </row>
    <row r="13" spans="1:18" x14ac:dyDescent="0.25">
      <c r="A13" s="206" t="s">
        <v>7</v>
      </c>
      <c r="B13" s="192">
        <v>45597</v>
      </c>
      <c r="C13" s="207">
        <v>150</v>
      </c>
      <c r="D13" s="194">
        <f t="shared" si="0"/>
        <v>783.54133481646284</v>
      </c>
      <c r="E13" s="207">
        <v>90</v>
      </c>
      <c r="F13" s="195">
        <f t="shared" si="2"/>
        <v>843.54133481646284</v>
      </c>
      <c r="G13" s="203">
        <v>38463</v>
      </c>
      <c r="H13" s="198">
        <v>38912</v>
      </c>
      <c r="I13" s="198">
        <f>H13-G13</f>
        <v>449</v>
      </c>
      <c r="J13" s="200">
        <v>0</v>
      </c>
      <c r="K13" s="200"/>
      <c r="L13" s="200">
        <v>234</v>
      </c>
      <c r="M13" s="200">
        <v>0.9</v>
      </c>
      <c r="N13" s="201">
        <f t="shared" si="6"/>
        <v>1.8787112133996946</v>
      </c>
      <c r="O13" s="222">
        <f t="shared" si="5"/>
        <v>0.97871121339969458</v>
      </c>
      <c r="P13" s="209">
        <f t="shared" si="3"/>
        <v>21078.756625220696</v>
      </c>
      <c r="Q13" s="204"/>
    </row>
    <row r="14" spans="1:18" x14ac:dyDescent="0.25">
      <c r="A14" s="206" t="s">
        <v>8</v>
      </c>
      <c r="B14" s="192">
        <v>45597</v>
      </c>
      <c r="C14" s="207">
        <v>204</v>
      </c>
      <c r="D14" s="194">
        <f t="shared" si="0"/>
        <v>304.14</v>
      </c>
      <c r="E14" s="207">
        <v>280</v>
      </c>
      <c r="F14" s="195">
        <f t="shared" si="2"/>
        <v>228.14</v>
      </c>
      <c r="G14" s="203">
        <v>560504</v>
      </c>
      <c r="H14" s="198">
        <v>560741</v>
      </c>
      <c r="I14" s="198">
        <f t="shared" si="1"/>
        <v>237</v>
      </c>
      <c r="J14" s="200">
        <v>0</v>
      </c>
      <c r="K14" s="200">
        <v>185</v>
      </c>
      <c r="L14" s="200">
        <v>6</v>
      </c>
      <c r="M14" s="200">
        <v>0.9</v>
      </c>
      <c r="N14" s="201">
        <f t="shared" si="6"/>
        <v>0.96261603375527416</v>
      </c>
      <c r="O14" s="202"/>
      <c r="P14" s="203"/>
      <c r="Q14" s="204" t="s">
        <v>93</v>
      </c>
    </row>
    <row r="15" spans="1:18" x14ac:dyDescent="0.25">
      <c r="A15" s="206" t="s">
        <v>9</v>
      </c>
      <c r="B15" s="192">
        <v>45597</v>
      </c>
      <c r="C15" s="207">
        <v>130</v>
      </c>
      <c r="D15" s="194">
        <f t="shared" si="0"/>
        <v>789.97919911012241</v>
      </c>
      <c r="E15" s="207">
        <v>150</v>
      </c>
      <c r="F15" s="195">
        <f>C15+D15-E15</f>
        <v>769.97919911012241</v>
      </c>
      <c r="G15" s="203">
        <v>70039</v>
      </c>
      <c r="H15" s="198">
        <v>70234</v>
      </c>
      <c r="I15" s="198">
        <f t="shared" si="1"/>
        <v>195</v>
      </c>
      <c r="J15" s="200">
        <v>0</v>
      </c>
      <c r="K15" s="200"/>
      <c r="L15" s="200">
        <v>222</v>
      </c>
      <c r="M15" s="200">
        <v>0.9</v>
      </c>
      <c r="N15" s="201">
        <f t="shared" si="6"/>
        <v>3.948611277487807</v>
      </c>
      <c r="O15" s="222">
        <f t="shared" si="5"/>
        <v>3.0486112774878071</v>
      </c>
      <c r="P15" s="209">
        <f t="shared" si="3"/>
        <v>28515.484011152559</v>
      </c>
      <c r="Q15" s="204" t="s">
        <v>92</v>
      </c>
      <c r="R15" s="11"/>
    </row>
    <row r="16" spans="1:18" x14ac:dyDescent="0.25">
      <c r="A16" s="206" t="s">
        <v>60</v>
      </c>
      <c r="B16" s="192">
        <v>45597</v>
      </c>
      <c r="C16" s="207">
        <v>150</v>
      </c>
      <c r="D16" s="194">
        <f t="shared" si="0"/>
        <v>789.74144605116805</v>
      </c>
      <c r="E16" s="207">
        <v>60</v>
      </c>
      <c r="F16" s="195">
        <f t="shared" si="2"/>
        <v>879.74144605116805</v>
      </c>
      <c r="G16" s="203">
        <v>67426</v>
      </c>
      <c r="H16" s="198">
        <v>67635</v>
      </c>
      <c r="I16" s="198">
        <f t="shared" si="1"/>
        <v>209</v>
      </c>
      <c r="J16" s="200">
        <v>0</v>
      </c>
      <c r="K16" s="200"/>
      <c r="L16" s="200">
        <v>221</v>
      </c>
      <c r="M16" s="200">
        <v>0.9</v>
      </c>
      <c r="N16" s="201">
        <f t="shared" si="6"/>
        <v>4.2092892155558284</v>
      </c>
      <c r="O16" s="222">
        <f t="shared" si="5"/>
        <v>3.3092892155558284</v>
      </c>
      <c r="P16" s="209">
        <f t="shared" si="3"/>
        <v>33176.081897979231</v>
      </c>
      <c r="Q16" s="204" t="s">
        <v>91</v>
      </c>
      <c r="R16" s="11"/>
    </row>
    <row r="17" spans="1:18" x14ac:dyDescent="0.25">
      <c r="A17" s="210" t="s">
        <v>37</v>
      </c>
      <c r="B17" s="192">
        <v>45597</v>
      </c>
      <c r="C17" s="207">
        <v>70</v>
      </c>
      <c r="D17" s="194">
        <f t="shared" si="0"/>
        <v>80</v>
      </c>
      <c r="E17" s="207">
        <v>40</v>
      </c>
      <c r="F17" s="195">
        <f t="shared" si="2"/>
        <v>110</v>
      </c>
      <c r="G17" s="203"/>
      <c r="H17" s="198"/>
      <c r="I17" s="198">
        <f>L17*0.7</f>
        <v>11.899999999999999</v>
      </c>
      <c r="J17" s="200">
        <v>0</v>
      </c>
      <c r="K17" s="200"/>
      <c r="L17" s="200">
        <v>17</v>
      </c>
      <c r="M17" s="200">
        <v>5.0999999999999996</v>
      </c>
      <c r="N17" s="201">
        <f t="shared" si="4"/>
        <v>9.2436974789915975</v>
      </c>
      <c r="O17" s="222">
        <f t="shared" si="5"/>
        <v>4.1436974789915979</v>
      </c>
      <c r="P17" s="209">
        <f t="shared" si="3"/>
        <v>2365.2610868382371</v>
      </c>
      <c r="Q17" s="223" t="s">
        <v>52</v>
      </c>
      <c r="R17" s="11"/>
    </row>
    <row r="18" spans="1:18" x14ac:dyDescent="0.25">
      <c r="A18" s="206" t="s">
        <v>5</v>
      </c>
      <c r="B18" s="192">
        <v>45597</v>
      </c>
      <c r="C18" s="207">
        <v>224</v>
      </c>
      <c r="D18" s="194">
        <f t="shared" si="0"/>
        <v>150</v>
      </c>
      <c r="E18" s="207">
        <v>40</v>
      </c>
      <c r="F18" s="211">
        <f>C18+D18-E18</f>
        <v>334</v>
      </c>
      <c r="G18" s="203">
        <v>6213</v>
      </c>
      <c r="H18" s="198">
        <v>6257</v>
      </c>
      <c r="I18" s="212">
        <f>H18-G18</f>
        <v>44</v>
      </c>
      <c r="J18" s="200">
        <v>0</v>
      </c>
      <c r="K18" s="200"/>
      <c r="L18" s="200">
        <v>174</v>
      </c>
      <c r="M18" s="200">
        <v>4.07</v>
      </c>
      <c r="N18" s="201">
        <f>F18/I18</f>
        <v>7.5909090909090908</v>
      </c>
      <c r="O18" s="222">
        <f t="shared" si="5"/>
        <v>3.5209090909090905</v>
      </c>
      <c r="P18" s="209">
        <f t="shared" si="3"/>
        <v>7431.0737694783948</v>
      </c>
      <c r="Q18" s="204" t="s">
        <v>94</v>
      </c>
      <c r="R18" s="11"/>
    </row>
    <row r="19" spans="1:18" ht="15.75" thickBot="1" x14ac:dyDescent="0.3">
      <c r="A19" s="213" t="s">
        <v>6</v>
      </c>
      <c r="B19" s="192">
        <v>45597</v>
      </c>
      <c r="C19" s="214">
        <v>40</v>
      </c>
      <c r="D19" s="215">
        <f t="shared" si="0"/>
        <v>342.88</v>
      </c>
      <c r="E19" s="214">
        <v>190</v>
      </c>
      <c r="F19" s="216">
        <f>C19+D19-E19</f>
        <v>192.88</v>
      </c>
      <c r="G19" s="217"/>
      <c r="H19" s="218"/>
      <c r="I19" s="218">
        <f>L19*0.7</f>
        <v>118.3</v>
      </c>
      <c r="J19" s="214">
        <v>0</v>
      </c>
      <c r="K19" s="219"/>
      <c r="L19" s="214">
        <v>169</v>
      </c>
      <c r="M19" s="214">
        <v>2.9</v>
      </c>
      <c r="N19" s="220">
        <f t="shared" si="4"/>
        <v>1.6304311073541842</v>
      </c>
      <c r="O19" s="220"/>
      <c r="P19" s="220"/>
      <c r="Q19" s="204"/>
    </row>
    <row r="20" spans="1:18" x14ac:dyDescent="0.25">
      <c r="A20" s="51"/>
      <c r="B20" s="51"/>
      <c r="C20" s="92">
        <f>SUM(C3:C19)</f>
        <v>1562</v>
      </c>
      <c r="D20" s="93">
        <f>SUM(D2:D19)</f>
        <v>11738.699999999999</v>
      </c>
      <c r="E20" s="92">
        <f>SUM(E2:E19)</f>
        <v>1869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233">
        <f>SUM(P3:P19)</f>
        <v>165464.09989864175</v>
      </c>
      <c r="Q20" s="51"/>
    </row>
    <row r="21" spans="1:18" x14ac:dyDescent="0.25">
      <c r="A21" s="51"/>
      <c r="B21" s="51"/>
      <c r="C21" s="51"/>
      <c r="D21" s="106">
        <f>D20-B204</f>
        <v>0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3" spans="1:18" x14ac:dyDescent="0.25">
      <c r="D23" s="17"/>
      <c r="J23" s="18" t="s">
        <v>39</v>
      </c>
      <c r="K23" s="19">
        <f>SUM(C28:C203)/B204</f>
        <v>47.967168664332526</v>
      </c>
    </row>
    <row r="25" spans="1:18" x14ac:dyDescent="0.25">
      <c r="H25" s="20"/>
    </row>
    <row r="26" spans="1:18" x14ac:dyDescent="0.25">
      <c r="A26" s="487" t="s">
        <v>40</v>
      </c>
      <c r="B26" s="487"/>
      <c r="C26" s="487"/>
      <c r="D26" s="487"/>
    </row>
    <row r="27" spans="1:18" ht="15.75" thickBot="1" x14ac:dyDescent="0.3">
      <c r="A27" s="21" t="s">
        <v>15</v>
      </c>
      <c r="B27" s="21" t="s">
        <v>41</v>
      </c>
      <c r="C27" s="21" t="s">
        <v>42</v>
      </c>
      <c r="D27" s="21" t="s">
        <v>43</v>
      </c>
    </row>
    <row r="28" spans="1:18" x14ac:dyDescent="0.25">
      <c r="A28" s="165" t="s">
        <v>13</v>
      </c>
      <c r="B28" s="163">
        <v>88.987764182424911</v>
      </c>
      <c r="C28" s="12">
        <f>B28*47.32</f>
        <v>4210.9010011123464</v>
      </c>
      <c r="D28" s="22" t="s">
        <v>44</v>
      </c>
      <c r="E28" s="22" t="s">
        <v>88</v>
      </c>
    </row>
    <row r="29" spans="1:18" x14ac:dyDescent="0.25">
      <c r="A29" s="165" t="s">
        <v>30</v>
      </c>
      <c r="B29" s="164">
        <v>38.932146829810904</v>
      </c>
      <c r="C29" s="12">
        <f t="shared" ref="C29:C92" si="7">B29*47.32</f>
        <v>1842.269187986652</v>
      </c>
      <c r="D29" s="22" t="s">
        <v>44</v>
      </c>
      <c r="E29" s="22" t="s">
        <v>88</v>
      </c>
    </row>
    <row r="30" spans="1:18" x14ac:dyDescent="0.25">
      <c r="A30" s="70" t="s">
        <v>60</v>
      </c>
      <c r="B30" s="164">
        <v>171.30144605116797</v>
      </c>
      <c r="C30" s="12">
        <f t="shared" si="7"/>
        <v>8105.9844271412685</v>
      </c>
      <c r="D30" s="22" t="s">
        <v>44</v>
      </c>
      <c r="E30" s="22" t="s">
        <v>88</v>
      </c>
    </row>
    <row r="31" spans="1:18" x14ac:dyDescent="0.25">
      <c r="A31" s="70" t="s">
        <v>9</v>
      </c>
      <c r="B31" s="164">
        <v>151.27919911012236</v>
      </c>
      <c r="C31" s="12">
        <f t="shared" si="7"/>
        <v>7158.53170189099</v>
      </c>
      <c r="D31" s="22" t="s">
        <v>44</v>
      </c>
      <c r="E31" s="22" t="s">
        <v>88</v>
      </c>
    </row>
    <row r="32" spans="1:18" x14ac:dyDescent="0.25">
      <c r="A32" s="70" t="s">
        <v>35</v>
      </c>
      <c r="B32" s="164">
        <v>88.987764182424911</v>
      </c>
      <c r="C32" s="12">
        <f t="shared" si="7"/>
        <v>4210.9010011123464</v>
      </c>
      <c r="D32" s="22" t="s">
        <v>44</v>
      </c>
      <c r="E32" s="22" t="s">
        <v>88</v>
      </c>
    </row>
    <row r="33" spans="1:5" x14ac:dyDescent="0.25">
      <c r="A33" s="70" t="s">
        <v>32</v>
      </c>
      <c r="B33" s="164">
        <v>72.302558398220242</v>
      </c>
      <c r="C33" s="12">
        <f t="shared" si="7"/>
        <v>3421.3570634037819</v>
      </c>
      <c r="D33" s="22" t="s">
        <v>44</v>
      </c>
      <c r="E33" s="22" t="s">
        <v>88</v>
      </c>
    </row>
    <row r="34" spans="1:5" x14ac:dyDescent="0.25">
      <c r="A34" s="70" t="s">
        <v>7</v>
      </c>
      <c r="B34" s="164">
        <v>81.201334816462733</v>
      </c>
      <c r="C34" s="12">
        <f t="shared" si="7"/>
        <v>3842.4471635150167</v>
      </c>
      <c r="D34" s="22" t="s">
        <v>44</v>
      </c>
      <c r="E34" s="22" t="s">
        <v>88</v>
      </c>
    </row>
    <row r="35" spans="1:5" x14ac:dyDescent="0.25">
      <c r="A35" s="70" t="s">
        <v>12</v>
      </c>
      <c r="B35" s="164">
        <v>66.74082313681869</v>
      </c>
      <c r="C35" s="12">
        <f t="shared" si="7"/>
        <v>3158.1757508342603</v>
      </c>
      <c r="D35" s="22" t="s">
        <v>44</v>
      </c>
      <c r="E35" s="22" t="s">
        <v>88</v>
      </c>
    </row>
    <row r="36" spans="1:5" x14ac:dyDescent="0.25">
      <c r="A36" s="70" t="s">
        <v>34</v>
      </c>
      <c r="B36" s="164">
        <v>111.23470522803115</v>
      </c>
      <c r="C36" s="12">
        <f t="shared" si="7"/>
        <v>5263.6262513904339</v>
      </c>
      <c r="D36" s="22" t="s">
        <v>44</v>
      </c>
      <c r="E36" s="22" t="s">
        <v>88</v>
      </c>
    </row>
    <row r="37" spans="1:5" x14ac:dyDescent="0.25">
      <c r="A37" s="70" t="s">
        <v>34</v>
      </c>
      <c r="B37" s="164">
        <v>129.03225806451613</v>
      </c>
      <c r="C37" s="12">
        <f t="shared" si="7"/>
        <v>6105.8064516129034</v>
      </c>
      <c r="D37" s="22" t="s">
        <v>44</v>
      </c>
      <c r="E37" s="22" t="s">
        <v>88</v>
      </c>
    </row>
    <row r="38" spans="1:5" x14ac:dyDescent="0.25">
      <c r="A38" s="10" t="s">
        <v>10</v>
      </c>
      <c r="B38" s="164">
        <v>100</v>
      </c>
      <c r="C38" s="12">
        <f t="shared" si="7"/>
        <v>4732</v>
      </c>
      <c r="D38" s="22" t="s">
        <v>44</v>
      </c>
    </row>
    <row r="39" spans="1:5" x14ac:dyDescent="0.25">
      <c r="A39" s="10" t="s">
        <v>10</v>
      </c>
      <c r="B39" s="164">
        <v>100</v>
      </c>
      <c r="C39" s="12">
        <f t="shared" si="7"/>
        <v>4732</v>
      </c>
      <c r="D39" s="22" t="s">
        <v>44</v>
      </c>
    </row>
    <row r="40" spans="1:5" x14ac:dyDescent="0.25">
      <c r="A40" s="10" t="s">
        <v>13</v>
      </c>
      <c r="B40" s="164">
        <v>100</v>
      </c>
      <c r="C40" s="12">
        <f t="shared" si="7"/>
        <v>4732</v>
      </c>
      <c r="D40" s="22" t="s">
        <v>44</v>
      </c>
    </row>
    <row r="41" spans="1:5" x14ac:dyDescent="0.25">
      <c r="A41" s="10" t="s">
        <v>13</v>
      </c>
      <c r="B41" s="164">
        <v>40</v>
      </c>
      <c r="C41" s="12">
        <f t="shared" si="7"/>
        <v>1892.8</v>
      </c>
      <c r="D41" s="22" t="s">
        <v>44</v>
      </c>
    </row>
    <row r="42" spans="1:5" x14ac:dyDescent="0.25">
      <c r="A42" s="10" t="s">
        <v>13</v>
      </c>
      <c r="B42" s="164">
        <v>100</v>
      </c>
      <c r="C42" s="12">
        <f t="shared" si="7"/>
        <v>4732</v>
      </c>
      <c r="D42" s="22" t="s">
        <v>44</v>
      </c>
    </row>
    <row r="43" spans="1:5" x14ac:dyDescent="0.25">
      <c r="A43" s="10" t="s">
        <v>13</v>
      </c>
      <c r="B43" s="164">
        <v>100</v>
      </c>
      <c r="C43" s="12">
        <f t="shared" si="7"/>
        <v>4732</v>
      </c>
      <c r="D43" s="22" t="s">
        <v>44</v>
      </c>
    </row>
    <row r="44" spans="1:5" x14ac:dyDescent="0.25">
      <c r="A44" s="10" t="s">
        <v>13</v>
      </c>
      <c r="B44" s="164">
        <v>100</v>
      </c>
      <c r="C44" s="12">
        <f t="shared" si="7"/>
        <v>4732</v>
      </c>
      <c r="D44" s="22" t="s">
        <v>44</v>
      </c>
    </row>
    <row r="45" spans="1:5" x14ac:dyDescent="0.25">
      <c r="A45" s="10" t="s">
        <v>12</v>
      </c>
      <c r="B45" s="164">
        <v>100</v>
      </c>
      <c r="C45" s="12">
        <f t="shared" si="7"/>
        <v>4732</v>
      </c>
      <c r="D45" s="22" t="s">
        <v>44</v>
      </c>
    </row>
    <row r="46" spans="1:5" x14ac:dyDescent="0.25">
      <c r="A46" s="10" t="s">
        <v>12</v>
      </c>
      <c r="B46" s="164">
        <v>100</v>
      </c>
      <c r="C46" s="12">
        <f t="shared" si="7"/>
        <v>4732</v>
      </c>
      <c r="D46" s="22" t="s">
        <v>44</v>
      </c>
    </row>
    <row r="47" spans="1:5" x14ac:dyDescent="0.25">
      <c r="A47" s="22" t="s">
        <v>12</v>
      </c>
      <c r="B47" s="164">
        <v>100</v>
      </c>
      <c r="C47" s="12">
        <f t="shared" si="7"/>
        <v>4732</v>
      </c>
      <c r="D47" s="22" t="s">
        <v>44</v>
      </c>
    </row>
    <row r="48" spans="1:5" x14ac:dyDescent="0.25">
      <c r="A48" s="10" t="s">
        <v>12</v>
      </c>
      <c r="B48" s="164">
        <v>98.19</v>
      </c>
      <c r="C48" s="12">
        <f t="shared" si="7"/>
        <v>4646.3508000000002</v>
      </c>
      <c r="D48" s="22" t="s">
        <v>44</v>
      </c>
    </row>
    <row r="49" spans="1:4" x14ac:dyDescent="0.25">
      <c r="A49" s="10" t="s">
        <v>12</v>
      </c>
      <c r="B49" s="164">
        <v>40</v>
      </c>
      <c r="C49" s="12">
        <f t="shared" si="7"/>
        <v>1892.8</v>
      </c>
      <c r="D49" s="22" t="s">
        <v>44</v>
      </c>
    </row>
    <row r="50" spans="1:4" x14ac:dyDescent="0.25">
      <c r="A50" s="10" t="s">
        <v>12</v>
      </c>
      <c r="B50" s="164">
        <v>100</v>
      </c>
      <c r="C50" s="12">
        <f t="shared" si="7"/>
        <v>4732</v>
      </c>
      <c r="D50" s="22" t="s">
        <v>44</v>
      </c>
    </row>
    <row r="51" spans="1:4" x14ac:dyDescent="0.25">
      <c r="A51" s="10" t="s">
        <v>12</v>
      </c>
      <c r="B51" s="164">
        <v>100</v>
      </c>
      <c r="C51" s="12">
        <f t="shared" si="7"/>
        <v>4732</v>
      </c>
      <c r="D51" s="22" t="s">
        <v>44</v>
      </c>
    </row>
    <row r="52" spans="1:4" x14ac:dyDescent="0.25">
      <c r="A52" s="10" t="s">
        <v>12</v>
      </c>
      <c r="B52" s="164">
        <v>100</v>
      </c>
      <c r="C52" s="12">
        <f t="shared" si="7"/>
        <v>4732</v>
      </c>
      <c r="D52" s="22" t="s">
        <v>44</v>
      </c>
    </row>
    <row r="53" spans="1:4" x14ac:dyDescent="0.25">
      <c r="A53" s="10" t="s">
        <v>7</v>
      </c>
      <c r="B53" s="164">
        <v>100</v>
      </c>
      <c r="C53" s="12">
        <f t="shared" si="7"/>
        <v>4732</v>
      </c>
      <c r="D53" s="22" t="s">
        <v>44</v>
      </c>
    </row>
    <row r="54" spans="1:4" x14ac:dyDescent="0.25">
      <c r="A54" s="10" t="s">
        <v>7</v>
      </c>
      <c r="B54" s="164">
        <v>50</v>
      </c>
      <c r="C54" s="12">
        <f t="shared" si="7"/>
        <v>2366</v>
      </c>
      <c r="D54" s="22" t="s">
        <v>44</v>
      </c>
    </row>
    <row r="55" spans="1:4" x14ac:dyDescent="0.25">
      <c r="A55" s="10" t="s">
        <v>7</v>
      </c>
      <c r="B55" s="164">
        <v>50</v>
      </c>
      <c r="C55" s="12">
        <f t="shared" si="7"/>
        <v>2366</v>
      </c>
      <c r="D55" s="22" t="s">
        <v>44</v>
      </c>
    </row>
    <row r="56" spans="1:4" x14ac:dyDescent="0.25">
      <c r="A56" s="10" t="s">
        <v>7</v>
      </c>
      <c r="B56" s="164">
        <v>100</v>
      </c>
      <c r="C56" s="12">
        <f t="shared" si="7"/>
        <v>4732</v>
      </c>
      <c r="D56" s="22" t="s">
        <v>44</v>
      </c>
    </row>
    <row r="57" spans="1:4" x14ac:dyDescent="0.25">
      <c r="A57" s="10" t="s">
        <v>7</v>
      </c>
      <c r="B57" s="164">
        <v>150</v>
      </c>
      <c r="C57" s="12">
        <f t="shared" si="7"/>
        <v>7098</v>
      </c>
      <c r="D57" s="22" t="s">
        <v>44</v>
      </c>
    </row>
    <row r="58" spans="1:4" x14ac:dyDescent="0.25">
      <c r="A58" s="10" t="s">
        <v>7</v>
      </c>
      <c r="B58" s="164">
        <v>122.34</v>
      </c>
      <c r="C58" s="12">
        <f t="shared" si="7"/>
        <v>5789.1288000000004</v>
      </c>
      <c r="D58" s="22" t="s">
        <v>44</v>
      </c>
    </row>
    <row r="59" spans="1:4" x14ac:dyDescent="0.25">
      <c r="A59" s="10" t="s">
        <v>7</v>
      </c>
      <c r="B59" s="164">
        <v>100</v>
      </c>
      <c r="C59" s="12">
        <f t="shared" si="7"/>
        <v>4732</v>
      </c>
      <c r="D59" s="22" t="s">
        <v>44</v>
      </c>
    </row>
    <row r="60" spans="1:4" x14ac:dyDescent="0.25">
      <c r="A60" s="10" t="s">
        <v>7</v>
      </c>
      <c r="B60" s="164">
        <v>15</v>
      </c>
      <c r="C60" s="12">
        <f t="shared" si="7"/>
        <v>709.8</v>
      </c>
      <c r="D60" s="22" t="s">
        <v>44</v>
      </c>
    </row>
    <row r="61" spans="1:4" x14ac:dyDescent="0.25">
      <c r="A61" s="10" t="s">
        <v>7</v>
      </c>
      <c r="B61" s="164">
        <v>15</v>
      </c>
      <c r="C61" s="12">
        <f t="shared" si="7"/>
        <v>709.8</v>
      </c>
      <c r="D61" s="22" t="s">
        <v>44</v>
      </c>
    </row>
    <row r="62" spans="1:4" x14ac:dyDescent="0.25">
      <c r="A62" s="10" t="s">
        <v>6</v>
      </c>
      <c r="B62" s="164">
        <v>186.87</v>
      </c>
      <c r="C62" s="12">
        <f t="shared" si="7"/>
        <v>8842.6884000000009</v>
      </c>
      <c r="D62" s="22" t="s">
        <v>44</v>
      </c>
    </row>
    <row r="63" spans="1:4" x14ac:dyDescent="0.25">
      <c r="A63" s="10" t="s">
        <v>6</v>
      </c>
      <c r="B63" s="164">
        <v>56.01</v>
      </c>
      <c r="C63" s="12">
        <f t="shared" si="7"/>
        <v>2650.3932</v>
      </c>
      <c r="D63" s="22" t="s">
        <v>44</v>
      </c>
    </row>
    <row r="64" spans="1:4" x14ac:dyDescent="0.25">
      <c r="A64" s="22" t="s">
        <v>6</v>
      </c>
      <c r="B64" s="164">
        <v>100</v>
      </c>
      <c r="C64" s="12">
        <f t="shared" si="7"/>
        <v>4732</v>
      </c>
      <c r="D64" s="22" t="s">
        <v>44</v>
      </c>
    </row>
    <row r="65" spans="1:4" x14ac:dyDescent="0.25">
      <c r="A65" s="22" t="s">
        <v>35</v>
      </c>
      <c r="B65" s="164">
        <v>100</v>
      </c>
      <c r="C65" s="12">
        <f t="shared" si="7"/>
        <v>4732</v>
      </c>
      <c r="D65" s="22" t="s">
        <v>44</v>
      </c>
    </row>
    <row r="66" spans="1:4" x14ac:dyDescent="0.25">
      <c r="A66" s="22" t="s">
        <v>35</v>
      </c>
      <c r="B66" s="164">
        <v>100</v>
      </c>
      <c r="C66" s="12">
        <f t="shared" si="7"/>
        <v>4732</v>
      </c>
      <c r="D66" s="22" t="s">
        <v>44</v>
      </c>
    </row>
    <row r="67" spans="1:4" x14ac:dyDescent="0.25">
      <c r="A67" s="22" t="s">
        <v>35</v>
      </c>
      <c r="B67" s="164">
        <v>100</v>
      </c>
      <c r="C67" s="12">
        <f t="shared" si="7"/>
        <v>4732</v>
      </c>
      <c r="D67" s="22" t="s">
        <v>44</v>
      </c>
    </row>
    <row r="68" spans="1:4" x14ac:dyDescent="0.25">
      <c r="A68" s="22" t="s">
        <v>35</v>
      </c>
      <c r="B68" s="164">
        <v>100</v>
      </c>
      <c r="C68" s="12">
        <f t="shared" si="7"/>
        <v>4732</v>
      </c>
      <c r="D68" s="22" t="s">
        <v>44</v>
      </c>
    </row>
    <row r="69" spans="1:4" x14ac:dyDescent="0.25">
      <c r="A69" s="22" t="s">
        <v>35</v>
      </c>
      <c r="B69" s="164">
        <v>198.36</v>
      </c>
      <c r="C69" s="12">
        <f t="shared" si="7"/>
        <v>9386.3952000000008</v>
      </c>
      <c r="D69" s="22" t="s">
        <v>44</v>
      </c>
    </row>
    <row r="70" spans="1:4" x14ac:dyDescent="0.25">
      <c r="A70" s="22" t="s">
        <v>35</v>
      </c>
      <c r="B70" s="164">
        <v>100</v>
      </c>
      <c r="C70" s="12">
        <f t="shared" si="7"/>
        <v>4732</v>
      </c>
      <c r="D70" s="22" t="s">
        <v>44</v>
      </c>
    </row>
    <row r="71" spans="1:4" x14ac:dyDescent="0.25">
      <c r="A71" s="22" t="s">
        <v>35</v>
      </c>
      <c r="B71" s="164">
        <v>100</v>
      </c>
      <c r="C71" s="12">
        <f t="shared" si="7"/>
        <v>4732</v>
      </c>
      <c r="D71" s="22" t="s">
        <v>44</v>
      </c>
    </row>
    <row r="72" spans="1:4" x14ac:dyDescent="0.25">
      <c r="A72" s="22" t="s">
        <v>30</v>
      </c>
      <c r="B72" s="164">
        <v>100</v>
      </c>
      <c r="C72" s="12">
        <f t="shared" si="7"/>
        <v>4732</v>
      </c>
      <c r="D72" s="22" t="s">
        <v>44</v>
      </c>
    </row>
    <row r="73" spans="1:4" x14ac:dyDescent="0.25">
      <c r="A73" s="22" t="s">
        <v>30</v>
      </c>
      <c r="B73" s="164">
        <v>100</v>
      </c>
      <c r="C73" s="12">
        <f t="shared" si="7"/>
        <v>4732</v>
      </c>
      <c r="D73" s="22" t="s">
        <v>44</v>
      </c>
    </row>
    <row r="74" spans="1:4" x14ac:dyDescent="0.25">
      <c r="A74" s="22" t="s">
        <v>30</v>
      </c>
      <c r="B74" s="164">
        <v>100</v>
      </c>
      <c r="C74" s="12">
        <f t="shared" si="7"/>
        <v>4732</v>
      </c>
      <c r="D74" s="22" t="s">
        <v>44</v>
      </c>
    </row>
    <row r="75" spans="1:4" x14ac:dyDescent="0.25">
      <c r="A75" s="22" t="s">
        <v>30</v>
      </c>
      <c r="B75" s="164">
        <v>100</v>
      </c>
      <c r="C75" s="12">
        <f t="shared" si="7"/>
        <v>4732</v>
      </c>
      <c r="D75" s="22" t="s">
        <v>44</v>
      </c>
    </row>
    <row r="76" spans="1:4" x14ac:dyDescent="0.25">
      <c r="A76" s="22" t="s">
        <v>30</v>
      </c>
      <c r="B76" s="164">
        <v>70.97</v>
      </c>
      <c r="C76" s="12">
        <f t="shared" si="7"/>
        <v>3358.3004000000001</v>
      </c>
      <c r="D76" s="22" t="s">
        <v>44</v>
      </c>
    </row>
    <row r="77" spans="1:4" x14ac:dyDescent="0.25">
      <c r="A77" s="22" t="s">
        <v>30</v>
      </c>
      <c r="B77" s="164">
        <v>40</v>
      </c>
      <c r="C77" s="12">
        <f t="shared" si="7"/>
        <v>1892.8</v>
      </c>
      <c r="D77" s="22" t="s">
        <v>44</v>
      </c>
    </row>
    <row r="78" spans="1:4" x14ac:dyDescent="0.25">
      <c r="A78" s="22" t="s">
        <v>30</v>
      </c>
      <c r="B78" s="164">
        <v>89.03</v>
      </c>
      <c r="C78" s="12">
        <f t="shared" si="7"/>
        <v>4212.8995999999997</v>
      </c>
      <c r="D78" s="22" t="s">
        <v>44</v>
      </c>
    </row>
    <row r="79" spans="1:4" x14ac:dyDescent="0.25">
      <c r="A79" s="22" t="s">
        <v>30</v>
      </c>
      <c r="B79" s="164">
        <v>100</v>
      </c>
      <c r="C79" s="12">
        <f t="shared" si="7"/>
        <v>4732</v>
      </c>
      <c r="D79" s="22" t="s">
        <v>44</v>
      </c>
    </row>
    <row r="80" spans="1:4" x14ac:dyDescent="0.25">
      <c r="A80" s="22" t="s">
        <v>30</v>
      </c>
      <c r="B80" s="164">
        <v>100</v>
      </c>
      <c r="C80" s="12">
        <f t="shared" si="7"/>
        <v>4732</v>
      </c>
      <c r="D80" s="22" t="s">
        <v>44</v>
      </c>
    </row>
    <row r="81" spans="1:4" x14ac:dyDescent="0.25">
      <c r="A81" s="22" t="s">
        <v>30</v>
      </c>
      <c r="B81" s="9">
        <v>100</v>
      </c>
      <c r="C81" s="12">
        <f t="shared" si="7"/>
        <v>4732</v>
      </c>
      <c r="D81" s="22" t="s">
        <v>44</v>
      </c>
    </row>
    <row r="82" spans="1:4" x14ac:dyDescent="0.25">
      <c r="A82" s="22" t="s">
        <v>30</v>
      </c>
      <c r="B82" s="9">
        <v>120</v>
      </c>
      <c r="C82" s="12">
        <f t="shared" si="7"/>
        <v>5678.4</v>
      </c>
      <c r="D82" s="22" t="s">
        <v>44</v>
      </c>
    </row>
    <row r="83" spans="1:4" x14ac:dyDescent="0.25">
      <c r="A83" s="22" t="s">
        <v>30</v>
      </c>
      <c r="B83" s="9">
        <v>100</v>
      </c>
      <c r="C83" s="12">
        <f t="shared" si="7"/>
        <v>4732</v>
      </c>
      <c r="D83" s="22" t="s">
        <v>44</v>
      </c>
    </row>
    <row r="84" spans="1:4" x14ac:dyDescent="0.25">
      <c r="A84" s="22" t="s">
        <v>11</v>
      </c>
      <c r="B84" s="9">
        <v>20</v>
      </c>
      <c r="C84" s="12">
        <f t="shared" si="7"/>
        <v>946.4</v>
      </c>
      <c r="D84" s="22" t="s">
        <v>44</v>
      </c>
    </row>
    <row r="85" spans="1:4" x14ac:dyDescent="0.25">
      <c r="A85" s="22" t="s">
        <v>11</v>
      </c>
      <c r="B85" s="9">
        <v>80</v>
      </c>
      <c r="C85" s="12">
        <f t="shared" si="7"/>
        <v>3785.6</v>
      </c>
      <c r="D85" s="22" t="s">
        <v>44</v>
      </c>
    </row>
    <row r="86" spans="1:4" x14ac:dyDescent="0.25">
      <c r="A86" s="22" t="s">
        <v>11</v>
      </c>
      <c r="B86" s="9">
        <v>119.3</v>
      </c>
      <c r="C86" s="12">
        <f t="shared" si="7"/>
        <v>5645.2759999999998</v>
      </c>
      <c r="D86" s="22" t="s">
        <v>44</v>
      </c>
    </row>
    <row r="87" spans="1:4" x14ac:dyDescent="0.25">
      <c r="A87" s="22" t="s">
        <v>11</v>
      </c>
      <c r="B87" s="9">
        <v>120</v>
      </c>
      <c r="C87" s="12">
        <f t="shared" si="7"/>
        <v>5678.4</v>
      </c>
      <c r="D87" s="22" t="s">
        <v>44</v>
      </c>
    </row>
    <row r="88" spans="1:4" x14ac:dyDescent="0.25">
      <c r="A88" s="22" t="s">
        <v>11</v>
      </c>
      <c r="B88" s="9">
        <v>80.7</v>
      </c>
      <c r="C88" s="12">
        <f t="shared" si="7"/>
        <v>3818.7240000000002</v>
      </c>
      <c r="D88" s="22" t="s">
        <v>44</v>
      </c>
    </row>
    <row r="89" spans="1:4" x14ac:dyDescent="0.25">
      <c r="A89" s="22" t="s">
        <v>11</v>
      </c>
      <c r="B89" s="9">
        <v>110</v>
      </c>
      <c r="C89" s="12">
        <f t="shared" si="7"/>
        <v>5205.2</v>
      </c>
      <c r="D89" s="22" t="s">
        <v>44</v>
      </c>
    </row>
    <row r="90" spans="1:4" x14ac:dyDescent="0.25">
      <c r="A90" s="22" t="s">
        <v>11</v>
      </c>
      <c r="B90" s="9">
        <v>40</v>
      </c>
      <c r="C90" s="12">
        <f t="shared" si="7"/>
        <v>1892.8</v>
      </c>
      <c r="D90" s="22" t="s">
        <v>44</v>
      </c>
    </row>
    <row r="91" spans="1:4" x14ac:dyDescent="0.25">
      <c r="A91" s="22" t="s">
        <v>11</v>
      </c>
      <c r="B91" s="9">
        <v>100</v>
      </c>
      <c r="C91" s="12">
        <f t="shared" si="7"/>
        <v>4732</v>
      </c>
      <c r="D91" s="22" t="s">
        <v>44</v>
      </c>
    </row>
    <row r="92" spans="1:4" x14ac:dyDescent="0.25">
      <c r="A92" s="22" t="s">
        <v>11</v>
      </c>
      <c r="B92" s="9">
        <v>109.92</v>
      </c>
      <c r="C92" s="12">
        <f t="shared" si="7"/>
        <v>5201.4143999999997</v>
      </c>
      <c r="D92" s="22" t="s">
        <v>44</v>
      </c>
    </row>
    <row r="93" spans="1:4" x14ac:dyDescent="0.25">
      <c r="A93" s="22" t="s">
        <v>60</v>
      </c>
      <c r="B93" s="9">
        <v>198.36</v>
      </c>
      <c r="C93" s="12">
        <f t="shared" ref="C93:C125" si="8">B93*47.32</f>
        <v>9386.3952000000008</v>
      </c>
      <c r="D93" s="22" t="s">
        <v>44</v>
      </c>
    </row>
    <row r="94" spans="1:4" x14ac:dyDescent="0.25">
      <c r="A94" s="22" t="s">
        <v>60</v>
      </c>
      <c r="B94" s="9">
        <v>198.32</v>
      </c>
      <c r="C94" s="12">
        <f t="shared" si="8"/>
        <v>9384.5023999999994</v>
      </c>
      <c r="D94" s="22" t="s">
        <v>44</v>
      </c>
    </row>
    <row r="95" spans="1:4" x14ac:dyDescent="0.25">
      <c r="A95" s="22" t="s">
        <v>60</v>
      </c>
      <c r="B95" s="9">
        <v>56.69</v>
      </c>
      <c r="C95" s="12">
        <f t="shared" si="8"/>
        <v>2682.5708</v>
      </c>
      <c r="D95" s="22" t="s">
        <v>44</v>
      </c>
    </row>
    <row r="96" spans="1:4" x14ac:dyDescent="0.25">
      <c r="A96" s="22" t="s">
        <v>60</v>
      </c>
      <c r="B96" s="9">
        <v>50.07</v>
      </c>
      <c r="C96" s="12">
        <f t="shared" si="8"/>
        <v>2369.3124000000003</v>
      </c>
      <c r="D96" s="22" t="s">
        <v>44</v>
      </c>
    </row>
    <row r="97" spans="1:4" x14ac:dyDescent="0.25">
      <c r="A97" s="22" t="s">
        <v>60</v>
      </c>
      <c r="B97" s="9">
        <v>115</v>
      </c>
      <c r="C97" s="12">
        <f t="shared" si="8"/>
        <v>5441.8</v>
      </c>
      <c r="D97" s="22" t="s">
        <v>44</v>
      </c>
    </row>
    <row r="98" spans="1:4" x14ac:dyDescent="0.25">
      <c r="A98" s="22" t="s">
        <v>9</v>
      </c>
      <c r="B98" s="9">
        <v>198.34</v>
      </c>
      <c r="C98" s="12">
        <f t="shared" si="8"/>
        <v>9385.4488000000001</v>
      </c>
      <c r="D98" s="22" t="s">
        <v>44</v>
      </c>
    </row>
    <row r="99" spans="1:4" x14ac:dyDescent="0.25">
      <c r="A99" s="22" t="s">
        <v>9</v>
      </c>
      <c r="B99" s="9">
        <v>198.33</v>
      </c>
      <c r="C99" s="12">
        <f t="shared" si="8"/>
        <v>9384.9755999999998</v>
      </c>
      <c r="D99" s="22" t="s">
        <v>44</v>
      </c>
    </row>
    <row r="100" spans="1:4" x14ac:dyDescent="0.25">
      <c r="A100" s="22" t="s">
        <v>9</v>
      </c>
      <c r="B100" s="9">
        <v>125.03</v>
      </c>
      <c r="C100" s="12">
        <f t="shared" si="8"/>
        <v>5916.4196000000002</v>
      </c>
      <c r="D100" s="22" t="s">
        <v>44</v>
      </c>
    </row>
    <row r="101" spans="1:4" x14ac:dyDescent="0.25">
      <c r="A101" s="22" t="s">
        <v>9</v>
      </c>
      <c r="B101" s="9">
        <v>117</v>
      </c>
      <c r="C101" s="12">
        <f t="shared" si="8"/>
        <v>5536.44</v>
      </c>
      <c r="D101" s="22" t="s">
        <v>44</v>
      </c>
    </row>
    <row r="102" spans="1:4" x14ac:dyDescent="0.25">
      <c r="A102" s="22" t="s">
        <v>34</v>
      </c>
      <c r="B102" s="9">
        <v>198.05</v>
      </c>
      <c r="C102" s="12">
        <f t="shared" si="8"/>
        <v>9371.7260000000006</v>
      </c>
      <c r="D102" s="22" t="s">
        <v>44</v>
      </c>
    </row>
    <row r="103" spans="1:4" x14ac:dyDescent="0.25">
      <c r="A103" s="22" t="s">
        <v>34</v>
      </c>
      <c r="B103" s="9">
        <v>100.34</v>
      </c>
      <c r="C103" s="12">
        <f t="shared" si="8"/>
        <v>4748.0888000000004</v>
      </c>
      <c r="D103" s="22" t="s">
        <v>44</v>
      </c>
    </row>
    <row r="104" spans="1:4" x14ac:dyDescent="0.25">
      <c r="A104" s="22" t="s">
        <v>34</v>
      </c>
      <c r="B104" s="9">
        <v>198.31</v>
      </c>
      <c r="C104" s="12">
        <f t="shared" si="8"/>
        <v>9384.0292000000009</v>
      </c>
      <c r="D104" s="22" t="s">
        <v>44</v>
      </c>
    </row>
    <row r="105" spans="1:4" x14ac:dyDescent="0.25">
      <c r="A105" s="22" t="s">
        <v>34</v>
      </c>
      <c r="B105" s="9">
        <v>68.010000000000005</v>
      </c>
      <c r="C105" s="12">
        <f t="shared" si="8"/>
        <v>3218.2332000000001</v>
      </c>
      <c r="D105" s="22" t="s">
        <v>44</v>
      </c>
    </row>
    <row r="106" spans="1:4" x14ac:dyDescent="0.25">
      <c r="A106" s="22" t="s">
        <v>34</v>
      </c>
      <c r="B106" s="9">
        <v>150</v>
      </c>
      <c r="C106" s="12">
        <f t="shared" si="8"/>
        <v>7098</v>
      </c>
      <c r="D106" s="22" t="s">
        <v>44</v>
      </c>
    </row>
    <row r="107" spans="1:4" x14ac:dyDescent="0.25">
      <c r="A107" s="22" t="s">
        <v>34</v>
      </c>
      <c r="B107" s="9">
        <v>104.98</v>
      </c>
      <c r="C107" s="12">
        <f t="shared" si="8"/>
        <v>4967.6536000000006</v>
      </c>
      <c r="D107" s="22" t="s">
        <v>44</v>
      </c>
    </row>
    <row r="108" spans="1:4" x14ac:dyDescent="0.25">
      <c r="A108" s="22" t="s">
        <v>34</v>
      </c>
      <c r="B108" s="9">
        <v>400</v>
      </c>
      <c r="C108" s="12">
        <f t="shared" si="8"/>
        <v>18928</v>
      </c>
      <c r="D108" s="22" t="s">
        <v>44</v>
      </c>
    </row>
    <row r="109" spans="1:4" x14ac:dyDescent="0.25">
      <c r="A109" s="22" t="s">
        <v>34</v>
      </c>
      <c r="B109" s="166">
        <v>-201.94</v>
      </c>
      <c r="C109" s="12">
        <f t="shared" si="8"/>
        <v>-9555.8007999999991</v>
      </c>
      <c r="D109" s="22" t="s">
        <v>44</v>
      </c>
    </row>
    <row r="110" spans="1:4" x14ac:dyDescent="0.25">
      <c r="A110" s="22" t="s">
        <v>34</v>
      </c>
      <c r="B110" s="9">
        <v>91.01</v>
      </c>
      <c r="C110" s="12">
        <f t="shared" si="8"/>
        <v>4306.5932000000003</v>
      </c>
      <c r="D110" s="22" t="s">
        <v>44</v>
      </c>
    </row>
    <row r="111" spans="1:4" x14ac:dyDescent="0.25">
      <c r="A111" s="22" t="s">
        <v>34</v>
      </c>
      <c r="B111" s="9">
        <f>198.06-B112</f>
        <v>12.409999999999997</v>
      </c>
      <c r="C111" s="12">
        <f t="shared" si="8"/>
        <v>587.24119999999982</v>
      </c>
      <c r="D111" s="22" t="s">
        <v>44</v>
      </c>
    </row>
    <row r="112" spans="1:4" x14ac:dyDescent="0.25">
      <c r="A112" s="22" t="s">
        <v>34</v>
      </c>
      <c r="B112" s="9">
        <v>185.65</v>
      </c>
      <c r="C112" s="12">
        <f>B112*48.63</f>
        <v>9028.1595000000016</v>
      </c>
      <c r="D112" s="22" t="s">
        <v>44</v>
      </c>
    </row>
    <row r="113" spans="1:5" x14ac:dyDescent="0.25">
      <c r="A113" s="22" t="s">
        <v>34</v>
      </c>
      <c r="B113" s="9">
        <v>100.77</v>
      </c>
      <c r="C113" s="12">
        <f t="shared" ref="C113:C122" si="9">B113*48.63</f>
        <v>4900.4450999999999</v>
      </c>
      <c r="D113" s="22" t="s">
        <v>44</v>
      </c>
    </row>
    <row r="114" spans="1:5" x14ac:dyDescent="0.25">
      <c r="A114" s="22" t="s">
        <v>34</v>
      </c>
      <c r="B114" s="9">
        <v>180</v>
      </c>
      <c r="C114" s="12">
        <f t="shared" si="9"/>
        <v>8753.4</v>
      </c>
      <c r="D114" s="22" t="s">
        <v>44</v>
      </c>
    </row>
    <row r="115" spans="1:5" x14ac:dyDescent="0.25">
      <c r="A115" s="22" t="s">
        <v>34</v>
      </c>
      <c r="B115" s="9">
        <v>187.14</v>
      </c>
      <c r="C115" s="12">
        <f t="shared" si="9"/>
        <v>9100.618199999999</v>
      </c>
      <c r="D115" s="22" t="s">
        <v>44</v>
      </c>
    </row>
    <row r="116" spans="1:5" x14ac:dyDescent="0.25">
      <c r="A116" s="22" t="s">
        <v>34</v>
      </c>
      <c r="B116" s="9">
        <v>35.21</v>
      </c>
      <c r="C116" s="12">
        <f t="shared" si="9"/>
        <v>1712.2623000000001</v>
      </c>
      <c r="D116" s="22" t="s">
        <v>44</v>
      </c>
    </row>
    <row r="117" spans="1:5" x14ac:dyDescent="0.25">
      <c r="A117" s="22" t="s">
        <v>34</v>
      </c>
      <c r="B117" s="9">
        <v>178.12</v>
      </c>
      <c r="C117" s="12">
        <f t="shared" si="9"/>
        <v>8661.9756000000016</v>
      </c>
      <c r="D117" s="22" t="s">
        <v>44</v>
      </c>
    </row>
    <row r="118" spans="1:5" x14ac:dyDescent="0.25">
      <c r="A118" s="22" t="s">
        <v>34</v>
      </c>
      <c r="B118" s="9">
        <v>186.94</v>
      </c>
      <c r="C118" s="12">
        <f t="shared" si="9"/>
        <v>9090.8922000000002</v>
      </c>
      <c r="D118" s="22" t="s">
        <v>44</v>
      </c>
    </row>
    <row r="119" spans="1:5" x14ac:dyDescent="0.25">
      <c r="A119" s="22" t="s">
        <v>34</v>
      </c>
      <c r="B119" s="9">
        <v>80.73</v>
      </c>
      <c r="C119" s="12">
        <f t="shared" si="9"/>
        <v>3925.8999000000003</v>
      </c>
      <c r="D119" s="22" t="s">
        <v>44</v>
      </c>
    </row>
    <row r="120" spans="1:5" x14ac:dyDescent="0.25">
      <c r="A120" s="22" t="s">
        <v>32</v>
      </c>
      <c r="B120" s="9">
        <v>100</v>
      </c>
      <c r="C120" s="12">
        <f t="shared" si="9"/>
        <v>4863</v>
      </c>
      <c r="D120" s="22" t="s">
        <v>44</v>
      </c>
    </row>
    <row r="121" spans="1:5" x14ac:dyDescent="0.25">
      <c r="A121" s="22" t="s">
        <v>32</v>
      </c>
      <c r="B121" s="9">
        <v>160</v>
      </c>
      <c r="C121" s="12">
        <f t="shared" si="9"/>
        <v>7780.8</v>
      </c>
      <c r="D121" s="22" t="s">
        <v>44</v>
      </c>
    </row>
    <row r="122" spans="1:5" ht="15.75" thickBot="1" x14ac:dyDescent="0.3">
      <c r="A122" s="22" t="s">
        <v>32</v>
      </c>
      <c r="B122" s="9">
        <v>20</v>
      </c>
      <c r="C122" s="12">
        <f t="shared" si="9"/>
        <v>972.6</v>
      </c>
      <c r="D122" s="22" t="s">
        <v>44</v>
      </c>
    </row>
    <row r="123" spans="1:5" ht="15.75" hidden="1" thickBot="1" x14ac:dyDescent="0.3">
      <c r="A123" s="22"/>
      <c r="B123" s="9"/>
      <c r="C123" s="12">
        <f t="shared" si="8"/>
        <v>0</v>
      </c>
      <c r="D123" s="22" t="s">
        <v>44</v>
      </c>
    </row>
    <row r="124" spans="1:5" ht="15.75" hidden="1" thickBot="1" x14ac:dyDescent="0.3">
      <c r="A124" s="22"/>
      <c r="B124" s="9"/>
      <c r="C124" s="12">
        <f t="shared" si="8"/>
        <v>0</v>
      </c>
      <c r="D124" s="22" t="s">
        <v>44</v>
      </c>
    </row>
    <row r="125" spans="1:5" ht="15.75" hidden="1" thickBot="1" x14ac:dyDescent="0.3">
      <c r="A125" s="22"/>
      <c r="B125" s="9"/>
      <c r="C125" s="12">
        <f t="shared" si="8"/>
        <v>0</v>
      </c>
      <c r="D125" s="22" t="s">
        <v>44</v>
      </c>
    </row>
    <row r="126" spans="1:5" ht="15.75" thickBot="1" x14ac:dyDescent="0.3">
      <c r="A126" s="13"/>
      <c r="B126" s="14"/>
      <c r="C126" s="12">
        <f t="shared" ref="C126" si="10">B126*48.625</f>
        <v>0</v>
      </c>
      <c r="D126" s="22" t="s">
        <v>44</v>
      </c>
      <c r="E126" s="24">
        <f>SUM(C28:C126)</f>
        <v>471010.05280000018</v>
      </c>
    </row>
    <row r="127" spans="1:5" ht="15.75" thickBot="1" x14ac:dyDescent="0.3">
      <c r="A127" s="2" t="s">
        <v>5</v>
      </c>
      <c r="B127" s="3">
        <v>150</v>
      </c>
      <c r="C127" s="4">
        <v>8023.5</v>
      </c>
      <c r="D127" s="25" t="s">
        <v>45</v>
      </c>
    </row>
    <row r="128" spans="1:5" x14ac:dyDescent="0.25">
      <c r="A128" s="2" t="s">
        <v>37</v>
      </c>
      <c r="B128" s="6">
        <v>80</v>
      </c>
      <c r="C128" s="7">
        <v>4279.2</v>
      </c>
      <c r="D128" s="26" t="s">
        <v>45</v>
      </c>
    </row>
    <row r="129" spans="1:4" x14ac:dyDescent="0.25">
      <c r="A129" s="10" t="s">
        <v>10</v>
      </c>
      <c r="B129" s="6">
        <v>130</v>
      </c>
      <c r="C129" s="7">
        <v>6953.7</v>
      </c>
      <c r="D129" s="26" t="s">
        <v>45</v>
      </c>
    </row>
    <row r="130" spans="1:4" x14ac:dyDescent="0.25">
      <c r="A130" s="27" t="s">
        <v>10</v>
      </c>
      <c r="B130" s="6">
        <v>150</v>
      </c>
      <c r="C130" s="7">
        <v>8023.5</v>
      </c>
      <c r="D130" s="26" t="s">
        <v>45</v>
      </c>
    </row>
    <row r="131" spans="1:4" x14ac:dyDescent="0.25">
      <c r="A131" s="27" t="s">
        <v>10</v>
      </c>
      <c r="B131" s="6">
        <v>120</v>
      </c>
      <c r="C131" s="7">
        <v>6418.8</v>
      </c>
      <c r="D131" s="26" t="s">
        <v>45</v>
      </c>
    </row>
    <row r="132" spans="1:4" x14ac:dyDescent="0.25">
      <c r="A132" s="27" t="s">
        <v>10</v>
      </c>
      <c r="B132" s="6">
        <v>10</v>
      </c>
      <c r="C132" s="7">
        <v>534.9</v>
      </c>
      <c r="D132" s="26" t="s">
        <v>45</v>
      </c>
    </row>
    <row r="133" spans="1:4" x14ac:dyDescent="0.25">
      <c r="A133" s="27" t="s">
        <v>10</v>
      </c>
      <c r="B133" s="6">
        <v>100</v>
      </c>
      <c r="C133" s="7">
        <v>5349</v>
      </c>
      <c r="D133" s="26" t="s">
        <v>45</v>
      </c>
    </row>
    <row r="134" spans="1:4" hidden="1" x14ac:dyDescent="0.25">
      <c r="A134" s="27"/>
      <c r="B134" s="6"/>
      <c r="C134" s="7"/>
      <c r="D134" s="26" t="s">
        <v>45</v>
      </c>
    </row>
    <row r="135" spans="1:4" hidden="1" x14ac:dyDescent="0.25">
      <c r="A135" s="27"/>
      <c r="B135" s="6"/>
      <c r="C135" s="7"/>
      <c r="D135" s="26" t="s">
        <v>45</v>
      </c>
    </row>
    <row r="136" spans="1:4" hidden="1" x14ac:dyDescent="0.25">
      <c r="A136" s="27"/>
      <c r="B136" s="6"/>
      <c r="C136" s="7"/>
      <c r="D136" s="26" t="s">
        <v>45</v>
      </c>
    </row>
    <row r="137" spans="1:4" hidden="1" x14ac:dyDescent="0.25">
      <c r="A137" s="27"/>
      <c r="B137" s="6"/>
      <c r="C137" s="7"/>
      <c r="D137" s="26" t="s">
        <v>45</v>
      </c>
    </row>
    <row r="138" spans="1:4" hidden="1" x14ac:dyDescent="0.25">
      <c r="A138" s="27"/>
      <c r="B138" s="6"/>
      <c r="C138" s="7"/>
      <c r="D138" s="26" t="s">
        <v>45</v>
      </c>
    </row>
    <row r="139" spans="1:4" hidden="1" x14ac:dyDescent="0.25">
      <c r="A139" s="27"/>
      <c r="B139" s="6"/>
      <c r="C139" s="7"/>
      <c r="D139" s="26" t="s">
        <v>45</v>
      </c>
    </row>
    <row r="140" spans="1:4" hidden="1" x14ac:dyDescent="0.25">
      <c r="A140" s="27"/>
      <c r="B140" s="6"/>
      <c r="C140" s="7"/>
      <c r="D140" s="26" t="s">
        <v>45</v>
      </c>
    </row>
    <row r="141" spans="1:4" ht="15.75" thickBot="1" x14ac:dyDescent="0.3">
      <c r="A141" s="27"/>
      <c r="B141" s="6"/>
      <c r="C141" s="7"/>
      <c r="D141" s="26" t="s">
        <v>45</v>
      </c>
    </row>
    <row r="142" spans="1:4" ht="15.75" hidden="1" thickBot="1" x14ac:dyDescent="0.3">
      <c r="A142" s="27"/>
      <c r="B142" s="6"/>
      <c r="C142" s="7"/>
      <c r="D142" s="26"/>
    </row>
    <row r="143" spans="1:4" ht="15.75" hidden="1" thickBot="1" x14ac:dyDescent="0.3">
      <c r="A143" s="27"/>
      <c r="B143" s="6"/>
      <c r="C143" s="7"/>
      <c r="D143" s="26"/>
    </row>
    <row r="144" spans="1:4" ht="15.75" hidden="1" thickBot="1" x14ac:dyDescent="0.3">
      <c r="A144" s="27"/>
      <c r="B144" s="6"/>
      <c r="C144" s="7"/>
      <c r="D144" s="26"/>
    </row>
    <row r="145" spans="1:5" ht="15.75" hidden="1" thickBot="1" x14ac:dyDescent="0.3">
      <c r="A145" s="27"/>
      <c r="B145" s="6"/>
      <c r="C145" s="7"/>
      <c r="D145" s="26"/>
    </row>
    <row r="146" spans="1:5" ht="15.75" hidden="1" thickBot="1" x14ac:dyDescent="0.3">
      <c r="A146" s="27"/>
      <c r="B146" s="6"/>
      <c r="C146" s="7"/>
      <c r="D146" s="26"/>
    </row>
    <row r="147" spans="1:5" ht="15.75" hidden="1" thickBot="1" x14ac:dyDescent="0.3">
      <c r="A147" s="27"/>
      <c r="B147" s="6"/>
      <c r="C147" s="7"/>
      <c r="D147" s="26"/>
    </row>
    <row r="148" spans="1:5" ht="15.75" hidden="1" thickBot="1" x14ac:dyDescent="0.3">
      <c r="A148" s="27"/>
      <c r="B148" s="6"/>
      <c r="C148" s="7"/>
      <c r="D148" s="26"/>
    </row>
    <row r="149" spans="1:5" ht="15.75" hidden="1" thickBot="1" x14ac:dyDescent="0.3">
      <c r="A149" s="27"/>
      <c r="B149" s="6"/>
      <c r="C149" s="7"/>
      <c r="D149" s="26"/>
    </row>
    <row r="150" spans="1:5" ht="15.75" hidden="1" thickBot="1" x14ac:dyDescent="0.3">
      <c r="A150" s="27"/>
      <c r="B150" s="6"/>
      <c r="C150" s="7"/>
      <c r="D150" s="26"/>
    </row>
    <row r="151" spans="1:5" ht="15.75" hidden="1" thickBot="1" x14ac:dyDescent="0.3">
      <c r="A151" s="27"/>
      <c r="B151" s="6"/>
      <c r="C151" s="7"/>
      <c r="D151" s="26"/>
    </row>
    <row r="152" spans="1:5" ht="15.75" hidden="1" thickBot="1" x14ac:dyDescent="0.3">
      <c r="A152" s="27"/>
      <c r="B152" s="6"/>
      <c r="C152" s="7"/>
      <c r="D152" s="26"/>
    </row>
    <row r="153" spans="1:5" ht="15.75" hidden="1" thickBot="1" x14ac:dyDescent="0.3">
      <c r="A153" s="27"/>
      <c r="B153" s="6"/>
      <c r="C153" s="7"/>
      <c r="D153" s="26"/>
    </row>
    <row r="154" spans="1:5" ht="15.75" hidden="1" thickBot="1" x14ac:dyDescent="0.3">
      <c r="A154" s="27"/>
      <c r="B154" s="6"/>
      <c r="C154" s="7"/>
      <c r="D154" s="26"/>
    </row>
    <row r="155" spans="1:5" ht="15.75" hidden="1" thickBot="1" x14ac:dyDescent="0.3">
      <c r="A155" s="27"/>
      <c r="B155" s="6"/>
      <c r="C155" s="7"/>
      <c r="D155" s="26"/>
    </row>
    <row r="156" spans="1:5" ht="15.75" hidden="1" thickBot="1" x14ac:dyDescent="0.3">
      <c r="A156" s="27"/>
      <c r="B156" s="6"/>
      <c r="C156" s="7"/>
      <c r="D156" s="26"/>
    </row>
    <row r="157" spans="1:5" ht="15.75" thickBot="1" x14ac:dyDescent="0.3">
      <c r="A157" s="27"/>
      <c r="B157" s="6"/>
      <c r="C157" s="7"/>
      <c r="D157" s="28"/>
      <c r="E157" s="24">
        <f>SUM(C127:C157)</f>
        <v>39582.600000000006</v>
      </c>
    </row>
    <row r="158" spans="1:5" ht="15.75" hidden="1" outlineLevel="1" thickBot="1" x14ac:dyDescent="0.3">
      <c r="A158" s="2"/>
      <c r="B158" s="5"/>
      <c r="C158" s="29"/>
      <c r="D158" s="25" t="s">
        <v>46</v>
      </c>
    </row>
    <row r="159" spans="1:5" ht="15.75" hidden="1" outlineLevel="1" thickBot="1" x14ac:dyDescent="0.3">
      <c r="A159" s="10"/>
      <c r="B159" s="9"/>
      <c r="C159" s="12"/>
      <c r="D159" s="26" t="s">
        <v>46</v>
      </c>
    </row>
    <row r="160" spans="1:5" ht="15.75" hidden="1" outlineLevel="1" thickBot="1" x14ac:dyDescent="0.3">
      <c r="A160" s="27"/>
      <c r="B160" s="6"/>
      <c r="C160" s="8"/>
      <c r="D160" s="26" t="s">
        <v>46</v>
      </c>
    </row>
    <row r="161" spans="1:7" ht="15.75" hidden="1" outlineLevel="1" thickBot="1" x14ac:dyDescent="0.3">
      <c r="A161" s="27"/>
      <c r="B161" s="167"/>
      <c r="C161" s="168"/>
      <c r="D161" s="28" t="s">
        <v>46</v>
      </c>
      <c r="E161" s="24">
        <f>SUM(C158:C161)</f>
        <v>0</v>
      </c>
    </row>
    <row r="162" spans="1:7" collapsed="1" x14ac:dyDescent="0.25">
      <c r="A162" s="2" t="s">
        <v>8</v>
      </c>
      <c r="B162" s="5">
        <v>153.58000000000001</v>
      </c>
      <c r="C162" s="172">
        <v>7370.3</v>
      </c>
      <c r="D162" s="173" t="s">
        <v>47</v>
      </c>
    </row>
    <row r="163" spans="1:7" x14ac:dyDescent="0.25">
      <c r="A163" s="10" t="s">
        <v>33</v>
      </c>
      <c r="B163" s="9">
        <v>100</v>
      </c>
      <c r="C163" s="174">
        <v>4799</v>
      </c>
      <c r="D163" s="175" t="s">
        <v>47</v>
      </c>
    </row>
    <row r="164" spans="1:7" x14ac:dyDescent="0.25">
      <c r="A164" s="10" t="s">
        <v>33</v>
      </c>
      <c r="B164" s="9">
        <v>40</v>
      </c>
      <c r="C164" s="174">
        <v>1919.6</v>
      </c>
      <c r="D164" s="175" t="s">
        <v>47</v>
      </c>
    </row>
    <row r="165" spans="1:7" x14ac:dyDescent="0.25">
      <c r="A165" s="10" t="s">
        <v>33</v>
      </c>
      <c r="B165" s="9">
        <v>40</v>
      </c>
      <c r="C165" s="174">
        <v>1919.6</v>
      </c>
      <c r="D165" s="175" t="s">
        <v>47</v>
      </c>
    </row>
    <row r="166" spans="1:7" x14ac:dyDescent="0.25">
      <c r="A166" s="10"/>
      <c r="B166" s="9"/>
      <c r="C166" s="174"/>
      <c r="D166" s="175" t="s">
        <v>47</v>
      </c>
    </row>
    <row r="167" spans="1:7" x14ac:dyDescent="0.25">
      <c r="A167" s="10"/>
      <c r="B167" s="167"/>
      <c r="C167" s="174"/>
      <c r="D167" s="175"/>
    </row>
    <row r="168" spans="1:7" x14ac:dyDescent="0.25">
      <c r="A168" s="27"/>
      <c r="B168" s="167"/>
      <c r="C168" s="174"/>
      <c r="D168" s="175"/>
    </row>
    <row r="169" spans="1:7" x14ac:dyDescent="0.25">
      <c r="A169" s="10"/>
      <c r="B169" s="167"/>
      <c r="C169" s="174"/>
      <c r="D169" s="175"/>
    </row>
    <row r="170" spans="1:7" x14ac:dyDescent="0.25">
      <c r="A170" s="10"/>
      <c r="B170" s="167"/>
      <c r="C170" s="174"/>
      <c r="D170" s="175"/>
    </row>
    <row r="171" spans="1:7" x14ac:dyDescent="0.25">
      <c r="A171" s="27"/>
      <c r="B171" s="167"/>
      <c r="C171" s="174"/>
      <c r="D171" s="26"/>
    </row>
    <row r="172" spans="1:7" x14ac:dyDescent="0.25">
      <c r="A172" s="27"/>
      <c r="B172" s="167"/>
      <c r="C172" s="174"/>
      <c r="D172" s="26"/>
    </row>
    <row r="173" spans="1:7" ht="15.75" thickBot="1" x14ac:dyDescent="0.3">
      <c r="A173" s="27"/>
      <c r="B173" s="167"/>
      <c r="C173" s="174"/>
      <c r="D173" s="26"/>
    </row>
    <row r="174" spans="1:7" ht="15.75" thickBot="1" x14ac:dyDescent="0.3">
      <c r="A174" s="13"/>
      <c r="B174" s="14"/>
      <c r="C174" s="15"/>
      <c r="D174" s="23"/>
      <c r="E174" s="24">
        <f>SUM(C162:C174)</f>
        <v>16008.5</v>
      </c>
      <c r="G174" s="20"/>
    </row>
    <row r="175" spans="1:7" ht="15.75" thickBot="1" x14ac:dyDescent="0.3">
      <c r="A175" s="169"/>
      <c r="B175" s="170"/>
      <c r="C175" s="171"/>
      <c r="D175" s="161"/>
      <c r="E175" s="24">
        <f>SUM(C175:C175)</f>
        <v>0</v>
      </c>
      <c r="F175" s="30"/>
      <c r="G175" s="30"/>
    </row>
    <row r="176" spans="1:7" x14ac:dyDescent="0.25">
      <c r="A176" s="27" t="s">
        <v>14</v>
      </c>
      <c r="B176" s="3">
        <v>100</v>
      </c>
      <c r="C176" s="4">
        <v>4799</v>
      </c>
      <c r="D176" s="22" t="s">
        <v>82</v>
      </c>
    </row>
    <row r="177" spans="1:4" x14ac:dyDescent="0.25">
      <c r="A177" s="27" t="s">
        <v>14</v>
      </c>
      <c r="B177" s="6">
        <v>100</v>
      </c>
      <c r="C177" s="7">
        <v>4799</v>
      </c>
      <c r="D177" s="22" t="s">
        <v>82</v>
      </c>
    </row>
    <row r="178" spans="1:4" x14ac:dyDescent="0.25">
      <c r="A178" s="27" t="s">
        <v>14</v>
      </c>
      <c r="B178" s="6">
        <v>100</v>
      </c>
      <c r="C178" s="7">
        <v>4799</v>
      </c>
      <c r="D178" s="22" t="s">
        <v>82</v>
      </c>
    </row>
    <row r="179" spans="1:4" x14ac:dyDescent="0.25">
      <c r="A179" s="27" t="s">
        <v>14</v>
      </c>
      <c r="B179" s="6">
        <v>100</v>
      </c>
      <c r="C179" s="7">
        <v>4799</v>
      </c>
      <c r="D179" s="22" t="s">
        <v>82</v>
      </c>
    </row>
    <row r="180" spans="1:4" x14ac:dyDescent="0.25">
      <c r="A180" s="27" t="s">
        <v>14</v>
      </c>
      <c r="B180" s="6">
        <v>100</v>
      </c>
      <c r="C180" s="7">
        <v>4799</v>
      </c>
      <c r="D180" s="22" t="s">
        <v>82</v>
      </c>
    </row>
    <row r="181" spans="1:4" x14ac:dyDescent="0.25">
      <c r="A181" s="27" t="s">
        <v>14</v>
      </c>
      <c r="B181" s="6">
        <v>100</v>
      </c>
      <c r="C181" s="7">
        <v>4799</v>
      </c>
      <c r="D181" s="22" t="s">
        <v>82</v>
      </c>
    </row>
    <row r="182" spans="1:4" x14ac:dyDescent="0.25">
      <c r="A182" s="22" t="s">
        <v>8</v>
      </c>
      <c r="B182" s="6">
        <v>150.56</v>
      </c>
      <c r="C182" s="7">
        <v>7677.05</v>
      </c>
      <c r="D182" s="22"/>
    </row>
    <row r="183" spans="1:4" hidden="1" x14ac:dyDescent="0.25">
      <c r="A183" s="10"/>
      <c r="B183" s="6"/>
      <c r="C183" s="7"/>
      <c r="D183" s="22"/>
    </row>
    <row r="184" spans="1:4" hidden="1" x14ac:dyDescent="0.25">
      <c r="A184" s="10"/>
      <c r="B184" s="6"/>
      <c r="C184" s="7"/>
      <c r="D184" s="22"/>
    </row>
    <row r="185" spans="1:4" hidden="1" x14ac:dyDescent="0.25">
      <c r="A185" s="10"/>
      <c r="B185" s="6"/>
      <c r="C185" s="7"/>
      <c r="D185" s="22"/>
    </row>
    <row r="186" spans="1:4" hidden="1" x14ac:dyDescent="0.25">
      <c r="A186" s="10"/>
      <c r="B186" s="6"/>
      <c r="C186" s="7"/>
      <c r="D186" s="22"/>
    </row>
    <row r="187" spans="1:4" hidden="1" x14ac:dyDescent="0.25">
      <c r="A187" s="10"/>
      <c r="B187" s="6"/>
      <c r="C187" s="7"/>
      <c r="D187" s="22"/>
    </row>
    <row r="188" spans="1:4" hidden="1" x14ac:dyDescent="0.25">
      <c r="A188" s="10"/>
      <c r="B188" s="6"/>
      <c r="C188" s="7"/>
      <c r="D188" s="22"/>
    </row>
    <row r="189" spans="1:4" hidden="1" x14ac:dyDescent="0.25">
      <c r="A189" s="10"/>
      <c r="B189" s="6"/>
      <c r="C189" s="7"/>
      <c r="D189" s="22"/>
    </row>
    <row r="190" spans="1:4" hidden="1" x14ac:dyDescent="0.25">
      <c r="A190" s="10"/>
      <c r="B190" s="6"/>
      <c r="C190" s="7"/>
      <c r="D190" s="22"/>
    </row>
    <row r="191" spans="1:4" hidden="1" x14ac:dyDescent="0.25">
      <c r="A191" s="10"/>
      <c r="B191" s="6"/>
      <c r="C191" s="7"/>
      <c r="D191" s="22"/>
    </row>
    <row r="192" spans="1:4" hidden="1" x14ac:dyDescent="0.25">
      <c r="A192" s="10"/>
      <c r="B192" s="6"/>
      <c r="C192" s="7"/>
      <c r="D192" s="22"/>
    </row>
    <row r="193" spans="1:7" hidden="1" x14ac:dyDescent="0.25">
      <c r="A193" s="10"/>
      <c r="B193" s="6"/>
      <c r="C193" s="7"/>
      <c r="D193" s="22"/>
    </row>
    <row r="194" spans="1:7" hidden="1" x14ac:dyDescent="0.25">
      <c r="A194" s="10"/>
      <c r="B194" s="6"/>
      <c r="C194" s="7"/>
      <c r="D194" s="22"/>
    </row>
    <row r="195" spans="1:7" hidden="1" x14ac:dyDescent="0.25">
      <c r="A195" s="10"/>
      <c r="B195" s="6"/>
      <c r="C195" s="7"/>
      <c r="D195" s="22"/>
    </row>
    <row r="196" spans="1:7" hidden="1" x14ac:dyDescent="0.25">
      <c r="A196" s="10"/>
      <c r="B196" s="6"/>
      <c r="C196" s="7"/>
      <c r="D196" s="22"/>
    </row>
    <row r="197" spans="1:7" hidden="1" x14ac:dyDescent="0.25">
      <c r="A197" s="10"/>
      <c r="B197" s="6"/>
      <c r="C197" s="7"/>
      <c r="D197" s="22"/>
    </row>
    <row r="198" spans="1:7" hidden="1" x14ac:dyDescent="0.25">
      <c r="A198" s="10"/>
      <c r="B198" s="6"/>
      <c r="C198" s="7"/>
      <c r="D198" s="22"/>
    </row>
    <row r="199" spans="1:7" hidden="1" x14ac:dyDescent="0.25">
      <c r="A199" s="10"/>
      <c r="B199" s="6"/>
      <c r="C199" s="7"/>
      <c r="D199" s="22"/>
    </row>
    <row r="200" spans="1:7" hidden="1" x14ac:dyDescent="0.25">
      <c r="A200" s="10"/>
      <c r="B200" s="6"/>
      <c r="C200" s="7"/>
      <c r="D200" s="22"/>
    </row>
    <row r="201" spans="1:7" hidden="1" x14ac:dyDescent="0.25">
      <c r="A201" s="10"/>
      <c r="B201" s="6"/>
      <c r="C201" s="7"/>
      <c r="D201" s="22"/>
    </row>
    <row r="202" spans="1:7" ht="15.75" thickBot="1" x14ac:dyDescent="0.3">
      <c r="A202" s="10"/>
      <c r="B202" s="6"/>
      <c r="C202" s="7"/>
      <c r="D202" s="22"/>
    </row>
    <row r="203" spans="1:7" ht="15.75" thickBot="1" x14ac:dyDescent="0.3">
      <c r="A203" s="13"/>
      <c r="B203" s="14"/>
      <c r="C203" s="15"/>
      <c r="D203" s="22"/>
      <c r="E203" s="31">
        <f>SUM(C176:C203)</f>
        <v>36471.050000000003</v>
      </c>
      <c r="F203" s="30"/>
      <c r="G203" s="30"/>
    </row>
    <row r="204" spans="1:7" ht="15.75" thickBot="1" x14ac:dyDescent="0.3">
      <c r="A204" s="32"/>
      <c r="B204" s="176">
        <f>SUM(B28:B203)</f>
        <v>11738.699999999999</v>
      </c>
      <c r="C204" s="34">
        <f>SUM(C28:C203)</f>
        <v>563072.2028000002</v>
      </c>
    </row>
    <row r="205" spans="1:7" x14ac:dyDescent="0.25">
      <c r="C205" s="30"/>
    </row>
    <row r="206" spans="1:7" x14ac:dyDescent="0.25">
      <c r="C206" s="30"/>
    </row>
  </sheetData>
  <autoFilter ref="A1:P21" xr:uid="{00000000-0009-0000-0000-000007000000}"/>
  <mergeCells count="1">
    <mergeCell ref="A26:D26"/>
  </mergeCells>
  <conditionalFormatting sqref="F1:F19">
    <cfRule type="cellIs" dxfId="24" priority="1" operator="lessThan">
      <formula>0</formula>
    </cfRule>
  </conditionalFormatting>
  <conditionalFormatting sqref="I18">
    <cfRule type="cellIs" dxfId="23" priority="2" operator="greaterThanOrEqual">
      <formula>500</formula>
    </cfRule>
    <cfRule type="cellIs" dxfId="22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94"/>
  <sheetViews>
    <sheetView topLeftCell="A16" zoomScaleNormal="100" workbookViewId="0">
      <selection activeCell="Q20" sqref="Q20"/>
    </sheetView>
  </sheetViews>
  <sheetFormatPr defaultRowHeight="15" outlineLevelRow="1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customWidth="1" outlineLevel="1"/>
    <col min="14" max="15" width="13.140625" customWidth="1"/>
    <col min="16" max="16" width="11.28515625" customWidth="1" outlineLevel="1"/>
    <col min="17" max="17" width="26.28515625" customWidth="1"/>
    <col min="18" max="18" width="15.7109375" customWidth="1"/>
    <col min="19" max="19" width="9.85546875" bestFit="1" customWidth="1"/>
  </cols>
  <sheetData>
    <row r="1" spans="1:18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178" t="s">
        <v>95</v>
      </c>
      <c r="P1" s="178" t="s">
        <v>89</v>
      </c>
      <c r="Q1" s="42" t="s">
        <v>4</v>
      </c>
    </row>
    <row r="2" spans="1:18" ht="15.75" hidden="1" thickBot="1" x14ac:dyDescent="0.3">
      <c r="A2" s="43" t="s">
        <v>29</v>
      </c>
      <c r="B2" s="44">
        <v>45474</v>
      </c>
      <c r="C2" s="45"/>
      <c r="D2" s="46">
        <f t="shared" ref="D2:D19" si="0">SUMIF($A$30:$A$191,A2,$B$30:$B$191)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VLOOKUP(A2,[4]Тарас!$C$4:$P$23,14,0)</f>
        <v>3.4</v>
      </c>
      <c r="N2" s="50"/>
      <c r="O2" s="190"/>
      <c r="P2" s="48">
        <f>194.94*I2</f>
        <v>0</v>
      </c>
      <c r="Q2" s="48"/>
    </row>
    <row r="3" spans="1:18" s="11" customFormat="1" x14ac:dyDescent="0.25">
      <c r="A3" s="191" t="s">
        <v>30</v>
      </c>
      <c r="B3" s="192">
        <v>45627</v>
      </c>
      <c r="C3" s="200">
        <f>'Топливо Ноябрь  2024 '!E3</f>
        <v>80</v>
      </c>
      <c r="D3" s="194">
        <f t="shared" si="0"/>
        <v>760</v>
      </c>
      <c r="E3" s="193">
        <v>30</v>
      </c>
      <c r="F3" s="236">
        <f>C3+D3-E3</f>
        <v>810</v>
      </c>
      <c r="G3" s="212">
        <f>'Топливо Ноябрь  2024 '!H3</f>
        <v>11154</v>
      </c>
      <c r="H3" s="197"/>
      <c r="I3" s="198">
        <f>L3*0.65</f>
        <v>115.7</v>
      </c>
      <c r="J3" s="199"/>
      <c r="K3" s="199"/>
      <c r="L3" s="199">
        <v>178</v>
      </c>
      <c r="M3" s="200">
        <v>4.7300000000000004</v>
      </c>
      <c r="N3" s="221">
        <f>F3/I3</f>
        <v>7.0008643042350904</v>
      </c>
      <c r="O3" s="222"/>
      <c r="P3" s="209"/>
      <c r="Q3" s="223" t="s">
        <v>52</v>
      </c>
    </row>
    <row r="4" spans="1:18" x14ac:dyDescent="0.25">
      <c r="A4" s="206" t="s">
        <v>10</v>
      </c>
      <c r="B4" s="192">
        <v>45627</v>
      </c>
      <c r="C4" s="200">
        <f>'Топливо Ноябрь  2024 '!E4</f>
        <v>30</v>
      </c>
      <c r="D4" s="194">
        <f t="shared" si="0"/>
        <v>540</v>
      </c>
      <c r="E4" s="207">
        <v>50</v>
      </c>
      <c r="F4" s="236">
        <f>C4+D4-E4</f>
        <v>520</v>
      </c>
      <c r="G4" s="212">
        <f>'Топливо Ноябрь  2024 '!H4</f>
        <v>10160</v>
      </c>
      <c r="H4" s="198">
        <v>10288</v>
      </c>
      <c r="I4" s="198">
        <f t="shared" ref="I4:I16" si="1">H4-G4</f>
        <v>128</v>
      </c>
      <c r="J4" s="200">
        <v>0</v>
      </c>
      <c r="K4" s="200"/>
      <c r="L4" s="200">
        <v>131</v>
      </c>
      <c r="M4" s="200">
        <v>4.7300000000000004</v>
      </c>
      <c r="N4" s="201">
        <f>F4/I4</f>
        <v>4.0625</v>
      </c>
      <c r="O4" s="202"/>
      <c r="P4" s="203"/>
      <c r="Q4" s="204"/>
      <c r="R4" s="102"/>
    </row>
    <row r="5" spans="1:18" s="11" customFormat="1" ht="43.9" customHeight="1" x14ac:dyDescent="0.25">
      <c r="A5" s="206" t="s">
        <v>11</v>
      </c>
      <c r="B5" s="192">
        <v>45627</v>
      </c>
      <c r="C5" s="200">
        <f>'Топливо Ноябрь  2024 '!E5</f>
        <v>65</v>
      </c>
      <c r="D5" s="194">
        <f t="shared" si="0"/>
        <v>552</v>
      </c>
      <c r="E5" s="207">
        <v>70</v>
      </c>
      <c r="F5" s="236">
        <f t="shared" ref="F5:F17" si="2">C5+D5-E5</f>
        <v>547</v>
      </c>
      <c r="G5" s="212">
        <f>'Топливо Ноябрь  2024 '!H5</f>
        <v>7961</v>
      </c>
      <c r="H5" s="198">
        <v>8064</v>
      </c>
      <c r="I5" s="198">
        <f t="shared" si="1"/>
        <v>103</v>
      </c>
      <c r="J5" s="200">
        <v>0</v>
      </c>
      <c r="K5" s="200"/>
      <c r="L5" s="200">
        <v>123</v>
      </c>
      <c r="M5" s="200">
        <v>4.7300000000000004</v>
      </c>
      <c r="N5" s="221">
        <f>F5/I5</f>
        <v>5.3106796116504853</v>
      </c>
      <c r="O5" s="222">
        <f>N5-M5</f>
        <v>0.58067961165048487</v>
      </c>
      <c r="P5" s="209">
        <f t="shared" ref="P5:P18" si="3">(I5*O5*$K$25)</f>
        <v>2945.747929492919</v>
      </c>
      <c r="Q5" s="208"/>
    </row>
    <row r="6" spans="1:18" x14ac:dyDescent="0.25">
      <c r="A6" s="206" t="s">
        <v>32</v>
      </c>
      <c r="B6" s="192">
        <v>45627</v>
      </c>
      <c r="C6" s="200">
        <f>'Топливо Ноябрь  2024 '!E6</f>
        <v>40</v>
      </c>
      <c r="D6" s="194">
        <f t="shared" si="0"/>
        <v>380</v>
      </c>
      <c r="E6" s="207">
        <v>65</v>
      </c>
      <c r="F6" s="236">
        <f t="shared" si="2"/>
        <v>355</v>
      </c>
      <c r="G6" s="212">
        <f>'Топливо Ноябрь  2024 '!H6</f>
        <v>5089</v>
      </c>
      <c r="H6" s="198">
        <v>5152</v>
      </c>
      <c r="I6" s="198">
        <f>H6-G6</f>
        <v>63</v>
      </c>
      <c r="J6" s="200">
        <v>0</v>
      </c>
      <c r="K6" s="200"/>
      <c r="L6" s="200">
        <v>148</v>
      </c>
      <c r="M6" s="200">
        <v>5</v>
      </c>
      <c r="N6" s="221">
        <f t="shared" ref="N6:N16" si="4">F6/I6</f>
        <v>5.6349206349206353</v>
      </c>
      <c r="O6" s="222">
        <f>N6-M6</f>
        <v>0.63492063492063533</v>
      </c>
      <c r="P6" s="209">
        <f t="shared" ref="P6" si="5">(I6*O6*$K$25)</f>
        <v>1970.0705096090444</v>
      </c>
      <c r="Q6" s="204"/>
    </row>
    <row r="7" spans="1:18" s="11" customFormat="1" x14ac:dyDescent="0.25">
      <c r="A7" s="206" t="s">
        <v>33</v>
      </c>
      <c r="B7" s="192">
        <v>45627</v>
      </c>
      <c r="C7" s="200">
        <f>'Топливо Ноябрь  2024 '!E7</f>
        <v>50</v>
      </c>
      <c r="D7" s="194">
        <f t="shared" si="0"/>
        <v>39.590000000000003</v>
      </c>
      <c r="E7" s="207">
        <v>20</v>
      </c>
      <c r="F7" s="236">
        <f t="shared" si="2"/>
        <v>69.59</v>
      </c>
      <c r="G7" s="212">
        <f>'Топливо Ноябрь  2024 '!H7</f>
        <v>10529</v>
      </c>
      <c r="H7" s="198">
        <v>10566</v>
      </c>
      <c r="I7" s="198">
        <f>H7-G7</f>
        <v>37</v>
      </c>
      <c r="J7" s="200">
        <v>0</v>
      </c>
      <c r="K7" s="200"/>
      <c r="L7" s="200">
        <v>10</v>
      </c>
      <c r="M7" s="200">
        <v>3.8</v>
      </c>
      <c r="N7" s="201">
        <f>F7/I7</f>
        <v>1.8808108108108108</v>
      </c>
      <c r="O7" s="222"/>
      <c r="P7" s="209"/>
      <c r="Q7" s="208"/>
    </row>
    <row r="8" spans="1:18" x14ac:dyDescent="0.25">
      <c r="A8" s="206" t="s">
        <v>12</v>
      </c>
      <c r="B8" s="192">
        <v>45627</v>
      </c>
      <c r="C8" s="200">
        <f>'Топливо Ноябрь  2024 '!E8</f>
        <v>10</v>
      </c>
      <c r="D8" s="194">
        <f t="shared" si="0"/>
        <v>840</v>
      </c>
      <c r="E8" s="207">
        <v>15</v>
      </c>
      <c r="F8" s="236">
        <f>C8+D8-E8</f>
        <v>835</v>
      </c>
      <c r="G8" s="212">
        <f>'Топливо Ноябрь  2024 '!H8</f>
        <v>18186</v>
      </c>
      <c r="H8" s="198">
        <v>18366</v>
      </c>
      <c r="I8" s="198">
        <f>H8-G8</f>
        <v>180</v>
      </c>
      <c r="J8" s="200">
        <v>0</v>
      </c>
      <c r="K8" s="200"/>
      <c r="L8" s="200">
        <v>184</v>
      </c>
      <c r="M8" s="200">
        <v>4.3499999999999996</v>
      </c>
      <c r="N8" s="221">
        <f t="shared" si="4"/>
        <v>4.6388888888888893</v>
      </c>
      <c r="O8" s="222">
        <f t="shared" ref="O8:O9" si="6">N8-M8</f>
        <v>0.28888888888888964</v>
      </c>
      <c r="P8" s="209">
        <f t="shared" si="3"/>
        <v>2561.0916624917627</v>
      </c>
      <c r="Q8" s="204"/>
    </row>
    <row r="9" spans="1:18" s="11" customFormat="1" x14ac:dyDescent="0.25">
      <c r="A9" s="206" t="s">
        <v>14</v>
      </c>
      <c r="B9" s="192">
        <v>45627</v>
      </c>
      <c r="C9" s="200">
        <f>'Топливо Ноябрь  2024 '!E9</f>
        <v>65</v>
      </c>
      <c r="D9" s="194">
        <f t="shared" si="0"/>
        <v>400</v>
      </c>
      <c r="E9" s="207">
        <v>30</v>
      </c>
      <c r="F9" s="236">
        <f>C9+D9-E9</f>
        <v>435</v>
      </c>
      <c r="G9" s="212">
        <f>'Топливо Ноябрь  2024 '!H9</f>
        <v>108</v>
      </c>
      <c r="H9" s="198">
        <v>191</v>
      </c>
      <c r="I9" s="198">
        <f>H9-G9</f>
        <v>83</v>
      </c>
      <c r="J9" s="200">
        <v>0</v>
      </c>
      <c r="K9" s="200"/>
      <c r="L9" s="200">
        <v>113</v>
      </c>
      <c r="M9" s="200">
        <v>4.3499999999999996</v>
      </c>
      <c r="N9" s="221">
        <f t="shared" si="4"/>
        <v>5.2409638554216871</v>
      </c>
      <c r="O9" s="222">
        <f t="shared" si="6"/>
        <v>0.89096385542168743</v>
      </c>
      <c r="P9" s="209">
        <f t="shared" si="3"/>
        <v>3642.1678546397216</v>
      </c>
      <c r="Q9" s="208"/>
    </row>
    <row r="10" spans="1:18" x14ac:dyDescent="0.25">
      <c r="A10" s="206" t="s">
        <v>13</v>
      </c>
      <c r="B10" s="192">
        <v>45627</v>
      </c>
      <c r="C10" s="200">
        <f>'Топливо Ноябрь  2024 '!E10</f>
        <v>25</v>
      </c>
      <c r="D10" s="194">
        <f t="shared" si="0"/>
        <v>820</v>
      </c>
      <c r="E10" s="207">
        <v>100</v>
      </c>
      <c r="F10" s="236">
        <f t="shared" si="2"/>
        <v>745</v>
      </c>
      <c r="G10" s="212">
        <f>'Топливо Ноябрь  2024 '!H10</f>
        <v>12463</v>
      </c>
      <c r="H10" s="198">
        <v>12628</v>
      </c>
      <c r="I10" s="198">
        <f t="shared" si="1"/>
        <v>165</v>
      </c>
      <c r="J10" s="200">
        <v>0</v>
      </c>
      <c r="K10" s="200"/>
      <c r="L10" s="200">
        <v>178</v>
      </c>
      <c r="M10" s="200">
        <v>4.3499999999999996</v>
      </c>
      <c r="N10" s="221">
        <f t="shared" si="4"/>
        <v>4.5151515151515156</v>
      </c>
      <c r="O10" s="222">
        <f t="shared" ref="O10" si="7">N10-M10</f>
        <v>0.16515151515151594</v>
      </c>
      <c r="P10" s="209">
        <f t="shared" ref="P10" si="8">(I10*O10*$K$25)</f>
        <v>1342.110534671167</v>
      </c>
      <c r="Q10" s="204"/>
    </row>
    <row r="11" spans="1:18" x14ac:dyDescent="0.25">
      <c r="A11" s="206" t="s">
        <v>34</v>
      </c>
      <c r="B11" s="192">
        <v>45627</v>
      </c>
      <c r="C11" s="200">
        <f>'Топливо Ноябрь  2024 '!E11</f>
        <v>504</v>
      </c>
      <c r="D11" s="194">
        <f t="shared" si="0"/>
        <v>0</v>
      </c>
      <c r="E11" s="207">
        <v>460</v>
      </c>
      <c r="F11" s="236">
        <f t="shared" si="2"/>
        <v>44</v>
      </c>
      <c r="G11" s="212">
        <f>'Топливо Ноябрь  2024 '!H11</f>
        <v>7748</v>
      </c>
      <c r="H11" s="198">
        <v>7753</v>
      </c>
      <c r="I11" s="198">
        <f>H11-G11</f>
        <v>5</v>
      </c>
      <c r="J11" s="200">
        <v>0</v>
      </c>
      <c r="K11" s="200"/>
      <c r="L11" s="200">
        <v>4</v>
      </c>
      <c r="M11" s="200">
        <v>10.5</v>
      </c>
      <c r="N11" s="201">
        <f t="shared" si="4"/>
        <v>8.8000000000000007</v>
      </c>
      <c r="O11" s="222"/>
      <c r="P11" s="209"/>
      <c r="Q11" s="204"/>
      <c r="R11" s="11"/>
    </row>
    <row r="12" spans="1:18" x14ac:dyDescent="0.25">
      <c r="A12" s="206" t="s">
        <v>35</v>
      </c>
      <c r="B12" s="192">
        <v>45627</v>
      </c>
      <c r="C12" s="200">
        <f>'Топливо Ноябрь  2024 '!E12</f>
        <v>150</v>
      </c>
      <c r="D12" s="194">
        <f t="shared" si="0"/>
        <v>300</v>
      </c>
      <c r="E12" s="207">
        <v>150</v>
      </c>
      <c r="F12" s="236">
        <f t="shared" si="2"/>
        <v>300</v>
      </c>
      <c r="G12" s="212">
        <f>'Топливо Ноябрь  2024 '!H12</f>
        <v>33919</v>
      </c>
      <c r="H12" s="198">
        <v>34232</v>
      </c>
      <c r="I12" s="198">
        <f t="shared" si="1"/>
        <v>313</v>
      </c>
      <c r="J12" s="200">
        <v>0</v>
      </c>
      <c r="K12" s="200"/>
      <c r="L12" s="200">
        <v>163</v>
      </c>
      <c r="M12" s="200">
        <v>0.9</v>
      </c>
      <c r="N12" s="221">
        <f t="shared" si="4"/>
        <v>0.95846645367412142</v>
      </c>
      <c r="O12" s="222">
        <f>N12-M12</f>
        <v>5.8466453674121399E-2</v>
      </c>
      <c r="P12" s="209">
        <f>(I12*O12*$K$25)</f>
        <v>901.30725814613709</v>
      </c>
      <c r="Q12" s="204"/>
    </row>
    <row r="13" spans="1:18" x14ac:dyDescent="0.25">
      <c r="A13" s="206" t="s">
        <v>7</v>
      </c>
      <c r="B13" s="192">
        <v>45627</v>
      </c>
      <c r="C13" s="200">
        <f>'Топливо Ноябрь  2024 '!E13</f>
        <v>90</v>
      </c>
      <c r="D13" s="194">
        <f t="shared" si="0"/>
        <v>620.08000000000004</v>
      </c>
      <c r="E13" s="207">
        <v>180</v>
      </c>
      <c r="F13" s="236">
        <f t="shared" si="2"/>
        <v>530.08000000000004</v>
      </c>
      <c r="G13" s="212">
        <f>'Топливо Ноябрь  2024 '!H13</f>
        <v>38912</v>
      </c>
      <c r="H13" s="198">
        <v>39170</v>
      </c>
      <c r="I13" s="198">
        <f>H13-G13</f>
        <v>258</v>
      </c>
      <c r="J13" s="200">
        <v>0</v>
      </c>
      <c r="K13" s="200"/>
      <c r="L13" s="200">
        <v>177</v>
      </c>
      <c r="M13" s="200">
        <v>0.9</v>
      </c>
      <c r="N13" s="221">
        <f>F13/I13</f>
        <v>2.054573643410853</v>
      </c>
      <c r="O13" s="222">
        <f>N13-M13</f>
        <v>1.1545736434108531</v>
      </c>
      <c r="P13" s="209">
        <f t="shared" si="3"/>
        <v>14671.115085058549</v>
      </c>
      <c r="Q13" s="204"/>
    </row>
    <row r="14" spans="1:18" x14ac:dyDescent="0.25">
      <c r="A14" s="206" t="s">
        <v>8</v>
      </c>
      <c r="B14" s="192">
        <v>45627</v>
      </c>
      <c r="C14" s="200">
        <f>'Топливо Ноябрь  2024 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Ноябрь  2024 '!H14</f>
        <v>560741</v>
      </c>
      <c r="H14" s="198">
        <v>560741</v>
      </c>
      <c r="I14" s="198">
        <f t="shared" si="1"/>
        <v>0</v>
      </c>
      <c r="J14" s="200">
        <v>0</v>
      </c>
      <c r="K14" s="200"/>
      <c r="L14" s="200">
        <v>0</v>
      </c>
      <c r="M14" s="200">
        <v>0.9</v>
      </c>
      <c r="N14" s="201"/>
      <c r="O14" s="202"/>
      <c r="P14" s="203"/>
      <c r="Q14" s="204"/>
    </row>
    <row r="15" spans="1:18" x14ac:dyDescent="0.25">
      <c r="A15" s="206" t="s">
        <v>9</v>
      </c>
      <c r="B15" s="192">
        <v>45627</v>
      </c>
      <c r="C15" s="200">
        <f>'Топливо Ноябрь  2024 '!E15</f>
        <v>150</v>
      </c>
      <c r="D15" s="194">
        <f t="shared" si="0"/>
        <v>2548.12</v>
      </c>
      <c r="E15" s="207">
        <v>150</v>
      </c>
      <c r="F15" s="236">
        <f>C15+D15-E15</f>
        <v>2548.12</v>
      </c>
      <c r="G15" s="212">
        <f>'Топливо Ноябрь  2024 '!H15</f>
        <v>70234</v>
      </c>
      <c r="H15" s="198">
        <v>74896</v>
      </c>
      <c r="I15" s="198">
        <f t="shared" si="1"/>
        <v>4662</v>
      </c>
      <c r="J15" s="200">
        <v>0</v>
      </c>
      <c r="K15" s="200"/>
      <c r="L15" s="200">
        <v>192</v>
      </c>
      <c r="M15" s="200">
        <v>0.9</v>
      </c>
      <c r="N15" s="201">
        <f t="shared" si="4"/>
        <v>0.54657228657228651</v>
      </c>
      <c r="O15" s="222"/>
      <c r="P15" s="209"/>
      <c r="Q15" s="204"/>
      <c r="R15" s="11"/>
    </row>
    <row r="16" spans="1:18" x14ac:dyDescent="0.25">
      <c r="A16" s="206" t="s">
        <v>60</v>
      </c>
      <c r="B16" s="192">
        <v>45627</v>
      </c>
      <c r="C16" s="200">
        <f>'Топливо Ноябрь  2024 '!E16</f>
        <v>60</v>
      </c>
      <c r="D16" s="194">
        <f t="shared" si="0"/>
        <v>2172.5500000000002</v>
      </c>
      <c r="E16" s="207">
        <v>150</v>
      </c>
      <c r="F16" s="236">
        <f t="shared" si="2"/>
        <v>2082.5500000000002</v>
      </c>
      <c r="G16" s="212">
        <f>'Топливо Ноябрь  2024 '!H16</f>
        <v>67635</v>
      </c>
      <c r="H16" s="198">
        <v>71598</v>
      </c>
      <c r="I16" s="198">
        <f t="shared" si="1"/>
        <v>3963</v>
      </c>
      <c r="J16" s="200">
        <v>0</v>
      </c>
      <c r="K16" s="200"/>
      <c r="L16" s="200">
        <v>168</v>
      </c>
      <c r="M16" s="200">
        <v>0.9</v>
      </c>
      <c r="N16" s="201">
        <f t="shared" si="4"/>
        <v>0.52549835982841286</v>
      </c>
      <c r="O16" s="222"/>
      <c r="P16" s="209"/>
      <c r="Q16" s="204"/>
      <c r="R16" s="11"/>
    </row>
    <row r="17" spans="1:18" x14ac:dyDescent="0.25">
      <c r="A17" s="210" t="s">
        <v>37</v>
      </c>
      <c r="B17" s="192">
        <v>45627</v>
      </c>
      <c r="C17" s="200">
        <f>'Топливо Ноябрь  2024 '!E17</f>
        <v>40</v>
      </c>
      <c r="D17" s="194">
        <f t="shared" si="0"/>
        <v>1160</v>
      </c>
      <c r="E17" s="207">
        <v>110</v>
      </c>
      <c r="F17" s="236">
        <f t="shared" si="2"/>
        <v>1090</v>
      </c>
      <c r="G17" s="212">
        <f>'Топливо Ноябрь  2024 '!H17</f>
        <v>0</v>
      </c>
      <c r="H17" s="198"/>
      <c r="I17" s="198">
        <f>L17*0.7</f>
        <v>111.3</v>
      </c>
      <c r="J17" s="200">
        <v>0</v>
      </c>
      <c r="K17" s="200"/>
      <c r="L17" s="200">
        <v>159</v>
      </c>
      <c r="M17" s="200">
        <v>5.0999999999999996</v>
      </c>
      <c r="N17" s="221">
        <f>F17/I17</f>
        <v>9.7933513027852648</v>
      </c>
      <c r="O17" s="222"/>
      <c r="P17" s="209"/>
      <c r="Q17" s="223" t="s">
        <v>52</v>
      </c>
      <c r="R17" s="11"/>
    </row>
    <row r="18" spans="1:18" x14ac:dyDescent="0.25">
      <c r="A18" s="206" t="s">
        <v>5</v>
      </c>
      <c r="B18" s="192">
        <v>45627</v>
      </c>
      <c r="C18" s="200">
        <f>'Топливо Ноябрь  2024 '!E18</f>
        <v>40</v>
      </c>
      <c r="D18" s="194">
        <f t="shared" si="0"/>
        <v>544.20000000000005</v>
      </c>
      <c r="E18" s="207">
        <v>100</v>
      </c>
      <c r="F18" s="237">
        <f>C18+D18-E18</f>
        <v>484.20000000000005</v>
      </c>
      <c r="G18" s="212">
        <f>'Топливо Ноябрь  2024 '!H18</f>
        <v>6257</v>
      </c>
      <c r="H18" s="198">
        <v>6326</v>
      </c>
      <c r="I18" s="212">
        <f>H18-G18</f>
        <v>69</v>
      </c>
      <c r="J18" s="200">
        <v>0</v>
      </c>
      <c r="K18" s="200">
        <v>242</v>
      </c>
      <c r="L18" s="200">
        <v>178</v>
      </c>
      <c r="M18" s="200">
        <v>4.07</v>
      </c>
      <c r="N18" s="221">
        <f>(F18-(0.4*K18))/I18</f>
        <v>5.614492753623189</v>
      </c>
      <c r="O18" s="222">
        <f>N18-M18</f>
        <v>1.5444927536231887</v>
      </c>
      <c r="P18" s="209">
        <f t="shared" si="3"/>
        <v>5248.7603552258943</v>
      </c>
      <c r="Q18" s="204" t="s">
        <v>104</v>
      </c>
      <c r="R18" s="11"/>
    </row>
    <row r="19" spans="1:18" ht="15.75" thickBot="1" x14ac:dyDescent="0.3">
      <c r="A19" s="240" t="s">
        <v>6</v>
      </c>
      <c r="B19" s="241">
        <v>45627</v>
      </c>
      <c r="C19" s="239">
        <f>'Топливо Ноябрь  2024 '!E19</f>
        <v>190</v>
      </c>
      <c r="D19" s="238">
        <f t="shared" si="0"/>
        <v>180</v>
      </c>
      <c r="E19" s="239">
        <v>40</v>
      </c>
      <c r="F19" s="242">
        <f>C19+D19-E19</f>
        <v>330</v>
      </c>
      <c r="G19" s="243">
        <f>'Топливо Ноябрь  2024 '!H19</f>
        <v>0</v>
      </c>
      <c r="H19" s="243">
        <v>32</v>
      </c>
      <c r="I19" s="243">
        <f>H19-G19</f>
        <v>32</v>
      </c>
      <c r="J19" s="239">
        <v>0</v>
      </c>
      <c r="K19" s="244"/>
      <c r="L19" s="239">
        <v>71</v>
      </c>
      <c r="M19" s="239">
        <v>2.9</v>
      </c>
      <c r="N19" s="245">
        <f>F19/I19</f>
        <v>10.3125</v>
      </c>
      <c r="O19" s="246">
        <f>N19-M19</f>
        <v>7.4124999999999996</v>
      </c>
      <c r="P19" s="247">
        <f t="shared" ref="P19" si="9">(I19*O19*$K$25)</f>
        <v>11682.518121981624</v>
      </c>
      <c r="Q19" s="248"/>
    </row>
    <row r="20" spans="1:18" x14ac:dyDescent="0.25">
      <c r="A20" s="191" t="s">
        <v>105</v>
      </c>
      <c r="B20" s="254">
        <v>45627</v>
      </c>
      <c r="C20" s="199"/>
      <c r="D20" s="255"/>
      <c r="E20" s="199"/>
      <c r="F20" s="255">
        <v>2960</v>
      </c>
      <c r="G20" s="251"/>
      <c r="H20" s="251"/>
      <c r="I20" s="251">
        <v>8661</v>
      </c>
      <c r="J20" s="199"/>
      <c r="K20" s="199"/>
      <c r="L20" s="199"/>
      <c r="M20" s="199">
        <v>0.32</v>
      </c>
      <c r="N20" s="256">
        <f>F20/I20</f>
        <v>0.34176192125620597</v>
      </c>
      <c r="O20" s="256">
        <f>N20-M20</f>
        <v>2.1761921256205963E-2</v>
      </c>
      <c r="P20" s="257">
        <f>0.02*I20*48.18</f>
        <v>8345.7396000000008</v>
      </c>
      <c r="Q20" s="258" t="s">
        <v>106</v>
      </c>
      <c r="R20" s="11"/>
    </row>
    <row r="21" spans="1:18" ht="15.75" thickBot="1" x14ac:dyDescent="0.3">
      <c r="A21" s="213" t="s">
        <v>107</v>
      </c>
      <c r="B21" s="253">
        <v>45627</v>
      </c>
      <c r="C21" s="214"/>
      <c r="D21" s="215"/>
      <c r="E21" s="214"/>
      <c r="F21" s="215">
        <v>1556</v>
      </c>
      <c r="G21" s="218"/>
      <c r="H21" s="218"/>
      <c r="I21" s="218">
        <v>4319</v>
      </c>
      <c r="J21" s="214"/>
      <c r="K21" s="214"/>
      <c r="L21" s="214"/>
      <c r="M21" s="214">
        <v>0.32</v>
      </c>
      <c r="N21" s="252">
        <f>F21/I21</f>
        <v>0.36026858068997453</v>
      </c>
      <c r="O21" s="252">
        <f>N21-M21</f>
        <v>4.026858068997452E-2</v>
      </c>
      <c r="P21" s="259">
        <f>0.04*I21*48.18</f>
        <v>8323.5767999999989</v>
      </c>
      <c r="Q21" s="260" t="s">
        <v>106</v>
      </c>
      <c r="R21" s="11"/>
    </row>
    <row r="22" spans="1:18" x14ac:dyDescent="0.25">
      <c r="A22" s="51"/>
      <c r="B22" s="51"/>
      <c r="C22" s="249">
        <f>SUM(C3:C19)</f>
        <v>1869</v>
      </c>
      <c r="D22" s="250">
        <f>SUM(D2:D19)</f>
        <v>11856.54</v>
      </c>
      <c r="E22" s="249">
        <f>SUM(E2:E19)</f>
        <v>2000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233">
        <f>SUM(P3:P19)</f>
        <v>44964.889311316816</v>
      </c>
      <c r="Q22" s="51"/>
    </row>
    <row r="23" spans="1:18" x14ac:dyDescent="0.25">
      <c r="A23" s="51"/>
      <c r="B23" s="51"/>
      <c r="C23" s="51"/>
      <c r="D23" s="106">
        <f>D22-B192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5" spans="1:18" x14ac:dyDescent="0.25">
      <c r="D25" s="17"/>
      <c r="J25" s="18" t="s">
        <v>39</v>
      </c>
      <c r="K25" s="19">
        <f>SUM(C30:C191)/B192</f>
        <v>49.251762740226077</v>
      </c>
    </row>
    <row r="26" spans="1:18" x14ac:dyDescent="0.25">
      <c r="N26" s="17"/>
    </row>
    <row r="27" spans="1:18" x14ac:dyDescent="0.25">
      <c r="H27" s="20"/>
    </row>
    <row r="28" spans="1:18" x14ac:dyDescent="0.25">
      <c r="A28" s="487" t="s">
        <v>40</v>
      </c>
      <c r="B28" s="487"/>
      <c r="C28" s="487"/>
      <c r="D28" s="487"/>
    </row>
    <row r="29" spans="1:18" ht="15.75" thickBot="1" x14ac:dyDescent="0.3">
      <c r="A29" s="21" t="s">
        <v>15</v>
      </c>
      <c r="B29" s="21" t="s">
        <v>41</v>
      </c>
      <c r="C29" s="21" t="s">
        <v>42</v>
      </c>
      <c r="D29" s="21" t="s">
        <v>43</v>
      </c>
    </row>
    <row r="30" spans="1:18" x14ac:dyDescent="0.25">
      <c r="A30" s="10" t="s">
        <v>37</v>
      </c>
      <c r="B30" s="163">
        <v>100</v>
      </c>
      <c r="C30" s="12">
        <f>B30*$E$30</f>
        <v>4883.1428571428569</v>
      </c>
      <c r="D30" s="22" t="s">
        <v>44</v>
      </c>
      <c r="E30" s="234">
        <v>48.831428571428567</v>
      </c>
    </row>
    <row r="31" spans="1:18" x14ac:dyDescent="0.25">
      <c r="A31" s="10" t="s">
        <v>37</v>
      </c>
      <c r="B31" s="164">
        <v>100</v>
      </c>
      <c r="C31" s="12">
        <f t="shared" ref="C31:C94" si="10">B31*$E$30</f>
        <v>4883.1428571428569</v>
      </c>
      <c r="D31" s="22" t="s">
        <v>44</v>
      </c>
      <c r="E31" s="22"/>
    </row>
    <row r="32" spans="1:18" x14ac:dyDescent="0.25">
      <c r="A32" s="10" t="s">
        <v>37</v>
      </c>
      <c r="B32" s="164">
        <v>100</v>
      </c>
      <c r="C32" s="12">
        <f t="shared" si="10"/>
        <v>4883.1428571428569</v>
      </c>
      <c r="D32" s="22" t="s">
        <v>44</v>
      </c>
      <c r="E32" s="22"/>
    </row>
    <row r="33" spans="1:5" x14ac:dyDescent="0.25">
      <c r="A33" s="10" t="s">
        <v>37</v>
      </c>
      <c r="B33" s="164">
        <v>100</v>
      </c>
      <c r="C33" s="12">
        <f t="shared" si="10"/>
        <v>4883.1428571428569</v>
      </c>
      <c r="D33" s="22" t="s">
        <v>44</v>
      </c>
      <c r="E33" s="22"/>
    </row>
    <row r="34" spans="1:5" x14ac:dyDescent="0.25">
      <c r="A34" s="10" t="s">
        <v>37</v>
      </c>
      <c r="B34" s="164">
        <v>100</v>
      </c>
      <c r="C34" s="12">
        <f t="shared" si="10"/>
        <v>4883.1428571428569</v>
      </c>
      <c r="D34" s="22" t="s">
        <v>44</v>
      </c>
      <c r="E34" s="22"/>
    </row>
    <row r="35" spans="1:5" x14ac:dyDescent="0.25">
      <c r="A35" s="10" t="s">
        <v>37</v>
      </c>
      <c r="B35" s="164">
        <v>100.02</v>
      </c>
      <c r="C35" s="12">
        <f t="shared" si="10"/>
        <v>4884.1194857142855</v>
      </c>
      <c r="D35" s="22" t="s">
        <v>44</v>
      </c>
      <c r="E35" s="22"/>
    </row>
    <row r="36" spans="1:5" x14ac:dyDescent="0.25">
      <c r="A36" s="10" t="s">
        <v>37</v>
      </c>
      <c r="B36" s="164">
        <v>99.98</v>
      </c>
      <c r="C36" s="12">
        <f t="shared" si="10"/>
        <v>4882.1662285714283</v>
      </c>
      <c r="D36" s="22" t="s">
        <v>44</v>
      </c>
      <c r="E36" s="22"/>
    </row>
    <row r="37" spans="1:5" x14ac:dyDescent="0.25">
      <c r="A37" s="10" t="s">
        <v>37</v>
      </c>
      <c r="B37" s="164">
        <v>100</v>
      </c>
      <c r="C37" s="12">
        <f t="shared" si="10"/>
        <v>4883.1428571428569</v>
      </c>
      <c r="D37" s="22" t="s">
        <v>44</v>
      </c>
      <c r="E37" s="22"/>
    </row>
    <row r="38" spans="1:5" x14ac:dyDescent="0.25">
      <c r="A38" s="10" t="s">
        <v>37</v>
      </c>
      <c r="B38" s="164">
        <v>100</v>
      </c>
      <c r="C38" s="12">
        <f t="shared" si="10"/>
        <v>4883.1428571428569</v>
      </c>
      <c r="D38" s="22" t="s">
        <v>44</v>
      </c>
      <c r="E38" s="22"/>
    </row>
    <row r="39" spans="1:5" x14ac:dyDescent="0.25">
      <c r="A39" s="10" t="s">
        <v>37</v>
      </c>
      <c r="B39" s="164">
        <v>100</v>
      </c>
      <c r="C39" s="12">
        <f>B39*$E$30</f>
        <v>4883.1428571428569</v>
      </c>
      <c r="D39" s="22" t="s">
        <v>44</v>
      </c>
      <c r="E39" s="22"/>
    </row>
    <row r="40" spans="1:5" x14ac:dyDescent="0.25">
      <c r="A40" s="10" t="s">
        <v>10</v>
      </c>
      <c r="B40" s="164">
        <v>100</v>
      </c>
      <c r="C40" s="12">
        <f t="shared" si="10"/>
        <v>4883.1428571428569</v>
      </c>
      <c r="D40" s="22" t="s">
        <v>44</v>
      </c>
    </row>
    <row r="41" spans="1:5" x14ac:dyDescent="0.25">
      <c r="A41" s="10" t="s">
        <v>10</v>
      </c>
      <c r="B41" s="164">
        <v>100</v>
      </c>
      <c r="C41" s="12">
        <f t="shared" si="10"/>
        <v>4883.1428571428569</v>
      </c>
      <c r="D41" s="22" t="s">
        <v>44</v>
      </c>
    </row>
    <row r="42" spans="1:5" x14ac:dyDescent="0.25">
      <c r="A42" s="10" t="s">
        <v>10</v>
      </c>
      <c r="B42" s="164">
        <v>100</v>
      </c>
      <c r="C42" s="12">
        <f t="shared" si="10"/>
        <v>4883.1428571428569</v>
      </c>
      <c r="D42" s="22" t="s">
        <v>44</v>
      </c>
    </row>
    <row r="43" spans="1:5" x14ac:dyDescent="0.25">
      <c r="A43" s="10" t="s">
        <v>10</v>
      </c>
      <c r="B43" s="164">
        <v>100</v>
      </c>
      <c r="C43" s="12">
        <f t="shared" si="10"/>
        <v>4883.1428571428569</v>
      </c>
      <c r="D43" s="22" t="s">
        <v>44</v>
      </c>
    </row>
    <row r="44" spans="1:5" x14ac:dyDescent="0.25">
      <c r="A44" s="10" t="s">
        <v>10</v>
      </c>
      <c r="B44" s="164">
        <v>40</v>
      </c>
      <c r="C44" s="12">
        <f t="shared" si="10"/>
        <v>1953.2571428571428</v>
      </c>
      <c r="D44" s="22" t="s">
        <v>44</v>
      </c>
    </row>
    <row r="45" spans="1:5" x14ac:dyDescent="0.25">
      <c r="A45" s="10" t="s">
        <v>10</v>
      </c>
      <c r="B45" s="164">
        <v>100</v>
      </c>
      <c r="C45" s="12">
        <f t="shared" si="10"/>
        <v>4883.1428571428569</v>
      </c>
      <c r="D45" s="22" t="s">
        <v>44</v>
      </c>
    </row>
    <row r="46" spans="1:5" x14ac:dyDescent="0.25">
      <c r="A46" s="10" t="s">
        <v>13</v>
      </c>
      <c r="B46" s="164">
        <v>100</v>
      </c>
      <c r="C46" s="12">
        <f t="shared" si="10"/>
        <v>4883.1428571428569</v>
      </c>
      <c r="D46" s="22" t="s">
        <v>44</v>
      </c>
    </row>
    <row r="47" spans="1:5" x14ac:dyDescent="0.25">
      <c r="A47" s="10" t="s">
        <v>13</v>
      </c>
      <c r="B47" s="164">
        <v>100</v>
      </c>
      <c r="C47" s="12">
        <f t="shared" si="10"/>
        <v>4883.1428571428569</v>
      </c>
      <c r="D47" s="22" t="s">
        <v>44</v>
      </c>
    </row>
    <row r="48" spans="1:5" x14ac:dyDescent="0.25">
      <c r="A48" s="10" t="s">
        <v>13</v>
      </c>
      <c r="B48" s="164">
        <v>100</v>
      </c>
      <c r="C48" s="12">
        <f t="shared" si="10"/>
        <v>4883.1428571428569</v>
      </c>
      <c r="D48" s="22" t="s">
        <v>44</v>
      </c>
    </row>
    <row r="49" spans="1:4" x14ac:dyDescent="0.25">
      <c r="A49" s="22" t="s">
        <v>13</v>
      </c>
      <c r="B49" s="164">
        <v>100</v>
      </c>
      <c r="C49" s="12">
        <f t="shared" si="10"/>
        <v>4883.1428571428569</v>
      </c>
      <c r="D49" s="22" t="s">
        <v>44</v>
      </c>
    </row>
    <row r="50" spans="1:4" x14ac:dyDescent="0.25">
      <c r="A50" s="10" t="s">
        <v>13</v>
      </c>
      <c r="B50" s="164">
        <v>100</v>
      </c>
      <c r="C50" s="12">
        <f t="shared" si="10"/>
        <v>4883.1428571428569</v>
      </c>
      <c r="D50" s="22" t="s">
        <v>44</v>
      </c>
    </row>
    <row r="51" spans="1:4" x14ac:dyDescent="0.25">
      <c r="A51" s="10" t="s">
        <v>13</v>
      </c>
      <c r="B51" s="164">
        <v>100</v>
      </c>
      <c r="C51" s="12">
        <f t="shared" si="10"/>
        <v>4883.1428571428569</v>
      </c>
      <c r="D51" s="22" t="s">
        <v>44</v>
      </c>
    </row>
    <row r="52" spans="1:4" x14ac:dyDescent="0.25">
      <c r="A52" s="10" t="s">
        <v>13</v>
      </c>
      <c r="B52" s="164">
        <v>100</v>
      </c>
      <c r="C52" s="12">
        <f t="shared" si="10"/>
        <v>4883.1428571428569</v>
      </c>
      <c r="D52" s="22" t="s">
        <v>44</v>
      </c>
    </row>
    <row r="53" spans="1:4" x14ac:dyDescent="0.25">
      <c r="A53" s="10" t="s">
        <v>13</v>
      </c>
      <c r="B53" s="164">
        <v>20</v>
      </c>
      <c r="C53" s="12">
        <f t="shared" si="10"/>
        <v>976.62857142857138</v>
      </c>
      <c r="D53" s="22" t="s">
        <v>44</v>
      </c>
    </row>
    <row r="54" spans="1:4" x14ac:dyDescent="0.25">
      <c r="A54" s="10" t="s">
        <v>12</v>
      </c>
      <c r="B54" s="164">
        <v>100</v>
      </c>
      <c r="C54" s="12">
        <f t="shared" si="10"/>
        <v>4883.1428571428569</v>
      </c>
      <c r="D54" s="22" t="s">
        <v>44</v>
      </c>
    </row>
    <row r="55" spans="1:4" x14ac:dyDescent="0.25">
      <c r="A55" s="10" t="s">
        <v>12</v>
      </c>
      <c r="B55" s="164">
        <v>100</v>
      </c>
      <c r="C55" s="12">
        <f t="shared" si="10"/>
        <v>4883.1428571428569</v>
      </c>
      <c r="D55" s="22" t="s">
        <v>44</v>
      </c>
    </row>
    <row r="56" spans="1:4" x14ac:dyDescent="0.25">
      <c r="A56" s="10" t="s">
        <v>12</v>
      </c>
      <c r="B56" s="164">
        <v>100</v>
      </c>
      <c r="C56" s="12">
        <f t="shared" si="10"/>
        <v>4883.1428571428569</v>
      </c>
      <c r="D56" s="22" t="s">
        <v>44</v>
      </c>
    </row>
    <row r="57" spans="1:4" x14ac:dyDescent="0.25">
      <c r="A57" s="10" t="s">
        <v>12</v>
      </c>
      <c r="B57" s="164">
        <v>100</v>
      </c>
      <c r="C57" s="12">
        <f t="shared" si="10"/>
        <v>4883.1428571428569</v>
      </c>
      <c r="D57" s="22" t="s">
        <v>44</v>
      </c>
    </row>
    <row r="58" spans="1:4" x14ac:dyDescent="0.25">
      <c r="A58" s="10" t="s">
        <v>12</v>
      </c>
      <c r="B58" s="164">
        <v>100</v>
      </c>
      <c r="C58" s="12">
        <f t="shared" si="10"/>
        <v>4883.1428571428569</v>
      </c>
      <c r="D58" s="22" t="s">
        <v>44</v>
      </c>
    </row>
    <row r="59" spans="1:4" x14ac:dyDescent="0.25">
      <c r="A59" s="10" t="s">
        <v>12</v>
      </c>
      <c r="B59" s="164">
        <v>100</v>
      </c>
      <c r="C59" s="12">
        <f t="shared" si="10"/>
        <v>4883.1428571428569</v>
      </c>
      <c r="D59" s="22" t="s">
        <v>44</v>
      </c>
    </row>
    <row r="60" spans="1:4" x14ac:dyDescent="0.25">
      <c r="A60" s="10" t="s">
        <v>12</v>
      </c>
      <c r="B60" s="164">
        <v>40</v>
      </c>
      <c r="C60" s="12">
        <f t="shared" si="10"/>
        <v>1953.2571428571428</v>
      </c>
      <c r="D60" s="22" t="s">
        <v>44</v>
      </c>
    </row>
    <row r="61" spans="1:4" x14ac:dyDescent="0.25">
      <c r="A61" s="10" t="s">
        <v>12</v>
      </c>
      <c r="B61" s="164">
        <v>100</v>
      </c>
      <c r="C61" s="12">
        <f t="shared" si="10"/>
        <v>4883.1428571428569</v>
      </c>
      <c r="D61" s="22" t="s">
        <v>44</v>
      </c>
    </row>
    <row r="62" spans="1:4" x14ac:dyDescent="0.25">
      <c r="A62" s="10" t="s">
        <v>7</v>
      </c>
      <c r="B62" s="164">
        <v>100</v>
      </c>
      <c r="C62" s="12">
        <f t="shared" si="10"/>
        <v>4883.1428571428569</v>
      </c>
      <c r="D62" s="22" t="s">
        <v>44</v>
      </c>
    </row>
    <row r="63" spans="1:4" x14ac:dyDescent="0.25">
      <c r="A63" s="10" t="s">
        <v>7</v>
      </c>
      <c r="B63" s="164">
        <v>100</v>
      </c>
      <c r="C63" s="12">
        <f t="shared" si="10"/>
        <v>4883.1428571428569</v>
      </c>
      <c r="D63" s="22" t="s">
        <v>44</v>
      </c>
    </row>
    <row r="64" spans="1:4" x14ac:dyDescent="0.25">
      <c r="A64" s="10" t="s">
        <v>7</v>
      </c>
      <c r="B64" s="164">
        <v>170.08</v>
      </c>
      <c r="C64" s="12">
        <f t="shared" si="10"/>
        <v>8305.249371428572</v>
      </c>
      <c r="D64" s="22" t="s">
        <v>44</v>
      </c>
    </row>
    <row r="65" spans="1:4" x14ac:dyDescent="0.25">
      <c r="A65" s="10" t="s">
        <v>7</v>
      </c>
      <c r="B65" s="164">
        <v>150</v>
      </c>
      <c r="C65" s="12">
        <f t="shared" si="10"/>
        <v>7324.7142857142853</v>
      </c>
      <c r="D65" s="22" t="s">
        <v>44</v>
      </c>
    </row>
    <row r="66" spans="1:4" x14ac:dyDescent="0.25">
      <c r="A66" s="22" t="s">
        <v>6</v>
      </c>
      <c r="B66" s="164">
        <v>40</v>
      </c>
      <c r="C66" s="12">
        <f t="shared" si="10"/>
        <v>1953.2571428571428</v>
      </c>
      <c r="D66" s="22" t="s">
        <v>44</v>
      </c>
    </row>
    <row r="67" spans="1:4" x14ac:dyDescent="0.25">
      <c r="A67" s="22" t="s">
        <v>35</v>
      </c>
      <c r="B67" s="164">
        <v>100</v>
      </c>
      <c r="C67" s="12">
        <f t="shared" si="10"/>
        <v>4883.1428571428569</v>
      </c>
      <c r="D67" s="22" t="s">
        <v>44</v>
      </c>
    </row>
    <row r="68" spans="1:4" x14ac:dyDescent="0.25">
      <c r="A68" s="22" t="s">
        <v>35</v>
      </c>
      <c r="B68" s="164">
        <v>186.99</v>
      </c>
      <c r="C68" s="12">
        <f t="shared" si="10"/>
        <v>9130.9888285714278</v>
      </c>
      <c r="D68" s="22" t="s">
        <v>44</v>
      </c>
    </row>
    <row r="69" spans="1:4" x14ac:dyDescent="0.25">
      <c r="A69" s="22" t="s">
        <v>35</v>
      </c>
      <c r="B69" s="164">
        <v>13.01</v>
      </c>
      <c r="C69" s="12">
        <f t="shared" si="10"/>
        <v>635.29688571428562</v>
      </c>
      <c r="D69" s="22" t="s">
        <v>44</v>
      </c>
    </row>
    <row r="70" spans="1:4" x14ac:dyDescent="0.25">
      <c r="A70" s="22" t="s">
        <v>30</v>
      </c>
      <c r="B70" s="164">
        <v>100</v>
      </c>
      <c r="C70" s="12">
        <f t="shared" si="10"/>
        <v>4883.1428571428569</v>
      </c>
      <c r="D70" s="22" t="s">
        <v>44</v>
      </c>
    </row>
    <row r="71" spans="1:4" x14ac:dyDescent="0.25">
      <c r="A71" s="22" t="s">
        <v>30</v>
      </c>
      <c r="B71" s="164">
        <v>100</v>
      </c>
      <c r="C71" s="12">
        <f t="shared" si="10"/>
        <v>4883.1428571428569</v>
      </c>
      <c r="D71" s="22" t="s">
        <v>44</v>
      </c>
    </row>
    <row r="72" spans="1:4" x14ac:dyDescent="0.25">
      <c r="A72" s="22" t="s">
        <v>30</v>
      </c>
      <c r="B72" s="164">
        <v>100</v>
      </c>
      <c r="C72" s="12">
        <f t="shared" si="10"/>
        <v>4883.1428571428569</v>
      </c>
      <c r="D72" s="22" t="s">
        <v>44</v>
      </c>
    </row>
    <row r="73" spans="1:4" x14ac:dyDescent="0.25">
      <c r="A73" s="22" t="s">
        <v>30</v>
      </c>
      <c r="B73" s="164">
        <v>100</v>
      </c>
      <c r="C73" s="12">
        <f t="shared" si="10"/>
        <v>4883.1428571428569</v>
      </c>
      <c r="D73" s="22" t="s">
        <v>44</v>
      </c>
    </row>
    <row r="74" spans="1:4" x14ac:dyDescent="0.25">
      <c r="A74" s="22" t="s">
        <v>30</v>
      </c>
      <c r="B74" s="164">
        <v>100</v>
      </c>
      <c r="C74" s="12">
        <f t="shared" si="10"/>
        <v>4883.1428571428569</v>
      </c>
      <c r="D74" s="22" t="s">
        <v>44</v>
      </c>
    </row>
    <row r="75" spans="1:4" x14ac:dyDescent="0.25">
      <c r="A75" s="22" t="s">
        <v>30</v>
      </c>
      <c r="B75" s="164">
        <v>60</v>
      </c>
      <c r="C75" s="12">
        <f t="shared" si="10"/>
        <v>2929.8857142857141</v>
      </c>
      <c r="D75" s="22" t="s">
        <v>44</v>
      </c>
    </row>
    <row r="76" spans="1:4" x14ac:dyDescent="0.25">
      <c r="A76" s="22" t="s">
        <v>30</v>
      </c>
      <c r="B76" s="164">
        <v>100</v>
      </c>
      <c r="C76" s="12">
        <f t="shared" si="10"/>
        <v>4883.1428571428569</v>
      </c>
      <c r="D76" s="22" t="s">
        <v>44</v>
      </c>
    </row>
    <row r="77" spans="1:4" x14ac:dyDescent="0.25">
      <c r="A77" s="22" t="s">
        <v>11</v>
      </c>
      <c r="B77" s="164">
        <v>120</v>
      </c>
      <c r="C77" s="12">
        <f t="shared" si="10"/>
        <v>5859.7714285714283</v>
      </c>
      <c r="D77" s="22" t="s">
        <v>44</v>
      </c>
    </row>
    <row r="78" spans="1:4" x14ac:dyDescent="0.25">
      <c r="A78" s="22" t="s">
        <v>11</v>
      </c>
      <c r="B78" s="164">
        <v>20</v>
      </c>
      <c r="C78" s="12">
        <f t="shared" si="10"/>
        <v>976.62857142857138</v>
      </c>
      <c r="D78" s="22" t="s">
        <v>44</v>
      </c>
    </row>
    <row r="79" spans="1:4" x14ac:dyDescent="0.25">
      <c r="A79" s="22" t="s">
        <v>11</v>
      </c>
      <c r="B79" s="164">
        <v>116.66</v>
      </c>
      <c r="C79" s="12">
        <f t="shared" si="10"/>
        <v>5696.6744571428562</v>
      </c>
      <c r="D79" s="22" t="s">
        <v>44</v>
      </c>
    </row>
    <row r="80" spans="1:4" x14ac:dyDescent="0.25">
      <c r="A80" s="22" t="s">
        <v>11</v>
      </c>
      <c r="B80" s="164">
        <v>115.34</v>
      </c>
      <c r="C80" s="12">
        <f t="shared" si="10"/>
        <v>5632.216971428571</v>
      </c>
      <c r="D80" s="22" t="s">
        <v>44</v>
      </c>
    </row>
    <row r="81" spans="1:4" x14ac:dyDescent="0.25">
      <c r="A81" s="22" t="s">
        <v>11</v>
      </c>
      <c r="B81" s="164">
        <v>100</v>
      </c>
      <c r="C81" s="12">
        <f t="shared" si="10"/>
        <v>4883.1428571428569</v>
      </c>
      <c r="D81" s="22" t="s">
        <v>44</v>
      </c>
    </row>
    <row r="82" spans="1:4" x14ac:dyDescent="0.25">
      <c r="A82" s="22" t="s">
        <v>11</v>
      </c>
      <c r="B82" s="164">
        <v>80</v>
      </c>
      <c r="C82" s="12">
        <f t="shared" si="10"/>
        <v>3906.5142857142855</v>
      </c>
      <c r="D82" s="22" t="s">
        <v>44</v>
      </c>
    </row>
    <row r="83" spans="1:4" x14ac:dyDescent="0.25">
      <c r="A83" s="22" t="s">
        <v>60</v>
      </c>
      <c r="B83" s="9">
        <v>100</v>
      </c>
      <c r="C83" s="12">
        <f t="shared" si="10"/>
        <v>4883.1428571428569</v>
      </c>
      <c r="D83" s="22" t="s">
        <v>44</v>
      </c>
    </row>
    <row r="84" spans="1:4" x14ac:dyDescent="0.25">
      <c r="A84" s="22" t="s">
        <v>60</v>
      </c>
      <c r="B84" s="9">
        <v>100</v>
      </c>
      <c r="C84" s="12">
        <f t="shared" si="10"/>
        <v>4883.1428571428569</v>
      </c>
      <c r="D84" s="22" t="s">
        <v>44</v>
      </c>
    </row>
    <row r="85" spans="1:4" x14ac:dyDescent="0.25">
      <c r="A85" s="22" t="s">
        <v>60</v>
      </c>
      <c r="B85" s="9">
        <v>140</v>
      </c>
      <c r="C85" s="12">
        <f t="shared" si="10"/>
        <v>6836.4</v>
      </c>
      <c r="D85" s="22" t="s">
        <v>44</v>
      </c>
    </row>
    <row r="86" spans="1:4" x14ac:dyDescent="0.25">
      <c r="A86" s="22" t="s">
        <v>60</v>
      </c>
      <c r="B86" s="9">
        <v>198.19</v>
      </c>
      <c r="C86" s="12">
        <f t="shared" si="10"/>
        <v>9677.9008285714281</v>
      </c>
      <c r="D86" s="22" t="s">
        <v>44</v>
      </c>
    </row>
    <row r="87" spans="1:4" x14ac:dyDescent="0.25">
      <c r="A87" s="22" t="s">
        <v>60</v>
      </c>
      <c r="B87" s="9">
        <v>198.08</v>
      </c>
      <c r="C87" s="12">
        <f t="shared" si="10"/>
        <v>9672.5293714285708</v>
      </c>
      <c r="D87" s="22" t="s">
        <v>44</v>
      </c>
    </row>
    <row r="88" spans="1:4" x14ac:dyDescent="0.25">
      <c r="A88" s="22" t="s">
        <v>60</v>
      </c>
      <c r="B88" s="9">
        <v>187.15</v>
      </c>
      <c r="C88" s="12">
        <f t="shared" si="10"/>
        <v>9138.8018571428565</v>
      </c>
      <c r="D88" s="22" t="s">
        <v>44</v>
      </c>
    </row>
    <row r="89" spans="1:4" x14ac:dyDescent="0.25">
      <c r="A89" s="22" t="s">
        <v>60</v>
      </c>
      <c r="B89" s="9">
        <v>32.97</v>
      </c>
      <c r="C89" s="12">
        <f t="shared" si="10"/>
        <v>1609.9721999999997</v>
      </c>
      <c r="D89" s="22" t="s">
        <v>44</v>
      </c>
    </row>
    <row r="90" spans="1:4" x14ac:dyDescent="0.25">
      <c r="A90" s="22" t="s">
        <v>60</v>
      </c>
      <c r="B90" s="9">
        <v>198</v>
      </c>
      <c r="C90" s="12">
        <f t="shared" si="10"/>
        <v>9668.6228571428564</v>
      </c>
      <c r="D90" s="22" t="s">
        <v>44</v>
      </c>
    </row>
    <row r="91" spans="1:4" x14ac:dyDescent="0.25">
      <c r="A91" s="22" t="s">
        <v>60</v>
      </c>
      <c r="B91" s="9">
        <v>181.88</v>
      </c>
      <c r="C91" s="12">
        <f t="shared" si="10"/>
        <v>8881.4602285714282</v>
      </c>
      <c r="D91" s="22" t="s">
        <v>44</v>
      </c>
    </row>
    <row r="92" spans="1:4" x14ac:dyDescent="0.25">
      <c r="A92" s="22" t="s">
        <v>60</v>
      </c>
      <c r="B92" s="9">
        <v>187.13</v>
      </c>
      <c r="C92" s="12">
        <f t="shared" si="10"/>
        <v>9137.8252285714279</v>
      </c>
      <c r="D92" s="22" t="s">
        <v>44</v>
      </c>
    </row>
    <row r="93" spans="1:4" x14ac:dyDescent="0.25">
      <c r="A93" s="22" t="s">
        <v>60</v>
      </c>
      <c r="B93" s="9">
        <v>180</v>
      </c>
      <c r="C93" s="12">
        <f t="shared" si="10"/>
        <v>8789.6571428571424</v>
      </c>
      <c r="D93" s="22" t="s">
        <v>44</v>
      </c>
    </row>
    <row r="94" spans="1:4" x14ac:dyDescent="0.25">
      <c r="A94" s="22" t="s">
        <v>60</v>
      </c>
      <c r="B94" s="9">
        <v>180</v>
      </c>
      <c r="C94" s="12">
        <f t="shared" si="10"/>
        <v>8789.6571428571424</v>
      </c>
      <c r="D94" s="22" t="s">
        <v>44</v>
      </c>
    </row>
    <row r="95" spans="1:4" x14ac:dyDescent="0.25">
      <c r="A95" s="22" t="s">
        <v>60</v>
      </c>
      <c r="B95" s="9">
        <v>39.15</v>
      </c>
      <c r="C95" s="12">
        <f t="shared" ref="C95:C120" si="11">B95*$E$30</f>
        <v>1911.7504285714283</v>
      </c>
      <c r="D95" s="22" t="s">
        <v>44</v>
      </c>
    </row>
    <row r="96" spans="1:4" x14ac:dyDescent="0.25">
      <c r="A96" s="22" t="s">
        <v>60</v>
      </c>
      <c r="B96" s="9">
        <v>150</v>
      </c>
      <c r="C96" s="12">
        <f t="shared" si="11"/>
        <v>7324.7142857142853</v>
      </c>
      <c r="D96" s="22" t="s">
        <v>44</v>
      </c>
    </row>
    <row r="97" spans="1:4" x14ac:dyDescent="0.25">
      <c r="A97" s="22" t="s">
        <v>60</v>
      </c>
      <c r="B97" s="9">
        <v>100</v>
      </c>
      <c r="C97" s="12">
        <f t="shared" si="11"/>
        <v>4883.1428571428569</v>
      </c>
      <c r="D97" s="22" t="s">
        <v>44</v>
      </c>
    </row>
    <row r="98" spans="1:4" x14ac:dyDescent="0.25">
      <c r="A98" s="22" t="s">
        <v>9</v>
      </c>
      <c r="B98" s="9">
        <v>100</v>
      </c>
      <c r="C98" s="12">
        <f t="shared" si="11"/>
        <v>4883.1428571428569</v>
      </c>
      <c r="D98" s="22" t="s">
        <v>44</v>
      </c>
    </row>
    <row r="99" spans="1:4" x14ac:dyDescent="0.25">
      <c r="A99" s="22" t="s">
        <v>9</v>
      </c>
      <c r="B99" s="9">
        <v>139.93</v>
      </c>
      <c r="C99" s="12">
        <f t="shared" si="11"/>
        <v>6832.9817999999996</v>
      </c>
      <c r="D99" s="22" t="s">
        <v>44</v>
      </c>
    </row>
    <row r="100" spans="1:4" x14ac:dyDescent="0.25">
      <c r="A100" s="22" t="s">
        <v>9</v>
      </c>
      <c r="B100" s="9">
        <v>200</v>
      </c>
      <c r="C100" s="12">
        <f t="shared" si="11"/>
        <v>9766.2857142857138</v>
      </c>
      <c r="D100" s="22" t="s">
        <v>44</v>
      </c>
    </row>
    <row r="101" spans="1:4" x14ac:dyDescent="0.25">
      <c r="A101" s="22" t="s">
        <v>9</v>
      </c>
      <c r="B101" s="9">
        <v>187.15</v>
      </c>
      <c r="C101" s="12">
        <f t="shared" si="11"/>
        <v>9138.8018571428565</v>
      </c>
      <c r="D101" s="22" t="s">
        <v>44</v>
      </c>
    </row>
    <row r="102" spans="1:4" x14ac:dyDescent="0.25">
      <c r="A102" s="22" t="s">
        <v>9</v>
      </c>
      <c r="B102" s="9">
        <v>50</v>
      </c>
      <c r="C102" s="12">
        <f t="shared" si="11"/>
        <v>2441.5714285714284</v>
      </c>
      <c r="D102" s="22" t="s">
        <v>44</v>
      </c>
    </row>
    <row r="103" spans="1:4" x14ac:dyDescent="0.25">
      <c r="A103" s="22" t="s">
        <v>9</v>
      </c>
      <c r="B103" s="9">
        <v>112.85</v>
      </c>
      <c r="C103" s="12">
        <f t="shared" si="11"/>
        <v>5510.6267142857132</v>
      </c>
      <c r="D103" s="22" t="s">
        <v>44</v>
      </c>
    </row>
    <row r="104" spans="1:4" x14ac:dyDescent="0.25">
      <c r="A104" s="22" t="s">
        <v>9</v>
      </c>
      <c r="B104" s="9">
        <v>198</v>
      </c>
      <c r="C104" s="12">
        <f t="shared" si="11"/>
        <v>9668.6228571428564</v>
      </c>
      <c r="D104" s="22" t="s">
        <v>44</v>
      </c>
    </row>
    <row r="105" spans="1:4" x14ac:dyDescent="0.25">
      <c r="A105" s="22" t="s">
        <v>9</v>
      </c>
      <c r="B105" s="9">
        <v>152</v>
      </c>
      <c r="C105" s="12">
        <f t="shared" si="11"/>
        <v>7422.3771428571426</v>
      </c>
      <c r="D105" s="22" t="s">
        <v>44</v>
      </c>
    </row>
    <row r="106" spans="1:4" x14ac:dyDescent="0.25">
      <c r="A106" s="22" t="s">
        <v>9</v>
      </c>
      <c r="B106" s="9">
        <v>100</v>
      </c>
      <c r="C106" s="12">
        <f t="shared" si="11"/>
        <v>4883.1428571428569</v>
      </c>
      <c r="D106" s="22" t="s">
        <v>44</v>
      </c>
    </row>
    <row r="107" spans="1:4" x14ac:dyDescent="0.25">
      <c r="A107" s="22" t="s">
        <v>9</v>
      </c>
      <c r="B107" s="9">
        <v>100</v>
      </c>
      <c r="C107" s="12">
        <f t="shared" si="11"/>
        <v>4883.1428571428569</v>
      </c>
      <c r="D107" s="22" t="s">
        <v>44</v>
      </c>
    </row>
    <row r="108" spans="1:4" x14ac:dyDescent="0.25">
      <c r="A108" s="22" t="s">
        <v>9</v>
      </c>
      <c r="B108" s="9">
        <v>150</v>
      </c>
      <c r="C108" s="12">
        <f t="shared" si="11"/>
        <v>7324.7142857142853</v>
      </c>
      <c r="D108" s="22" t="s">
        <v>44</v>
      </c>
    </row>
    <row r="109" spans="1:4" x14ac:dyDescent="0.25">
      <c r="A109" s="22" t="s">
        <v>9</v>
      </c>
      <c r="B109" s="9">
        <v>198.19</v>
      </c>
      <c r="C109" s="12">
        <f t="shared" si="11"/>
        <v>9677.9008285714281</v>
      </c>
      <c r="D109" s="22" t="s">
        <v>44</v>
      </c>
    </row>
    <row r="110" spans="1:4" x14ac:dyDescent="0.25">
      <c r="A110" s="22" t="s">
        <v>9</v>
      </c>
      <c r="B110" s="9">
        <v>115.53</v>
      </c>
      <c r="C110" s="12">
        <f t="shared" si="11"/>
        <v>5641.4949428571426</v>
      </c>
      <c r="D110" s="22" t="s">
        <v>44</v>
      </c>
    </row>
    <row r="111" spans="1:4" x14ac:dyDescent="0.25">
      <c r="A111" s="22" t="s">
        <v>9</v>
      </c>
      <c r="B111" s="9">
        <v>184.47</v>
      </c>
      <c r="C111" s="12">
        <f t="shared" si="11"/>
        <v>9007.9336285714271</v>
      </c>
      <c r="D111" s="22" t="s">
        <v>44</v>
      </c>
    </row>
    <row r="112" spans="1:4" x14ac:dyDescent="0.25">
      <c r="A112" s="22" t="s">
        <v>9</v>
      </c>
      <c r="B112" s="9">
        <v>160</v>
      </c>
      <c r="C112" s="12">
        <f t="shared" si="11"/>
        <v>7813.028571428571</v>
      </c>
      <c r="D112" s="22" t="s">
        <v>44</v>
      </c>
    </row>
    <row r="113" spans="1:5" x14ac:dyDescent="0.25">
      <c r="A113" s="22" t="s">
        <v>9</v>
      </c>
      <c r="B113" s="9">
        <v>150</v>
      </c>
      <c r="C113" s="12">
        <f t="shared" si="11"/>
        <v>7324.7142857142853</v>
      </c>
      <c r="D113" s="22" t="s">
        <v>44</v>
      </c>
    </row>
    <row r="114" spans="1:5" x14ac:dyDescent="0.25">
      <c r="A114" s="22" t="s">
        <v>9</v>
      </c>
      <c r="B114" s="9">
        <v>150</v>
      </c>
      <c r="C114" s="12">
        <f t="shared" si="11"/>
        <v>7324.7142857142853</v>
      </c>
      <c r="D114" s="22" t="s">
        <v>44</v>
      </c>
    </row>
    <row r="115" spans="1:5" x14ac:dyDescent="0.25">
      <c r="A115" s="22" t="s">
        <v>9</v>
      </c>
      <c r="B115" s="9">
        <v>100</v>
      </c>
      <c r="C115" s="12">
        <f t="shared" si="11"/>
        <v>4883.1428571428569</v>
      </c>
      <c r="D115" s="22" t="s">
        <v>44</v>
      </c>
    </row>
    <row r="116" spans="1:5" x14ac:dyDescent="0.25">
      <c r="A116" s="22" t="s">
        <v>32</v>
      </c>
      <c r="B116" s="9">
        <v>80</v>
      </c>
      <c r="C116" s="12">
        <f t="shared" si="11"/>
        <v>3906.5142857142855</v>
      </c>
      <c r="D116" s="22" t="s">
        <v>44</v>
      </c>
    </row>
    <row r="117" spans="1:5" x14ac:dyDescent="0.25">
      <c r="A117" s="22" t="s">
        <v>32</v>
      </c>
      <c r="B117" s="9">
        <v>100</v>
      </c>
      <c r="C117" s="12">
        <f t="shared" si="11"/>
        <v>4883.1428571428569</v>
      </c>
      <c r="D117" s="22" t="s">
        <v>44</v>
      </c>
    </row>
    <row r="118" spans="1:5" x14ac:dyDescent="0.25">
      <c r="A118" s="22" t="s">
        <v>32</v>
      </c>
      <c r="B118" s="9">
        <v>100</v>
      </c>
      <c r="C118" s="12">
        <f t="shared" si="11"/>
        <v>4883.1428571428569</v>
      </c>
      <c r="D118" s="22" t="s">
        <v>44</v>
      </c>
    </row>
    <row r="119" spans="1:5" ht="15.75" thickBot="1" x14ac:dyDescent="0.3">
      <c r="A119" s="22" t="s">
        <v>32</v>
      </c>
      <c r="B119" s="9">
        <v>100</v>
      </c>
      <c r="C119" s="12">
        <f t="shared" si="11"/>
        <v>4883.1428571428569</v>
      </c>
      <c r="D119" s="22" t="s">
        <v>44</v>
      </c>
    </row>
    <row r="120" spans="1:5" ht="15.75" thickBot="1" x14ac:dyDescent="0.3">
      <c r="A120" s="13"/>
      <c r="B120" s="14"/>
      <c r="C120" s="12">
        <f t="shared" si="11"/>
        <v>0</v>
      </c>
      <c r="D120" s="22"/>
      <c r="E120" s="24">
        <f>SUM(C30:C120)</f>
        <v>496749.91500000004</v>
      </c>
    </row>
    <row r="121" spans="1:5" ht="15.75" thickBot="1" x14ac:dyDescent="0.3">
      <c r="A121" s="2" t="s">
        <v>30</v>
      </c>
      <c r="B121" s="3">
        <v>100</v>
      </c>
      <c r="C121" s="4">
        <v>5299</v>
      </c>
      <c r="D121" s="25" t="s">
        <v>103</v>
      </c>
    </row>
    <row r="122" spans="1:5" x14ac:dyDescent="0.25">
      <c r="A122" s="2" t="s">
        <v>12</v>
      </c>
      <c r="B122" s="6">
        <v>100</v>
      </c>
      <c r="C122" s="7">
        <v>5299</v>
      </c>
      <c r="D122" s="26" t="s">
        <v>103</v>
      </c>
    </row>
    <row r="123" spans="1:5" x14ac:dyDescent="0.25">
      <c r="A123" s="10" t="s">
        <v>13</v>
      </c>
      <c r="B123" s="6">
        <v>100</v>
      </c>
      <c r="C123" s="7">
        <v>5299</v>
      </c>
      <c r="D123" s="26" t="s">
        <v>103</v>
      </c>
    </row>
    <row r="124" spans="1:5" x14ac:dyDescent="0.25">
      <c r="A124" s="27" t="s">
        <v>6</v>
      </c>
      <c r="B124" s="6">
        <v>140</v>
      </c>
      <c r="C124" s="7">
        <v>7418.6</v>
      </c>
      <c r="D124" s="26" t="s">
        <v>103</v>
      </c>
    </row>
    <row r="125" spans="1:5" x14ac:dyDescent="0.25">
      <c r="A125" s="27" t="s">
        <v>7</v>
      </c>
      <c r="B125" s="6">
        <v>100</v>
      </c>
      <c r="C125" s="7">
        <v>5299</v>
      </c>
      <c r="D125" s="26" t="s">
        <v>103</v>
      </c>
    </row>
    <row r="126" spans="1:5" x14ac:dyDescent="0.25">
      <c r="A126" s="27" t="s">
        <v>37</v>
      </c>
      <c r="B126" s="6">
        <v>160</v>
      </c>
      <c r="C126" s="7">
        <v>8478.4</v>
      </c>
      <c r="D126" s="26" t="s">
        <v>103</v>
      </c>
    </row>
    <row r="127" spans="1:5" x14ac:dyDescent="0.25">
      <c r="A127" s="27"/>
      <c r="B127" s="6"/>
      <c r="C127" s="7"/>
      <c r="D127" s="26"/>
    </row>
    <row r="128" spans="1:5" hidden="1" x14ac:dyDescent="0.25">
      <c r="A128" s="27"/>
      <c r="B128" s="6"/>
      <c r="C128" s="7"/>
      <c r="D128" s="26" t="s">
        <v>45</v>
      </c>
    </row>
    <row r="129" spans="1:4" hidden="1" x14ac:dyDescent="0.25">
      <c r="A129" s="27"/>
      <c r="B129" s="6"/>
      <c r="C129" s="7"/>
      <c r="D129" s="26" t="s">
        <v>45</v>
      </c>
    </row>
    <row r="130" spans="1:4" hidden="1" x14ac:dyDescent="0.25">
      <c r="A130" s="27"/>
      <c r="B130" s="6"/>
      <c r="C130" s="7"/>
      <c r="D130" s="26" t="s">
        <v>45</v>
      </c>
    </row>
    <row r="131" spans="1:4" hidden="1" x14ac:dyDescent="0.25">
      <c r="A131" s="27"/>
      <c r="B131" s="6"/>
      <c r="C131" s="7"/>
      <c r="D131" s="26" t="s">
        <v>45</v>
      </c>
    </row>
    <row r="132" spans="1:4" hidden="1" x14ac:dyDescent="0.25">
      <c r="A132" s="27"/>
      <c r="B132" s="6"/>
      <c r="C132" s="7"/>
      <c r="D132" s="26" t="s">
        <v>45</v>
      </c>
    </row>
    <row r="133" spans="1:4" hidden="1" x14ac:dyDescent="0.25">
      <c r="A133" s="27"/>
      <c r="B133" s="6"/>
      <c r="C133" s="7"/>
      <c r="D133" s="26" t="s">
        <v>45</v>
      </c>
    </row>
    <row r="134" spans="1:4" hidden="1" x14ac:dyDescent="0.25">
      <c r="A134" s="27"/>
      <c r="B134" s="6"/>
      <c r="C134" s="7"/>
      <c r="D134" s="26" t="s">
        <v>45</v>
      </c>
    </row>
    <row r="135" spans="1:4" ht="15.75" thickBot="1" x14ac:dyDescent="0.3">
      <c r="A135" s="27"/>
      <c r="B135" s="6"/>
      <c r="C135" s="7"/>
      <c r="D135" s="26"/>
    </row>
    <row r="136" spans="1:4" ht="15.75" hidden="1" thickBot="1" x14ac:dyDescent="0.3">
      <c r="A136" s="27"/>
      <c r="B136" s="6"/>
      <c r="C136" s="7"/>
      <c r="D136" s="26"/>
    </row>
    <row r="137" spans="1:4" ht="15.75" hidden="1" thickBot="1" x14ac:dyDescent="0.3">
      <c r="A137" s="27"/>
      <c r="B137" s="6"/>
      <c r="C137" s="7"/>
      <c r="D137" s="26"/>
    </row>
    <row r="138" spans="1:4" ht="15.75" hidden="1" thickBot="1" x14ac:dyDescent="0.3">
      <c r="A138" s="27"/>
      <c r="B138" s="6"/>
      <c r="C138" s="7"/>
      <c r="D138" s="26"/>
    </row>
    <row r="139" spans="1:4" ht="15.75" hidden="1" thickBot="1" x14ac:dyDescent="0.3">
      <c r="A139" s="27"/>
      <c r="B139" s="6"/>
      <c r="C139" s="7"/>
      <c r="D139" s="26"/>
    </row>
    <row r="140" spans="1:4" ht="15.75" hidden="1" thickBot="1" x14ac:dyDescent="0.3">
      <c r="A140" s="27"/>
      <c r="B140" s="6"/>
      <c r="C140" s="7"/>
      <c r="D140" s="26"/>
    </row>
    <row r="141" spans="1:4" ht="15.75" hidden="1" thickBot="1" x14ac:dyDescent="0.3">
      <c r="A141" s="27"/>
      <c r="B141" s="6"/>
      <c r="C141" s="7"/>
      <c r="D141" s="26"/>
    </row>
    <row r="142" spans="1:4" ht="15.75" hidden="1" thickBot="1" x14ac:dyDescent="0.3">
      <c r="A142" s="27"/>
      <c r="B142" s="6"/>
      <c r="C142" s="7"/>
      <c r="D142" s="26"/>
    </row>
    <row r="143" spans="1:4" ht="15.75" hidden="1" thickBot="1" x14ac:dyDescent="0.3">
      <c r="A143" s="27"/>
      <c r="B143" s="6"/>
      <c r="C143" s="7"/>
      <c r="D143" s="26"/>
    </row>
    <row r="144" spans="1:4" ht="15.75" hidden="1" thickBot="1" x14ac:dyDescent="0.3">
      <c r="A144" s="27"/>
      <c r="B144" s="6"/>
      <c r="C144" s="7"/>
      <c r="D144" s="26"/>
    </row>
    <row r="145" spans="1:5" ht="15.75" hidden="1" thickBot="1" x14ac:dyDescent="0.3">
      <c r="A145" s="27"/>
      <c r="B145" s="6"/>
      <c r="C145" s="7"/>
      <c r="D145" s="26"/>
    </row>
    <row r="146" spans="1:5" ht="15.75" hidden="1" thickBot="1" x14ac:dyDescent="0.3">
      <c r="A146" s="27"/>
      <c r="B146" s="6"/>
      <c r="C146" s="7"/>
      <c r="D146" s="26"/>
    </row>
    <row r="147" spans="1:5" ht="15.75" hidden="1" thickBot="1" x14ac:dyDescent="0.3">
      <c r="A147" s="27"/>
      <c r="B147" s="6"/>
      <c r="C147" s="7"/>
      <c r="D147" s="26"/>
    </row>
    <row r="148" spans="1:5" ht="15.75" hidden="1" thickBot="1" x14ac:dyDescent="0.3">
      <c r="A148" s="27"/>
      <c r="B148" s="6"/>
      <c r="C148" s="7"/>
      <c r="D148" s="26"/>
    </row>
    <row r="149" spans="1:5" ht="15.75" hidden="1" thickBot="1" x14ac:dyDescent="0.3">
      <c r="A149" s="27"/>
      <c r="B149" s="6"/>
      <c r="C149" s="7"/>
      <c r="D149" s="26"/>
    </row>
    <row r="150" spans="1:5" ht="15.75" hidden="1" thickBot="1" x14ac:dyDescent="0.3">
      <c r="A150" s="27"/>
      <c r="B150" s="6"/>
      <c r="C150" s="7"/>
      <c r="D150" s="26"/>
    </row>
    <row r="151" spans="1:5" ht="15.75" thickBot="1" x14ac:dyDescent="0.3">
      <c r="A151" s="27"/>
      <c r="B151" s="6"/>
      <c r="C151" s="7"/>
      <c r="D151" s="28"/>
      <c r="E151" s="24">
        <f>SUM(C121:C151)</f>
        <v>37093</v>
      </c>
    </row>
    <row r="152" spans="1:5" outlineLevel="1" x14ac:dyDescent="0.25">
      <c r="A152" s="2" t="s">
        <v>14</v>
      </c>
      <c r="B152" s="5">
        <v>400</v>
      </c>
      <c r="C152" s="29">
        <v>19296</v>
      </c>
      <c r="D152" s="22" t="s">
        <v>48</v>
      </c>
    </row>
    <row r="153" spans="1:5" outlineLevel="1" x14ac:dyDescent="0.25">
      <c r="A153" s="10" t="s">
        <v>33</v>
      </c>
      <c r="B153" s="9">
        <v>39.590000000000003</v>
      </c>
      <c r="C153" s="12">
        <v>1899.92</v>
      </c>
      <c r="D153" s="22" t="s">
        <v>47</v>
      </c>
    </row>
    <row r="154" spans="1:5" ht="15.75" outlineLevel="1" thickBot="1" x14ac:dyDescent="0.3">
      <c r="A154" s="27"/>
      <c r="B154" s="6"/>
      <c r="C154" s="8"/>
      <c r="D154" s="22"/>
    </row>
    <row r="155" spans="1:5" ht="15.75" outlineLevel="1" thickBot="1" x14ac:dyDescent="0.3">
      <c r="A155" s="27"/>
      <c r="B155" s="167"/>
      <c r="C155" s="168"/>
      <c r="D155" s="235"/>
      <c r="E155" s="24">
        <f>SUM(C152:C155)</f>
        <v>21195.919999999998</v>
      </c>
    </row>
    <row r="156" spans="1:5" x14ac:dyDescent="0.25">
      <c r="A156" s="2" t="s">
        <v>5</v>
      </c>
      <c r="B156" s="5">
        <v>160</v>
      </c>
      <c r="C156" s="172">
        <v>8558.4</v>
      </c>
      <c r="D156" s="162" t="s">
        <v>45</v>
      </c>
    </row>
    <row r="157" spans="1:5" x14ac:dyDescent="0.25">
      <c r="A157" s="10" t="s">
        <v>5</v>
      </c>
      <c r="B157" s="9">
        <v>160</v>
      </c>
      <c r="C157" s="174">
        <v>8638.4</v>
      </c>
      <c r="D157" s="162" t="s">
        <v>45</v>
      </c>
    </row>
    <row r="158" spans="1:5" x14ac:dyDescent="0.25">
      <c r="A158" s="10" t="s">
        <v>5</v>
      </c>
      <c r="B158" s="9">
        <v>31.85</v>
      </c>
      <c r="C158" s="174">
        <v>1719.58</v>
      </c>
      <c r="D158" s="162" t="s">
        <v>45</v>
      </c>
    </row>
    <row r="159" spans="1:5" x14ac:dyDescent="0.25">
      <c r="A159" s="10" t="s">
        <v>5</v>
      </c>
      <c r="B159" s="9">
        <v>150</v>
      </c>
      <c r="C159" s="174">
        <v>7798.5</v>
      </c>
      <c r="D159" s="162" t="s">
        <v>45</v>
      </c>
    </row>
    <row r="160" spans="1:5" x14ac:dyDescent="0.25">
      <c r="A160" s="10" t="s">
        <v>5</v>
      </c>
      <c r="B160" s="9">
        <v>42.35</v>
      </c>
      <c r="C160" s="174">
        <v>2201.7800000000002</v>
      </c>
      <c r="D160" s="162" t="s">
        <v>45</v>
      </c>
    </row>
    <row r="161" spans="1:7" ht="15.75" thickBot="1" x14ac:dyDescent="0.3">
      <c r="A161" s="27"/>
      <c r="B161" s="167"/>
      <c r="C161" s="174"/>
      <c r="D161" s="26"/>
    </row>
    <row r="162" spans="1:7" ht="15.75" thickBot="1" x14ac:dyDescent="0.3">
      <c r="A162" s="13"/>
      <c r="B162" s="14"/>
      <c r="C162" s="15"/>
      <c r="D162" s="23"/>
      <c r="E162" s="24">
        <f>SUM(C156:C162)</f>
        <v>28916.659999999996</v>
      </c>
      <c r="G162" s="20"/>
    </row>
    <row r="163" spans="1:7" ht="15.75" hidden="1" thickBot="1" x14ac:dyDescent="0.3">
      <c r="A163" s="169"/>
      <c r="B163" s="170"/>
      <c r="C163" s="171"/>
      <c r="D163" s="161"/>
      <c r="E163" s="24">
        <f>SUM(C163:C163)</f>
        <v>0</v>
      </c>
      <c r="F163" s="30"/>
      <c r="G163" s="30"/>
    </row>
    <row r="164" spans="1:7" hidden="1" x14ac:dyDescent="0.25">
      <c r="A164" s="27"/>
      <c r="B164" s="3"/>
      <c r="C164" s="4"/>
      <c r="D164" s="22"/>
    </row>
    <row r="165" spans="1:7" hidden="1" x14ac:dyDescent="0.25">
      <c r="A165" s="27"/>
      <c r="B165" s="6"/>
      <c r="C165" s="7"/>
      <c r="D165" s="22"/>
    </row>
    <row r="166" spans="1:7" hidden="1" x14ac:dyDescent="0.25">
      <c r="A166" s="27"/>
      <c r="B166" s="6"/>
      <c r="C166" s="7"/>
      <c r="D166" s="22"/>
    </row>
    <row r="167" spans="1:7" hidden="1" x14ac:dyDescent="0.25">
      <c r="A167" s="27"/>
      <c r="B167" s="6"/>
      <c r="C167" s="7"/>
      <c r="D167" s="22"/>
    </row>
    <row r="168" spans="1:7" hidden="1" x14ac:dyDescent="0.25">
      <c r="A168" s="27"/>
      <c r="B168" s="6"/>
      <c r="C168" s="7"/>
      <c r="D168" s="22"/>
    </row>
    <row r="169" spans="1:7" hidden="1" x14ac:dyDescent="0.25">
      <c r="A169" s="27"/>
      <c r="B169" s="6"/>
      <c r="C169" s="7"/>
      <c r="D169" s="22"/>
    </row>
    <row r="170" spans="1:7" hidden="1" x14ac:dyDescent="0.25">
      <c r="A170" s="22"/>
      <c r="B170" s="6"/>
      <c r="C170" s="7"/>
      <c r="D170" s="22"/>
    </row>
    <row r="171" spans="1:7" hidden="1" x14ac:dyDescent="0.25">
      <c r="A171" s="10"/>
      <c r="B171" s="6"/>
      <c r="C171" s="7"/>
      <c r="D171" s="22"/>
    </row>
    <row r="172" spans="1:7" hidden="1" x14ac:dyDescent="0.25">
      <c r="A172" s="10"/>
      <c r="B172" s="6"/>
      <c r="C172" s="7"/>
      <c r="D172" s="22"/>
    </row>
    <row r="173" spans="1:7" hidden="1" x14ac:dyDescent="0.25">
      <c r="A173" s="10"/>
      <c r="B173" s="6"/>
      <c r="C173" s="7"/>
      <c r="D173" s="22"/>
    </row>
    <row r="174" spans="1:7" hidden="1" x14ac:dyDescent="0.25">
      <c r="A174" s="10"/>
      <c r="B174" s="6"/>
      <c r="C174" s="7"/>
      <c r="D174" s="22"/>
    </row>
    <row r="175" spans="1:7" hidden="1" x14ac:dyDescent="0.25">
      <c r="A175" s="10"/>
      <c r="B175" s="6"/>
      <c r="C175" s="7"/>
      <c r="D175" s="22"/>
    </row>
    <row r="176" spans="1:7" hidden="1" x14ac:dyDescent="0.25">
      <c r="A176" s="10"/>
      <c r="B176" s="6"/>
      <c r="C176" s="7"/>
      <c r="D176" s="22"/>
    </row>
    <row r="177" spans="1:7" hidden="1" x14ac:dyDescent="0.25">
      <c r="A177" s="10"/>
      <c r="B177" s="6"/>
      <c r="C177" s="7"/>
      <c r="D177" s="22"/>
    </row>
    <row r="178" spans="1:7" hidden="1" x14ac:dyDescent="0.25">
      <c r="A178" s="10"/>
      <c r="B178" s="6"/>
      <c r="C178" s="7"/>
      <c r="D178" s="22"/>
    </row>
    <row r="179" spans="1:7" hidden="1" x14ac:dyDescent="0.25">
      <c r="A179" s="10"/>
      <c r="B179" s="6"/>
      <c r="C179" s="7"/>
      <c r="D179" s="22"/>
    </row>
    <row r="180" spans="1:7" hidden="1" x14ac:dyDescent="0.25">
      <c r="A180" s="10"/>
      <c r="B180" s="6"/>
      <c r="C180" s="7"/>
      <c r="D180" s="22"/>
    </row>
    <row r="181" spans="1:7" hidden="1" x14ac:dyDescent="0.25">
      <c r="A181" s="10"/>
      <c r="B181" s="6"/>
      <c r="C181" s="7"/>
      <c r="D181" s="22"/>
    </row>
    <row r="182" spans="1:7" hidden="1" x14ac:dyDescent="0.25">
      <c r="A182" s="10"/>
      <c r="B182" s="6"/>
      <c r="C182" s="7"/>
      <c r="D182" s="22"/>
    </row>
    <row r="183" spans="1:7" hidden="1" x14ac:dyDescent="0.25">
      <c r="A183" s="10"/>
      <c r="B183" s="6"/>
      <c r="C183" s="7"/>
      <c r="D183" s="22"/>
    </row>
    <row r="184" spans="1:7" hidden="1" x14ac:dyDescent="0.25">
      <c r="A184" s="10"/>
      <c r="B184" s="6"/>
      <c r="C184" s="7"/>
      <c r="D184" s="22"/>
    </row>
    <row r="185" spans="1:7" hidden="1" x14ac:dyDescent="0.25">
      <c r="A185" s="10"/>
      <c r="B185" s="6"/>
      <c r="C185" s="7"/>
      <c r="D185" s="22"/>
    </row>
    <row r="186" spans="1:7" hidden="1" x14ac:dyDescent="0.25">
      <c r="A186" s="10"/>
      <c r="B186" s="6"/>
      <c r="C186" s="7"/>
      <c r="D186" s="22"/>
    </row>
    <row r="187" spans="1:7" hidden="1" x14ac:dyDescent="0.25">
      <c r="A187" s="10"/>
      <c r="B187" s="6"/>
      <c r="C187" s="7"/>
      <c r="D187" s="22"/>
    </row>
    <row r="188" spans="1:7" hidden="1" x14ac:dyDescent="0.25">
      <c r="A188" s="10"/>
      <c r="B188" s="6"/>
      <c r="C188" s="7"/>
      <c r="D188" s="22"/>
    </row>
    <row r="189" spans="1:7" hidden="1" x14ac:dyDescent="0.25">
      <c r="A189" s="10"/>
      <c r="B189" s="6"/>
      <c r="C189" s="7"/>
      <c r="D189" s="22"/>
    </row>
    <row r="190" spans="1:7" ht="15.75" hidden="1" thickBot="1" x14ac:dyDescent="0.3">
      <c r="A190" s="10"/>
      <c r="B190" s="6"/>
      <c r="C190" s="7"/>
      <c r="D190" s="22"/>
    </row>
    <row r="191" spans="1:7" ht="15.75" hidden="1" thickBot="1" x14ac:dyDescent="0.3">
      <c r="A191" s="13"/>
      <c r="B191" s="14"/>
      <c r="C191" s="15"/>
      <c r="D191" s="22"/>
      <c r="E191" s="31">
        <f>SUM(C164:C191)</f>
        <v>0</v>
      </c>
      <c r="F191" s="30"/>
      <c r="G191" s="30"/>
    </row>
    <row r="192" spans="1:7" ht="15.75" thickBot="1" x14ac:dyDescent="0.3">
      <c r="A192" s="32"/>
      <c r="B192" s="176">
        <f>SUM(B30:B191)</f>
        <v>11856.54</v>
      </c>
      <c r="C192" s="34">
        <f>SUM(C30:C191)</f>
        <v>583955.49500000011</v>
      </c>
    </row>
    <row r="193" spans="3:3" x14ac:dyDescent="0.25">
      <c r="C193" s="30"/>
    </row>
    <row r="194" spans="3:3" x14ac:dyDescent="0.25">
      <c r="C194" s="30"/>
    </row>
  </sheetData>
  <mergeCells count="1">
    <mergeCell ref="A28:D28"/>
  </mergeCells>
  <conditionalFormatting sqref="F1:F21">
    <cfRule type="cellIs" dxfId="21" priority="1" operator="lessThan">
      <formula>0</formula>
    </cfRule>
  </conditionalFormatting>
  <conditionalFormatting sqref="I18:I19">
    <cfRule type="cellIs" dxfId="20" priority="2" operator="greaterThanOrEqual">
      <formula>500</formula>
    </cfRule>
    <cfRule type="cellIs" dxfId="19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5"/>
  <sheetViews>
    <sheetView zoomScaleNormal="100" workbookViewId="0">
      <selection activeCell="E18" sqref="E18"/>
    </sheetView>
  </sheetViews>
  <sheetFormatPr defaultRowHeight="15" outlineLevelRow="1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customWidth="1" outlineLevel="1"/>
    <col min="14" max="14" width="13.140625" customWidth="1"/>
    <col min="15" max="15" width="9.5703125" customWidth="1"/>
    <col min="16" max="16" width="10.28515625" customWidth="1"/>
    <col min="17" max="17" width="11.28515625" customWidth="1" outlineLevel="1"/>
    <col min="18" max="18" width="26.2851562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178" t="s">
        <v>95</v>
      </c>
      <c r="P1" s="178" t="s">
        <v>110</v>
      </c>
      <c r="Q1" s="178" t="s">
        <v>89</v>
      </c>
      <c r="R1" s="42" t="s">
        <v>4</v>
      </c>
    </row>
    <row r="2" spans="1:19" ht="15.75" hidden="1" thickBot="1" x14ac:dyDescent="0.3">
      <c r="A2" s="43" t="s">
        <v>29</v>
      </c>
      <c r="B2" s="44">
        <v>45474</v>
      </c>
      <c r="C2" s="45"/>
      <c r="D2" s="46">
        <f t="shared" ref="D2:D19" si="0">SUMIF($A$31:$A$112,A2,$B$31:$B$112)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VLOOKUP(A2,[4]Тарас!$C$4:$P$23,14,0)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25">
      <c r="A3" s="191" t="s">
        <v>30</v>
      </c>
      <c r="B3" s="192">
        <v>45658</v>
      </c>
      <c r="C3" s="200">
        <f>'Топливо Декабрь 2024 '!E3</f>
        <v>30</v>
      </c>
      <c r="D3" s="194">
        <f>SUMIF($A$31:$A$112,A3,$B$31:$B$112)</f>
        <v>700</v>
      </c>
      <c r="E3" s="193">
        <v>120</v>
      </c>
      <c r="F3" s="236">
        <f>C3+D3-E3</f>
        <v>610</v>
      </c>
      <c r="G3" s="212">
        <f>'Топливо Декабрь 2024 '!H3</f>
        <v>0</v>
      </c>
      <c r="H3" s="197"/>
      <c r="I3" s="198">
        <f>L3*0.65</f>
        <v>135.20000000000002</v>
      </c>
      <c r="J3" s="199"/>
      <c r="K3" s="199"/>
      <c r="L3" s="199">
        <v>208</v>
      </c>
      <c r="M3" s="200">
        <v>4.7300000000000004</v>
      </c>
      <c r="N3" s="201">
        <f>F3/I3</f>
        <v>4.5118343195266268</v>
      </c>
      <c r="O3" s="222"/>
      <c r="P3" s="262"/>
      <c r="Q3" s="209"/>
      <c r="R3" s="223" t="s">
        <v>52</v>
      </c>
    </row>
    <row r="4" spans="1:19" x14ac:dyDescent="0.25">
      <c r="A4" s="206" t="s">
        <v>10</v>
      </c>
      <c r="B4" s="192">
        <v>45658</v>
      </c>
      <c r="C4" s="200">
        <f>'Топливо Декабрь 2024 '!E4</f>
        <v>50</v>
      </c>
      <c r="D4" s="194">
        <f t="shared" si="0"/>
        <v>784.92000000000007</v>
      </c>
      <c r="E4" s="207">
        <v>65</v>
      </c>
      <c r="F4" s="236">
        <f>C4+D4-E4</f>
        <v>769.92000000000007</v>
      </c>
      <c r="G4" s="212">
        <f>'Топливо Декабрь 2024 '!H4</f>
        <v>10288</v>
      </c>
      <c r="H4" s="198">
        <v>10445</v>
      </c>
      <c r="I4" s="198">
        <f>H4-G4</f>
        <v>157</v>
      </c>
      <c r="J4" s="200">
        <v>0</v>
      </c>
      <c r="K4" s="200"/>
      <c r="L4" s="200">
        <v>164</v>
      </c>
      <c r="M4" s="200">
        <v>4.7300000000000004</v>
      </c>
      <c r="N4" s="201">
        <f>F4/I4</f>
        <v>4.9039490445859881</v>
      </c>
      <c r="O4" s="222">
        <f t="shared" ref="O4" si="1">N4-M4</f>
        <v>0.1739490445859877</v>
      </c>
      <c r="P4" s="263">
        <f>O4/M4</f>
        <v>3.6775696529807118E-2</v>
      </c>
      <c r="Q4" s="209">
        <f>(I4*O4*$K$26)</f>
        <v>1472.3897100155664</v>
      </c>
      <c r="R4" s="204"/>
      <c r="S4" s="102"/>
    </row>
    <row r="5" spans="1:19" s="11" customFormat="1" ht="24.6" customHeight="1" x14ac:dyDescent="0.25">
      <c r="A5" s="206" t="s">
        <v>11</v>
      </c>
      <c r="B5" s="192">
        <v>45658</v>
      </c>
      <c r="C5" s="200">
        <f>'Топливо Декабрь 2024 '!E5</f>
        <v>70</v>
      </c>
      <c r="D5" s="194">
        <f t="shared" si="0"/>
        <v>700</v>
      </c>
      <c r="E5" s="207">
        <v>115</v>
      </c>
      <c r="F5" s="236">
        <f t="shared" ref="F5:F17" si="2">C5+D5-E5</f>
        <v>655</v>
      </c>
      <c r="G5" s="212">
        <f>'Топливо Декабрь 2024 '!H5</f>
        <v>8064</v>
      </c>
      <c r="H5" s="198">
        <v>8202</v>
      </c>
      <c r="I5" s="198">
        <f t="shared" ref="I5:I16" si="3">H5-G5</f>
        <v>138</v>
      </c>
      <c r="J5" s="200">
        <v>0</v>
      </c>
      <c r="K5" s="200"/>
      <c r="L5" s="200">
        <v>144</v>
      </c>
      <c r="M5" s="200">
        <v>4.7300000000000004</v>
      </c>
      <c r="N5" s="201">
        <f>F5/I5</f>
        <v>4.7463768115942031</v>
      </c>
      <c r="O5" s="222">
        <f>N5-M5</f>
        <v>1.6376811594202678E-2</v>
      </c>
      <c r="P5" s="263">
        <f>O5/M5</f>
        <v>3.4623280326009889E-3</v>
      </c>
      <c r="Q5" s="209">
        <f>(I5*O5*$K$26)</f>
        <v>121.84550511296692</v>
      </c>
      <c r="R5" s="208"/>
    </row>
    <row r="6" spans="1:19" x14ac:dyDescent="0.25">
      <c r="A6" s="206" t="s">
        <v>32</v>
      </c>
      <c r="B6" s="192">
        <v>45658</v>
      </c>
      <c r="C6" s="200">
        <f>'Топливо Декабрь 2024 '!E6</f>
        <v>65</v>
      </c>
      <c r="D6" s="194">
        <f t="shared" si="0"/>
        <v>300</v>
      </c>
      <c r="E6" s="207">
        <v>100</v>
      </c>
      <c r="F6" s="236">
        <f t="shared" si="2"/>
        <v>265</v>
      </c>
      <c r="G6" s="212">
        <f>'Топливо Декабрь 2024 '!H6</f>
        <v>5152</v>
      </c>
      <c r="H6" s="198">
        <v>5207</v>
      </c>
      <c r="I6" s="198">
        <f>H6-G6</f>
        <v>55</v>
      </c>
      <c r="J6" s="200">
        <v>0</v>
      </c>
      <c r="K6" s="200"/>
      <c r="L6" s="200">
        <v>154</v>
      </c>
      <c r="M6" s="200">
        <v>5</v>
      </c>
      <c r="N6" s="201">
        <f t="shared" ref="N6:N16" si="4">F6/I6</f>
        <v>4.8181818181818183</v>
      </c>
      <c r="O6" s="222"/>
      <c r="P6" s="263"/>
      <c r="Q6" s="209"/>
      <c r="R6" s="204"/>
    </row>
    <row r="7" spans="1:19" s="11" customFormat="1" x14ac:dyDescent="0.25">
      <c r="A7" s="206" t="s">
        <v>33</v>
      </c>
      <c r="B7" s="192">
        <v>45658</v>
      </c>
      <c r="C7" s="200">
        <f>'Топливо Декабрь 2024 '!E7</f>
        <v>20</v>
      </c>
      <c r="D7" s="194">
        <f t="shared" si="0"/>
        <v>60</v>
      </c>
      <c r="E7" s="194">
        <f>C7+D7</f>
        <v>80</v>
      </c>
      <c r="F7" s="236">
        <f t="shared" si="2"/>
        <v>0</v>
      </c>
      <c r="G7" s="212">
        <f>'Топливо Декабрь 2024 '!H7</f>
        <v>10566</v>
      </c>
      <c r="H7" s="198">
        <v>10566</v>
      </c>
      <c r="I7" s="198">
        <f>H7-G7</f>
        <v>0</v>
      </c>
      <c r="J7" s="200">
        <v>0</v>
      </c>
      <c r="K7" s="200"/>
      <c r="L7" s="200"/>
      <c r="M7" s="200">
        <v>3.8</v>
      </c>
      <c r="N7" s="201"/>
      <c r="O7" s="222"/>
      <c r="P7" s="263"/>
      <c r="Q7" s="209"/>
      <c r="R7" s="208" t="s">
        <v>108</v>
      </c>
    </row>
    <row r="8" spans="1:19" x14ac:dyDescent="0.25">
      <c r="A8" s="206" t="s">
        <v>12</v>
      </c>
      <c r="B8" s="192">
        <v>45658</v>
      </c>
      <c r="C8" s="200">
        <f>'Топливо Декабрь 2024 '!E8</f>
        <v>15</v>
      </c>
      <c r="D8" s="194">
        <f t="shared" si="0"/>
        <v>900</v>
      </c>
      <c r="E8" s="207">
        <v>20</v>
      </c>
      <c r="F8" s="236">
        <f>C8+D8-E8</f>
        <v>895</v>
      </c>
      <c r="G8" s="212">
        <f>'Топливо Декабрь 2024 '!H8</f>
        <v>18366</v>
      </c>
      <c r="H8" s="198">
        <v>18565</v>
      </c>
      <c r="I8" s="198">
        <f>H8-G8</f>
        <v>199</v>
      </c>
      <c r="J8" s="200">
        <v>0</v>
      </c>
      <c r="K8" s="200"/>
      <c r="L8" s="200">
        <v>182</v>
      </c>
      <c r="M8" s="200">
        <v>4.3499999999999996</v>
      </c>
      <c r="N8" s="201">
        <f t="shared" si="4"/>
        <v>4.4974874371859297</v>
      </c>
      <c r="O8" s="222">
        <f t="shared" ref="O8:O10" si="5">N8-M8</f>
        <v>0.14748743718593005</v>
      </c>
      <c r="P8" s="263">
        <f t="shared" ref="P8:P22" si="6">O8/M8</f>
        <v>3.3905157973777023E-2</v>
      </c>
      <c r="Q8" s="209">
        <f>(I8*O8*$K$26)</f>
        <v>1582.3741482591313</v>
      </c>
      <c r="R8" s="204"/>
    </row>
    <row r="9" spans="1:19" s="11" customFormat="1" x14ac:dyDescent="0.25">
      <c r="A9" s="206" t="s">
        <v>14</v>
      </c>
      <c r="B9" s="192">
        <v>45658</v>
      </c>
      <c r="C9" s="200">
        <f>'Топливо Декабрь 2024 '!E9</f>
        <v>30</v>
      </c>
      <c r="D9" s="194">
        <f t="shared" si="0"/>
        <v>0</v>
      </c>
      <c r="E9" s="207">
        <v>30</v>
      </c>
      <c r="F9" s="236">
        <f>C9+D9-E9</f>
        <v>0</v>
      </c>
      <c r="G9" s="212">
        <f>'Топливо Декабрь 2024 '!H9</f>
        <v>191</v>
      </c>
      <c r="H9" s="198">
        <v>191</v>
      </c>
      <c r="I9" s="198">
        <f>H9-G9</f>
        <v>0</v>
      </c>
      <c r="J9" s="200">
        <v>0</v>
      </c>
      <c r="K9" s="200"/>
      <c r="L9" s="200"/>
      <c r="M9" s="200">
        <v>4.3499999999999996</v>
      </c>
      <c r="N9" s="221"/>
      <c r="O9" s="222"/>
      <c r="P9" s="263"/>
      <c r="Q9" s="209"/>
      <c r="R9" s="208" t="s">
        <v>109</v>
      </c>
    </row>
    <row r="10" spans="1:19" x14ac:dyDescent="0.25">
      <c r="A10" s="206" t="s">
        <v>13</v>
      </c>
      <c r="B10" s="192">
        <v>45658</v>
      </c>
      <c r="C10" s="200">
        <f>'Топливо Декабрь 2024 '!E10</f>
        <v>100</v>
      </c>
      <c r="D10" s="194">
        <f t="shared" si="0"/>
        <v>700</v>
      </c>
      <c r="E10" s="207">
        <v>20</v>
      </c>
      <c r="F10" s="236">
        <f t="shared" si="2"/>
        <v>780</v>
      </c>
      <c r="G10" s="212">
        <f>'Топливо Декабрь 2024 '!H10</f>
        <v>12628</v>
      </c>
      <c r="H10" s="198">
        <v>12787</v>
      </c>
      <c r="I10" s="198">
        <f t="shared" si="3"/>
        <v>159</v>
      </c>
      <c r="J10" s="200">
        <v>0</v>
      </c>
      <c r="K10" s="200"/>
      <c r="L10" s="200">
        <v>157</v>
      </c>
      <c r="M10" s="200">
        <v>4.3499999999999996</v>
      </c>
      <c r="N10" s="221">
        <f t="shared" si="4"/>
        <v>4.9056603773584904</v>
      </c>
      <c r="O10" s="222">
        <f t="shared" si="5"/>
        <v>0.55566037735849072</v>
      </c>
      <c r="P10" s="263">
        <f t="shared" si="6"/>
        <v>0.12773801778356109</v>
      </c>
      <c r="Q10" s="209">
        <f>(I10*O10*$K$26)</f>
        <v>4763.2966268720247</v>
      </c>
      <c r="R10" s="204"/>
    </row>
    <row r="11" spans="1:19" x14ac:dyDescent="0.25">
      <c r="A11" s="206" t="s">
        <v>34</v>
      </c>
      <c r="B11" s="192">
        <v>45658</v>
      </c>
      <c r="C11" s="200">
        <f>'Топливо Декабрь 2024 '!E11</f>
        <v>460</v>
      </c>
      <c r="D11" s="194">
        <f t="shared" si="0"/>
        <v>200</v>
      </c>
      <c r="E11" s="207">
        <v>450</v>
      </c>
      <c r="F11" s="236">
        <f t="shared" si="2"/>
        <v>210</v>
      </c>
      <c r="G11" s="212">
        <f>'Топливо Декабрь 2024 '!H11</f>
        <v>7753</v>
      </c>
      <c r="H11" s="198">
        <v>7769</v>
      </c>
      <c r="I11" s="198">
        <f>H11-G11</f>
        <v>16</v>
      </c>
      <c r="J11" s="200">
        <v>0</v>
      </c>
      <c r="K11" s="200"/>
      <c r="L11" s="200">
        <v>16</v>
      </c>
      <c r="M11" s="200">
        <v>10.5</v>
      </c>
      <c r="N11" s="221">
        <f t="shared" si="4"/>
        <v>13.125</v>
      </c>
      <c r="O11" s="222">
        <f t="shared" ref="O11" si="7">N11-M11</f>
        <v>2.625</v>
      </c>
      <c r="P11" s="263">
        <f t="shared" si="6"/>
        <v>0.25</v>
      </c>
      <c r="Q11" s="209">
        <f t="shared" ref="Q11" si="8">(I11*O11*$K$26)</f>
        <v>2264.385493249858</v>
      </c>
      <c r="R11" s="223" t="s">
        <v>111</v>
      </c>
      <c r="S11" s="11"/>
    </row>
    <row r="12" spans="1:19" x14ac:dyDescent="0.25">
      <c r="A12" s="206" t="s">
        <v>35</v>
      </c>
      <c r="B12" s="192">
        <v>45658</v>
      </c>
      <c r="C12" s="200">
        <f>'Топливо Декабрь 2024 '!E12</f>
        <v>150</v>
      </c>
      <c r="D12" s="194">
        <f t="shared" si="0"/>
        <v>468</v>
      </c>
      <c r="E12" s="207">
        <v>220</v>
      </c>
      <c r="F12" s="236">
        <f t="shared" si="2"/>
        <v>398</v>
      </c>
      <c r="G12" s="212">
        <f>'Топливо Декабрь 2024 '!H12</f>
        <v>34232</v>
      </c>
      <c r="H12" s="198">
        <v>34624</v>
      </c>
      <c r="I12" s="198">
        <f t="shared" si="3"/>
        <v>392</v>
      </c>
      <c r="J12" s="200">
        <v>0</v>
      </c>
      <c r="K12" s="200"/>
      <c r="L12" s="200">
        <v>156</v>
      </c>
      <c r="M12" s="200">
        <v>0.9</v>
      </c>
      <c r="N12" s="221">
        <f t="shared" si="4"/>
        <v>1.0153061224489797</v>
      </c>
      <c r="O12" s="222">
        <f>N12-M12</f>
        <v>0.11530612244897964</v>
      </c>
      <c r="P12" s="263">
        <f>O12/M12</f>
        <v>0.12811791383219959</v>
      </c>
      <c r="Q12" s="209">
        <f>(I12*O12*$K$26)</f>
        <v>2436.9101022593723</v>
      </c>
      <c r="R12" s="204"/>
    </row>
    <row r="13" spans="1:19" x14ac:dyDescent="0.25">
      <c r="A13" s="206" t="s">
        <v>7</v>
      </c>
      <c r="B13" s="192">
        <v>45658</v>
      </c>
      <c r="C13" s="200">
        <f>'Топливо Декабрь 2024 '!E13</f>
        <v>180</v>
      </c>
      <c r="D13" s="194">
        <f t="shared" si="0"/>
        <v>300</v>
      </c>
      <c r="E13" s="207">
        <v>150</v>
      </c>
      <c r="F13" s="236">
        <f t="shared" si="2"/>
        <v>330</v>
      </c>
      <c r="G13" s="212">
        <f>'Топливо Декабрь 2024 '!H13</f>
        <v>39170</v>
      </c>
      <c r="H13" s="198">
        <v>39481</v>
      </c>
      <c r="I13" s="198">
        <f>H13-G13</f>
        <v>311</v>
      </c>
      <c r="J13" s="200">
        <v>0</v>
      </c>
      <c r="K13" s="200"/>
      <c r="L13" s="200">
        <v>130</v>
      </c>
      <c r="M13" s="200">
        <v>0.9</v>
      </c>
      <c r="N13" s="221">
        <f>F13/I13</f>
        <v>1.0610932475884245</v>
      </c>
      <c r="O13" s="222">
        <f>N13-M13</f>
        <v>0.16109324758842447</v>
      </c>
      <c r="P13" s="263">
        <f t="shared" si="6"/>
        <v>0.17899249732047162</v>
      </c>
      <c r="Q13" s="209">
        <f>(I13*O13*$K$26)</f>
        <v>2701.0884098051883</v>
      </c>
      <c r="R13" s="204"/>
    </row>
    <row r="14" spans="1:19" x14ac:dyDescent="0.25">
      <c r="A14" s="206" t="s">
        <v>8</v>
      </c>
      <c r="B14" s="192">
        <v>45658</v>
      </c>
      <c r="C14" s="200">
        <f>'Топливо Декабрь 2024 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Декабрь 2024 '!H14</f>
        <v>560741</v>
      </c>
      <c r="H14" s="198">
        <v>560741</v>
      </c>
      <c r="I14" s="198">
        <f t="shared" si="3"/>
        <v>0</v>
      </c>
      <c r="J14" s="200">
        <v>0</v>
      </c>
      <c r="K14" s="200"/>
      <c r="L14" s="200">
        <v>6</v>
      </c>
      <c r="M14" s="200">
        <v>0.9</v>
      </c>
      <c r="N14" s="201"/>
      <c r="O14" s="202"/>
      <c r="P14" s="263"/>
      <c r="Q14" s="203"/>
      <c r="R14" s="204"/>
    </row>
    <row r="15" spans="1:19" ht="21.6" customHeight="1" x14ac:dyDescent="0.25">
      <c r="A15" s="206" t="s">
        <v>9</v>
      </c>
      <c r="B15" s="192">
        <v>45658</v>
      </c>
      <c r="C15" s="200">
        <f>'Топливо Декабрь 2024 '!E15</f>
        <v>150</v>
      </c>
      <c r="D15" s="194">
        <f t="shared" si="0"/>
        <v>623.42000000000007</v>
      </c>
      <c r="E15" s="207">
        <v>150</v>
      </c>
      <c r="F15" s="236">
        <f>C15+D15-E15</f>
        <v>623.42000000000007</v>
      </c>
      <c r="G15" s="212">
        <f>'Топливо Декабрь 2024 '!H15</f>
        <v>74896</v>
      </c>
      <c r="H15" s="198">
        <v>75883</v>
      </c>
      <c r="I15" s="198">
        <f t="shared" si="3"/>
        <v>987</v>
      </c>
      <c r="J15" s="200">
        <v>0</v>
      </c>
      <c r="K15" s="200"/>
      <c r="L15" s="200">
        <v>115</v>
      </c>
      <c r="M15" s="200">
        <v>0.9</v>
      </c>
      <c r="N15" s="201">
        <f t="shared" si="4"/>
        <v>0.63163120567375897</v>
      </c>
      <c r="O15" s="222"/>
      <c r="P15" s="263"/>
      <c r="Q15" s="209"/>
      <c r="R15" s="223" t="s">
        <v>112</v>
      </c>
      <c r="S15" s="11"/>
    </row>
    <row r="16" spans="1:19" x14ac:dyDescent="0.25">
      <c r="A16" s="206" t="s">
        <v>60</v>
      </c>
      <c r="B16" s="192">
        <v>45658</v>
      </c>
      <c r="C16" s="200">
        <f>'Топливо Декабрь 2024 '!E16</f>
        <v>150</v>
      </c>
      <c r="D16" s="194">
        <f t="shared" si="0"/>
        <v>185</v>
      </c>
      <c r="E16" s="207">
        <v>185</v>
      </c>
      <c r="F16" s="236">
        <f t="shared" si="2"/>
        <v>150</v>
      </c>
      <c r="G16" s="212">
        <f>'Топливо Декабрь 2024 '!H16</f>
        <v>71598</v>
      </c>
      <c r="H16" s="198">
        <v>71770</v>
      </c>
      <c r="I16" s="198">
        <f t="shared" si="3"/>
        <v>172</v>
      </c>
      <c r="J16" s="200">
        <v>0</v>
      </c>
      <c r="K16" s="200"/>
      <c r="L16" s="200">
        <v>26</v>
      </c>
      <c r="M16" s="200">
        <v>0.9</v>
      </c>
      <c r="N16" s="201">
        <f t="shared" si="4"/>
        <v>0.87209302325581395</v>
      </c>
      <c r="O16" s="222"/>
      <c r="P16" s="263"/>
      <c r="Q16" s="209"/>
      <c r="R16" s="204"/>
      <c r="S16" s="11"/>
    </row>
    <row r="17" spans="1:19" x14ac:dyDescent="0.25">
      <c r="A17" s="210" t="s">
        <v>37</v>
      </c>
      <c r="B17" s="192">
        <v>45658</v>
      </c>
      <c r="C17" s="200">
        <f>'Топливо Декабрь 2024 '!E17</f>
        <v>110</v>
      </c>
      <c r="D17" s="194">
        <f t="shared" si="0"/>
        <v>0</v>
      </c>
      <c r="E17" s="200">
        <v>110</v>
      </c>
      <c r="F17" s="236">
        <f t="shared" si="2"/>
        <v>0</v>
      </c>
      <c r="G17" s="212">
        <f>'Топливо Декабрь 2024 '!H17</f>
        <v>0</v>
      </c>
      <c r="H17" s="198">
        <v>0</v>
      </c>
      <c r="I17" s="198">
        <f>L17*0.7</f>
        <v>0</v>
      </c>
      <c r="J17" s="200">
        <v>0</v>
      </c>
      <c r="K17" s="200"/>
      <c r="L17" s="200"/>
      <c r="M17" s="200">
        <v>5.0999999999999996</v>
      </c>
      <c r="N17" s="221"/>
      <c r="O17" s="222"/>
      <c r="P17" s="263"/>
      <c r="Q17" s="209"/>
      <c r="R17" s="223" t="s">
        <v>109</v>
      </c>
      <c r="S17" s="11"/>
    </row>
    <row r="18" spans="1:19" x14ac:dyDescent="0.25">
      <c r="A18" s="206" t="s">
        <v>5</v>
      </c>
      <c r="B18" s="192">
        <v>45658</v>
      </c>
      <c r="C18" s="200">
        <f>'Топливо Декабрь 2024 '!E18</f>
        <v>100</v>
      </c>
      <c r="D18" s="194">
        <f t="shared" si="0"/>
        <v>400</v>
      </c>
      <c r="E18" s="207">
        <v>180</v>
      </c>
      <c r="F18" s="237">
        <f>C18+D18-E18</f>
        <v>320</v>
      </c>
      <c r="G18" s="212">
        <f>'Топливо Декабрь 2024 '!H18</f>
        <v>6326</v>
      </c>
      <c r="H18" s="198">
        <v>6426</v>
      </c>
      <c r="I18" s="212">
        <f>H18-G18</f>
        <v>100</v>
      </c>
      <c r="J18" s="200">
        <v>0</v>
      </c>
      <c r="K18" s="200"/>
      <c r="L18" s="200">
        <v>180</v>
      </c>
      <c r="M18" s="200">
        <v>4.07</v>
      </c>
      <c r="N18" s="201">
        <f>(F18-(0.4*K18))/I18</f>
        <v>3.2</v>
      </c>
      <c r="O18" s="222"/>
      <c r="P18" s="263"/>
      <c r="Q18" s="209"/>
      <c r="R18" s="204"/>
      <c r="S18" s="11"/>
    </row>
    <row r="19" spans="1:19" ht="15.75" thickBot="1" x14ac:dyDescent="0.3">
      <c r="A19" s="240" t="s">
        <v>6</v>
      </c>
      <c r="B19" s="241">
        <v>45658</v>
      </c>
      <c r="C19" s="239">
        <f>'Топливо Декабрь 2024 '!E19</f>
        <v>40</v>
      </c>
      <c r="D19" s="238">
        <f t="shared" si="0"/>
        <v>400</v>
      </c>
      <c r="E19" s="239">
        <v>140</v>
      </c>
      <c r="F19" s="264">
        <f>C19+D19-E19</f>
        <v>300</v>
      </c>
      <c r="G19" s="243">
        <f>'Топливо Декабрь 2024 '!H19</f>
        <v>32</v>
      </c>
      <c r="H19" s="243">
        <v>98</v>
      </c>
      <c r="I19" s="243">
        <f>H19-G19</f>
        <v>66</v>
      </c>
      <c r="J19" s="239">
        <v>0</v>
      </c>
      <c r="K19" s="244"/>
      <c r="L19" s="239">
        <v>151</v>
      </c>
      <c r="M19" s="239">
        <v>2.9</v>
      </c>
      <c r="N19" s="245">
        <f>F19/I19</f>
        <v>4.5454545454545459</v>
      </c>
      <c r="O19" s="262">
        <f>N19-M19</f>
        <v>1.6454545454545459</v>
      </c>
      <c r="P19" s="263">
        <f t="shared" si="6"/>
        <v>0.56739811912225724</v>
      </c>
      <c r="Q19" s="265">
        <f>(I19*O19*$K$26)</f>
        <v>5855.0539182603497</v>
      </c>
      <c r="R19" s="266" t="s">
        <v>113</v>
      </c>
    </row>
    <row r="20" spans="1:19" ht="15.75" thickBot="1" x14ac:dyDescent="0.3">
      <c r="A20" s="191" t="s">
        <v>105</v>
      </c>
      <c r="B20" s="254">
        <v>45658</v>
      </c>
      <c r="C20" s="199">
        <f>'Топливо Декабрь 2024 '!E20</f>
        <v>0</v>
      </c>
      <c r="D20" s="255"/>
      <c r="E20" s="199"/>
      <c r="F20" s="255">
        <v>1354</v>
      </c>
      <c r="G20" s="251"/>
      <c r="H20" s="251"/>
      <c r="I20" s="251">
        <v>3974</v>
      </c>
      <c r="J20" s="199"/>
      <c r="K20" s="199"/>
      <c r="L20" s="199"/>
      <c r="M20" s="199">
        <v>0.32</v>
      </c>
      <c r="N20" s="256">
        <f>F20/I20</f>
        <v>0.34071464519375944</v>
      </c>
      <c r="O20" s="221">
        <f>N20-M20</f>
        <v>2.0714645193759429E-2</v>
      </c>
      <c r="P20" s="271">
        <f>O20/M20</f>
        <v>6.4733266230498215E-2</v>
      </c>
      <c r="Q20" s="272">
        <f>O20*I20*50.41</f>
        <v>4149.7511999999979</v>
      </c>
      <c r="R20" s="258" t="s">
        <v>106</v>
      </c>
      <c r="S20" s="11"/>
    </row>
    <row r="21" spans="1:19" ht="39.75" thickBot="1" x14ac:dyDescent="0.3">
      <c r="A21" s="206" t="s">
        <v>114</v>
      </c>
      <c r="B21" s="254">
        <v>45658</v>
      </c>
      <c r="C21" s="200"/>
      <c r="D21" s="211"/>
      <c r="E21" s="200"/>
      <c r="F21" s="211">
        <v>656</v>
      </c>
      <c r="G21" s="212"/>
      <c r="H21" s="212"/>
      <c r="I21" s="212">
        <v>1811</v>
      </c>
      <c r="J21" s="200"/>
      <c r="K21" s="200"/>
      <c r="L21" s="200"/>
      <c r="M21" s="214">
        <v>0.32</v>
      </c>
      <c r="N21" s="252">
        <f>F21/I21</f>
        <v>0.36223081170623966</v>
      </c>
      <c r="O21" s="221">
        <f>N21-M21</f>
        <v>4.2230811706239657E-2</v>
      </c>
      <c r="P21" s="271">
        <f>O21/M21</f>
        <v>0.13197128658199891</v>
      </c>
      <c r="Q21" s="272">
        <f>O21*I21*50.41</f>
        <v>3855.3568000000005</v>
      </c>
      <c r="R21" s="267" t="s">
        <v>115</v>
      </c>
      <c r="S21" s="11"/>
    </row>
    <row r="22" spans="1:19" ht="15.75" thickBot="1" x14ac:dyDescent="0.3">
      <c r="A22" s="213" t="s">
        <v>107</v>
      </c>
      <c r="B22" s="253">
        <v>45658</v>
      </c>
      <c r="C22" s="214">
        <f>'Топливо Декабрь 2024 '!E21</f>
        <v>0</v>
      </c>
      <c r="D22" s="215"/>
      <c r="E22" s="214"/>
      <c r="F22" s="215">
        <v>403</v>
      </c>
      <c r="G22" s="218"/>
      <c r="H22" s="218"/>
      <c r="I22" s="218">
        <v>1106</v>
      </c>
      <c r="J22" s="214"/>
      <c r="K22" s="214"/>
      <c r="L22" s="214"/>
      <c r="M22" s="214">
        <v>0.32</v>
      </c>
      <c r="N22" s="252">
        <f>F22/I22</f>
        <v>0.36437613019891502</v>
      </c>
      <c r="O22" s="268">
        <f>N22-M22</f>
        <v>4.4376130198915009E-2</v>
      </c>
      <c r="P22" s="269">
        <f t="shared" si="6"/>
        <v>0.1386754068716094</v>
      </c>
      <c r="Q22" s="270">
        <f>O22*I22*50.41</f>
        <v>2474.1227999999996</v>
      </c>
      <c r="R22" s="260" t="s">
        <v>106</v>
      </c>
      <c r="S22" s="11"/>
    </row>
    <row r="23" spans="1:19" x14ac:dyDescent="0.25">
      <c r="A23" s="51"/>
      <c r="B23" s="51"/>
      <c r="C23" s="249">
        <f>SUM(C3:C19)</f>
        <v>2000</v>
      </c>
      <c r="D23" s="250">
        <f>SUM(D2:D19)</f>
        <v>6721.34</v>
      </c>
      <c r="E23" s="249">
        <f>SUM(E2:E19)</f>
        <v>2415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21197.343913834455</v>
      </c>
      <c r="R23" s="51"/>
    </row>
    <row r="24" spans="1:19" x14ac:dyDescent="0.25">
      <c r="A24" s="51"/>
      <c r="B24" s="51"/>
      <c r="C24" s="51"/>
      <c r="D24" s="106">
        <f>D23-B113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6" spans="1:19" x14ac:dyDescent="0.25">
      <c r="D26" s="17"/>
      <c r="J26" s="18" t="s">
        <v>39</v>
      </c>
      <c r="K26" s="19">
        <f>SUM(C31:C112)/B113</f>
        <v>53.913940315472814</v>
      </c>
    </row>
    <row r="27" spans="1:19" x14ac:dyDescent="0.25">
      <c r="N27" s="17"/>
    </row>
    <row r="28" spans="1:19" x14ac:dyDescent="0.25">
      <c r="H28" s="20"/>
    </row>
    <row r="29" spans="1:19" x14ac:dyDescent="0.25">
      <c r="A29" s="487" t="s">
        <v>40</v>
      </c>
      <c r="B29" s="487"/>
      <c r="C29" s="487"/>
      <c r="D29" s="487"/>
    </row>
    <row r="30" spans="1:19" ht="15.75" thickBot="1" x14ac:dyDescent="0.3">
      <c r="A30" s="21" t="s">
        <v>15</v>
      </c>
      <c r="B30" s="21" t="s">
        <v>41</v>
      </c>
      <c r="C30" s="21" t="s">
        <v>42</v>
      </c>
      <c r="D30" s="21" t="s">
        <v>43</v>
      </c>
    </row>
    <row r="31" spans="1:19" x14ac:dyDescent="0.25">
      <c r="A31" s="10" t="s">
        <v>5</v>
      </c>
      <c r="B31" s="163">
        <v>100</v>
      </c>
      <c r="C31" s="12">
        <v>4883</v>
      </c>
      <c r="D31" s="22" t="s">
        <v>44</v>
      </c>
      <c r="E31" s="234"/>
    </row>
    <row r="32" spans="1:19" x14ac:dyDescent="0.25">
      <c r="A32" s="10" t="s">
        <v>10</v>
      </c>
      <c r="B32" s="164">
        <v>184.92000000000002</v>
      </c>
      <c r="C32" s="12">
        <v>9029.6436000000012</v>
      </c>
      <c r="D32" s="22" t="s">
        <v>44</v>
      </c>
      <c r="E32" s="22"/>
    </row>
    <row r="33" spans="1:5" x14ac:dyDescent="0.25">
      <c r="A33" s="10" t="s">
        <v>12</v>
      </c>
      <c r="B33" s="164">
        <v>200</v>
      </c>
      <c r="C33" s="12">
        <v>9766</v>
      </c>
      <c r="D33" s="22" t="s">
        <v>44</v>
      </c>
      <c r="E33" s="22"/>
    </row>
    <row r="34" spans="1:5" x14ac:dyDescent="0.25">
      <c r="A34" s="10" t="s">
        <v>13</v>
      </c>
      <c r="B34" s="164">
        <v>200</v>
      </c>
      <c r="C34" s="12">
        <v>9766</v>
      </c>
      <c r="D34" s="22" t="s">
        <v>44</v>
      </c>
      <c r="E34" s="22"/>
    </row>
    <row r="35" spans="1:5" x14ac:dyDescent="0.25">
      <c r="A35" s="10" t="s">
        <v>6</v>
      </c>
      <c r="B35" s="164">
        <v>200</v>
      </c>
      <c r="C35" s="12">
        <v>9766</v>
      </c>
      <c r="D35" s="22" t="s">
        <v>44</v>
      </c>
      <c r="E35" s="22"/>
    </row>
    <row r="36" spans="1:5" x14ac:dyDescent="0.25">
      <c r="A36" s="10" t="s">
        <v>35</v>
      </c>
      <c r="B36" s="164">
        <v>168</v>
      </c>
      <c r="C36" s="12">
        <v>8710.94</v>
      </c>
      <c r="D36" s="22" t="s">
        <v>44</v>
      </c>
      <c r="E36" s="22"/>
    </row>
    <row r="37" spans="1:5" x14ac:dyDescent="0.25">
      <c r="A37" s="10" t="s">
        <v>30</v>
      </c>
      <c r="B37" s="164">
        <v>200</v>
      </c>
      <c r="C37" s="12">
        <v>10578</v>
      </c>
      <c r="D37" s="22" t="s">
        <v>44</v>
      </c>
      <c r="E37" s="22"/>
    </row>
    <row r="38" spans="1:5" x14ac:dyDescent="0.25">
      <c r="A38" s="10" t="s">
        <v>11</v>
      </c>
      <c r="B38" s="164">
        <v>200</v>
      </c>
      <c r="C38" s="12">
        <v>10578</v>
      </c>
      <c r="D38" s="22" t="s">
        <v>44</v>
      </c>
      <c r="E38" s="22"/>
    </row>
    <row r="39" spans="1:5" x14ac:dyDescent="0.25">
      <c r="A39" s="10" t="s">
        <v>9</v>
      </c>
      <c r="B39" s="164">
        <v>175</v>
      </c>
      <c r="C39" s="12">
        <v>9255.75</v>
      </c>
      <c r="D39" s="22" t="s">
        <v>44</v>
      </c>
      <c r="E39" s="22"/>
    </row>
    <row r="40" spans="1:5" ht="15.75" thickBot="1" x14ac:dyDescent="0.3">
      <c r="A40" s="10" t="s">
        <v>32</v>
      </c>
      <c r="B40" s="164">
        <v>100</v>
      </c>
      <c r="C40" s="12">
        <v>5289</v>
      </c>
      <c r="D40" s="22" t="s">
        <v>44</v>
      </c>
      <c r="E40" s="22"/>
    </row>
    <row r="41" spans="1:5" ht="15.75" thickBot="1" x14ac:dyDescent="0.3">
      <c r="A41" s="13"/>
      <c r="B41" s="14"/>
      <c r="C41" s="12"/>
      <c r="D41" s="22"/>
      <c r="E41" s="24">
        <f>SUM(C31:C41)</f>
        <v>87622.333600000013</v>
      </c>
    </row>
    <row r="42" spans="1:5" ht="15.75" thickBot="1" x14ac:dyDescent="0.3">
      <c r="A42" s="10" t="s">
        <v>30</v>
      </c>
      <c r="B42" s="3">
        <v>500</v>
      </c>
      <c r="C42" s="4">
        <v>27295</v>
      </c>
      <c r="D42" s="25" t="s">
        <v>103</v>
      </c>
    </row>
    <row r="43" spans="1:5" x14ac:dyDescent="0.25">
      <c r="A43" s="2" t="s">
        <v>11</v>
      </c>
      <c r="B43" s="6">
        <v>500</v>
      </c>
      <c r="C43" s="7">
        <v>27495</v>
      </c>
      <c r="D43" s="26" t="s">
        <v>103</v>
      </c>
    </row>
    <row r="44" spans="1:5" x14ac:dyDescent="0.25">
      <c r="A44" s="10" t="s">
        <v>12</v>
      </c>
      <c r="B44" s="6">
        <v>700</v>
      </c>
      <c r="C44" s="7">
        <v>38493</v>
      </c>
      <c r="D44" s="26" t="s">
        <v>103</v>
      </c>
    </row>
    <row r="45" spans="1:5" x14ac:dyDescent="0.25">
      <c r="A45" s="27" t="s">
        <v>13</v>
      </c>
      <c r="B45" s="6">
        <v>500</v>
      </c>
      <c r="C45" s="7">
        <v>27595</v>
      </c>
      <c r="D45" s="26" t="s">
        <v>103</v>
      </c>
    </row>
    <row r="46" spans="1:5" x14ac:dyDescent="0.25">
      <c r="A46" s="27" t="s">
        <v>6</v>
      </c>
      <c r="B46" s="6">
        <v>200</v>
      </c>
      <c r="C46" s="7">
        <v>10698</v>
      </c>
      <c r="D46" s="26" t="s">
        <v>103</v>
      </c>
    </row>
    <row r="47" spans="1:5" x14ac:dyDescent="0.25">
      <c r="A47" s="27" t="s">
        <v>7</v>
      </c>
      <c r="B47" s="6">
        <v>300</v>
      </c>
      <c r="C47" s="7">
        <v>16597</v>
      </c>
      <c r="D47" s="26" t="s">
        <v>103</v>
      </c>
    </row>
    <row r="48" spans="1:5" x14ac:dyDescent="0.25">
      <c r="A48" s="27" t="s">
        <v>35</v>
      </c>
      <c r="B48" s="6">
        <v>300</v>
      </c>
      <c r="C48" s="7">
        <v>16497</v>
      </c>
      <c r="D48" s="26" t="s">
        <v>103</v>
      </c>
    </row>
    <row r="49" spans="1:4" x14ac:dyDescent="0.25">
      <c r="A49" s="27" t="s">
        <v>10</v>
      </c>
      <c r="B49" s="6">
        <v>600</v>
      </c>
      <c r="C49" s="7">
        <v>33194</v>
      </c>
      <c r="D49" s="26" t="s">
        <v>103</v>
      </c>
    </row>
    <row r="50" spans="1:4" x14ac:dyDescent="0.25">
      <c r="A50" s="27" t="s">
        <v>32</v>
      </c>
      <c r="B50" s="6">
        <v>200</v>
      </c>
      <c r="C50" s="7">
        <v>10998</v>
      </c>
      <c r="D50" s="26" t="s">
        <v>103</v>
      </c>
    </row>
    <row r="51" spans="1:4" x14ac:dyDescent="0.25">
      <c r="A51" s="27" t="s">
        <v>60</v>
      </c>
      <c r="B51" s="6">
        <v>185</v>
      </c>
      <c r="C51" s="7">
        <v>9988.15</v>
      </c>
      <c r="D51" s="26" t="s">
        <v>103</v>
      </c>
    </row>
    <row r="52" spans="1:4" x14ac:dyDescent="0.25">
      <c r="A52" s="27" t="s">
        <v>9</v>
      </c>
      <c r="B52" s="6">
        <v>448.42</v>
      </c>
      <c r="C52" s="7">
        <v>25107.040000000001</v>
      </c>
      <c r="D52" s="26" t="s">
        <v>103</v>
      </c>
    </row>
    <row r="53" spans="1:4" x14ac:dyDescent="0.25">
      <c r="A53" s="27" t="s">
        <v>5</v>
      </c>
      <c r="B53" s="6">
        <v>300</v>
      </c>
      <c r="C53" s="7">
        <v>16597</v>
      </c>
      <c r="D53" s="26" t="s">
        <v>103</v>
      </c>
    </row>
    <row r="54" spans="1:4" x14ac:dyDescent="0.25">
      <c r="A54" s="27" t="s">
        <v>34</v>
      </c>
      <c r="B54" s="6">
        <v>200</v>
      </c>
      <c r="C54" s="7">
        <v>11198</v>
      </c>
      <c r="D54" s="26" t="s">
        <v>103</v>
      </c>
    </row>
    <row r="55" spans="1:4" x14ac:dyDescent="0.25">
      <c r="A55" s="27"/>
      <c r="B55" s="6"/>
      <c r="C55" s="7"/>
      <c r="D55" s="26" t="s">
        <v>103</v>
      </c>
    </row>
    <row r="56" spans="1:4" ht="15.75" thickBot="1" x14ac:dyDescent="0.3">
      <c r="A56" s="27"/>
      <c r="B56" s="6"/>
      <c r="C56" s="7"/>
      <c r="D56" s="26"/>
    </row>
    <row r="57" spans="1:4" ht="15.75" hidden="1" thickBot="1" x14ac:dyDescent="0.3">
      <c r="A57" s="27"/>
      <c r="B57" s="6"/>
      <c r="C57" s="7"/>
      <c r="D57" s="26"/>
    </row>
    <row r="58" spans="1:4" ht="15.75" hidden="1" thickBot="1" x14ac:dyDescent="0.3">
      <c r="A58" s="27"/>
      <c r="B58" s="6"/>
      <c r="C58" s="7"/>
      <c r="D58" s="26"/>
    </row>
    <row r="59" spans="1:4" ht="15.75" hidden="1" thickBot="1" x14ac:dyDescent="0.3">
      <c r="A59" s="27"/>
      <c r="B59" s="6"/>
      <c r="C59" s="7"/>
      <c r="D59" s="26"/>
    </row>
    <row r="60" spans="1:4" ht="15.75" hidden="1" thickBot="1" x14ac:dyDescent="0.3">
      <c r="A60" s="27"/>
      <c r="B60" s="6"/>
      <c r="C60" s="7"/>
      <c r="D60" s="26"/>
    </row>
    <row r="61" spans="1:4" ht="15.75" hidden="1" thickBot="1" x14ac:dyDescent="0.3">
      <c r="A61" s="27"/>
      <c r="B61" s="6"/>
      <c r="C61" s="7"/>
      <c r="D61" s="26"/>
    </row>
    <row r="62" spans="1:4" ht="15.75" hidden="1" thickBot="1" x14ac:dyDescent="0.3">
      <c r="A62" s="27"/>
      <c r="B62" s="6"/>
      <c r="C62" s="7"/>
      <c r="D62" s="26"/>
    </row>
    <row r="63" spans="1:4" ht="15.75" hidden="1" thickBot="1" x14ac:dyDescent="0.3">
      <c r="A63" s="27"/>
      <c r="B63" s="6"/>
      <c r="C63" s="7"/>
      <c r="D63" s="26"/>
    </row>
    <row r="64" spans="1:4" ht="15.75" hidden="1" thickBot="1" x14ac:dyDescent="0.3">
      <c r="A64" s="27"/>
      <c r="B64" s="6"/>
      <c r="C64" s="7"/>
      <c r="D64" s="26"/>
    </row>
    <row r="65" spans="1:5" ht="15.75" hidden="1" thickBot="1" x14ac:dyDescent="0.3">
      <c r="A65" s="27"/>
      <c r="B65" s="6"/>
      <c r="C65" s="7"/>
      <c r="D65" s="26"/>
    </row>
    <row r="66" spans="1:5" ht="15.75" hidden="1" thickBot="1" x14ac:dyDescent="0.3">
      <c r="A66" s="27"/>
      <c r="B66" s="6"/>
      <c r="C66" s="7"/>
      <c r="D66" s="26"/>
    </row>
    <row r="67" spans="1:5" ht="15.75" hidden="1" thickBot="1" x14ac:dyDescent="0.3">
      <c r="A67" s="27"/>
      <c r="B67" s="6"/>
      <c r="C67" s="7"/>
      <c r="D67" s="26"/>
    </row>
    <row r="68" spans="1:5" ht="15.75" hidden="1" thickBot="1" x14ac:dyDescent="0.3">
      <c r="A68" s="27"/>
      <c r="B68" s="6"/>
      <c r="C68" s="7"/>
      <c r="D68" s="26"/>
    </row>
    <row r="69" spans="1:5" ht="15.75" hidden="1" thickBot="1" x14ac:dyDescent="0.3">
      <c r="A69" s="27"/>
      <c r="B69" s="6"/>
      <c r="C69" s="7"/>
      <c r="D69" s="26"/>
    </row>
    <row r="70" spans="1:5" ht="15.75" hidden="1" thickBot="1" x14ac:dyDescent="0.3">
      <c r="A70" s="27"/>
      <c r="B70" s="6"/>
      <c r="C70" s="7"/>
      <c r="D70" s="26"/>
    </row>
    <row r="71" spans="1:5" ht="15.75" hidden="1" thickBot="1" x14ac:dyDescent="0.3">
      <c r="A71" s="27"/>
      <c r="B71" s="6"/>
      <c r="C71" s="7"/>
      <c r="D71" s="26"/>
    </row>
    <row r="72" spans="1:5" ht="15.75" thickBot="1" x14ac:dyDescent="0.3">
      <c r="A72" s="27"/>
      <c r="B72" s="6"/>
      <c r="C72" s="7"/>
      <c r="D72" s="28"/>
      <c r="E72" s="24">
        <f>SUM(C42:C72)</f>
        <v>271752.19</v>
      </c>
    </row>
    <row r="73" spans="1:5" outlineLevel="1" x14ac:dyDescent="0.25">
      <c r="A73" s="2"/>
      <c r="B73" s="5"/>
      <c r="C73" s="29"/>
      <c r="D73" s="22"/>
    </row>
    <row r="74" spans="1:5" outlineLevel="1" x14ac:dyDescent="0.25">
      <c r="A74" s="10" t="s">
        <v>33</v>
      </c>
      <c r="B74" s="9">
        <v>60</v>
      </c>
      <c r="C74" s="12">
        <v>2999.4</v>
      </c>
      <c r="D74" s="22" t="s">
        <v>47</v>
      </c>
    </row>
    <row r="75" spans="1:5" ht="15.75" outlineLevel="1" thickBot="1" x14ac:dyDescent="0.3">
      <c r="A75" s="27"/>
      <c r="B75" s="6"/>
      <c r="C75" s="8"/>
      <c r="D75" s="22"/>
    </row>
    <row r="76" spans="1:5" ht="15.75" outlineLevel="1" thickBot="1" x14ac:dyDescent="0.3">
      <c r="A76" s="27"/>
      <c r="B76" s="167"/>
      <c r="C76" s="168"/>
      <c r="D76" s="235"/>
      <c r="E76" s="24">
        <f>SUM(C73:C76)</f>
        <v>2999.4</v>
      </c>
    </row>
    <row r="77" spans="1:5" hidden="1" x14ac:dyDescent="0.25">
      <c r="A77" s="2"/>
      <c r="B77" s="5"/>
      <c r="C77" s="172"/>
      <c r="D77" s="162" t="s">
        <v>45</v>
      </c>
    </row>
    <row r="78" spans="1:5" hidden="1" x14ac:dyDescent="0.25">
      <c r="A78" s="10"/>
      <c r="B78" s="9"/>
      <c r="C78" s="174"/>
      <c r="D78" s="162" t="s">
        <v>45</v>
      </c>
    </row>
    <row r="79" spans="1:5" hidden="1" x14ac:dyDescent="0.25">
      <c r="A79" s="10"/>
      <c r="B79" s="9"/>
      <c r="C79" s="174"/>
      <c r="D79" s="162" t="s">
        <v>45</v>
      </c>
    </row>
    <row r="80" spans="1:5" hidden="1" x14ac:dyDescent="0.25">
      <c r="A80" s="10"/>
      <c r="B80" s="9"/>
      <c r="C80" s="174"/>
      <c r="D80" s="162" t="s">
        <v>45</v>
      </c>
    </row>
    <row r="81" spans="1:7" hidden="1" x14ac:dyDescent="0.25">
      <c r="A81" s="10"/>
      <c r="B81" s="9"/>
      <c r="C81" s="174"/>
      <c r="D81" s="162" t="s">
        <v>45</v>
      </c>
    </row>
    <row r="82" spans="1:7" ht="15.75" hidden="1" thickBot="1" x14ac:dyDescent="0.3">
      <c r="A82" s="27"/>
      <c r="B82" s="167"/>
      <c r="C82" s="174"/>
      <c r="D82" s="26"/>
    </row>
    <row r="83" spans="1:7" ht="15.75" hidden="1" thickBot="1" x14ac:dyDescent="0.3">
      <c r="A83" s="13"/>
      <c r="B83" s="14"/>
      <c r="C83" s="15"/>
      <c r="D83" s="23"/>
      <c r="E83" s="24">
        <f>SUM(C77:C83)</f>
        <v>0</v>
      </c>
      <c r="G83" s="20"/>
    </row>
    <row r="84" spans="1:7" ht="15.75" hidden="1" thickBot="1" x14ac:dyDescent="0.3">
      <c r="A84" s="169"/>
      <c r="B84" s="170"/>
      <c r="C84" s="171"/>
      <c r="D84" s="161"/>
      <c r="E84" s="24">
        <f>SUM(C84:C84)</f>
        <v>0</v>
      </c>
      <c r="F84" s="30"/>
      <c r="G84" s="30"/>
    </row>
    <row r="85" spans="1:7" ht="15.75" hidden="1" thickBot="1" x14ac:dyDescent="0.3">
      <c r="A85" s="27"/>
      <c r="B85" s="3"/>
      <c r="C85" s="4"/>
      <c r="D85" s="22"/>
    </row>
    <row r="86" spans="1:7" ht="15.75" hidden="1" thickBot="1" x14ac:dyDescent="0.3">
      <c r="A86" s="27"/>
      <c r="B86" s="6"/>
      <c r="C86" s="7"/>
      <c r="D86" s="22"/>
    </row>
    <row r="87" spans="1:7" ht="15.75" hidden="1" thickBot="1" x14ac:dyDescent="0.3">
      <c r="A87" s="27"/>
      <c r="B87" s="6"/>
      <c r="C87" s="7"/>
      <c r="D87" s="22"/>
    </row>
    <row r="88" spans="1:7" ht="15.75" hidden="1" thickBot="1" x14ac:dyDescent="0.3">
      <c r="A88" s="27"/>
      <c r="B88" s="6"/>
      <c r="C88" s="7"/>
      <c r="D88" s="22"/>
    </row>
    <row r="89" spans="1:7" ht="15.75" hidden="1" thickBot="1" x14ac:dyDescent="0.3">
      <c r="A89" s="27"/>
      <c r="B89" s="6"/>
      <c r="C89" s="7"/>
      <c r="D89" s="22"/>
    </row>
    <row r="90" spans="1:7" ht="15.75" hidden="1" thickBot="1" x14ac:dyDescent="0.3">
      <c r="A90" s="27"/>
      <c r="B90" s="6"/>
      <c r="C90" s="7"/>
      <c r="D90" s="22"/>
    </row>
    <row r="91" spans="1:7" ht="15.75" hidden="1" thickBot="1" x14ac:dyDescent="0.3">
      <c r="A91" s="22"/>
      <c r="B91" s="6"/>
      <c r="C91" s="7"/>
      <c r="D91" s="22"/>
    </row>
    <row r="92" spans="1:7" ht="15.75" hidden="1" thickBot="1" x14ac:dyDescent="0.3">
      <c r="A92" s="10"/>
      <c r="B92" s="6"/>
      <c r="C92" s="7"/>
      <c r="D92" s="22"/>
    </row>
    <row r="93" spans="1:7" ht="15.75" hidden="1" thickBot="1" x14ac:dyDescent="0.3">
      <c r="A93" s="10"/>
      <c r="B93" s="6"/>
      <c r="C93" s="7"/>
      <c r="D93" s="22"/>
    </row>
    <row r="94" spans="1:7" ht="15.75" hidden="1" thickBot="1" x14ac:dyDescent="0.3">
      <c r="A94" s="10"/>
      <c r="B94" s="6"/>
      <c r="C94" s="7"/>
      <c r="D94" s="22"/>
    </row>
    <row r="95" spans="1:7" ht="15.75" hidden="1" thickBot="1" x14ac:dyDescent="0.3">
      <c r="A95" s="10"/>
      <c r="B95" s="6"/>
      <c r="C95" s="7"/>
      <c r="D95" s="22"/>
    </row>
    <row r="96" spans="1:7" ht="15.75" hidden="1" thickBot="1" x14ac:dyDescent="0.3">
      <c r="A96" s="10"/>
      <c r="B96" s="6"/>
      <c r="C96" s="7"/>
      <c r="D96" s="22"/>
    </row>
    <row r="97" spans="1:7" ht="15.75" hidden="1" thickBot="1" x14ac:dyDescent="0.3">
      <c r="A97" s="10"/>
      <c r="B97" s="6"/>
      <c r="C97" s="7"/>
      <c r="D97" s="22"/>
    </row>
    <row r="98" spans="1:7" ht="15.75" hidden="1" thickBot="1" x14ac:dyDescent="0.3">
      <c r="A98" s="10"/>
      <c r="B98" s="6"/>
      <c r="C98" s="7"/>
      <c r="D98" s="22"/>
    </row>
    <row r="99" spans="1:7" ht="15.75" hidden="1" thickBot="1" x14ac:dyDescent="0.3">
      <c r="A99" s="10"/>
      <c r="B99" s="6"/>
      <c r="C99" s="7"/>
      <c r="D99" s="22"/>
    </row>
    <row r="100" spans="1:7" ht="15.75" hidden="1" thickBot="1" x14ac:dyDescent="0.3">
      <c r="A100" s="10"/>
      <c r="B100" s="6"/>
      <c r="C100" s="7"/>
      <c r="D100" s="22"/>
    </row>
    <row r="101" spans="1:7" ht="15.75" hidden="1" thickBot="1" x14ac:dyDescent="0.3">
      <c r="A101" s="10"/>
      <c r="B101" s="6"/>
      <c r="C101" s="7"/>
      <c r="D101" s="22"/>
    </row>
    <row r="102" spans="1:7" ht="15.75" hidden="1" thickBot="1" x14ac:dyDescent="0.3">
      <c r="A102" s="10"/>
      <c r="B102" s="6"/>
      <c r="C102" s="7"/>
      <c r="D102" s="22"/>
    </row>
    <row r="103" spans="1:7" ht="15.75" hidden="1" thickBot="1" x14ac:dyDescent="0.3">
      <c r="A103" s="10"/>
      <c r="B103" s="6"/>
      <c r="C103" s="7"/>
      <c r="D103" s="22"/>
    </row>
    <row r="104" spans="1:7" ht="15.75" hidden="1" thickBot="1" x14ac:dyDescent="0.3">
      <c r="A104" s="10"/>
      <c r="B104" s="6"/>
      <c r="C104" s="7"/>
      <c r="D104" s="22"/>
    </row>
    <row r="105" spans="1:7" ht="15.75" hidden="1" thickBot="1" x14ac:dyDescent="0.3">
      <c r="A105" s="10"/>
      <c r="B105" s="6"/>
      <c r="C105" s="7"/>
      <c r="D105" s="22"/>
    </row>
    <row r="106" spans="1:7" ht="15.75" hidden="1" thickBot="1" x14ac:dyDescent="0.3">
      <c r="A106" s="10"/>
      <c r="B106" s="6"/>
      <c r="C106" s="7"/>
      <c r="D106" s="22"/>
    </row>
    <row r="107" spans="1:7" ht="15.75" hidden="1" thickBot="1" x14ac:dyDescent="0.3">
      <c r="A107" s="10"/>
      <c r="B107" s="6"/>
      <c r="C107" s="7"/>
      <c r="D107" s="22"/>
    </row>
    <row r="108" spans="1:7" ht="15.75" hidden="1" thickBot="1" x14ac:dyDescent="0.3">
      <c r="A108" s="10"/>
      <c r="B108" s="6"/>
      <c r="C108" s="7"/>
      <c r="D108" s="22"/>
    </row>
    <row r="109" spans="1:7" ht="15.75" hidden="1" thickBot="1" x14ac:dyDescent="0.3">
      <c r="A109" s="10"/>
      <c r="B109" s="6"/>
      <c r="C109" s="7"/>
      <c r="D109" s="22"/>
    </row>
    <row r="110" spans="1:7" ht="15.75" hidden="1" thickBot="1" x14ac:dyDescent="0.3">
      <c r="A110" s="10"/>
      <c r="B110" s="6"/>
      <c r="C110" s="7"/>
      <c r="D110" s="22"/>
    </row>
    <row r="111" spans="1:7" ht="15.75" hidden="1" thickBot="1" x14ac:dyDescent="0.3">
      <c r="A111" s="10"/>
      <c r="B111" s="6"/>
      <c r="C111" s="7"/>
      <c r="D111" s="22"/>
    </row>
    <row r="112" spans="1:7" ht="15.75" hidden="1" thickBot="1" x14ac:dyDescent="0.3">
      <c r="A112" s="13"/>
      <c r="B112" s="14"/>
      <c r="C112" s="15"/>
      <c r="D112" s="22"/>
      <c r="E112" s="31">
        <f>SUM(C85:C112)</f>
        <v>0</v>
      </c>
      <c r="F112" s="30"/>
      <c r="G112" s="30"/>
    </row>
    <row r="113" spans="1:3" ht="15.75" thickBot="1" x14ac:dyDescent="0.3">
      <c r="A113" s="32"/>
      <c r="B113" s="176">
        <f>SUM(B31:B112)</f>
        <v>6721.34</v>
      </c>
      <c r="C113" s="34">
        <f>SUM(C31:C112)</f>
        <v>362373.92360000004</v>
      </c>
    </row>
    <row r="114" spans="1:3" x14ac:dyDescent="0.25">
      <c r="C114" s="30"/>
    </row>
    <row r="115" spans="1:3" x14ac:dyDescent="0.25">
      <c r="C115" s="30"/>
    </row>
  </sheetData>
  <mergeCells count="1">
    <mergeCell ref="A29:D29"/>
  </mergeCells>
  <conditionalFormatting sqref="F1:F22">
    <cfRule type="cellIs" dxfId="18" priority="1" operator="lessThan">
      <formula>0</formula>
    </cfRule>
  </conditionalFormatting>
  <conditionalFormatting sqref="I18:I19">
    <cfRule type="cellIs" dxfId="17" priority="2" operator="greaterThanOrEqual">
      <formula>500</formula>
    </cfRule>
    <cfRule type="cellIs" dxfId="16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53"/>
  <sheetViews>
    <sheetView topLeftCell="A7" zoomScaleNormal="100" workbookViewId="0">
      <selection activeCell="I18" sqref="I18"/>
    </sheetView>
  </sheetViews>
  <sheetFormatPr defaultRowHeight="15" outlineLevelRow="1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hidden="1" customWidth="1" outlineLevel="1"/>
    <col min="13" max="13" width="8.85546875" collapsed="1"/>
    <col min="14" max="14" width="13.140625" customWidth="1"/>
    <col min="15" max="15" width="9.5703125" customWidth="1"/>
    <col min="16" max="16" width="10.28515625" customWidth="1"/>
    <col min="17" max="17" width="11.28515625" customWidth="1" outlineLevel="1"/>
    <col min="18" max="18" width="26.2851562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178" t="s">
        <v>95</v>
      </c>
      <c r="P1" s="178" t="s">
        <v>110</v>
      </c>
      <c r="Q1" s="178" t="s">
        <v>89</v>
      </c>
      <c r="R1" s="42" t="s">
        <v>4</v>
      </c>
    </row>
    <row r="2" spans="1:19" ht="15.75" hidden="1" thickBot="1" x14ac:dyDescent="0.3">
      <c r="A2" s="43" t="s">
        <v>29</v>
      </c>
      <c r="B2" s="44">
        <v>45474</v>
      </c>
      <c r="C2" s="45"/>
      <c r="D2" s="46">
        <f t="shared" ref="D2:D19" si="0">SUMIF($A$31:$A$150,A2,$B$31:$B$150)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VLOOKUP(A2,[4]Тарас!$C$4:$P$23,14,0)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25">
      <c r="A3" s="191" t="s">
        <v>30</v>
      </c>
      <c r="B3" s="192">
        <v>45689</v>
      </c>
      <c r="C3" s="200">
        <f>'Топливо Январь 2025'!E3</f>
        <v>120</v>
      </c>
      <c r="D3" s="194">
        <f>SUMIF($A$31:$A$150,A3,$B$31:$B$150)</f>
        <v>495.69</v>
      </c>
      <c r="E3" s="193">
        <v>100</v>
      </c>
      <c r="F3" s="236">
        <f>C3+D3-E3</f>
        <v>515.69000000000005</v>
      </c>
      <c r="G3" s="212">
        <f>'Топливо Январь 2025'!H3</f>
        <v>0</v>
      </c>
      <c r="H3" s="197"/>
      <c r="I3" s="198">
        <f>L3*0.65</f>
        <v>102.05</v>
      </c>
      <c r="J3" s="199"/>
      <c r="K3" s="199"/>
      <c r="L3" s="199">
        <v>157</v>
      </c>
      <c r="M3" s="200">
        <v>4.7300000000000004</v>
      </c>
      <c r="N3" s="221">
        <f>F3/I3</f>
        <v>5.0533072023517889</v>
      </c>
      <c r="O3" s="222">
        <f t="shared" ref="O3" si="1">N3-M3</f>
        <v>0.32330720235178845</v>
      </c>
      <c r="P3" s="263">
        <f>O3/M3</f>
        <v>6.8352474070145539E-2</v>
      </c>
      <c r="Q3" s="209">
        <f>(I3*O3*$K$26)</f>
        <v>1846.0672534754251</v>
      </c>
      <c r="R3" s="223" t="s">
        <v>52</v>
      </c>
    </row>
    <row r="4" spans="1:19" x14ac:dyDescent="0.25">
      <c r="A4" s="206" t="s">
        <v>10</v>
      </c>
      <c r="B4" s="192">
        <v>45689</v>
      </c>
      <c r="C4" s="200">
        <f>'Топливо Январь 2025'!E4</f>
        <v>65</v>
      </c>
      <c r="D4" s="194">
        <f t="shared" si="0"/>
        <v>300</v>
      </c>
      <c r="E4" s="207">
        <v>130</v>
      </c>
      <c r="F4" s="236">
        <f>C4+D4-E4</f>
        <v>235</v>
      </c>
      <c r="G4" s="212">
        <f>'Топливо Январь 2025'!H4</f>
        <v>10445</v>
      </c>
      <c r="H4" s="198">
        <v>10496</v>
      </c>
      <c r="I4" s="198">
        <f>H4-G4</f>
        <v>51</v>
      </c>
      <c r="J4" s="200">
        <v>0</v>
      </c>
      <c r="K4" s="200"/>
      <c r="L4" s="200">
        <v>50</v>
      </c>
      <c r="M4" s="200">
        <v>4.7300000000000004</v>
      </c>
      <c r="N4" s="201">
        <f>F4/I4</f>
        <v>4.6078431372549016</v>
      </c>
      <c r="O4" s="222"/>
      <c r="P4" s="263"/>
      <c r="Q4" s="209"/>
      <c r="R4" s="204"/>
      <c r="S4" s="102"/>
    </row>
    <row r="5" spans="1:19" s="11" customFormat="1" ht="24.6" customHeight="1" x14ac:dyDescent="0.25">
      <c r="A5" s="206" t="s">
        <v>11</v>
      </c>
      <c r="B5" s="192">
        <v>45689</v>
      </c>
      <c r="C5" s="200">
        <f>'Топливо Январь 2025'!E5</f>
        <v>115</v>
      </c>
      <c r="D5" s="194">
        <f t="shared" si="0"/>
        <v>600</v>
      </c>
      <c r="E5" s="207">
        <v>30</v>
      </c>
      <c r="F5" s="236">
        <f t="shared" ref="F5:F17" si="2">C5+D5-E5</f>
        <v>685</v>
      </c>
      <c r="G5" s="212">
        <f>'Топливо Январь 2025'!H5</f>
        <v>8202</v>
      </c>
      <c r="H5" s="198">
        <v>8359</v>
      </c>
      <c r="I5" s="198">
        <f t="shared" ref="I5:I15" si="3">H5-G5</f>
        <v>157</v>
      </c>
      <c r="J5" s="200">
        <v>0</v>
      </c>
      <c r="K5" s="200"/>
      <c r="L5" s="200">
        <v>180</v>
      </c>
      <c r="M5" s="200">
        <v>4.7300000000000004</v>
      </c>
      <c r="N5" s="201">
        <f>F5/I5</f>
        <v>4.3630573248407645</v>
      </c>
      <c r="O5" s="222"/>
      <c r="P5" s="263"/>
      <c r="Q5" s="209"/>
      <c r="R5" s="208"/>
    </row>
    <row r="6" spans="1:19" x14ac:dyDescent="0.25">
      <c r="A6" s="206" t="s">
        <v>32</v>
      </c>
      <c r="B6" s="192">
        <v>45689</v>
      </c>
      <c r="C6" s="200">
        <f>'Топливо Январь 2025'!E6</f>
        <v>100</v>
      </c>
      <c r="D6" s="194">
        <f t="shared" si="0"/>
        <v>400</v>
      </c>
      <c r="E6" s="207">
        <v>120</v>
      </c>
      <c r="F6" s="236">
        <f t="shared" si="2"/>
        <v>380</v>
      </c>
      <c r="G6" s="212">
        <f>'Топливо Январь 2025'!H6</f>
        <v>5207</v>
      </c>
      <c r="H6" s="198">
        <v>5258</v>
      </c>
      <c r="I6" s="198">
        <f>H6-G6</f>
        <v>51</v>
      </c>
      <c r="J6" s="200">
        <v>0</v>
      </c>
      <c r="K6" s="200"/>
      <c r="L6" s="200">
        <v>96</v>
      </c>
      <c r="M6" s="200">
        <v>5</v>
      </c>
      <c r="N6" s="201">
        <f t="shared" ref="N6:N16" si="4">F6/I6</f>
        <v>7.4509803921568629</v>
      </c>
      <c r="O6" s="222">
        <f>N6-M6</f>
        <v>2.4509803921568629</v>
      </c>
      <c r="P6" s="263">
        <f>O6/M6</f>
        <v>0.49019607843137258</v>
      </c>
      <c r="Q6" s="209">
        <f>(I6*O6*$K$26)</f>
        <v>6994.0566076478117</v>
      </c>
      <c r="R6" s="204"/>
    </row>
    <row r="7" spans="1:19" s="11" customFormat="1" x14ac:dyDescent="0.25">
      <c r="A7" s="206" t="s">
        <v>33</v>
      </c>
      <c r="B7" s="192">
        <v>45689</v>
      </c>
      <c r="C7" s="200">
        <f>'Топливо Январь 2025'!E7</f>
        <v>80</v>
      </c>
      <c r="D7" s="194">
        <f t="shared" si="0"/>
        <v>80</v>
      </c>
      <c r="E7" s="194">
        <v>25</v>
      </c>
      <c r="F7" s="236">
        <f t="shared" si="2"/>
        <v>135</v>
      </c>
      <c r="G7" s="212">
        <f>'Топливо Январь 2025'!H7</f>
        <v>10566</v>
      </c>
      <c r="H7" s="198">
        <v>10616</v>
      </c>
      <c r="I7" s="198">
        <f>H7-G7</f>
        <v>50</v>
      </c>
      <c r="J7" s="200">
        <v>0</v>
      </c>
      <c r="K7" s="200"/>
      <c r="L7" s="200">
        <v>0</v>
      </c>
      <c r="M7" s="200">
        <v>3.8</v>
      </c>
      <c r="N7" s="201">
        <f t="shared" si="4"/>
        <v>2.7</v>
      </c>
      <c r="O7" s="222"/>
      <c r="P7" s="263"/>
      <c r="Q7" s="209"/>
      <c r="R7" s="208" t="s">
        <v>108</v>
      </c>
    </row>
    <row r="8" spans="1:19" x14ac:dyDescent="0.25">
      <c r="A8" s="206" t="s">
        <v>12</v>
      </c>
      <c r="B8" s="192">
        <v>45689</v>
      </c>
      <c r="C8" s="200">
        <f>'Топливо Январь 2025'!E8</f>
        <v>20</v>
      </c>
      <c r="D8" s="194">
        <f t="shared" si="0"/>
        <v>1010</v>
      </c>
      <c r="E8" s="207">
        <v>50</v>
      </c>
      <c r="F8" s="236">
        <f>C8+D8-E8</f>
        <v>980</v>
      </c>
      <c r="G8" s="212">
        <f>'Топливо Январь 2025'!H8</f>
        <v>18565</v>
      </c>
      <c r="H8" s="198">
        <v>18772</v>
      </c>
      <c r="I8" s="198">
        <f>H8-G8</f>
        <v>207</v>
      </c>
      <c r="J8" s="200">
        <v>0</v>
      </c>
      <c r="K8" s="200"/>
      <c r="L8" s="200">
        <v>190</v>
      </c>
      <c r="M8" s="200">
        <v>4.3499999999999996</v>
      </c>
      <c r="N8" s="221">
        <f t="shared" si="4"/>
        <v>4.7342995169082123</v>
      </c>
      <c r="O8" s="222">
        <f t="shared" ref="O8" si="5">N8-M8</f>
        <v>0.38429951690821262</v>
      </c>
      <c r="P8" s="263">
        <f t="shared" ref="P8:P22" si="6">O8/M8</f>
        <v>8.8344716530623604E-2</v>
      </c>
      <c r="Q8" s="209">
        <f>(I8*O8*$K$26)</f>
        <v>4451.017625107067</v>
      </c>
      <c r="R8" s="204"/>
    </row>
    <row r="9" spans="1:19" s="11" customFormat="1" x14ac:dyDescent="0.25">
      <c r="A9" s="206" t="s">
        <v>14</v>
      </c>
      <c r="B9" s="192">
        <v>45689</v>
      </c>
      <c r="C9" s="200">
        <f>'Топливо Январь 2025'!E9</f>
        <v>30</v>
      </c>
      <c r="D9" s="194">
        <f t="shared" si="0"/>
        <v>0</v>
      </c>
      <c r="E9" s="207">
        <v>30</v>
      </c>
      <c r="F9" s="236">
        <f>C9+D9-E9</f>
        <v>0</v>
      </c>
      <c r="G9" s="212">
        <f>'Топливо Январь 2025'!H9</f>
        <v>191</v>
      </c>
      <c r="H9" s="198">
        <v>191</v>
      </c>
      <c r="I9" s="198">
        <f>H9-G9</f>
        <v>0</v>
      </c>
      <c r="J9" s="200">
        <v>0</v>
      </c>
      <c r="K9" s="200"/>
      <c r="L9" s="200"/>
      <c r="M9" s="200">
        <v>4.3499999999999996</v>
      </c>
      <c r="N9" s="221"/>
      <c r="O9" s="222"/>
      <c r="P9" s="263"/>
      <c r="Q9" s="209"/>
      <c r="R9" s="208" t="s">
        <v>109</v>
      </c>
    </row>
    <row r="10" spans="1:19" x14ac:dyDescent="0.25">
      <c r="A10" s="206" t="s">
        <v>13</v>
      </c>
      <c r="B10" s="192">
        <v>45689</v>
      </c>
      <c r="C10" s="200">
        <f>'Топливо Январь 2025'!E10</f>
        <v>20</v>
      </c>
      <c r="D10" s="194">
        <f t="shared" si="0"/>
        <v>977</v>
      </c>
      <c r="E10" s="207">
        <v>30</v>
      </c>
      <c r="F10" s="236">
        <f t="shared" si="2"/>
        <v>967</v>
      </c>
      <c r="G10" s="212">
        <f>'Топливо Январь 2025'!H10</f>
        <v>12787</v>
      </c>
      <c r="H10" s="198">
        <v>12971</v>
      </c>
      <c r="I10" s="198">
        <f t="shared" si="3"/>
        <v>184</v>
      </c>
      <c r="J10" s="200">
        <v>0</v>
      </c>
      <c r="K10" s="200"/>
      <c r="L10" s="200">
        <v>194</v>
      </c>
      <c r="M10" s="200">
        <v>4.3499999999999996</v>
      </c>
      <c r="N10" s="221">
        <f>F10/I10</f>
        <v>5.2554347826086953</v>
      </c>
      <c r="O10" s="222">
        <f>N10-M10</f>
        <v>0.9054347826086957</v>
      </c>
      <c r="P10" s="263">
        <f>O10/M10</f>
        <v>0.2081459270364818</v>
      </c>
      <c r="Q10" s="209">
        <f>(I10*O10*$K$26)</f>
        <v>9321.6786466730027</v>
      </c>
      <c r="R10" s="204"/>
    </row>
    <row r="11" spans="1:19" x14ac:dyDescent="0.25">
      <c r="A11" s="206" t="s">
        <v>34</v>
      </c>
      <c r="B11" s="192">
        <v>45689</v>
      </c>
      <c r="C11" s="200">
        <f>'Топливо Январь 2025'!E11</f>
        <v>450</v>
      </c>
      <c r="D11" s="194">
        <f t="shared" si="0"/>
        <v>1200</v>
      </c>
      <c r="E11" s="207">
        <v>515</v>
      </c>
      <c r="F11" s="236">
        <f t="shared" si="2"/>
        <v>1135</v>
      </c>
      <c r="G11" s="212">
        <f>'Топливо Январь 2025'!H11</f>
        <v>7769</v>
      </c>
      <c r="H11" s="198">
        <v>7888</v>
      </c>
      <c r="I11" s="198">
        <f>H11-G11</f>
        <v>119</v>
      </c>
      <c r="J11" s="200">
        <v>0</v>
      </c>
      <c r="K11" s="200"/>
      <c r="L11" s="200">
        <v>157</v>
      </c>
      <c r="M11" s="200">
        <v>10.5</v>
      </c>
      <c r="N11" s="201">
        <f t="shared" si="4"/>
        <v>9.53781512605042</v>
      </c>
      <c r="O11" s="222"/>
      <c r="P11" s="263"/>
      <c r="Q11" s="209"/>
      <c r="R11" s="223"/>
      <c r="S11" s="11"/>
    </row>
    <row r="12" spans="1:19" x14ac:dyDescent="0.25">
      <c r="A12" s="206" t="s">
        <v>35</v>
      </c>
      <c r="B12" s="192">
        <v>45689</v>
      </c>
      <c r="C12" s="200">
        <f>'Топливо Январь 2025'!E12</f>
        <v>220</v>
      </c>
      <c r="D12" s="194">
        <f t="shared" si="0"/>
        <v>600</v>
      </c>
      <c r="E12" s="207">
        <v>160</v>
      </c>
      <c r="F12" s="236">
        <f t="shared" si="2"/>
        <v>660</v>
      </c>
      <c r="G12" s="212">
        <f>'Топливо Январь 2025'!H12</f>
        <v>34624</v>
      </c>
      <c r="H12" s="198">
        <v>35617</v>
      </c>
      <c r="I12" s="198">
        <f t="shared" si="3"/>
        <v>993</v>
      </c>
      <c r="J12" s="200">
        <v>0</v>
      </c>
      <c r="K12" s="200"/>
      <c r="L12" s="200">
        <v>151</v>
      </c>
      <c r="M12" s="200">
        <v>0.9</v>
      </c>
      <c r="N12" s="201">
        <f t="shared" si="4"/>
        <v>0.66465256797583083</v>
      </c>
      <c r="O12" s="222"/>
      <c r="P12" s="263"/>
      <c r="Q12" s="209"/>
      <c r="R12" s="204"/>
    </row>
    <row r="13" spans="1:19" x14ac:dyDescent="0.25">
      <c r="A13" s="206" t="s">
        <v>7</v>
      </c>
      <c r="B13" s="192">
        <v>45689</v>
      </c>
      <c r="C13" s="200">
        <f>'Топливо Январь 2025'!E13</f>
        <v>150</v>
      </c>
      <c r="D13" s="194">
        <f t="shared" si="0"/>
        <v>200</v>
      </c>
      <c r="E13" s="207">
        <v>150</v>
      </c>
      <c r="F13" s="236">
        <f t="shared" si="2"/>
        <v>200</v>
      </c>
      <c r="G13" s="212">
        <f>'Топливо Январь 2025'!H13</f>
        <v>39481</v>
      </c>
      <c r="H13" s="198">
        <v>39794</v>
      </c>
      <c r="I13" s="198">
        <f>H13-G13</f>
        <v>313</v>
      </c>
      <c r="J13" s="200">
        <v>0</v>
      </c>
      <c r="K13" s="200"/>
      <c r="L13" s="200">
        <v>59</v>
      </c>
      <c r="M13" s="200">
        <v>0.9</v>
      </c>
      <c r="N13" s="201">
        <f>F13/I13</f>
        <v>0.63897763578274758</v>
      </c>
      <c r="O13" s="222"/>
      <c r="P13" s="263"/>
      <c r="Q13" s="209"/>
      <c r="R13" s="204"/>
    </row>
    <row r="14" spans="1:19" x14ac:dyDescent="0.25">
      <c r="A14" s="206" t="s">
        <v>8</v>
      </c>
      <c r="B14" s="192">
        <v>45689</v>
      </c>
      <c r="C14" s="200">
        <f>'Топливо Январь 2025'!E14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Январь 2025'!H14</f>
        <v>560741</v>
      </c>
      <c r="H14" s="212">
        <v>560741</v>
      </c>
      <c r="I14" s="198">
        <f t="shared" si="3"/>
        <v>0</v>
      </c>
      <c r="J14" s="200">
        <v>0</v>
      </c>
      <c r="K14" s="200"/>
      <c r="L14" s="200"/>
      <c r="M14" s="200">
        <v>0.9</v>
      </c>
      <c r="N14" s="201"/>
      <c r="O14" s="202"/>
      <c r="P14" s="263"/>
      <c r="Q14" s="203"/>
      <c r="R14" s="204" t="s">
        <v>109</v>
      </c>
    </row>
    <row r="15" spans="1:19" ht="21.6" customHeight="1" x14ac:dyDescent="0.25">
      <c r="A15" s="206" t="s">
        <v>9</v>
      </c>
      <c r="B15" s="192">
        <v>45689</v>
      </c>
      <c r="C15" s="200">
        <f>'Топливо Январь 2025'!E15</f>
        <v>150</v>
      </c>
      <c r="D15" s="194">
        <f t="shared" si="0"/>
        <v>665.01</v>
      </c>
      <c r="E15" s="207">
        <v>40</v>
      </c>
      <c r="F15" s="236">
        <f>C15+D15-E15</f>
        <v>775.01</v>
      </c>
      <c r="G15" s="212">
        <f>'Топливо Январь 2025'!H15</f>
        <v>75883</v>
      </c>
      <c r="H15" s="198">
        <v>76832</v>
      </c>
      <c r="I15" s="198">
        <f t="shared" si="3"/>
        <v>949</v>
      </c>
      <c r="J15" s="200">
        <v>0</v>
      </c>
      <c r="K15" s="200"/>
      <c r="L15" s="200">
        <v>136</v>
      </c>
      <c r="M15" s="200">
        <v>0.9</v>
      </c>
      <c r="N15" s="201">
        <f t="shared" si="4"/>
        <v>0.81665964172813488</v>
      </c>
      <c r="O15" s="222"/>
      <c r="P15" s="263"/>
      <c r="Q15" s="209"/>
      <c r="R15" s="223"/>
      <c r="S15" s="11"/>
    </row>
    <row r="16" spans="1:19" x14ac:dyDescent="0.25">
      <c r="A16" s="206" t="s">
        <v>60</v>
      </c>
      <c r="B16" s="192">
        <v>45689</v>
      </c>
      <c r="C16" s="200">
        <f>'Топливо Январь 2025'!E16</f>
        <v>185</v>
      </c>
      <c r="D16" s="194">
        <f t="shared" si="0"/>
        <v>995</v>
      </c>
      <c r="E16" s="207">
        <v>150</v>
      </c>
      <c r="F16" s="236">
        <f t="shared" si="2"/>
        <v>1030</v>
      </c>
      <c r="G16" s="212">
        <f>'Топливо Январь 2025'!H16</f>
        <v>71770</v>
      </c>
      <c r="H16" s="198">
        <v>73578</v>
      </c>
      <c r="I16" s="198">
        <f>H16-G16</f>
        <v>1808</v>
      </c>
      <c r="J16" s="200">
        <v>0</v>
      </c>
      <c r="K16" s="200"/>
      <c r="L16" s="200">
        <v>173</v>
      </c>
      <c r="M16" s="200">
        <v>0.9</v>
      </c>
      <c r="N16" s="201">
        <f t="shared" si="4"/>
        <v>0.56969026548672563</v>
      </c>
      <c r="O16" s="222"/>
      <c r="P16" s="263"/>
      <c r="Q16" s="209"/>
      <c r="R16" s="204"/>
      <c r="S16" s="11"/>
    </row>
    <row r="17" spans="1:19" x14ac:dyDescent="0.25">
      <c r="A17" s="210" t="s">
        <v>37</v>
      </c>
      <c r="B17" s="192">
        <v>45689</v>
      </c>
      <c r="C17" s="200">
        <f>'Топливо Январь 2025'!E17</f>
        <v>110</v>
      </c>
      <c r="D17" s="194">
        <f t="shared" si="0"/>
        <v>400</v>
      </c>
      <c r="E17" s="200">
        <v>170</v>
      </c>
      <c r="F17" s="236">
        <f t="shared" si="2"/>
        <v>340</v>
      </c>
      <c r="G17" s="212">
        <f>'Топливо Январь 2025'!H17</f>
        <v>0</v>
      </c>
      <c r="H17" s="198"/>
      <c r="I17" s="198">
        <f>L17*0.7</f>
        <v>24.5</v>
      </c>
      <c r="J17" s="200">
        <v>0</v>
      </c>
      <c r="K17" s="200"/>
      <c r="L17" s="200">
        <v>35</v>
      </c>
      <c r="M17" s="200">
        <v>5.0999999999999996</v>
      </c>
      <c r="N17" s="221">
        <f t="shared" ref="N17:N22" si="7">F17/I17</f>
        <v>13.877551020408163</v>
      </c>
      <c r="O17" s="222">
        <f t="shared" ref="O17:O22" si="8">N17-M17</f>
        <v>8.777551020408163</v>
      </c>
      <c r="P17" s="263">
        <f>O17/M17</f>
        <v>1.7210884353741498</v>
      </c>
      <c r="Q17" s="209">
        <f>(I17*O17*$K$26)</f>
        <v>12032.574987797292</v>
      </c>
      <c r="R17" s="223" t="s">
        <v>52</v>
      </c>
      <c r="S17" s="11"/>
    </row>
    <row r="18" spans="1:19" x14ac:dyDescent="0.25">
      <c r="A18" s="206" t="s">
        <v>5</v>
      </c>
      <c r="B18" s="192">
        <v>45689</v>
      </c>
      <c r="C18" s="200">
        <f>'Топливо Январь 2025'!E18</f>
        <v>180</v>
      </c>
      <c r="D18" s="194">
        <f t="shared" si="0"/>
        <v>400</v>
      </c>
      <c r="E18" s="207">
        <v>120</v>
      </c>
      <c r="F18" s="237">
        <f>C18+D18-E18</f>
        <v>460</v>
      </c>
      <c r="G18" s="212">
        <f>'Топливо Январь 2025'!H18</f>
        <v>6426</v>
      </c>
      <c r="H18" s="198">
        <v>6526</v>
      </c>
      <c r="I18" s="212">
        <f>H18-G18</f>
        <v>100</v>
      </c>
      <c r="J18" s="200">
        <v>0</v>
      </c>
      <c r="K18" s="200"/>
      <c r="L18" s="200">
        <v>198</v>
      </c>
      <c r="M18" s="200">
        <v>4.07</v>
      </c>
      <c r="N18" s="221">
        <f t="shared" si="7"/>
        <v>4.5999999999999996</v>
      </c>
      <c r="O18" s="222">
        <f t="shared" si="8"/>
        <v>0.52999999999999936</v>
      </c>
      <c r="P18" s="263">
        <f t="shared" ref="P18" si="9">O18/M18</f>
        <v>0.13022113022113005</v>
      </c>
      <c r="Q18" s="209">
        <f>(I18*O18*$K$26)</f>
        <v>2965.4800016426684</v>
      </c>
      <c r="R18" s="204"/>
      <c r="S18" s="11"/>
    </row>
    <row r="19" spans="1:19" x14ac:dyDescent="0.25">
      <c r="A19" s="240" t="s">
        <v>6</v>
      </c>
      <c r="B19" s="241">
        <v>45689</v>
      </c>
      <c r="C19" s="200">
        <f>'Топливо Январь 2025'!E19</f>
        <v>140</v>
      </c>
      <c r="D19" s="238">
        <f t="shared" si="0"/>
        <v>200</v>
      </c>
      <c r="E19" s="239">
        <v>60</v>
      </c>
      <c r="F19" s="264">
        <f>C19+D19-E19</f>
        <v>280</v>
      </c>
      <c r="G19" s="212">
        <f>'Топливо Январь 2025'!H19</f>
        <v>98</v>
      </c>
      <c r="H19" s="243">
        <v>139</v>
      </c>
      <c r="I19" s="243">
        <f>H19-G19</f>
        <v>41</v>
      </c>
      <c r="J19" s="239">
        <v>0</v>
      </c>
      <c r="K19" s="244"/>
      <c r="L19" s="239">
        <v>123</v>
      </c>
      <c r="M19" s="239">
        <v>2.9</v>
      </c>
      <c r="N19" s="245">
        <f t="shared" si="7"/>
        <v>6.8292682926829267</v>
      </c>
      <c r="O19" s="262">
        <f t="shared" si="8"/>
        <v>3.9292682926829268</v>
      </c>
      <c r="P19" s="263">
        <f t="shared" si="6"/>
        <v>1.3549201009251473</v>
      </c>
      <c r="Q19" s="265">
        <f>(I19*O19*$K$26)</f>
        <v>9013.9401559364978</v>
      </c>
      <c r="R19" s="266"/>
    </row>
    <row r="20" spans="1:19" ht="15.75" hidden="1" outlineLevel="1" thickBot="1" x14ac:dyDescent="0.3">
      <c r="A20" s="191" t="s">
        <v>105</v>
      </c>
      <c r="B20" s="254">
        <v>45689</v>
      </c>
      <c r="C20" s="199">
        <f>'Топливо Декабрь 2024 '!E20</f>
        <v>0</v>
      </c>
      <c r="D20" s="255"/>
      <c r="E20" s="199"/>
      <c r="F20" s="255">
        <v>1212</v>
      </c>
      <c r="G20" s="251"/>
      <c r="H20" s="251"/>
      <c r="I20" s="251">
        <v>3171</v>
      </c>
      <c r="J20" s="199"/>
      <c r="K20" s="199"/>
      <c r="L20" s="199"/>
      <c r="M20" s="199">
        <v>0.32</v>
      </c>
      <c r="N20" s="256">
        <f t="shared" si="7"/>
        <v>0.38221381267738885</v>
      </c>
      <c r="O20" s="221">
        <f t="shared" si="8"/>
        <v>6.2213812677388847E-2</v>
      </c>
      <c r="P20" s="271">
        <f>O20/M20</f>
        <v>0.19441816461684014</v>
      </c>
      <c r="Q20" s="272">
        <f>O20*I20*50.41</f>
        <v>9944.8848000000016</v>
      </c>
      <c r="R20" s="258" t="s">
        <v>106</v>
      </c>
      <c r="S20" s="11"/>
    </row>
    <row r="21" spans="1:19" ht="27" hidden="1" outlineLevel="1" thickBot="1" x14ac:dyDescent="0.3">
      <c r="A21" s="206" t="s">
        <v>114</v>
      </c>
      <c r="B21" s="254">
        <v>45689</v>
      </c>
      <c r="C21" s="200"/>
      <c r="D21" s="211"/>
      <c r="E21" s="200"/>
      <c r="F21" s="211">
        <v>876</v>
      </c>
      <c r="G21" s="212"/>
      <c r="H21" s="212"/>
      <c r="I21" s="212">
        <v>2263</v>
      </c>
      <c r="J21" s="200"/>
      <c r="K21" s="200"/>
      <c r="L21" s="200"/>
      <c r="M21" s="214">
        <v>0.32</v>
      </c>
      <c r="N21" s="252">
        <f>F21/I21</f>
        <v>0.38709677419354838</v>
      </c>
      <c r="O21" s="221">
        <f t="shared" si="8"/>
        <v>6.709677419354837E-2</v>
      </c>
      <c r="P21" s="271">
        <f>O21/M21</f>
        <v>0.20967741935483866</v>
      </c>
      <c r="Q21" s="272">
        <f>O21*I21*51.99</f>
        <v>7894.1615999999976</v>
      </c>
      <c r="R21" s="267" t="s">
        <v>106</v>
      </c>
      <c r="S21" s="11"/>
    </row>
    <row r="22" spans="1:19" ht="15.75" hidden="1" collapsed="1" thickBot="1" x14ac:dyDescent="0.3">
      <c r="A22" s="213" t="s">
        <v>107</v>
      </c>
      <c r="B22" s="253">
        <v>45689</v>
      </c>
      <c r="C22" s="214">
        <f>'Топливо Декабрь 2024 '!E21</f>
        <v>0</v>
      </c>
      <c r="D22" s="215"/>
      <c r="E22" s="214"/>
      <c r="F22" s="215"/>
      <c r="G22" s="218"/>
      <c r="H22" s="218"/>
      <c r="I22" s="218"/>
      <c r="J22" s="214"/>
      <c r="K22" s="214"/>
      <c r="L22" s="214"/>
      <c r="M22" s="214">
        <v>0.32</v>
      </c>
      <c r="N22" s="252" t="e">
        <f t="shared" si="7"/>
        <v>#DIV/0!</v>
      </c>
      <c r="O22" s="268" t="e">
        <f t="shared" si="8"/>
        <v>#DIV/0!</v>
      </c>
      <c r="P22" s="269" t="e">
        <f t="shared" si="6"/>
        <v>#DIV/0!</v>
      </c>
      <c r="Q22" s="270" t="e">
        <f>O22*I22*50.41</f>
        <v>#DIV/0!</v>
      </c>
      <c r="R22" s="260" t="s">
        <v>106</v>
      </c>
      <c r="S22" s="11"/>
    </row>
    <row r="23" spans="1:19" x14ac:dyDescent="0.25">
      <c r="A23" s="51"/>
      <c r="B23" s="51"/>
      <c r="C23" s="249">
        <f>SUM(C3:C19)</f>
        <v>2415</v>
      </c>
      <c r="D23" s="250">
        <f>SUM(D2:D19)</f>
        <v>8522.7000000000007</v>
      </c>
      <c r="E23" s="249">
        <f>SUM(E2:E19)</f>
        <v>2160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46624.815278279762</v>
      </c>
      <c r="R23" s="51"/>
    </row>
    <row r="24" spans="1:19" x14ac:dyDescent="0.25">
      <c r="A24" s="51"/>
      <c r="B24" s="51"/>
      <c r="C24" s="51"/>
      <c r="D24" s="106">
        <f>D23-B151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6" spans="1:19" x14ac:dyDescent="0.25">
      <c r="D26" s="17"/>
      <c r="J26" s="18" t="s">
        <v>39</v>
      </c>
      <c r="K26" s="19">
        <f>SUM(C31:C150)/B151</f>
        <v>55.952452861182486</v>
      </c>
    </row>
    <row r="27" spans="1:19" x14ac:dyDescent="0.25">
      <c r="N27" s="17"/>
    </row>
    <row r="28" spans="1:19" x14ac:dyDescent="0.25">
      <c r="H28" s="20"/>
    </row>
    <row r="29" spans="1:19" x14ac:dyDescent="0.25">
      <c r="A29" s="487" t="s">
        <v>40</v>
      </c>
      <c r="B29" s="487"/>
      <c r="C29" s="487"/>
      <c r="D29" s="487"/>
    </row>
    <row r="30" spans="1:19" ht="15.75" thickBot="1" x14ac:dyDescent="0.3">
      <c r="A30" s="21" t="s">
        <v>15</v>
      </c>
      <c r="B30" s="21" t="s">
        <v>41</v>
      </c>
      <c r="C30" s="21" t="s">
        <v>42</v>
      </c>
      <c r="D30" s="21" t="s">
        <v>43</v>
      </c>
    </row>
    <row r="31" spans="1:19" x14ac:dyDescent="0.25">
      <c r="A31" s="10" t="s">
        <v>30</v>
      </c>
      <c r="B31" s="163">
        <v>100</v>
      </c>
      <c r="C31" s="12">
        <v>5599</v>
      </c>
      <c r="D31" s="22" t="s">
        <v>103</v>
      </c>
    </row>
    <row r="32" spans="1:19" x14ac:dyDescent="0.25">
      <c r="A32" s="10" t="s">
        <v>30</v>
      </c>
      <c r="B32" s="164">
        <v>44</v>
      </c>
      <c r="C32" s="12">
        <v>2463.56</v>
      </c>
      <c r="D32" s="22" t="s">
        <v>103</v>
      </c>
    </row>
    <row r="33" spans="1:4" x14ac:dyDescent="0.25">
      <c r="A33" s="10" t="s">
        <v>30</v>
      </c>
      <c r="B33" s="164">
        <v>71.69</v>
      </c>
      <c r="C33" s="12">
        <v>4013.92</v>
      </c>
      <c r="D33" s="22" t="s">
        <v>103</v>
      </c>
    </row>
    <row r="34" spans="1:4" x14ac:dyDescent="0.25">
      <c r="A34" s="10" t="s">
        <v>30</v>
      </c>
      <c r="B34" s="164">
        <v>80</v>
      </c>
      <c r="C34" s="12">
        <v>4479.2</v>
      </c>
      <c r="D34" s="22" t="s">
        <v>103</v>
      </c>
    </row>
    <row r="35" spans="1:4" x14ac:dyDescent="0.25">
      <c r="A35" s="22" t="s">
        <v>30</v>
      </c>
      <c r="B35" s="164">
        <v>100</v>
      </c>
      <c r="C35" s="12">
        <v>5599</v>
      </c>
      <c r="D35" s="22" t="s">
        <v>103</v>
      </c>
    </row>
    <row r="36" spans="1:4" x14ac:dyDescent="0.25">
      <c r="A36" s="22" t="s">
        <v>30</v>
      </c>
      <c r="B36" s="164">
        <v>100</v>
      </c>
      <c r="C36" s="12">
        <v>5599</v>
      </c>
      <c r="D36" s="22" t="s">
        <v>103</v>
      </c>
    </row>
    <row r="37" spans="1:4" x14ac:dyDescent="0.25">
      <c r="A37" s="22" t="s">
        <v>11</v>
      </c>
      <c r="B37" s="164">
        <v>100</v>
      </c>
      <c r="C37" s="12">
        <v>5599</v>
      </c>
      <c r="D37" s="22" t="s">
        <v>103</v>
      </c>
    </row>
    <row r="38" spans="1:4" x14ac:dyDescent="0.25">
      <c r="A38" s="22" t="s">
        <v>11</v>
      </c>
      <c r="B38" s="164">
        <v>100</v>
      </c>
      <c r="C38" s="12">
        <v>5599</v>
      </c>
      <c r="D38" s="22" t="s">
        <v>103</v>
      </c>
    </row>
    <row r="39" spans="1:4" x14ac:dyDescent="0.25">
      <c r="A39" s="22" t="s">
        <v>11</v>
      </c>
      <c r="B39" s="164">
        <v>100</v>
      </c>
      <c r="C39" s="12">
        <v>5599</v>
      </c>
      <c r="D39" s="22" t="s">
        <v>103</v>
      </c>
    </row>
    <row r="40" spans="1:4" x14ac:dyDescent="0.25">
      <c r="A40" s="22" t="s">
        <v>11</v>
      </c>
      <c r="B40" s="164">
        <v>100</v>
      </c>
      <c r="C40" s="12">
        <v>5599</v>
      </c>
      <c r="D40" s="22" t="s">
        <v>103</v>
      </c>
    </row>
    <row r="41" spans="1:4" x14ac:dyDescent="0.25">
      <c r="A41" s="22" t="s">
        <v>11</v>
      </c>
      <c r="B41" s="9">
        <v>100</v>
      </c>
      <c r="C41" s="12">
        <v>5599</v>
      </c>
      <c r="D41" s="22" t="s">
        <v>103</v>
      </c>
    </row>
    <row r="42" spans="1:4" x14ac:dyDescent="0.25">
      <c r="A42" s="22" t="s">
        <v>11</v>
      </c>
      <c r="B42" s="9">
        <v>100</v>
      </c>
      <c r="C42" s="12">
        <v>5599</v>
      </c>
      <c r="D42" s="22" t="s">
        <v>103</v>
      </c>
    </row>
    <row r="43" spans="1:4" x14ac:dyDescent="0.25">
      <c r="A43" s="206" t="s">
        <v>12</v>
      </c>
      <c r="B43" s="9">
        <v>100</v>
      </c>
      <c r="C43" s="12">
        <v>5599</v>
      </c>
      <c r="D43" s="22" t="s">
        <v>103</v>
      </c>
    </row>
    <row r="44" spans="1:4" x14ac:dyDescent="0.25">
      <c r="A44" s="206" t="s">
        <v>12</v>
      </c>
      <c r="B44" s="9">
        <v>100</v>
      </c>
      <c r="C44" s="12">
        <v>5599</v>
      </c>
      <c r="D44" s="22" t="s">
        <v>103</v>
      </c>
    </row>
    <row r="45" spans="1:4" x14ac:dyDescent="0.25">
      <c r="A45" s="206" t="s">
        <v>12</v>
      </c>
      <c r="B45" s="9">
        <v>100</v>
      </c>
      <c r="C45" s="12">
        <v>5599</v>
      </c>
      <c r="D45" s="22" t="s">
        <v>103</v>
      </c>
    </row>
    <row r="46" spans="1:4" x14ac:dyDescent="0.25">
      <c r="A46" s="206" t="s">
        <v>12</v>
      </c>
      <c r="B46" s="9">
        <v>100</v>
      </c>
      <c r="C46" s="12">
        <v>5599</v>
      </c>
      <c r="D46" s="22" t="s">
        <v>103</v>
      </c>
    </row>
    <row r="47" spans="1:4" x14ac:dyDescent="0.25">
      <c r="A47" s="206" t="s">
        <v>12</v>
      </c>
      <c r="B47" s="9">
        <v>100</v>
      </c>
      <c r="C47" s="12">
        <v>5599</v>
      </c>
      <c r="D47" s="22" t="s">
        <v>103</v>
      </c>
    </row>
    <row r="48" spans="1:4" x14ac:dyDescent="0.25">
      <c r="A48" s="206" t="s">
        <v>12</v>
      </c>
      <c r="B48" s="9">
        <v>100</v>
      </c>
      <c r="C48" s="12">
        <v>5599</v>
      </c>
      <c r="D48" s="22" t="s">
        <v>103</v>
      </c>
    </row>
    <row r="49" spans="1:4" x14ac:dyDescent="0.25">
      <c r="A49" s="206" t="s">
        <v>12</v>
      </c>
      <c r="B49" s="9">
        <v>100</v>
      </c>
      <c r="C49" s="12">
        <v>5599</v>
      </c>
      <c r="D49" s="22" t="s">
        <v>103</v>
      </c>
    </row>
    <row r="50" spans="1:4" x14ac:dyDescent="0.25">
      <c r="A50" s="206" t="s">
        <v>12</v>
      </c>
      <c r="B50" s="9">
        <v>100</v>
      </c>
      <c r="C50" s="12">
        <v>5599</v>
      </c>
      <c r="D50" s="22" t="s">
        <v>103</v>
      </c>
    </row>
    <row r="51" spans="1:4" x14ac:dyDescent="0.25">
      <c r="A51" s="206" t="s">
        <v>12</v>
      </c>
      <c r="B51" s="9">
        <v>10</v>
      </c>
      <c r="C51" s="12">
        <v>559.9</v>
      </c>
      <c r="D51" s="22" t="s">
        <v>103</v>
      </c>
    </row>
    <row r="52" spans="1:4" x14ac:dyDescent="0.25">
      <c r="A52" s="206" t="s">
        <v>12</v>
      </c>
      <c r="B52" s="9">
        <v>100</v>
      </c>
      <c r="C52" s="12">
        <v>5599</v>
      </c>
      <c r="D52" s="22" t="s">
        <v>103</v>
      </c>
    </row>
    <row r="53" spans="1:4" x14ac:dyDescent="0.25">
      <c r="A53" s="206" t="s">
        <v>12</v>
      </c>
      <c r="B53" s="9">
        <v>100</v>
      </c>
      <c r="C53" s="12">
        <v>5599</v>
      </c>
      <c r="D53" s="22" t="s">
        <v>103</v>
      </c>
    </row>
    <row r="54" spans="1:4" x14ac:dyDescent="0.25">
      <c r="A54" s="22" t="s">
        <v>13</v>
      </c>
      <c r="B54" s="9">
        <v>100</v>
      </c>
      <c r="C54" s="12">
        <v>5599</v>
      </c>
      <c r="D54" s="22" t="s">
        <v>103</v>
      </c>
    </row>
    <row r="55" spans="1:4" x14ac:dyDescent="0.25">
      <c r="A55" s="22" t="s">
        <v>13</v>
      </c>
      <c r="B55" s="9">
        <v>100</v>
      </c>
      <c r="C55" s="12">
        <v>5599</v>
      </c>
      <c r="D55" s="22" t="s">
        <v>103</v>
      </c>
    </row>
    <row r="56" spans="1:4" x14ac:dyDescent="0.25">
      <c r="A56" s="27" t="s">
        <v>13</v>
      </c>
      <c r="B56" s="6">
        <v>100</v>
      </c>
      <c r="C56" s="7">
        <v>5599</v>
      </c>
      <c r="D56" s="22" t="s">
        <v>103</v>
      </c>
    </row>
    <row r="57" spans="1:4" x14ac:dyDescent="0.25">
      <c r="A57" s="22" t="s">
        <v>13</v>
      </c>
      <c r="B57" s="9">
        <v>100</v>
      </c>
      <c r="C57" s="12">
        <v>5599</v>
      </c>
      <c r="D57" s="22" t="s">
        <v>103</v>
      </c>
    </row>
    <row r="58" spans="1:4" x14ac:dyDescent="0.25">
      <c r="A58" s="22" t="s">
        <v>13</v>
      </c>
      <c r="B58" s="9">
        <v>100</v>
      </c>
      <c r="C58" s="12">
        <v>5599</v>
      </c>
      <c r="D58" s="22" t="s">
        <v>103</v>
      </c>
    </row>
    <row r="59" spans="1:4" x14ac:dyDescent="0.25">
      <c r="A59" s="27" t="s">
        <v>13</v>
      </c>
      <c r="B59" s="6">
        <v>100</v>
      </c>
      <c r="C59" s="7">
        <v>5599</v>
      </c>
      <c r="D59" s="22" t="s">
        <v>103</v>
      </c>
    </row>
    <row r="60" spans="1:4" x14ac:dyDescent="0.25">
      <c r="A60" s="22" t="s">
        <v>13</v>
      </c>
      <c r="B60" s="9">
        <v>100</v>
      </c>
      <c r="C60" s="12">
        <v>5599</v>
      </c>
      <c r="D60" s="22" t="s">
        <v>103</v>
      </c>
    </row>
    <row r="61" spans="1:4" x14ac:dyDescent="0.25">
      <c r="A61" s="22" t="s">
        <v>13</v>
      </c>
      <c r="B61" s="9">
        <v>100</v>
      </c>
      <c r="C61" s="12">
        <v>5599</v>
      </c>
      <c r="D61" s="22" t="s">
        <v>103</v>
      </c>
    </row>
    <row r="62" spans="1:4" x14ac:dyDescent="0.25">
      <c r="A62" s="27" t="s">
        <v>13</v>
      </c>
      <c r="B62" s="6">
        <v>77</v>
      </c>
      <c r="C62" s="7">
        <v>4311.2299999999996</v>
      </c>
      <c r="D62" s="22" t="s">
        <v>103</v>
      </c>
    </row>
    <row r="63" spans="1:4" x14ac:dyDescent="0.25">
      <c r="A63" s="22" t="s">
        <v>13</v>
      </c>
      <c r="B63" s="9">
        <v>100</v>
      </c>
      <c r="C63" s="12">
        <v>5599</v>
      </c>
      <c r="D63" s="22" t="s">
        <v>103</v>
      </c>
    </row>
    <row r="64" spans="1:4" x14ac:dyDescent="0.25">
      <c r="A64" s="22" t="s">
        <v>6</v>
      </c>
      <c r="B64" s="9">
        <v>100</v>
      </c>
      <c r="C64" s="12">
        <v>5599</v>
      </c>
      <c r="D64" s="22" t="s">
        <v>103</v>
      </c>
    </row>
    <row r="65" spans="1:4" x14ac:dyDescent="0.25">
      <c r="A65" s="27" t="s">
        <v>6</v>
      </c>
      <c r="B65" s="6">
        <v>100</v>
      </c>
      <c r="C65" s="7">
        <v>5599</v>
      </c>
      <c r="D65" s="22" t="s">
        <v>103</v>
      </c>
    </row>
    <row r="66" spans="1:4" x14ac:dyDescent="0.25">
      <c r="A66" s="22" t="s">
        <v>7</v>
      </c>
      <c r="B66" s="9">
        <v>100</v>
      </c>
      <c r="C66" s="12">
        <v>5599</v>
      </c>
      <c r="D66" s="22" t="s">
        <v>103</v>
      </c>
    </row>
    <row r="67" spans="1:4" x14ac:dyDescent="0.25">
      <c r="A67" s="22" t="s">
        <v>7</v>
      </c>
      <c r="B67" s="9">
        <v>0.37</v>
      </c>
      <c r="C67" s="12">
        <v>20.72</v>
      </c>
      <c r="D67" s="22" t="s">
        <v>103</v>
      </c>
    </row>
    <row r="68" spans="1:4" x14ac:dyDescent="0.25">
      <c r="A68" s="27" t="s">
        <v>7</v>
      </c>
      <c r="B68" s="6">
        <v>99.63</v>
      </c>
      <c r="C68" s="7">
        <v>5578.28</v>
      </c>
      <c r="D68" s="22" t="s">
        <v>103</v>
      </c>
    </row>
    <row r="69" spans="1:4" x14ac:dyDescent="0.25">
      <c r="A69" s="22" t="s">
        <v>35</v>
      </c>
      <c r="B69" s="9">
        <v>100</v>
      </c>
      <c r="C69" s="12">
        <v>5599</v>
      </c>
      <c r="D69" s="22" t="s">
        <v>103</v>
      </c>
    </row>
    <row r="70" spans="1:4" x14ac:dyDescent="0.25">
      <c r="A70" s="22" t="s">
        <v>35</v>
      </c>
      <c r="B70" s="9">
        <v>100</v>
      </c>
      <c r="C70" s="12">
        <v>5599</v>
      </c>
      <c r="D70" s="22" t="s">
        <v>103</v>
      </c>
    </row>
    <row r="71" spans="1:4" x14ac:dyDescent="0.25">
      <c r="A71" s="27" t="s">
        <v>35</v>
      </c>
      <c r="B71" s="6">
        <v>100</v>
      </c>
      <c r="C71" s="7">
        <v>5599</v>
      </c>
      <c r="D71" s="22" t="s">
        <v>103</v>
      </c>
    </row>
    <row r="72" spans="1:4" x14ac:dyDescent="0.25">
      <c r="A72" s="22" t="s">
        <v>35</v>
      </c>
      <c r="B72" s="9">
        <v>100</v>
      </c>
      <c r="C72" s="12">
        <v>5599</v>
      </c>
      <c r="D72" s="22" t="s">
        <v>103</v>
      </c>
    </row>
    <row r="73" spans="1:4" x14ac:dyDescent="0.25">
      <c r="A73" s="22" t="s">
        <v>35</v>
      </c>
      <c r="B73" s="9">
        <v>100</v>
      </c>
      <c r="C73" s="12">
        <v>5599</v>
      </c>
      <c r="D73" s="22" t="s">
        <v>103</v>
      </c>
    </row>
    <row r="74" spans="1:4" x14ac:dyDescent="0.25">
      <c r="A74" s="27" t="s">
        <v>35</v>
      </c>
      <c r="B74" s="6">
        <v>100</v>
      </c>
      <c r="C74" s="7">
        <v>5599</v>
      </c>
      <c r="D74" s="22" t="s">
        <v>103</v>
      </c>
    </row>
    <row r="75" spans="1:4" x14ac:dyDescent="0.25">
      <c r="A75" s="22" t="s">
        <v>10</v>
      </c>
      <c r="B75" s="9">
        <v>100</v>
      </c>
      <c r="C75" s="12">
        <v>5599</v>
      </c>
      <c r="D75" s="22" t="s">
        <v>103</v>
      </c>
    </row>
    <row r="76" spans="1:4" x14ac:dyDescent="0.25">
      <c r="A76" s="22" t="s">
        <v>10</v>
      </c>
      <c r="B76" s="9">
        <v>100</v>
      </c>
      <c r="C76" s="12">
        <v>5599</v>
      </c>
      <c r="D76" s="22" t="s">
        <v>103</v>
      </c>
    </row>
    <row r="77" spans="1:4" x14ac:dyDescent="0.25">
      <c r="A77" s="27" t="s">
        <v>10</v>
      </c>
      <c r="B77" s="6">
        <v>100</v>
      </c>
      <c r="C77" s="7">
        <v>5599</v>
      </c>
      <c r="D77" s="22" t="s">
        <v>103</v>
      </c>
    </row>
    <row r="78" spans="1:4" x14ac:dyDescent="0.25">
      <c r="A78" s="27" t="s">
        <v>37</v>
      </c>
      <c r="B78" s="6">
        <v>200</v>
      </c>
      <c r="C78" s="7">
        <v>11198</v>
      </c>
      <c r="D78" s="22" t="s">
        <v>103</v>
      </c>
    </row>
    <row r="79" spans="1:4" x14ac:dyDescent="0.25">
      <c r="A79" s="27" t="s">
        <v>37</v>
      </c>
      <c r="B79" s="6">
        <v>200</v>
      </c>
      <c r="C79" s="7">
        <v>11198</v>
      </c>
      <c r="D79" s="22" t="s">
        <v>103</v>
      </c>
    </row>
    <row r="80" spans="1:4" x14ac:dyDescent="0.25">
      <c r="A80" s="27" t="s">
        <v>32</v>
      </c>
      <c r="B80" s="6">
        <v>100</v>
      </c>
      <c r="C80" s="7">
        <v>5599</v>
      </c>
      <c r="D80" s="22" t="s">
        <v>103</v>
      </c>
    </row>
    <row r="81" spans="1:4" x14ac:dyDescent="0.25">
      <c r="A81" s="27" t="s">
        <v>32</v>
      </c>
      <c r="B81" s="6">
        <v>100</v>
      </c>
      <c r="C81" s="7">
        <v>5599</v>
      </c>
      <c r="D81" s="22" t="s">
        <v>103</v>
      </c>
    </row>
    <row r="82" spans="1:4" x14ac:dyDescent="0.25">
      <c r="A82" s="27" t="s">
        <v>32</v>
      </c>
      <c r="B82" s="6">
        <v>100</v>
      </c>
      <c r="C82" s="7">
        <v>5599</v>
      </c>
      <c r="D82" s="22" t="s">
        <v>103</v>
      </c>
    </row>
    <row r="83" spans="1:4" x14ac:dyDescent="0.25">
      <c r="A83" s="27" t="s">
        <v>32</v>
      </c>
      <c r="B83" s="6">
        <v>100</v>
      </c>
      <c r="C83" s="7">
        <v>5599</v>
      </c>
      <c r="D83" s="22" t="s">
        <v>103</v>
      </c>
    </row>
    <row r="84" spans="1:4" x14ac:dyDescent="0.25">
      <c r="A84" s="27" t="s">
        <v>60</v>
      </c>
      <c r="B84" s="6">
        <v>235</v>
      </c>
      <c r="C84" s="7">
        <v>13157.65</v>
      </c>
      <c r="D84" s="22" t="s">
        <v>103</v>
      </c>
    </row>
    <row r="85" spans="1:4" x14ac:dyDescent="0.25">
      <c r="A85" s="27" t="s">
        <v>60</v>
      </c>
      <c r="B85" s="6">
        <v>100</v>
      </c>
      <c r="C85" s="7">
        <v>5599</v>
      </c>
      <c r="D85" s="22" t="s">
        <v>103</v>
      </c>
    </row>
    <row r="86" spans="1:4" x14ac:dyDescent="0.25">
      <c r="A86" s="27" t="s">
        <v>60</v>
      </c>
      <c r="B86" s="6">
        <v>100</v>
      </c>
      <c r="C86" s="7">
        <v>5599</v>
      </c>
      <c r="D86" s="22" t="s">
        <v>103</v>
      </c>
    </row>
    <row r="87" spans="1:4" x14ac:dyDescent="0.25">
      <c r="A87" s="27" t="s">
        <v>60</v>
      </c>
      <c r="B87" s="6">
        <v>180</v>
      </c>
      <c r="C87" s="7">
        <v>10078.200000000001</v>
      </c>
      <c r="D87" s="22" t="s">
        <v>103</v>
      </c>
    </row>
    <row r="88" spans="1:4" x14ac:dyDescent="0.25">
      <c r="A88" s="27" t="s">
        <v>60</v>
      </c>
      <c r="B88" s="6">
        <v>180</v>
      </c>
      <c r="C88" s="7">
        <v>10078.200000000001</v>
      </c>
      <c r="D88" s="22" t="s">
        <v>103</v>
      </c>
    </row>
    <row r="89" spans="1:4" x14ac:dyDescent="0.25">
      <c r="A89" s="27" t="s">
        <v>60</v>
      </c>
      <c r="B89" s="6">
        <v>100</v>
      </c>
      <c r="C89" s="7">
        <v>5599</v>
      </c>
      <c r="D89" s="22" t="s">
        <v>103</v>
      </c>
    </row>
    <row r="90" spans="1:4" x14ac:dyDescent="0.25">
      <c r="A90" s="27" t="s">
        <v>60</v>
      </c>
      <c r="B90" s="6">
        <v>100</v>
      </c>
      <c r="C90" s="7">
        <v>5599</v>
      </c>
      <c r="D90" s="22" t="s">
        <v>103</v>
      </c>
    </row>
    <row r="91" spans="1:4" x14ac:dyDescent="0.25">
      <c r="A91" s="27" t="s">
        <v>9</v>
      </c>
      <c r="B91" s="6">
        <v>235.01</v>
      </c>
      <c r="C91" s="7">
        <v>13158.21</v>
      </c>
      <c r="D91" s="22" t="s">
        <v>103</v>
      </c>
    </row>
    <row r="92" spans="1:4" x14ac:dyDescent="0.25">
      <c r="A92" s="27" t="s">
        <v>9</v>
      </c>
      <c r="B92" s="6">
        <v>100</v>
      </c>
      <c r="C92" s="7">
        <v>5599</v>
      </c>
      <c r="D92" s="22" t="s">
        <v>103</v>
      </c>
    </row>
    <row r="93" spans="1:4" x14ac:dyDescent="0.25">
      <c r="A93" s="27" t="s">
        <v>9</v>
      </c>
      <c r="B93" s="6">
        <v>100</v>
      </c>
      <c r="C93" s="7">
        <v>5599</v>
      </c>
      <c r="D93" s="22" t="s">
        <v>103</v>
      </c>
    </row>
    <row r="94" spans="1:4" x14ac:dyDescent="0.25">
      <c r="A94" s="27" t="s">
        <v>9</v>
      </c>
      <c r="B94" s="6">
        <v>130</v>
      </c>
      <c r="C94" s="7">
        <v>7278.7</v>
      </c>
      <c r="D94" s="22" t="s">
        <v>103</v>
      </c>
    </row>
    <row r="95" spans="1:4" x14ac:dyDescent="0.25">
      <c r="A95" s="27" t="s">
        <v>9</v>
      </c>
      <c r="B95" s="6">
        <v>100</v>
      </c>
      <c r="C95" s="7">
        <v>5599</v>
      </c>
      <c r="D95" s="22" t="s">
        <v>103</v>
      </c>
    </row>
    <row r="96" spans="1:4" x14ac:dyDescent="0.25">
      <c r="A96" s="27" t="s">
        <v>5</v>
      </c>
      <c r="B96" s="6">
        <v>200</v>
      </c>
      <c r="C96" s="7">
        <v>11198</v>
      </c>
      <c r="D96" s="22" t="s">
        <v>103</v>
      </c>
    </row>
    <row r="97" spans="1:5" x14ac:dyDescent="0.25">
      <c r="A97" s="27" t="s">
        <v>5</v>
      </c>
      <c r="B97" s="6">
        <v>100</v>
      </c>
      <c r="C97" s="7">
        <v>5599</v>
      </c>
      <c r="D97" s="22" t="s">
        <v>103</v>
      </c>
    </row>
    <row r="98" spans="1:5" x14ac:dyDescent="0.25">
      <c r="A98" s="27" t="s">
        <v>5</v>
      </c>
      <c r="B98" s="6">
        <v>100</v>
      </c>
      <c r="C98" s="7">
        <v>5599</v>
      </c>
      <c r="D98" s="22" t="s">
        <v>103</v>
      </c>
    </row>
    <row r="99" spans="1:5" x14ac:dyDescent="0.25">
      <c r="A99" s="27" t="s">
        <v>34</v>
      </c>
      <c r="B99" s="6">
        <v>200</v>
      </c>
      <c r="C99" s="7">
        <v>11198</v>
      </c>
      <c r="D99" s="22" t="s">
        <v>103</v>
      </c>
    </row>
    <row r="100" spans="1:5" x14ac:dyDescent="0.25">
      <c r="A100" s="27" t="s">
        <v>34</v>
      </c>
      <c r="B100" s="6">
        <v>200</v>
      </c>
      <c r="C100" s="7">
        <v>11198</v>
      </c>
      <c r="D100" s="22" t="s">
        <v>103</v>
      </c>
    </row>
    <row r="101" spans="1:5" x14ac:dyDescent="0.25">
      <c r="A101" s="27" t="s">
        <v>34</v>
      </c>
      <c r="B101" s="6">
        <v>200</v>
      </c>
      <c r="C101" s="7">
        <v>11198</v>
      </c>
      <c r="D101" s="22" t="s">
        <v>103</v>
      </c>
    </row>
    <row r="102" spans="1:5" x14ac:dyDescent="0.25">
      <c r="A102" s="27" t="s">
        <v>34</v>
      </c>
      <c r="B102" s="6">
        <v>200</v>
      </c>
      <c r="C102" s="7">
        <v>11198</v>
      </c>
      <c r="D102" s="22" t="s">
        <v>103</v>
      </c>
    </row>
    <row r="103" spans="1:5" x14ac:dyDescent="0.25">
      <c r="A103" s="27" t="s">
        <v>34</v>
      </c>
      <c r="B103" s="6">
        <v>200</v>
      </c>
      <c r="C103" s="7">
        <v>11198</v>
      </c>
      <c r="D103" s="22" t="s">
        <v>103</v>
      </c>
    </row>
    <row r="104" spans="1:5" x14ac:dyDescent="0.25">
      <c r="A104" s="27" t="s">
        <v>34</v>
      </c>
      <c r="B104" s="6">
        <v>200</v>
      </c>
      <c r="C104" s="7">
        <v>11198</v>
      </c>
      <c r="D104" s="22" t="s">
        <v>103</v>
      </c>
    </row>
    <row r="105" spans="1:5" x14ac:dyDescent="0.25">
      <c r="A105" s="27"/>
      <c r="B105" s="6"/>
      <c r="C105" s="7"/>
      <c r="D105" s="22" t="s">
        <v>103</v>
      </c>
    </row>
    <row r="106" spans="1:5" x14ac:dyDescent="0.25">
      <c r="A106" s="27"/>
      <c r="B106" s="6"/>
      <c r="C106" s="7"/>
      <c r="D106" s="22" t="s">
        <v>103</v>
      </c>
    </row>
    <row r="107" spans="1:5" x14ac:dyDescent="0.25">
      <c r="A107" s="27"/>
      <c r="B107" s="6"/>
      <c r="C107" s="7"/>
      <c r="D107" s="22" t="s">
        <v>103</v>
      </c>
    </row>
    <row r="108" spans="1:5" x14ac:dyDescent="0.25">
      <c r="A108" s="27"/>
      <c r="B108" s="6"/>
      <c r="C108" s="7"/>
      <c r="D108" s="22" t="s">
        <v>103</v>
      </c>
    </row>
    <row r="109" spans="1:5" ht="15.75" thickBot="1" x14ac:dyDescent="0.3">
      <c r="A109" s="27"/>
      <c r="B109" s="6"/>
      <c r="C109" s="7"/>
      <c r="D109" s="22" t="s">
        <v>103</v>
      </c>
    </row>
    <row r="110" spans="1:5" ht="15.75" thickBot="1" x14ac:dyDescent="0.3">
      <c r="A110" s="27"/>
      <c r="B110" s="6"/>
      <c r="C110" s="7"/>
      <c r="D110" s="28"/>
      <c r="E110" s="24">
        <f>SUM(C31:C110)</f>
        <v>472706.77000000008</v>
      </c>
    </row>
    <row r="111" spans="1:5" outlineLevel="1" x14ac:dyDescent="0.25">
      <c r="A111" s="2" t="s">
        <v>33</v>
      </c>
      <c r="B111" s="5">
        <v>40</v>
      </c>
      <c r="C111" s="29">
        <v>2079.6</v>
      </c>
      <c r="D111" s="22"/>
    </row>
    <row r="112" spans="1:5" outlineLevel="1" x14ac:dyDescent="0.25">
      <c r="A112" s="10" t="s">
        <v>33</v>
      </c>
      <c r="B112" s="9">
        <v>40</v>
      </c>
      <c r="C112" s="12">
        <v>2079.6</v>
      </c>
      <c r="D112" s="22" t="s">
        <v>47</v>
      </c>
    </row>
    <row r="113" spans="1:7" ht="15.75" outlineLevel="1" thickBot="1" x14ac:dyDescent="0.3">
      <c r="A113" s="27"/>
      <c r="B113" s="6"/>
      <c r="C113" s="8"/>
      <c r="D113" s="22"/>
    </row>
    <row r="114" spans="1:7" ht="15.75" outlineLevel="1" thickBot="1" x14ac:dyDescent="0.3">
      <c r="A114" s="27"/>
      <c r="B114" s="167"/>
      <c r="C114" s="168"/>
      <c r="D114" s="235"/>
      <c r="E114" s="24">
        <f>SUM(C111:C114)</f>
        <v>4159.2</v>
      </c>
    </row>
    <row r="115" spans="1:7" ht="15.75" hidden="1" thickBot="1" x14ac:dyDescent="0.3">
      <c r="A115" s="2"/>
      <c r="B115" s="5"/>
      <c r="C115" s="172"/>
      <c r="D115" s="162" t="s">
        <v>45</v>
      </c>
    </row>
    <row r="116" spans="1:7" ht="15.75" hidden="1" thickBot="1" x14ac:dyDescent="0.3">
      <c r="A116" s="10"/>
      <c r="B116" s="9"/>
      <c r="C116" s="174"/>
      <c r="D116" s="162" t="s">
        <v>45</v>
      </c>
    </row>
    <row r="117" spans="1:7" ht="15.75" hidden="1" thickBot="1" x14ac:dyDescent="0.3">
      <c r="A117" s="10"/>
      <c r="B117" s="9"/>
      <c r="C117" s="174"/>
      <c r="D117" s="162" t="s">
        <v>45</v>
      </c>
    </row>
    <row r="118" spans="1:7" ht="15.75" hidden="1" thickBot="1" x14ac:dyDescent="0.3">
      <c r="A118" s="10"/>
      <c r="B118" s="9"/>
      <c r="C118" s="174"/>
      <c r="D118" s="162" t="s">
        <v>45</v>
      </c>
    </row>
    <row r="119" spans="1:7" ht="15.75" hidden="1" thickBot="1" x14ac:dyDescent="0.3">
      <c r="A119" s="10"/>
      <c r="B119" s="9"/>
      <c r="C119" s="174"/>
      <c r="D119" s="162" t="s">
        <v>45</v>
      </c>
    </row>
    <row r="120" spans="1:7" ht="15.75" hidden="1" thickBot="1" x14ac:dyDescent="0.3">
      <c r="A120" s="27"/>
      <c r="B120" s="167"/>
      <c r="C120" s="174"/>
      <c r="D120" s="26"/>
    </row>
    <row r="121" spans="1:7" ht="15.75" hidden="1" thickBot="1" x14ac:dyDescent="0.3">
      <c r="A121" s="13"/>
      <c r="B121" s="14"/>
      <c r="C121" s="15"/>
      <c r="D121" s="23"/>
      <c r="E121" s="24">
        <f>SUM(C115:C121)</f>
        <v>0</v>
      </c>
      <c r="G121" s="20"/>
    </row>
    <row r="122" spans="1:7" ht="15.75" hidden="1" thickBot="1" x14ac:dyDescent="0.3">
      <c r="A122" s="169"/>
      <c r="B122" s="170"/>
      <c r="C122" s="171"/>
      <c r="D122" s="161"/>
      <c r="E122" s="24">
        <f>SUM(C122:C122)</f>
        <v>0</v>
      </c>
      <c r="F122" s="30"/>
      <c r="G122" s="30"/>
    </row>
    <row r="123" spans="1:7" ht="15.75" hidden="1" thickBot="1" x14ac:dyDescent="0.3">
      <c r="A123" s="27"/>
      <c r="B123" s="3"/>
      <c r="C123" s="4"/>
      <c r="D123" s="22"/>
    </row>
    <row r="124" spans="1:7" ht="15.75" hidden="1" thickBot="1" x14ac:dyDescent="0.3">
      <c r="A124" s="27"/>
      <c r="B124" s="6"/>
      <c r="C124" s="7"/>
      <c r="D124" s="22"/>
    </row>
    <row r="125" spans="1:7" ht="15.75" hidden="1" thickBot="1" x14ac:dyDescent="0.3">
      <c r="A125" s="27"/>
      <c r="B125" s="6"/>
      <c r="C125" s="7"/>
      <c r="D125" s="22"/>
    </row>
    <row r="126" spans="1:7" ht="15.75" hidden="1" thickBot="1" x14ac:dyDescent="0.3">
      <c r="A126" s="27"/>
      <c r="B126" s="6"/>
      <c r="C126" s="7"/>
      <c r="D126" s="22"/>
    </row>
    <row r="127" spans="1:7" ht="15.75" hidden="1" thickBot="1" x14ac:dyDescent="0.3">
      <c r="A127" s="27"/>
      <c r="B127" s="6"/>
      <c r="C127" s="7"/>
      <c r="D127" s="22"/>
    </row>
    <row r="128" spans="1:7" ht="15.75" hidden="1" thickBot="1" x14ac:dyDescent="0.3">
      <c r="A128" s="27"/>
      <c r="B128" s="6"/>
      <c r="C128" s="7"/>
      <c r="D128" s="22"/>
    </row>
    <row r="129" spans="1:4" ht="15.75" hidden="1" thickBot="1" x14ac:dyDescent="0.3">
      <c r="A129" s="22"/>
      <c r="B129" s="6"/>
      <c r="C129" s="7"/>
      <c r="D129" s="22"/>
    </row>
    <row r="130" spans="1:4" ht="15.75" hidden="1" thickBot="1" x14ac:dyDescent="0.3">
      <c r="A130" s="10"/>
      <c r="B130" s="6"/>
      <c r="C130" s="7"/>
      <c r="D130" s="22"/>
    </row>
    <row r="131" spans="1:4" ht="15.75" hidden="1" thickBot="1" x14ac:dyDescent="0.3">
      <c r="A131" s="10"/>
      <c r="B131" s="6"/>
      <c r="C131" s="7"/>
      <c r="D131" s="22"/>
    </row>
    <row r="132" spans="1:4" ht="15.75" hidden="1" thickBot="1" x14ac:dyDescent="0.3">
      <c r="A132" s="10"/>
      <c r="B132" s="6"/>
      <c r="C132" s="7"/>
      <c r="D132" s="22"/>
    </row>
    <row r="133" spans="1:4" ht="15.75" hidden="1" thickBot="1" x14ac:dyDescent="0.3">
      <c r="A133" s="10"/>
      <c r="B133" s="6"/>
      <c r="C133" s="7"/>
      <c r="D133" s="22"/>
    </row>
    <row r="134" spans="1:4" ht="15.75" hidden="1" thickBot="1" x14ac:dyDescent="0.3">
      <c r="A134" s="10"/>
      <c r="B134" s="6"/>
      <c r="C134" s="7"/>
      <c r="D134" s="22"/>
    </row>
    <row r="135" spans="1:4" ht="15.75" hidden="1" thickBot="1" x14ac:dyDescent="0.3">
      <c r="A135" s="10"/>
      <c r="B135" s="6"/>
      <c r="C135" s="7"/>
      <c r="D135" s="22"/>
    </row>
    <row r="136" spans="1:4" ht="15.75" hidden="1" thickBot="1" x14ac:dyDescent="0.3">
      <c r="A136" s="10"/>
      <c r="B136" s="6"/>
      <c r="C136" s="7"/>
      <c r="D136" s="22"/>
    </row>
    <row r="137" spans="1:4" ht="15.75" hidden="1" thickBot="1" x14ac:dyDescent="0.3">
      <c r="A137" s="10"/>
      <c r="B137" s="6"/>
      <c r="C137" s="7"/>
      <c r="D137" s="22"/>
    </row>
    <row r="138" spans="1:4" ht="15.75" hidden="1" thickBot="1" x14ac:dyDescent="0.3">
      <c r="A138" s="10"/>
      <c r="B138" s="6"/>
      <c r="C138" s="7"/>
      <c r="D138" s="22"/>
    </row>
    <row r="139" spans="1:4" ht="15.75" hidden="1" thickBot="1" x14ac:dyDescent="0.3">
      <c r="A139" s="10"/>
      <c r="B139" s="6"/>
      <c r="C139" s="7"/>
      <c r="D139" s="22"/>
    </row>
    <row r="140" spans="1:4" ht="15.75" hidden="1" thickBot="1" x14ac:dyDescent="0.3">
      <c r="A140" s="10"/>
      <c r="B140" s="6"/>
      <c r="C140" s="7"/>
      <c r="D140" s="22"/>
    </row>
    <row r="141" spans="1:4" ht="15.75" hidden="1" thickBot="1" x14ac:dyDescent="0.3">
      <c r="A141" s="10"/>
      <c r="B141" s="6"/>
      <c r="C141" s="7"/>
      <c r="D141" s="22"/>
    </row>
    <row r="142" spans="1:4" ht="15.75" hidden="1" thickBot="1" x14ac:dyDescent="0.3">
      <c r="A142" s="10"/>
      <c r="B142" s="6"/>
      <c r="C142" s="7"/>
      <c r="D142" s="22"/>
    </row>
    <row r="143" spans="1:4" ht="15.75" hidden="1" thickBot="1" x14ac:dyDescent="0.3">
      <c r="A143" s="10"/>
      <c r="B143" s="6"/>
      <c r="C143" s="7"/>
      <c r="D143" s="22"/>
    </row>
    <row r="144" spans="1:4" ht="15.75" hidden="1" thickBot="1" x14ac:dyDescent="0.3">
      <c r="A144" s="10"/>
      <c r="B144" s="6"/>
      <c r="C144" s="7"/>
      <c r="D144" s="22"/>
    </row>
    <row r="145" spans="1:7" ht="15.75" hidden="1" thickBot="1" x14ac:dyDescent="0.3">
      <c r="A145" s="10"/>
      <c r="B145" s="6"/>
      <c r="C145" s="7"/>
      <c r="D145" s="22"/>
    </row>
    <row r="146" spans="1:7" ht="15.75" hidden="1" thickBot="1" x14ac:dyDescent="0.3">
      <c r="A146" s="10"/>
      <c r="B146" s="6"/>
      <c r="C146" s="7"/>
      <c r="D146" s="22"/>
    </row>
    <row r="147" spans="1:7" ht="15.75" hidden="1" thickBot="1" x14ac:dyDescent="0.3">
      <c r="A147" s="10"/>
      <c r="B147" s="6"/>
      <c r="C147" s="7"/>
      <c r="D147" s="22"/>
    </row>
    <row r="148" spans="1:7" ht="15.75" hidden="1" thickBot="1" x14ac:dyDescent="0.3">
      <c r="A148" s="10"/>
      <c r="B148" s="6"/>
      <c r="C148" s="7"/>
      <c r="D148" s="22"/>
    </row>
    <row r="149" spans="1:7" ht="15.75" hidden="1" thickBot="1" x14ac:dyDescent="0.3">
      <c r="A149" s="10"/>
      <c r="B149" s="6"/>
      <c r="C149" s="7"/>
      <c r="D149" s="22"/>
    </row>
    <row r="150" spans="1:7" ht="15.75" hidden="1" thickBot="1" x14ac:dyDescent="0.3">
      <c r="A150" s="13"/>
      <c r="B150" s="14"/>
      <c r="C150" s="15"/>
      <c r="D150" s="22"/>
      <c r="E150" s="31">
        <f>SUM(C123:C150)</f>
        <v>0</v>
      </c>
      <c r="F150" s="30"/>
      <c r="G150" s="30"/>
    </row>
    <row r="151" spans="1:7" ht="15.75" thickBot="1" x14ac:dyDescent="0.3">
      <c r="A151" s="32"/>
      <c r="B151" s="176">
        <f>SUM(B31:B150)</f>
        <v>8522.7000000000007</v>
      </c>
      <c r="C151" s="34">
        <f>SUM(C31:C150)</f>
        <v>476865.97000000003</v>
      </c>
    </row>
    <row r="152" spans="1:7" x14ac:dyDescent="0.25">
      <c r="C152" s="30"/>
    </row>
    <row r="153" spans="1:7" x14ac:dyDescent="0.25">
      <c r="C153" s="30"/>
    </row>
  </sheetData>
  <mergeCells count="1">
    <mergeCell ref="A29:D29"/>
  </mergeCells>
  <conditionalFormatting sqref="F1:F22">
    <cfRule type="cellIs" dxfId="15" priority="1" operator="lessThan">
      <formula>0</formula>
    </cfRule>
  </conditionalFormatting>
  <conditionalFormatting sqref="I18:I19">
    <cfRule type="cellIs" dxfId="14" priority="2" operator="greaterThanOrEqual">
      <formula>500</formula>
    </cfRule>
    <cfRule type="cellIs" dxfId="13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6"/>
  <sheetViews>
    <sheetView topLeftCell="A4" zoomScaleNormal="100" workbookViewId="0">
      <selection activeCell="A17" sqref="A17:XFD17"/>
    </sheetView>
  </sheetViews>
  <sheetFormatPr defaultRowHeight="15" outlineLevelRow="1" outlineLevelCol="1" x14ac:dyDescent="0.25"/>
  <cols>
    <col min="1" max="1" width="21.7109375" customWidth="1"/>
    <col min="2" max="2" width="18.7109375" customWidth="1" outlineLevel="1"/>
    <col min="3" max="3" width="11.42578125" customWidth="1" outlineLevel="1"/>
    <col min="4" max="5" width="8.85546875" customWidth="1" outlineLevel="1"/>
    <col min="6" max="6" width="11.28515625" customWidth="1"/>
    <col min="7" max="7" width="9.5703125" customWidth="1" outlineLevel="1"/>
    <col min="8" max="8" width="8.85546875" customWidth="1" outlineLevel="1"/>
    <col min="10" max="10" width="11.7109375" hidden="1" customWidth="1"/>
    <col min="12" max="12" width="8.85546875" customWidth="1" outlineLevel="1"/>
    <col min="14" max="14" width="13.140625" customWidth="1"/>
    <col min="15" max="15" width="9.5703125" customWidth="1"/>
    <col min="16" max="16" width="10.28515625" customWidth="1"/>
    <col min="17" max="17" width="11.28515625" customWidth="1" outlineLevel="1"/>
    <col min="18" max="18" width="26.28515625" customWidth="1"/>
    <col min="19" max="19" width="15.7109375" customWidth="1"/>
    <col min="20" max="20" width="9.85546875" bestFit="1" customWidth="1"/>
  </cols>
  <sheetData>
    <row r="1" spans="1:19" ht="90" thickBot="1" x14ac:dyDescent="0.3">
      <c r="A1" s="35" t="s">
        <v>15</v>
      </c>
      <c r="B1" s="36" t="s">
        <v>16</v>
      </c>
      <c r="C1" s="35" t="s">
        <v>17</v>
      </c>
      <c r="D1" s="35" t="s">
        <v>18</v>
      </c>
      <c r="E1" s="35" t="s">
        <v>19</v>
      </c>
      <c r="F1" s="37" t="s">
        <v>50</v>
      </c>
      <c r="G1" s="38" t="s">
        <v>20</v>
      </c>
      <c r="H1" s="39" t="s">
        <v>21</v>
      </c>
      <c r="I1" s="39" t="s">
        <v>51</v>
      </c>
      <c r="J1" s="40" t="s">
        <v>22</v>
      </c>
      <c r="K1" s="40" t="s">
        <v>23</v>
      </c>
      <c r="L1" s="35" t="s">
        <v>24</v>
      </c>
      <c r="M1" s="41" t="s">
        <v>49</v>
      </c>
      <c r="N1" s="41" t="s">
        <v>25</v>
      </c>
      <c r="O1" s="178" t="s">
        <v>95</v>
      </c>
      <c r="P1" s="178" t="s">
        <v>110</v>
      </c>
      <c r="Q1" s="178" t="s">
        <v>89</v>
      </c>
      <c r="R1" s="42" t="s">
        <v>4</v>
      </c>
    </row>
    <row r="2" spans="1:19" ht="15.75" hidden="1" thickBot="1" x14ac:dyDescent="0.3">
      <c r="A2" s="43" t="s">
        <v>29</v>
      </c>
      <c r="B2" s="44">
        <v>45474</v>
      </c>
      <c r="C2" s="45"/>
      <c r="D2" s="46">
        <f t="shared" ref="D2:D19" si="0">SUMIF($A$31:$A$163,A2,$B$31:$B$163)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VLOOKUP(A2,[4]Тарас!$C$4:$P$23,14,0)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25">
      <c r="A3" s="191" t="s">
        <v>30</v>
      </c>
      <c r="B3" s="192">
        <v>45717</v>
      </c>
      <c r="C3" s="200">
        <f>'Топливо Февраль 2025'!E3</f>
        <v>100</v>
      </c>
      <c r="D3" s="194">
        <f>SUMIF($A$31:$A$163,A3,$B$31:$B$163)</f>
        <v>600</v>
      </c>
      <c r="E3" s="193">
        <v>55</v>
      </c>
      <c r="F3" s="236">
        <f>C3+D3-E3</f>
        <v>645</v>
      </c>
      <c r="G3" s="212">
        <f>'Топливо Февраль 2025'!H3</f>
        <v>0</v>
      </c>
      <c r="H3" s="197">
        <v>0</v>
      </c>
      <c r="I3" s="198">
        <f>L3*0.65</f>
        <v>140.4</v>
      </c>
      <c r="J3" s="199"/>
      <c r="K3" s="199"/>
      <c r="L3" s="199">
        <v>216</v>
      </c>
      <c r="M3" s="200">
        <v>4.7300000000000004</v>
      </c>
      <c r="N3" s="201">
        <f>F3/I3</f>
        <v>4.5940170940170937</v>
      </c>
      <c r="O3" s="222"/>
      <c r="P3" s="263"/>
      <c r="Q3" s="209"/>
      <c r="R3" s="223" t="s">
        <v>52</v>
      </c>
    </row>
    <row r="4" spans="1:19" x14ac:dyDescent="0.25">
      <c r="A4" s="206" t="s">
        <v>10</v>
      </c>
      <c r="B4" s="192">
        <v>45717</v>
      </c>
      <c r="C4" s="200">
        <f>'Топливо Февраль 2025'!E4</f>
        <v>130</v>
      </c>
      <c r="D4" s="194">
        <f t="shared" si="0"/>
        <v>580</v>
      </c>
      <c r="E4" s="207">
        <v>70</v>
      </c>
      <c r="F4" s="236">
        <f>C4+D4-E4</f>
        <v>640</v>
      </c>
      <c r="G4" s="212">
        <f>'Топливо Февраль 2025'!H4</f>
        <v>10496</v>
      </c>
      <c r="H4" s="198">
        <v>10662</v>
      </c>
      <c r="I4" s="198">
        <f>H4-G4</f>
        <v>166</v>
      </c>
      <c r="J4" s="200">
        <v>0</v>
      </c>
      <c r="K4" s="200"/>
      <c r="L4" s="200">
        <v>198</v>
      </c>
      <c r="M4" s="200">
        <v>4.7300000000000004</v>
      </c>
      <c r="N4" s="201">
        <f>F4/I4</f>
        <v>3.8554216867469879</v>
      </c>
      <c r="O4" s="222"/>
      <c r="P4" s="263"/>
      <c r="Q4" s="209"/>
      <c r="R4" s="204"/>
      <c r="S4" s="102"/>
    </row>
    <row r="5" spans="1:19" s="11" customFormat="1" ht="24.6" customHeight="1" x14ac:dyDescent="0.25">
      <c r="A5" s="206" t="s">
        <v>11</v>
      </c>
      <c r="B5" s="192">
        <v>45717</v>
      </c>
      <c r="C5" s="200">
        <f>'Топливо Февраль 2025'!E5</f>
        <v>30</v>
      </c>
      <c r="D5" s="194">
        <f t="shared" si="0"/>
        <v>740</v>
      </c>
      <c r="E5" s="207">
        <v>65</v>
      </c>
      <c r="F5" s="236">
        <f t="shared" ref="F5:F17" si="1">C5+D5-E5</f>
        <v>705</v>
      </c>
      <c r="G5" s="212">
        <f>'Топливо Февраль 2025'!H5</f>
        <v>8359</v>
      </c>
      <c r="H5" s="198">
        <v>8506</v>
      </c>
      <c r="I5" s="198">
        <f t="shared" ref="I5:I15" si="2">H5-G5</f>
        <v>147</v>
      </c>
      <c r="J5" s="200">
        <v>0</v>
      </c>
      <c r="K5" s="200"/>
      <c r="L5" s="200">
        <v>182</v>
      </c>
      <c r="M5" s="200">
        <v>4.7300000000000004</v>
      </c>
      <c r="N5" s="221">
        <f>F5/I5</f>
        <v>4.795918367346939</v>
      </c>
      <c r="O5" s="222">
        <f>N5-M5</f>
        <v>6.5918367346938567E-2</v>
      </c>
      <c r="P5" s="263">
        <f>O5/M5</f>
        <v>1.3936229883073692E-2</v>
      </c>
      <c r="Q5" s="209">
        <f>(I5*O5*$K$26)</f>
        <v>538.98521909983697</v>
      </c>
      <c r="R5" s="208"/>
    </row>
    <row r="6" spans="1:19" x14ac:dyDescent="0.25">
      <c r="A6" s="206" t="s">
        <v>32</v>
      </c>
      <c r="B6" s="192">
        <v>45717</v>
      </c>
      <c r="C6" s="200">
        <f>'Топливо Февраль 2025'!E6</f>
        <v>120</v>
      </c>
      <c r="D6" s="194">
        <f t="shared" si="0"/>
        <v>260</v>
      </c>
      <c r="E6" s="207">
        <v>150</v>
      </c>
      <c r="F6" s="236">
        <f t="shared" si="1"/>
        <v>230</v>
      </c>
      <c r="G6" s="212">
        <f>'Топливо Февраль 2025'!H6</f>
        <v>5258</v>
      </c>
      <c r="H6" s="198">
        <v>5301</v>
      </c>
      <c r="I6" s="198">
        <f>H6-G6</f>
        <v>43</v>
      </c>
      <c r="J6" s="200">
        <v>0</v>
      </c>
      <c r="K6" s="200"/>
      <c r="L6" s="200">
        <v>162</v>
      </c>
      <c r="M6" s="200">
        <v>5</v>
      </c>
      <c r="N6" s="221">
        <f t="shared" ref="N6:N22" si="3">F6/I6</f>
        <v>5.3488372093023253</v>
      </c>
      <c r="O6" s="222">
        <f>N6-M6</f>
        <v>0.34883720930232531</v>
      </c>
      <c r="P6" s="263">
        <f>O6/M6</f>
        <v>6.976744186046506E-2</v>
      </c>
      <c r="Q6" s="209">
        <f>(I6*O6*$K$26)</f>
        <v>834.34244442699423</v>
      </c>
      <c r="R6" s="204"/>
    </row>
    <row r="7" spans="1:19" s="11" customFormat="1" x14ac:dyDescent="0.25">
      <c r="A7" s="206" t="s">
        <v>33</v>
      </c>
      <c r="B7" s="192">
        <v>45717</v>
      </c>
      <c r="C7" s="200">
        <f>'Топливо Февраль 2025'!E7</f>
        <v>25</v>
      </c>
      <c r="D7" s="194">
        <f t="shared" si="0"/>
        <v>229.09</v>
      </c>
      <c r="E7" s="194">
        <v>25</v>
      </c>
      <c r="F7" s="236">
        <f t="shared" si="1"/>
        <v>229.09</v>
      </c>
      <c r="G7" s="212">
        <f>'Топливо Февраль 2025'!H7</f>
        <v>10616</v>
      </c>
      <c r="H7" s="198">
        <v>10707</v>
      </c>
      <c r="I7" s="198">
        <f>H7-G7</f>
        <v>91</v>
      </c>
      <c r="J7" s="200">
        <v>0</v>
      </c>
      <c r="K7" s="200"/>
      <c r="L7" s="200">
        <v>128</v>
      </c>
      <c r="M7" s="200">
        <v>3.8</v>
      </c>
      <c r="N7" s="201">
        <f t="shared" si="3"/>
        <v>2.5174725274725276</v>
      </c>
      <c r="O7" s="222"/>
      <c r="P7" s="263"/>
      <c r="Q7" s="209"/>
      <c r="R7" s="208"/>
    </row>
    <row r="8" spans="1:19" x14ac:dyDescent="0.25">
      <c r="A8" s="206" t="s">
        <v>12</v>
      </c>
      <c r="B8" s="192">
        <v>45717</v>
      </c>
      <c r="C8" s="200">
        <f>'Топливо Февраль 2025'!E8</f>
        <v>50</v>
      </c>
      <c r="D8" s="194">
        <f t="shared" si="0"/>
        <v>988</v>
      </c>
      <c r="E8" s="207">
        <v>30</v>
      </c>
      <c r="F8" s="236">
        <f>C8+D8-E8</f>
        <v>1008</v>
      </c>
      <c r="G8" s="212">
        <f>'Топливо Февраль 2025'!H8</f>
        <v>18772</v>
      </c>
      <c r="H8" s="198">
        <v>18992</v>
      </c>
      <c r="I8" s="198">
        <f>H8-G8</f>
        <v>220</v>
      </c>
      <c r="J8" s="200">
        <v>0</v>
      </c>
      <c r="K8" s="200"/>
      <c r="L8" s="200">
        <v>220</v>
      </c>
      <c r="M8" s="200">
        <v>4.3499999999999996</v>
      </c>
      <c r="N8" s="221">
        <f t="shared" si="3"/>
        <v>4.581818181818182</v>
      </c>
      <c r="O8" s="222">
        <f t="shared" ref="O8" si="4">N8-M8</f>
        <v>0.23181818181818237</v>
      </c>
      <c r="P8" s="263">
        <f t="shared" ref="P8:P22" si="5">O8/M8</f>
        <v>5.3291536050156872E-2</v>
      </c>
      <c r="Q8" s="209">
        <f>(I8*O8*$K$26)</f>
        <v>2836.7643110517893</v>
      </c>
      <c r="R8" s="204"/>
    </row>
    <row r="9" spans="1:19" s="11" customFormat="1" x14ac:dyDescent="0.25">
      <c r="A9" s="206" t="s">
        <v>14</v>
      </c>
      <c r="B9" s="192">
        <v>45717</v>
      </c>
      <c r="C9" s="200">
        <f>'Топливо Февраль 2025'!E9</f>
        <v>30</v>
      </c>
      <c r="D9" s="194">
        <f t="shared" si="0"/>
        <v>0</v>
      </c>
      <c r="E9" s="207">
        <f>C9</f>
        <v>30</v>
      </c>
      <c r="F9" s="236">
        <f>C9+D9-E9</f>
        <v>0</v>
      </c>
      <c r="G9" s="212">
        <f>'Топливо Февраль 2025'!H9</f>
        <v>191</v>
      </c>
      <c r="H9" s="198">
        <f>G9</f>
        <v>191</v>
      </c>
      <c r="I9" s="198">
        <f>H9-G9</f>
        <v>0</v>
      </c>
      <c r="J9" s="200">
        <v>0</v>
      </c>
      <c r="K9" s="200"/>
      <c r="L9" s="200">
        <v>0</v>
      </c>
      <c r="M9" s="200">
        <v>4.3499999999999996</v>
      </c>
      <c r="N9" s="221"/>
      <c r="O9" s="222"/>
      <c r="P9" s="263"/>
      <c r="Q9" s="209"/>
      <c r="R9" s="208" t="s">
        <v>109</v>
      </c>
    </row>
    <row r="10" spans="1:19" x14ac:dyDescent="0.25">
      <c r="A10" s="206" t="s">
        <v>13</v>
      </c>
      <c r="B10" s="192">
        <v>45717</v>
      </c>
      <c r="C10" s="200">
        <f>'Топливо Февраль 2025'!E10</f>
        <v>30</v>
      </c>
      <c r="D10" s="194">
        <f t="shared" si="0"/>
        <v>940</v>
      </c>
      <c r="E10" s="207">
        <v>15</v>
      </c>
      <c r="F10" s="236">
        <f t="shared" si="1"/>
        <v>955</v>
      </c>
      <c r="G10" s="212">
        <f>'Топливо Февраль 2025'!H10</f>
        <v>12971</v>
      </c>
      <c r="H10" s="198">
        <v>13153</v>
      </c>
      <c r="I10" s="198">
        <f t="shared" si="2"/>
        <v>182</v>
      </c>
      <c r="J10" s="200">
        <v>0</v>
      </c>
      <c r="K10" s="200"/>
      <c r="L10" s="200">
        <v>217</v>
      </c>
      <c r="M10" s="200">
        <v>4.3499999999999996</v>
      </c>
      <c r="N10" s="221">
        <f>F10/I10</f>
        <v>5.2472527472527473</v>
      </c>
      <c r="O10" s="222">
        <f>N10-M10</f>
        <v>0.89725274725274762</v>
      </c>
      <c r="P10" s="263">
        <f>O10/M10</f>
        <v>0.20626499936844775</v>
      </c>
      <c r="Q10" s="209">
        <f>(I10*O10*$K$26)</f>
        <v>9083.2080783285546</v>
      </c>
      <c r="R10" s="204"/>
    </row>
    <row r="11" spans="1:19" x14ac:dyDescent="0.25">
      <c r="A11" s="206" t="s">
        <v>34</v>
      </c>
      <c r="B11" s="192">
        <v>45717</v>
      </c>
      <c r="C11" s="200">
        <f>'Топливо Февраль 2025'!E11</f>
        <v>515</v>
      </c>
      <c r="D11" s="194">
        <f t="shared" si="0"/>
        <v>900</v>
      </c>
      <c r="E11" s="207">
        <v>276</v>
      </c>
      <c r="F11" s="236">
        <f t="shared" si="1"/>
        <v>1139</v>
      </c>
      <c r="G11" s="212">
        <f>'Топливо Февраль 2025'!H11</f>
        <v>7888</v>
      </c>
      <c r="H11" s="198">
        <v>8004</v>
      </c>
      <c r="I11" s="198">
        <f>H11-G11</f>
        <v>116</v>
      </c>
      <c r="J11" s="200">
        <v>0</v>
      </c>
      <c r="K11" s="200"/>
      <c r="L11" s="200">
        <v>132</v>
      </c>
      <c r="M11" s="200">
        <v>10.5</v>
      </c>
      <c r="N11" s="201">
        <f t="shared" si="3"/>
        <v>9.818965517241379</v>
      </c>
      <c r="O11" s="222"/>
      <c r="P11" s="263"/>
      <c r="Q11" s="209"/>
      <c r="R11" s="223"/>
      <c r="S11" s="11"/>
    </row>
    <row r="12" spans="1:19" x14ac:dyDescent="0.25">
      <c r="A12" s="206" t="s">
        <v>35</v>
      </c>
      <c r="B12" s="192">
        <v>45717</v>
      </c>
      <c r="C12" s="200">
        <f>'Топливо Февраль 2025'!E12</f>
        <v>160</v>
      </c>
      <c r="D12" s="194">
        <f t="shared" si="0"/>
        <v>700</v>
      </c>
      <c r="E12" s="207">
        <v>130</v>
      </c>
      <c r="F12" s="236">
        <f t="shared" si="1"/>
        <v>730</v>
      </c>
      <c r="G12" s="212">
        <f>'Топливо Февраль 2025'!H12</f>
        <v>35617</v>
      </c>
      <c r="H12" s="198">
        <v>36907</v>
      </c>
      <c r="I12" s="198">
        <f t="shared" si="2"/>
        <v>1290</v>
      </c>
      <c r="J12" s="200">
        <v>0</v>
      </c>
      <c r="K12" s="200"/>
      <c r="L12" s="200">
        <v>169</v>
      </c>
      <c r="M12" s="200">
        <v>0.9</v>
      </c>
      <c r="N12" s="201">
        <f t="shared" si="3"/>
        <v>0.56589147286821706</v>
      </c>
      <c r="O12" s="222"/>
      <c r="P12" s="263"/>
      <c r="Q12" s="209"/>
      <c r="R12" s="204"/>
    </row>
    <row r="13" spans="1:19" x14ac:dyDescent="0.25">
      <c r="A13" s="206" t="s">
        <v>7</v>
      </c>
      <c r="B13" s="192">
        <v>45717</v>
      </c>
      <c r="C13" s="200">
        <f>'Топливо Февраль 2025'!E13</f>
        <v>150</v>
      </c>
      <c r="D13" s="194">
        <f t="shared" si="0"/>
        <v>500</v>
      </c>
      <c r="E13" s="207">
        <v>115</v>
      </c>
      <c r="F13" s="236">
        <f t="shared" si="1"/>
        <v>535</v>
      </c>
      <c r="G13" s="212">
        <f>'Топливо Февраль 2025'!H13</f>
        <v>39794</v>
      </c>
      <c r="H13" s="198">
        <v>40633</v>
      </c>
      <c r="I13" s="198">
        <f>H13-G13</f>
        <v>839</v>
      </c>
      <c r="J13" s="200">
        <v>0</v>
      </c>
      <c r="K13" s="200"/>
      <c r="L13" s="200">
        <v>114</v>
      </c>
      <c r="M13" s="200">
        <v>0.9</v>
      </c>
      <c r="N13" s="201">
        <f>F13/I13</f>
        <v>0.63766388557806908</v>
      </c>
      <c r="O13" s="222"/>
      <c r="P13" s="263"/>
      <c r="Q13" s="209"/>
      <c r="R13" s="204"/>
    </row>
    <row r="14" spans="1:19" x14ac:dyDescent="0.25">
      <c r="A14" s="206" t="s">
        <v>8</v>
      </c>
      <c r="B14" s="192">
        <v>45717</v>
      </c>
      <c r="C14" s="200">
        <f>'Топливо Февраль 2025'!E14</f>
        <v>280</v>
      </c>
      <c r="D14" s="194">
        <f t="shared" si="0"/>
        <v>0</v>
      </c>
      <c r="E14" s="207">
        <f>C14</f>
        <v>280</v>
      </c>
      <c r="F14" s="236">
        <f t="shared" si="1"/>
        <v>0</v>
      </c>
      <c r="G14" s="212">
        <f>'Топливо Февраль 2025'!H14</f>
        <v>560741</v>
      </c>
      <c r="H14" s="212">
        <f>G14</f>
        <v>560741</v>
      </c>
      <c r="I14" s="198">
        <f t="shared" si="2"/>
        <v>0</v>
      </c>
      <c r="J14" s="200">
        <v>0</v>
      </c>
      <c r="K14" s="200"/>
      <c r="L14" s="200">
        <v>0</v>
      </c>
      <c r="M14" s="200">
        <v>0.9</v>
      </c>
      <c r="N14" s="201"/>
      <c r="O14" s="202"/>
      <c r="P14" s="263"/>
      <c r="Q14" s="203"/>
      <c r="R14" s="204" t="s">
        <v>109</v>
      </c>
    </row>
    <row r="15" spans="1:19" ht="21.6" customHeight="1" x14ac:dyDescent="0.25">
      <c r="A15" s="206" t="s">
        <v>9</v>
      </c>
      <c r="B15" s="192">
        <v>45717</v>
      </c>
      <c r="C15" s="200">
        <f>'Топливо Февраль 2025'!E15</f>
        <v>40</v>
      </c>
      <c r="D15" s="194">
        <f t="shared" si="0"/>
        <v>610</v>
      </c>
      <c r="E15" s="207">
        <v>130</v>
      </c>
      <c r="F15" s="236">
        <f>C15+D15-E15</f>
        <v>520</v>
      </c>
      <c r="G15" s="212">
        <f>'Топливо Февраль 2025'!H15</f>
        <v>76832</v>
      </c>
      <c r="H15" s="198">
        <v>77664</v>
      </c>
      <c r="I15" s="198">
        <f t="shared" si="2"/>
        <v>832</v>
      </c>
      <c r="J15" s="200">
        <v>0</v>
      </c>
      <c r="K15" s="200"/>
      <c r="L15" s="200">
        <v>87</v>
      </c>
      <c r="M15" s="200">
        <v>0.9</v>
      </c>
      <c r="N15" s="201">
        <f t="shared" si="3"/>
        <v>0.625</v>
      </c>
      <c r="O15" s="222"/>
      <c r="P15" s="263"/>
      <c r="Q15" s="209"/>
      <c r="R15" s="223"/>
      <c r="S15" s="11"/>
    </row>
    <row r="16" spans="1:19" x14ac:dyDescent="0.25">
      <c r="A16" s="206" t="s">
        <v>60</v>
      </c>
      <c r="B16" s="192">
        <v>45717</v>
      </c>
      <c r="C16" s="200">
        <f>'Топливо Февраль 2025'!E16</f>
        <v>150</v>
      </c>
      <c r="D16" s="194">
        <f t="shared" si="0"/>
        <v>700</v>
      </c>
      <c r="E16" s="207">
        <v>80</v>
      </c>
      <c r="F16" s="236">
        <f t="shared" si="1"/>
        <v>770</v>
      </c>
      <c r="G16" s="212">
        <f>'Топливо Февраль 2025'!H16</f>
        <v>73578</v>
      </c>
      <c r="H16" s="198">
        <v>74670</v>
      </c>
      <c r="I16" s="198">
        <f>H16-G16</f>
        <v>1092</v>
      </c>
      <c r="J16" s="200">
        <v>0</v>
      </c>
      <c r="K16" s="200"/>
      <c r="L16" s="200">
        <v>125</v>
      </c>
      <c r="M16" s="200">
        <v>0.9</v>
      </c>
      <c r="N16" s="201">
        <f t="shared" si="3"/>
        <v>0.70512820512820518</v>
      </c>
      <c r="O16" s="222"/>
      <c r="P16" s="263"/>
      <c r="Q16" s="209"/>
      <c r="R16" s="204"/>
      <c r="S16" s="11"/>
    </row>
    <row r="17" spans="1:19" x14ac:dyDescent="0.25">
      <c r="A17" s="210" t="s">
        <v>37</v>
      </c>
      <c r="B17" s="192">
        <v>45717</v>
      </c>
      <c r="C17" s="200">
        <f>'Топливо Февраль 2025'!E17</f>
        <v>170</v>
      </c>
      <c r="D17" s="194">
        <f t="shared" si="0"/>
        <v>560</v>
      </c>
      <c r="E17" s="200">
        <v>210</v>
      </c>
      <c r="F17" s="236">
        <f t="shared" si="1"/>
        <v>520</v>
      </c>
      <c r="G17" s="212">
        <f>'Топливо Февраль 2025'!H17</f>
        <v>0</v>
      </c>
      <c r="H17" s="198">
        <v>560</v>
      </c>
      <c r="I17" s="198">
        <f>H17-G17</f>
        <v>560</v>
      </c>
      <c r="J17" s="200">
        <v>0</v>
      </c>
      <c r="K17" s="200"/>
      <c r="L17" s="200">
        <v>71</v>
      </c>
      <c r="M17" s="200">
        <v>5.0999999999999996</v>
      </c>
      <c r="N17" s="201">
        <f>F17/I17</f>
        <v>0.9285714285714286</v>
      </c>
      <c r="O17" s="222"/>
      <c r="P17" s="263"/>
      <c r="Q17" s="209"/>
      <c r="R17" s="223"/>
      <c r="S17" s="11"/>
    </row>
    <row r="18" spans="1:19" ht="19.149999999999999" customHeight="1" x14ac:dyDescent="0.25">
      <c r="A18" s="206" t="s">
        <v>5</v>
      </c>
      <c r="B18" s="192">
        <v>45717</v>
      </c>
      <c r="C18" s="200">
        <f>'Топливо Февраль 2025'!E18</f>
        <v>120</v>
      </c>
      <c r="D18" s="194">
        <f t="shared" si="0"/>
        <v>280</v>
      </c>
      <c r="E18" s="207">
        <v>35</v>
      </c>
      <c r="F18" s="237">
        <f>C18+D18-E18</f>
        <v>365</v>
      </c>
      <c r="G18" s="212">
        <f>'Топливо Февраль 2025'!H18</f>
        <v>6526</v>
      </c>
      <c r="H18" s="198">
        <v>6630</v>
      </c>
      <c r="I18" s="212">
        <f>H18-G18</f>
        <v>104</v>
      </c>
      <c r="J18" s="200">
        <v>0</v>
      </c>
      <c r="K18" s="200"/>
      <c r="L18" s="200">
        <v>141</v>
      </c>
      <c r="M18" s="200">
        <v>4.07</v>
      </c>
      <c r="N18" s="201">
        <f t="shared" si="3"/>
        <v>3.5096153846153846</v>
      </c>
      <c r="O18" s="222"/>
      <c r="P18" s="263"/>
      <c r="Q18" s="209"/>
      <c r="R18" s="204"/>
      <c r="S18" s="11"/>
    </row>
    <row r="19" spans="1:19" x14ac:dyDescent="0.25">
      <c r="A19" s="240" t="s">
        <v>6</v>
      </c>
      <c r="B19" s="241">
        <v>45717</v>
      </c>
      <c r="C19" s="239">
        <f>'Топливо Февраль 2025'!E19</f>
        <v>60</v>
      </c>
      <c r="D19" s="238">
        <f t="shared" si="0"/>
        <v>200</v>
      </c>
      <c r="E19" s="239">
        <v>50</v>
      </c>
      <c r="F19" s="275">
        <f>C19+D19-E19</f>
        <v>210</v>
      </c>
      <c r="G19" s="243">
        <f>'Топливо Февраль 2025'!H19</f>
        <v>139</v>
      </c>
      <c r="H19" s="243">
        <v>179</v>
      </c>
      <c r="I19" s="243">
        <f>H19-G19</f>
        <v>40</v>
      </c>
      <c r="J19" s="239">
        <v>0</v>
      </c>
      <c r="K19" s="244"/>
      <c r="L19" s="239">
        <v>71</v>
      </c>
      <c r="M19" s="239">
        <v>2.9</v>
      </c>
      <c r="N19" s="245">
        <f t="shared" si="3"/>
        <v>5.25</v>
      </c>
      <c r="O19" s="276">
        <f t="shared" ref="O19:O22" si="6">N19-M19</f>
        <v>2.35</v>
      </c>
      <c r="P19" s="277">
        <f t="shared" si="5"/>
        <v>0.81034482758620696</v>
      </c>
      <c r="Q19" s="278">
        <f>(I19*O19*$K$26)</f>
        <v>5228.5459850758343</v>
      </c>
      <c r="R19" s="266"/>
      <c r="S19" s="273" t="s">
        <v>127</v>
      </c>
    </row>
    <row r="20" spans="1:19" ht="65.25" hidden="1" outlineLevel="1" thickBot="1" x14ac:dyDescent="0.3">
      <c r="A20" s="191" t="s">
        <v>105</v>
      </c>
      <c r="B20" s="279">
        <v>45717</v>
      </c>
      <c r="C20" s="199">
        <v>115</v>
      </c>
      <c r="D20" s="255">
        <v>1406.38</v>
      </c>
      <c r="E20" s="199">
        <v>344</v>
      </c>
      <c r="F20" s="237">
        <f>C20+D20-E20</f>
        <v>1177.3800000000001</v>
      </c>
      <c r="G20" s="251"/>
      <c r="H20" s="251"/>
      <c r="I20" s="251">
        <v>3176</v>
      </c>
      <c r="J20" s="199"/>
      <c r="K20" s="199"/>
      <c r="L20" s="199"/>
      <c r="M20" s="199">
        <v>0.32</v>
      </c>
      <c r="N20" s="256">
        <f t="shared" si="3"/>
        <v>0.37071158690176326</v>
      </c>
      <c r="O20" s="256">
        <f t="shared" si="6"/>
        <v>5.071158690176325E-2</v>
      </c>
      <c r="P20" s="280">
        <f>O20/M20</f>
        <v>0.15847370906801014</v>
      </c>
      <c r="Q20" s="282">
        <f>O20*I20*51.53</f>
        <v>8299.4218000000055</v>
      </c>
      <c r="R20" s="284" t="s">
        <v>128</v>
      </c>
      <c r="S20" s="11"/>
    </row>
    <row r="21" spans="1:19" ht="65.25" hidden="1" outlineLevel="1" thickBot="1" x14ac:dyDescent="0.3">
      <c r="A21" s="206" t="s">
        <v>114</v>
      </c>
      <c r="B21" s="286">
        <v>45717</v>
      </c>
      <c r="C21" s="200">
        <v>214</v>
      </c>
      <c r="D21" s="211">
        <v>1283</v>
      </c>
      <c r="E21" s="200">
        <v>441</v>
      </c>
      <c r="F21" s="237">
        <f>C21+D21-E21</f>
        <v>1056</v>
      </c>
      <c r="G21" s="212"/>
      <c r="H21" s="212"/>
      <c r="I21" s="212">
        <v>3085</v>
      </c>
      <c r="J21" s="200"/>
      <c r="K21" s="200"/>
      <c r="L21" s="200"/>
      <c r="M21" s="214">
        <v>0.32</v>
      </c>
      <c r="N21" s="252">
        <f>F21/I21</f>
        <v>0.34230145867098866</v>
      </c>
      <c r="O21" s="221">
        <f t="shared" si="6"/>
        <v>2.230145867098865E-2</v>
      </c>
      <c r="P21" s="271">
        <f>O21/M21</f>
        <v>6.969205834683953E-2</v>
      </c>
      <c r="Q21" s="283">
        <f>O21*I21*51.53</f>
        <v>3545.2639999999992</v>
      </c>
      <c r="R21" s="284" t="s">
        <v>129</v>
      </c>
      <c r="S21" s="11"/>
    </row>
    <row r="22" spans="1:19" ht="15.75" hidden="1" collapsed="1" thickBot="1" x14ac:dyDescent="0.3">
      <c r="A22" s="213" t="s">
        <v>107</v>
      </c>
      <c r="B22" s="253">
        <v>45717</v>
      </c>
      <c r="C22" s="214">
        <f>'Топливо Февраль 2025'!E22</f>
        <v>0</v>
      </c>
      <c r="D22" s="215"/>
      <c r="E22" s="214"/>
      <c r="F22" s="215"/>
      <c r="G22" s="218"/>
      <c r="H22" s="218"/>
      <c r="I22" s="218"/>
      <c r="J22" s="214"/>
      <c r="K22" s="214"/>
      <c r="L22" s="214"/>
      <c r="M22" s="214">
        <v>0.32</v>
      </c>
      <c r="N22" s="252" t="e">
        <f t="shared" si="3"/>
        <v>#DIV/0!</v>
      </c>
      <c r="O22" s="268" t="e">
        <f t="shared" si="6"/>
        <v>#DIV/0!</v>
      </c>
      <c r="P22" s="269" t="e">
        <f t="shared" si="5"/>
        <v>#DIV/0!</v>
      </c>
      <c r="Q22" s="281" t="e">
        <f>O22*I22*50.41</f>
        <v>#DIV/0!</v>
      </c>
      <c r="R22" s="274" t="s">
        <v>106</v>
      </c>
      <c r="S22" s="11"/>
    </row>
    <row r="23" spans="1:19" x14ac:dyDescent="0.25">
      <c r="A23" s="51"/>
      <c r="B23" s="51"/>
      <c r="C23" s="249">
        <f>SUM(C3:C19)</f>
        <v>2160</v>
      </c>
      <c r="D23" s="250">
        <f>SUM(D2:D19)</f>
        <v>8787.09</v>
      </c>
      <c r="E23" s="250">
        <f>SUM(E2:E19)</f>
        <v>1746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18521.84603798301</v>
      </c>
      <c r="R23" s="51"/>
    </row>
    <row r="24" spans="1:19" x14ac:dyDescent="0.25">
      <c r="A24" s="51"/>
      <c r="B24" s="51"/>
      <c r="C24" s="51"/>
      <c r="D24" s="106">
        <f>D23-B164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285"/>
      <c r="O24" s="51"/>
      <c r="P24" s="51"/>
      <c r="Q24" s="51"/>
      <c r="R24" s="51"/>
    </row>
    <row r="26" spans="1:19" x14ac:dyDescent="0.25">
      <c r="D26" s="17"/>
      <c r="J26" s="18" t="s">
        <v>39</v>
      </c>
      <c r="K26" s="19">
        <f>SUM(C31:C163)/B164</f>
        <v>55.62282962846632</v>
      </c>
    </row>
    <row r="27" spans="1:19" x14ac:dyDescent="0.25">
      <c r="N27" s="17"/>
    </row>
    <row r="28" spans="1:19" x14ac:dyDescent="0.25">
      <c r="H28" s="20"/>
    </row>
    <row r="29" spans="1:19" x14ac:dyDescent="0.25">
      <c r="A29" s="487" t="s">
        <v>40</v>
      </c>
      <c r="B29" s="487"/>
      <c r="C29" s="487"/>
      <c r="D29" s="487"/>
    </row>
    <row r="30" spans="1:19" ht="15.75" thickBot="1" x14ac:dyDescent="0.3">
      <c r="A30" s="21" t="s">
        <v>15</v>
      </c>
      <c r="B30" s="21" t="s">
        <v>41</v>
      </c>
      <c r="C30" s="21" t="s">
        <v>42</v>
      </c>
      <c r="D30" s="21" t="s">
        <v>43</v>
      </c>
    </row>
    <row r="31" spans="1:19" x14ac:dyDescent="0.25">
      <c r="A31" s="10" t="s">
        <v>30</v>
      </c>
      <c r="B31" s="163">
        <v>600</v>
      </c>
      <c r="C31" s="12">
        <v>33394</v>
      </c>
      <c r="D31" s="22" t="s">
        <v>125</v>
      </c>
    </row>
    <row r="32" spans="1:19" x14ac:dyDescent="0.25">
      <c r="A32" s="10" t="s">
        <v>11</v>
      </c>
      <c r="B32" s="164">
        <v>740</v>
      </c>
      <c r="C32" s="12">
        <v>41252.6</v>
      </c>
      <c r="D32" s="22" t="s">
        <v>125</v>
      </c>
    </row>
    <row r="33" spans="1:4" x14ac:dyDescent="0.25">
      <c r="A33" s="10" t="s">
        <v>12</v>
      </c>
      <c r="B33" s="164">
        <v>988</v>
      </c>
      <c r="C33" s="12">
        <v>54948.12</v>
      </c>
      <c r="D33" s="22" t="s">
        <v>125</v>
      </c>
    </row>
    <row r="34" spans="1:4" x14ac:dyDescent="0.25">
      <c r="A34" s="10" t="s">
        <v>13</v>
      </c>
      <c r="B34" s="164">
        <v>940</v>
      </c>
      <c r="C34" s="12">
        <v>52330.6</v>
      </c>
      <c r="D34" s="22" t="s">
        <v>125</v>
      </c>
    </row>
    <row r="35" spans="1:4" x14ac:dyDescent="0.25">
      <c r="A35" s="22" t="s">
        <v>6</v>
      </c>
      <c r="B35" s="164">
        <v>200</v>
      </c>
      <c r="C35" s="12">
        <v>11098</v>
      </c>
      <c r="D35" s="22" t="s">
        <v>125</v>
      </c>
    </row>
    <row r="36" spans="1:4" x14ac:dyDescent="0.25">
      <c r="A36" s="22" t="s">
        <v>7</v>
      </c>
      <c r="B36" s="164">
        <v>500</v>
      </c>
      <c r="C36" s="12">
        <v>27895</v>
      </c>
      <c r="D36" s="22" t="s">
        <v>125</v>
      </c>
    </row>
    <row r="37" spans="1:4" x14ac:dyDescent="0.25">
      <c r="A37" s="22" t="s">
        <v>35</v>
      </c>
      <c r="B37" s="164">
        <v>700</v>
      </c>
      <c r="C37" s="12">
        <v>39093</v>
      </c>
      <c r="D37" s="22" t="s">
        <v>125</v>
      </c>
    </row>
    <row r="38" spans="1:4" x14ac:dyDescent="0.25">
      <c r="A38" s="22" t="s">
        <v>10</v>
      </c>
      <c r="B38" s="164">
        <v>580</v>
      </c>
      <c r="C38" s="12">
        <v>32214.2</v>
      </c>
      <c r="D38" s="22" t="s">
        <v>125</v>
      </c>
    </row>
    <row r="39" spans="1:4" x14ac:dyDescent="0.25">
      <c r="A39" s="22" t="s">
        <v>37</v>
      </c>
      <c r="B39" s="164">
        <v>560</v>
      </c>
      <c r="C39" s="12">
        <v>30994.400000000001</v>
      </c>
      <c r="D39" s="22" t="s">
        <v>125</v>
      </c>
    </row>
    <row r="40" spans="1:4" x14ac:dyDescent="0.25">
      <c r="A40" s="22" t="s">
        <v>32</v>
      </c>
      <c r="B40" s="164">
        <v>260</v>
      </c>
      <c r="C40" s="12">
        <v>14357.4</v>
      </c>
      <c r="D40" s="22" t="s">
        <v>125</v>
      </c>
    </row>
    <row r="41" spans="1:4" x14ac:dyDescent="0.25">
      <c r="A41" s="22" t="s">
        <v>60</v>
      </c>
      <c r="B41" s="9">
        <v>700</v>
      </c>
      <c r="C41" s="12">
        <v>39193</v>
      </c>
      <c r="D41" s="22" t="s">
        <v>125</v>
      </c>
    </row>
    <row r="42" spans="1:4" x14ac:dyDescent="0.25">
      <c r="A42" s="22" t="s">
        <v>9</v>
      </c>
      <c r="B42" s="9">
        <v>610</v>
      </c>
      <c r="C42" s="12">
        <v>34153.9</v>
      </c>
      <c r="D42" s="22" t="s">
        <v>125</v>
      </c>
    </row>
    <row r="43" spans="1:4" x14ac:dyDescent="0.25">
      <c r="A43" s="206" t="s">
        <v>5</v>
      </c>
      <c r="B43" s="9">
        <v>280</v>
      </c>
      <c r="C43" s="12">
        <v>15537.2</v>
      </c>
      <c r="D43" s="22" t="s">
        <v>125</v>
      </c>
    </row>
    <row r="44" spans="1:4" x14ac:dyDescent="0.25">
      <c r="A44" s="206" t="s">
        <v>34</v>
      </c>
      <c r="B44" s="9">
        <v>900</v>
      </c>
      <c r="C44" s="12">
        <v>50391</v>
      </c>
      <c r="D44" s="22" t="s">
        <v>125</v>
      </c>
    </row>
    <row r="45" spans="1:4" x14ac:dyDescent="0.25">
      <c r="A45" s="206"/>
      <c r="B45" s="9"/>
      <c r="C45" s="12"/>
      <c r="D45" s="22"/>
    </row>
    <row r="46" spans="1:4" hidden="1" x14ac:dyDescent="0.25">
      <c r="A46" s="206"/>
      <c r="B46" s="9"/>
      <c r="C46" s="12"/>
      <c r="D46" s="22"/>
    </row>
    <row r="47" spans="1:4" hidden="1" x14ac:dyDescent="0.25">
      <c r="A47" s="206"/>
      <c r="B47" s="9"/>
      <c r="C47" s="12"/>
      <c r="D47" s="22"/>
    </row>
    <row r="48" spans="1:4" hidden="1" x14ac:dyDescent="0.25">
      <c r="A48" s="206"/>
      <c r="B48" s="9"/>
      <c r="C48" s="12"/>
      <c r="D48" s="22"/>
    </row>
    <row r="49" spans="1:4" hidden="1" x14ac:dyDescent="0.25">
      <c r="A49" s="206"/>
      <c r="B49" s="9"/>
      <c r="C49" s="12"/>
      <c r="D49" s="22"/>
    </row>
    <row r="50" spans="1:4" hidden="1" x14ac:dyDescent="0.25">
      <c r="A50" s="206"/>
      <c r="B50" s="9"/>
      <c r="C50" s="12"/>
      <c r="D50" s="22"/>
    </row>
    <row r="51" spans="1:4" hidden="1" x14ac:dyDescent="0.25">
      <c r="A51" s="206"/>
      <c r="B51" s="9"/>
      <c r="C51" s="12"/>
      <c r="D51" s="22"/>
    </row>
    <row r="52" spans="1:4" hidden="1" x14ac:dyDescent="0.25">
      <c r="A52" s="206"/>
      <c r="B52" s="9"/>
      <c r="C52" s="12"/>
      <c r="D52" s="22"/>
    </row>
    <row r="53" spans="1:4" hidden="1" x14ac:dyDescent="0.25">
      <c r="A53" s="206"/>
      <c r="B53" s="9"/>
      <c r="C53" s="12"/>
      <c r="D53" s="22"/>
    </row>
    <row r="54" spans="1:4" hidden="1" x14ac:dyDescent="0.25">
      <c r="A54" s="22"/>
      <c r="B54" s="9"/>
      <c r="C54" s="12"/>
      <c r="D54" s="22"/>
    </row>
    <row r="55" spans="1:4" hidden="1" x14ac:dyDescent="0.25">
      <c r="A55" s="22"/>
      <c r="B55" s="9"/>
      <c r="C55" s="12"/>
      <c r="D55" s="22"/>
    </row>
    <row r="56" spans="1:4" hidden="1" x14ac:dyDescent="0.25">
      <c r="A56" s="27"/>
      <c r="B56" s="6"/>
      <c r="C56" s="7"/>
      <c r="D56" s="22"/>
    </row>
    <row r="57" spans="1:4" hidden="1" x14ac:dyDescent="0.25">
      <c r="A57" s="22"/>
      <c r="B57" s="9"/>
      <c r="C57" s="12"/>
      <c r="D57" s="22"/>
    </row>
    <row r="58" spans="1:4" hidden="1" x14ac:dyDescent="0.25">
      <c r="A58" s="22"/>
      <c r="B58" s="9"/>
      <c r="C58" s="12"/>
      <c r="D58" s="22"/>
    </row>
    <row r="59" spans="1:4" hidden="1" x14ac:dyDescent="0.25">
      <c r="A59" s="27"/>
      <c r="B59" s="6"/>
      <c r="C59" s="7"/>
      <c r="D59" s="22"/>
    </row>
    <row r="60" spans="1:4" hidden="1" x14ac:dyDescent="0.25">
      <c r="A60" s="22"/>
      <c r="B60" s="9"/>
      <c r="C60" s="12"/>
      <c r="D60" s="22"/>
    </row>
    <row r="61" spans="1:4" hidden="1" x14ac:dyDescent="0.25">
      <c r="A61" s="22"/>
      <c r="B61" s="9"/>
      <c r="C61" s="12"/>
      <c r="D61" s="22"/>
    </row>
    <row r="62" spans="1:4" hidden="1" x14ac:dyDescent="0.25">
      <c r="A62" s="27"/>
      <c r="B62" s="6"/>
      <c r="C62" s="7"/>
      <c r="D62" s="22"/>
    </row>
    <row r="63" spans="1:4" hidden="1" x14ac:dyDescent="0.25">
      <c r="A63" s="22"/>
      <c r="B63" s="9"/>
      <c r="C63" s="12"/>
      <c r="D63" s="22"/>
    </row>
    <row r="64" spans="1:4" hidden="1" x14ac:dyDescent="0.25">
      <c r="A64" s="22"/>
      <c r="B64" s="9"/>
      <c r="C64" s="12"/>
      <c r="D64" s="22"/>
    </row>
    <row r="65" spans="1:4" hidden="1" x14ac:dyDescent="0.25">
      <c r="A65" s="27"/>
      <c r="B65" s="6"/>
      <c r="C65" s="7"/>
      <c r="D65" s="22"/>
    </row>
    <row r="66" spans="1:4" hidden="1" x14ac:dyDescent="0.25">
      <c r="A66" s="22"/>
      <c r="B66" s="9"/>
      <c r="C66" s="12"/>
      <c r="D66" s="22"/>
    </row>
    <row r="67" spans="1:4" hidden="1" x14ac:dyDescent="0.25">
      <c r="A67" s="22"/>
      <c r="B67" s="9"/>
      <c r="C67" s="12"/>
      <c r="D67" s="22"/>
    </row>
    <row r="68" spans="1:4" hidden="1" x14ac:dyDescent="0.25">
      <c r="A68" s="27"/>
      <c r="B68" s="6"/>
      <c r="C68" s="7"/>
      <c r="D68" s="22"/>
    </row>
    <row r="69" spans="1:4" hidden="1" x14ac:dyDescent="0.25">
      <c r="A69" s="22"/>
      <c r="B69" s="9"/>
      <c r="C69" s="12"/>
      <c r="D69" s="22"/>
    </row>
    <row r="70" spans="1:4" hidden="1" x14ac:dyDescent="0.25">
      <c r="A70" s="240"/>
      <c r="B70" s="9"/>
      <c r="C70" s="12"/>
      <c r="D70" s="22"/>
    </row>
    <row r="71" spans="1:4" hidden="1" x14ac:dyDescent="0.25">
      <c r="A71" s="240"/>
      <c r="B71" s="6"/>
      <c r="C71" s="7"/>
      <c r="D71" s="22"/>
    </row>
    <row r="72" spans="1:4" hidden="1" x14ac:dyDescent="0.25">
      <c r="A72" s="22"/>
      <c r="B72" s="9"/>
      <c r="C72" s="12"/>
      <c r="D72" s="22"/>
    </row>
    <row r="73" spans="1:4" hidden="1" x14ac:dyDescent="0.25">
      <c r="A73" s="22"/>
      <c r="B73" s="9"/>
      <c r="C73" s="12"/>
      <c r="D73" s="22"/>
    </row>
    <row r="74" spans="1:4" hidden="1" x14ac:dyDescent="0.25">
      <c r="A74" s="27"/>
      <c r="B74" s="6"/>
      <c r="C74" s="7"/>
      <c r="D74" s="22"/>
    </row>
    <row r="75" spans="1:4" hidden="1" x14ac:dyDescent="0.25">
      <c r="A75" s="22"/>
      <c r="B75" s="9"/>
      <c r="C75" s="12"/>
      <c r="D75" s="22"/>
    </row>
    <row r="76" spans="1:4" hidden="1" x14ac:dyDescent="0.25">
      <c r="A76" s="22"/>
      <c r="B76" s="9"/>
      <c r="C76" s="12"/>
      <c r="D76" s="22"/>
    </row>
    <row r="77" spans="1:4" hidden="1" x14ac:dyDescent="0.25">
      <c r="A77" s="27"/>
      <c r="B77" s="6"/>
      <c r="C77" s="7"/>
      <c r="D77" s="22"/>
    </row>
    <row r="78" spans="1:4" hidden="1" x14ac:dyDescent="0.25">
      <c r="A78" s="27"/>
      <c r="B78" s="6"/>
      <c r="C78" s="7"/>
      <c r="D78" s="22"/>
    </row>
    <row r="79" spans="1:4" hidden="1" x14ac:dyDescent="0.25">
      <c r="A79" s="27"/>
      <c r="B79" s="6"/>
      <c r="C79" s="7"/>
      <c r="D79" s="22"/>
    </row>
    <row r="80" spans="1:4" hidden="1" x14ac:dyDescent="0.25">
      <c r="A80" s="27"/>
      <c r="B80" s="6"/>
      <c r="C80" s="7"/>
      <c r="D80" s="22"/>
    </row>
    <row r="81" spans="1:4" hidden="1" x14ac:dyDescent="0.25">
      <c r="A81" s="27"/>
      <c r="B81" s="6"/>
      <c r="C81" s="7"/>
      <c r="D81" s="22"/>
    </row>
    <row r="82" spans="1:4" hidden="1" x14ac:dyDescent="0.25">
      <c r="A82" s="27"/>
      <c r="B82" s="6"/>
      <c r="C82" s="7"/>
      <c r="D82" s="22"/>
    </row>
    <row r="83" spans="1:4" hidden="1" x14ac:dyDescent="0.25">
      <c r="A83" s="27"/>
      <c r="B83" s="6"/>
      <c r="C83" s="7"/>
      <c r="D83" s="22"/>
    </row>
    <row r="84" spans="1:4" hidden="1" x14ac:dyDescent="0.25">
      <c r="A84" s="27"/>
      <c r="B84" s="6"/>
      <c r="C84" s="7"/>
      <c r="D84" s="22"/>
    </row>
    <row r="85" spans="1:4" hidden="1" x14ac:dyDescent="0.25">
      <c r="A85" s="22"/>
      <c r="B85" s="9"/>
      <c r="C85" s="12"/>
      <c r="D85" s="22"/>
    </row>
    <row r="86" spans="1:4" hidden="1" x14ac:dyDescent="0.25">
      <c r="A86" s="22"/>
      <c r="B86" s="9"/>
      <c r="C86" s="12"/>
      <c r="D86" s="22"/>
    </row>
    <row r="87" spans="1:4" hidden="1" x14ac:dyDescent="0.25">
      <c r="A87" s="27"/>
      <c r="B87" s="6"/>
      <c r="C87" s="7"/>
      <c r="D87" s="22"/>
    </row>
    <row r="88" spans="1:4" hidden="1" x14ac:dyDescent="0.25">
      <c r="A88" s="22"/>
      <c r="B88" s="9"/>
      <c r="C88" s="12"/>
      <c r="D88" s="22"/>
    </row>
    <row r="89" spans="1:4" hidden="1" x14ac:dyDescent="0.25">
      <c r="A89" s="22"/>
      <c r="B89" s="9"/>
      <c r="C89" s="12"/>
      <c r="D89" s="22"/>
    </row>
    <row r="90" spans="1:4" hidden="1" x14ac:dyDescent="0.25">
      <c r="A90" s="27"/>
      <c r="B90" s="6"/>
      <c r="C90" s="7"/>
      <c r="D90" s="22"/>
    </row>
    <row r="91" spans="1:4" hidden="1" x14ac:dyDescent="0.25">
      <c r="A91" s="27"/>
      <c r="B91" s="6"/>
      <c r="C91" s="7"/>
      <c r="D91" s="22"/>
    </row>
    <row r="92" spans="1:4" hidden="1" x14ac:dyDescent="0.25">
      <c r="A92" s="27"/>
      <c r="B92" s="6"/>
      <c r="C92" s="7"/>
      <c r="D92" s="22"/>
    </row>
    <row r="93" spans="1:4" hidden="1" x14ac:dyDescent="0.25">
      <c r="A93" s="27"/>
      <c r="B93" s="6"/>
      <c r="C93" s="7"/>
      <c r="D93" s="22"/>
    </row>
    <row r="94" spans="1:4" hidden="1" x14ac:dyDescent="0.25">
      <c r="A94" s="27"/>
      <c r="B94" s="6"/>
      <c r="C94" s="7"/>
      <c r="D94" s="22"/>
    </row>
    <row r="95" spans="1:4" hidden="1" x14ac:dyDescent="0.25">
      <c r="A95" s="27"/>
      <c r="B95" s="6"/>
      <c r="C95" s="7"/>
      <c r="D95" s="22"/>
    </row>
    <row r="96" spans="1:4" hidden="1" x14ac:dyDescent="0.25">
      <c r="A96" s="27"/>
      <c r="B96" s="6"/>
      <c r="C96" s="7"/>
      <c r="D96" s="22"/>
    </row>
    <row r="97" spans="1:4" hidden="1" x14ac:dyDescent="0.25">
      <c r="A97" s="27"/>
      <c r="B97" s="6"/>
      <c r="C97" s="7"/>
      <c r="D97" s="22"/>
    </row>
    <row r="98" spans="1:4" hidden="1" x14ac:dyDescent="0.25">
      <c r="A98" s="27"/>
      <c r="B98" s="6"/>
      <c r="C98" s="7"/>
      <c r="D98" s="22"/>
    </row>
    <row r="99" spans="1:4" hidden="1" x14ac:dyDescent="0.25">
      <c r="A99" s="27"/>
      <c r="B99" s="6"/>
      <c r="C99" s="7"/>
      <c r="D99" s="22"/>
    </row>
    <row r="100" spans="1:4" hidden="1" x14ac:dyDescent="0.25">
      <c r="A100" s="27"/>
      <c r="B100" s="6"/>
      <c r="C100" s="7"/>
      <c r="D100" s="22"/>
    </row>
    <row r="101" spans="1:4" hidden="1" x14ac:dyDescent="0.25">
      <c r="A101" s="27"/>
      <c r="B101" s="6"/>
      <c r="C101" s="7"/>
      <c r="D101" s="22"/>
    </row>
    <row r="102" spans="1:4" hidden="1" x14ac:dyDescent="0.25">
      <c r="A102" s="27"/>
      <c r="B102" s="6"/>
      <c r="C102" s="7"/>
      <c r="D102" s="22"/>
    </row>
    <row r="103" spans="1:4" hidden="1" x14ac:dyDescent="0.25">
      <c r="A103" s="27"/>
      <c r="B103" s="6"/>
      <c r="C103" s="7"/>
      <c r="D103" s="22"/>
    </row>
    <row r="104" spans="1:4" hidden="1" x14ac:dyDescent="0.25">
      <c r="A104" s="27"/>
      <c r="B104" s="6"/>
      <c r="C104" s="7"/>
      <c r="D104" s="22"/>
    </row>
    <row r="105" spans="1:4" hidden="1" x14ac:dyDescent="0.25">
      <c r="A105" s="27"/>
      <c r="B105" s="6"/>
      <c r="C105" s="7"/>
      <c r="D105" s="22"/>
    </row>
    <row r="106" spans="1:4" hidden="1" x14ac:dyDescent="0.25">
      <c r="A106" s="27"/>
      <c r="B106" s="6"/>
      <c r="C106" s="7"/>
      <c r="D106" s="22"/>
    </row>
    <row r="107" spans="1:4" hidden="1" x14ac:dyDescent="0.25">
      <c r="A107" s="27"/>
      <c r="B107" s="6"/>
      <c r="C107" s="7"/>
      <c r="D107" s="22"/>
    </row>
    <row r="108" spans="1:4" hidden="1" x14ac:dyDescent="0.25">
      <c r="A108" s="27"/>
      <c r="B108" s="6"/>
      <c r="C108" s="7"/>
      <c r="D108" s="22"/>
    </row>
    <row r="109" spans="1:4" hidden="1" x14ac:dyDescent="0.25">
      <c r="A109" s="27"/>
      <c r="B109" s="6"/>
      <c r="C109" s="7"/>
      <c r="D109" s="22"/>
    </row>
    <row r="110" spans="1:4" hidden="1" x14ac:dyDescent="0.25">
      <c r="A110" s="27"/>
      <c r="B110" s="6"/>
      <c r="C110" s="7"/>
      <c r="D110" s="22"/>
    </row>
    <row r="111" spans="1:4" hidden="1" x14ac:dyDescent="0.25">
      <c r="A111" s="27"/>
      <c r="B111" s="6"/>
      <c r="C111" s="7"/>
      <c r="D111" s="22"/>
    </row>
    <row r="112" spans="1:4" hidden="1" x14ac:dyDescent="0.25">
      <c r="A112" s="27"/>
      <c r="B112" s="6"/>
      <c r="C112" s="7"/>
      <c r="D112" s="22"/>
    </row>
    <row r="113" spans="1:5" hidden="1" x14ac:dyDescent="0.25">
      <c r="A113" s="27"/>
      <c r="B113" s="6"/>
      <c r="C113" s="7"/>
      <c r="D113" s="22"/>
    </row>
    <row r="114" spans="1:5" hidden="1" x14ac:dyDescent="0.25">
      <c r="A114" s="27"/>
      <c r="B114" s="6"/>
      <c r="C114" s="7"/>
      <c r="D114" s="22"/>
    </row>
    <row r="115" spans="1:5" hidden="1" x14ac:dyDescent="0.25">
      <c r="A115" s="27"/>
      <c r="B115" s="6"/>
      <c r="C115" s="7"/>
      <c r="D115" s="22"/>
    </row>
    <row r="116" spans="1:5" hidden="1" x14ac:dyDescent="0.25">
      <c r="A116" s="27"/>
      <c r="B116" s="6"/>
      <c r="C116" s="7"/>
      <c r="D116" s="22"/>
    </row>
    <row r="117" spans="1:5" hidden="1" x14ac:dyDescent="0.25">
      <c r="A117" s="27"/>
      <c r="B117" s="6"/>
      <c r="C117" s="7"/>
      <c r="D117" s="22"/>
    </row>
    <row r="118" spans="1:5" hidden="1" x14ac:dyDescent="0.25">
      <c r="A118" s="27"/>
      <c r="B118" s="6"/>
      <c r="C118" s="7"/>
      <c r="D118" s="22"/>
    </row>
    <row r="119" spans="1:5" hidden="1" x14ac:dyDescent="0.25">
      <c r="A119" s="27"/>
      <c r="B119" s="6"/>
      <c r="C119" s="7"/>
      <c r="D119" s="22"/>
    </row>
    <row r="120" spans="1:5" hidden="1" x14ac:dyDescent="0.25">
      <c r="A120" s="27"/>
      <c r="B120" s="6"/>
      <c r="C120" s="7"/>
      <c r="D120" s="22"/>
    </row>
    <row r="121" spans="1:5" x14ac:dyDescent="0.25">
      <c r="A121" s="27"/>
      <c r="B121" s="6"/>
      <c r="C121" s="7"/>
      <c r="D121" s="22"/>
    </row>
    <row r="122" spans="1:5" ht="15.75" thickBot="1" x14ac:dyDescent="0.3">
      <c r="A122" s="27"/>
      <c r="B122" s="6"/>
      <c r="C122" s="7"/>
      <c r="D122" s="22"/>
    </row>
    <row r="123" spans="1:5" ht="15.75" thickBot="1" x14ac:dyDescent="0.3">
      <c r="A123" s="27"/>
      <c r="B123" s="6"/>
      <c r="C123" s="7"/>
      <c r="D123" s="28"/>
      <c r="E123" s="24">
        <f>SUM(C31:C123)</f>
        <v>476852.4200000001</v>
      </c>
    </row>
    <row r="124" spans="1:5" ht="15.75" outlineLevel="1" thickBot="1" x14ac:dyDescent="0.3">
      <c r="A124" s="2" t="s">
        <v>33</v>
      </c>
      <c r="B124" s="5">
        <v>149.09</v>
      </c>
      <c r="C124" s="29">
        <v>7751.19</v>
      </c>
      <c r="D124" s="162" t="s">
        <v>47</v>
      </c>
    </row>
    <row r="125" spans="1:5" outlineLevel="1" x14ac:dyDescent="0.25">
      <c r="A125" s="2" t="s">
        <v>33</v>
      </c>
      <c r="B125" s="9">
        <v>80</v>
      </c>
      <c r="C125" s="12">
        <v>4159.2</v>
      </c>
      <c r="D125" s="22" t="s">
        <v>126</v>
      </c>
    </row>
    <row r="126" spans="1:5" ht="15.75" outlineLevel="1" thickBot="1" x14ac:dyDescent="0.3">
      <c r="A126" s="27"/>
      <c r="B126" s="6"/>
      <c r="C126" s="8"/>
      <c r="D126" s="22"/>
    </row>
    <row r="127" spans="1:5" ht="15.75" outlineLevel="1" thickBot="1" x14ac:dyDescent="0.3">
      <c r="A127" s="27"/>
      <c r="B127" s="167"/>
      <c r="C127" s="168"/>
      <c r="D127" s="235"/>
      <c r="E127" s="24">
        <f>SUM(C124:C127)</f>
        <v>11910.39</v>
      </c>
    </row>
    <row r="128" spans="1:5" ht="15.75" hidden="1" thickBot="1" x14ac:dyDescent="0.3">
      <c r="A128" s="2"/>
      <c r="B128" s="5"/>
      <c r="C128" s="172"/>
      <c r="D128" s="162" t="s">
        <v>45</v>
      </c>
    </row>
    <row r="129" spans="1:7" ht="15.75" hidden="1" thickBot="1" x14ac:dyDescent="0.3">
      <c r="A129" s="10"/>
      <c r="B129" s="9"/>
      <c r="C129" s="174"/>
      <c r="D129" s="162" t="s">
        <v>45</v>
      </c>
    </row>
    <row r="130" spans="1:7" ht="15.75" hidden="1" thickBot="1" x14ac:dyDescent="0.3">
      <c r="A130" s="10"/>
      <c r="B130" s="9"/>
      <c r="C130" s="174"/>
      <c r="D130" s="162" t="s">
        <v>45</v>
      </c>
    </row>
    <row r="131" spans="1:7" ht="15.75" hidden="1" thickBot="1" x14ac:dyDescent="0.3">
      <c r="A131" s="10"/>
      <c r="B131" s="9"/>
      <c r="C131" s="174"/>
      <c r="D131" s="162" t="s">
        <v>45</v>
      </c>
    </row>
    <row r="132" spans="1:7" ht="15.75" hidden="1" thickBot="1" x14ac:dyDescent="0.3">
      <c r="A132" s="10"/>
      <c r="B132" s="9"/>
      <c r="C132" s="174"/>
      <c r="D132" s="162" t="s">
        <v>45</v>
      </c>
    </row>
    <row r="133" spans="1:7" ht="15.75" hidden="1" thickBot="1" x14ac:dyDescent="0.3">
      <c r="A133" s="27"/>
      <c r="B133" s="167"/>
      <c r="C133" s="174"/>
      <c r="D133" s="26"/>
    </row>
    <row r="134" spans="1:7" ht="15.75" hidden="1" thickBot="1" x14ac:dyDescent="0.3">
      <c r="A134" s="13"/>
      <c r="B134" s="14"/>
      <c r="C134" s="15"/>
      <c r="D134" s="23"/>
      <c r="E134" s="24">
        <f>SUM(C128:C134)</f>
        <v>0</v>
      </c>
      <c r="G134" s="20"/>
    </row>
    <row r="135" spans="1:7" ht="15.75" hidden="1" thickBot="1" x14ac:dyDescent="0.3">
      <c r="A135" s="169"/>
      <c r="B135" s="170"/>
      <c r="C135" s="171"/>
      <c r="D135" s="161"/>
      <c r="E135" s="24">
        <f>SUM(C135:C135)</f>
        <v>0</v>
      </c>
      <c r="F135" s="30"/>
      <c r="G135" s="30"/>
    </row>
    <row r="136" spans="1:7" ht="15.75" hidden="1" thickBot="1" x14ac:dyDescent="0.3">
      <c r="A136" s="27"/>
      <c r="B136" s="3"/>
      <c r="C136" s="4"/>
      <c r="D136" s="22"/>
    </row>
    <row r="137" spans="1:7" ht="15.75" hidden="1" thickBot="1" x14ac:dyDescent="0.3">
      <c r="A137" s="27"/>
      <c r="B137" s="6"/>
      <c r="C137" s="7"/>
      <c r="D137" s="22"/>
    </row>
    <row r="138" spans="1:7" ht="15.75" hidden="1" thickBot="1" x14ac:dyDescent="0.3">
      <c r="A138" s="27"/>
      <c r="B138" s="6"/>
      <c r="C138" s="7"/>
      <c r="D138" s="22"/>
    </row>
    <row r="139" spans="1:7" ht="15.75" hidden="1" thickBot="1" x14ac:dyDescent="0.3">
      <c r="A139" s="27"/>
      <c r="B139" s="6"/>
      <c r="C139" s="7"/>
      <c r="D139" s="22"/>
    </row>
    <row r="140" spans="1:7" ht="15.75" hidden="1" thickBot="1" x14ac:dyDescent="0.3">
      <c r="A140" s="27"/>
      <c r="B140" s="6"/>
      <c r="C140" s="7"/>
      <c r="D140" s="22"/>
    </row>
    <row r="141" spans="1:7" ht="15.75" hidden="1" thickBot="1" x14ac:dyDescent="0.3">
      <c r="A141" s="27"/>
      <c r="B141" s="6"/>
      <c r="C141" s="7"/>
      <c r="D141" s="22"/>
    </row>
    <row r="142" spans="1:7" ht="15.75" hidden="1" thickBot="1" x14ac:dyDescent="0.3">
      <c r="A142" s="22"/>
      <c r="B142" s="6"/>
      <c r="C142" s="7"/>
      <c r="D142" s="22"/>
    </row>
    <row r="143" spans="1:7" ht="15.75" hidden="1" thickBot="1" x14ac:dyDescent="0.3">
      <c r="A143" s="10"/>
      <c r="B143" s="6"/>
      <c r="C143" s="7"/>
      <c r="D143" s="22"/>
    </row>
    <row r="144" spans="1:7" ht="15.75" hidden="1" thickBot="1" x14ac:dyDescent="0.3">
      <c r="A144" s="10"/>
      <c r="B144" s="6"/>
      <c r="C144" s="7"/>
      <c r="D144" s="22"/>
    </row>
    <row r="145" spans="1:4" ht="15.75" hidden="1" thickBot="1" x14ac:dyDescent="0.3">
      <c r="A145" s="10"/>
      <c r="B145" s="6"/>
      <c r="C145" s="7"/>
      <c r="D145" s="22"/>
    </row>
    <row r="146" spans="1:4" ht="15.75" hidden="1" thickBot="1" x14ac:dyDescent="0.3">
      <c r="A146" s="10"/>
      <c r="B146" s="6"/>
      <c r="C146" s="7"/>
      <c r="D146" s="22"/>
    </row>
    <row r="147" spans="1:4" ht="15.75" hidden="1" thickBot="1" x14ac:dyDescent="0.3">
      <c r="A147" s="10"/>
      <c r="B147" s="6"/>
      <c r="C147" s="7"/>
      <c r="D147" s="22"/>
    </row>
    <row r="148" spans="1:4" ht="15.75" hidden="1" thickBot="1" x14ac:dyDescent="0.3">
      <c r="A148" s="10"/>
      <c r="B148" s="6"/>
      <c r="C148" s="7"/>
      <c r="D148" s="22"/>
    </row>
    <row r="149" spans="1:4" ht="15.75" hidden="1" thickBot="1" x14ac:dyDescent="0.3">
      <c r="A149" s="10"/>
      <c r="B149" s="6"/>
      <c r="C149" s="7"/>
      <c r="D149" s="22"/>
    </row>
    <row r="150" spans="1:4" ht="15.75" hidden="1" thickBot="1" x14ac:dyDescent="0.3">
      <c r="A150" s="10"/>
      <c r="B150" s="6"/>
      <c r="C150" s="7"/>
      <c r="D150" s="22"/>
    </row>
    <row r="151" spans="1:4" ht="15.75" hidden="1" thickBot="1" x14ac:dyDescent="0.3">
      <c r="A151" s="10"/>
      <c r="B151" s="6"/>
      <c r="C151" s="7"/>
      <c r="D151" s="22"/>
    </row>
    <row r="152" spans="1:4" ht="15.75" hidden="1" thickBot="1" x14ac:dyDescent="0.3">
      <c r="A152" s="10"/>
      <c r="B152" s="6"/>
      <c r="C152" s="7"/>
      <c r="D152" s="22"/>
    </row>
    <row r="153" spans="1:4" ht="15.75" hidden="1" thickBot="1" x14ac:dyDescent="0.3">
      <c r="A153" s="10"/>
      <c r="B153" s="6"/>
      <c r="C153" s="7"/>
      <c r="D153" s="22"/>
    </row>
    <row r="154" spans="1:4" ht="15.75" hidden="1" thickBot="1" x14ac:dyDescent="0.3">
      <c r="A154" s="10"/>
      <c r="B154" s="6"/>
      <c r="C154" s="7"/>
      <c r="D154" s="22"/>
    </row>
    <row r="155" spans="1:4" ht="15.75" hidden="1" thickBot="1" x14ac:dyDescent="0.3">
      <c r="A155" s="10"/>
      <c r="B155" s="6"/>
      <c r="C155" s="7"/>
      <c r="D155" s="22"/>
    </row>
    <row r="156" spans="1:4" ht="15.75" hidden="1" thickBot="1" x14ac:dyDescent="0.3">
      <c r="A156" s="10"/>
      <c r="B156" s="6"/>
      <c r="C156" s="7"/>
      <c r="D156" s="22"/>
    </row>
    <row r="157" spans="1:4" ht="15.75" hidden="1" thickBot="1" x14ac:dyDescent="0.3">
      <c r="A157" s="10"/>
      <c r="B157" s="6"/>
      <c r="C157" s="7"/>
      <c r="D157" s="22"/>
    </row>
    <row r="158" spans="1:4" ht="15.75" hidden="1" thickBot="1" x14ac:dyDescent="0.3">
      <c r="A158" s="10"/>
      <c r="B158" s="6"/>
      <c r="C158" s="7"/>
      <c r="D158" s="22"/>
    </row>
    <row r="159" spans="1:4" ht="15.75" hidden="1" thickBot="1" x14ac:dyDescent="0.3">
      <c r="A159" s="10"/>
      <c r="B159" s="6"/>
      <c r="C159" s="7"/>
      <c r="D159" s="22"/>
    </row>
    <row r="160" spans="1:4" ht="15.75" hidden="1" thickBot="1" x14ac:dyDescent="0.3">
      <c r="A160" s="10"/>
      <c r="B160" s="6"/>
      <c r="C160" s="7"/>
      <c r="D160" s="22"/>
    </row>
    <row r="161" spans="1:7" ht="15.75" hidden="1" thickBot="1" x14ac:dyDescent="0.3">
      <c r="A161" s="10"/>
      <c r="B161" s="6"/>
      <c r="C161" s="7"/>
      <c r="D161" s="22"/>
    </row>
    <row r="162" spans="1:7" ht="15.75" hidden="1" thickBot="1" x14ac:dyDescent="0.3">
      <c r="A162" s="10"/>
      <c r="B162" s="6"/>
      <c r="C162" s="7"/>
      <c r="D162" s="22"/>
    </row>
    <row r="163" spans="1:7" ht="15.75" hidden="1" thickBot="1" x14ac:dyDescent="0.3">
      <c r="A163" s="13"/>
      <c r="B163" s="14"/>
      <c r="C163" s="15"/>
      <c r="D163" s="22"/>
      <c r="E163" s="31">
        <f>SUM(C136:C163)</f>
        <v>0</v>
      </c>
      <c r="F163" s="30"/>
      <c r="G163" s="30"/>
    </row>
    <row r="164" spans="1:7" ht="15.75" thickBot="1" x14ac:dyDescent="0.3">
      <c r="A164" s="32"/>
      <c r="B164" s="176">
        <f>SUM(B31:B163)</f>
        <v>8787.09</v>
      </c>
      <c r="C164" s="34">
        <f>SUM(C31:C163)</f>
        <v>488762.81000000011</v>
      </c>
    </row>
    <row r="165" spans="1:7" x14ac:dyDescent="0.25">
      <c r="C165" s="30"/>
    </row>
    <row r="166" spans="1:7" x14ac:dyDescent="0.25">
      <c r="C166" s="30"/>
    </row>
  </sheetData>
  <mergeCells count="1">
    <mergeCell ref="A29:D29"/>
  </mergeCells>
  <conditionalFormatting sqref="F1:F22">
    <cfRule type="cellIs" dxfId="12" priority="1" operator="lessThan">
      <formula>0</formula>
    </cfRule>
  </conditionalFormatting>
  <conditionalFormatting sqref="I18:I19">
    <cfRule type="cellIs" dxfId="11" priority="2" operator="greaterThanOrEqual">
      <formula>500</formula>
    </cfRule>
    <cfRule type="cellIs" dxfId="10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8"/>
  <sheetViews>
    <sheetView tabSelected="1" view="pageBreakPreview" zoomScale="96" zoomScaleNormal="100" zoomScaleSheetLayoutView="9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4" sqref="P4"/>
    </sheetView>
  </sheetViews>
  <sheetFormatPr defaultRowHeight="15" outlineLevelRow="1" outlineLevelCol="1" x14ac:dyDescent="0.25"/>
  <cols>
    <col min="1" max="1" width="23.42578125" customWidth="1"/>
    <col min="2" max="2" width="18.7109375" customWidth="1" outlineLevel="1"/>
    <col min="3" max="3" width="11.42578125" customWidth="1" outlineLevel="1"/>
    <col min="4" max="4" width="8.85546875" customWidth="1" outlineLevel="1"/>
    <col min="5" max="5" width="9.7109375" customWidth="1" outlineLevel="1"/>
    <col min="6" max="6" width="11.28515625" customWidth="1"/>
    <col min="7" max="7" width="31.28515625" customWidth="1" outlineLevel="1"/>
    <col min="8" max="8" width="20" customWidth="1" outlineLevel="1"/>
    <col min="9" max="9" width="10.7109375" bestFit="1" customWidth="1"/>
    <col min="10" max="10" width="11.7109375" hidden="1" customWidth="1"/>
    <col min="11" max="11" width="20.85546875" bestFit="1" customWidth="1"/>
    <col min="12" max="12" width="9.85546875" bestFit="1" customWidth="1" outlineLevel="1"/>
    <col min="13" max="13" width="9.85546875" bestFit="1" customWidth="1"/>
    <col min="14" max="14" width="13.140625" customWidth="1"/>
    <col min="15" max="15" width="9.5703125" customWidth="1"/>
    <col min="16" max="16" width="10.28515625" customWidth="1"/>
    <col min="17" max="17" width="11.28515625" customWidth="1" outlineLevel="1"/>
    <col min="18" max="18" width="23.140625" customWidth="1"/>
    <col min="19" max="19" width="45.85546875" customWidth="1"/>
    <col min="20" max="20" width="8" customWidth="1"/>
    <col min="21" max="22" width="9.140625" hidden="1" customWidth="1"/>
    <col min="23" max="23" width="0.140625" customWidth="1"/>
    <col min="24" max="26" width="9.140625" hidden="1" customWidth="1"/>
  </cols>
  <sheetData>
    <row r="1" spans="1:19" ht="77.25" thickBot="1" x14ac:dyDescent="0.3">
      <c r="A1" s="414" t="s">
        <v>15</v>
      </c>
      <c r="B1" s="415" t="s">
        <v>16</v>
      </c>
      <c r="C1" s="416" t="s">
        <v>17</v>
      </c>
      <c r="D1" s="416" t="s">
        <v>18</v>
      </c>
      <c r="E1" s="416" t="s">
        <v>19</v>
      </c>
      <c r="F1" s="417" t="s">
        <v>50</v>
      </c>
      <c r="G1" s="418" t="s">
        <v>20</v>
      </c>
      <c r="H1" s="419" t="s">
        <v>21</v>
      </c>
      <c r="I1" s="419" t="s">
        <v>51</v>
      </c>
      <c r="J1" s="420" t="s">
        <v>22</v>
      </c>
      <c r="K1" s="420" t="s">
        <v>23</v>
      </c>
      <c r="L1" s="416" t="s">
        <v>24</v>
      </c>
      <c r="M1" s="416" t="s">
        <v>49</v>
      </c>
      <c r="N1" s="416" t="s">
        <v>25</v>
      </c>
      <c r="O1" s="416" t="s">
        <v>95</v>
      </c>
      <c r="P1" s="416" t="s">
        <v>110</v>
      </c>
      <c r="Q1" s="416" t="s">
        <v>89</v>
      </c>
      <c r="R1" s="438" t="s">
        <v>4</v>
      </c>
      <c r="S1" s="426"/>
    </row>
    <row r="2" spans="1:19" s="297" customFormat="1" x14ac:dyDescent="0.25">
      <c r="A2" s="483" t="s">
        <v>224</v>
      </c>
      <c r="B2" s="484" t="s">
        <v>223</v>
      </c>
      <c r="C2" s="485">
        <v>0</v>
      </c>
      <c r="D2" s="486">
        <v>345</v>
      </c>
      <c r="E2" s="480">
        <v>0</v>
      </c>
      <c r="F2" s="479">
        <v>345</v>
      </c>
      <c r="G2" s="479">
        <v>78855</v>
      </c>
      <c r="H2" s="479">
        <v>79731</v>
      </c>
      <c r="I2" s="480">
        <f>(H2-G2)*0.65</f>
        <v>569.4</v>
      </c>
      <c r="J2" s="481"/>
      <c r="K2" s="481"/>
      <c r="L2" s="478">
        <f>I2</f>
        <v>569.4</v>
      </c>
      <c r="M2" s="478">
        <v>4.7300000000000004</v>
      </c>
      <c r="N2" s="482">
        <f t="shared" ref="N2:N4" si="0">F2/I2</f>
        <v>0.60590094836670183</v>
      </c>
      <c r="O2" s="482">
        <f t="shared" ref="O2:O6" si="1">N2-M2</f>
        <v>-4.1240990516332987</v>
      </c>
      <c r="P2" s="413"/>
      <c r="Q2" s="412"/>
      <c r="R2" s="440"/>
      <c r="S2" s="441"/>
    </row>
    <row r="3" spans="1:19" s="11" customFormat="1" x14ac:dyDescent="0.25">
      <c r="A3" s="391" t="s">
        <v>30</v>
      </c>
      <c r="B3" s="410" t="s">
        <v>223</v>
      </c>
      <c r="C3" s="387">
        <v>90</v>
      </c>
      <c r="D3" s="392">
        <f ca="1">SUMIF(A31:A62,A3,B31:B60)</f>
        <v>600</v>
      </c>
      <c r="E3" s="411">
        <f>SUMIF('Оренда техники'!$C$1:$C$30,A3,'Оренда техники'!$F$1:$F$30)</f>
        <v>90</v>
      </c>
      <c r="F3" s="392">
        <f t="shared" ref="F3:F9" ca="1" si="2">C3+D3-E3</f>
        <v>600</v>
      </c>
      <c r="G3" s="393">
        <v>0</v>
      </c>
      <c r="H3" s="387">
        <f>SUMIF('Оренда техники'!$C$1:$C$30,A3,'Оренда техники'!$E$1:$E$30)</f>
        <v>0</v>
      </c>
      <c r="I3" s="393">
        <f>L3*0.65</f>
        <v>127.4</v>
      </c>
      <c r="J3" s="387"/>
      <c r="K3" s="387"/>
      <c r="L3" s="387">
        <f>SUMIF(' то за Грудень 2025'!$B$4:$B$42,A3,' то за Грудень 2025'!$D$4:$D$42)</f>
        <v>196</v>
      </c>
      <c r="M3" s="387">
        <v>4.7300000000000004</v>
      </c>
      <c r="N3" s="394">
        <f t="shared" ca="1" si="0"/>
        <v>4.7095761381475665</v>
      </c>
      <c r="O3" s="394">
        <f t="shared" ca="1" si="1"/>
        <v>-2.0423861852433944E-2</v>
      </c>
      <c r="P3" s="390"/>
      <c r="Q3" s="388"/>
      <c r="R3" s="442"/>
      <c r="S3" s="441"/>
    </row>
    <row r="4" spans="1:19" x14ac:dyDescent="0.25">
      <c r="A4" s="391" t="s">
        <v>10</v>
      </c>
      <c r="B4" s="410" t="s">
        <v>223</v>
      </c>
      <c r="C4" s="387">
        <v>30</v>
      </c>
      <c r="D4" s="387">
        <f>SUMIF($A$31:$A$95,A4,$B$31:$B$95)</f>
        <v>700</v>
      </c>
      <c r="E4" s="411">
        <f>SUMIF('Оренда техники'!$C$1:$C$30,A4,'Оренда техники'!$F$1:$F$30)</f>
        <v>70</v>
      </c>
      <c r="F4" s="392">
        <f t="shared" si="2"/>
        <v>660</v>
      </c>
      <c r="G4" s="387">
        <v>11433</v>
      </c>
      <c r="H4" s="387">
        <f>SUMIF('Оренда техники'!$C$1:$C$30,A4,'Оренда техники'!$E$1:$E$30)</f>
        <v>11678</v>
      </c>
      <c r="I4" s="393">
        <f>H4-G4</f>
        <v>245</v>
      </c>
      <c r="J4" s="387">
        <v>0</v>
      </c>
      <c r="K4" s="387"/>
      <c r="L4" s="387">
        <f>SUMIF(' то за Грудень 2025'!$B$4:$B$42,A4,' то за Грудень 2025'!$D$4:$D$42)</f>
        <v>193</v>
      </c>
      <c r="M4" s="387">
        <v>4.7300000000000004</v>
      </c>
      <c r="N4" s="394">
        <f t="shared" si="0"/>
        <v>2.693877551020408</v>
      </c>
      <c r="O4" s="394">
        <f t="shared" si="1"/>
        <v>-2.0361224489795924</v>
      </c>
      <c r="P4" s="390"/>
      <c r="Q4" s="388"/>
      <c r="R4" s="441"/>
      <c r="S4" s="441"/>
    </row>
    <row r="5" spans="1:19" s="11" customFormat="1" ht="24.6" customHeight="1" x14ac:dyDescent="0.25">
      <c r="A5" s="391" t="s">
        <v>11</v>
      </c>
      <c r="B5" s="410" t="s">
        <v>223</v>
      </c>
      <c r="C5" s="387">
        <v>60</v>
      </c>
      <c r="D5" s="387">
        <f>SUMIF($A$31:$A$95,A5,$B$31:$B$95)</f>
        <v>900</v>
      </c>
      <c r="E5" s="411">
        <f>SUMIF('Оренда техники'!$C$1:$C$30,A5,'Оренда техники'!$F$1:$F$30)</f>
        <v>70</v>
      </c>
      <c r="F5" s="392">
        <f t="shared" si="2"/>
        <v>890</v>
      </c>
      <c r="G5" s="387">
        <v>9357</v>
      </c>
      <c r="H5" s="387">
        <f>SUMIF('Оренда техники'!$C$1:$C$30,A5,'Оренда техники'!$E$1:$E$30)</f>
        <v>9672</v>
      </c>
      <c r="I5" s="393">
        <f t="shared" ref="I5:I15" si="3">H5-G5</f>
        <v>315</v>
      </c>
      <c r="J5" s="387">
        <v>0</v>
      </c>
      <c r="K5" s="387"/>
      <c r="L5" s="387">
        <f>SUMIF(' то за Грудень 2025'!$B$4:$B$42,A5,' то за Грудень 2025'!$D$4:$D$42)</f>
        <v>191</v>
      </c>
      <c r="M5" s="387">
        <v>4.7300000000000004</v>
      </c>
      <c r="N5" s="394">
        <f t="shared" ref="N5:N9" si="4">F5/I5</f>
        <v>2.8253968253968256</v>
      </c>
      <c r="O5" s="394">
        <f t="shared" si="1"/>
        <v>-1.9046031746031749</v>
      </c>
      <c r="P5" s="394"/>
      <c r="Q5" s="394"/>
      <c r="R5" s="443"/>
      <c r="S5" s="441"/>
    </row>
    <row r="6" spans="1:19" hidden="1" x14ac:dyDescent="0.25">
      <c r="A6" s="432" t="s">
        <v>32</v>
      </c>
      <c r="B6" s="410">
        <v>45962</v>
      </c>
      <c r="C6" s="395">
        <v>130</v>
      </c>
      <c r="D6" s="387">
        <f>SUMIF($A$31:$A$95,A6,$B$31:$B$95)</f>
        <v>100</v>
      </c>
      <c r="E6" s="411">
        <f>SUMIF('Оренда техники'!$C$1:$C$30,A6,'Оренда техники'!$F$1:$F$30)</f>
        <v>85</v>
      </c>
      <c r="F6" s="397">
        <f t="shared" si="2"/>
        <v>145</v>
      </c>
      <c r="G6" s="387">
        <v>5468</v>
      </c>
      <c r="H6" s="387">
        <f>SUMIF('Оренда техники'!$C$1:$C$30,A6,'Оренда техники'!$E$1:$E$30)</f>
        <v>5552</v>
      </c>
      <c r="I6" s="398">
        <f t="shared" ref="I6:I11" si="5">H6-G6</f>
        <v>84</v>
      </c>
      <c r="J6" s="387">
        <v>0</v>
      </c>
      <c r="K6" s="387"/>
      <c r="L6" s="387">
        <f>SUMIF(' то за Грудень 2025'!$B$4:$B$42,A6,' то за Грудень 2025'!$D$4:$D$42)</f>
        <v>82</v>
      </c>
      <c r="M6" s="387">
        <v>5</v>
      </c>
      <c r="N6" s="394">
        <f>F6/I6</f>
        <v>1.7261904761904763</v>
      </c>
      <c r="O6" s="394">
        <f t="shared" si="1"/>
        <v>-3.2738095238095237</v>
      </c>
      <c r="P6" s="390"/>
      <c r="Q6" s="388"/>
      <c r="R6" s="441"/>
      <c r="S6" s="441"/>
    </row>
    <row r="7" spans="1:19" s="11" customFormat="1" hidden="1" x14ac:dyDescent="0.25">
      <c r="A7" s="391" t="s">
        <v>33</v>
      </c>
      <c r="B7" s="410">
        <v>45962</v>
      </c>
      <c r="C7" s="396">
        <v>150</v>
      </c>
      <c r="D7" s="387">
        <v>0</v>
      </c>
      <c r="E7" s="411">
        <v>150</v>
      </c>
      <c r="F7" s="397">
        <f t="shared" si="2"/>
        <v>0</v>
      </c>
      <c r="G7" s="387">
        <v>11111</v>
      </c>
      <c r="H7" s="387">
        <v>11111</v>
      </c>
      <c r="I7" s="398">
        <f t="shared" si="5"/>
        <v>0</v>
      </c>
      <c r="J7" s="387">
        <v>0</v>
      </c>
      <c r="K7" s="387"/>
      <c r="L7" s="387">
        <f>SUMIF(' то за Грудень 2025'!$B$4:$B$42,A7,' то за Грудень 2025'!$D$4:$D$42)</f>
        <v>0</v>
      </c>
      <c r="M7" s="387">
        <v>3.8</v>
      </c>
      <c r="N7" s="394">
        <f>IFERROR(F7/I7,0)</f>
        <v>0</v>
      </c>
      <c r="O7" s="394">
        <f>N7-M7</f>
        <v>-3.8</v>
      </c>
      <c r="P7" s="390"/>
      <c r="Q7" s="388"/>
      <c r="R7" s="440"/>
      <c r="S7" s="441"/>
    </row>
    <row r="8" spans="1:19" hidden="1" x14ac:dyDescent="0.25">
      <c r="A8" s="432" t="s">
        <v>187</v>
      </c>
      <c r="B8" s="410">
        <v>45962</v>
      </c>
      <c r="C8" s="387">
        <v>0</v>
      </c>
      <c r="D8" s="387">
        <f t="shared" ref="D8:D19" si="6">SUMIF($A$31:$A$95,A8,$B$31:$B$95)</f>
        <v>800</v>
      </c>
      <c r="E8" s="411">
        <f>SUMIF('Оренда техники'!$C$1:$C$30,A8,'Оренда техники'!$F$1:$F$30)</f>
        <v>20</v>
      </c>
      <c r="F8" s="397">
        <f t="shared" si="2"/>
        <v>780</v>
      </c>
      <c r="G8" s="387">
        <v>19953</v>
      </c>
      <c r="H8" s="387">
        <f>SUMIF('Оренда техники'!$C$1:$C$30,A8,'Оренда техники'!$E$1:$E$30)</f>
        <v>20316</v>
      </c>
      <c r="I8" s="398">
        <f t="shared" si="5"/>
        <v>363</v>
      </c>
      <c r="J8" s="387">
        <v>0</v>
      </c>
      <c r="K8" s="387"/>
      <c r="L8" s="387">
        <f>SUMIF(' то за Грудень 2025'!$B$4:$B$42,A8,' то за Грудень 2025'!$D$4:$D$42)</f>
        <v>191</v>
      </c>
      <c r="M8" s="387">
        <v>4.3499999999999996</v>
      </c>
      <c r="N8" s="394">
        <f t="shared" si="4"/>
        <v>2.1487603305785123</v>
      </c>
      <c r="O8" s="394">
        <f t="shared" ref="O8:O9" si="7">N8-M8</f>
        <v>-2.2012396694214873</v>
      </c>
      <c r="P8" s="390"/>
      <c r="Q8" s="388"/>
      <c r="R8" s="425"/>
      <c r="S8" s="441"/>
    </row>
    <row r="9" spans="1:19" s="11" customFormat="1" hidden="1" x14ac:dyDescent="0.25">
      <c r="A9" s="391" t="s">
        <v>14</v>
      </c>
      <c r="B9" s="410">
        <v>45962</v>
      </c>
      <c r="C9" s="387">
        <v>80</v>
      </c>
      <c r="D9" s="387">
        <f t="shared" si="6"/>
        <v>561.99</v>
      </c>
      <c r="E9" s="411">
        <f>SUMIF('Оренда техники'!$C$1:$C$30,A9,'Оренда техники'!$F$1:$F$30)</f>
        <v>50</v>
      </c>
      <c r="F9" s="397">
        <f t="shared" si="2"/>
        <v>591.99</v>
      </c>
      <c r="G9" s="397">
        <v>652</v>
      </c>
      <c r="H9" s="397">
        <f>SUMIF('Оренда техники'!$C$1:$C$30,A9,'Оренда техники'!$E$1:$E$30)</f>
        <v>874</v>
      </c>
      <c r="I9" s="398">
        <f t="shared" si="5"/>
        <v>222</v>
      </c>
      <c r="J9" s="387">
        <v>0</v>
      </c>
      <c r="K9" s="387"/>
      <c r="L9" s="387">
        <f>SUMIF(' то за Грудень 2025'!$B$4:$B$42,A9,' то за Грудень 2025'!$D$4:$D$42)</f>
        <v>63</v>
      </c>
      <c r="M9" s="387">
        <v>4.3499999999999996</v>
      </c>
      <c r="N9" s="394">
        <f t="shared" si="4"/>
        <v>2.6666216216216219</v>
      </c>
      <c r="O9" s="399">
        <f t="shared" si="7"/>
        <v>-1.6833783783783778</v>
      </c>
      <c r="P9" s="390"/>
      <c r="Q9" s="388"/>
      <c r="R9" s="444"/>
      <c r="S9" s="442"/>
    </row>
    <row r="10" spans="1:19" s="11" customFormat="1" hidden="1" x14ac:dyDescent="0.25">
      <c r="A10" s="391" t="s">
        <v>13</v>
      </c>
      <c r="B10" s="410">
        <v>45962</v>
      </c>
      <c r="C10" s="387">
        <v>100</v>
      </c>
      <c r="D10" s="387">
        <f t="shared" si="6"/>
        <v>650</v>
      </c>
      <c r="E10" s="411">
        <f>SUMIF('Оренда техники'!$C$1:$C$30,A10,'Оренда техники'!$F$1:$F$30)</f>
        <v>150</v>
      </c>
      <c r="F10" s="397">
        <f t="shared" ref="F10:F17" si="8">C10+D10-E10</f>
        <v>600</v>
      </c>
      <c r="G10" s="397">
        <v>0</v>
      </c>
      <c r="H10" s="397">
        <f>SUMIF('Оренда техники'!$C$1:$C$30,A10,'Оренда техники'!$E$1:$E$30)</f>
        <v>13312</v>
      </c>
      <c r="I10" s="398">
        <f>L10*0.7</f>
        <v>39.199999999999996</v>
      </c>
      <c r="J10" s="387">
        <v>0</v>
      </c>
      <c r="K10" s="387"/>
      <c r="L10" s="387">
        <f>SUMIF(' то за Грудень 2025'!$B$4:$B$42,A10,' то за Грудень 2025'!$D$4:$D$42)</f>
        <v>56</v>
      </c>
      <c r="M10" s="387">
        <v>4.3499999999999996</v>
      </c>
      <c r="N10" s="394">
        <f t="shared" ref="N10" si="9">F10/I10</f>
        <v>15.306122448979593</v>
      </c>
      <c r="O10" s="399">
        <f t="shared" ref="O10" si="10">N10-M10</f>
        <v>10.956122448979594</v>
      </c>
      <c r="P10" s="390">
        <f>O10/M10</f>
        <v>2.5186488388458836</v>
      </c>
      <c r="Q10" s="388">
        <f>(I10*O10*$K$26)</f>
        <v>25886.851290934312</v>
      </c>
      <c r="R10" s="425" t="s">
        <v>222</v>
      </c>
      <c r="S10" s="442"/>
    </row>
    <row r="11" spans="1:19" ht="30.75" hidden="1" customHeight="1" x14ac:dyDescent="0.25">
      <c r="A11" s="437" t="s">
        <v>34</v>
      </c>
      <c r="B11" s="410">
        <v>45962</v>
      </c>
      <c r="C11" s="387">
        <v>247</v>
      </c>
      <c r="D11" s="387">
        <f t="shared" si="6"/>
        <v>300</v>
      </c>
      <c r="E11" s="411">
        <f>SUMIF('Оренда техники'!$C$1:$C$30,A11,'Оренда техники'!$F$1:$F$30)</f>
        <v>173</v>
      </c>
      <c r="F11" s="436">
        <f t="shared" si="8"/>
        <v>374</v>
      </c>
      <c r="G11" s="397">
        <v>8865</v>
      </c>
      <c r="H11" s="397">
        <f>SUMIF('Оренда техники'!$C$1:$C$30,A11,'Оренда техники'!$E$1:$E$30)</f>
        <v>9077</v>
      </c>
      <c r="I11" s="398">
        <f t="shared" si="5"/>
        <v>212</v>
      </c>
      <c r="J11" s="435">
        <v>0</v>
      </c>
      <c r="K11" s="435"/>
      <c r="L11" s="387">
        <f>SUMIF(' то за Грудень 2025'!$B$4:$B$42,A11,' то за Грудень 2025'!$D$4:$D$42)</f>
        <v>60</v>
      </c>
      <c r="M11" s="387">
        <v>10.5</v>
      </c>
      <c r="N11" s="394">
        <f t="shared" ref="N11:N20" si="11">F11/I11</f>
        <v>1.7641509433962264</v>
      </c>
      <c r="O11" s="394">
        <f t="shared" ref="O11:O14" si="12">N11-M11</f>
        <v>-8.7358490566037741</v>
      </c>
      <c r="P11" s="390"/>
      <c r="Q11" s="388"/>
      <c r="R11" s="477" t="s">
        <v>216</v>
      </c>
      <c r="S11" s="442"/>
    </row>
    <row r="12" spans="1:19" hidden="1" x14ac:dyDescent="0.25">
      <c r="A12" s="391" t="s">
        <v>35</v>
      </c>
      <c r="B12" s="410">
        <v>45962</v>
      </c>
      <c r="C12" s="387">
        <v>150</v>
      </c>
      <c r="D12" s="387">
        <f t="shared" si="6"/>
        <v>440</v>
      </c>
      <c r="E12" s="411">
        <f>SUMIF('Оренда техники'!$C$1:$C$30,A12,'Оренда техники'!$F$1:$F$30)</f>
        <v>140</v>
      </c>
      <c r="F12" s="397">
        <f t="shared" si="8"/>
        <v>450</v>
      </c>
      <c r="G12" s="387">
        <v>40752</v>
      </c>
      <c r="H12" s="397">
        <f>SUMIF('Оренда техники'!$C$1:$C$30,A12,'Оренда техники'!$E$1:$E$30)</f>
        <v>41707</v>
      </c>
      <c r="I12" s="398">
        <f t="shared" si="3"/>
        <v>955</v>
      </c>
      <c r="J12" s="387">
        <v>0</v>
      </c>
      <c r="K12" s="387"/>
      <c r="L12" s="387">
        <f>SUMIF(' то за Грудень 2025'!$B$4:$B$42,A12,' то за Грудень 2025'!$D$4:$D$42)</f>
        <v>183</v>
      </c>
      <c r="M12" s="387">
        <v>0.9</v>
      </c>
      <c r="N12" s="394">
        <f t="shared" si="11"/>
        <v>0.47120418848167539</v>
      </c>
      <c r="O12" s="399">
        <f t="shared" si="12"/>
        <v>-0.42879581151832463</v>
      </c>
      <c r="P12" s="390"/>
      <c r="Q12" s="388"/>
      <c r="R12" s="425"/>
      <c r="S12" s="441"/>
    </row>
    <row r="13" spans="1:19" hidden="1" x14ac:dyDescent="0.25">
      <c r="A13" s="391" t="s">
        <v>7</v>
      </c>
      <c r="B13" s="410">
        <v>45962</v>
      </c>
      <c r="C13" s="387">
        <v>180</v>
      </c>
      <c r="D13" s="387">
        <f t="shared" si="6"/>
        <v>600</v>
      </c>
      <c r="E13" s="411">
        <f>SUMIF('Оренда техники'!$C$1:$C$30,A13,'Оренда техники'!$F$1:$F$30)</f>
        <v>90</v>
      </c>
      <c r="F13" s="397">
        <f>C13+D13-E13</f>
        <v>690</v>
      </c>
      <c r="G13" s="387">
        <v>46054</v>
      </c>
      <c r="H13" s="397">
        <f>SUMIF('Оренда техники'!$C$1:$C$30,A13,'Оренда техники'!$E$1:$E$30)</f>
        <v>47406</v>
      </c>
      <c r="I13" s="398">
        <f>H13-G13</f>
        <v>1352</v>
      </c>
      <c r="J13" s="387">
        <v>0</v>
      </c>
      <c r="K13" s="387"/>
      <c r="L13" s="387">
        <f>SUMIF(' то за Грудень 2025'!$B$4:$B$42,A13,' то за Грудень 2025'!$D$4:$D$42)</f>
        <v>99</v>
      </c>
      <c r="M13" s="387">
        <v>0.9</v>
      </c>
      <c r="N13" s="394">
        <f>F13/I13</f>
        <v>0.51035502958579881</v>
      </c>
      <c r="O13" s="399">
        <f t="shared" si="12"/>
        <v>-0.38964497041420121</v>
      </c>
      <c r="P13" s="390"/>
      <c r="Q13" s="388"/>
      <c r="R13" s="425"/>
      <c r="S13" s="442"/>
    </row>
    <row r="14" spans="1:19" s="11" customFormat="1" hidden="1" x14ac:dyDescent="0.25">
      <c r="A14" s="433" t="s">
        <v>8</v>
      </c>
      <c r="B14" s="410">
        <v>45962</v>
      </c>
      <c r="C14" s="387">
        <v>170</v>
      </c>
      <c r="D14" s="387">
        <f t="shared" si="6"/>
        <v>700</v>
      </c>
      <c r="E14" s="411">
        <f>SUMIF('Оренда техники'!$C$1:$C$30,A14,'Оренда техники'!$F$1:$F$30)</f>
        <v>146</v>
      </c>
      <c r="F14" s="397">
        <f>C14+D14-E14</f>
        <v>724</v>
      </c>
      <c r="G14" s="387">
        <v>0</v>
      </c>
      <c r="H14" s="397">
        <f>SUMIF('Оренда техники'!$C$1:$C$30,A14,'Оренда техники'!$E$1:$E$30)</f>
        <v>0</v>
      </c>
      <c r="I14" s="398">
        <f>L14*2.37</f>
        <v>298.62</v>
      </c>
      <c r="J14" s="387">
        <v>0</v>
      </c>
      <c r="K14" s="387"/>
      <c r="L14" s="387">
        <f>SUMIF(' то за Грудень 2025'!$B$4:$B$42,A14,' то за Грудень 2025'!$D$4:$D$42)</f>
        <v>126</v>
      </c>
      <c r="M14" s="387">
        <v>0.9</v>
      </c>
      <c r="N14" s="394">
        <f>F14/I14</f>
        <v>2.4244859687897664</v>
      </c>
      <c r="O14" s="434">
        <f t="shared" si="12"/>
        <v>1.5244859687897665</v>
      </c>
      <c r="P14" s="390">
        <f>O14/M14</f>
        <v>1.693873298655296</v>
      </c>
      <c r="Q14" s="388">
        <f>(I14*O14*$K$26)</f>
        <v>27439.652499272419</v>
      </c>
      <c r="R14" s="476" t="s">
        <v>189</v>
      </c>
      <c r="S14" s="441"/>
    </row>
    <row r="15" spans="1:19" ht="21.6" hidden="1" customHeight="1" x14ac:dyDescent="0.25">
      <c r="A15" s="391" t="s">
        <v>9</v>
      </c>
      <c r="B15" s="410">
        <v>45962</v>
      </c>
      <c r="C15" s="387">
        <v>140</v>
      </c>
      <c r="D15" s="387">
        <f t="shared" si="6"/>
        <v>750</v>
      </c>
      <c r="E15" s="411">
        <f>SUMIF('Оренда техники'!$C$1:$C$30,A15,'Оренда техники'!$F$1:$F$30)</f>
        <v>120</v>
      </c>
      <c r="F15" s="397">
        <f>C15+D15-E15</f>
        <v>770</v>
      </c>
      <c r="G15" s="387">
        <v>90171</v>
      </c>
      <c r="H15" s="387">
        <f>SUMIF('Оренда техники'!$C$1:$C$30,A15,'Оренда техники'!$E$1:$E$30)</f>
        <v>91004</v>
      </c>
      <c r="I15" s="398">
        <f t="shared" si="3"/>
        <v>833</v>
      </c>
      <c r="J15" s="387">
        <v>0</v>
      </c>
      <c r="K15" s="387"/>
      <c r="L15" s="387">
        <f>SUMIF(' то за Грудень 2025'!$B$4:$B$42,A15,' то за Грудень 2025'!$D$4:$D$42)</f>
        <v>159</v>
      </c>
      <c r="M15" s="387">
        <v>0.9</v>
      </c>
      <c r="N15" s="394">
        <f>IFERROR(F15/I15,0)</f>
        <v>0.92436974789915971</v>
      </c>
      <c r="O15" s="399">
        <f>N15-M15</f>
        <v>2.4369747899159688E-2</v>
      </c>
      <c r="P15" s="390">
        <f>O15/M15</f>
        <v>2.7077497665732985E-2</v>
      </c>
      <c r="Q15" s="388">
        <f>(I15*O15*$K$26)</f>
        <v>1223.5798668295777</v>
      </c>
      <c r="R15" s="477" t="s">
        <v>220</v>
      </c>
      <c r="S15" s="445"/>
    </row>
    <row r="16" spans="1:19" hidden="1" x14ac:dyDescent="0.25">
      <c r="A16" s="391" t="s">
        <v>60</v>
      </c>
      <c r="B16" s="410">
        <v>45962</v>
      </c>
      <c r="C16" s="387">
        <v>150</v>
      </c>
      <c r="D16" s="387">
        <f t="shared" si="6"/>
        <v>600</v>
      </c>
      <c r="E16" s="411">
        <f>SUMIF('Оренда техники'!$C$1:$C$30,A16,'Оренда техники'!$F$1:$F$30)</f>
        <v>70</v>
      </c>
      <c r="F16" s="397">
        <f t="shared" si="8"/>
        <v>680</v>
      </c>
      <c r="G16" s="387">
        <v>89040</v>
      </c>
      <c r="H16" s="387">
        <f>SUMIF('Оренда техники'!$C$1:$C$30,A16,'Оренда техники'!$E$1:$E$30)</f>
        <v>89907</v>
      </c>
      <c r="I16" s="398">
        <f>H16-G16</f>
        <v>867</v>
      </c>
      <c r="J16" s="387">
        <v>0</v>
      </c>
      <c r="K16" s="387"/>
      <c r="L16" s="387">
        <f>SUMIF(' то за Грудень 2025'!$B$4:$B$42,A16,' то за Грудень 2025'!$D$4:$D$42)</f>
        <v>168</v>
      </c>
      <c r="M16" s="387">
        <v>0.9</v>
      </c>
      <c r="N16" s="394">
        <f t="shared" si="11"/>
        <v>0.78431372549019607</v>
      </c>
      <c r="O16" s="399">
        <f>N16-M16</f>
        <v>-0.11568627450980395</v>
      </c>
      <c r="P16" s="390"/>
      <c r="Q16" s="388"/>
      <c r="R16" s="477" t="s">
        <v>219</v>
      </c>
      <c r="S16" s="442"/>
    </row>
    <row r="17" spans="1:19" hidden="1" x14ac:dyDescent="0.25">
      <c r="A17" s="391" t="s">
        <v>148</v>
      </c>
      <c r="B17" s="410">
        <v>45962</v>
      </c>
      <c r="C17" s="387">
        <v>243</v>
      </c>
      <c r="D17" s="387">
        <f t="shared" si="6"/>
        <v>200</v>
      </c>
      <c r="E17" s="411">
        <f>SUMIF('Оренда техники'!$C$1:$C$30,A17,'Оренда техники'!$F$1:$F$30)</f>
        <v>165</v>
      </c>
      <c r="F17" s="397">
        <f t="shared" si="8"/>
        <v>278</v>
      </c>
      <c r="G17" s="387">
        <v>0</v>
      </c>
      <c r="H17" s="387">
        <f>SUMIF('Оренда техники'!$C$1:$C$30,A17,'Оренда техники'!$E$1:$E$30)</f>
        <v>0</v>
      </c>
      <c r="I17" s="393">
        <f>L17*0.7</f>
        <v>21</v>
      </c>
      <c r="J17" s="387">
        <v>0</v>
      </c>
      <c r="K17" s="387"/>
      <c r="L17" s="387">
        <f>SUMIF(' то за Грудень 2025'!$B$4:$B$42,A17,' то за Грудень 2025'!$D$4:$D$42)</f>
        <v>30</v>
      </c>
      <c r="M17" s="387">
        <v>5.0999999999999996</v>
      </c>
      <c r="N17" s="394">
        <f>IFERROR(F17/I17,0)</f>
        <v>13.238095238095237</v>
      </c>
      <c r="O17" s="399">
        <f>N17-M17</f>
        <v>8.1380952380952376</v>
      </c>
      <c r="P17" s="390">
        <f>O17/M17</f>
        <v>1.5957049486461252</v>
      </c>
      <c r="Q17" s="388">
        <f>(I17*O17*$K$26)</f>
        <v>10300.975332077565</v>
      </c>
      <c r="R17" s="477" t="s">
        <v>221</v>
      </c>
      <c r="S17" s="446"/>
    </row>
    <row r="18" spans="1:19" ht="26.25" hidden="1" customHeight="1" x14ac:dyDescent="0.25">
      <c r="A18" s="391" t="s">
        <v>5</v>
      </c>
      <c r="B18" s="410">
        <v>45962</v>
      </c>
      <c r="C18" s="395">
        <v>0</v>
      </c>
      <c r="D18" s="387">
        <f t="shared" si="6"/>
        <v>560</v>
      </c>
      <c r="E18" s="411">
        <f>SUMIF('Оренда техники'!$C$1:$C$30,A18,'Оренда техники'!$F$1:$F$30)</f>
        <v>210</v>
      </c>
      <c r="F18" s="401">
        <f>C18+D18-E18</f>
        <v>350</v>
      </c>
      <c r="G18" s="387">
        <v>7367</v>
      </c>
      <c r="H18" s="387">
        <f>SUMIF('Оренда техники'!$C$1:$C$30,A18,'Оренда техники'!$E$1:$E$30)</f>
        <v>7589</v>
      </c>
      <c r="I18" s="393">
        <f>H18-G18</f>
        <v>222</v>
      </c>
      <c r="J18" s="387">
        <v>0</v>
      </c>
      <c r="K18" s="387"/>
      <c r="L18" s="387">
        <f>SUMIF(' то за Грудень 2025'!$B$4:$B$42,A18,' то за Грудень 2025'!$D$4:$D$42)</f>
        <v>198</v>
      </c>
      <c r="M18" s="387">
        <v>4.07</v>
      </c>
      <c r="N18" s="399">
        <f t="shared" si="11"/>
        <v>1.5765765765765767</v>
      </c>
      <c r="O18" s="399">
        <f>N18-M18</f>
        <v>-2.4934234234234234</v>
      </c>
      <c r="P18" s="400"/>
      <c r="Q18" s="400"/>
      <c r="R18" s="477" t="s">
        <v>217</v>
      </c>
      <c r="S18" s="442"/>
    </row>
    <row r="19" spans="1:19" hidden="1" x14ac:dyDescent="0.25">
      <c r="A19" s="391" t="s">
        <v>6</v>
      </c>
      <c r="B19" s="410">
        <v>45962</v>
      </c>
      <c r="C19" s="387">
        <v>0</v>
      </c>
      <c r="D19" s="387">
        <f t="shared" si="6"/>
        <v>166.53</v>
      </c>
      <c r="E19" s="411">
        <f>SUMIF('Оренда техники'!$C$1:$C$30,A19,'Оренда техники'!$F$1:$F$30)</f>
        <v>80</v>
      </c>
      <c r="F19" s="392">
        <f>C19+D19-E19</f>
        <v>86.53</v>
      </c>
      <c r="G19" s="387">
        <v>202</v>
      </c>
      <c r="H19" s="387">
        <f>SUMIF('Оренда техники'!$C$1:$C$30,A19,'Оренда техники'!$E$1:$E$30)</f>
        <v>392</v>
      </c>
      <c r="I19" s="402">
        <f>H19-G19</f>
        <v>190</v>
      </c>
      <c r="J19" s="403">
        <v>0</v>
      </c>
      <c r="K19" s="404"/>
      <c r="L19" s="387">
        <f>SUMIF(' то за Грудень 2025'!$B$4:$B$42,A19,' то за Грудень 2025'!$D$4:$D$42)</f>
        <v>48</v>
      </c>
      <c r="M19" s="403">
        <v>2.9</v>
      </c>
      <c r="N19" s="394">
        <f t="shared" si="11"/>
        <v>0.45542105263157895</v>
      </c>
      <c r="O19" s="389">
        <f t="shared" ref="O19:O21" si="13">N19-M19</f>
        <v>-2.444578947368421</v>
      </c>
      <c r="P19" s="390"/>
      <c r="Q19" s="388"/>
      <c r="R19" s="477" t="s">
        <v>218</v>
      </c>
      <c r="S19" s="442"/>
    </row>
    <row r="20" spans="1:19" ht="65.25" hidden="1" outlineLevel="1" thickBot="1" x14ac:dyDescent="0.3">
      <c r="A20" s="287" t="s">
        <v>105</v>
      </c>
      <c r="B20" s="410">
        <v>45901</v>
      </c>
      <c r="C20" s="288">
        <v>0</v>
      </c>
      <c r="D20" s="289"/>
      <c r="E20" s="403">
        <f>SUMIF('Оренда техники'!C17:C32,A20,'Оренда техники'!F17:F32)</f>
        <v>0</v>
      </c>
      <c r="F20" s="290"/>
      <c r="G20" s="291">
        <v>202</v>
      </c>
      <c r="H20" s="387">
        <f>SUMIF('Оренда техники'!$C$1:$C$30,A20,'Оренда техники'!$E$1:$E$30)</f>
        <v>0</v>
      </c>
      <c r="I20" s="291"/>
      <c r="J20" s="288"/>
      <c r="K20" s="288"/>
      <c r="L20" s="288"/>
      <c r="M20" s="288">
        <v>0.32</v>
      </c>
      <c r="N20" s="292" t="e">
        <f t="shared" si="11"/>
        <v>#DIV/0!</v>
      </c>
      <c r="O20" s="292" t="e">
        <f t="shared" si="13"/>
        <v>#DIV/0!</v>
      </c>
      <c r="P20" s="293" t="e">
        <f>O20/M20</f>
        <v>#DIV/0!</v>
      </c>
      <c r="Q20" s="294" t="e">
        <f>O20*I20*51.53</f>
        <v>#DIV/0!</v>
      </c>
      <c r="R20" s="422" t="s">
        <v>128</v>
      </c>
      <c r="S20" s="439"/>
    </row>
    <row r="21" spans="1:19" ht="65.25" hidden="1" outlineLevel="1" thickBot="1" x14ac:dyDescent="0.3">
      <c r="A21" s="206" t="s">
        <v>114</v>
      </c>
      <c r="B21" s="410">
        <v>45901</v>
      </c>
      <c r="C21" s="403">
        <v>0</v>
      </c>
      <c r="D21" s="405"/>
      <c r="E21" s="403">
        <f ca="1">SUMIF('Оренда техники'!C17:C33,A21,'Оренда техники'!F18:F33)</f>
        <v>0</v>
      </c>
      <c r="F21" s="406"/>
      <c r="G21" s="402">
        <v>0</v>
      </c>
      <c r="H21" s="387">
        <f>SUMIF('Оренда техники'!$C$1:$C$30,A21,'Оренда техники'!$E$1:$E$30)</f>
        <v>0</v>
      </c>
      <c r="I21" s="402"/>
      <c r="J21" s="403"/>
      <c r="K21" s="403"/>
      <c r="L21" s="403"/>
      <c r="M21" s="214">
        <v>0.32</v>
      </c>
      <c r="N21" s="252" t="e">
        <f>F21/I21</f>
        <v>#DIV/0!</v>
      </c>
      <c r="O21" s="407" t="e">
        <f t="shared" si="13"/>
        <v>#DIV/0!</v>
      </c>
      <c r="P21" s="408" t="e">
        <f>O21/M21</f>
        <v>#DIV/0!</v>
      </c>
      <c r="Q21" s="283" t="e">
        <f>O21*I21*51.53</f>
        <v>#DIV/0!</v>
      </c>
      <c r="R21" s="423" t="s">
        <v>129</v>
      </c>
      <c r="S21" s="322"/>
    </row>
    <row r="22" spans="1:19" ht="15.75" hidden="1" collapsed="1" thickBot="1" x14ac:dyDescent="0.3">
      <c r="A22" s="213" t="s">
        <v>107</v>
      </c>
      <c r="B22" s="410">
        <v>45901</v>
      </c>
      <c r="C22" s="214">
        <v>0</v>
      </c>
      <c r="D22" s="215"/>
      <c r="E22" s="214">
        <f ca="1">SUMIF('Оренда техники'!C18:C34,A22,'Оренда техники'!F19:F34)</f>
        <v>0</v>
      </c>
      <c r="F22" s="215"/>
      <c r="G22" s="218">
        <v>0</v>
      </c>
      <c r="H22" s="409">
        <f>SUMIF('Оренда техники'!$C$1:$C$30,A22,'Оренда техники'!$E$1:$E$30)</f>
        <v>0</v>
      </c>
      <c r="I22" s="218"/>
      <c r="J22" s="214"/>
      <c r="K22" s="214"/>
      <c r="L22" s="214"/>
      <c r="M22" s="214">
        <v>0.32</v>
      </c>
      <c r="N22" s="252"/>
      <c r="O22" s="268"/>
      <c r="P22" s="269"/>
      <c r="Q22" s="281"/>
      <c r="R22" s="424"/>
      <c r="S22" s="427"/>
    </row>
    <row r="23" spans="1:19" hidden="1" x14ac:dyDescent="0.25">
      <c r="A23" s="51"/>
      <c r="B23" s="51"/>
      <c r="C23" s="249">
        <f>SUM(C3:C19)</f>
        <v>1920</v>
      </c>
      <c r="D23" s="250">
        <f ca="1">SUM(D2:D19)</f>
        <v>8973.52</v>
      </c>
      <c r="E23" s="250">
        <f>SUM(E2:E19)</f>
        <v>1879</v>
      </c>
      <c r="F23" s="51"/>
      <c r="G23" s="250">
        <f>SUM(G2:G19)</f>
        <v>419280</v>
      </c>
      <c r="H23" s="250">
        <f>SUM(H2:H19)</f>
        <v>439328</v>
      </c>
      <c r="I23" s="51"/>
      <c r="J23" s="51"/>
      <c r="K23" s="51"/>
      <c r="L23" s="250">
        <f>SUM(L2:L19)</f>
        <v>2612.4</v>
      </c>
      <c r="M23" s="51"/>
      <c r="N23" s="51"/>
      <c r="O23" s="51"/>
      <c r="P23" s="51"/>
      <c r="Q23" s="250">
        <f>SUM(Q3:Q19)</f>
        <v>64851.058989113866</v>
      </c>
      <c r="R23" s="51"/>
    </row>
    <row r="24" spans="1:19" hidden="1" x14ac:dyDescent="0.25">
      <c r="A24" s="51"/>
      <c r="B24" s="51"/>
      <c r="C24" s="51"/>
      <c r="D24" s="106">
        <f ca="1">D23-B96</f>
        <v>-455</v>
      </c>
      <c r="E24" s="106">
        <f>E23-SUM('Оренда техники'!F2:F20)</f>
        <v>110</v>
      </c>
      <c r="F24" s="51"/>
      <c r="G24" s="51"/>
      <c r="H24" s="106">
        <f>H23-SUM('Оренда техники'!E2:E20)</f>
        <v>75864</v>
      </c>
      <c r="I24" s="51"/>
      <c r="J24" s="51"/>
      <c r="K24" s="51"/>
      <c r="L24" s="51"/>
      <c r="M24" s="51"/>
      <c r="N24" s="285"/>
      <c r="O24" s="51"/>
      <c r="P24" s="51">
        <v>203</v>
      </c>
      <c r="Q24" s="51"/>
      <c r="R24" s="51"/>
    </row>
    <row r="25" spans="1:19" hidden="1" x14ac:dyDescent="0.25"/>
    <row r="26" spans="1:19" hidden="1" x14ac:dyDescent="0.25">
      <c r="D26" s="17"/>
      <c r="J26" s="18" t="s">
        <v>39</v>
      </c>
      <c r="K26" s="19">
        <f>SUM(C31:C95)/B96</f>
        <v>60.274870287171254</v>
      </c>
    </row>
    <row r="27" spans="1:19" hidden="1" x14ac:dyDescent="0.25">
      <c r="N27" s="17"/>
    </row>
    <row r="28" spans="1:19" hidden="1" x14ac:dyDescent="0.25">
      <c r="H28" s="20"/>
    </row>
    <row r="29" spans="1:19" hidden="1" x14ac:dyDescent="0.25">
      <c r="A29" s="487" t="s">
        <v>40</v>
      </c>
      <c r="B29" s="487"/>
      <c r="C29" s="487"/>
      <c r="D29" s="487"/>
    </row>
    <row r="30" spans="1:19" hidden="1" x14ac:dyDescent="0.25">
      <c r="A30" s="21" t="s">
        <v>15</v>
      </c>
      <c r="B30" s="21" t="s">
        <v>41</v>
      </c>
      <c r="C30" s="21" t="s">
        <v>42</v>
      </c>
      <c r="D30" s="21" t="s">
        <v>43</v>
      </c>
    </row>
    <row r="31" spans="1:19" hidden="1" x14ac:dyDescent="0.25">
      <c r="A31" s="296" t="s">
        <v>11</v>
      </c>
      <c r="B31" s="473">
        <v>900</v>
      </c>
      <c r="C31" s="473">
        <v>53991</v>
      </c>
      <c r="D31" s="22" t="s">
        <v>125</v>
      </c>
      <c r="E31" s="22"/>
      <c r="F31" s="301"/>
      <c r="G31" s="30"/>
      <c r="H31" s="465"/>
      <c r="I31" s="465"/>
      <c r="J31" s="465"/>
      <c r="K31" s="30"/>
      <c r="L31" s="465"/>
      <c r="M31" s="465"/>
      <c r="N31" s="384"/>
      <c r="O31" s="30"/>
    </row>
    <row r="32" spans="1:19" hidden="1" x14ac:dyDescent="0.25">
      <c r="A32" s="432" t="s">
        <v>187</v>
      </c>
      <c r="B32" s="474">
        <v>800</v>
      </c>
      <c r="C32" s="474">
        <v>47992</v>
      </c>
      <c r="D32" s="22" t="s">
        <v>125</v>
      </c>
      <c r="E32" s="22"/>
      <c r="F32" s="301"/>
      <c r="G32" s="30"/>
      <c r="H32" s="465"/>
      <c r="I32" s="465"/>
      <c r="J32" s="465"/>
      <c r="K32" s="30"/>
      <c r="L32" s="465"/>
      <c r="M32" s="465"/>
      <c r="N32" s="384"/>
      <c r="O32" s="30"/>
    </row>
    <row r="33" spans="1:15" hidden="1" x14ac:dyDescent="0.25">
      <c r="A33" s="296" t="s">
        <v>13</v>
      </c>
      <c r="B33" s="473">
        <v>650</v>
      </c>
      <c r="C33" s="473">
        <v>38993.5</v>
      </c>
      <c r="D33" s="22" t="s">
        <v>125</v>
      </c>
      <c r="E33" s="22"/>
      <c r="F33" s="301"/>
      <c r="G33" s="30"/>
      <c r="H33" s="465"/>
      <c r="I33" s="465"/>
      <c r="J33" s="465"/>
      <c r="K33" s="30"/>
      <c r="L33" s="465"/>
      <c r="M33" s="465"/>
      <c r="N33" s="384"/>
      <c r="O33" s="30"/>
    </row>
    <row r="34" spans="1:15" hidden="1" x14ac:dyDescent="0.25">
      <c r="A34" s="296" t="s">
        <v>6</v>
      </c>
      <c r="B34" s="474">
        <v>166.53</v>
      </c>
      <c r="C34" s="474">
        <v>9990.1299999999992</v>
      </c>
      <c r="D34" s="22" t="s">
        <v>125</v>
      </c>
      <c r="E34" s="22"/>
      <c r="F34" s="301"/>
      <c r="G34" s="30"/>
      <c r="H34" s="465"/>
      <c r="I34" s="465"/>
      <c r="J34" s="465"/>
      <c r="K34" s="30"/>
      <c r="L34" s="465"/>
      <c r="M34" s="465"/>
      <c r="N34" s="384"/>
      <c r="O34" s="30"/>
    </row>
    <row r="35" spans="1:15" hidden="1" x14ac:dyDescent="0.25">
      <c r="A35" s="295" t="s">
        <v>7</v>
      </c>
      <c r="B35" s="473">
        <v>600</v>
      </c>
      <c r="C35" s="473">
        <v>35994</v>
      </c>
      <c r="D35" s="22" t="s">
        <v>125</v>
      </c>
      <c r="E35" s="22"/>
      <c r="F35" s="301"/>
      <c r="G35" s="30"/>
      <c r="H35" s="465"/>
      <c r="I35" s="465"/>
      <c r="J35" s="465"/>
      <c r="K35" s="30"/>
      <c r="L35" s="465"/>
      <c r="M35" s="465"/>
      <c r="N35" s="384"/>
      <c r="O35" s="30"/>
    </row>
    <row r="36" spans="1:15" hidden="1" x14ac:dyDescent="0.25">
      <c r="A36" s="301" t="s">
        <v>35</v>
      </c>
      <c r="B36" s="474">
        <v>440</v>
      </c>
      <c r="C36" s="474">
        <v>26395.599999999999</v>
      </c>
      <c r="D36" s="22" t="s">
        <v>125</v>
      </c>
      <c r="E36" s="22"/>
      <c r="F36" s="301"/>
      <c r="G36" s="30"/>
      <c r="H36" s="465"/>
      <c r="I36" s="465"/>
      <c r="J36" s="465"/>
      <c r="K36" s="30"/>
      <c r="L36" s="465"/>
      <c r="M36" s="465"/>
      <c r="N36" s="384"/>
      <c r="O36" s="30"/>
    </row>
    <row r="37" spans="1:15" hidden="1" x14ac:dyDescent="0.25">
      <c r="A37" s="296" t="s">
        <v>10</v>
      </c>
      <c r="B37" s="473">
        <v>700</v>
      </c>
      <c r="C37" s="473">
        <v>41993</v>
      </c>
      <c r="D37" s="22" t="s">
        <v>125</v>
      </c>
      <c r="E37" s="22"/>
      <c r="F37" s="301"/>
      <c r="G37" s="30"/>
      <c r="H37" s="465"/>
      <c r="I37" s="465"/>
      <c r="J37" s="465"/>
      <c r="K37" s="30"/>
      <c r="L37" s="465"/>
      <c r="M37" s="465"/>
      <c r="N37" s="384"/>
      <c r="O37" s="30"/>
    </row>
    <row r="38" spans="1:15" hidden="1" x14ac:dyDescent="0.25">
      <c r="A38" s="391" t="s">
        <v>148</v>
      </c>
      <c r="B38" s="474">
        <v>200</v>
      </c>
      <c r="C38" s="474">
        <v>11998</v>
      </c>
      <c r="D38" s="22" t="s">
        <v>125</v>
      </c>
      <c r="E38" s="22"/>
      <c r="F38" s="301"/>
      <c r="G38" s="30"/>
      <c r="H38" s="465"/>
      <c r="I38" s="465"/>
      <c r="J38" s="465"/>
      <c r="K38" s="30"/>
      <c r="L38" s="465"/>
      <c r="M38" s="465"/>
      <c r="N38" s="384"/>
      <c r="O38" s="30"/>
    </row>
    <row r="39" spans="1:15" hidden="1" x14ac:dyDescent="0.25">
      <c r="A39" s="432" t="s">
        <v>32</v>
      </c>
      <c r="B39" s="473">
        <v>100</v>
      </c>
      <c r="C39" s="473">
        <v>5999</v>
      </c>
      <c r="D39" s="22" t="s">
        <v>125</v>
      </c>
      <c r="E39" s="22"/>
      <c r="F39" s="301"/>
      <c r="G39" s="30"/>
      <c r="H39" s="465"/>
      <c r="I39" s="465"/>
      <c r="J39" s="465"/>
      <c r="K39" s="30"/>
      <c r="L39" s="465"/>
      <c r="M39" s="465"/>
      <c r="N39" s="384"/>
      <c r="O39" s="30"/>
    </row>
    <row r="40" spans="1:15" hidden="1" x14ac:dyDescent="0.25">
      <c r="A40" s="299" t="s">
        <v>60</v>
      </c>
      <c r="B40" s="474">
        <v>600</v>
      </c>
      <c r="C40" s="474">
        <v>35994</v>
      </c>
      <c r="D40" s="22" t="s">
        <v>125</v>
      </c>
      <c r="E40" s="22"/>
      <c r="F40" s="301"/>
      <c r="G40" s="30"/>
      <c r="H40" s="465"/>
      <c r="I40" s="465"/>
      <c r="J40" s="465"/>
      <c r="K40" s="30"/>
      <c r="L40" s="465"/>
      <c r="M40" s="465"/>
      <c r="N40" s="384"/>
      <c r="O40" s="30"/>
    </row>
    <row r="41" spans="1:15" hidden="1" x14ac:dyDescent="0.25">
      <c r="A41" s="296" t="s">
        <v>5</v>
      </c>
      <c r="B41" s="473">
        <v>560</v>
      </c>
      <c r="C41" s="473">
        <v>33594.400000000001</v>
      </c>
      <c r="D41" s="22" t="s">
        <v>125</v>
      </c>
      <c r="E41" s="22"/>
      <c r="F41" s="301"/>
      <c r="G41" s="30"/>
      <c r="H41" s="465"/>
      <c r="I41" s="465"/>
      <c r="J41" s="465"/>
      <c r="K41" s="30"/>
      <c r="L41" s="465"/>
      <c r="M41" s="465"/>
      <c r="N41" s="384"/>
      <c r="O41" s="30"/>
    </row>
    <row r="42" spans="1:15" hidden="1" x14ac:dyDescent="0.25">
      <c r="A42" s="296" t="s">
        <v>34</v>
      </c>
      <c r="B42" s="474">
        <v>300</v>
      </c>
      <c r="C42" s="474">
        <v>17997</v>
      </c>
      <c r="D42" s="22" t="s">
        <v>125</v>
      </c>
      <c r="E42" s="22"/>
      <c r="F42" s="301"/>
      <c r="G42" s="30"/>
      <c r="H42" s="465"/>
      <c r="I42" s="465"/>
      <c r="J42" s="465"/>
      <c r="K42" s="30"/>
      <c r="L42" s="465"/>
      <c r="M42" s="465"/>
      <c r="N42" s="384"/>
      <c r="O42" s="30"/>
    </row>
    <row r="43" spans="1:15" hidden="1" x14ac:dyDescent="0.25">
      <c r="A43" s="301" t="s">
        <v>9</v>
      </c>
      <c r="B43" s="473">
        <v>750</v>
      </c>
      <c r="C43" s="473">
        <v>44992.5</v>
      </c>
      <c r="D43" s="22" t="s">
        <v>125</v>
      </c>
      <c r="E43" s="22"/>
      <c r="F43" s="301"/>
      <c r="G43" s="30"/>
      <c r="H43" s="465"/>
      <c r="I43" s="465"/>
      <c r="J43" s="465"/>
      <c r="K43" s="30"/>
      <c r="L43" s="465"/>
      <c r="M43" s="465"/>
      <c r="N43" s="384"/>
      <c r="O43" s="30"/>
    </row>
    <row r="44" spans="1:15" hidden="1" x14ac:dyDescent="0.25">
      <c r="A44" s="316" t="s">
        <v>29</v>
      </c>
      <c r="B44" s="474">
        <v>800</v>
      </c>
      <c r="C44" s="474">
        <v>47992</v>
      </c>
      <c r="D44" s="22" t="s">
        <v>125</v>
      </c>
      <c r="E44" s="22"/>
      <c r="F44" s="301"/>
      <c r="G44" s="30"/>
      <c r="H44" s="465"/>
      <c r="I44" s="465"/>
      <c r="J44" s="465"/>
      <c r="K44" s="30"/>
      <c r="L44" s="465"/>
      <c r="M44" s="465"/>
      <c r="N44" s="384"/>
      <c r="O44" s="30"/>
    </row>
    <row r="45" spans="1:15" hidden="1" x14ac:dyDescent="0.25">
      <c r="A45" s="296" t="s">
        <v>30</v>
      </c>
      <c r="B45" s="475">
        <v>600</v>
      </c>
      <c r="C45" s="475">
        <v>35994</v>
      </c>
      <c r="D45" s="22" t="s">
        <v>125</v>
      </c>
      <c r="E45" s="22"/>
      <c r="F45" s="296"/>
      <c r="G45" s="30"/>
      <c r="H45" s="465"/>
      <c r="I45" s="465"/>
      <c r="J45" s="465"/>
      <c r="K45" s="30"/>
      <c r="L45" s="465"/>
      <c r="M45" s="465"/>
      <c r="N45" s="384"/>
      <c r="O45" s="30"/>
    </row>
    <row r="46" spans="1:15" hidden="1" x14ac:dyDescent="0.25">
      <c r="A46" s="391" t="s">
        <v>8</v>
      </c>
      <c r="B46" s="474">
        <v>700</v>
      </c>
      <c r="C46" s="474">
        <v>41993</v>
      </c>
      <c r="D46" s="22" t="s">
        <v>125</v>
      </c>
      <c r="E46" s="22"/>
      <c r="G46" s="30"/>
      <c r="H46" s="465"/>
      <c r="I46" s="465"/>
      <c r="J46" s="465"/>
      <c r="K46" s="30"/>
      <c r="L46" s="465"/>
      <c r="M46" s="465"/>
    </row>
    <row r="47" spans="1:15" s="384" customFormat="1" hidden="1" x14ac:dyDescent="0.25">
      <c r="A47" s="391" t="s">
        <v>14</v>
      </c>
      <c r="B47" s="473">
        <v>500</v>
      </c>
      <c r="C47" s="473">
        <v>29995</v>
      </c>
      <c r="D47" s="22" t="s">
        <v>125</v>
      </c>
      <c r="E47" s="22"/>
      <c r="G47" s="30"/>
      <c r="H47" s="465"/>
      <c r="I47" s="465"/>
      <c r="J47" s="465"/>
      <c r="K47" s="30"/>
      <c r="L47" s="465"/>
      <c r="M47" s="465"/>
    </row>
    <row r="48" spans="1:15" s="384" customFormat="1" hidden="1" x14ac:dyDescent="0.25">
      <c r="A48" s="428"/>
      <c r="B48" s="429"/>
      <c r="C48" s="430"/>
      <c r="D48" s="22"/>
      <c r="E48" s="22"/>
      <c r="G48" s="30"/>
      <c r="H48" s="465"/>
      <c r="I48" s="465"/>
      <c r="J48" s="465"/>
      <c r="K48" s="30"/>
      <c r="L48" s="465"/>
      <c r="M48" s="465"/>
    </row>
    <row r="49" spans="1:13" s="384" customFormat="1" hidden="1" x14ac:dyDescent="0.25">
      <c r="A49" s="428"/>
      <c r="B49" s="429"/>
      <c r="C49" s="430"/>
      <c r="D49" s="431"/>
      <c r="G49" s="30"/>
      <c r="H49" s="465"/>
      <c r="I49" s="465"/>
      <c r="J49" s="465"/>
      <c r="K49" s="30"/>
      <c r="L49" s="465"/>
      <c r="M49" s="465"/>
    </row>
    <row r="50" spans="1:13" s="384" customFormat="1" hidden="1" x14ac:dyDescent="0.25">
      <c r="A50" s="428"/>
      <c r="B50" s="429"/>
      <c r="C50" s="430"/>
      <c r="D50" s="431"/>
    </row>
    <row r="51" spans="1:13" s="384" customFormat="1" hidden="1" x14ac:dyDescent="0.25">
      <c r="A51" s="428"/>
      <c r="B51" s="429"/>
      <c r="C51" s="430"/>
      <c r="D51" s="431"/>
    </row>
    <row r="52" spans="1:13" s="384" customFormat="1" ht="15.75" hidden="1" thickBot="1" x14ac:dyDescent="0.3">
      <c r="A52" s="27"/>
      <c r="B52" s="6"/>
      <c r="C52" s="7"/>
      <c r="D52" s="22"/>
      <c r="E52"/>
    </row>
    <row r="53" spans="1:13" ht="15.75" hidden="1" thickBot="1" x14ac:dyDescent="0.3">
      <c r="A53" s="27"/>
      <c r="B53" s="6"/>
      <c r="C53" s="7"/>
      <c r="D53" s="22"/>
      <c r="E53" s="24">
        <f>SUM(C31:C54)</f>
        <v>561898.13</v>
      </c>
    </row>
    <row r="54" spans="1:13" ht="15.75" hidden="1" thickBot="1" x14ac:dyDescent="0.3">
      <c r="A54" s="27"/>
      <c r="B54" s="6"/>
      <c r="C54" s="7"/>
      <c r="D54" s="28"/>
      <c r="E54" s="384"/>
    </row>
    <row r="55" spans="1:13" hidden="1" outlineLevel="1" x14ac:dyDescent="0.25">
      <c r="A55" s="2" t="s">
        <v>33</v>
      </c>
      <c r="B55" s="300">
        <v>0</v>
      </c>
      <c r="C55" s="383">
        <v>0</v>
      </c>
      <c r="D55" s="162" t="s">
        <v>126</v>
      </c>
      <c r="E55" s="301"/>
    </row>
    <row r="56" spans="1:13" ht="15.75" hidden="1" outlineLevel="1" thickBot="1" x14ac:dyDescent="0.3">
      <c r="A56" s="302" t="s">
        <v>152</v>
      </c>
      <c r="B56" s="304"/>
      <c r="C56" s="304"/>
      <c r="D56" s="305"/>
      <c r="H56" s="301"/>
    </row>
    <row r="57" spans="1:13" ht="15.75" hidden="1" outlineLevel="1" thickBot="1" x14ac:dyDescent="0.3">
      <c r="A57" s="2" t="s">
        <v>130</v>
      </c>
      <c r="B57" s="9">
        <v>0</v>
      </c>
      <c r="C57" s="12"/>
      <c r="D57" s="22"/>
      <c r="F57" s="304"/>
      <c r="G57" s="383"/>
    </row>
    <row r="58" spans="1:13" ht="15.75" hidden="1" outlineLevel="1" thickBot="1" x14ac:dyDescent="0.3">
      <c r="A58" s="27"/>
      <c r="B58" s="6"/>
      <c r="C58" s="8"/>
      <c r="D58" s="22"/>
      <c r="E58" s="24">
        <f>SUM(C55:C59)</f>
        <v>0</v>
      </c>
    </row>
    <row r="59" spans="1:13" hidden="1" outlineLevel="1" x14ac:dyDescent="0.25">
      <c r="A59" s="27"/>
      <c r="B59" s="167"/>
      <c r="C59" s="168"/>
      <c r="D59" s="235"/>
      <c r="E59" t="s">
        <v>151</v>
      </c>
    </row>
    <row r="60" spans="1:13" hidden="1" collapsed="1" x14ac:dyDescent="0.25">
      <c r="A60" s="299" t="s">
        <v>14</v>
      </c>
      <c r="B60" s="473">
        <v>61.99</v>
      </c>
      <c r="C60" s="473">
        <v>6404.69</v>
      </c>
      <c r="D60" s="303" t="s">
        <v>150</v>
      </c>
    </row>
    <row r="61" spans="1:13" hidden="1" x14ac:dyDescent="0.25">
      <c r="A61" s="10"/>
      <c r="B61" s="9"/>
      <c r="C61" s="174"/>
      <c r="D61" s="162"/>
      <c r="G61" s="384"/>
    </row>
    <row r="62" spans="1:13" hidden="1" x14ac:dyDescent="0.25">
      <c r="A62" s="10"/>
      <c r="B62" s="9"/>
      <c r="C62" s="174"/>
      <c r="D62" s="162"/>
    </row>
    <row r="63" spans="1:13" hidden="1" x14ac:dyDescent="0.25">
      <c r="A63" s="10"/>
      <c r="B63" s="9"/>
      <c r="C63" s="174"/>
      <c r="D63" s="162"/>
    </row>
    <row r="64" spans="1:13" ht="15.75" hidden="1" thickBot="1" x14ac:dyDescent="0.3">
      <c r="A64" s="10"/>
      <c r="B64" s="9"/>
      <c r="C64" s="174"/>
      <c r="D64" s="162"/>
    </row>
    <row r="65" spans="1:7" ht="15.75" hidden="1" thickBot="1" x14ac:dyDescent="0.3">
      <c r="A65" s="27"/>
      <c r="B65" s="167"/>
      <c r="C65" s="174"/>
      <c r="D65" s="26"/>
      <c r="E65" s="24">
        <f>SUM(C60:C66)</f>
        <v>6404.69</v>
      </c>
    </row>
    <row r="66" spans="1:7" ht="15.75" hidden="1" thickBot="1" x14ac:dyDescent="0.3">
      <c r="A66" s="13"/>
      <c r="B66" s="14"/>
      <c r="C66" s="15"/>
      <c r="D66" s="23"/>
      <c r="E66" s="24">
        <f>SUM(C67:C67)</f>
        <v>0</v>
      </c>
    </row>
    <row r="67" spans="1:7" ht="15.75" hidden="1" thickBot="1" x14ac:dyDescent="0.3">
      <c r="A67" s="169"/>
      <c r="B67" s="170"/>
      <c r="C67" s="171"/>
      <c r="D67" s="161"/>
      <c r="G67" s="20"/>
    </row>
    <row r="68" spans="1:7" hidden="1" x14ac:dyDescent="0.25">
      <c r="A68" s="27"/>
      <c r="B68" s="3"/>
      <c r="C68" s="4"/>
      <c r="D68" s="22"/>
      <c r="F68" s="30"/>
      <c r="G68" s="30"/>
    </row>
    <row r="69" spans="1:7" hidden="1" x14ac:dyDescent="0.25">
      <c r="A69" s="27"/>
      <c r="B69" s="6"/>
      <c r="C69" s="7"/>
      <c r="D69" s="22"/>
    </row>
    <row r="70" spans="1:7" hidden="1" x14ac:dyDescent="0.25">
      <c r="A70" s="27"/>
      <c r="B70" s="6"/>
      <c r="C70" s="7"/>
      <c r="D70" s="22"/>
    </row>
    <row r="71" spans="1:7" hidden="1" x14ac:dyDescent="0.25">
      <c r="A71" s="27"/>
      <c r="B71" s="6"/>
      <c r="C71" s="7"/>
      <c r="D71" s="22"/>
    </row>
    <row r="72" spans="1:7" hidden="1" x14ac:dyDescent="0.25">
      <c r="A72" s="27"/>
      <c r="B72" s="6"/>
      <c r="C72" s="7"/>
      <c r="D72" s="22"/>
    </row>
    <row r="73" spans="1:7" hidden="1" x14ac:dyDescent="0.25">
      <c r="A73" s="27"/>
      <c r="B73" s="6"/>
      <c r="C73" s="7"/>
      <c r="D73" s="22"/>
    </row>
    <row r="74" spans="1:7" hidden="1" x14ac:dyDescent="0.25">
      <c r="A74" s="22"/>
      <c r="B74" s="6"/>
      <c r="C74" s="7"/>
      <c r="D74" s="22"/>
    </row>
    <row r="75" spans="1:7" hidden="1" x14ac:dyDescent="0.25">
      <c r="A75" s="10"/>
      <c r="B75" s="6"/>
      <c r="C75" s="7"/>
      <c r="D75" s="22"/>
    </row>
    <row r="76" spans="1:7" hidden="1" x14ac:dyDescent="0.25">
      <c r="A76" s="10"/>
      <c r="B76" s="6"/>
      <c r="C76" s="7"/>
      <c r="D76" s="22"/>
    </row>
    <row r="77" spans="1:7" hidden="1" x14ac:dyDescent="0.25">
      <c r="A77" s="10"/>
      <c r="B77" s="6"/>
      <c r="C77" s="7"/>
      <c r="D77" s="22"/>
    </row>
    <row r="78" spans="1:7" hidden="1" x14ac:dyDescent="0.25">
      <c r="A78" s="10"/>
      <c r="B78" s="6"/>
      <c r="C78" s="7"/>
      <c r="D78" s="22"/>
    </row>
    <row r="79" spans="1:7" hidden="1" x14ac:dyDescent="0.25">
      <c r="A79" s="10"/>
      <c r="B79" s="6"/>
      <c r="C79" s="7"/>
      <c r="D79" s="22"/>
    </row>
    <row r="80" spans="1:7" hidden="1" x14ac:dyDescent="0.25">
      <c r="A80" s="10"/>
      <c r="B80" s="6"/>
      <c r="C80" s="7"/>
      <c r="D80" s="22"/>
    </row>
    <row r="81" spans="1:7" hidden="1" x14ac:dyDescent="0.25">
      <c r="A81" s="10"/>
      <c r="B81" s="6"/>
      <c r="C81" s="7"/>
      <c r="D81" s="22"/>
    </row>
    <row r="82" spans="1:7" hidden="1" x14ac:dyDescent="0.25">
      <c r="A82" s="10"/>
      <c r="B82" s="6"/>
      <c r="C82" s="7"/>
      <c r="D82" s="22"/>
    </row>
    <row r="83" spans="1:7" x14ac:dyDescent="0.25">
      <c r="A83" s="10"/>
      <c r="B83" s="6"/>
      <c r="C83" s="7"/>
      <c r="D83" s="22"/>
    </row>
    <row r="84" spans="1:7" x14ac:dyDescent="0.25">
      <c r="A84" s="10"/>
      <c r="B84" s="6"/>
      <c r="C84" s="7"/>
      <c r="D84" s="22"/>
    </row>
    <row r="85" spans="1:7" x14ac:dyDescent="0.25">
      <c r="A85" s="10"/>
      <c r="B85" s="6"/>
      <c r="C85" s="7"/>
      <c r="D85" s="22"/>
    </row>
    <row r="86" spans="1:7" x14ac:dyDescent="0.25">
      <c r="A86" s="10"/>
      <c r="B86" s="6"/>
      <c r="C86" s="7"/>
      <c r="D86" s="22"/>
    </row>
    <row r="87" spans="1:7" x14ac:dyDescent="0.25">
      <c r="A87" s="10"/>
      <c r="B87" s="6"/>
      <c r="C87" s="7"/>
      <c r="D87" s="22"/>
    </row>
    <row r="88" spans="1:7" x14ac:dyDescent="0.25">
      <c r="A88" s="10"/>
      <c r="B88" s="6"/>
      <c r="C88" s="7"/>
      <c r="D88" s="22"/>
    </row>
    <row r="89" spans="1:7" x14ac:dyDescent="0.25">
      <c r="A89" s="10"/>
      <c r="B89" s="6"/>
      <c r="C89" s="7"/>
      <c r="D89" s="22"/>
    </row>
    <row r="90" spans="1:7" x14ac:dyDescent="0.25">
      <c r="A90" s="10"/>
      <c r="B90" s="6"/>
      <c r="C90" s="7"/>
      <c r="D90" s="22"/>
    </row>
    <row r="91" spans="1:7" x14ac:dyDescent="0.25">
      <c r="A91" s="10"/>
      <c r="B91" s="6"/>
      <c r="C91" s="7"/>
      <c r="D91" s="22"/>
    </row>
    <row r="92" spans="1:7" x14ac:dyDescent="0.25">
      <c r="A92" s="10"/>
      <c r="B92" s="6"/>
      <c r="C92" s="7"/>
      <c r="D92" s="22"/>
    </row>
    <row r="93" spans="1:7" ht="15.75" thickBot="1" x14ac:dyDescent="0.3">
      <c r="A93" s="10"/>
      <c r="B93" s="6"/>
      <c r="C93" s="7"/>
      <c r="D93" s="22"/>
    </row>
    <row r="94" spans="1:7" ht="15.75" thickBot="1" x14ac:dyDescent="0.3">
      <c r="A94" s="10"/>
      <c r="B94" s="6"/>
      <c r="C94" s="7"/>
      <c r="D94" s="22"/>
      <c r="E94" s="31">
        <f>SUM(C68:C95)</f>
        <v>0</v>
      </c>
    </row>
    <row r="95" spans="1:7" ht="15.75" thickBot="1" x14ac:dyDescent="0.3">
      <c r="A95" s="13"/>
      <c r="B95" s="14"/>
      <c r="C95" s="15"/>
      <c r="D95" s="22"/>
    </row>
    <row r="96" spans="1:7" ht="15.75" thickBot="1" x14ac:dyDescent="0.3">
      <c r="A96" s="32"/>
      <c r="B96" s="34">
        <f>SUM(B31:B95)</f>
        <v>9428.52</v>
      </c>
      <c r="C96" s="34">
        <f>SUM(C31:C95)</f>
        <v>568302.81999999995</v>
      </c>
      <c r="F96" s="30"/>
      <c r="G96" s="30"/>
    </row>
    <row r="97" spans="3:3" x14ac:dyDescent="0.25">
      <c r="C97" s="30"/>
    </row>
    <row r="98" spans="3:3" x14ac:dyDescent="0.25">
      <c r="C98" s="30"/>
    </row>
  </sheetData>
  <mergeCells count="1">
    <mergeCell ref="A29:D29"/>
  </mergeCells>
  <conditionalFormatting sqref="F16:F22 F11:F13 F1 F3:F9">
    <cfRule type="cellIs" dxfId="9" priority="8" operator="lessThan">
      <formula>0</formula>
    </cfRule>
  </conditionalFormatting>
  <conditionalFormatting sqref="I18:I19">
    <cfRule type="cellIs" dxfId="8" priority="9" operator="greaterThanOrEqual">
      <formula>500</formula>
    </cfRule>
    <cfRule type="cellIs" dxfId="7" priority="10" operator="lessThan">
      <formula>0</formula>
    </cfRule>
  </conditionalFormatting>
  <conditionalFormatting sqref="G9:H9 H9:H14">
    <cfRule type="cellIs" dxfId="6" priority="7" operator="lessThan">
      <formula>0</formula>
    </cfRule>
  </conditionalFormatting>
  <conditionalFormatting sqref="F14">
    <cfRule type="cellIs" dxfId="5" priority="6" operator="lessThan">
      <formula>0</formula>
    </cfRule>
  </conditionalFormatting>
  <conditionalFormatting sqref="F10">
    <cfRule type="cellIs" dxfId="4" priority="5" operator="lessThan">
      <formula>0</formula>
    </cfRule>
  </conditionalFormatting>
  <conditionalFormatting sqref="G10">
    <cfRule type="cellIs" dxfId="3" priority="4" operator="lessThan">
      <formula>0</formula>
    </cfRule>
  </conditionalFormatting>
  <conditionalFormatting sqref="F15">
    <cfRule type="cellIs" dxfId="2" priority="3" operator="lessThan">
      <formula>0</formula>
    </cfRule>
  </conditionalFormatting>
  <conditionalFormatting sqref="H11">
    <cfRule type="cellIs" dxfId="1" priority="2" operator="lessThan">
      <formula>0</formula>
    </cfRule>
  </conditionalFormatting>
  <conditionalFormatting sqref="G11">
    <cfRule type="cellIs" dxfId="0" priority="1" operator="lessThan">
      <formula>0</formula>
    </cfRule>
  </conditionalFormatting>
  <pageMargins left="0.25" right="0.25" top="0.75" bottom="0.75" header="0.3" footer="0.3"/>
  <pageSetup paperSize="9" scale="56" orientation="landscape" horizontalDpi="300" verticalDpi="300" r:id="rId1"/>
  <rowBreaks count="1" manualBreakCount="1">
    <brk id="2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36"/>
  <sheetViews>
    <sheetView topLeftCell="A4" workbookViewId="0">
      <selection activeCell="K25" sqref="K25"/>
    </sheetView>
  </sheetViews>
  <sheetFormatPr defaultColWidth="9.140625" defaultRowHeight="15" x14ac:dyDescent="0.25"/>
  <cols>
    <col min="1" max="1" width="24" style="421" customWidth="1"/>
    <col min="2" max="2" width="32.7109375" style="421" customWidth="1"/>
    <col min="3" max="3" width="18.140625" style="421" customWidth="1"/>
    <col min="4" max="4" width="9.140625" style="421"/>
    <col min="5" max="5" width="10" style="421" bestFit="1" customWidth="1"/>
    <col min="6" max="6" width="9.140625" style="421"/>
    <col min="7" max="7" width="50" style="421" customWidth="1"/>
    <col min="8" max="9" width="9.140625" style="421"/>
    <col min="10" max="10" width="20.140625" style="421" customWidth="1"/>
    <col min="11" max="11" width="21.7109375" style="421" customWidth="1"/>
    <col min="12" max="12" width="12" style="421" customWidth="1"/>
    <col min="13" max="13" width="18.7109375" style="421" customWidth="1"/>
    <col min="14" max="16384" width="9.140625" style="421"/>
  </cols>
  <sheetData>
    <row r="2" spans="1:10" ht="15.75" thickBot="1" x14ac:dyDescent="0.3"/>
    <row r="3" spans="1:10" ht="30.75" thickBot="1" x14ac:dyDescent="0.3">
      <c r="A3" s="456" t="s">
        <v>1</v>
      </c>
      <c r="B3" s="454" t="s">
        <v>15</v>
      </c>
      <c r="C3" s="451" t="s">
        <v>0</v>
      </c>
      <c r="D3" s="452" t="s">
        <v>184</v>
      </c>
      <c r="E3" s="452" t="s">
        <v>2</v>
      </c>
      <c r="F3" s="458" t="s">
        <v>3</v>
      </c>
      <c r="G3" s="456" t="s">
        <v>4</v>
      </c>
    </row>
    <row r="4" spans="1:10" x14ac:dyDescent="0.25">
      <c r="A4" s="457" t="s">
        <v>116</v>
      </c>
      <c r="B4" s="455" t="s">
        <v>5</v>
      </c>
      <c r="C4" s="447" t="s">
        <v>164</v>
      </c>
      <c r="D4" s="447">
        <v>198</v>
      </c>
      <c r="E4" s="447">
        <v>3</v>
      </c>
      <c r="F4" s="459">
        <v>4</v>
      </c>
      <c r="G4" s="460"/>
    </row>
    <row r="5" spans="1:10" x14ac:dyDescent="0.25">
      <c r="A5" s="457" t="s">
        <v>117</v>
      </c>
      <c r="B5" s="455" t="s">
        <v>118</v>
      </c>
      <c r="C5" s="447" t="s">
        <v>164</v>
      </c>
      <c r="D5" s="447">
        <v>48</v>
      </c>
      <c r="E5" s="447">
        <v>0</v>
      </c>
      <c r="F5" s="459">
        <v>0</v>
      </c>
      <c r="G5" s="461"/>
      <c r="J5" s="298"/>
    </row>
    <row r="6" spans="1:10" x14ac:dyDescent="0.25">
      <c r="A6" s="457" t="s">
        <v>149</v>
      </c>
      <c r="B6" s="455" t="s">
        <v>148</v>
      </c>
      <c r="C6" s="447" t="s">
        <v>164</v>
      </c>
      <c r="D6" s="447">
        <v>30</v>
      </c>
      <c r="E6" s="447">
        <v>0</v>
      </c>
      <c r="F6" s="459">
        <v>0</v>
      </c>
      <c r="G6" s="461"/>
      <c r="J6" s="298"/>
    </row>
    <row r="7" spans="1:10" x14ac:dyDescent="0.25">
      <c r="A7" s="457" t="s">
        <v>198</v>
      </c>
      <c r="B7" s="298" t="s">
        <v>29</v>
      </c>
      <c r="C7" s="447" t="s">
        <v>179</v>
      </c>
      <c r="D7" s="447">
        <v>27</v>
      </c>
      <c r="E7" s="447">
        <v>20</v>
      </c>
      <c r="F7" s="459">
        <v>3</v>
      </c>
      <c r="G7" s="461"/>
      <c r="J7" s="298"/>
    </row>
    <row r="8" spans="1:10" x14ac:dyDescent="0.25">
      <c r="A8" s="457" t="s">
        <v>190</v>
      </c>
      <c r="B8" s="298" t="s">
        <v>29</v>
      </c>
      <c r="C8" s="447" t="s">
        <v>179</v>
      </c>
      <c r="D8" s="447">
        <v>62</v>
      </c>
      <c r="E8" s="447">
        <v>0</v>
      </c>
      <c r="F8" s="459">
        <v>0</v>
      </c>
      <c r="G8" s="461"/>
      <c r="J8" s="298"/>
    </row>
    <row r="9" spans="1:10" x14ac:dyDescent="0.25">
      <c r="A9" s="457" t="s">
        <v>123</v>
      </c>
      <c r="B9" s="298" t="s">
        <v>29</v>
      </c>
      <c r="C9" s="447" t="s">
        <v>179</v>
      </c>
      <c r="D9" s="447">
        <v>16</v>
      </c>
      <c r="E9" s="447"/>
      <c r="F9" s="459">
        <v>0</v>
      </c>
      <c r="G9" s="461"/>
      <c r="J9" s="298"/>
    </row>
    <row r="10" spans="1:10" x14ac:dyDescent="0.25">
      <c r="A10" s="457" t="s">
        <v>119</v>
      </c>
      <c r="B10" s="298" t="s">
        <v>30</v>
      </c>
      <c r="C10" s="447" t="s">
        <v>164</v>
      </c>
      <c r="D10" s="447">
        <v>196</v>
      </c>
      <c r="E10" s="447">
        <v>1</v>
      </c>
      <c r="F10" s="459">
        <v>7</v>
      </c>
      <c r="G10" s="466"/>
      <c r="J10" s="298"/>
    </row>
    <row r="11" spans="1:10" x14ac:dyDescent="0.25">
      <c r="A11" s="457" t="s">
        <v>199</v>
      </c>
      <c r="B11" s="298" t="s">
        <v>10</v>
      </c>
      <c r="C11" s="447" t="s">
        <v>164</v>
      </c>
      <c r="D11" s="447">
        <v>41</v>
      </c>
      <c r="E11" s="447"/>
      <c r="F11" s="459">
        <v>2</v>
      </c>
      <c r="G11" s="466"/>
      <c r="J11" s="298"/>
    </row>
    <row r="12" spans="1:10" x14ac:dyDescent="0.25">
      <c r="A12" s="457" t="s">
        <v>121</v>
      </c>
      <c r="B12" s="298" t="s">
        <v>10</v>
      </c>
      <c r="C12" s="447" t="s">
        <v>164</v>
      </c>
      <c r="D12" s="447">
        <v>37</v>
      </c>
      <c r="E12" s="447">
        <v>4</v>
      </c>
      <c r="F12" s="459">
        <v>0</v>
      </c>
      <c r="G12" s="466"/>
      <c r="J12" s="298"/>
    </row>
    <row r="13" spans="1:10" x14ac:dyDescent="0.25">
      <c r="A13" s="457" t="s">
        <v>123</v>
      </c>
      <c r="B13" s="298" t="s">
        <v>10</v>
      </c>
      <c r="C13" s="447" t="s">
        <v>164</v>
      </c>
      <c r="D13" s="447">
        <v>106</v>
      </c>
      <c r="E13" s="447">
        <v>0</v>
      </c>
      <c r="F13" s="459">
        <v>2</v>
      </c>
      <c r="G13" s="466"/>
      <c r="J13" s="298"/>
    </row>
    <row r="14" spans="1:10" x14ac:dyDescent="0.25">
      <c r="A14" s="457" t="s">
        <v>123</v>
      </c>
      <c r="B14" s="298" t="s">
        <v>11</v>
      </c>
      <c r="C14" s="447" t="s">
        <v>164</v>
      </c>
      <c r="D14" s="447">
        <v>23</v>
      </c>
      <c r="E14" s="447"/>
      <c r="F14" s="459">
        <v>2</v>
      </c>
      <c r="G14" s="466"/>
      <c r="J14" s="298"/>
    </row>
    <row r="15" spans="1:10" x14ac:dyDescent="0.25">
      <c r="A15" s="457" t="s">
        <v>120</v>
      </c>
      <c r="B15" s="298" t="s">
        <v>11</v>
      </c>
      <c r="C15" s="447" t="s">
        <v>164</v>
      </c>
      <c r="D15" s="447">
        <v>151</v>
      </c>
      <c r="E15" s="447">
        <v>1</v>
      </c>
      <c r="F15" s="459">
        <v>7</v>
      </c>
      <c r="G15" s="466"/>
      <c r="J15" s="298"/>
    </row>
    <row r="16" spans="1:10" x14ac:dyDescent="0.25">
      <c r="A16" s="457" t="s">
        <v>119</v>
      </c>
      <c r="B16" s="298" t="s">
        <v>10</v>
      </c>
      <c r="C16" s="447" t="s">
        <v>164</v>
      </c>
      <c r="D16" s="447">
        <v>9</v>
      </c>
      <c r="E16" s="447">
        <v>0</v>
      </c>
      <c r="F16" s="459">
        <v>1</v>
      </c>
      <c r="G16" s="466"/>
      <c r="J16" s="298"/>
    </row>
    <row r="17" spans="1:10" x14ac:dyDescent="0.25">
      <c r="A17" s="457" t="s">
        <v>119</v>
      </c>
      <c r="B17" s="298" t="s">
        <v>11</v>
      </c>
      <c r="C17" s="447" t="s">
        <v>164</v>
      </c>
      <c r="D17" s="447">
        <v>17</v>
      </c>
      <c r="E17" s="447">
        <v>0</v>
      </c>
      <c r="F17" s="459">
        <v>0</v>
      </c>
      <c r="G17" s="466"/>
      <c r="J17" s="298"/>
    </row>
    <row r="18" spans="1:10" x14ac:dyDescent="0.25">
      <c r="A18" s="457" t="s">
        <v>165</v>
      </c>
      <c r="B18" s="432" t="s">
        <v>187</v>
      </c>
      <c r="C18" s="447" t="s">
        <v>164</v>
      </c>
      <c r="D18" s="447">
        <v>191</v>
      </c>
      <c r="E18" s="447">
        <v>10</v>
      </c>
      <c r="F18" s="459">
        <v>7</v>
      </c>
      <c r="G18" s="466"/>
      <c r="J18" s="298"/>
    </row>
    <row r="19" spans="1:10" x14ac:dyDescent="0.25">
      <c r="A19" s="457" t="s">
        <v>191</v>
      </c>
      <c r="B19" s="298" t="s">
        <v>14</v>
      </c>
      <c r="C19" s="447" t="s">
        <v>185</v>
      </c>
      <c r="D19" s="447">
        <v>63</v>
      </c>
      <c r="E19" s="447">
        <v>0</v>
      </c>
      <c r="F19" s="459">
        <v>4</v>
      </c>
      <c r="G19" s="466"/>
      <c r="J19" s="298"/>
    </row>
    <row r="20" spans="1:10" x14ac:dyDescent="0.25">
      <c r="A20" s="457" t="s">
        <v>200</v>
      </c>
      <c r="B20" s="298" t="s">
        <v>13</v>
      </c>
      <c r="C20" s="447" t="s">
        <v>179</v>
      </c>
      <c r="D20" s="447">
        <v>56</v>
      </c>
      <c r="E20" s="447">
        <v>21</v>
      </c>
      <c r="F20" s="459">
        <v>4</v>
      </c>
      <c r="G20" s="466"/>
      <c r="J20" s="298"/>
    </row>
    <row r="21" spans="1:10" x14ac:dyDescent="0.25">
      <c r="A21" s="457" t="s">
        <v>121</v>
      </c>
      <c r="B21" s="298" t="s">
        <v>34</v>
      </c>
      <c r="C21" s="447" t="s">
        <v>164</v>
      </c>
      <c r="D21" s="447">
        <v>60</v>
      </c>
      <c r="E21" s="447">
        <v>42</v>
      </c>
      <c r="F21" s="459">
        <v>1</v>
      </c>
      <c r="G21" s="466"/>
      <c r="J21" s="432"/>
    </row>
    <row r="22" spans="1:10" x14ac:dyDescent="0.25">
      <c r="A22" s="457" t="s">
        <v>201</v>
      </c>
      <c r="B22" s="432" t="s">
        <v>32</v>
      </c>
      <c r="C22" s="447" t="s">
        <v>179</v>
      </c>
      <c r="D22" s="447">
        <v>44</v>
      </c>
      <c r="E22" s="447">
        <v>0</v>
      </c>
      <c r="F22" s="459">
        <v>2</v>
      </c>
      <c r="G22" s="466"/>
      <c r="J22" s="298"/>
    </row>
    <row r="23" spans="1:10" x14ac:dyDescent="0.25">
      <c r="A23" s="457" t="s">
        <v>195</v>
      </c>
      <c r="B23" s="432" t="s">
        <v>32</v>
      </c>
      <c r="C23" s="447" t="s">
        <v>179</v>
      </c>
      <c r="D23" s="447">
        <v>2</v>
      </c>
      <c r="E23" s="447"/>
      <c r="F23" s="459"/>
      <c r="G23" s="461"/>
    </row>
    <row r="24" spans="1:10" x14ac:dyDescent="0.25">
      <c r="A24" s="457" t="s">
        <v>202</v>
      </c>
      <c r="B24" s="432" t="s">
        <v>32</v>
      </c>
      <c r="C24" s="447" t="s">
        <v>179</v>
      </c>
      <c r="D24" s="447">
        <v>24</v>
      </c>
      <c r="E24" s="447">
        <v>0</v>
      </c>
      <c r="F24" s="459">
        <v>0</v>
      </c>
      <c r="G24" s="461"/>
    </row>
    <row r="25" spans="1:10" x14ac:dyDescent="0.25">
      <c r="A25" s="457" t="s">
        <v>133</v>
      </c>
      <c r="B25" s="432" t="s">
        <v>32</v>
      </c>
      <c r="C25" s="447" t="s">
        <v>164</v>
      </c>
      <c r="D25" s="447">
        <v>12</v>
      </c>
      <c r="E25" s="447">
        <v>20</v>
      </c>
      <c r="F25" s="459">
        <v>0</v>
      </c>
      <c r="G25" s="461"/>
    </row>
    <row r="26" spans="1:10" x14ac:dyDescent="0.25">
      <c r="A26" s="457" t="s">
        <v>122</v>
      </c>
      <c r="B26" s="298" t="s">
        <v>35</v>
      </c>
      <c r="C26" s="447" t="s">
        <v>164</v>
      </c>
      <c r="D26" s="447">
        <v>183</v>
      </c>
      <c r="E26" s="447">
        <v>3</v>
      </c>
      <c r="F26" s="459">
        <v>6</v>
      </c>
      <c r="G26" s="461"/>
    </row>
    <row r="27" spans="1:10" x14ac:dyDescent="0.25">
      <c r="A27" s="457" t="s">
        <v>124</v>
      </c>
      <c r="B27" s="298" t="s">
        <v>7</v>
      </c>
      <c r="C27" s="447" t="s">
        <v>179</v>
      </c>
      <c r="D27" s="447">
        <v>80</v>
      </c>
      <c r="E27" s="447">
        <v>24</v>
      </c>
      <c r="F27" s="459">
        <v>8</v>
      </c>
      <c r="G27" s="461"/>
    </row>
    <row r="28" spans="1:10" x14ac:dyDescent="0.25">
      <c r="A28" s="457" t="s">
        <v>195</v>
      </c>
      <c r="B28" s="298" t="s">
        <v>7</v>
      </c>
      <c r="C28" s="447" t="s">
        <v>179</v>
      </c>
      <c r="D28" s="447">
        <v>19</v>
      </c>
      <c r="E28" s="447">
        <v>4</v>
      </c>
      <c r="F28" s="459">
        <v>0</v>
      </c>
      <c r="G28" s="461"/>
    </row>
    <row r="29" spans="1:10" x14ac:dyDescent="0.25">
      <c r="A29" s="457" t="s">
        <v>192</v>
      </c>
      <c r="B29" s="455" t="s">
        <v>193</v>
      </c>
      <c r="C29" s="447" t="s">
        <v>164</v>
      </c>
      <c r="D29" s="447">
        <v>104</v>
      </c>
      <c r="E29" s="447">
        <v>4</v>
      </c>
      <c r="F29" s="459">
        <v>0</v>
      </c>
      <c r="G29" s="461"/>
    </row>
    <row r="30" spans="1:10" x14ac:dyDescent="0.25">
      <c r="A30" s="457" t="s">
        <v>186</v>
      </c>
      <c r="B30" s="455" t="s">
        <v>60</v>
      </c>
      <c r="C30" s="447" t="s">
        <v>164</v>
      </c>
      <c r="D30" s="447">
        <v>168</v>
      </c>
      <c r="E30" s="447">
        <v>13</v>
      </c>
      <c r="F30" s="459">
        <v>3</v>
      </c>
      <c r="G30" s="461"/>
      <c r="H30" s="447"/>
    </row>
    <row r="31" spans="1:10" x14ac:dyDescent="0.25">
      <c r="A31" s="457" t="s">
        <v>194</v>
      </c>
      <c r="B31" s="298" t="s">
        <v>9</v>
      </c>
      <c r="C31" s="447" t="s">
        <v>164</v>
      </c>
      <c r="D31" s="447">
        <v>159</v>
      </c>
      <c r="E31" s="447">
        <v>8</v>
      </c>
      <c r="F31" s="459">
        <v>6</v>
      </c>
      <c r="G31" s="461"/>
    </row>
    <row r="32" spans="1:10" x14ac:dyDescent="0.25">
      <c r="A32" s="457" t="s">
        <v>195</v>
      </c>
      <c r="B32" s="455" t="s">
        <v>8</v>
      </c>
      <c r="C32" s="447" t="s">
        <v>179</v>
      </c>
      <c r="D32" s="447">
        <v>115</v>
      </c>
      <c r="E32" s="447">
        <v>9</v>
      </c>
      <c r="F32" s="459">
        <v>14</v>
      </c>
      <c r="G32" s="461"/>
    </row>
    <row r="33" spans="1:8" x14ac:dyDescent="0.25">
      <c r="A33" s="457" t="s">
        <v>195</v>
      </c>
      <c r="B33" s="455" t="s">
        <v>8</v>
      </c>
      <c r="C33" s="447" t="s">
        <v>164</v>
      </c>
      <c r="D33" s="447">
        <v>11</v>
      </c>
      <c r="E33" s="447">
        <v>4</v>
      </c>
      <c r="F33" s="459">
        <v>0</v>
      </c>
      <c r="G33" s="461"/>
    </row>
    <row r="34" spans="1:8" ht="15.75" thickBot="1" x14ac:dyDescent="0.3">
      <c r="A34" s="457" t="s">
        <v>196</v>
      </c>
      <c r="B34" s="455" t="s">
        <v>188</v>
      </c>
      <c r="C34" s="447" t="s">
        <v>185</v>
      </c>
      <c r="D34" s="447">
        <v>92</v>
      </c>
      <c r="E34" s="447">
        <v>36</v>
      </c>
      <c r="F34" s="459">
        <v>0</v>
      </c>
      <c r="G34" s="461"/>
      <c r="H34" s="447"/>
    </row>
    <row r="35" spans="1:8" ht="15.75" thickBot="1" x14ac:dyDescent="0.3">
      <c r="A35" s="448"/>
      <c r="B35" s="449"/>
      <c r="C35" s="449"/>
      <c r="D35" s="449">
        <f>SUM(D4:D34)</f>
        <v>2344</v>
      </c>
      <c r="E35" s="449">
        <f>SUM(E4:E34)</f>
        <v>227</v>
      </c>
      <c r="F35" s="449">
        <f>SUM(F4:F34)</f>
        <v>83</v>
      </c>
      <c r="G35" s="450"/>
    </row>
    <row r="36" spans="1:8" x14ac:dyDescent="0.25">
      <c r="D36" s="453"/>
    </row>
  </sheetData>
  <autoFilter ref="A3:O35" xr:uid="{959AE99C-AFA4-4FBE-9644-277D888CADD3}"/>
  <phoneticPr fontId="3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20"/>
  <sheetViews>
    <sheetView topLeftCell="C1" workbookViewId="0">
      <selection activeCell="U2" sqref="U2:U19"/>
    </sheetView>
  </sheetViews>
  <sheetFormatPr defaultColWidth="8.85546875" defaultRowHeight="15" x14ac:dyDescent="0.25"/>
  <cols>
    <col min="1" max="2" width="8.85546875" style="298"/>
    <col min="3" max="3" width="29.5703125" style="298" customWidth="1"/>
    <col min="4" max="4" width="19" style="298" customWidth="1"/>
    <col min="5" max="5" width="21.5703125" style="298" customWidth="1"/>
    <col min="6" max="6" width="15.28515625" style="298" bestFit="1" customWidth="1"/>
    <col min="7" max="7" width="11.28515625" style="298" bestFit="1" customWidth="1"/>
    <col min="8" max="8" width="8.85546875" style="298"/>
    <col min="9" max="9" width="21.42578125" style="298" bestFit="1" customWidth="1"/>
    <col min="10" max="17" width="8.85546875" style="298"/>
    <col min="18" max="18" width="10.140625" style="298" customWidth="1"/>
    <col min="19" max="19" width="15.85546875" style="298" bestFit="1" customWidth="1"/>
    <col min="20" max="20" width="8.85546875" style="298"/>
    <col min="21" max="21" width="17.5703125" style="298" customWidth="1"/>
    <col min="22" max="16384" width="8.85546875" style="298"/>
  </cols>
  <sheetData>
    <row r="1" spans="1:21" x14ac:dyDescent="0.25">
      <c r="A1" s="462" t="s">
        <v>134</v>
      </c>
      <c r="B1" s="462" t="s">
        <v>197</v>
      </c>
      <c r="C1" s="467" t="s">
        <v>135</v>
      </c>
      <c r="D1" s="467" t="s">
        <v>203</v>
      </c>
      <c r="E1" s="467" t="s">
        <v>136</v>
      </c>
      <c r="F1" s="467" t="s">
        <v>204</v>
      </c>
      <c r="G1" s="467" t="s">
        <v>137</v>
      </c>
      <c r="H1" s="467" t="s">
        <v>205</v>
      </c>
      <c r="I1" s="467" t="s">
        <v>206</v>
      </c>
      <c r="J1" s="467" t="s">
        <v>207</v>
      </c>
      <c r="K1" s="467" t="s">
        <v>208</v>
      </c>
      <c r="L1" s="467" t="s">
        <v>138</v>
      </c>
      <c r="M1" s="467" t="s">
        <v>209</v>
      </c>
      <c r="N1" s="467" t="s">
        <v>210</v>
      </c>
      <c r="O1" s="467" t="s">
        <v>0</v>
      </c>
      <c r="P1" s="467" t="s">
        <v>211</v>
      </c>
      <c r="Q1" s="467" t="s">
        <v>139</v>
      </c>
      <c r="R1" s="467" t="s">
        <v>42</v>
      </c>
      <c r="S1" s="467" t="s">
        <v>140</v>
      </c>
      <c r="T1" s="467" t="s">
        <v>141</v>
      </c>
    </row>
    <row r="2" spans="1:21" x14ac:dyDescent="0.25">
      <c r="A2" s="463">
        <v>1</v>
      </c>
      <c r="B2" s="464" t="s">
        <v>142</v>
      </c>
      <c r="C2" s="469" t="s">
        <v>29</v>
      </c>
      <c r="D2" s="469" t="s">
        <v>143</v>
      </c>
      <c r="E2" s="470">
        <v>14978</v>
      </c>
      <c r="F2" s="468">
        <v>40</v>
      </c>
      <c r="G2" s="471">
        <v>800</v>
      </c>
      <c r="H2" s="468">
        <v>0</v>
      </c>
      <c r="I2" s="468">
        <v>105</v>
      </c>
      <c r="J2" s="468">
        <v>0</v>
      </c>
      <c r="K2" s="468">
        <v>23</v>
      </c>
      <c r="L2" s="468">
        <v>0</v>
      </c>
      <c r="M2" s="469" t="s">
        <v>144</v>
      </c>
      <c r="N2" s="469"/>
      <c r="O2" s="469" t="s">
        <v>212</v>
      </c>
      <c r="P2" s="469" t="s">
        <v>145</v>
      </c>
      <c r="Q2" s="471">
        <v>494.88</v>
      </c>
      <c r="R2" s="472">
        <v>51962.400000000001</v>
      </c>
      <c r="S2" s="469" t="s">
        <v>190</v>
      </c>
      <c r="T2" s="469"/>
      <c r="U2" s="298" t="s">
        <v>29</v>
      </c>
    </row>
    <row r="3" spans="1:21" x14ac:dyDescent="0.25">
      <c r="A3" s="463">
        <v>2</v>
      </c>
      <c r="B3" s="464" t="s">
        <v>142</v>
      </c>
      <c r="C3" s="469" t="s">
        <v>30</v>
      </c>
      <c r="D3" s="469" t="s">
        <v>143</v>
      </c>
      <c r="E3" s="468">
        <v>0</v>
      </c>
      <c r="F3" s="468">
        <v>90</v>
      </c>
      <c r="G3" s="471">
        <v>600</v>
      </c>
      <c r="H3" s="468">
        <v>0</v>
      </c>
      <c r="I3" s="468">
        <v>196</v>
      </c>
      <c r="J3" s="468">
        <v>0</v>
      </c>
      <c r="K3" s="468">
        <v>8</v>
      </c>
      <c r="L3" s="468">
        <v>0</v>
      </c>
      <c r="M3" s="469" t="s">
        <v>144</v>
      </c>
      <c r="N3" s="469"/>
      <c r="O3" s="469" t="s">
        <v>212</v>
      </c>
      <c r="P3" s="469" t="s">
        <v>145</v>
      </c>
      <c r="Q3" s="471">
        <v>494.88</v>
      </c>
      <c r="R3" s="472">
        <v>96996.479999999996</v>
      </c>
      <c r="S3" s="469" t="s">
        <v>213</v>
      </c>
      <c r="T3" s="469"/>
      <c r="U3" s="298" t="s">
        <v>30</v>
      </c>
    </row>
    <row r="4" spans="1:21" x14ac:dyDescent="0.25">
      <c r="A4" s="463">
        <v>3</v>
      </c>
      <c r="B4" s="464" t="s">
        <v>142</v>
      </c>
      <c r="C4" s="298" t="s">
        <v>10</v>
      </c>
      <c r="D4" s="469" t="s">
        <v>143</v>
      </c>
      <c r="E4" s="470">
        <v>11678</v>
      </c>
      <c r="F4" s="468">
        <v>70</v>
      </c>
      <c r="G4" s="471">
        <v>700</v>
      </c>
      <c r="H4" s="468">
        <v>0</v>
      </c>
      <c r="I4" s="468">
        <v>193</v>
      </c>
      <c r="J4" s="468">
        <v>0</v>
      </c>
      <c r="K4" s="468">
        <v>9</v>
      </c>
      <c r="L4" s="468">
        <v>0</v>
      </c>
      <c r="M4" s="469" t="s">
        <v>144</v>
      </c>
      <c r="N4" s="469"/>
      <c r="O4" s="469" t="s">
        <v>212</v>
      </c>
      <c r="P4" s="469" t="s">
        <v>145</v>
      </c>
      <c r="Q4" s="471">
        <v>494.88</v>
      </c>
      <c r="R4" s="472">
        <v>95511.84</v>
      </c>
      <c r="S4" s="469" t="s">
        <v>120</v>
      </c>
      <c r="T4" s="469"/>
      <c r="U4" s="298" t="s">
        <v>10</v>
      </c>
    </row>
    <row r="5" spans="1:21" x14ac:dyDescent="0.25">
      <c r="A5" s="463">
        <v>4</v>
      </c>
      <c r="B5" s="464" t="s">
        <v>142</v>
      </c>
      <c r="C5" s="298" t="s">
        <v>11</v>
      </c>
      <c r="D5" s="469" t="s">
        <v>143</v>
      </c>
      <c r="E5" s="470">
        <v>9672</v>
      </c>
      <c r="F5" s="468">
        <v>70</v>
      </c>
      <c r="G5" s="471">
        <v>900</v>
      </c>
      <c r="H5" s="468">
        <v>0</v>
      </c>
      <c r="I5" s="468">
        <v>191</v>
      </c>
      <c r="J5" s="468">
        <v>0</v>
      </c>
      <c r="K5" s="468">
        <v>10</v>
      </c>
      <c r="L5" s="468">
        <v>0</v>
      </c>
      <c r="M5" s="469" t="s">
        <v>144</v>
      </c>
      <c r="N5" s="469"/>
      <c r="O5" s="469" t="s">
        <v>212</v>
      </c>
      <c r="P5" s="469" t="s">
        <v>145</v>
      </c>
      <c r="Q5" s="471">
        <v>494.88</v>
      </c>
      <c r="R5" s="472">
        <v>94522.08</v>
      </c>
      <c r="S5" s="469" t="s">
        <v>123</v>
      </c>
      <c r="T5" s="469"/>
      <c r="U5" s="298" t="s">
        <v>11</v>
      </c>
    </row>
    <row r="6" spans="1:21" x14ac:dyDescent="0.25">
      <c r="A6" s="463">
        <v>5</v>
      </c>
      <c r="B6" s="464" t="s">
        <v>142</v>
      </c>
      <c r="C6" s="469" t="s">
        <v>187</v>
      </c>
      <c r="D6" s="469" t="s">
        <v>143</v>
      </c>
      <c r="E6" s="470">
        <v>20316</v>
      </c>
      <c r="F6" s="468">
        <v>20</v>
      </c>
      <c r="G6" s="471">
        <v>800</v>
      </c>
      <c r="H6" s="468">
        <v>0</v>
      </c>
      <c r="I6" s="468">
        <v>191</v>
      </c>
      <c r="J6" s="468">
        <v>0</v>
      </c>
      <c r="K6" s="468">
        <v>17</v>
      </c>
      <c r="L6" s="468">
        <v>0</v>
      </c>
      <c r="M6" s="469" t="s">
        <v>144</v>
      </c>
      <c r="N6" s="469"/>
      <c r="O6" s="469" t="s">
        <v>212</v>
      </c>
      <c r="P6" s="469" t="s">
        <v>145</v>
      </c>
      <c r="Q6" s="471">
        <v>524.19000000000005</v>
      </c>
      <c r="R6" s="472">
        <v>100120.29</v>
      </c>
      <c r="S6" s="469" t="s">
        <v>165</v>
      </c>
      <c r="T6" s="469"/>
      <c r="U6" s="298" t="s">
        <v>12</v>
      </c>
    </row>
    <row r="7" spans="1:21" x14ac:dyDescent="0.25">
      <c r="A7" s="463">
        <v>6</v>
      </c>
      <c r="B7" s="464" t="s">
        <v>142</v>
      </c>
      <c r="C7" s="469" t="s">
        <v>14</v>
      </c>
      <c r="D7" s="469" t="s">
        <v>143</v>
      </c>
      <c r="E7" s="468">
        <v>874</v>
      </c>
      <c r="F7" s="468">
        <v>50</v>
      </c>
      <c r="G7" s="468">
        <v>0</v>
      </c>
      <c r="H7" s="468">
        <v>0</v>
      </c>
      <c r="I7" s="468">
        <v>63</v>
      </c>
      <c r="J7" s="468">
        <v>0</v>
      </c>
      <c r="K7" s="468">
        <v>4</v>
      </c>
      <c r="L7" s="468">
        <v>0</v>
      </c>
      <c r="M7" s="469" t="s">
        <v>144</v>
      </c>
      <c r="N7" s="469"/>
      <c r="O7" s="469" t="s">
        <v>212</v>
      </c>
      <c r="P7" s="469" t="s">
        <v>145</v>
      </c>
      <c r="Q7" s="471">
        <v>524.19000000000005</v>
      </c>
      <c r="R7" s="472">
        <v>33023.97</v>
      </c>
      <c r="S7" s="469" t="s">
        <v>214</v>
      </c>
      <c r="T7" s="469"/>
      <c r="U7" s="298" t="s">
        <v>14</v>
      </c>
    </row>
    <row r="8" spans="1:21" x14ac:dyDescent="0.25">
      <c r="A8" s="463">
        <v>7</v>
      </c>
      <c r="B8" s="464" t="s">
        <v>142</v>
      </c>
      <c r="C8" s="298" t="s">
        <v>13</v>
      </c>
      <c r="D8" s="469" t="s">
        <v>143</v>
      </c>
      <c r="E8" s="470">
        <v>13312</v>
      </c>
      <c r="F8" s="468">
        <v>150</v>
      </c>
      <c r="G8" s="471">
        <v>650</v>
      </c>
      <c r="H8" s="468">
        <v>0</v>
      </c>
      <c r="I8" s="468">
        <v>56</v>
      </c>
      <c r="J8" s="468">
        <v>0</v>
      </c>
      <c r="K8" s="468">
        <v>25</v>
      </c>
      <c r="L8" s="468">
        <v>0</v>
      </c>
      <c r="M8" s="469" t="s">
        <v>144</v>
      </c>
      <c r="N8" s="469"/>
      <c r="O8" s="469" t="s">
        <v>212</v>
      </c>
      <c r="P8" s="469" t="s">
        <v>145</v>
      </c>
      <c r="Q8" s="471">
        <v>524.19000000000005</v>
      </c>
      <c r="R8" s="472">
        <v>29354.639999999999</v>
      </c>
      <c r="S8" s="469" t="s">
        <v>200</v>
      </c>
      <c r="T8" s="469"/>
      <c r="U8" s="298" t="s">
        <v>13</v>
      </c>
    </row>
    <row r="9" spans="1:21" x14ac:dyDescent="0.25">
      <c r="A9" s="463">
        <v>8</v>
      </c>
      <c r="B9" s="464" t="s">
        <v>142</v>
      </c>
      <c r="C9" s="469" t="s">
        <v>34</v>
      </c>
      <c r="D9" s="469" t="s">
        <v>143</v>
      </c>
      <c r="E9" s="470">
        <v>9077</v>
      </c>
      <c r="F9" s="468">
        <v>173</v>
      </c>
      <c r="G9" s="471">
        <v>300</v>
      </c>
      <c r="H9" s="468">
        <v>0</v>
      </c>
      <c r="I9" s="468">
        <v>60</v>
      </c>
      <c r="J9" s="468">
        <v>0</v>
      </c>
      <c r="K9" s="468">
        <v>43</v>
      </c>
      <c r="L9" s="468">
        <v>0</v>
      </c>
      <c r="M9" s="469" t="s">
        <v>144</v>
      </c>
      <c r="N9" s="469"/>
      <c r="O9" s="469" t="s">
        <v>212</v>
      </c>
      <c r="P9" s="469" t="s">
        <v>145</v>
      </c>
      <c r="Q9" s="472">
        <v>1023.33</v>
      </c>
      <c r="R9" s="472">
        <v>61399.8</v>
      </c>
      <c r="S9" s="469" t="s">
        <v>121</v>
      </c>
      <c r="T9" s="469"/>
      <c r="U9" s="298" t="s">
        <v>34</v>
      </c>
    </row>
    <row r="10" spans="1:21" x14ac:dyDescent="0.25">
      <c r="A10" s="463">
        <v>9</v>
      </c>
      <c r="B10" s="464" t="s">
        <v>142</v>
      </c>
      <c r="C10" s="469" t="s">
        <v>5</v>
      </c>
      <c r="D10" s="469" t="s">
        <v>143</v>
      </c>
      <c r="E10" s="470">
        <v>7589</v>
      </c>
      <c r="F10" s="468">
        <v>210</v>
      </c>
      <c r="G10" s="471">
        <v>560</v>
      </c>
      <c r="H10" s="468">
        <v>0</v>
      </c>
      <c r="I10" s="468">
        <v>198</v>
      </c>
      <c r="J10" s="468">
        <v>0</v>
      </c>
      <c r="K10" s="468">
        <v>7</v>
      </c>
      <c r="L10" s="468">
        <v>0</v>
      </c>
      <c r="M10" s="469" t="s">
        <v>144</v>
      </c>
      <c r="N10" s="469"/>
      <c r="O10" s="469" t="s">
        <v>212</v>
      </c>
      <c r="P10" s="469" t="s">
        <v>145</v>
      </c>
      <c r="Q10" s="471">
        <v>601.95000000000005</v>
      </c>
      <c r="R10" s="472">
        <v>119186.1</v>
      </c>
      <c r="S10" s="469" t="s">
        <v>116</v>
      </c>
      <c r="T10" s="469"/>
      <c r="U10" s="298" t="s">
        <v>33</v>
      </c>
    </row>
    <row r="11" spans="1:21" x14ac:dyDescent="0.25">
      <c r="A11" s="463">
        <v>10</v>
      </c>
      <c r="B11" s="464" t="s">
        <v>142</v>
      </c>
      <c r="C11" s="469" t="s">
        <v>148</v>
      </c>
      <c r="D11" s="469" t="s">
        <v>143</v>
      </c>
      <c r="E11" s="468">
        <v>0</v>
      </c>
      <c r="F11" s="468">
        <v>165</v>
      </c>
      <c r="G11" s="471">
        <v>200</v>
      </c>
      <c r="H11" s="468">
        <v>0</v>
      </c>
      <c r="I11" s="468">
        <v>30</v>
      </c>
      <c r="J11" s="468">
        <v>0</v>
      </c>
      <c r="K11" s="468">
        <v>0</v>
      </c>
      <c r="L11" s="468">
        <v>0</v>
      </c>
      <c r="M11" s="469" t="s">
        <v>144</v>
      </c>
      <c r="N11" s="469"/>
      <c r="O11" s="469" t="s">
        <v>212</v>
      </c>
      <c r="P11" s="469" t="s">
        <v>145</v>
      </c>
      <c r="Q11" s="471">
        <v>969.93</v>
      </c>
      <c r="R11" s="472">
        <v>29097.9</v>
      </c>
      <c r="S11" s="469" t="s">
        <v>149</v>
      </c>
      <c r="T11" s="469"/>
      <c r="U11" s="298" t="s">
        <v>5</v>
      </c>
    </row>
    <row r="12" spans="1:21" x14ac:dyDescent="0.25">
      <c r="A12" s="463">
        <v>11</v>
      </c>
      <c r="B12" s="464" t="s">
        <v>142</v>
      </c>
      <c r="C12" s="469" t="s">
        <v>6</v>
      </c>
      <c r="D12" s="469" t="s">
        <v>143</v>
      </c>
      <c r="E12" s="468">
        <v>392</v>
      </c>
      <c r="F12" s="468">
        <v>80</v>
      </c>
      <c r="G12" s="471">
        <v>167</v>
      </c>
      <c r="H12" s="468">
        <v>0</v>
      </c>
      <c r="I12" s="468">
        <v>48</v>
      </c>
      <c r="J12" s="468">
        <v>0</v>
      </c>
      <c r="K12" s="468">
        <v>0</v>
      </c>
      <c r="L12" s="468">
        <v>0</v>
      </c>
      <c r="M12" s="469" t="s">
        <v>144</v>
      </c>
      <c r="N12" s="469"/>
      <c r="O12" s="469" t="s">
        <v>212</v>
      </c>
      <c r="P12" s="469" t="s">
        <v>145</v>
      </c>
      <c r="Q12" s="471">
        <v>529.22</v>
      </c>
      <c r="R12" s="472">
        <v>25402.560000000001</v>
      </c>
      <c r="S12" s="469" t="s">
        <v>117</v>
      </c>
      <c r="T12" s="469"/>
      <c r="U12" s="298" t="s">
        <v>6</v>
      </c>
    </row>
    <row r="13" spans="1:21" x14ac:dyDescent="0.25">
      <c r="A13" s="463">
        <v>12</v>
      </c>
      <c r="B13" s="464" t="s">
        <v>142</v>
      </c>
      <c r="C13" s="469" t="s">
        <v>35</v>
      </c>
      <c r="D13" s="469" t="s">
        <v>143</v>
      </c>
      <c r="E13" s="470">
        <v>41707</v>
      </c>
      <c r="F13" s="468">
        <v>140</v>
      </c>
      <c r="G13" s="471">
        <v>440</v>
      </c>
      <c r="H13" s="468">
        <v>0</v>
      </c>
      <c r="I13" s="468">
        <v>183</v>
      </c>
      <c r="J13" s="468">
        <v>0</v>
      </c>
      <c r="K13" s="468">
        <v>9</v>
      </c>
      <c r="L13" s="468">
        <v>0</v>
      </c>
      <c r="M13" s="469" t="s">
        <v>144</v>
      </c>
      <c r="N13" s="469"/>
      <c r="O13" s="469" t="s">
        <v>212</v>
      </c>
      <c r="P13" s="469" t="s">
        <v>145</v>
      </c>
      <c r="Q13" s="471">
        <v>386.37</v>
      </c>
      <c r="R13" s="472">
        <v>70705.710000000006</v>
      </c>
      <c r="S13" s="469" t="s">
        <v>122</v>
      </c>
      <c r="T13" s="469"/>
      <c r="U13" s="298" t="s">
        <v>35</v>
      </c>
    </row>
    <row r="14" spans="1:21" x14ac:dyDescent="0.25">
      <c r="A14" s="463">
        <v>13</v>
      </c>
      <c r="B14" s="464" t="s">
        <v>142</v>
      </c>
      <c r="C14" s="469" t="s">
        <v>7</v>
      </c>
      <c r="D14" s="469" t="s">
        <v>143</v>
      </c>
      <c r="E14" s="470">
        <v>47406</v>
      </c>
      <c r="F14" s="468">
        <v>90</v>
      </c>
      <c r="G14" s="471">
        <v>600</v>
      </c>
      <c r="H14" s="468">
        <v>0</v>
      </c>
      <c r="I14" s="468">
        <v>99</v>
      </c>
      <c r="J14" s="468">
        <v>0</v>
      </c>
      <c r="K14" s="468">
        <v>36</v>
      </c>
      <c r="L14" s="468">
        <v>0</v>
      </c>
      <c r="M14" s="469" t="s">
        <v>144</v>
      </c>
      <c r="N14" s="469"/>
      <c r="O14" s="469" t="s">
        <v>212</v>
      </c>
      <c r="P14" s="469" t="s">
        <v>145</v>
      </c>
      <c r="Q14" s="471">
        <v>386.37</v>
      </c>
      <c r="R14" s="472">
        <v>38250.629999999997</v>
      </c>
      <c r="S14" s="469" t="s">
        <v>124</v>
      </c>
      <c r="T14" s="469"/>
      <c r="U14" s="298" t="s">
        <v>7</v>
      </c>
    </row>
    <row r="15" spans="1:21" x14ac:dyDescent="0.25">
      <c r="A15" s="463">
        <v>14</v>
      </c>
      <c r="B15" s="464" t="s">
        <v>142</v>
      </c>
      <c r="C15" s="469" t="s">
        <v>8</v>
      </c>
      <c r="D15" s="469" t="s">
        <v>143</v>
      </c>
      <c r="E15" s="468">
        <v>0</v>
      </c>
      <c r="F15" s="468">
        <v>146</v>
      </c>
      <c r="G15" s="471">
        <v>700</v>
      </c>
      <c r="H15" s="468">
        <v>0</v>
      </c>
      <c r="I15" s="468">
        <v>123</v>
      </c>
      <c r="J15" s="468">
        <v>0</v>
      </c>
      <c r="K15" s="468">
        <v>27</v>
      </c>
      <c r="L15" s="468">
        <v>0</v>
      </c>
      <c r="M15" s="469" t="s">
        <v>144</v>
      </c>
      <c r="N15" s="469"/>
      <c r="O15" s="469" t="s">
        <v>212</v>
      </c>
      <c r="P15" s="469" t="s">
        <v>145</v>
      </c>
      <c r="Q15" s="471">
        <v>461.84</v>
      </c>
      <c r="R15" s="472">
        <v>56806.32</v>
      </c>
      <c r="S15" s="469" t="s">
        <v>195</v>
      </c>
      <c r="T15" s="469"/>
    </row>
    <row r="16" spans="1:21" x14ac:dyDescent="0.25">
      <c r="A16" s="463">
        <v>15</v>
      </c>
      <c r="B16" s="464" t="s">
        <v>142</v>
      </c>
      <c r="C16" s="469" t="s">
        <v>9</v>
      </c>
      <c r="D16" s="469" t="s">
        <v>145</v>
      </c>
      <c r="E16" s="470">
        <v>91004</v>
      </c>
      <c r="F16" s="468">
        <v>120</v>
      </c>
      <c r="G16" s="471">
        <v>750</v>
      </c>
      <c r="H16" s="468">
        <v>0</v>
      </c>
      <c r="I16" s="468">
        <v>159</v>
      </c>
      <c r="J16" s="468">
        <v>0</v>
      </c>
      <c r="K16" s="468">
        <v>14</v>
      </c>
      <c r="L16" s="468">
        <v>0</v>
      </c>
      <c r="M16" s="469" t="s">
        <v>144</v>
      </c>
      <c r="N16" s="469"/>
      <c r="O16" s="469" t="s">
        <v>212</v>
      </c>
      <c r="P16" s="469" t="s">
        <v>145</v>
      </c>
      <c r="Q16" s="471">
        <v>514.61</v>
      </c>
      <c r="R16" s="472">
        <v>81822.990000000005</v>
      </c>
      <c r="S16" s="469" t="s">
        <v>194</v>
      </c>
      <c r="T16" s="469"/>
      <c r="U16" s="298" t="s">
        <v>9</v>
      </c>
    </row>
    <row r="17" spans="1:21" x14ac:dyDescent="0.25">
      <c r="A17" s="463">
        <v>16</v>
      </c>
      <c r="B17" s="464" t="s">
        <v>142</v>
      </c>
      <c r="C17" s="469" t="s">
        <v>60</v>
      </c>
      <c r="D17" s="469" t="s">
        <v>143</v>
      </c>
      <c r="E17" s="470">
        <v>89907</v>
      </c>
      <c r="F17" s="468">
        <v>70</v>
      </c>
      <c r="G17" s="471">
        <v>600</v>
      </c>
      <c r="H17" s="468">
        <v>0</v>
      </c>
      <c r="I17" s="468">
        <v>168</v>
      </c>
      <c r="J17" s="468">
        <v>0</v>
      </c>
      <c r="K17" s="468">
        <v>16</v>
      </c>
      <c r="L17" s="468">
        <v>0</v>
      </c>
      <c r="M17" s="469" t="s">
        <v>144</v>
      </c>
      <c r="N17" s="469"/>
      <c r="O17" s="469" t="s">
        <v>212</v>
      </c>
      <c r="P17" s="469" t="s">
        <v>145</v>
      </c>
      <c r="Q17" s="471">
        <v>514.61</v>
      </c>
      <c r="R17" s="472">
        <v>86454.48</v>
      </c>
      <c r="S17" s="469" t="s">
        <v>215</v>
      </c>
      <c r="T17" s="469"/>
      <c r="U17" s="298" t="s">
        <v>60</v>
      </c>
    </row>
    <row r="18" spans="1:21" x14ac:dyDescent="0.25">
      <c r="A18" s="463">
        <v>17</v>
      </c>
      <c r="B18" s="464" t="s">
        <v>142</v>
      </c>
      <c r="C18" s="432" t="s">
        <v>32</v>
      </c>
      <c r="D18" s="469" t="s">
        <v>143</v>
      </c>
      <c r="E18" s="470">
        <v>5552</v>
      </c>
      <c r="F18" s="468">
        <v>85</v>
      </c>
      <c r="G18" s="471">
        <v>100</v>
      </c>
      <c r="H18" s="468">
        <v>0</v>
      </c>
      <c r="I18" s="468">
        <v>82</v>
      </c>
      <c r="J18" s="468">
        <v>0</v>
      </c>
      <c r="K18" s="468">
        <v>22</v>
      </c>
      <c r="L18" s="468">
        <v>0</v>
      </c>
      <c r="M18" s="469" t="s">
        <v>144</v>
      </c>
      <c r="N18" s="469"/>
      <c r="O18" s="469" t="s">
        <v>212</v>
      </c>
      <c r="P18" s="469" t="s">
        <v>145</v>
      </c>
      <c r="Q18" s="471">
        <v>606.82000000000005</v>
      </c>
      <c r="R18" s="472">
        <v>49759.24</v>
      </c>
      <c r="S18" s="469" t="s">
        <v>190</v>
      </c>
      <c r="T18" s="469"/>
      <c r="U18" s="432" t="s">
        <v>32</v>
      </c>
    </row>
    <row r="19" spans="1:21" x14ac:dyDescent="0.25">
      <c r="A19" s="463">
        <v>18</v>
      </c>
      <c r="B19" s="464" t="s">
        <v>142</v>
      </c>
      <c r="C19" s="469" t="s">
        <v>36</v>
      </c>
      <c r="D19" s="469" t="s">
        <v>143</v>
      </c>
      <c r="E19" s="468">
        <v>0</v>
      </c>
      <c r="F19" s="468">
        <v>0</v>
      </c>
      <c r="G19" s="468">
        <v>0</v>
      </c>
      <c r="H19" s="468">
        <v>0</v>
      </c>
      <c r="I19" s="468">
        <v>92</v>
      </c>
      <c r="J19" s="468">
        <v>0</v>
      </c>
      <c r="K19" s="468">
        <v>36</v>
      </c>
      <c r="L19" s="468">
        <v>0</v>
      </c>
      <c r="M19" s="469" t="s">
        <v>144</v>
      </c>
      <c r="N19" s="469"/>
      <c r="O19" s="469" t="s">
        <v>212</v>
      </c>
      <c r="P19" s="469" t="s">
        <v>145</v>
      </c>
      <c r="Q19" s="471">
        <v>308.41000000000003</v>
      </c>
      <c r="R19" s="472">
        <v>28373.72</v>
      </c>
      <c r="S19" s="469"/>
      <c r="T19" s="469"/>
    </row>
    <row r="20" spans="1:21" x14ac:dyDescent="0.25">
      <c r="C20" s="469" t="s">
        <v>132</v>
      </c>
      <c r="D20" s="469" t="s">
        <v>143</v>
      </c>
      <c r="E20" s="468">
        <v>0</v>
      </c>
      <c r="F20" s="468">
        <v>0</v>
      </c>
      <c r="G20" s="468">
        <v>0</v>
      </c>
      <c r="H20" s="468">
        <v>0</v>
      </c>
      <c r="I20" s="468">
        <v>104</v>
      </c>
      <c r="J20" s="468">
        <v>0</v>
      </c>
      <c r="K20" s="468">
        <v>4</v>
      </c>
      <c r="L20" s="468">
        <v>0</v>
      </c>
      <c r="M20" s="469" t="s">
        <v>144</v>
      </c>
      <c r="N20" s="469"/>
      <c r="O20" s="469" t="s">
        <v>212</v>
      </c>
      <c r="P20" s="469" t="s">
        <v>145</v>
      </c>
      <c r="Q20" s="471">
        <v>308.41000000000003</v>
      </c>
      <c r="R20" s="472">
        <v>32074.639999999999</v>
      </c>
      <c r="S20" s="469" t="s">
        <v>192</v>
      </c>
      <c r="T20" s="469"/>
    </row>
  </sheetData>
  <pageMargins left="0.7" right="0.7" top="0.75" bottom="0.75" header="0.3" footer="0.3"/>
  <pageSetup paperSize="9" scale="4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A1:Y37"/>
  <sheetViews>
    <sheetView showGridLines="0" showZeros="0" zoomScale="96" zoomScaleNormal="96" workbookViewId="0">
      <pane xSplit="2" topLeftCell="C1" activePane="topRight" state="frozen"/>
      <selection activeCell="E17" sqref="E17"/>
      <selection pane="topRight" activeCell="D35" sqref="B4:D35"/>
    </sheetView>
  </sheetViews>
  <sheetFormatPr defaultColWidth="8.85546875" defaultRowHeight="15" x14ac:dyDescent="0.25"/>
  <cols>
    <col min="1" max="1" width="10" style="309" bestFit="1" customWidth="1"/>
    <col min="2" max="2" width="17.28515625" style="317" bestFit="1" customWidth="1"/>
    <col min="3" max="3" width="25.7109375" style="319" bestFit="1" customWidth="1"/>
    <col min="4" max="4" width="11" style="319" customWidth="1"/>
    <col min="5" max="7" width="9" style="309" hidden="1" customWidth="1"/>
    <col min="8" max="8" width="9.42578125" style="309" hidden="1" customWidth="1"/>
    <col min="9" max="10" width="9" style="309" hidden="1" customWidth="1"/>
    <col min="11" max="11" width="9.42578125" style="309" hidden="1" customWidth="1"/>
    <col min="12" max="16" width="9" style="309" hidden="1" customWidth="1"/>
    <col min="17" max="19" width="9" style="309" customWidth="1"/>
    <col min="20" max="20" width="6.140625" style="317" hidden="1" customWidth="1"/>
    <col min="21" max="21" width="15" style="317" hidden="1" customWidth="1"/>
    <col min="22" max="22" width="14.42578125" style="317" hidden="1" customWidth="1"/>
    <col min="23" max="23" width="14" style="317" hidden="1" customWidth="1"/>
    <col min="24" max="24" width="13.85546875" style="310" hidden="1" customWidth="1"/>
    <col min="25" max="25" width="17" style="317" hidden="1" customWidth="1"/>
    <col min="26" max="26" width="0.28515625" style="317" customWidth="1"/>
    <col min="27" max="27" width="17.85546875" style="317" customWidth="1"/>
    <col min="28" max="16384" width="8.85546875" style="317"/>
  </cols>
  <sheetData>
    <row r="1" spans="1:24" ht="24.75" customHeight="1" x14ac:dyDescent="0.25">
      <c r="A1" s="494" t="s">
        <v>153</v>
      </c>
      <c r="B1" s="494" t="s">
        <v>140</v>
      </c>
      <c r="C1" s="494" t="s">
        <v>154</v>
      </c>
      <c r="D1" s="494" t="s">
        <v>155</v>
      </c>
      <c r="E1" s="494"/>
      <c r="F1" s="494"/>
      <c r="G1" s="494"/>
      <c r="H1" s="493" t="s">
        <v>156</v>
      </c>
      <c r="I1" s="493"/>
      <c r="J1" s="493"/>
      <c r="K1" s="493"/>
      <c r="L1" s="493" t="s">
        <v>157</v>
      </c>
      <c r="M1" s="493"/>
      <c r="N1" s="493"/>
      <c r="O1" s="493"/>
      <c r="P1" s="493" t="s">
        <v>172</v>
      </c>
      <c r="Q1" s="493"/>
      <c r="R1" s="493"/>
      <c r="S1" s="493"/>
      <c r="T1" s="488" t="s">
        <v>158</v>
      </c>
      <c r="U1" s="488" t="s">
        <v>159</v>
      </c>
      <c r="V1" s="488" t="s">
        <v>160</v>
      </c>
      <c r="W1" s="311" t="s">
        <v>160</v>
      </c>
      <c r="X1" s="311" t="s">
        <v>161</v>
      </c>
    </row>
    <row r="2" spans="1:24" ht="1.5" hidden="1" customHeight="1" x14ac:dyDescent="0.25">
      <c r="A2" s="494"/>
      <c r="B2" s="494"/>
      <c r="C2" s="494"/>
      <c r="D2" s="494"/>
      <c r="E2" s="494"/>
      <c r="F2" s="494"/>
      <c r="G2" s="494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489"/>
      <c r="U2" s="489"/>
      <c r="V2" s="489"/>
      <c r="W2" s="312"/>
      <c r="X2" s="314"/>
    </row>
    <row r="3" spans="1:24" s="306" customFormat="1" ht="60" x14ac:dyDescent="0.25">
      <c r="A3" s="494"/>
      <c r="B3" s="494"/>
      <c r="C3" s="494"/>
      <c r="D3" s="494"/>
      <c r="E3" s="494"/>
      <c r="F3" s="494"/>
      <c r="G3" s="494"/>
      <c r="H3" s="326" t="s">
        <v>162</v>
      </c>
      <c r="I3" s="326" t="s">
        <v>163</v>
      </c>
      <c r="J3" s="326" t="s">
        <v>2</v>
      </c>
      <c r="K3" s="326" t="s">
        <v>3</v>
      </c>
      <c r="L3" s="326" t="s">
        <v>162</v>
      </c>
      <c r="M3" s="326" t="s">
        <v>163</v>
      </c>
      <c r="N3" s="326" t="s">
        <v>2</v>
      </c>
      <c r="O3" s="326" t="s">
        <v>3</v>
      </c>
      <c r="P3" s="326" t="s">
        <v>162</v>
      </c>
      <c r="Q3" s="326" t="s">
        <v>163</v>
      </c>
      <c r="R3" s="326" t="s">
        <v>2</v>
      </c>
      <c r="S3" s="326" t="s">
        <v>3</v>
      </c>
      <c r="T3" s="490"/>
      <c r="U3" s="490"/>
      <c r="V3" s="490"/>
      <c r="W3" s="313"/>
      <c r="X3" s="315"/>
    </row>
    <row r="4" spans="1:24" ht="15.75" x14ac:dyDescent="0.25">
      <c r="A4" s="327">
        <v>1</v>
      </c>
      <c r="B4" s="352" t="s">
        <v>116</v>
      </c>
      <c r="C4" s="339" t="s">
        <v>5</v>
      </c>
      <c r="D4" s="324" t="s">
        <v>164</v>
      </c>
      <c r="E4" s="329"/>
      <c r="F4" s="329"/>
      <c r="G4" s="373"/>
      <c r="H4" s="372">
        <v>192</v>
      </c>
      <c r="I4" s="358">
        <v>98</v>
      </c>
      <c r="J4" s="358">
        <v>1</v>
      </c>
      <c r="K4" s="358">
        <v>2</v>
      </c>
      <c r="L4" s="344"/>
      <c r="M4" s="361">
        <v>106</v>
      </c>
      <c r="N4" s="361">
        <v>0</v>
      </c>
      <c r="O4" s="361">
        <v>1</v>
      </c>
      <c r="P4" s="347"/>
      <c r="Q4" s="362">
        <v>186</v>
      </c>
      <c r="R4" s="362">
        <v>0</v>
      </c>
      <c r="S4" s="362">
        <v>2</v>
      </c>
      <c r="T4" s="370">
        <v>55080</v>
      </c>
      <c r="U4" s="370">
        <v>400</v>
      </c>
      <c r="V4" s="371">
        <v>55480</v>
      </c>
      <c r="W4" s="318">
        <f>U4+V4</f>
        <v>55880</v>
      </c>
      <c r="X4" s="307">
        <v>5111</v>
      </c>
    </row>
    <row r="5" spans="1:24" ht="15.75" x14ac:dyDescent="0.25">
      <c r="A5" s="327">
        <v>2</v>
      </c>
      <c r="B5" s="352" t="s">
        <v>117</v>
      </c>
      <c r="C5" s="339" t="s">
        <v>5</v>
      </c>
      <c r="D5" s="324" t="s">
        <v>164</v>
      </c>
      <c r="E5" s="329"/>
      <c r="F5" s="329"/>
      <c r="G5" s="373"/>
      <c r="H5" s="355">
        <v>192</v>
      </c>
      <c r="I5" s="358">
        <v>104</v>
      </c>
      <c r="J5" s="358"/>
      <c r="K5" s="358">
        <v>1</v>
      </c>
      <c r="L5" s="345"/>
      <c r="M5" s="361">
        <v>93</v>
      </c>
      <c r="N5" s="361">
        <v>3</v>
      </c>
      <c r="O5" s="361">
        <v>0</v>
      </c>
      <c r="P5" s="349"/>
      <c r="Q5" s="362">
        <v>16</v>
      </c>
      <c r="R5" s="362">
        <v>0</v>
      </c>
      <c r="S5" s="362">
        <v>0</v>
      </c>
      <c r="T5" s="370">
        <v>53190</v>
      </c>
      <c r="U5" s="370">
        <v>400</v>
      </c>
      <c r="V5" s="371">
        <v>53590</v>
      </c>
      <c r="W5" s="318">
        <f>U5+V5</f>
        <v>53990</v>
      </c>
      <c r="X5" s="307">
        <v>5110</v>
      </c>
    </row>
    <row r="6" spans="1:24" ht="15.75" x14ac:dyDescent="0.25">
      <c r="A6" s="327">
        <v>3</v>
      </c>
      <c r="B6" s="352" t="s">
        <v>117</v>
      </c>
      <c r="C6" s="323" t="s">
        <v>118</v>
      </c>
      <c r="D6" s="324" t="s">
        <v>164</v>
      </c>
      <c r="E6" s="329"/>
      <c r="F6" s="329"/>
      <c r="G6" s="373"/>
      <c r="H6" s="355">
        <v>160</v>
      </c>
      <c r="I6" s="358">
        <v>22</v>
      </c>
      <c r="J6" s="358">
        <v>0</v>
      </c>
      <c r="K6" s="358">
        <v>0</v>
      </c>
      <c r="L6" s="335"/>
      <c r="M6" s="361">
        <v>28</v>
      </c>
      <c r="N6" s="361"/>
      <c r="O6" s="361"/>
      <c r="P6" s="335"/>
      <c r="Q6" s="362">
        <v>190</v>
      </c>
      <c r="R6" s="362">
        <v>8</v>
      </c>
      <c r="S6" s="362">
        <v>0</v>
      </c>
      <c r="T6" s="370">
        <v>50000</v>
      </c>
      <c r="U6" s="370">
        <v>0</v>
      </c>
      <c r="V6" s="371">
        <v>50000</v>
      </c>
      <c r="W6" s="318">
        <f t="shared" ref="W6:W31" si="0">U6+V6</f>
        <v>50000</v>
      </c>
      <c r="X6" s="307">
        <v>5112</v>
      </c>
    </row>
    <row r="7" spans="1:24" ht="16.5" thickBot="1" x14ac:dyDescent="0.3">
      <c r="A7" s="327">
        <v>4</v>
      </c>
      <c r="B7" s="353" t="s">
        <v>120</v>
      </c>
      <c r="C7" s="340" t="s">
        <v>118</v>
      </c>
      <c r="D7" s="332" t="s">
        <v>164</v>
      </c>
      <c r="E7" s="333"/>
      <c r="F7" s="333"/>
      <c r="G7" s="374"/>
      <c r="H7" s="356">
        <v>192</v>
      </c>
      <c r="I7" s="359">
        <v>56</v>
      </c>
      <c r="J7" s="359">
        <v>5</v>
      </c>
      <c r="K7" s="359"/>
      <c r="L7" s="336"/>
      <c r="M7" s="363">
        <v>102</v>
      </c>
      <c r="N7" s="363">
        <v>5</v>
      </c>
      <c r="O7" s="363"/>
      <c r="P7" s="336"/>
      <c r="Q7" s="364">
        <v>15</v>
      </c>
      <c r="R7" s="364">
        <v>0</v>
      </c>
      <c r="S7" s="364">
        <v>0</v>
      </c>
      <c r="T7" s="370">
        <v>31600</v>
      </c>
      <c r="U7" s="370">
        <v>1000</v>
      </c>
      <c r="V7" s="371">
        <v>32600</v>
      </c>
      <c r="W7" s="318">
        <v>50000</v>
      </c>
      <c r="X7" s="307">
        <v>5113</v>
      </c>
    </row>
    <row r="8" spans="1:24" ht="15.75" x14ac:dyDescent="0.25">
      <c r="A8" s="327">
        <v>5</v>
      </c>
      <c r="B8" s="354" t="s">
        <v>149</v>
      </c>
      <c r="C8" s="341" t="s">
        <v>148</v>
      </c>
      <c r="D8" s="331" t="s">
        <v>164</v>
      </c>
      <c r="E8" s="321"/>
      <c r="F8" s="321"/>
      <c r="G8" s="375"/>
      <c r="H8" s="357">
        <v>192</v>
      </c>
      <c r="I8" s="360">
        <v>103</v>
      </c>
      <c r="J8" s="360">
        <v>0</v>
      </c>
      <c r="K8" s="360">
        <v>2</v>
      </c>
      <c r="L8" s="337"/>
      <c r="M8" s="365">
        <v>116</v>
      </c>
      <c r="N8" s="365">
        <v>6</v>
      </c>
      <c r="O8" s="365">
        <v>3</v>
      </c>
      <c r="P8" s="337"/>
      <c r="Q8" s="366">
        <v>0</v>
      </c>
      <c r="R8" s="366">
        <v>0</v>
      </c>
      <c r="S8" s="366">
        <v>0</v>
      </c>
      <c r="T8" s="370">
        <v>50370</v>
      </c>
      <c r="U8" s="370">
        <v>1100</v>
      </c>
      <c r="V8" s="371">
        <v>51470</v>
      </c>
      <c r="W8" s="318">
        <f t="shared" si="0"/>
        <v>52570</v>
      </c>
      <c r="X8" s="307">
        <v>5114</v>
      </c>
    </row>
    <row r="9" spans="1:24" ht="15.75" x14ac:dyDescent="0.25">
      <c r="A9" s="327">
        <v>6</v>
      </c>
      <c r="B9" s="352" t="s">
        <v>131</v>
      </c>
      <c r="C9" s="296" t="s">
        <v>132</v>
      </c>
      <c r="D9" s="324" t="s">
        <v>164</v>
      </c>
      <c r="E9" s="321"/>
      <c r="F9" s="329"/>
      <c r="G9" s="373"/>
      <c r="H9" s="357">
        <v>192</v>
      </c>
      <c r="I9" s="358"/>
      <c r="J9" s="358"/>
      <c r="K9" s="358"/>
      <c r="L9" s="335"/>
      <c r="M9" s="361">
        <v>96</v>
      </c>
      <c r="N9" s="361">
        <v>3</v>
      </c>
      <c r="O9" s="361">
        <v>4</v>
      </c>
      <c r="P9" s="335"/>
      <c r="Q9" s="362">
        <v>138</v>
      </c>
      <c r="R9" s="362">
        <v>37</v>
      </c>
      <c r="S9" s="362">
        <v>0</v>
      </c>
      <c r="T9" s="370">
        <v>22080</v>
      </c>
      <c r="U9" s="370">
        <v>700</v>
      </c>
      <c r="V9" s="371">
        <v>22780</v>
      </c>
      <c r="W9" s="318">
        <f t="shared" si="0"/>
        <v>23480</v>
      </c>
      <c r="X9" s="307">
        <v>5115</v>
      </c>
    </row>
    <row r="10" spans="1:24" ht="16.5" thickBot="1" x14ac:dyDescent="0.3">
      <c r="A10" s="327">
        <v>7</v>
      </c>
      <c r="B10" s="353" t="s">
        <v>133</v>
      </c>
      <c r="C10" s="296" t="s">
        <v>29</v>
      </c>
      <c r="D10" s="332" t="s">
        <v>179</v>
      </c>
      <c r="E10" s="333"/>
      <c r="F10" s="333"/>
      <c r="G10" s="374"/>
      <c r="H10" s="356">
        <v>192</v>
      </c>
      <c r="I10" s="359">
        <v>92</v>
      </c>
      <c r="J10" s="359">
        <v>1</v>
      </c>
      <c r="K10" s="359">
        <v>3</v>
      </c>
      <c r="L10" s="336"/>
      <c r="M10" s="363"/>
      <c r="N10" s="363"/>
      <c r="O10" s="363"/>
      <c r="P10" s="336"/>
      <c r="Q10" s="364">
        <v>47</v>
      </c>
      <c r="R10" s="364">
        <v>0</v>
      </c>
      <c r="S10" s="364">
        <v>0</v>
      </c>
      <c r="T10" s="370">
        <v>21160</v>
      </c>
      <c r="U10" s="370">
        <v>400</v>
      </c>
      <c r="V10" s="371">
        <v>21560</v>
      </c>
      <c r="W10" s="318">
        <f t="shared" si="0"/>
        <v>21960</v>
      </c>
      <c r="X10" s="307">
        <v>5116</v>
      </c>
    </row>
    <row r="11" spans="1:24" ht="15.75" x14ac:dyDescent="0.25">
      <c r="A11" s="327">
        <v>8</v>
      </c>
      <c r="B11" s="354" t="s">
        <v>147</v>
      </c>
      <c r="C11" s="296" t="s">
        <v>29</v>
      </c>
      <c r="D11" s="331" t="s">
        <v>179</v>
      </c>
      <c r="E11" s="321"/>
      <c r="F11" s="321"/>
      <c r="G11" s="375"/>
      <c r="H11" s="372">
        <v>192</v>
      </c>
      <c r="I11" s="360">
        <v>97</v>
      </c>
      <c r="J11" s="360">
        <v>2</v>
      </c>
      <c r="K11" s="360">
        <v>4</v>
      </c>
      <c r="L11" s="369"/>
      <c r="M11" s="365">
        <v>110</v>
      </c>
      <c r="N11" s="365">
        <v>6</v>
      </c>
      <c r="O11" s="365">
        <v>4</v>
      </c>
      <c r="P11" s="337"/>
      <c r="Q11" s="366">
        <v>64</v>
      </c>
      <c r="R11" s="366">
        <v>4</v>
      </c>
      <c r="S11" s="366">
        <v>2</v>
      </c>
      <c r="T11" s="370">
        <v>47610</v>
      </c>
      <c r="U11" s="370">
        <v>1600</v>
      </c>
      <c r="V11" s="371">
        <v>49210</v>
      </c>
      <c r="W11" s="318">
        <f t="shared" si="0"/>
        <v>50810</v>
      </c>
      <c r="X11" s="307">
        <v>5117</v>
      </c>
    </row>
    <row r="12" spans="1:24" ht="15.75" x14ac:dyDescent="0.25">
      <c r="A12" s="327">
        <v>9</v>
      </c>
      <c r="B12" s="328" t="s">
        <v>182</v>
      </c>
      <c r="C12" s="322" t="s">
        <v>29</v>
      </c>
      <c r="D12" s="331" t="s">
        <v>179</v>
      </c>
      <c r="E12" s="321"/>
      <c r="F12" s="329"/>
      <c r="G12" s="373"/>
      <c r="H12" s="355">
        <v>192</v>
      </c>
      <c r="I12" s="360">
        <v>80</v>
      </c>
      <c r="J12" s="360">
        <v>0</v>
      </c>
      <c r="K12" s="360">
        <v>2</v>
      </c>
      <c r="L12" s="369"/>
      <c r="M12" s="365">
        <v>75</v>
      </c>
      <c r="N12" s="365">
        <v>13</v>
      </c>
      <c r="O12" s="365">
        <v>3</v>
      </c>
      <c r="P12" s="337"/>
      <c r="Q12" s="362">
        <v>18</v>
      </c>
      <c r="R12" s="362">
        <v>0</v>
      </c>
      <c r="S12" s="362">
        <v>1</v>
      </c>
      <c r="T12" s="370">
        <v>35650</v>
      </c>
      <c r="U12" s="370">
        <v>1800</v>
      </c>
      <c r="V12" s="371">
        <v>37450</v>
      </c>
      <c r="W12" s="318">
        <f t="shared" si="0"/>
        <v>39250</v>
      </c>
      <c r="X12" s="307">
        <v>5118</v>
      </c>
    </row>
    <row r="13" spans="1:24" ht="15.75" x14ac:dyDescent="0.25">
      <c r="A13" s="327">
        <v>10</v>
      </c>
      <c r="B13" s="354" t="s">
        <v>119</v>
      </c>
      <c r="C13" s="323" t="s">
        <v>30</v>
      </c>
      <c r="D13" s="331" t="s">
        <v>164</v>
      </c>
      <c r="E13" s="321"/>
      <c r="F13" s="329"/>
      <c r="G13" s="373"/>
      <c r="H13" s="355">
        <v>192</v>
      </c>
      <c r="I13" s="358">
        <v>6</v>
      </c>
      <c r="J13" s="358"/>
      <c r="K13" s="358"/>
      <c r="L13" s="344"/>
      <c r="M13" s="361"/>
      <c r="N13" s="361"/>
      <c r="O13" s="361"/>
      <c r="P13" s="335"/>
      <c r="Q13" s="362">
        <v>205</v>
      </c>
      <c r="R13" s="362">
        <v>13</v>
      </c>
      <c r="S13" s="362">
        <v>5</v>
      </c>
      <c r="T13" s="370">
        <v>1380</v>
      </c>
      <c r="U13" s="370">
        <v>0</v>
      </c>
      <c r="V13" s="371">
        <v>1380</v>
      </c>
      <c r="W13" s="318">
        <f t="shared" si="0"/>
        <v>1380</v>
      </c>
      <c r="X13" s="307">
        <v>5119</v>
      </c>
    </row>
    <row r="14" spans="1:24" ht="16.5" thickBot="1" x14ac:dyDescent="0.3">
      <c r="A14" s="327">
        <v>11</v>
      </c>
      <c r="B14" s="380" t="s">
        <v>176</v>
      </c>
      <c r="C14" s="296" t="s">
        <v>177</v>
      </c>
      <c r="D14" s="332" t="s">
        <v>164</v>
      </c>
      <c r="E14" s="333"/>
      <c r="F14" s="333"/>
      <c r="G14" s="374"/>
      <c r="H14" s="356">
        <v>80</v>
      </c>
      <c r="I14" s="359">
        <v>85</v>
      </c>
      <c r="J14" s="359">
        <v>5</v>
      </c>
      <c r="K14" s="359">
        <v>2</v>
      </c>
      <c r="L14" s="336"/>
      <c r="M14" s="363">
        <v>68</v>
      </c>
      <c r="N14" s="363">
        <v>1</v>
      </c>
      <c r="O14" s="363">
        <v>2</v>
      </c>
      <c r="P14" s="336"/>
      <c r="Q14" s="364">
        <v>162</v>
      </c>
      <c r="R14" s="364">
        <v>1</v>
      </c>
      <c r="S14" s="364">
        <v>6</v>
      </c>
      <c r="T14" s="370">
        <v>35190</v>
      </c>
      <c r="U14" s="370">
        <v>1000</v>
      </c>
      <c r="V14" s="371">
        <v>36190</v>
      </c>
      <c r="W14" s="318">
        <f t="shared" si="0"/>
        <v>37190</v>
      </c>
      <c r="X14" s="307">
        <v>5120</v>
      </c>
    </row>
    <row r="15" spans="1:24" ht="15.75" x14ac:dyDescent="0.25">
      <c r="A15" s="327">
        <v>12</v>
      </c>
      <c r="B15" s="354" t="s">
        <v>120</v>
      </c>
      <c r="C15" s="343" t="s">
        <v>183</v>
      </c>
      <c r="D15" s="331" t="s">
        <v>164</v>
      </c>
      <c r="E15" s="368"/>
      <c r="F15" s="334"/>
      <c r="G15" s="376"/>
      <c r="H15" s="495">
        <v>40</v>
      </c>
      <c r="I15" s="360">
        <v>6</v>
      </c>
      <c r="J15" s="360"/>
      <c r="K15" s="360"/>
      <c r="L15" s="346"/>
      <c r="M15" s="367"/>
      <c r="N15" s="367"/>
      <c r="O15" s="367"/>
      <c r="P15" s="338"/>
      <c r="Q15" s="366">
        <v>9</v>
      </c>
      <c r="R15" s="366">
        <v>0</v>
      </c>
      <c r="S15" s="366">
        <v>0</v>
      </c>
      <c r="T15" s="370">
        <v>1320</v>
      </c>
      <c r="U15" s="370">
        <v>0</v>
      </c>
      <c r="V15" s="371">
        <v>1320</v>
      </c>
      <c r="W15" s="318">
        <f t="shared" si="0"/>
        <v>1320</v>
      </c>
      <c r="X15" s="307">
        <v>5121</v>
      </c>
    </row>
    <row r="16" spans="1:24" ht="16.5" thickBot="1" x14ac:dyDescent="0.3">
      <c r="A16" s="327">
        <v>13</v>
      </c>
      <c r="B16" s="379" t="s">
        <v>120</v>
      </c>
      <c r="C16" s="342" t="s">
        <v>175</v>
      </c>
      <c r="D16" s="332" t="s">
        <v>164</v>
      </c>
      <c r="E16" s="333"/>
      <c r="F16" s="333"/>
      <c r="G16" s="374"/>
      <c r="H16" s="496"/>
      <c r="I16" s="359">
        <v>17</v>
      </c>
      <c r="J16" s="359">
        <v>1</v>
      </c>
      <c r="K16" s="359"/>
      <c r="L16" s="348"/>
      <c r="M16" s="363">
        <v>45</v>
      </c>
      <c r="N16" s="363">
        <v>0</v>
      </c>
      <c r="O16" s="363"/>
      <c r="P16" s="336"/>
      <c r="Q16" s="364">
        <v>183</v>
      </c>
      <c r="R16" s="364">
        <v>10</v>
      </c>
      <c r="S16" s="364">
        <v>4</v>
      </c>
      <c r="T16" s="370">
        <v>13640</v>
      </c>
      <c r="U16" s="370">
        <v>100</v>
      </c>
      <c r="V16" s="371">
        <v>13740</v>
      </c>
      <c r="W16" s="318">
        <f t="shared" si="0"/>
        <v>13840</v>
      </c>
      <c r="X16" s="307">
        <v>5122</v>
      </c>
    </row>
    <row r="17" spans="1:25" ht="15.75" x14ac:dyDescent="0.25">
      <c r="A17" s="327">
        <v>14</v>
      </c>
      <c r="B17" s="354" t="s">
        <v>165</v>
      </c>
      <c r="C17" s="341" t="s">
        <v>178</v>
      </c>
      <c r="D17" s="331" t="s">
        <v>164</v>
      </c>
      <c r="E17" s="321"/>
      <c r="F17" s="321"/>
      <c r="G17" s="375"/>
      <c r="H17" s="357">
        <v>192</v>
      </c>
      <c r="I17" s="360">
        <v>76</v>
      </c>
      <c r="J17" s="360">
        <v>7</v>
      </c>
      <c r="K17" s="360">
        <v>4</v>
      </c>
      <c r="L17" s="345"/>
      <c r="M17" s="365">
        <v>28</v>
      </c>
      <c r="N17" s="365">
        <v>0</v>
      </c>
      <c r="O17" s="365">
        <v>1</v>
      </c>
      <c r="P17" s="337"/>
      <c r="Q17" s="366">
        <v>197</v>
      </c>
      <c r="R17" s="366">
        <v>24</v>
      </c>
      <c r="S17" s="366">
        <v>8</v>
      </c>
      <c r="T17" s="370">
        <v>20800</v>
      </c>
      <c r="U17" s="370">
        <v>1200</v>
      </c>
      <c r="V17" s="371">
        <v>22000</v>
      </c>
      <c r="W17" s="318">
        <f t="shared" si="0"/>
        <v>23200</v>
      </c>
      <c r="X17" s="307">
        <v>5124</v>
      </c>
    </row>
    <row r="18" spans="1:25" ht="15.75" x14ac:dyDescent="0.25">
      <c r="A18" s="327">
        <v>15</v>
      </c>
      <c r="B18" s="354" t="s">
        <v>146</v>
      </c>
      <c r="C18" s="341" t="s">
        <v>14</v>
      </c>
      <c r="D18" s="331" t="s">
        <v>166</v>
      </c>
      <c r="E18" s="321"/>
      <c r="F18" s="321"/>
      <c r="G18" s="375"/>
      <c r="H18" s="491">
        <v>80</v>
      </c>
      <c r="I18" s="360"/>
      <c r="J18" s="360"/>
      <c r="K18" s="360"/>
      <c r="L18" s="345"/>
      <c r="M18" s="365">
        <v>106</v>
      </c>
      <c r="N18" s="365">
        <v>0</v>
      </c>
      <c r="O18" s="365">
        <v>2</v>
      </c>
      <c r="P18" s="337"/>
      <c r="Q18" s="362">
        <v>126</v>
      </c>
      <c r="R18" s="362">
        <v>0</v>
      </c>
      <c r="S18" s="362">
        <v>5</v>
      </c>
      <c r="T18" s="370">
        <v>21200</v>
      </c>
      <c r="U18" s="370">
        <v>200</v>
      </c>
      <c r="V18" s="371">
        <v>21400</v>
      </c>
      <c r="W18" s="318">
        <f t="shared" si="0"/>
        <v>21600</v>
      </c>
      <c r="X18" s="307">
        <v>5125</v>
      </c>
    </row>
    <row r="19" spans="1:25" ht="15.75" x14ac:dyDescent="0.25">
      <c r="A19" s="327">
        <v>16</v>
      </c>
      <c r="B19" s="352" t="s">
        <v>121</v>
      </c>
      <c r="C19" s="377" t="s">
        <v>173</v>
      </c>
      <c r="D19" s="378" t="s">
        <v>179</v>
      </c>
      <c r="E19" s="329"/>
      <c r="F19" s="329"/>
      <c r="G19" s="375"/>
      <c r="H19" s="492"/>
      <c r="I19" s="358">
        <v>49</v>
      </c>
      <c r="J19" s="358">
        <v>2</v>
      </c>
      <c r="K19" s="358">
        <v>1</v>
      </c>
      <c r="L19" s="345"/>
      <c r="M19" s="361"/>
      <c r="N19" s="361"/>
      <c r="O19" s="361"/>
      <c r="P19" s="335"/>
      <c r="Q19" s="362">
        <v>19</v>
      </c>
      <c r="R19" s="362">
        <v>0</v>
      </c>
      <c r="S19" s="362">
        <v>0</v>
      </c>
      <c r="T19" s="370">
        <v>9800</v>
      </c>
      <c r="U19" s="370">
        <v>300</v>
      </c>
      <c r="V19" s="371">
        <v>10100</v>
      </c>
      <c r="W19" s="318">
        <f t="shared" si="0"/>
        <v>10400</v>
      </c>
      <c r="X19" s="307">
        <v>5126</v>
      </c>
    </row>
    <row r="20" spans="1:25" ht="15.75" x14ac:dyDescent="0.25">
      <c r="A20" s="327">
        <v>17</v>
      </c>
      <c r="B20" s="352" t="s">
        <v>182</v>
      </c>
      <c r="C20" s="323" t="s">
        <v>173</v>
      </c>
      <c r="D20" s="331" t="s">
        <v>179</v>
      </c>
      <c r="E20" s="329"/>
      <c r="F20" s="329"/>
      <c r="G20" s="373"/>
      <c r="H20" s="491">
        <v>80</v>
      </c>
      <c r="I20" s="358">
        <v>71</v>
      </c>
      <c r="J20" s="358">
        <v>0</v>
      </c>
      <c r="K20" s="358"/>
      <c r="L20" s="345"/>
      <c r="M20" s="361">
        <v>104</v>
      </c>
      <c r="N20" s="361"/>
      <c r="O20" s="361"/>
      <c r="P20" s="335"/>
      <c r="Q20" s="362">
        <v>107</v>
      </c>
      <c r="R20" s="362">
        <v>5</v>
      </c>
      <c r="S20" s="362">
        <v>4</v>
      </c>
      <c r="T20" s="370">
        <v>35000</v>
      </c>
      <c r="U20" s="370">
        <v>0</v>
      </c>
      <c r="V20" s="371">
        <v>35000</v>
      </c>
      <c r="W20" s="318">
        <f t="shared" si="0"/>
        <v>35000</v>
      </c>
      <c r="X20" s="307">
        <v>5127</v>
      </c>
    </row>
    <row r="21" spans="1:25" ht="15.75" x14ac:dyDescent="0.25">
      <c r="A21" s="327">
        <v>18</v>
      </c>
      <c r="B21" s="352" t="s">
        <v>121</v>
      </c>
      <c r="C21" s="323" t="s">
        <v>180</v>
      </c>
      <c r="D21" s="331" t="s">
        <v>179</v>
      </c>
      <c r="E21" s="329"/>
      <c r="F21" s="329"/>
      <c r="G21" s="373"/>
      <c r="H21" s="492"/>
      <c r="I21" s="358">
        <v>17</v>
      </c>
      <c r="J21" s="358"/>
      <c r="K21" s="358"/>
      <c r="L21" s="345"/>
      <c r="M21" s="361">
        <v>25</v>
      </c>
      <c r="N21" s="361"/>
      <c r="O21" s="361">
        <v>1</v>
      </c>
      <c r="P21" s="335"/>
      <c r="Q21" s="362">
        <v>197</v>
      </c>
      <c r="R21" s="362">
        <v>7</v>
      </c>
      <c r="S21" s="362">
        <v>6</v>
      </c>
      <c r="T21" s="370">
        <v>8400</v>
      </c>
      <c r="U21" s="370">
        <v>100</v>
      </c>
      <c r="V21" s="371">
        <v>8500</v>
      </c>
      <c r="W21" s="318">
        <f t="shared" si="0"/>
        <v>8600</v>
      </c>
      <c r="X21" s="307">
        <v>5128</v>
      </c>
    </row>
    <row r="22" spans="1:25" ht="15.75" x14ac:dyDescent="0.25">
      <c r="A22" s="327">
        <v>19</v>
      </c>
      <c r="B22" s="352" t="s">
        <v>133</v>
      </c>
      <c r="C22" s="323" t="s">
        <v>32</v>
      </c>
      <c r="D22" s="331" t="s">
        <v>164</v>
      </c>
      <c r="E22" s="329"/>
      <c r="F22" s="329"/>
      <c r="G22" s="373"/>
      <c r="H22" s="491">
        <v>80</v>
      </c>
      <c r="I22" s="358">
        <v>92</v>
      </c>
      <c r="J22" s="358"/>
      <c r="K22" s="358"/>
      <c r="L22" s="345"/>
      <c r="M22" s="361">
        <v>98</v>
      </c>
      <c r="N22" s="361"/>
      <c r="O22" s="361"/>
      <c r="P22" s="335"/>
      <c r="Q22" s="362">
        <v>5</v>
      </c>
      <c r="R22" s="362">
        <v>0</v>
      </c>
      <c r="S22" s="362">
        <v>0</v>
      </c>
      <c r="T22" s="370">
        <v>38000</v>
      </c>
      <c r="U22" s="370">
        <v>0</v>
      </c>
      <c r="V22" s="371">
        <v>38000</v>
      </c>
      <c r="W22" s="318">
        <f t="shared" si="0"/>
        <v>38000</v>
      </c>
      <c r="X22" s="307">
        <v>5129</v>
      </c>
    </row>
    <row r="23" spans="1:25" ht="15.75" x14ac:dyDescent="0.25">
      <c r="A23" s="327">
        <v>20</v>
      </c>
      <c r="B23" s="352" t="s">
        <v>174</v>
      </c>
      <c r="C23" s="323" t="s">
        <v>32</v>
      </c>
      <c r="D23" s="331" t="s">
        <v>164</v>
      </c>
      <c r="E23" s="334"/>
      <c r="F23" s="334"/>
      <c r="G23" s="373"/>
      <c r="H23" s="492"/>
      <c r="I23" s="358">
        <v>17</v>
      </c>
      <c r="J23" s="358"/>
      <c r="K23" s="358"/>
      <c r="L23" s="345"/>
      <c r="M23" s="361">
        <v>24</v>
      </c>
      <c r="N23" s="361"/>
      <c r="O23" s="361"/>
      <c r="P23" s="335"/>
      <c r="Q23" s="362">
        <v>0</v>
      </c>
      <c r="R23" s="362">
        <v>0</v>
      </c>
      <c r="S23" s="362">
        <v>0</v>
      </c>
      <c r="T23" s="370">
        <v>8200</v>
      </c>
      <c r="U23" s="370">
        <v>0</v>
      </c>
      <c r="V23" s="371">
        <v>8200</v>
      </c>
      <c r="W23" s="318">
        <f t="shared" si="0"/>
        <v>8200</v>
      </c>
      <c r="X23" s="307">
        <v>5130</v>
      </c>
      <c r="Y23" s="317" t="s">
        <v>167</v>
      </c>
    </row>
    <row r="24" spans="1:25" ht="15.75" x14ac:dyDescent="0.25">
      <c r="A24" s="327">
        <v>21</v>
      </c>
      <c r="B24" s="351" t="s">
        <v>122</v>
      </c>
      <c r="C24" s="323" t="s">
        <v>35</v>
      </c>
      <c r="D24" s="331" t="s">
        <v>164</v>
      </c>
      <c r="E24" s="334"/>
      <c r="F24" s="334"/>
      <c r="G24" s="376"/>
      <c r="H24" s="355">
        <v>160</v>
      </c>
      <c r="I24" s="358"/>
      <c r="J24" s="358"/>
      <c r="K24" s="358"/>
      <c r="L24" s="347"/>
      <c r="M24" s="361"/>
      <c r="N24" s="361"/>
      <c r="O24" s="361"/>
      <c r="P24" s="335"/>
      <c r="Q24" s="362">
        <v>172</v>
      </c>
      <c r="R24" s="362">
        <v>2</v>
      </c>
      <c r="S24" s="362">
        <v>3</v>
      </c>
      <c r="T24" s="370"/>
      <c r="U24" s="370">
        <v>0</v>
      </c>
      <c r="V24" s="371">
        <v>0</v>
      </c>
      <c r="W24" s="318">
        <f t="shared" si="0"/>
        <v>0</v>
      </c>
      <c r="X24" s="307">
        <v>5131</v>
      </c>
      <c r="Y24" s="317" t="s">
        <v>167</v>
      </c>
    </row>
    <row r="25" spans="1:25" ht="16.5" thickBot="1" x14ac:dyDescent="0.3">
      <c r="A25" s="327">
        <v>22</v>
      </c>
      <c r="B25" s="350" t="s">
        <v>123</v>
      </c>
      <c r="C25" s="296" t="s">
        <v>35</v>
      </c>
      <c r="D25" s="332" t="s">
        <v>164</v>
      </c>
      <c r="E25" s="333"/>
      <c r="F25" s="333"/>
      <c r="G25" s="374"/>
      <c r="H25" s="381">
        <v>192</v>
      </c>
      <c r="I25" s="382">
        <v>130</v>
      </c>
      <c r="J25" s="382"/>
      <c r="K25" s="382">
        <v>2</v>
      </c>
      <c r="L25" s="348"/>
      <c r="M25" s="363">
        <v>75</v>
      </c>
      <c r="N25" s="363"/>
      <c r="O25" s="363">
        <v>1</v>
      </c>
      <c r="P25" s="336"/>
      <c r="Q25" s="364">
        <v>16</v>
      </c>
      <c r="R25" s="364">
        <v>1</v>
      </c>
      <c r="S25" s="364">
        <v>0</v>
      </c>
      <c r="T25" s="370">
        <v>47150</v>
      </c>
      <c r="U25" s="370">
        <v>300</v>
      </c>
      <c r="V25" s="371">
        <v>47450</v>
      </c>
      <c r="W25" s="318">
        <f t="shared" si="0"/>
        <v>47750</v>
      </c>
      <c r="X25" s="307">
        <v>5132</v>
      </c>
      <c r="Y25" s="317" t="s">
        <v>167</v>
      </c>
    </row>
    <row r="26" spans="1:25" ht="15.75" x14ac:dyDescent="0.25">
      <c r="A26" s="327">
        <v>23</v>
      </c>
      <c r="B26" s="320" t="s">
        <v>122</v>
      </c>
      <c r="C26" s="296" t="s">
        <v>7</v>
      </c>
      <c r="D26" s="331" t="s">
        <v>164</v>
      </c>
      <c r="E26" s="321"/>
      <c r="F26" s="321"/>
      <c r="G26" s="375"/>
      <c r="H26" s="357"/>
      <c r="I26" s="360"/>
      <c r="J26" s="360"/>
      <c r="K26" s="360"/>
      <c r="L26" s="330"/>
      <c r="M26" s="365"/>
      <c r="N26" s="365"/>
      <c r="O26" s="365"/>
      <c r="P26" s="337"/>
      <c r="Q26" s="366">
        <v>33</v>
      </c>
      <c r="R26" s="366">
        <v>0</v>
      </c>
      <c r="S26" s="366">
        <v>0</v>
      </c>
      <c r="T26" s="370"/>
      <c r="U26" s="370"/>
      <c r="V26" s="370"/>
      <c r="W26" s="318"/>
      <c r="X26" s="307"/>
    </row>
    <row r="27" spans="1:25" ht="15.75" x14ac:dyDescent="0.25">
      <c r="A27" s="327">
        <v>24</v>
      </c>
      <c r="B27" s="351" t="s">
        <v>124</v>
      </c>
      <c r="C27" s="385" t="s">
        <v>7</v>
      </c>
      <c r="D27" s="386" t="s">
        <v>179</v>
      </c>
      <c r="E27" s="334"/>
      <c r="F27" s="334"/>
      <c r="G27" s="376"/>
      <c r="H27" s="355"/>
      <c r="I27" s="358"/>
      <c r="J27" s="358"/>
      <c r="K27" s="358"/>
      <c r="L27" s="347"/>
      <c r="M27" s="361"/>
      <c r="N27" s="361"/>
      <c r="O27" s="361"/>
      <c r="P27" s="335"/>
      <c r="Q27" s="362">
        <v>165</v>
      </c>
      <c r="R27" s="362">
        <v>23</v>
      </c>
      <c r="S27" s="362">
        <v>4</v>
      </c>
      <c r="T27" s="370">
        <v>0</v>
      </c>
      <c r="U27" s="370">
        <v>0</v>
      </c>
      <c r="V27" s="371">
        <v>0</v>
      </c>
      <c r="W27" s="318"/>
      <c r="X27" s="307">
        <v>5133</v>
      </c>
      <c r="Y27" s="317" t="s">
        <v>170</v>
      </c>
    </row>
    <row r="28" spans="1:25" ht="15.75" x14ac:dyDescent="0.25">
      <c r="A28" s="327">
        <v>25</v>
      </c>
      <c r="B28" s="351" t="s">
        <v>123</v>
      </c>
      <c r="C28" s="385" t="s">
        <v>9</v>
      </c>
      <c r="D28" s="386" t="s">
        <v>164</v>
      </c>
      <c r="E28" s="334"/>
      <c r="F28" s="334"/>
      <c r="G28" s="376"/>
      <c r="H28" s="355"/>
      <c r="I28" s="358"/>
      <c r="J28" s="358"/>
      <c r="K28" s="358"/>
      <c r="L28" s="347"/>
      <c r="M28" s="361"/>
      <c r="N28" s="361"/>
      <c r="O28" s="361"/>
      <c r="P28" s="335"/>
      <c r="Q28" s="362">
        <v>90</v>
      </c>
      <c r="R28" s="362">
        <v>0</v>
      </c>
      <c r="S28" s="362">
        <v>0</v>
      </c>
      <c r="T28" s="370">
        <v>0</v>
      </c>
      <c r="U28" s="370">
        <v>0</v>
      </c>
      <c r="V28" s="371">
        <v>0</v>
      </c>
      <c r="W28" s="318">
        <f t="shared" si="0"/>
        <v>0</v>
      </c>
      <c r="X28" s="307">
        <v>5134</v>
      </c>
      <c r="Y28" s="317" t="s">
        <v>171</v>
      </c>
    </row>
    <row r="29" spans="1:25" ht="15.75" x14ac:dyDescent="0.25">
      <c r="A29" s="327">
        <v>26</v>
      </c>
      <c r="B29" s="351" t="s">
        <v>133</v>
      </c>
      <c r="C29" s="385" t="s">
        <v>9</v>
      </c>
      <c r="D29" s="386" t="s">
        <v>179</v>
      </c>
      <c r="E29" s="334"/>
      <c r="F29" s="334"/>
      <c r="G29" s="376"/>
      <c r="H29" s="355">
        <v>2792</v>
      </c>
      <c r="I29" s="358">
        <v>1218</v>
      </c>
      <c r="J29" s="358">
        <v>24</v>
      </c>
      <c r="K29" s="358">
        <v>23</v>
      </c>
      <c r="L29" s="347">
        <v>0</v>
      </c>
      <c r="M29" s="361">
        <v>1299</v>
      </c>
      <c r="N29" s="361">
        <v>37</v>
      </c>
      <c r="O29" s="361">
        <v>22</v>
      </c>
      <c r="P29" s="335">
        <v>0</v>
      </c>
      <c r="Q29" s="362">
        <v>15</v>
      </c>
      <c r="R29" s="362">
        <v>0</v>
      </c>
      <c r="S29" s="362">
        <v>0</v>
      </c>
      <c r="T29" s="370">
        <v>606820</v>
      </c>
      <c r="U29" s="370">
        <v>10600</v>
      </c>
      <c r="V29" s="371">
        <v>617420</v>
      </c>
      <c r="W29" s="318">
        <f t="shared" si="0"/>
        <v>628020</v>
      </c>
      <c r="X29" s="307"/>
    </row>
    <row r="30" spans="1:25" ht="15.75" x14ac:dyDescent="0.25">
      <c r="A30" s="327">
        <v>27</v>
      </c>
      <c r="B30" s="351" t="s">
        <v>133</v>
      </c>
      <c r="C30" s="385" t="s">
        <v>60</v>
      </c>
      <c r="D30" s="386" t="s">
        <v>179</v>
      </c>
      <c r="E30" s="334"/>
      <c r="F30" s="334"/>
      <c r="G30" s="376"/>
      <c r="H30" s="355"/>
      <c r="I30" s="358"/>
      <c r="J30" s="358"/>
      <c r="K30" s="358"/>
      <c r="L30" s="347"/>
      <c r="M30" s="361"/>
      <c r="N30" s="361"/>
      <c r="O30" s="361"/>
      <c r="P30" s="335"/>
      <c r="Q30" s="362">
        <v>0</v>
      </c>
      <c r="R30" s="362">
        <v>0</v>
      </c>
      <c r="S30" s="362">
        <v>0</v>
      </c>
      <c r="T30" s="370"/>
      <c r="U30" s="370">
        <f t="shared" ref="U30:U31" si="1">E30*Q30</f>
        <v>0</v>
      </c>
      <c r="V30" s="371">
        <f t="shared" ref="V30:V31" si="2">(R30+S30)*G30</f>
        <v>0</v>
      </c>
      <c r="W30" s="318">
        <f t="shared" si="0"/>
        <v>0</v>
      </c>
      <c r="X30" s="307"/>
    </row>
    <row r="31" spans="1:25" ht="15.75" x14ac:dyDescent="0.25">
      <c r="A31" s="327">
        <v>28</v>
      </c>
      <c r="B31" s="351" t="s">
        <v>133</v>
      </c>
      <c r="C31" s="385" t="s">
        <v>60</v>
      </c>
      <c r="D31" s="386" t="s">
        <v>179</v>
      </c>
      <c r="E31" s="334"/>
      <c r="F31" s="334"/>
      <c r="G31" s="376"/>
      <c r="H31" s="355"/>
      <c r="I31" s="358"/>
      <c r="J31" s="358"/>
      <c r="K31" s="358"/>
      <c r="L31" s="347"/>
      <c r="M31" s="361"/>
      <c r="N31" s="361"/>
      <c r="O31" s="361"/>
      <c r="P31" s="335"/>
      <c r="Q31" s="362">
        <v>0</v>
      </c>
      <c r="R31" s="362">
        <v>0</v>
      </c>
      <c r="S31" s="362">
        <v>0</v>
      </c>
      <c r="T31" s="370"/>
      <c r="U31" s="370">
        <f t="shared" si="1"/>
        <v>0</v>
      </c>
      <c r="V31" s="371">
        <f t="shared" si="2"/>
        <v>0</v>
      </c>
      <c r="W31" s="318">
        <f t="shared" si="0"/>
        <v>0</v>
      </c>
      <c r="X31" s="307"/>
    </row>
    <row r="32" spans="1:25" ht="15.75" x14ac:dyDescent="0.25">
      <c r="A32" s="327">
        <v>29</v>
      </c>
      <c r="B32" s="351" t="s">
        <v>133</v>
      </c>
      <c r="C32" s="385" t="s">
        <v>60</v>
      </c>
      <c r="D32" s="386" t="s">
        <v>179</v>
      </c>
      <c r="E32" s="334"/>
      <c r="F32" s="334"/>
      <c r="G32" s="376"/>
      <c r="H32" s="355">
        <f t="shared" ref="H32:P32" si="3">SUM(H4:H31)</f>
        <v>5584</v>
      </c>
      <c r="I32" s="358">
        <f t="shared" si="3"/>
        <v>2436</v>
      </c>
      <c r="J32" s="358">
        <f t="shared" si="3"/>
        <v>48</v>
      </c>
      <c r="K32" s="358">
        <f t="shared" si="3"/>
        <v>46</v>
      </c>
      <c r="L32" s="347">
        <f t="shared" si="3"/>
        <v>0</v>
      </c>
      <c r="M32" s="361">
        <f t="shared" si="3"/>
        <v>2598</v>
      </c>
      <c r="N32" s="361">
        <f t="shared" si="3"/>
        <v>74</v>
      </c>
      <c r="O32" s="361">
        <f t="shared" si="3"/>
        <v>44</v>
      </c>
      <c r="P32" s="335">
        <f t="shared" si="3"/>
        <v>0</v>
      </c>
      <c r="Q32" s="362">
        <v>62</v>
      </c>
      <c r="R32" s="362">
        <v>0</v>
      </c>
      <c r="S32" s="362">
        <v>2</v>
      </c>
      <c r="T32" s="370"/>
      <c r="U32" s="370">
        <f>SUM(U3:U31)</f>
        <v>21200</v>
      </c>
      <c r="V32" s="371">
        <f>SUM(V3:V31)</f>
        <v>1234840</v>
      </c>
      <c r="W32" s="318">
        <f>SUM(W3:W31)</f>
        <v>1272440</v>
      </c>
      <c r="X32" s="307"/>
    </row>
    <row r="33" spans="1:24" ht="15.75" x14ac:dyDescent="0.25">
      <c r="A33" s="327">
        <v>30</v>
      </c>
      <c r="B33" s="351"/>
      <c r="C33" s="385" t="s">
        <v>168</v>
      </c>
      <c r="D33" s="386" t="s">
        <v>164</v>
      </c>
      <c r="E33" s="334"/>
      <c r="F33" s="334"/>
      <c r="G33" s="376"/>
      <c r="H33" s="355"/>
      <c r="I33" s="358"/>
      <c r="J33" s="358"/>
      <c r="K33" s="358"/>
      <c r="L33" s="347"/>
      <c r="M33" s="361"/>
      <c r="N33" s="361"/>
      <c r="O33" s="361"/>
      <c r="P33" s="335"/>
      <c r="Q33" s="362">
        <v>0</v>
      </c>
      <c r="R33" s="362">
        <v>0</v>
      </c>
      <c r="S33" s="362">
        <v>0</v>
      </c>
      <c r="T33" s="370"/>
      <c r="U33" s="370"/>
      <c r="V33" s="371"/>
      <c r="W33" s="318"/>
      <c r="X33" s="307"/>
    </row>
    <row r="34" spans="1:24" ht="15.75" x14ac:dyDescent="0.25">
      <c r="A34" s="327">
        <v>31</v>
      </c>
      <c r="B34" s="351" t="s">
        <v>147</v>
      </c>
      <c r="C34" s="385" t="s">
        <v>181</v>
      </c>
      <c r="D34" s="386" t="s">
        <v>179</v>
      </c>
      <c r="E34" s="334"/>
      <c r="F34" s="334"/>
      <c r="G34" s="376"/>
      <c r="H34" s="355"/>
      <c r="I34" s="358"/>
      <c r="J34" s="358"/>
      <c r="K34" s="358"/>
      <c r="L34" s="347"/>
      <c r="M34" s="361"/>
      <c r="N34" s="361"/>
      <c r="O34" s="361"/>
      <c r="P34" s="335"/>
      <c r="Q34" s="362">
        <v>56</v>
      </c>
      <c r="R34" s="362">
        <v>0</v>
      </c>
      <c r="S34" s="362">
        <v>3</v>
      </c>
      <c r="T34" s="370"/>
      <c r="U34" s="370"/>
      <c r="V34" s="371"/>
      <c r="W34" s="318"/>
      <c r="X34" s="307"/>
    </row>
    <row r="35" spans="1:24" ht="15.75" x14ac:dyDescent="0.25">
      <c r="A35" s="327">
        <v>32</v>
      </c>
      <c r="B35" s="351" t="s">
        <v>147</v>
      </c>
      <c r="C35" s="385" t="s">
        <v>181</v>
      </c>
      <c r="D35" s="386" t="s">
        <v>169</v>
      </c>
      <c r="E35" s="334"/>
      <c r="F35" s="334"/>
      <c r="G35" s="376"/>
      <c r="H35" s="355"/>
      <c r="I35" s="358"/>
      <c r="J35" s="358"/>
      <c r="K35" s="358"/>
      <c r="L35" s="347"/>
      <c r="M35" s="361"/>
      <c r="N35" s="361"/>
      <c r="O35" s="361"/>
      <c r="P35" s="335"/>
      <c r="Q35" s="362">
        <v>11</v>
      </c>
      <c r="R35" s="362">
        <v>0</v>
      </c>
      <c r="S35" s="362">
        <v>0</v>
      </c>
      <c r="T35" s="370"/>
      <c r="U35" s="370"/>
      <c r="V35" s="371"/>
      <c r="W35" s="318"/>
      <c r="X35" s="307"/>
    </row>
    <row r="37" spans="1:24" x14ac:dyDescent="0.25">
      <c r="U37" s="308"/>
    </row>
  </sheetData>
  <mergeCells count="17">
    <mergeCell ref="A1:A3"/>
    <mergeCell ref="D1:D3"/>
    <mergeCell ref="F1:F3"/>
    <mergeCell ref="B1:B3"/>
    <mergeCell ref="C1:C3"/>
    <mergeCell ref="E1:E3"/>
    <mergeCell ref="G1:G3"/>
    <mergeCell ref="H18:H19"/>
    <mergeCell ref="P1:S1"/>
    <mergeCell ref="L1:O1"/>
    <mergeCell ref="H15:H16"/>
    <mergeCell ref="T1:T3"/>
    <mergeCell ref="U1:U3"/>
    <mergeCell ref="V1:V3"/>
    <mergeCell ref="H20:H21"/>
    <mergeCell ref="H22:H23"/>
    <mergeCell ref="H1:K1"/>
  </mergeCells>
  <pageMargins left="0.70866141732283472" right="0.39370078740157483" top="0.74803149606299213" bottom="0.74803149606299213" header="0.31496062992125984" footer="0.31496062992125984"/>
  <pageSetup paperSize="9" scale="75" orientation="landscape" verticalDpi="300" r:id="rId1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</vt:i4>
      </vt:variant>
    </vt:vector>
  </HeadingPairs>
  <TitlesOfParts>
    <vt:vector size="17" baseType="lpstr">
      <vt:lpstr>Июнь 2024 </vt:lpstr>
      <vt:lpstr>Топливо Июль 2024.</vt:lpstr>
      <vt:lpstr>Топливо Август 2024</vt:lpstr>
      <vt:lpstr>Топливо Сентябрь 2024</vt:lpstr>
      <vt:lpstr>Топливо Июль 2024</vt:lpstr>
      <vt:lpstr>Топливо Октябрь  2024  (2)</vt:lpstr>
      <vt:lpstr>Топливо Октябрь  2024 </vt:lpstr>
      <vt:lpstr>Топливо Ноябрь  2024 </vt:lpstr>
      <vt:lpstr>Топливо Декабрь 2024 </vt:lpstr>
      <vt:lpstr>Топливо Январь 2025</vt:lpstr>
      <vt:lpstr>Топливо Февраль 2025</vt:lpstr>
      <vt:lpstr>Топливо Март 2025</vt:lpstr>
      <vt:lpstr>Паливо Грудень  2025</vt:lpstr>
      <vt:lpstr> то за Грудень 2025</vt:lpstr>
      <vt:lpstr>Оренда техники</vt:lpstr>
      <vt:lpstr>МЕХАНИЗАТОРЫ</vt:lpstr>
      <vt:lpstr>'Паливо Грудень  2025'!Область_печати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cfo</cp:lastModifiedBy>
  <cp:lastPrinted>2026-01-05T15:38:57Z</cp:lastPrinted>
  <dcterms:created xsi:type="dcterms:W3CDTF">2024-08-06T08:39:16Z</dcterms:created>
  <dcterms:modified xsi:type="dcterms:W3CDTF">2026-01-22T06:24:14Z</dcterms:modified>
</cp:coreProperties>
</file>
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Декабрь_25\Данные\Производство\зп\"/>
    </mc:Choice>
  </mc:AlternateContent>
  <xr:revisionPtr revIDLastSave="0" documentId="13_ncr:1_{2C6A302D-06B7-4841-BB0C-D4CF24B1595C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0" i="1"/>
  <c r="D14" i="1"/>
  <c r="D19" i="1"/>
  <c r="D18" i="1"/>
  <c r="D17" i="1"/>
  <c r="D32" i="1"/>
  <c r="D31" i="1"/>
  <c r="D30" i="1"/>
  <c r="D29" i="1"/>
  <c r="D28" i="1"/>
  <c r="D27" i="1"/>
  <c r="D24" i="1"/>
  <c r="D25" i="1"/>
  <c r="D26" i="1"/>
  <c r="D23" i="1"/>
</calcChain>
</file>

<file path=xl/sharedStrings.xml><?xml version="1.0" encoding="utf-8"?>
<sst xmlns="http://schemas.openxmlformats.org/spreadsheetml/2006/main" count="60" uniqueCount="34">
  <si>
    <t>Параметри:</t>
  </si>
  <si>
    <t>Период отчета: 01.12.2025 - 31.12.2025</t>
  </si>
  <si>
    <t>Відбір:</t>
  </si>
  <si>
    <t>Подразделение Дорівнює "Главный офис" и
Направление Дорівнює "Производство" и
Ф1 Дорівнює "Так" и
Подразделение Не дорівнює "И.П.С."</t>
  </si>
  <si>
    <t>Подразделение</t>
  </si>
  <si>
    <t>Сумма</t>
  </si>
  <si>
    <t>Статья движения денежных средств</t>
  </si>
  <si>
    <t>Комментарий</t>
  </si>
  <si>
    <t>Главный офис</t>
  </si>
  <si>
    <t>Зарплата ИТР</t>
  </si>
  <si>
    <t>Грушко Лариса Вікторівна</t>
  </si>
  <si>
    <t>Пономаренко Віталій Вікторович</t>
  </si>
  <si>
    <t>Скрипник Сергій Павлович</t>
  </si>
  <si>
    <t>Зарплата кладовщика</t>
  </si>
  <si>
    <t>Бойчук Ірина Валеріївна</t>
  </si>
  <si>
    <t>Зарплата производственного персонала</t>
  </si>
  <si>
    <t>Билім Максим Анатолійович</t>
  </si>
  <si>
    <t>Васильєв Віталій Юрійович</t>
  </si>
  <si>
    <t>Пономаренко Світлана Юріївна</t>
  </si>
  <si>
    <t xml:space="preserve">Строкач Андрій Вікторович </t>
  </si>
  <si>
    <t>Шомін Вадим Сергійович</t>
  </si>
  <si>
    <t>Зарплата управленческого персонала</t>
  </si>
  <si>
    <t>Антонов Ігор Сергійович</t>
  </si>
  <si>
    <t xml:space="preserve">Баєва Олена Миколаївна </t>
  </si>
  <si>
    <t>Бреус Віталій Григорович</t>
  </si>
  <si>
    <t>Бутенко Матвій Анатолійович</t>
  </si>
  <si>
    <t xml:space="preserve">Воронцова Ольга Марківна </t>
  </si>
  <si>
    <t>Парнєва Олена Вікторівна</t>
  </si>
  <si>
    <t>Пономаренко Олександр Вікторович</t>
  </si>
  <si>
    <t>Стецюк Тетяна Леонідівна</t>
  </si>
  <si>
    <t>Чуб Владислав Володимирович</t>
  </si>
  <si>
    <t xml:space="preserve">Шишкіна Людмила Григорівна </t>
  </si>
  <si>
    <t>Период отчета: 10.12.2025 - 10.01.2026</t>
  </si>
  <si>
    <t>Ісайкіна Тетяна Іванівна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</si>
</sst>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2" fillId="0" borderId="0" xfId="1" applyNumberFormat="1" applyFont="1" applyAlignment="1">
      <alignment vertical="top"/>
    </xf>
    <xf numFmtId="0" fontId="2" fillId="0" borderId="0" xfId="1" applyNumberFormat="1" applyFont="1" applyAlignment="1">
      <alignment vertical="top" wrapText="1"/>
    </xf>
    <xf numFmtId="0" fontId="2" fillId="0" borderId="1" xfId="1" applyNumberFormat="1" applyFont="1" applyBorder="1" applyAlignment="1">
      <alignment vertical="top" wrapText="1"/>
    </xf>
    <xf numFmtId="0" fontId="3" fillId="0" borderId="1" xfId="1" applyNumberFormat="1" applyFont="1" applyBorder="1" applyAlignment="1">
      <alignment vertical="top" wrapText="1"/>
    </xf>
    <xf numFmtId="4" fontId="3" fillId="0" borderId="1" xfId="1" applyNumberFormat="1" applyFont="1" applyBorder="1" applyAlignment="1">
      <alignment horizontal="right" vertical="top"/>
    </xf>
    <xf numFmtId="0" fontId="3" fillId="0" borderId="1" xfId="1" applyNumberFormat="1" applyFont="1" applyBorder="1" applyAlignment="1">
      <alignment vertical="top" wrapText="1" indent="2"/>
    </xf>
    <xf numFmtId="0" fontId="3" fillId="0" borderId="1" xfId="1" applyNumberFormat="1" applyFont="1" applyBorder="1" applyAlignment="1">
      <alignment vertical="top" wrapText="1" indent="4"/>
    </xf>
    <xf numFmtId="0" fontId="2" fillId="0" borderId="1" xfId="1" applyNumberFormat="1" applyFont="1" applyBorder="1" applyAlignment="1">
      <alignment vertical="top"/>
    </xf>
    <xf numFmtId="4" fontId="2" fillId="0" borderId="1" xfId="1" applyNumberFormat="1" applyFont="1" applyBorder="1" applyAlignment="1">
      <alignment horizontal="right" vertical="top"/>
    </xf>
    <xf numFmtId="0" fontId="1" fillId="0" borderId="0" xfId="1" applyAlignment="1">
      <alignment wrapText="1"/>
    </xf>
    <xf numFmtId="4" fontId="3" fillId="0" borderId="1" xfId="1" applyNumberFormat="1" applyFont="1" applyBorder="1" applyAlignment="1">
      <alignment horizontal="right" vertical="top" wrapText="1"/>
    </xf>
    <xf numFmtId="3" fontId="0" fillId="2" borderId="0" xfId="0" applyNumberFormat="1" applyFill="1"/>
    <xf numFmtId="0" fontId="2" fillId="0" borderId="2" xfId="1" applyNumberFormat="1" applyFont="1" applyBorder="1" applyAlignment="1">
      <alignment vertical="top" wrapText="1"/>
    </xf>
    <xf numFmtId="0" fontId="2" fillId="0" borderId="3" xfId="1" applyNumberFormat="1" applyFont="1" applyBorder="1" applyAlignment="1">
      <alignment vertical="top" wrapText="1"/>
    </xf>
    <xf numFmtId="0" fontId="2" fillId="0" borderId="4" xfId="1" applyNumberFormat="1" applyFont="1" applyBorder="1" applyAlignment="1">
      <alignment vertical="top" wrapText="1"/>
    </xf>
    <xf numFmtId="0" fontId="3" fillId="0" borderId="1" xfId="1" applyNumberFormat="1" applyFont="1" applyFill="1" applyBorder="1" applyAlignment="1">
      <alignment vertical="top" wrapText="1" indent="4"/>
    </xf>
    <xf numFmtId="0" fontId="3" fillId="0" borderId="1" xfId="1" applyNumberFormat="1" applyFont="1" applyFill="1" applyBorder="1" applyAlignment="1">
      <alignment vertical="top" wrapText="1" indent="2"/>
    </xf>
    <xf numFmtId="4" fontId="3" fillId="0" borderId="1" xfId="1" applyNumberFormat="1" applyFont="1" applyFill="1" applyBorder="1" applyAlignment="1">
      <alignment horizontal="right" vertical="top"/>
    </xf>
    <xf numFmtId="0" fontId="3" fillId="2" borderId="1" xfId="1" applyNumberFormat="1" applyFont="1" applyFill="1" applyBorder="1" applyAlignment="1">
      <alignment vertical="top" wrapText="1" indent="4"/>
    </xf>
    <xf numFmtId="4" fontId="3" fillId="2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Sheet1" xfId="1" xr:uid="{95826BDE-453B-43FF-ADD5-5940A4C71A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"/>
  <sheetViews>
    <sheetView tabSelected="1" topLeftCell="A7" workbookViewId="0">
      <selection activeCell="B16" activeCellId="1" sqref="A20:B20 A16:B16"/>
    </sheetView>
  </sheetViews>
  <sheetFormatPr defaultRowHeight="13.8" customHeight="1" x14ac:dyDescent="0.3"/>
  <cols>
    <col min="1" max="1" width="49.109375" customWidth="1"/>
    <col min="2" max="2" width="12.5546875" customWidth="1"/>
    <col min="4" max="4" width="8.88671875" style="13"/>
    <col min="6" max="6" width="37.109375" customWidth="1"/>
    <col min="7" max="7" width="10.6640625" customWidth="1"/>
  </cols>
  <sheetData>
    <row r="1" spans="1:7" ht="13.8" customHeight="1" x14ac:dyDescent="0.3">
      <c r="A1" s="1"/>
      <c r="B1" s="1"/>
      <c r="F1" s="11"/>
      <c r="G1" s="11"/>
    </row>
    <row r="2" spans="1:7" ht="13.8" customHeight="1" x14ac:dyDescent="0.3">
      <c r="A2" s="2" t="s">
        <v>0</v>
      </c>
      <c r="B2" s="2" t="s">
        <v>1</v>
      </c>
      <c r="F2" s="3" t="s">
        <v>0</v>
      </c>
      <c r="G2" s="3" t="s">
        <v>32</v>
      </c>
    </row>
    <row r="3" spans="1:7" ht="13.8" customHeight="1" x14ac:dyDescent="0.3">
      <c r="A3" s="2" t="s">
        <v>2</v>
      </c>
      <c r="B3" s="3" t="s">
        <v>3</v>
      </c>
      <c r="F3" s="3" t="s">
        <v>2</v>
      </c>
      <c r="G3" s="3" t="s">
        <v>3</v>
      </c>
    </row>
    <row r="4" spans="1:7" ht="13.8" customHeight="1" x14ac:dyDescent="0.3">
      <c r="A4" s="1"/>
      <c r="B4" s="1"/>
      <c r="F4" s="11"/>
      <c r="G4" s="11"/>
    </row>
    <row r="5" spans="1:7" ht="13.8" customHeight="1" x14ac:dyDescent="0.3">
      <c r="A5" s="4" t="s">
        <v>4</v>
      </c>
      <c r="B5" s="14" t="s">
        <v>5</v>
      </c>
      <c r="F5" s="4" t="s">
        <v>4</v>
      </c>
      <c r="G5" s="14" t="s">
        <v>5</v>
      </c>
    </row>
    <row r="6" spans="1:7" ht="13.8" customHeight="1" x14ac:dyDescent="0.3">
      <c r="A6" s="4" t="s">
        <v>6</v>
      </c>
      <c r="B6" s="15"/>
      <c r="F6" s="4" t="s">
        <v>6</v>
      </c>
      <c r="G6" s="15"/>
    </row>
    <row r="7" spans="1:7" ht="13.8" customHeight="1" x14ac:dyDescent="0.3">
      <c r="A7" s="4" t="s">
        <v>7</v>
      </c>
      <c r="B7" s="16"/>
      <c r="F7" s="4" t="s">
        <v>7</v>
      </c>
      <c r="G7" s="16"/>
    </row>
    <row r="8" spans="1:7" ht="13.8" customHeight="1" x14ac:dyDescent="0.3">
      <c r="A8" s="5" t="s">
        <v>8</v>
      </c>
      <c r="B8" s="6"/>
      <c r="F8" s="5" t="s">
        <v>8</v>
      </c>
      <c r="G8" s="6"/>
    </row>
    <row r="9" spans="1:7" ht="13.8" customHeight="1" x14ac:dyDescent="0.3">
      <c r="A9" s="7" t="s">
        <v>9</v>
      </c>
      <c r="B9" s="6"/>
      <c r="F9" s="7" t="s">
        <v>9</v>
      </c>
      <c r="G9" s="6"/>
    </row>
    <row r="10" spans="1:7" ht="13.8" customHeight="1" x14ac:dyDescent="0.3">
      <c r="A10" s="8" t="s">
        <v>10</v>
      </c>
      <c r="B10" s="6">
        <v>9394</v>
      </c>
      <c r="D10" s="13">
        <f>B10+G10</f>
        <v>34994</v>
      </c>
      <c r="F10" s="8" t="s">
        <v>10</v>
      </c>
      <c r="G10" s="6">
        <v>25600</v>
      </c>
    </row>
    <row r="11" spans="1:7" ht="13.8" customHeight="1" x14ac:dyDescent="0.3">
      <c r="A11" s="8" t="s">
        <v>11</v>
      </c>
      <c r="B11" s="6">
        <v>20330.240000000002</v>
      </c>
      <c r="D11" s="13">
        <f t="shared" ref="D11:D12" si="0">B11+G11</f>
        <v>35430.240000000005</v>
      </c>
      <c r="F11" s="8" t="s">
        <v>11</v>
      </c>
      <c r="G11" s="6">
        <v>15100</v>
      </c>
    </row>
    <row r="12" spans="1:7" ht="13.8" customHeight="1" x14ac:dyDescent="0.3">
      <c r="A12" s="8" t="s">
        <v>12</v>
      </c>
      <c r="B12" s="6">
        <v>20347.25</v>
      </c>
      <c r="D12" s="13">
        <f t="shared" si="0"/>
        <v>48647.25</v>
      </c>
      <c r="F12" s="8" t="s">
        <v>12</v>
      </c>
      <c r="G12" s="6">
        <v>28300</v>
      </c>
    </row>
    <row r="13" spans="1:7" ht="13.8" customHeight="1" x14ac:dyDescent="0.3">
      <c r="A13" s="7" t="s">
        <v>13</v>
      </c>
      <c r="B13" s="6"/>
      <c r="F13" s="7" t="s">
        <v>13</v>
      </c>
      <c r="G13" s="6"/>
    </row>
    <row r="14" spans="1:7" ht="13.8" customHeight="1" x14ac:dyDescent="0.3">
      <c r="A14" s="8" t="s">
        <v>14</v>
      </c>
      <c r="B14" s="6">
        <v>8470</v>
      </c>
      <c r="D14" s="13">
        <f>B14+G14</f>
        <v>29970</v>
      </c>
      <c r="F14" s="8" t="s">
        <v>14</v>
      </c>
      <c r="G14" s="6">
        <v>21500</v>
      </c>
    </row>
    <row r="15" spans="1:7" ht="13.8" customHeight="1" x14ac:dyDescent="0.3">
      <c r="A15" s="18" t="s">
        <v>15</v>
      </c>
      <c r="B15" s="6"/>
      <c r="F15" s="7" t="s">
        <v>15</v>
      </c>
      <c r="G15" s="6"/>
    </row>
    <row r="16" spans="1:7" ht="13.8" customHeight="1" x14ac:dyDescent="0.3">
      <c r="A16" s="20" t="s">
        <v>16</v>
      </c>
      <c r="B16" s="21">
        <v>2887.5</v>
      </c>
      <c r="F16" s="8" t="s">
        <v>17</v>
      </c>
      <c r="G16" s="6">
        <v>31000</v>
      </c>
    </row>
    <row r="17" spans="1:7" ht="13.8" customHeight="1" x14ac:dyDescent="0.3">
      <c r="A17" s="17" t="s">
        <v>17</v>
      </c>
      <c r="B17" s="6">
        <v>7854</v>
      </c>
      <c r="D17" s="13">
        <f>B17+G16</f>
        <v>38854</v>
      </c>
      <c r="F17" s="8" t="s">
        <v>33</v>
      </c>
      <c r="G17" s="6">
        <v>38400</v>
      </c>
    </row>
    <row r="18" spans="1:7" ht="13.8" customHeight="1" x14ac:dyDescent="0.3">
      <c r="A18" s="17" t="s">
        <v>33</v>
      </c>
      <c r="B18" s="6"/>
      <c r="D18" s="13">
        <f>G17</f>
        <v>38400</v>
      </c>
      <c r="F18" s="8" t="s">
        <v>18</v>
      </c>
      <c r="G18" s="6">
        <v>18100</v>
      </c>
    </row>
    <row r="19" spans="1:7" ht="13.8" customHeight="1" x14ac:dyDescent="0.3">
      <c r="A19" s="17" t="s">
        <v>18</v>
      </c>
      <c r="B19" s="6">
        <v>7943.25</v>
      </c>
      <c r="D19" s="13">
        <f>B19+G18</f>
        <v>26043.25</v>
      </c>
      <c r="F19" s="7" t="s">
        <v>21</v>
      </c>
      <c r="G19" s="6"/>
    </row>
    <row r="20" spans="1:7" ht="13.8" customHeight="1" x14ac:dyDescent="0.3">
      <c r="A20" s="20" t="s">
        <v>19</v>
      </c>
      <c r="B20" s="21">
        <v>15785</v>
      </c>
      <c r="F20" s="8" t="s">
        <v>22</v>
      </c>
      <c r="G20" s="6">
        <v>21500</v>
      </c>
    </row>
    <row r="21" spans="1:7" ht="13.8" customHeight="1" x14ac:dyDescent="0.3">
      <c r="A21" s="17" t="s">
        <v>20</v>
      </c>
      <c r="B21" s="6">
        <v>1812.44</v>
      </c>
      <c r="F21" s="8" t="s">
        <v>23</v>
      </c>
      <c r="G21" s="6">
        <v>13550</v>
      </c>
    </row>
    <row r="22" spans="1:7" ht="13.8" customHeight="1" x14ac:dyDescent="0.3">
      <c r="A22" s="7" t="s">
        <v>21</v>
      </c>
      <c r="B22" s="19"/>
      <c r="F22" s="8" t="s">
        <v>24</v>
      </c>
      <c r="G22" s="6">
        <v>21600</v>
      </c>
    </row>
    <row r="23" spans="1:7" ht="13.8" customHeight="1" x14ac:dyDescent="0.3">
      <c r="A23" s="8" t="s">
        <v>22</v>
      </c>
      <c r="B23" s="19">
        <v>18480</v>
      </c>
      <c r="D23" s="13">
        <f>B23+G20</f>
        <v>39980</v>
      </c>
      <c r="F23" s="8" t="s">
        <v>25</v>
      </c>
      <c r="G23" s="6">
        <v>16500</v>
      </c>
    </row>
    <row r="24" spans="1:7" ht="13.8" customHeight="1" x14ac:dyDescent="0.3">
      <c r="A24" s="8" t="s">
        <v>23</v>
      </c>
      <c r="B24" s="19">
        <v>8991.75</v>
      </c>
      <c r="D24" s="13">
        <f>B24+G21</f>
        <v>22541.75</v>
      </c>
      <c r="F24" s="8" t="s">
        <v>28</v>
      </c>
      <c r="G24" s="6">
        <v>28800</v>
      </c>
    </row>
    <row r="25" spans="1:7" ht="13.8" customHeight="1" x14ac:dyDescent="0.3">
      <c r="A25" s="8" t="s">
        <v>24</v>
      </c>
      <c r="B25" s="19">
        <v>18480</v>
      </c>
      <c r="D25" s="13">
        <f>B25+G22</f>
        <v>40080</v>
      </c>
      <c r="F25" s="8" t="s">
        <v>29</v>
      </c>
      <c r="G25" s="6">
        <v>19700</v>
      </c>
    </row>
    <row r="26" spans="1:7" ht="13.8" customHeight="1" x14ac:dyDescent="0.3">
      <c r="A26" s="8" t="s">
        <v>25</v>
      </c>
      <c r="B26" s="19">
        <v>18480</v>
      </c>
      <c r="D26" s="13">
        <f>B26+G23</f>
        <v>34980</v>
      </c>
      <c r="F26" s="8" t="s">
        <v>31</v>
      </c>
      <c r="G26" s="6">
        <v>11750</v>
      </c>
    </row>
    <row r="27" spans="1:7" ht="13.8" customHeight="1" x14ac:dyDescent="0.3">
      <c r="A27" s="8" t="s">
        <v>26</v>
      </c>
      <c r="B27" s="19">
        <v>1674.75</v>
      </c>
      <c r="D27" s="13">
        <f>B27</f>
        <v>1674.75</v>
      </c>
      <c r="F27" s="9"/>
      <c r="G27" s="10"/>
    </row>
    <row r="28" spans="1:7" ht="13.8" customHeight="1" x14ac:dyDescent="0.3">
      <c r="A28" s="8" t="s">
        <v>27</v>
      </c>
      <c r="B28" s="19">
        <v>1674.75</v>
      </c>
      <c r="D28" s="13">
        <f>B28</f>
        <v>1674.75</v>
      </c>
      <c r="F28" s="8"/>
      <c r="G28" s="12"/>
    </row>
    <row r="29" spans="1:7" ht="13.8" customHeight="1" x14ac:dyDescent="0.3">
      <c r="A29" s="8" t="s">
        <v>28</v>
      </c>
      <c r="B29" s="19">
        <v>21117.25</v>
      </c>
      <c r="D29" s="13">
        <f>B29+G24</f>
        <v>49917.25</v>
      </c>
      <c r="F29" s="8"/>
      <c r="G29" s="12"/>
    </row>
    <row r="30" spans="1:7" ht="13.8" customHeight="1" x14ac:dyDescent="0.3">
      <c r="A30" s="8" t="s">
        <v>29</v>
      </c>
      <c r="B30" s="19">
        <v>10317.14</v>
      </c>
      <c r="D30" s="13">
        <f>B30+G25</f>
        <v>30017.14</v>
      </c>
      <c r="F30" s="8"/>
      <c r="G30" s="12"/>
    </row>
    <row r="31" spans="1:7" ht="13.8" customHeight="1" x14ac:dyDescent="0.3">
      <c r="A31" s="8" t="s">
        <v>30</v>
      </c>
      <c r="B31" s="19">
        <v>3191.2</v>
      </c>
      <c r="D31" s="13">
        <f>B31</f>
        <v>3191.2</v>
      </c>
      <c r="F31" s="8"/>
      <c r="G31" s="12"/>
    </row>
    <row r="32" spans="1:7" ht="13.8" customHeight="1" x14ac:dyDescent="0.3">
      <c r="A32" s="8" t="s">
        <v>31</v>
      </c>
      <c r="B32" s="19">
        <v>6740.84</v>
      </c>
      <c r="D32" s="13">
        <f>B32+G26</f>
        <v>18490.84</v>
      </c>
      <c r="F32" s="8"/>
      <c r="G32" s="12"/>
    </row>
  </sheetData>
  <mergeCells count="2">
    <mergeCell ref="B5:B7"/>
    <mergeCell ref="G5:G7"/>
  </mergeCells>
  <pageMargins left="0.70866141732283472" right="0.70866141732283472" top="0.74803149606299213" bottom="0.74803149606299213" header="0.31496062992125984" footer="0.31496062992125984"/>
  <pageSetup paperSize="9" scale="3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I.antonov</dc:creator>
  <cp:lastModifiedBy>I.antonov</cp:lastModifiedBy>
  <cp:lastPrinted>2026-01-15T08:25:33Z</cp:lastPrinted>
  <dcterms:created xsi:type="dcterms:W3CDTF">2015-06-05T18:17:20Z</dcterms:created>
  <dcterms:modified xsi:type="dcterms:W3CDTF">2026-01-22T07:17:01Z</dcterms:modified>
</cp:coreProperties>
</file>
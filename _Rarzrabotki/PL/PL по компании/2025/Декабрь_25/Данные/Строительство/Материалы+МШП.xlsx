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Декабрь_25\Данные\Строительство\"/>
    </mc:Choice>
  </mc:AlternateContent>
  <xr:revisionPtr revIDLastSave="0" documentId="13_ncr:1_{2565BD07-F69F-49BE-B573-E117F477C1D4}" xr6:coauthVersionLast="45" xr6:coauthVersionMax="45" xr10:uidLastSave="{00000000-0000-0000-0000-000000000000}"/>
  <bookViews>
    <workbookView xWindow="-108" yWindow="-108" windowWidth="23256" windowHeight="12600" firstSheet="4" activeTab="8" xr2:uid="{00000000-000D-0000-FFFF-FFFF00000000}"/>
  </bookViews>
  <sheets>
    <sheet name="Глобино-2_МШП" sheetId="1" r:id="rId1"/>
    <sheet name="Глобино-2_Материал" sheetId="6" r:id="rId2"/>
    <sheet name="Цех_Глобино Виробничий_2051" sheetId="4" r:id="rId3"/>
    <sheet name="Цех екстракції (Глобине)_2051" sheetId="5" r:id="rId4"/>
    <sheet name="Тищенки_МШП" sheetId="2" r:id="rId5"/>
    <sheet name="Тищенки_Материал" sheetId="7" r:id="rId6"/>
    <sheet name="КМД-2_МШП" sheetId="3" r:id="rId7"/>
    <sheet name="КМД-2_Материал" sheetId="8" r:id="rId8"/>
    <sheet name="МХП_Материал" sheetId="9" r:id="rId9"/>
  </sheets>
  <definedNames>
    <definedName name="_xlnm._FilterDatabase" localSheetId="1" hidden="1">'Глобино-2_Материал'!$B$1:$D$1313</definedName>
    <definedName name="_xlnm._FilterDatabase" localSheetId="0" hidden="1">'Глобино-2_МШП'!$B$1:$D$292</definedName>
    <definedName name="_xlnm._FilterDatabase" localSheetId="7" hidden="1">'КМД-2_Материал'!$B$1:$D$30</definedName>
    <definedName name="_xlnm._FilterDatabase" localSheetId="6" hidden="1">'КМД-2_МШП'!$B$1:$D$159</definedName>
    <definedName name="_xlnm._FilterDatabase" localSheetId="8" hidden="1">МХП_Материал!$B$1:$D$40</definedName>
    <definedName name="_xlnm._FilterDatabase" localSheetId="5" hidden="1">Тищенки_Материал!$B$1:$D$412</definedName>
    <definedName name="_xlnm._FilterDatabase" localSheetId="4" hidden="1">Тищенки_МШП!$B$1:$D$193</definedName>
    <definedName name="_xlnm._FilterDatabase" localSheetId="3" hidden="1">'Цех екстракції (Глобине)_2051'!$B$1:$D$42</definedName>
    <definedName name="_xlnm._FilterDatabase" localSheetId="2" hidden="1">'Цех_Глобино Виробничий_2051'!$B$1:$D$68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4" i="9" l="1"/>
  <c r="J42" i="9"/>
  <c r="J34" i="8"/>
  <c r="J32" i="8"/>
  <c r="J416" i="7"/>
  <c r="J414" i="7"/>
  <c r="J1317" i="6"/>
  <c r="J1315" i="6"/>
  <c r="J46" i="5"/>
  <c r="J44" i="5"/>
  <c r="J72" i="4"/>
  <c r="J70" i="4"/>
  <c r="J163" i="3"/>
  <c r="J161" i="3"/>
  <c r="J197" i="2"/>
  <c r="J195" i="2"/>
  <c r="J296" i="1"/>
  <c r="J294" i="1"/>
</calcChain>
</file>

<file path=xl/sharedStrings.xml><?xml version="1.0" encoding="utf-8"?>
<sst xmlns="http://schemas.openxmlformats.org/spreadsheetml/2006/main" count="20260" uniqueCount="2403">
  <si>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</si>
  <si>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</si>
  <si>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</si>
  <si>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</si>
  <si>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</si>
  <si>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</si>
  <si>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</si>
  <si>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</si>
  <si>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</si>
  <si>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01.12.2025</t>
  </si>
  <si>
    <t>Надходження товарів і послуг ІБ00-007466 від 01.12.2025 11:00:00
Оприходованы ТМЦ (Зачет аванса поставщику)</t>
  </si>
  <si>
    <t>Обл. НДС
Фарборозпилювач НР⌀1,5 в/бпласт., 600 мл
Надходження товарів і послуг ІБ00-007466 від 01.12.2025 11:00:00
Глобине-2</t>
  </si>
  <si>
    <t>Адаменко Юрій Андрійович ФОП
РАХУНКИ_Глобине-2
Рахунок на оплату постачальника ІБ00-004930 від 01.10.2025 19:00:45</t>
  </si>
  <si>
    <t>221</t>
  </si>
  <si>
    <t>631</t>
  </si>
  <si>
    <t xml:space="preserve"> </t>
  </si>
  <si>
    <t>Надходження товарів і послуг ІБ00-007686 від 01.12.2025 11:00:00
Оприходованы ТМЦ (Зачет аванса поставщику)</t>
  </si>
  <si>
    <t>Обл. НДС
Паста д/зварювання проти налипання бризг 280г
Надходження товарів і послуг ІБ00-007686 від 01.12.2025 11:00:00
АПК (Глобине)</t>
  </si>
  <si>
    <t>КВлед" ТОВ
Рахунки - Глобино-2
Рахунок на оплату постачальника ІБ00-005760 від 18.11.2025 18:46:49</t>
  </si>
  <si>
    <t>03.12.2025</t>
  </si>
  <si>
    <t>Надходження товарів і послуг ІБ00-007615 від 03.12.2025 11:00:00
Оприходованы ТМЦ</t>
  </si>
  <si>
    <t>Обл. НДС
Взуття чоловіче SEVEN SAFETY 111/02" S1  р.43
Надходження товарів і послуг ІБ00-007615 від 03.12.2025 11:00:00
Глобине-2</t>
  </si>
  <si>
    <t>БРАВО-СП ТОВ
РАХУНКИ_Глобине-2
Рахунок на оплату постачальника ІБ00-005948 від 03.12.2025 18:16:06</t>
  </si>
  <si>
    <t>Обл. НДС
Взуття чоловіче SEVEN SAFETY 111/02" S1  р.44
Надходження товарів і послуг ІБ00-007615 від 03.12.2025 11:00:00
Глобине-2</t>
  </si>
  <si>
    <t>Обл. НДС
Костюм зварювальника брезент. ОП з посиленнями р.104-108/182-188
Надходження товарів і послуг ІБ00-007615 від 03.12.2025 11:00:00
Глобине-2</t>
  </si>
  <si>
    <t>04.12.2025</t>
  </si>
  <si>
    <t>Надходження товарів і послуг ІБ00-007613 від 04.12.2025 11:00:00
Оприходованы ТМЦ</t>
  </si>
  <si>
    <t>Обл. НДС
Жилет сигнальний 
Надходження товарів і послуг ІБ00-007613 від 04.12.2025 11:00:00
Глобине-2</t>
  </si>
  <si>
    <t>БРАВО-СП ТОВ
РАХУНКИ_Глобине-2
Рахунок на оплату постачальника ІБ00-005976 від 03.12.2025 18:16:07</t>
  </si>
  <si>
    <t>Обл. НДС
Каска захисна "Універсал" помаранчева
Надходження товарів і послуг ІБ00-007613 від 04.12.2025 11:00:00
Глобине-2</t>
  </si>
  <si>
    <t>05.12.2025</t>
  </si>
  <si>
    <t>Надходження товарів і послуг ІБ00-007621 від 05.12.2025 11:00:00
Оприходованы ТМЦ</t>
  </si>
  <si>
    <t>Обл. НДС
Тримач електродів DE-2400  400А
Надходження товарів і послуг ІБ00-007621 від 05.12.2025 11:00:00
Глобине-2</t>
  </si>
  <si>
    <t>УКРСЕРВІС КОМПАНІЯ ТОВ
№15/07/25 від 15.07.2025_Глобино-2
Рахунок на оплату постачальника ІБ00-006229 від 05.12.2025 17:13:28</t>
  </si>
  <si>
    <t>12.12.2025</t>
  </si>
  <si>
    <t>Надходження товарів і послуг ІБ00-007673 від 12.12.2025 11:00:00
Оприходованы ТМЦ (Зачет аванса поставщику)</t>
  </si>
  <si>
    <t>Обл. НДС
Якір
Надходження товарів і послуг ІБ00-007673 від 12.12.2025 11:00:00
Глобине-2</t>
  </si>
  <si>
    <t>ЕПОС ТОВ
Рахунки_Глобино-2
Рахунок на оплату постачальника ІБ00-005762 від 27.11.2025 18:01:14</t>
  </si>
  <si>
    <t>Обл. НДС
Колесо зубчате
Надходження товарів і послуг ІБ00-007673 від 12.12.2025 11:00:00
Глобине-2</t>
  </si>
  <si>
    <t>Передача малоцінних активів в експлуатацію ІБ00-000638 від 12.12.2025 15:10:39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</si>
  <si>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</si>
  <si>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Обл. НДС
Рукавички трикотажні 
Переміщення товарів ІБ00-001169 від 09.10.2025 11:10:00
Транспортна галерея Естакада 3.3 (Глобине)</t>
  </si>
  <si>
    <t>231</t>
  </si>
  <si>
    <t>Обл. НДС
Ручка для валика 25 см
Переміщення товарів ІБ00-001169 від 09.10.2025 11:10:00
Транспортна галерея Естакада 3.3 (Глобине)</t>
  </si>
  <si>
    <t>Обл. НДС
Пензель флейцевий
Переміщення товарів ІБ00-001169 від 09.10.2025 11:10:00
Транспортна галерея Естакада 3.3 (Глобине)</t>
  </si>
  <si>
    <t>Передача малоцінних активів в експлуатацію ІБ00-000630 від 12.12.2025 23:00:09
Списание стоимости малоценных активов</t>
  </si>
  <si>
    <t>Обл. НДС
Лопата совкова 
Надходження товарів і послуг ІБ00-006807 від 11.11.2025 11:00:00
Глобине-2</t>
  </si>
  <si>
    <t>Обл. НДС
Виробничий (Астарта_Тищенки)
Астарта_Тищенки
&lt;...&gt;</t>
  </si>
  <si>
    <t>Обл. НДС
Лопата штикова
Надходження товарів і послуг ІБ00-006807 від 11.11.2025 11:00:00
Глобине-2</t>
  </si>
  <si>
    <t>Передача малоцінних активів в експлуатацію ІБ00-000632 від 12.12.2025 23:00:13
Списание стоимости малоценных активов</t>
  </si>
  <si>
    <t>Обл. НДС
Затискач маси прищіпка МК-400 А
Переміщення товарів ІБ00-001116 від 10.10.2025 19:00:01
Транспортна галерея Естакада 3.5 (Глобине)</t>
  </si>
  <si>
    <t>Обл. НДС
Комбінезон
Переміщення товарів ІБ00-001055 від 30.09.2025 11:10:00
Транспортна галерея Естакада 3.5 (Глобине)</t>
  </si>
  <si>
    <t>Передача малоцінних активів в експлуатацію ІБ00-000633 від 12.12.2025 23:00:15
Списание стоимости малоценных активов</t>
  </si>
  <si>
    <t>Обл. НДС
Взуття чоловіче SEVEN SAFETY S1FUR"  р.42
Надходження товарів і послуг ІБ00-006717 від 12.11.2025 11:00:00
Глобине-2</t>
  </si>
  <si>
    <t>Обл. НДС
Взуття чоловіче SEVEN SAFETY S1FUR"  р.43
Надходження товарів і послуг ІБ00-006714 від 11.11.2025 11:00:00
Глобине-2</t>
  </si>
  <si>
    <t>Обл. НДС
Взуття чоловіче SEVEN SAFETY S1FUR"  р.43
Надходження товарів і послуг ІБ00-006717 від 12.11.2025 11:00:00
Глобине-2</t>
  </si>
  <si>
    <t>Обл. НДС
Взуття чоловіче SEVEN SAFETY S1FUR"  р.44
Надходження товарів і послуг ІБ00-006714 від 11.11.2025 11:00:00
Глобине-2</t>
  </si>
  <si>
    <t>Обл. НДС
Взуття чоловіче SEVEN SAFETY S1FUR"  р.45
Надходження товарів і послуг ІБ00-006714 від 11.11.2025 11:00:00
Глобине-2</t>
  </si>
  <si>
    <t>Передача малоцінних активів в експлуатацію ІБ00-000634 від 12.12.2025 23:00:17
Списание стоимости малоценных активов</t>
  </si>
  <si>
    <t>Обл. НДС
Леза 25 мм 5шт
Надходження товарів і послуг ІБ00-006807 від 11.11.2025 11:00:00
Глобине-2</t>
  </si>
  <si>
    <t>Передача малоцінних активів в експлуатацію ІБ00-000635 від 12.12.2025 23:00:19
Списание стоимости малоценных активов</t>
  </si>
  <si>
    <t>Обл. НДС
Електроди "Моноліт РЦ" 4 мм 1кг ОЗЛ-6
Надходження товарів і послуг ІБ00-006701 від 01.11.2025 11:00:00
Глобине-2</t>
  </si>
  <si>
    <t>Передача малоцінних активів в експлуатацію ІБ00-000637 від 12.12.2025 23:00:21
Списание стоимости малоценных активов</t>
  </si>
  <si>
    <t>Обл. НДС
Каска будівельна помаранчева (Україна)
Надходження товарів і послуг ІБ00-006785 від 05.11.2025 11:00:00
Глобине-2</t>
  </si>
  <si>
    <t>Обл. НДС
Костюм зварювальника брезент. ОП з посиленнями р.104-108/182-188
Надходження товарів і послуг ІБ00-006717 від 12.11.2025 11:00:00
Глобине-2</t>
  </si>
  <si>
    <t>Обл. НДС
Круг відрізний 125*1,6*22
Надходження товарів і послуг ІБ00-006712 від 11.11.2025 11:00:00
Глобине-2</t>
  </si>
  <si>
    <t>Обл. НДС
Струбцина магніт д/зварки 22,5кг 102*150*17мм д=28мм
Надходження товарів і послуг ІБ00-006788 від 05.11.2025 11:00:00
Глобине-2</t>
  </si>
  <si>
    <t>Обл. НДС
Н/комбінезон  синій 104-108/182-188
Надходження товарів і послуг ІБ00-006714 від 11.11.2025 11:00:00
Глобине-2</t>
  </si>
  <si>
    <t>Обл. НДС
Кошма пожежна 2м*3 м (брезент вогнетривкий) двошар
Надходження товарів і послуг ІБ00-006370 від 01.10.2025 11:00:00
Глобине-2</t>
  </si>
  <si>
    <t>Передача малоцінних активів в експлуатацію ІБ00-000639 від 12.12.2025 23:00:24
Списание стоимости малоценных активов</t>
  </si>
  <si>
    <t>Обл. НДС
Подовжувач магніт для біт М10
Надходження товарів і послуг ІБ00-004365 від 06.08.2025 11:00:00
СПК (Глобине)</t>
  </si>
  <si>
    <t>Обл. НДС
Пояс запобіжний безлямковий 2ПБ-М (ПБ1-М із стропом-стрічковим К20)
Надходження товарів і послуг ІБ00-006229 від 15.10.2025 11:00:00
СПК (Глобине)</t>
  </si>
  <si>
    <t>Обл. НДС
Провід ПВС 3*2,5 (м)
Надходження товарів і послуг ІБ00-004144 від 23.07.2025 11:00:00
СПК (Глобине)</t>
  </si>
  <si>
    <t>Передача малоцінних активів в експлуатацію ІБ00-000640 від 12.12.2025 23:00:25
Списание стоимости малоценных активов</t>
  </si>
  <si>
    <t>16.12.2025</t>
  </si>
  <si>
    <t>Надходження товарів і послуг ІБ00-007652 від 16.12.2025 11:00:00
Оприходованы ТМЦ</t>
  </si>
  <si>
    <t>Обл. НДС
Костюм зварювальника брезент. ОП з посиленнями р.104-108/182-188
Надходження товарів і послуг ІБ00-007652 від 16.12.2025 11:00:00
Глобине-2</t>
  </si>
  <si>
    <t>БРАВО-СП ТОВ
РАХУНКИ_Глобине-2
Рахунок на оплату постачальника ІБ00-006251 від 16.12.2025 18:29:25</t>
  </si>
  <si>
    <t>Обл. НДС
Костюм зварювальника брезент. ОП з посиленнями р.104-108/170-176
Надходження товарів і послуг ІБ00-007652 від 16.12.2025 11:00:00
Глобине-2</t>
  </si>
  <si>
    <t>Обл. НДС
Взуття чоловіче SEVEN SAFETY S1FUR"  р.42
Надходження товарів і послуг ІБ00-007652 від 16.12.2025 11:00:00
Глобине-2</t>
  </si>
  <si>
    <t>Обл. НДС
Взуття чоловіче SEVEN SAFETY S1FUR"  р.43
Надходження товарів і послуг ІБ00-007652 від 16.12.2025 11:00:00
Глобине-2</t>
  </si>
  <si>
    <t>Надходження товарів і послуг ІБ00-007727 від 16.12.2025 11:00:00
Оприходованы ТМЦ</t>
  </si>
  <si>
    <t>Обл. НДС
Електрод  УОНІ13/55 д. 4 (5 кг)
Надходження товарів і послуг ІБ00-007727 від 16.12.2025 11:00:00
Глобине-2</t>
  </si>
  <si>
    <t>Дяденко Владислав Миколайович ФОП
Рахунки_Глобино-2
Рахунок на оплату постачальника ІБ00-006339 від 15.12.2025 17:58:07</t>
  </si>
  <si>
    <t>Обл. НДС
Свердло по металу 14,0*108*160мм
Надходження товарів і послуг ІБ00-007727 від 16.12.2025 11:00:00
Глобине-2</t>
  </si>
  <si>
    <t>Надходження товарів і послуг ІБ00-007728 від 16.12.2025 11:00:00
Оприходованы ТМЦ</t>
  </si>
  <si>
    <t>Обл. НДС
Електрод  УОНІ13/55 д. 4 (5 кг)
Надходження товарів і послуг ІБ00-007728 від 16.12.2025 11:00:00
Глобине-2</t>
  </si>
  <si>
    <t>Дяденко Владислав Миколайович ФОП
Рахунки_Глобино-2
Рахунок на оплату постачальника ІБ00-006340 від 15.12.2025 17:58:08</t>
  </si>
  <si>
    <t>Обл. НДС
Електрод  УОНІ13/55, 5 мм  5 кг (кг)
Надходження товарів і послуг ІБ00-007728 від 16.12.2025 11:00:00
Глобине-2</t>
  </si>
  <si>
    <t>17.12.2025</t>
  </si>
  <si>
    <t>Переміщення товарів ІБ00-001591 від 17.12.2025 12:13:48
Перемещение ТМЦ</t>
  </si>
  <si>
    <t>Обл. НДС
Вогнегасник ОП-5 (ВП-5)
Переміщення товарів ІБ00-001591 від 17.12.2025 12:13:48
Глобине-2</t>
  </si>
  <si>
    <t>Обл. НДС
Вогнегасник ОП-5 (ВП-5)
Надходження товарів і послуг ІБ00-006697 від 01.11.2025 11:00:00
КМД-2</t>
  </si>
  <si>
    <t>Обл. НДС
Каска будівельна помаранчева (Україна)
Переміщення товарів ІБ00-001591 від 17.12.2025 12:13:48
Глобине-2</t>
  </si>
  <si>
    <t>Обл. НДС
Каска будівельна помаранчева (Україна)
Надходження товарів і послуг ІБ00-006694 від 01.11.2025 12:00:02
КМД-2</t>
  </si>
  <si>
    <t>Обл. НДС
Каска захисна "Універсал" біла
Переміщення товарів ІБ00-001591 від 17.12.2025 12:13:48
Глобине-2</t>
  </si>
  <si>
    <t>Обл. НДС
Каска захисна "Універсал" біла
Надходження товарів і послуг ІБ00-006694 від 01.11.2025 12:00:02
КМД-2</t>
  </si>
  <si>
    <t>Обл. НДС
Ящик для інструментів М100
Переміщення товарів ІБ00-001591 від 17.12.2025 12:13:48
Глобине-2</t>
  </si>
  <si>
    <t>Обл. НДС
Ящик для інструментів М100
Надходження товарів і послуг ІБ00-005641 від 26.09.2025 11:00:00
КМД-2</t>
  </si>
  <si>
    <t>18.12.2025</t>
  </si>
  <si>
    <t>Надходження товарів і послуг ІБ00-007653 від 18.12.2025 11:00:00
Оприходованы ТМЦ</t>
  </si>
  <si>
    <t>Обл. НДС
Взуття чоловіче SEVEN SAFETY S1FUR"  р.40
Надходження товарів і послуг ІБ00-007653 від 18.12.2025 11:00:00
Глобине-2</t>
  </si>
  <si>
    <t>БРАВО-СП ТОВ
РАХУНКИ_Глобине-2
Рахунок на оплату постачальника ІБ00-006252 від 17.12.2025 18:18:55</t>
  </si>
  <si>
    <t>Обл. НДС
Взуття чоловіче SEVEN SAFETY S1FUR"  р.41
Надходження товарів і послуг ІБ00-007653 від 18.12.2025 11:00:00
Глобине-2</t>
  </si>
  <si>
    <t>Обл. НДС
Взуття чоловіче SEVEN SAFETY S1FUR"  р.42
Надходження товарів і послуг ІБ00-007653 від 18.12.2025 11:00:00
Глобине-2</t>
  </si>
  <si>
    <t>Обл. НДС
Взуття чоловіче SEVEN SAFETY S1FUR"  р.43
Надходження товарів і послуг ІБ00-007653 від 18.12.2025 11:00:00
Глобине-2</t>
  </si>
  <si>
    <t>Обл. НДС
Взуття чоловіче SEVEN SAFETY S1FUR"  р.44
Надходження товарів і послуг ІБ00-007653 від 18.12.2025 11:00:00
Глобине-2</t>
  </si>
  <si>
    <t>Обл. НДС
Взуття чоловіче SEVEN SAFETY S1FUR"  р.45
Надходження товарів і послуг ІБ00-007653 від 18.12.2025 11:00:00
Глобине-2</t>
  </si>
  <si>
    <t>Обл. НДС
Взуття чоловіче SEVEN SAFETY 2107 S1  р.46
Надходження товарів і послуг ІБ00-007653 від 18.12.2025 11:00:00
Глобине-2</t>
  </si>
  <si>
    <t>Надходження товарів і послуг ІБ00-007760 від 18.12.2025 11:00:00
Оприходованы ТМЦ</t>
  </si>
  <si>
    <t>Обл. НДС
Гайка зажимна 9069, 9020
Надходження товарів і послуг ІБ00-007760 від 18.12.2025 11:00:00
Глобине-2</t>
  </si>
  <si>
    <t>УКРСЕРВІС КОМПАНІЯ ТОВ
№15/07/25 від 15.07.2025_Глобино-2
Рахунок на оплату постачальника ІБ00-006350 від 10.12.2025 18:36:57</t>
  </si>
  <si>
    <t>Обл. НДС
Шайба упорна під відр диск 9558 9565CVR GA9020 GA9030 GA5030
Надходження товарів і послуг ІБ00-007760 від 18.12.2025 11:00:00
Глобине-2</t>
  </si>
  <si>
    <t>19.12.2025</t>
  </si>
  <si>
    <t>Надходження товарів і послуг ІБ00-007758 від 19.12.2025 11:00:00
Оприходованы ТМЦ</t>
  </si>
  <si>
    <t>Обл. НДС
Тримач електродів DE-2400  400А
Надходження товарів і послуг ІБ00-007758 від 19.12.2025 11:00:00
Глобине-2</t>
  </si>
  <si>
    <t>УКРСЕРВІС КОМПАНІЯ ТОВ
№15/07/25 від 15.07.2025_Глобино-2
Рахунок на оплату постачальника ІБ00-006349 від 17.12.2025 18:19:01</t>
  </si>
  <si>
    <t>Обл. НДС
Кабель звар. КГ 1*25 250А
Надходження товарів і послуг ІБ00-007758 від 19.12.2025 11:00:00
Глобине-2</t>
  </si>
  <si>
    <t>Обл. НДС
Кабель ВВГнг П-3*2,5 бухта 100м
Надходження товарів і послуг ІБ00-007758 від 19.12.2025 11:00:00
Глобине-2</t>
  </si>
  <si>
    <t>Обл. НДС
Вилка пряма з з/к,ІР44
Надходження товарів і послуг ІБ00-007758 від 19.12.2025 11:00:00
Глобине-2</t>
  </si>
  <si>
    <t>Обл. НДС
Касета-розетка 3гн., з/к з кришками ОМЕГА ІР44 16А
Надходження товарів і послуг ІБ00-007758 від 19.12.2025 11:00:00
Глобине-2</t>
  </si>
  <si>
    <t>Обл. НДС
Рулетка 10 м*25 мм
Надходження товарів і послуг ІБ00-007758 від 19.12.2025 11:00:00
Глобине-2</t>
  </si>
  <si>
    <t>Обл. НДС
Рулетка 5м*25мм Black edition
Надходження товарів і послуг ІБ00-007758 від 19.12.2025 11:00:00
Глобине-2</t>
  </si>
  <si>
    <t>Обл. НДС
Маска зварювальника
Надходження товарів і послуг ІБ00-007758 від 19.12.2025 11:00:00
Глобине-2</t>
  </si>
  <si>
    <t>Обл. НДС
Рівень 100 см
Надходження товарів і послуг ІБ00-007758 від 19.12.2025 11:00:00
Глобине-2</t>
  </si>
  <si>
    <t>Обл. НДС
Шнур поліамідний 16мм/разрив 6000кг
Надходження товарів і послуг ІБ00-007758 від 19.12.2025 11:00:00
Глобине-2</t>
  </si>
  <si>
    <t>Обл. НДС
Кувалда 4,0 кг з руч.
Надходження товарів і послуг ІБ00-007758 від 19.12.2025 11:00:00
Глобине-2</t>
  </si>
  <si>
    <t>Обл. НДС
Молоток  500 гр.
Надходження товарів і послуг ІБ00-007758 від 19.12.2025 11:00:00
Глобине-2</t>
  </si>
  <si>
    <t>Обл. НДС
Лом будівельний, 1,5 м
Надходження товарів і послуг ІБ00-007758 від 19.12.2025 11:00:00
Глобине-2</t>
  </si>
  <si>
    <t>Обл. НДС
Лопатка шиномонт 750мм монтіровка
Надходження товарів і послуг ІБ00-007758 від 19.12.2025 11:00:00
Глобине-2</t>
  </si>
  <si>
    <t>Обл. НДС
Кутник будівельний 600*400мм
Надходження товарів і послуг ІБ00-007758 від 19.12.2025 11:00:00
Глобине-2</t>
  </si>
  <si>
    <t>Обл. НДС
Головка 13мм 1/2" 6гр
Надходження товарів і послуг ІБ00-007758 від 19.12.2025 11:00:00
Глобине-2</t>
  </si>
  <si>
    <t>Обл. НДС
Головка 17мм 1/2" 6гр
Надходження товарів і послуг ІБ00-007758 від 19.12.2025 11:00:00
Глобине-2</t>
  </si>
  <si>
    <t>Обл. НДС
Головка 19мм 1/2" 6гр
Надходження товарів і послуг ІБ00-007758 від 19.12.2025 11:00:00
Глобине-2</t>
  </si>
  <si>
    <t>Обл. НДС
Головка шестигранна 24мм,1/2
Надходження товарів і послуг ІБ00-007758 від 19.12.2025 11:00:00
Глобине-2</t>
  </si>
  <si>
    <t>Обл. НДС
Головка ударна 1/2"  30мм
Надходження товарів і послуг ІБ00-007758 від 19.12.2025 11:00:00
Глобине-2</t>
  </si>
  <si>
    <t>Обл. НДС
Строп СТП-2,0/1500
Надходження товарів і послуг ІБ00-007758 від 19.12.2025 11:00:00
Глобине-2</t>
  </si>
  <si>
    <t>Обл. НДС
Набір викруток 7 предметів
Надходження товарів і послуг ІБ00-007758 від 19.12.2025 11:00:00
Глобине-2</t>
  </si>
  <si>
    <t>Обл. НДС
Ключ рожков. 17*19мм
Надходження товарів і послуг ІБ00-007758 від 19.12.2025 11:00:00
Глобине-2</t>
  </si>
  <si>
    <t>Обл. НДС
Тримач електродів DE-2300  300А
Надходження товарів і послуг ІБ00-007758 від 19.12.2025 11:00:00
Глобине-2</t>
  </si>
  <si>
    <t>Обл. НДС
Затискач маси прищіпка МК-250 А
Надходження товарів і послуг ІБ00-007758 від 19.12.2025 11:00:00
Глобине-2</t>
  </si>
  <si>
    <t>Обл. НДС
Ключ трубний важільний 85 мм L500 №3
Надходження товарів і послуг ІБ00-007758 від 19.12.2025 11:00:00
Глобине-2</t>
  </si>
  <si>
    <t>Надходження товарів і послуг ІБ00-007759 від 19.12.2025 11:00:00
Оприходованы ТМЦ (Зачет аванса поставщику)</t>
  </si>
  <si>
    <t>Обл. НДС
Піна монтажна  780 мл 
Надходження товарів і послуг ІБ00-007759 від 19.12.2025 11:00:00
Глобине-2</t>
  </si>
  <si>
    <t>УКРСЕРВІС КОМПАНІЯ ТОВ
№15/07/25 від 15.07.2025_Глобино-2
Рахунок на оплату постачальника ІБ00-006122 від 15.12.2025 17:57:22</t>
  </si>
  <si>
    <t>Обл. НДС
Пензель 30мм
Надходження товарів і послуг ІБ00-007759 від 19.12.2025 11:00:00
Глобине-2</t>
  </si>
  <si>
    <t>Обл. НДС
Пензель 40мм
Надходження товарів і послуг ІБ00-007759 від 19.12.2025 11:00:00
Глобине-2</t>
  </si>
  <si>
    <t>Обл. НДС
Пензель 50мм
Надходження товарів і послуг ІБ00-007759 від 19.12.2025 11:00:00
Глобине-2</t>
  </si>
  <si>
    <t>Обл. НДС
Валик 8*48*250мм ворс 11мм
Надходження товарів і послуг ІБ00-007759 від 19.12.2025 11:00:00
Глобине-2</t>
  </si>
  <si>
    <t>Обл. НДС
Електроди "Моноліт РЦ" 3 мм 1кг
Надходження товарів і послуг ІБ00-007759 від 19.12.2025 11:00:00
Глобине-2</t>
  </si>
  <si>
    <t>Надходження товарів і послуг ІБ00-007759 від 19.12.2025 11:00:00
Оприходованы ТМЦ</t>
  </si>
  <si>
    <t>Обл. НДС
Електроди "Моноліт РЦ" 4 мм 1кг ОЗЛ-6
Надходження товарів і послуг ІБ00-007759 від 19.12.2025 11:00:00
Глобине-2</t>
  </si>
  <si>
    <t>Обл. НДС
Валік 10см ф30 Міді 
Надходження товарів і послуг ІБ00-007759 від 19.12.2025 11:00:00
Глобине-2</t>
  </si>
  <si>
    <t>Обл. НДС
Ручка для валика
Надходження товарів і послуг ІБ00-007759 від 19.12.2025 11:00:00
Глобине-2</t>
  </si>
  <si>
    <t>Обл. НДС
Пензель 60*14 малярний плоский
Надходження товарів і послуг ІБ00-007759 від 19.12.2025 11:00:00
Глобине-2</t>
  </si>
  <si>
    <t>Надходження товарів і послуг ІБ00-007761 від 19.12.2025 11:00:00
Оприходованы ТМЦ</t>
  </si>
  <si>
    <t>Обл. НДС
Щітка по металу
Надходження товарів і послуг ІБ00-007761 від 19.12.2025 11:00:00
Глобине-2</t>
  </si>
  <si>
    <t>УКРСЕРВІС КОМПАНІЯ ТОВ
№15/07/25 від 15.07.2025_Глобино-2
Рахунок на оплату постачальника ІБ00-006351 від 15.12.2025 17:58:09</t>
  </si>
  <si>
    <t>Обл. НДС
Рукавички трикотажні помаранчеві з ПВХ крапкою 78412 / 8412
Надходження товарів і послуг ІБ00-007761 від 19.12.2025 11:00:00
Глобине-2</t>
  </si>
  <si>
    <t>Обл. НДС
Рукавиці скло/камінь з гумовим надолон, пар
Надходження товарів і послуг ІБ00-007761 від 19.12.2025 11:00:00
Глобине-2</t>
  </si>
  <si>
    <t>Обл. НДС
Електроди "Моноліт РЦ" 4 мм уп. 5,0 кг
Надходження товарів і послуг ІБ00-007761 від 19.12.2025 11:00:00
Глобине-2</t>
  </si>
  <si>
    <t>Обл. НДС
Електроди "Моноліт РЦ" 3 мм 2,5кг
Надходження товарів і послуг ІБ00-007761 від 19.12.2025 11:00:00
Глобине-2</t>
  </si>
  <si>
    <t>Обл. НДС
Круг відрізний 230*2,5*22 увігнутий
Надходження товарів і послуг ІБ00-007761 від 19.12.2025 11:00:00
Глобине-2</t>
  </si>
  <si>
    <t>Обл. НДС
Круг відрізний по металу 125*1,0*22,2
Надходження товарів і послуг ІБ00-007761 від 19.12.2025 11:00:00
Глобине-2</t>
  </si>
  <si>
    <t>Обл. НДС
Круг відрізний по металу 150*1,6*22,23
Надходження товарів і послуг ІБ00-007761 від 19.12.2025 11:00:00
Глобине-2</t>
  </si>
  <si>
    <t>Обл. НДС
Круг алмазний 230*22,2 мм Turbо-сегментний
Надходження товарів і послуг ІБ00-007761 від 19.12.2025 11:00:00
Глобине-2</t>
  </si>
  <si>
    <t>Обл. НДС
Круг алмазний 125 бетон, граніт сегмент ВРЕ ЕСО
Надходження товарів і послуг ІБ00-007761 від 19.12.2025 11:00:00
Глобине-2</t>
  </si>
  <si>
    <t>20.12.2025</t>
  </si>
  <si>
    <t>Переміщення товарів ІБ00-001644 від 20.12.2025 08:00:00
Перемещение ТМЦ</t>
  </si>
  <si>
    <t>Обл. НДС
Окуляри захисні
Переміщення товарів ІБ00-001644 від 20.12.2025 08:00:00
АПК (Глобине)</t>
  </si>
  <si>
    <t>Обл. НДС
Окуляри захисні
Надходження товарів і послуг ІБ00-004144 від 23.07.2025 11:00:00
Насосна Градирня (Глобине)</t>
  </si>
  <si>
    <t>Обл. НДС
Очисник для піни  500 мл
Переміщення товарів ІБ00-001644 від 20.12.2025 08:00:00
АПК (Глобине)</t>
  </si>
  <si>
    <t>Обл. НДС
Очисник для піни  500 мл
Переміщення товарів ІБ00-000997 від 24.09.2025 11:10:00
Насосна Градирня (Глобине)</t>
  </si>
  <si>
    <t>Обл. НДС
Пензель малярний 2"
Переміщення товарів ІБ00-001644 від 20.12.2025 08:00:00
АПК (Глобине)</t>
  </si>
  <si>
    <t>Обл. НДС
Пензель малярний 2"
Переміщення товарів ІБ00-001167 від 09.10.2025 11:10:00
Насосна Градирня (Глобине)</t>
  </si>
  <si>
    <t>Обл. НДС
Рукавиці трикотажні  ХБ/ПЕ з ПВХ візерунком
Переміщення товарів ІБ00-001644 від 20.12.2025 08:00:00
АПК (Глобине)</t>
  </si>
  <si>
    <t>Обл. НДС
Рукавиці трикотажні  ХБ/ПЕ з ПВХ візерунком
Переміщення товарів ІБ00-001006 від 23.09.2025 11:10:00
Насосна Градирня (Глобине)</t>
  </si>
  <si>
    <t>Обл. НДС
Рукавички краги сині з підкладкою
Переміщення товарів ІБ00-001644 від 20.12.2025 08:00:00
АПК (Глобине)</t>
  </si>
  <si>
    <t>Обл. НДС
Рукавички краги сині з підкладкою
Переміщення товарів ІБ00-001119 від 10.10.2025 19:00:00
Насосна Градирня (Глобине)</t>
  </si>
  <si>
    <t>Обл. НДС
Рукавички трикотажні 
Переміщення товарів ІБ00-001644 від 20.12.2025 08:00:00
АПК (Глобине)</t>
  </si>
  <si>
    <t>Обл. НДС
Рукавички трикотажні 
Переміщення товарів ІБ00-001167 від 09.10.2025 11:10:00
Насосна Градирня (Глобине)</t>
  </si>
  <si>
    <t>Переміщення товарів ІБ00-001647 від 20.12.2025 08:00:00
Перемещение ТМЦ</t>
  </si>
  <si>
    <t>Обл. НДС
Електроди "Моноліт РЦ" 4 мм 5кг
Переміщення товарів ІБ00-001647 від 20.12.2025 08:00:00
Глобине-2</t>
  </si>
  <si>
    <t>Обл. НДС
Електроди "Моноліт РЦ" 4 мм 5кг
Переміщення товарів ІБ00-001112 від 15.10.2025 19:00:00
Транспортна галерея Естакада 3.5 (Глобине)</t>
  </si>
  <si>
    <t>Обл. НДС
Круг відрізний  230*2,0*22,23
Переміщення товарів ІБ00-001647 від 20.12.2025 08:00:00
Глобине-2</t>
  </si>
  <si>
    <t>Обл. НДС
Круг відрізний  230*2,0*22,23
Переміщення товарів ІБ00-001055 від 30.09.2025 11:10:00
Транспортна галерея Естакада 3.5 (Глобине)</t>
  </si>
  <si>
    <t>Переміщення товарів ІБ00-001651 від 20.12.2025 08:00:00
Перемещение ТМЦ</t>
  </si>
  <si>
    <t>Обл. НДС
Пістолет для піни
Переміщення товарів ІБ00-001651 від 20.12.2025 08:00:00
Глобине-2</t>
  </si>
  <si>
    <t>Обл. НДС
Пістолет для піни
Переміщення товарів ІБ00-001004 від 23.09.2025 11:10:00
Резервуарний парк соєвої меляси (Глобине)</t>
  </si>
  <si>
    <t>Переміщення товарів ІБ00-001656 від 20.12.2025 08:00:00
Перемещение ТМЦ</t>
  </si>
  <si>
    <t>Обл. НДС
Масло для 2-х тактних двигунів
Переміщення товарів ІБ00-001656 від 20.12.2025 08:00:00
Цех екстракції (Глобине)</t>
  </si>
  <si>
    <t>Обл. НДС
Масло для 2-х тактних двигунів
Переміщення товарів ІБ00-001008 від 23.09.2025 11:10:00
СПК (Глобине)</t>
  </si>
  <si>
    <t>Обл. НДС
Наколінники захисні
Переміщення товарів ІБ00-001656 від 20.12.2025 08:00:00
Цех екстракції (Глобине)</t>
  </si>
  <si>
    <t>Обл. НДС
Наколінники захисні
Переміщення товарів ІБ00-000876 від 11.09.2025 11:10:00
СПК (Глобине)</t>
  </si>
  <si>
    <t>Обл. НДС
Плівка п/е рукав 1500*200 мкм
Переміщення товарів ІБ00-001656 від 20.12.2025 08:00:00
Цех екстракції (Глобине)</t>
  </si>
  <si>
    <t>Обл. НДС
Плівка п/е рукав 1500*200 мкм
Надходження товарів і послуг ІБ00-004373 від 08.08.2025 11:00:00
СПК (Глобине)</t>
  </si>
  <si>
    <t>Обл. НДС
Провід ПВС 3*2,5 (м)
Переміщення товарів ІБ00-001656 від 20.12.2025 08:00:00
Цех екстракції (Глобине)</t>
  </si>
  <si>
    <t>Обл. НДС
Провід ПВС 3*2,5 (м)
Переміщення товарів ІБ00-000998 від 24.09.2025 11:10:00
СПК (Глобине)</t>
  </si>
  <si>
    <t>Обл. НДС
Тримач електродів DE-2400  400А
Переміщення товарів ІБ00-001656 від 20.12.2025 08:00:00
Цех екстракції (Глобине)</t>
  </si>
  <si>
    <t>Обл. НДС
Тримач електродів DE-2400  400А
Переміщення товарів ІБ00-001323 від 18.11.2025 08:00:00
СПК (Глобине)</t>
  </si>
  <si>
    <t>Переміщення товарів ІБ00-001668 від 20.12.2025 08:00:00
Перемещение ТМЦ</t>
  </si>
  <si>
    <t>Обл. НДС
Рівень 100 см
Переміщення товарів ІБ00-001668 від 20.12.2025 08:00:00
Котельна (Глобине)</t>
  </si>
  <si>
    <t>Обл. НДС
Рівень 100 см
Переміщення товарів ІБ00-001141 від 20.10.2025 11:10:00
СПК (Глобине)</t>
  </si>
  <si>
    <t>Обл. НДС
Штекер байонетний  400 А
Переміщення товарів ІБ00-001668 від 20.12.2025 08:00:00
Котельна (Глобине)</t>
  </si>
  <si>
    <t>Обл. НДС
Штекер байонетний  400 А
Переміщення товарів ІБ00-001115 від 10.10.2025 19:00:00
СПК (Глобине)</t>
  </si>
  <si>
    <t>Передача малоцінних активів в експлуатацію ІБ00-000666 від 20.12.2025 12:00:00
Списание стоимости малоценных активов</t>
  </si>
  <si>
    <t>Передача малоцінних активів в експлуатацію ІБ00-000659 від 20.12.2025 16:37:08
Списание стоимости малоценных активов</t>
  </si>
  <si>
    <t>Обл. НДС
Сопло до плазмотрону Р-80 1,5мм нікельоване
Авансовий звіт ІБ00-000356 від 18.11.2025 15:31:57
Глобине-2</t>
  </si>
  <si>
    <t>Обл. НДС
Спрей-змазка 400мл ВД-40
Надходження товарів і послуг ІБ00-006807 від 11.11.2025 11:00:00
Глобине-2</t>
  </si>
  <si>
    <t>Обл. НДС
Стрічка сигнальна червоно-біла 70х200 м
Надходження товарів і послуг ІБ00-006807 від 11.11.2025 11:00:00
Глобине-2</t>
  </si>
  <si>
    <t>Передача малоцінних активів в експлуатацію ІБ00-000655 від 20.12.2025 20:00:00
Списание стоимости малоценных активов</t>
  </si>
  <si>
    <t>Обл. НДС
Валик малярний
Надходження товарів і послуг ІБ00-006807 від 11.11.2025 11:00:00
Глобине-2</t>
  </si>
  <si>
    <t>Передача малоцінних активів в експлуатацію ІБ00-000672 від 20.12.2025 20:00:00
Списание стоимости малоценных активов</t>
  </si>
  <si>
    <t>Передача малоцінних активів в експлуатацію ІБ00-000656 від 20.12.2025 20:12:52
Списание стоимости малоценных активов</t>
  </si>
  <si>
    <t>Обл. НДС
Електрод вольфрам WТ20 D 2.0мм 
Надходження товарів і послуг ІБ00-005105 від 01.09.2025 11:00:00
Глобине-2</t>
  </si>
  <si>
    <t>Передача малоцінних активів в експлуатацію ІБ00-000657 від 20.12.2025 20:12:54
Списание стоимости малоценных активов</t>
  </si>
  <si>
    <t>Обл. НДС
Черевики з метноском р 43
Надходження товарів і послуг ІБ00-005235 від 08.09.2025 11:00:00
Глобине-2</t>
  </si>
  <si>
    <t>Передача малоцінних активів в експлуатацію ІБ00-000658 від 20.12.2025 20:12:57
Списание стоимости малоценных активов</t>
  </si>
  <si>
    <t>Передача малоцінних активів в експлуатацію ІБ00-000660 від 20.12.2025 20:12:59
Списание стоимости малоценных активов</t>
  </si>
  <si>
    <t>Обл. НДС
Окуляри захисні
Надходження товарів і послуг ІБ00-006785 від 05.11.2025 11:00:00
Глобине-2</t>
  </si>
  <si>
    <t>Обл. НДС
Очисник для піни С45 450 мл укр
Надходження товарів і послуг ІБ00-006807 від 11.11.2025 11:00:00
Глобине-2</t>
  </si>
  <si>
    <t>Передача малоцінних активів в експлуатацію ІБ00-000661 від 20.12.2025 20:13:03
Списание стоимости малоценных активов</t>
  </si>
  <si>
    <t>Обл. НДС
Черевики "Профі" ПУ р.46
Надходження товарів і послуг ІБ00-006785 від 05.11.2025 11:00:00
Глобине-2</t>
  </si>
  <si>
    <t>Обл. НДС
Черевики з метноском р 42
Надходження товарів і послуг ІБ00-005235 від 08.09.2025 11:00:00
Глобине-2</t>
  </si>
  <si>
    <t>Обл. НДС
Щітка вугільна Макіта СВ-175
Надходження товарів і послуг ІБ00-006784 від 07.11.2025 11:00:00
Глобине-2</t>
  </si>
  <si>
    <t>Обл. НДС
Фарборозпилювач НР д=1,5 в/б метал., 1000 мл
Надходження товарів і послуг ІБ00-006228 від 23.10.2025 11:00:00
Глобине-2</t>
  </si>
  <si>
    <t>Обл. НДС
Строп СТП-3,0/3000
Надходження товарів і послуг ІБ00-006788 від 05.11.2025 11:00:00
Глобине-2</t>
  </si>
  <si>
    <t>Обл. НДС
Полотно для шабельної пилки
Надходження товарів і послуг ІБ00-006807 від 11.11.2025 11:00:00
Глобине-2</t>
  </si>
  <si>
    <t>Обл. НДС
Полотно для шабельної пилки цегла/бетон І=455мм h=1,5мм 2 зуби/1"
Надходження товарів і послуг ІБ00-006788 від 05.11.2025 11:00:00
Глобине-2</t>
  </si>
  <si>
    <t>Обл. НДС
Круг відрізний армований 230*2,5*22
Надходження товарів і послуг ІБ00-006712 від 11.11.2025 11:00:00
Глобине-2</t>
  </si>
  <si>
    <t>Передача малоцінних активів в експлуатацію ІБ00-000662 від 20.12.2025 20:13:05
Списание стоимости малоценных активов</t>
  </si>
  <si>
    <t>Обл. НДС
Піна монтажна  860 мл 
Надходження товарів і послуг ІБ00-004660 від 22.08.2025 11:00:00
Глобине-2</t>
  </si>
  <si>
    <t>Передача малоцінних активів в експлуатацію ІБ00-000663 від 20.12.2025 20:13:07
Списание стоимости малоценных активов</t>
  </si>
  <si>
    <t>Передача малоцінних активів в експлуатацію ІБ00-000664 від 20.12.2025 20:13:10
Списание стоимости малоценных активов</t>
  </si>
  <si>
    <t>Обл. НДС
Рулетка 5м*25мм Black edition
Надходження товарів і послуг ІБ00-006807 від 11.11.2025 11:00:00
Глобине-2</t>
  </si>
  <si>
    <t>Передача малоцінних активів в експлуатацію ІБ00-000665 від 20.12.2025 20:13:12
Списание стоимости малоценных активов</t>
  </si>
  <si>
    <t>Обл. НДС
Пика + 200/250 мм бетон цегла
Надходження товарів і послуг ІБ00-006807 від 11.11.2025 11:00:00
Глобине-2</t>
  </si>
  <si>
    <t>Обл. НДС
Ручка для валика
Надходження товарів і послуг ІБ00-006807 від 11.11.2025 11:00:00
Глобине-2</t>
  </si>
  <si>
    <t>Обл. НДС
Хомут 3.6х300мм нейлон (100шт) ІЕК
Надходження товарів і послуг ІБ00-006788 від 05.11.2025 11:00:00
Глобине-2</t>
  </si>
  <si>
    <t>24.12.2025</t>
  </si>
  <si>
    <t>Авансовий звіт ІБ00-000411 від 24.12.2025 12:23:14
Оприходованы ТМЦ</t>
  </si>
  <si>
    <t>Обл. НДС
Клема сварочна
Авансовий звіт ІБ00-000411 від 24.12.2025 12:23:14
Глобине-2</t>
  </si>
  <si>
    <t>Штиченко Олександр Володимирович</t>
  </si>
  <si>
    <t>3721</t>
  </si>
  <si>
    <t>Обл. НДС
Диск відрізний по плитці
Авансовий звіт ІБ00-000411 від 24.12.2025 12:23:14
Глобине-2</t>
  </si>
  <si>
    <t>25.12.2025</t>
  </si>
  <si>
    <t>Переміщення товарів ІБ00-001666 від 25.12.2025 13:37:15
Перемещение ТМЦ</t>
  </si>
  <si>
    <t>Обл. НДС
Помпа для води
Переміщення товарів ІБ00-001666 від 25.12.2025 13:37:15
Глобине-2</t>
  </si>
  <si>
    <t>Обл. НДС
Помпа для води
Надходження товарів і послуг ІБ00-006453 від 14.10.2025 11:00:00
КМД-2</t>
  </si>
  <si>
    <t>Обл. НДС
Бутиль для води
Переміщення товарів ІБ00-001666 від 25.12.2025 13:37:15
Глобине-2</t>
  </si>
  <si>
    <t>Обл. НДС
Бутиль для води
Надходження товарів і послуг ІБ00-006453 від 14.10.2025 11:00:00
КМД-2</t>
  </si>
  <si>
    <t>Обл. НДС
Рація Baofeng UV 5R
Переміщення товарів ІБ00-001666 від 25.12.2025 13:37:15
Глобине-2</t>
  </si>
  <si>
    <t>Обл. НДС
Рація Baofeng UV 5R
Надходження товарів і послуг ІБ00-006634 від 02.10.2025 11:00:00
КМД-2</t>
  </si>
  <si>
    <t>Обл. НДС
Прожектор світлодіодний 100Вт 80000Lm 6500K
Переміщення товарів ІБ00-001666 від 25.12.2025 13:37:15
Глобине-2</t>
  </si>
  <si>
    <t>Обл. НДС
Прожектор світлодіодний 100Вт 80000Lm 6500K
Надходження товарів і послуг ІБ00-005767 від 26.09.2025 18:21:35
КМД-2</t>
  </si>
  <si>
    <t>Обл. НДС
Провід ПВС 2*1,5 (м)
Переміщення товарів ІБ00-001666 від 25.12.2025 13:37:15
Глобине-2</t>
  </si>
  <si>
    <t>Обл. НДС
Провід ПВС 2*1,5 (м)
Надходження товарів і послуг ІБ00-007450 від 01.12.2025 11:00:00
КМД-2</t>
  </si>
  <si>
    <t>Обл. НДС
Жилет сигнальний 
Переміщення товарів ІБ00-001666 від 25.12.2025 13:37:15
Глобине-2</t>
  </si>
  <si>
    <t>Обл. НДС
Жилет сигнальний 
Надходження товарів і послуг ІБ00-006694 від 01.11.2025 12:00:02
КМД-2</t>
  </si>
  <si>
    <t>Обл. НДС
Плащ від дощу
Переміщення товарів ІБ00-001666 від 25.12.2025 13:37:15
Глобине-2</t>
  </si>
  <si>
    <t>Обл. НДС
Плащ від дощу
Надходження товарів і послуг ІБ00-006694 від 01.11.2025 12:00:02
КМД-2</t>
  </si>
  <si>
    <t>Обл. НДС
Стрічка сигнальна червоно-біла 70х200 м
Переміщення товарів ІБ00-001666 від 25.12.2025 13:37:15
Глобине-2</t>
  </si>
  <si>
    <t>Обл. НДС
Стрічка сигнальна червоно-біла 70х200 м
Надходження товарів і послуг ІБ00-006694 від 01.11.2025 12:00:02
КМД-2</t>
  </si>
  <si>
    <t>Обл. НДС
Індикатор парів алкоголю алкотестер AlconScan AL5500
Переміщення товарів ІБ00-001666 від 25.12.2025 13:37:15
Глобине-2</t>
  </si>
  <si>
    <t>Обл. НДС
Індикатор парів алкоголю алкотестер AlconScan AL5500
Надходження товарів і послуг ІБ00-006450 від 15.10.2025 11:00:00
КМД-2</t>
  </si>
  <si>
    <t>Обл. НДС
WERK Щітка чашкова для кутов.шліфмашин дротяний трос 125мм
Переміщення товарів ІБ00-001666 від 25.12.2025 13:37:15
Глобине-2</t>
  </si>
  <si>
    <t>Обл. НДС
WERK Щітка чашкова для кутов.шліфмашин дротяний трос 125мм
Надходження товарів і послуг ІБ00-007451 від 02.12.2025 11:00:00
КМД-2</t>
  </si>
  <si>
    <t>Обл. НДС
Диск відрізний по металу 230х2,5х22,2
Переміщення товарів ІБ00-001666 від 25.12.2025 13:37:15
Глобине-2</t>
  </si>
  <si>
    <t>Обл. НДС
Диск відрізний по металу 230х2,5х22,2
Надходження товарів і послуг ІБ00-005640 від 26.09.2025 11:00:00
КМД-2</t>
  </si>
  <si>
    <t>Обл. НДС
Ковдра н/в (50%)
Переміщення товарів ІБ00-001666 від 25.12.2025 13:37:15
Глобине-2</t>
  </si>
  <si>
    <t>Обл. НДС
Ковдра н/в (50%)
Надходження товарів і послуг ІБ00-006671 від 01.11.2025 11:00:00
КМД-2</t>
  </si>
  <si>
    <t>Обл. НДС
Матрац 190*70
Переміщення товарів ІБ00-001666 від 25.12.2025 13:37:15
Глобине-2</t>
  </si>
  <si>
    <t>Обл. НДС
Матрац 190*70
Надходження товарів і послуг ІБ00-007487 від 01.12.2025 11:00:00
КМД-2</t>
  </si>
  <si>
    <t>Обл. НДС
Подушка ватна 60х60
Переміщення товарів ІБ00-001666 від 25.12.2025 13:37:15
Глобине-2</t>
  </si>
  <si>
    <t>Обл. НДС
Подушка ватна 60х60
Надходження товарів і послуг ІБ00-006671 від 01.11.2025 11:00:00
КМД-2</t>
  </si>
  <si>
    <t>Обл. НДС
Стіл
Переміщення товарів ІБ00-001666 від 25.12.2025 13:37:15
Глобине-2</t>
  </si>
  <si>
    <t>Обл. НДС
Стіл
Надходження товарів і послуг ІБ00-006817 від 01.11.2025 11:00:00
КМД-2</t>
  </si>
  <si>
    <t>Обл. НДС
Розетка 2-а з/к накл. біла
Переміщення товарів ІБ00-001666 від 25.12.2025 13:37:15
Глобине-2</t>
  </si>
  <si>
    <t>Обл. НДС
Розетка 2-а з/к накл. біла
Надходження товарів і послуг ІБ00-007484 від 01.12.2025 11:00:00
КМД-2</t>
  </si>
  <si>
    <t>26.12.2025</t>
  </si>
  <si>
    <t>Переміщення товарів ІБ00-001683 від 26.12.2025 08:00:00
Перемещение ТМЦ</t>
  </si>
  <si>
    <t>Обл. НДС
Пістолет для піни
Переміщення товарів ІБ00-001683 від 26.12.2025 08:00:00
Глобине-2</t>
  </si>
  <si>
    <t>Обл. НДС
Пістолет для піни
Авансовий звіт ІБ00-000323 від 24.10.2025 00:00:00
Глобине-2</t>
  </si>
  <si>
    <t>205</t>
  </si>
  <si>
    <t>Переміщення товарів ІБ00-001689 від 26.12.2025 08:00:00
Перемещение ТМЦ</t>
  </si>
  <si>
    <t>Обл. НДС
Електроди "Моноліт РЦ" 3 мм 2,5кг
Переміщення товарів ІБ00-001689 від 26.12.2025 08:00:00
Глобине-2</t>
  </si>
  <si>
    <t>Обл. НДС
Електроди "Моноліт РЦ" 3 мм 2,5кг
Надходження товарів і послуг ІБ00-004365 від 06.08.2025 11:00:00
Котельна (Глобине)</t>
  </si>
  <si>
    <t>Обл. НДС
Електроди "Моноліт РЦ" 4 мм уп. 5,0 кг
Переміщення товарів ІБ00-001689 від 26.12.2025 08:00:00
Глобине-2</t>
  </si>
  <si>
    <t>Обл. НДС
Електроди "Моноліт РЦ" 4 мм уп. 5,0 кг
Надходження товарів і послуг ІБ00-004070 від 08.07.2025 11:00:00
Котельна (Глобине)</t>
  </si>
  <si>
    <t>Надходження товарів і послуг ІБ00-008010 від 26.12.2025 11:00:00
Оприходованы ТМЦ (Зачет аванса поставщику)</t>
  </si>
  <si>
    <t>Обл. НДС
Кабель КГ 1*25 зварювальний 250А (м)
Надходження товарів і послуг ІБ00-008010 від 26.12.2025 11:00:00
Глобине-2</t>
  </si>
  <si>
    <t>СКАЙ-ЕНЕРДЖИ
Рахунки_Глобине-2
Рахунок на оплату постачальника ІБ00-005983 від 11.11.2025 22:53:56</t>
  </si>
  <si>
    <t>Обл. НДС
Кабель ВВГ нгд 3*2,5
Надходження товарів і послуг ІБ00-008010 від 26.12.2025 11:00:00
Глобине-2</t>
  </si>
  <si>
    <t>Обл. НДС
Вилка пряма 16 А
Надходження товарів і послуг ІБ00-008010 від 26.12.2025 11:00:00
Глобине-2</t>
  </si>
  <si>
    <t>Обл. НДС
Колодка 3 гнізда з зазем.
Надходження товарів і послуг ІБ00-008010 від 26.12.2025 11:00:00
Глобине-2</t>
  </si>
  <si>
    <t>Надходження товарів і послуг ІБ00-008010 від 26.12.2025 11:00:00
Оприходованы ТМЦ</t>
  </si>
  <si>
    <t>Обл. НДС
ЯРП 250К ІР54
Надходження товарів і послуг ІБ00-008010 від 26.12.2025 11:00:00
Глобине-2</t>
  </si>
  <si>
    <t>Надходження товарів і послуг ІБ00-008011 від 26.12.2025 11:00:00
Оприходованы ТМЦ (Зачет аванса поставщику)</t>
  </si>
  <si>
    <t>Обл. НДС
Рулетка 10 м*25 мм
Надходження товарів і послуг ІБ00-008011 від 26.12.2025 11:00:00
Глобине-2</t>
  </si>
  <si>
    <t>СКАЙ-ЕНЕРДЖИ
Рахунки_Глобине-2
Рахунок на оплату постачальника ІБ00-005980 від 11.11.2025 22:53:55</t>
  </si>
  <si>
    <t>Обл. НДС
Рулетка  5 м 
Надходження товарів і послуг ІБ00-008011 від 26.12.2025 11:00:00
Глобине-2</t>
  </si>
  <si>
    <t>Обл. НДС
Рівень 100 см
Надходження товарів і послуг ІБ00-008011 від 26.12.2025 11:00:00
Глобине-2</t>
  </si>
  <si>
    <t>Обл. НДС
Кувалда 3 кг 
Надходження товарів і послуг ІБ00-008011 від 26.12.2025 11:00:00
Глобине-2</t>
  </si>
  <si>
    <t>Обл. НДС
Молоток  500 гр.
Надходження товарів і послуг ІБ00-008011 від 26.12.2025 11:00:00
Глобине-2</t>
  </si>
  <si>
    <t>Обл. НДС
Лом будівельний, 1,4 м
Надходження товарів і послуг ІБ00-008011 від 26.12.2025 11:00:00
Глобине-2</t>
  </si>
  <si>
    <t>Обл. НДС
Канат джгутовий кручений D 16 мм, 50 м
Надходження товарів і послуг ІБ00-008011 від 26.12.2025 11:00:00
Глобине-2</t>
  </si>
  <si>
    <t>Обл. НДС
Маска зварювальника "Хамелеон" WН-3300
Надходження товарів і послуг ІБ00-008011 від 26.12.2025 11:00:00
Глобине-2</t>
  </si>
  <si>
    <t>Надходження товарів і послуг ІБ00-008012 від 26.12.2025 11:00:00
Оприходованы ТМЦ (Зачет аванса поставщику)</t>
  </si>
  <si>
    <t>Обл. НДС
Струбцина столярна (тип G) 200 мм
Надходження товарів і послуг ІБ00-008012 від 26.12.2025 11:00:00
Глобине-2</t>
  </si>
  <si>
    <t>СКАЙ-ЕНЕРДЖИ
Рахунки_Глобине-2
Рахунок на оплату постачальника ІБ00-005971 від 11.11.2025 22:53:54</t>
  </si>
  <si>
    <t>Обл. НДС
Строп СТП-3,0/3000
Надходження товарів і послуг ІБ00-008012 від 26.12.2025 11:00:00
Глобине-2</t>
  </si>
  <si>
    <t>Надходження товарів і послуг ІБ00-008012 від 26.12.2025 11:00:00
Оприходованы ТМЦ</t>
  </si>
  <si>
    <t>Обл. НДС
Електрод  АНО-21 ф 4 2,5 кг,  пач
Надходження товарів і послуг ІБ00-008012 від 26.12.2025 11:00:00
Глобине-2</t>
  </si>
  <si>
    <t>Обл. НДС
Рукавиці , пар
Надходження товарів і послуг ІБ00-008012 від 26.12.2025 11:00:00
Глобине-2</t>
  </si>
  <si>
    <t>Обл. НДС
Магніт для зварки стріла 11кг
Надходження товарів і послуг ІБ00-008012 від 26.12.2025 11:00:00
Глобине-2</t>
  </si>
  <si>
    <t>Обл. НДС
Тримач магнітний стріла 22кг 90*90мм
Надходження товарів і послуг ІБ00-008012 від 26.12.2025 11:00:00
Глобине-2</t>
  </si>
  <si>
    <t>Обл. НДС
Електрод  АНО-21 3  2,5кг (пач)
Надходження товарів і послуг ІБ00-008012 від 26.12.2025 11:00:00
Глобине-2</t>
  </si>
  <si>
    <t>Обл. НДС
Магніт для зварки стріла 34кг
Надходження товарів і послуг ІБ00-008012 від 26.12.2025 11:00:00
Глобине-2</t>
  </si>
  <si>
    <t>Обл. НДС
Маска зварювальника
Надходження товарів і послуг ІБ00-008012 від 26.12.2025 11:00:00
Глобине-2</t>
  </si>
  <si>
    <t>Передача малоцінних активів в експлуатацію ІБ00-000675 від 26.12.2025 13:00:03
Списание стоимости малоценных активов</t>
  </si>
  <si>
    <t>Обл. НДС
(я-94)BOSCH витратні Круг відрізний 230*2,5*22 увігнутий
Переміщення товарів ІБ00-001168 від 09.10.2025 11:10:00
Пожежений резервуар (Глобине)</t>
  </si>
  <si>
    <t>Обл. НДС
Бита Рh2 51мм 
Переміщення товарів ІБ00-001108 від 15.10.2025 19:00:00
Пожежений резервуар (Глобине)</t>
  </si>
  <si>
    <t>Обл. НДС
Держак д/лопати
Переміщення товарів ІБ00-000921 від 15.09.2025 11:10:00
Пожежений резервуар (Глобине)</t>
  </si>
  <si>
    <t>Обл. НДС
Затискач маси прищіпка МК-400 А
Переміщення товарів ІБ00-001117 від 10.10.2025 19:00:00
Пожежений резервуар (Глобине)</t>
  </si>
  <si>
    <t>Передача малоцінних активів в експлуатацію ІБ00-000677 від 26.12.2025 13:00:22
Списание стоимости малоценных активов</t>
  </si>
  <si>
    <t>Обл. НДС
Піна монтажна  860 мл 
Надходження товарів і послуг ІБ00-005251 від 11.09.2025 11:00:00
Глобине-2</t>
  </si>
  <si>
    <t>Передача малоцінних активів в експлуатацію ІБ00-000678 від 26.12.2025 15:00:00
Списание стоимости малоценных активов</t>
  </si>
  <si>
    <t>Обл. НДС
Костюм зварювальника брезент. ОП з посиленнями р. 96-100/170-176
Надходження товарів і послуг ІБ00-006717 від 12.11.2025 11:00:00
Глобине-2</t>
  </si>
  <si>
    <t>29.12.2025</t>
  </si>
  <si>
    <t>Передача малоцінних активів в експлуатацію ІБ00-000676 від 29.12.2025 13:00:10
Списание стоимости малоценных активов</t>
  </si>
  <si>
    <t>Обл. НДС
Черевики "Профі" ПУ р.41
Надходження товарів і послуг ІБ00-006785 від 05.11.2025 11:00:00
Глобине-2</t>
  </si>
  <si>
    <t>Обл. НДС
Черевики "Профі" ПУ р.42
Надходження товарів і послуг ІБ00-006785 від 05.11.2025 11:00:00
Глобине-2</t>
  </si>
  <si>
    <t>30.12.2025</t>
  </si>
  <si>
    <t>Переміщення товарів ІБ00-001733 від 30.12.2025 08:00:00
Перемещение ТМЦ</t>
  </si>
  <si>
    <t>Обл. НДС
Електроди "Моноліт РЦ" 3 мм 2,5кг
Переміщення товарів ІБ00-001733 від 30.12.2025 08:00:00
Глобине-2</t>
  </si>
  <si>
    <t>Обл. НДС
Електроди "Моноліт РЦ" 3 мм 2,5кг
Переміщення товарів ІБ00-001097 від 15.10.2025 18:44:05
Насосна Градирня (Глобине)</t>
  </si>
  <si>
    <t>Обл. НДС
Електроди "Моноліт РЦ" 4 мм 5кг
Переміщення товарів ІБ00-001733 від 30.12.2025 08:00:00
Глобине-2</t>
  </si>
  <si>
    <t>Обл. НДС
Електроди "Моноліт РЦ" 4 мм 5кг
Переміщення товарів ІБ00-001110 від 15.10.2025 19:00:00
Насосна Градирня (Глобине)</t>
  </si>
  <si>
    <t>Обл. НДС
Круг відрізний  125*1,6*22
Переміщення товарів ІБ00-001733 від 30.12.2025 08:00:00
Глобине-2</t>
  </si>
  <si>
    <t>Обл. НДС
Круг відрізний  125*1,6*22
Переміщення товарів ІБ00-001167 від 09.10.2025 11:10:00
Насосна Градирня (Глобине)</t>
  </si>
  <si>
    <t>Обл. НДС
Круг відрізний по металу 230*2,0*22,23
Переміщення товарів ІБ00-001733 від 30.12.2025 08:00:00
Глобине-2</t>
  </si>
  <si>
    <t>Обл. НДС
Круг відрізний по металу 230*2,0*22,23
Переміщення товарів ІБ00-000925 від 15.09.2025 11:10:00
Насосна Градирня (Глобине)</t>
  </si>
  <si>
    <t>Передача малоцінних активів в експлуатацію ІБ00-000699 від 30.12.2025 10:00:00
Списание стоимости малоценных активов</t>
  </si>
  <si>
    <t>Передача малоцінних активів в експлуатацію ІБ00-000691 від 30.12.2025 22:00:32
Списание стоимости малоценных активов</t>
  </si>
  <si>
    <t>Передача малоцінних активів в експлуатацію ІБ00-000692 від 30.12.2025 22:00:34
Списание стоимости малоценных активов</t>
  </si>
  <si>
    <t>Передача малоцінних активів в експлуатацію ІБ00-000693 від 30.12.2025 22:00:36
Списание стоимости малоценных активов</t>
  </si>
  <si>
    <t>Передача малоцінних активів в експлуатацію ІБ00-000694 від 30.12.2025 22:00:39
Списание стоимости малоценных активов</t>
  </si>
  <si>
    <t>Передача малоцінних активів в експлуатацію ІБ00-000695 від 30.12.2025 23:00:00
Списание стоимости малоценных активов</t>
  </si>
  <si>
    <t>Передача малоцінних активів в експлуатацію ІБ00-000698 від 30.12.2025 23:00:00
Списание стоимости малоценных активов</t>
  </si>
  <si>
    <t>Передача малоцінних активів в експлуатацію ІБ00-000700 від 30.12.2025 23:00:00
Списание стоимости малоценных активов</t>
  </si>
  <si>
    <t>Передача малоцінних активів в експлуатацію ІБ00-000701 від 30.12.2025 23:00:00
Списание стоимости малоценных активов</t>
  </si>
  <si>
    <t>Передача малоцінних активів в експлуатацію ІБ00-000696 від 30.12.2025 23:00:02
Списание стоимости малоценных активов</t>
  </si>
  <si>
    <t>Передача малоцінних активів в експлуатацію ІБ00-000697 від 30.12.2025 23:00:04
Списание стоимости малоценных активов</t>
  </si>
  <si>
    <t>Обороти за період та сальдо на кінець</t>
  </si>
  <si>
    <t>Авансовий звіт ІБ00-000367 від 04.12.2025 16:17:55
Оприходованы ТМЦ</t>
  </si>
  <si>
    <t>Обл. НДС
Щітка дротяна, чашоподібна 5мм (М14Ч2мм), стальная
Авансовий звіт ІБ00-000367 від 04.12.2025 16:17:55
Астарта_Тищенки</t>
  </si>
  <si>
    <t>Огоновський Дмитро Анатолійович</t>
  </si>
  <si>
    <t>Обл. НДС
Щітка дротяна, чашоподібна D7 5мм (М14Ч2мм), стальная
Авансовий звіт ІБ00-000367 від 04.12.2025 16:17:55
Астарта_Тищенки</t>
  </si>
  <si>
    <t>Обл. НДС
Шпатель 100 мм 
Авансовий звіт ІБ00-000367 від 04.12.2025 16:17:55
Астарта_Тищенки</t>
  </si>
  <si>
    <t>Обл. НДС
Щітка дротяна, SIGMA чашоподібна D75мм (М14х2мм), сталева
Авансовий звіт ІБ00-000367 від 04.12.2025 16:17:55
Астарта_Тищенки</t>
  </si>
  <si>
    <t>Обл. НДС
Саморіз для гіпсокартону по дереву, фосфатований 
Авансовий звіт ІБ00-000367 від 04.12.2025 16:17:55
Астарта_Тищенки</t>
  </si>
  <si>
    <t>Обл. НДС
Диск відрізний по металу/нержав. сталі NINJA ТМ VIROK : Ø= 125 х 22.23 мм, t= 1,6 мм
Авансовий звіт ІБ00-000367 від 04.12.2025 16:17:55
Астарта_Тищенки</t>
  </si>
  <si>
    <t>Обл. НДС
Диск відрізний по металу/нержав. сталі NINJA ТМ VIROK : Ø= 230 х 22.23 мм, t= 2,0 мм
Авансовий звіт ІБ00-000367 від 04.12.2025 16:17:55
Астарта_Тищенки</t>
  </si>
  <si>
    <t>Передача малоцінних активів в експлуатацію ІБ00-000610 від 05.12.2025 00:00:00
Списание стоимости малоценных активов</t>
  </si>
  <si>
    <t>Обл. НДС
Щітка ручна, пластикова ручка "Гребешок" WERK
Надходження товарів і послуг ІБ00-005004 від 05.09.2025 11:00:00
Астарта_Тищенки</t>
  </si>
  <si>
    <t>Обл. НДС
Щітка торцева з плет.провол.  75 мм, М14
Авансовий звіт ІБ00-000357 від 18.11.2025 15:56:27
Астарта_Тищенки</t>
  </si>
  <si>
    <t>Обл. НДС
Щітка торцева з плет.провол. 125 мм, М14
Надходження товарів і послуг ІБ00-005005 від 05.09.2025 11:00:00
Астарта_Тищенки</t>
  </si>
  <si>
    <t>Обл. НДС
Щітка вулична
Надходження товарів і послуг ІБ00-006992 від 19.11.2025 11:00:00
Астарта_Тищенки</t>
  </si>
  <si>
    <t>Обл. НДС
Щітка по металу
Надходження товарів і послуг ІБ00-006992 від 19.11.2025 11:00:00
Астарта_Тищенки</t>
  </si>
  <si>
    <t>10.12.2025</t>
  </si>
  <si>
    <t>Надходження товарів і послуг ІБ00-007556 від 10.12.2025 11:00:00
Оприходованы ТМЦ</t>
  </si>
  <si>
    <t>Обл. НДС
Касета-розетка 3гн, з/к з кришками Омега ІР44  16А
Надходження товарів і послуг ІБ00-007556 від 10.12.2025 11:00:00
Астарта_Тищенки</t>
  </si>
  <si>
    <t>УКРСЕРВІС КОМПАНІЯ ТОВ
№23/09/25_Рахунки_Астарта. Тищенки
Рахунок на оплату постачальника ІБ00-006210 від 05.12.2025 17:13:23</t>
  </si>
  <si>
    <t>Обл. НДС
Вилка пряма з з/к,ІР44
Надходження товарів і послуг ІБ00-007556 від 10.12.2025 11:00:00
Астарта_Тищенки</t>
  </si>
  <si>
    <t>Обл. НДС
Клей монтажний 48А, 300 мл
Надходження товарів і послуг ІБ00-007556 від 10.12.2025 11:00:00
Астарта_Тищенки</t>
  </si>
  <si>
    <t>Обл. НДС
Рукавиці скло/камінь з гумовим надолон, пар
Надходження товарів і послуг ІБ00-007556 від 10.12.2025 11:00:00
Астарта_Тищенки</t>
  </si>
  <si>
    <t>Обл. НДС
Рулетка 10 м*25 мм
Надходження товарів і послуг ІБ00-007556 від 10.12.2025 11:00:00
Астарта_Тищенки</t>
  </si>
  <si>
    <t>Обл. НДС
Жилет сигнальний 
Надходження товарів і послуг ІБ00-007556 від 10.12.2025 11:00:00
Астарта_Тищенки</t>
  </si>
  <si>
    <t>Обл. НДС
Бита Рh2 51мм 
Надходження товарів і послуг ІБ00-007556 від 10.12.2025 11:00:00
Астарта_Тищенки</t>
  </si>
  <si>
    <t>Обл. НДС
Мило рідке 5 л в ассортименте
Надходження товарів і послуг ІБ00-007556 від 10.12.2025 11:00:00
Астарта_Тищенки</t>
  </si>
  <si>
    <t>Обл. НДС
Молоток  1000 гр.
Надходження товарів і послуг ІБ00-007556 від 10.12.2025 11:00:00
Астарта_Тищенки</t>
  </si>
  <si>
    <t>Обл. НДС
Каска будівельна помаранчева (Україна)
Надходження товарів і послуг ІБ00-007556 від 10.12.2025 11:00:00
Астарта_Тищенки</t>
  </si>
  <si>
    <t>Обл. НДС
Ножівка по дереву
Надходження товарів і послуг ІБ00-007556 від 10.12.2025 11:00:00
Астарта_Тищенки</t>
  </si>
  <si>
    <t>Обл. НДС
Головка торцева 1/2"  24мм
Надходження товарів і послуг ІБ00-007556 від 10.12.2025 11:00:00
Астарта_Тищенки</t>
  </si>
  <si>
    <t>Обл. НДС
Головка торцева 1/2"  32мм,6-гранна,хром
Надходження товарів і послуг ІБ00-007556 від 10.12.2025 11:00:00
Астарта_Тищенки</t>
  </si>
  <si>
    <t>Обл. НДС
Ключ трубний важільний 65 мм L40 №2 газовий
Надходження товарів і послуг ІБ00-007556 від 10.12.2025 11:00:00
Астарта_Тищенки</t>
  </si>
  <si>
    <t>Обл. НДС
Терка поліуретанова 140*280мм
Надходження товарів і послуг ІБ00-007556 від 10.12.2025 11:00:00
Астарта_Тищенки</t>
  </si>
  <si>
    <t>Обл. НДС
Терка поліуретанова 480*240мм
Надходження товарів і послуг ІБ00-007556 від 10.12.2025 11:00:00
Астарта_Тищенки</t>
  </si>
  <si>
    <t>Обл. НДС
Дюбель з уд.ш 6*60
Надходження товарів і послуг ІБ00-007556 від 10.12.2025 11:00:00
Астарта_Тищенки</t>
  </si>
  <si>
    <t>Надходження товарів і послуг ІБ00-007557 від 10.12.2025 11:00:00
Оприходованы ТМЦ</t>
  </si>
  <si>
    <t>Обл. НДС
Провід ПВС 2*2,5 бухта 100м
Надходження товарів і послуг ІБ00-007557 від 10.12.2025 11:00:00
Астарта_Тищенки</t>
  </si>
  <si>
    <t>УКРСЕРВІС КОМПАНІЯ ТОВ
№23/09/25_Рахунки_Астарта. Тищенки
Рахунок на оплату постачальника ІБ00-006211 від 05.12.2025 17:13:24</t>
  </si>
  <si>
    <t>Обл. НДС
Круг відрізний 230*2,5*22 увігнутий
Надходження товарів і послуг ІБ00-007557 від 10.12.2025 11:00:00
Астарта_Тищенки</t>
  </si>
  <si>
    <t>Обл. НДС
Круг відрізний  125*1,6*22
Надходження товарів і послуг ІБ00-007557 від 10.12.2025 11:00:00
Астарта_Тищенки</t>
  </si>
  <si>
    <t>Обл. НДС
Зубило + 20*200/250 мм бетон цегла
Надходження товарів і послуг ІБ00-007557 від 10.12.2025 11:00:00
Астарта_Тищенки</t>
  </si>
  <si>
    <t>Обл. НДС
Пика + 200/250 мм бетон цегла
Надходження товарів і послуг ІБ00-007557 від 10.12.2025 11:00:00
Астарта_Тищенки</t>
  </si>
  <si>
    <t>Обл. НДС
Бур + 6*100/160 plus1 бетон,цегла
Надходження товарів і послуг ІБ00-007557 від 10.12.2025 11:00:00
Астарта_Тищенки</t>
  </si>
  <si>
    <t>Надходження товарів і послуг ІБ00-007558 від 10.12.2025 11:00:00
Оприходованы ТМЦ</t>
  </si>
  <si>
    <t>Обл. НДС
Електрод  АНО-21 ф 4 (5кг),  пач
Надходження товарів і послуг ІБ00-007558 від 10.12.2025 11:00:00
Астарта_Тищенки</t>
  </si>
  <si>
    <t>УКРСЕРВІС КОМПАНІЯ ТОВ
№23/09/25_Рахунки_Астарта. Тищенки
Рахунок на оплату постачальника ІБ00-006212 від 05.12.2025 17:13:25</t>
  </si>
  <si>
    <t>Обл. НДС
Електрод  АНО-36 ф3  2,5кг (пач)
Надходження товарів і послуг ІБ00-007558 від 10.12.2025 11:00:00
Астарта_Тищенки</t>
  </si>
  <si>
    <t>Передача малоцінних активів в експлуатацію ІБ00-000652 від 20.12.2025 18:18:52
Списание стоимости малоценных активов</t>
  </si>
  <si>
    <t>Обл. НДС
Рулетка 10 м*25 мм
Надходження товарів і послуг ІБ00-006583 від 28.10.2025 11:00:00
Астарта_Тищенки</t>
  </si>
  <si>
    <t>Передача малоцінних активів в експлуатацію ІБ00-000653 від 20.12.2025 18:18:57
Списание стоимости малоценных активов</t>
  </si>
  <si>
    <t>Обл. НДС
Бита Рh2 50мм 
Надходження товарів і послуг ІБ00-006043 від 10.10.2025 11:00:00
Астарта_Тищенки</t>
  </si>
  <si>
    <t>Обл. НДС
Бита Рh2 51мм 
Надходження товарів і послуг ІБ00-006588 від 04.11.2025 11:00:00
Астарта_Тищенки</t>
  </si>
  <si>
    <t>Обл. НДС
Бита торцева магн. Sw8
Надходження товарів і послуг ІБ00-006588 від 04.11.2025 11:00:00
Астарта_Тищенки</t>
  </si>
  <si>
    <t>Обл. НДС
Бокорізи 180 мм 
Надходження товарів і послуг ІБ00-004292 від 01.08.2025 11:00:00
Астарта_Тищенки</t>
  </si>
  <si>
    <t>Обл. НДС
Бур +10*200/260 плюс-1 бетон цегла
Надходження товарів і послуг ІБ00-006043 від 10.10.2025 11:00:00
Астарта_Тищенки</t>
  </si>
  <si>
    <t>Обл. НДС
Бур +12*200/260 5Х
Надходження товарів і послуг ІБ00-006043 від 10.10.2025 11:00:00
Астарта_Тищенки</t>
  </si>
  <si>
    <t>Обл. НДС
Бур +8*200/260 плюс-1 бетон цегла
Надходження товарів і послуг ІБ00-006043 від 10.10.2025 11:00:00
Астарта_Тищенки</t>
  </si>
  <si>
    <t>Обл. НДС
Бур SDS Plus  6*160 по бетону
Надходження товарів і послуг ІБ00-004997 від 02.09.2025 11:00:00
Астарта_Тищенки</t>
  </si>
  <si>
    <t>Обл. НДС
Бур SDS Plus 12*210 мм
Надходження товарів і послуг ІБ00-004997 від 02.09.2025 11:00:00
Астарта_Тищенки</t>
  </si>
  <si>
    <t>Обл. НДС
Бур по бетону22*460 SDS Plus
Надходження товарів і послуг ІБ00-006853 від 01.11.2025 11:00:00
Астарта_Тищенки</t>
  </si>
  <si>
    <t>Обл. НДС
Валик
Надходження товарів і послуг ІБ00-005859 від 01.10.2025 11:00:00
Астарта_Тищенки</t>
  </si>
  <si>
    <t>Обл. НДС
Валик міні 10 см
Надходження товарів і послуг ІБ00-006992 від 19.11.2025 11:00:00
Астарта_Тищенки</t>
  </si>
  <si>
    <t>Обл. НДС
Валік 18 см
Надходження товарів і послуг ІБ00-005485 від 01.09.2025 11:00:00
Астарта_Тищенки</t>
  </si>
  <si>
    <t>Обл. НДС
Валік 18 см
Надходження товарів і послуг ІБ00-006992 від 19.11.2025 11:00:00
Астарта_Тищенки</t>
  </si>
  <si>
    <t>Обл. НДС
Ванночка для валика
Надходження товарів і послуг ІБ00-005859 від 01.10.2025 11:00:00
Астарта_Тищенки</t>
  </si>
  <si>
    <t>Обл. НДС
Вилка пряма 16 А
Надходження товарів і послуг ІБ00-005855 від 01.10.2025 11:00:00
Астарта_Тищенки</t>
  </si>
  <si>
    <t>Обл. НДС
Вилка пряма з з/к,ІР44
Надходження товарів і послуг ІБ00-006234 від 20.10.2025 11:00:00
Астарта_Тищенки</t>
  </si>
  <si>
    <t>Обл. НДС
Витратний матеріал
Авансовий звіт ІБ00-000278 від 02.10.2025 18:25:46
Астарта_Тищенки</t>
  </si>
  <si>
    <t>Обл. НДС
Відбивач плівковий А4 жовтий
Надходження товарів і послуг ІБ00-004626 від 01.08.2025 11:00:00
Астарта_Тищенки</t>
  </si>
  <si>
    <t>Обл. НДС
Відро будівельне 12 л
Надходження товарів і послуг ІБ00-006043 від 10.10.2025 11:00:00
Астарта_Тищенки</t>
  </si>
  <si>
    <t>Обл. НДС
Відро будівельне 12 л
Надходження товарів і послуг ІБ00-006992 від 19.11.2025 11:00:00
Астарта_Тищенки</t>
  </si>
  <si>
    <t>Обл. НДС
Відро будівельне 15 л
Надходження товарів і послуг ІБ00-004287 від 01.08.2025 11:00:00
Астарта_Тищенки</t>
  </si>
  <si>
    <t>Обл. НДС
Держак д/лопати
Надходження товарів і послуг ІБ00-006992 від 19.11.2025 11:00:00
Астарта_Тищенки</t>
  </si>
  <si>
    <t>Обл. НДС
Держак для щіток
Надходження товарів і послуг ІБ00-006992 від 19.11.2025 11:00:00
Астарта_Тищенки</t>
  </si>
  <si>
    <t>Обл. НДС
Диск пильний 190*30*z=48 Eco for Wood (дерево,ДСП,МДФ,ламінат)
Надходження товарів і послуг ІБ00-006043 від 10.10.2025 11:00:00
Астарта_Тищенки</t>
  </si>
  <si>
    <t>22.12.2025</t>
  </si>
  <si>
    <t>Передача малоцінних активів в експлуатацію ІБ00-000668 від 22.12.2025 17:34:36
Списание стоимости малоценных активов</t>
  </si>
  <si>
    <t>Обл. НДС
Лопатка шиномонт 750мм монтіровка
Надходження товарів і послуг ІБ00-006992 від 19.11.2025 11:00:00
Астарта_Тищенки</t>
  </si>
  <si>
    <t>Обл. НДС
Макловиця 50*150 мм
Надходження товарів і послуг ІБ00-006043 від 10.10.2025 11:00:00
Астарта_Тищенки</t>
  </si>
  <si>
    <t>Обл. НДС
Макловиця 50*150 мм
Надходження товарів і послуг ІБ00-006992 від 19.11.2025 11:00:00
Астарта_Тищенки</t>
  </si>
  <si>
    <t>Обл. НДС
Мішок п/п 
Надходження товарів і послуг ІБ00-005004 від 05.09.2025 11:00:00
Астарта_Тищенки</t>
  </si>
  <si>
    <t>Обл. НДС
Ніж висувний 18 мм
Надходження товарів і послуг ІБ00-006992 від 19.11.2025 11:00:00
Астарта_Тищенки</t>
  </si>
  <si>
    <t>Передача малоцінних активів в експлуатацію ІБ00-000669 від 22.12.2025 17:34:39
Списание стоимости малоценных активов</t>
  </si>
  <si>
    <t>Обл. НДС
Круг відрізний по металу 230*2,5*22,23 
Надходження товарів і послуг ІБ00-006236 від 20.10.2025 11:00:00
Астарта_Тищенки</t>
  </si>
  <si>
    <t>Обл. НДС
Електроди "Моноліт РЦ" 3 мм 2,5кг
Надходження товарів і послуг ІБ00-006235 від 20.10.2025 11:00:00
Астарта_Тищенки</t>
  </si>
  <si>
    <t>Передача малоцінних активів в експлуатацію ІБ00-000670 від 22.12.2025 17:34:42
Списание стоимости малоценных активов</t>
  </si>
  <si>
    <t>Обл. НДС
Касета-розетка 3гн, з/к з кришками Омега ІР44  16А
Надходження товарів і послуг ІБ00-005855 від 01.10.2025 11:00:00
Астарта_Тищенки</t>
  </si>
  <si>
    <t>Обл. НДС
Касета-розетка 3гн, з/к з кришками Омега ІР44  16А
Надходження товарів і послуг ІБ00-006234 від 20.10.2025 11:00:00
Астарта_Тищенки</t>
  </si>
  <si>
    <t>Обл. НДС
Ізострічка 19 мм*20 м*0,13 мм, чорна
Надходження товарів і послуг ІБ00-005859 від 01.10.2025 11:00:00
Астарта_Тищенки</t>
  </si>
  <si>
    <t>Передача малоцінних активів в експлуатацію ІБ00-000671 від 22.12.2025 17:34:46
Списание стоимости малоценных активов</t>
  </si>
  <si>
    <t>Обл. НДС
Шуруп г/к по дереву 3,5*55 мм
Надходження товарів і послуг ІБ00-006043 від 10.10.2025 11:00:00
Астарта_Тищенки</t>
  </si>
  <si>
    <t>Обл. НДС
Шуруп г/к по дереву 3,5*55 мм
Надходження товарів і послуг ІБ00-006992 від 19.11.2025 11:00:00
Астарта_Тищенки</t>
  </si>
  <si>
    <t>Обл. НДС
Шуруп г/к по дереву 4,2*76 мм
Надходження товарів і послуг ІБ00-006992 від 19.11.2025 11:00:00
Астарта_Тищенки</t>
  </si>
  <si>
    <t>Обл. НДС
Шнур-жилка каменяра 0,8*100м
Надходження товарів і послуг ІБ00-006992 від 19.11.2025 11:00:00
Астарта_Тищенки</t>
  </si>
  <si>
    <t>Обл. НДС
Хомут затяж. нерж. 12-20
Надходження товарів і послуг ІБ00-005550 від 24.09.2025 11:00:00
Астарта_Тищенки</t>
  </si>
  <si>
    <t>Обл. НДС
ТАЗ будівельний прямокутний 40  л
Надходження товарів і послуг ІБ00-006992 від 19.11.2025 11:00:00
Астарта_Тищенки</t>
  </si>
  <si>
    <t>Обл. НДС
Тестер напруги UNIT-T UT115C
Надходження товарів і послуг ІБ00-004292 від 01.08.2025 11:00:00
Астарта_Тищенки</t>
  </si>
  <si>
    <t>Обл. НДС
Тримач електродів DE-2300  300А
Надходження товарів і послуг ІБ00-005859 від 01.10.2025 11:00:00
Астарта_Тищенки</t>
  </si>
  <si>
    <t>Обл. НДС
Стрейч-плівка 20 мікрон 300м чорна брутто 2,3 кг
Надходження товарів і послуг ІБ00-006992 від 19.11.2025 11:00:00
Астарта_Тищенки</t>
  </si>
  <si>
    <t>Обл. НДС
Стрічка сигнальна 80 мм*200 м
Надходження товарів і послуг ІБ00-004289 від 01.08.2025 11:00:00
Астарта_Тищенки</t>
  </si>
  <si>
    <t>Обл. НДС
Стрічка сигнальна червоно-біла 70х200 м
Надходження товарів і послуг ІБ00-006992 від 19.11.2025 11:00:00
Астарта_Тищенки</t>
  </si>
  <si>
    <t>Обл. НДС
Саморіз для гіпсокартону по дереву, фосфатований 
Авансовий звіт ІБ00-000357 від 18.11.2025 15:56:27
Астарта_Тищенки</t>
  </si>
  <si>
    <t>Обл. НДС
Сверло 16*152 мм по дереву плоскофрезерне
Надходження товарів і послуг ІБ00-006992 від 19.11.2025 11:00:00
Астарта_Тищенки</t>
  </si>
  <si>
    <t>Обл. НДС
Сверло 16*152 мм по дереву плоскофрезерне
Надходження товарів і послуг ІБ00-007231 від 28.11.2025 11:00:00
Астарта_Тищенки</t>
  </si>
  <si>
    <t>Обл. НДС
Сверло перо по дер. 20*152
Надходження товарів і послуг ІБ00-005140 від 10.09.2025 11:00:00
Астарта_Тищенки</t>
  </si>
  <si>
    <t>Обл. НДС
Сверло перо по дер. 20*152
Надходження товарів і послуг ІБ00-006992 від 19.11.2025 11:00:00
Астарта_Тищенки</t>
  </si>
  <si>
    <t>Обл. НДС
Сверло перо по дер. 20*152
Надходження товарів і послуг ІБ00-007231 від 28.11.2025 11:00:00
Астарта_Тищенки</t>
  </si>
  <si>
    <t>Обл. НДС
Сверло по бетону SDS-PLUS 10*150*210 мм
Надходження товарів і послуг ІБ00-005005 від 05.09.2025 11:00:00
Астарта_Тищенки</t>
  </si>
  <si>
    <t>Обл. НДС
Рулетка 5м*25мм Black edition
Надходження товарів і послуг ІБ00-006992 від 19.11.2025 11:00:00
Астарта_Тищенки</t>
  </si>
  <si>
    <t>Обл. НДС
Ручка для валика
Надходження товарів і послуг ІБ00-005485 від 01.09.2025 11:00:00
Астарта_Тищенки</t>
  </si>
  <si>
    <t>Обл. НДС
Ручка для валика
Надходження товарів і послуг ІБ00-005004 від 05.09.2025 11:00:00
Астарта_Тищенки</t>
  </si>
  <si>
    <t>Обл. НДС
Ручка для валика
Надходження товарів і послуг ІБ00-005859 від 01.10.2025 11:00:00
Астарта_Тищенки</t>
  </si>
  <si>
    <t>Обл. НДС
Ручка для валика
Надходження товарів і послуг ІБ00-006992 від 19.11.2025 11:00:00
Астарта_Тищенки</t>
  </si>
  <si>
    <t>Обл. НДС
Рукавички трикотажні помаранчеві з ПВХ крапкою 78412 / 8412
Надходження товарів і послуг ІБ00-006236 від 20.10.2025 11:00:00
Астарта_Тищенки</t>
  </si>
  <si>
    <t>Обл. НДС
Рулетка  5 м*19 мм 
Надходження товарів і послуг ІБ00-006234 від 20.10.2025 11:00:00
Астарта_Тищенки</t>
  </si>
  <si>
    <t>Обл. НДС
Рукавички скло/камінь черв з рифл гум надол  р.10
Надходження товарів і послуг ІБ00-006583 від 28.10.2025 11:00:00
Астарта_Тищенки</t>
  </si>
  <si>
    <t>Обл. НДС
Рукавички скло/камінь черв з рифл гум надол  р.10
Надходження товарів і послуг ІБ00-006990 від 19.11.2025 11:00:00
Астарта_Тищенки</t>
  </si>
  <si>
    <t>Обл. НДС
Взуття чоловіче SEVEN SAFETY S1FUR"  р.42
Надходження товарів і послуг ІБ00-007127 від 01.11.2025 11:00:00
Астарта_Тищенки</t>
  </si>
  <si>
    <t>Обл. НДС
Взуття чоловіче SEVEN SAFETY S1FUR"  р.43
Надходження товарів і послуг ІБ00-007127 від 01.11.2025 11:00:00
Астарта_Тищенки</t>
  </si>
  <si>
    <t>Обл. НДС
Взуття чоловіче SEVEN SAFETY S1FUR"  р.45
Надходження товарів і послуг ІБ00-007127 від 01.11.2025 11:00:00
Астарта_Тищенки</t>
  </si>
  <si>
    <t>Передача малоцінних активів в експлуатацію ІБ00-000674 від 22.12.2025 22:34:52
Списание стоимости малоценных активов</t>
  </si>
  <si>
    <t>Обл. НДС
Круг алмаз. відрізний по металу 230*2,5*22,23
Надходження товарів і послуг ІБ00-005859 від 01.10.2025 11:00:00
Астарта_Тищенки</t>
  </si>
  <si>
    <t>Обл. НДС
Круг відрізний 125*1,6*22
Надходження товарів і послуг ІБ00-006043 від 10.10.2025 11:00:00
Астарта_Тищенки</t>
  </si>
  <si>
    <t>Обл. НДС
Круг відрізний 125*1,6*22
Надходження товарів і послуг ІБ00-006990 від 19.11.2025 11:00:00
Астарта_Тищенки</t>
  </si>
  <si>
    <t>Обл. НДС
Рукавички зварювальника краги червоні (10)
Надходження товарів і послуг ІБ00-006234 від 20.10.2025 11:00:00
Астарта_Тищенки</t>
  </si>
  <si>
    <t>Обл. НДС
Вставка зі штуч.хутра в чол.чоботи р.43-44
Надходження товарів і послуг ІБ00-006043 від 10.10.2025 11:00:00
Астарта_Тищенки</t>
  </si>
  <si>
    <t>Обл. НДС
Вставка зі штуч.хутра в чол.чоботи р.43-44
Надходження товарів і послуг ІБ00-006583 від 28.10.2025 11:00:00
Астарта_Тищенки</t>
  </si>
  <si>
    <t>Обл. НДС
Вставка зі штуч.хутра в чол.чоботи р.45-46
Надходження товарів і послуг ІБ00-006583 від 28.10.2025 11:00:00
Астарта_Тищенки</t>
  </si>
  <si>
    <t>Передача малоцінних активів в експлуатацію ІБ00-000680 від 29.12.2025 18:37:55
Списание стоимости малоценных активов</t>
  </si>
  <si>
    <t>Обл. НДС
Круг відрізний  125*1,6*22
Надходження товарів і послуг ІБ00-006234 від 20.10.2025 11:00:00
Астарта_Тищенки</t>
  </si>
  <si>
    <t>Передача малоцінних активів в експлуатацію ІБ00-000681 від 29.12.2025 18:37:57
Списание стоимости малоценных активов</t>
  </si>
  <si>
    <t>Передача малоцінних активів в експлуатацію ІБ00-000682 від 29.12.2025 18:37:59
Списание стоимости малоценных активов</t>
  </si>
  <si>
    <t>Обл. НДС
Фреза алмазна торцева 100*22,23-14 по бетону Distar/Baumesser
Надходження товарів і послуг ІБ00-006990 від 19.11.2025 11:00:00
Астарта_Тищенки</t>
  </si>
  <si>
    <t>Обл. НДС
Строп СТП-3,0/4000
Надходження товарів і послуг ІБ00-006236 від 20.10.2025 11:00:00
Астарта_Тищенки</t>
  </si>
  <si>
    <t>Обл. НДС
Рукавички краги на підкладці
Надходження товарів і послуг ІБ00-006583 від 28.10.2025 11:00:00
Астарта_Тищенки</t>
  </si>
  <si>
    <t>Обл. НДС
Рівень 100 см
Надходження товарів і послуг ІБ00-006583 від 28.10.2025 11:00:00
Астарта_Тищенки</t>
  </si>
  <si>
    <t>Обл. НДС
Пістолет для  піни, тефлонове покриття,2,1мм
Надходження товарів і послуг ІБ00-005484 від 01.09.2025 11:00:00
Астарта_Тищенки</t>
  </si>
  <si>
    <t>Передача малоцінних активів в експлуатацію ІБ00-000683 від 29.12.2025 18:38:02
Списание стоимости малоценных активов</t>
  </si>
  <si>
    <t>Передача малоцінних активів в експлуатацію ІБ00-000684 від 29.12.2025 18:39:00
Списание стоимости малоценных активов</t>
  </si>
  <si>
    <t>Обл. НДС
Шпатель 100 мм 
Надходження товарів і послуг ІБ00-005004 від 05.09.2025 11:00:00
Астарта_Тищенки</t>
  </si>
  <si>
    <t>Обл. НДС
Шпатель 100 мм 
Надходження товарів і послуг ІБ00-006992 від 19.11.2025 11:00:00
Астарта_Тищенки</t>
  </si>
  <si>
    <t>Обл. НДС
Распіратор
Надходження товарів і послуг ІБ00-005139 від 10.09.2025 11:00:00
Астарта_Тищенки</t>
  </si>
  <si>
    <t>Обл. НДС
Чоботи гумові Vorel робочі з ПВХ, р.43
Надходження товарів і послуг ІБ00-006043 від 10.10.2025 11:00:00
Астарта_Тищенки</t>
  </si>
  <si>
    <t>Обл. НДС
Чоботи гумові Vorel робочі з ПВХ, р.44
Надходження товарів і послуг ІБ00-006043 від 10.10.2025 11:00:00
Астарта_Тищенки</t>
  </si>
  <si>
    <t>Обл. НДС
Чоботи гумові чол.44 р
Надходження товарів і послуг ІБ00-006583 від 28.10.2025 11:00:00
Астарта_Тищенки</t>
  </si>
  <si>
    <t>Обл. НДС
Чоботи гумові чол.45 р
Надходження товарів і послуг ІБ00-006583 від 28.10.2025 11:00:00
Астарта_Тищенки</t>
  </si>
  <si>
    <t>Передача малоцінних активів в експлуатацію ІБ00-000685 від 29.12.2025 18:39:03
Списание стоимости малоценных активов</t>
  </si>
  <si>
    <t>Передача малоцінних активів в експлуатацію ІБ00-000686 від 29.12.2025 18:39:07
Списание стоимости малоценных активов</t>
  </si>
  <si>
    <t>Обл. НДС
Електроди "Моноліт РЦ" 4 мм уп. 5,0 кг
Надходження товарів і послуг ІБ00-006235 від 20.10.2025 11:00:00
Астарта_Тищенки</t>
  </si>
  <si>
    <t>Обл. НДС
Карабін овал.з гвинт.муфтою Oval-S
Надходження товарів і послуг ІБ00-006636 від 22.10.2025 11:00:00
Астарта_Тищенки</t>
  </si>
  <si>
    <t>Передача малоцінних активів в експлуатацію ІБ00-000687 від 29.12.2025 18:39:08
Списание стоимости малоценных активов</t>
  </si>
  <si>
    <t>Передача малоцінних активів в експлуатацію ІБ00-000688 від 29.12.2025 22:38:07
Списание стоимости малоценных активов</t>
  </si>
  <si>
    <t>Обл. НДС
Леза 18 мм сегментні 10 шт
Надходження товарів і послуг ІБ00-006992 від 19.11.2025 11:00:00
Астарта_Тищенки</t>
  </si>
  <si>
    <t>Обл. НДС
Леза 18 мм сегментні, к-т
Надходження товарів і послуг ІБ00-005005 від 05.09.2025 11:00:00
Астарта_Тищенки</t>
  </si>
  <si>
    <t>Передача малоцінних активів в експлуатацію ІБ00-000689 від 29.12.2025 22:38:09
Списание стоимости малоценных активов</t>
  </si>
  <si>
    <t>Обл. НДС
Плівка п/е 150 мк 2с 50м 150кв м
Надходження товарів і послуг ІБ00-004287 від 01.08.2025 11:00:00
Астарта_Тищенки</t>
  </si>
  <si>
    <t>Обл. НДС
Каска будівельна помаранчева (Україна)
Надходження товарів і послуг ІБ00-004289 від 01.08.2025 11:00:00
Астарта_Тищенки</t>
  </si>
  <si>
    <t>Обл. НДС
Каска будівельна, біла
Надходження товарів і послуг ІБ00-004289 від 01.08.2025 11:00:00
Астарта_Тищенки</t>
  </si>
  <si>
    <t>Передача малоцінних активів в експлуатацію ІБ00-000690 від 29.12.2025 22:38:12
Списание стоимости малоценных активов</t>
  </si>
  <si>
    <t>Передача малоцінних активів в експлуатацію ІБ00-000702 від 29.12.2025 22:38:18
Списание стоимости малоценных активов</t>
  </si>
  <si>
    <t>Передача малоцінних активів в експлуатацію ІБ00-000703 від 29.12.2025 22:38:20
Списание стоимости малоценных активов</t>
  </si>
  <si>
    <t>Обл. НДС
Затискач маси прищіпка МК-400 А
Надходження товарів і послуг ІБ00-005855 від 01.10.2025 11:00:00
Астарта_Тищенки</t>
  </si>
  <si>
    <t>Обл. НДС
Електрод  АНО-36 ф4  5 кг (пач)
Надходження товарів і послуг ІБ00-006993 від 19.11.2025 11:00:00
Астарта_Тищенки</t>
  </si>
  <si>
    <t>Обл. НДС
Костюм "ІТР" р. 104-108/170-176
Надходження товарів і послуг ІБ00-006989 від 04.11.2025 11:00:00
Астарта_Тищенки</t>
  </si>
  <si>
    <t>Передача малоцінних активів в експлуатацію ІБ00-000704 від 29.12.2025 22:40:01
Списание стоимости малоценных активов</t>
  </si>
  <si>
    <t>Обл. НДС
Електрод  АНО-36 ф3  2,5кг (пач)
Надходження товарів і послуг ІБ00-006993 від 19.11.2025 11:00:00
Астарта_Тищенки</t>
  </si>
  <si>
    <t>Обл. НДС
Кабель КГ 1*35 зварювальний 300А 
Надходження товарів і послуг ІБ00-006043 від 10.10.2025 11:00:00
Астарта_Тищенки</t>
  </si>
  <si>
    <t>Обл. НДС
Касета-розетка 3гн., з/к з кришками ОМЕГА ІР44 16А
Надходження товарів і послуг ІБ00-006043 від 10.10.2025 11:00:00
Астарта_Тищенки</t>
  </si>
  <si>
    <t>Обл. НДС
Лом будівельний, 1,5 м
Надходження товарів і послуг ІБ00-004292 від 01.08.2025 11:00:00
Астарта_Тищенки</t>
  </si>
  <si>
    <t>Обл. НДС
Лом цвяхотяг слюсарний 700мм
Надходження товарів і послуг ІБ00-004292 від 01.08.2025 11:00:00
Астарта_Тищенки</t>
  </si>
  <si>
    <t>Обл. НДС
Лопата совкова 
Надходження товарів і послуг ІБ00-006992 від 19.11.2025 11:00:00
Астарта_Тищенки</t>
  </si>
  <si>
    <t>Обл. НДС
Маска зварювальника
Надходження товарів і послуг ІБ00-005855 від 01.10.2025 11:00:00
Астарта_Тищенки</t>
  </si>
  <si>
    <t>Обл. НДС
Набір насадок та інструментів CrV 90T 100шт
Надходження товарів і послуг ІБ00-005239 від 15.09.2025 11:00:00
Астарта_Тищенки</t>
  </si>
  <si>
    <t>Обл. НДС
Напилок триграний 250мм
Надходження товарів і послуг ІБ00-005859 від 01.10.2025 11:00:00
Астарта_Тищенки</t>
  </si>
  <si>
    <t>Обл. НДС
Ножівка по дереву 500 мм
Надходження товарів і послуг ІБ00-004287 від 01.08.2025 11:00:00
Астарта_Тищенки</t>
  </si>
  <si>
    <t>Обл. НДС
Ножівка по дереву 500 мм
Надходження товарів і послуг ІБ00-005859 від 01.10.2025 11:00:00
Астарта_Тищенки</t>
  </si>
  <si>
    <t>Обл. НДС
Ножівка по пінобетону 700мм
Надходження товарів і послуг ІБ00-006043 від 10.10.2025 11:00:00
Астарта_Тищенки</t>
  </si>
  <si>
    <t>Обл. НДС
Окуляри захисні
Надходження товарів і послуг ІБ00-006236 від 20.10.2025 11:00:00
Астарта_Тищенки</t>
  </si>
  <si>
    <t>Обл. НДС
Прожектор світлодіодний 100W Магнум 6500К ІР65
Надходження товарів і послуг ІБ00-004292 від 01.08.2025 11:00:00
Астарта_Тищенки</t>
  </si>
  <si>
    <t>Обл. НДС
Піна монтажна  750 мл 
Надходження товарів і послуг ІБ00-005484 від 01.09.2025 11:00:00
Астарта_Тищенки</t>
  </si>
  <si>
    <t>Надходження товарів і послуг ІБ00-007448 від 01.12.2025 11:00:00
Оприходованы ТМЦ (Зачет аванса поставщику)</t>
  </si>
  <si>
    <t>Обл. НДС
Взуття чоловіче SEVEN SAFETY S1FUR"  р.42
Надходження товарів і послуг ІБ00-007448 від 01.12.2025 11:00:00
КМД-2</t>
  </si>
  <si>
    <t>БРАВО-СП ТОВ
РАХУНКИ_КМД-2
Рахунок на оплату постачальника ІБ00-005175 від 28.10.2025 17:51:57</t>
  </si>
  <si>
    <t>Обл. НДС
Взуття чоловіче SEVEN SAFETY S1FUR"  р.43
Надходження товарів і послуг ІБ00-007448 від 01.12.2025 11:00:00
КМД-2</t>
  </si>
  <si>
    <t>Надходження товарів і послуг ІБ00-007449 від 01.12.2025 11:00:00
Оприходованы ТМЦ (Зачет аванса поставщику)</t>
  </si>
  <si>
    <t>Обл. НДС
Взуття чоловіче SEVEN SAFETY 2107 S1  р.44
Надходження товарів і послуг ІБ00-007449 від 01.12.2025 11:00:00
КМД-2</t>
  </si>
  <si>
    <t>БРАВО-СП ТОВ
РАХУНКИ_КМД-2
Рахунок на оплату постачальника ІБ00-005612 від 01.11.2025 12:00:36</t>
  </si>
  <si>
    <t>Надходження товарів і послуг ІБ00-007450 від 01.12.2025 11:00:00
Оприходованы ТМЦ (Зачет аванса поставщику)</t>
  </si>
  <si>
    <t>Обл. НДС
Дріт ПВС  5*6
Надходження товарів і послуг ІБ00-007450 від 01.12.2025 11:00:00
КМД-2</t>
  </si>
  <si>
    <t>УКРЕНЕРГО-АЛЬЯНС
РАХУНКИ_КМД-2
Рахунок на оплату постачальника ІБ00-005774 від 19.11.2025 18:00:07</t>
  </si>
  <si>
    <t>Обл. НДС
Провід ПВС 3*2,5  км
Надходження товарів і послуг ІБ00-007450 від 01.12.2025 11:00:00
КМД-2</t>
  </si>
  <si>
    <t>Надходження товарів і послуг ІБ00-007450 від 01.12.2025 11:00:00
Оприходованы ТМЦ</t>
  </si>
  <si>
    <t>Обл. НДС
Вимикач автоматичний e.mcb.stand.45.3.C40, 3P 40A 4,5kA 
Надходження товарів і послуг ІБ00-007450 від 01.12.2025 11:00:00
КМД-2</t>
  </si>
  <si>
    <t>Обл. НДС
Вимикач автоматичний e.mcb.stand.45.3.C32, 3P 32A 4,5kA 
Надходження товарів і послуг ІБ00-007450 від 01.12.2025 11:00:00
КМД-2</t>
  </si>
  <si>
    <t>Обл. НДС
Коробка монтажна 150*150*80 АВС ІР65
Надходження товарів і послуг ІБ00-007450 від 01.12.2025 11:00:00
КМД-2</t>
  </si>
  <si>
    <t>Обл. НДС
Наконечник втулковий з ізоляцією Е6,0-12 червон'
Надходження товарів і послуг ІБ00-007450 від 01.12.2025 11:00:00
КМД-2</t>
  </si>
  <si>
    <t>Обл. НДС
Наконечник втулковий з ізоляцією Е4,0-09 чорний 100шт/пак
Надходження товарів і послуг ІБ00-007450 від 01.12.2025 11:00:00
КМД-2</t>
  </si>
  <si>
    <t>Обл. НДС
Наконечник втулковий з ізоляцією Е2,5-08 чорний 
Надходження товарів і послуг ІБ00-007450 від 01.12.2025 11:00:00
КМД-2</t>
  </si>
  <si>
    <t>Надходження товарів і послуг ІБ00-007478 від 01.12.2025 11:00:00
Оприходованы ТМЦ (Зачет аванса поставщику)</t>
  </si>
  <si>
    <t>Обл. НДС
Грунт світло-сірий 400 мл (аерозоль) швидкосохнучий
Надходження товарів і послуг ІБ00-007478 від 01.12.2025 11:00:00
КМД-2</t>
  </si>
  <si>
    <t>Константінов Юрій ФОП
Рахунки_КМД-2
Рахунок на оплату постачальника ІБ00-005613 від 17.11.2025 23:57:07</t>
  </si>
  <si>
    <t>Надходження товарів і послуг ІБ00-007483 від 01.12.2025 11:00:00
Оприходованы ТМЦ (Зачет аванса поставщику)</t>
  </si>
  <si>
    <t>Обл. НДС
Рукавиці трикотаж.покриті латексом
Надходження товарів і послуг ІБ00-007483 від 01.12.2025 11:00:00
КМД-2</t>
  </si>
  <si>
    <t>УКРСЕРВІС КОМПАНІЯ ТОВ
Рахунки_КМД-2
Рахунок на оплату постачальника ІБ00-005616 від 19.11.2025 17:43:59</t>
  </si>
  <si>
    <t>Надходження товарів і послуг ІБ00-007484 від 01.12.2025 11:00:00
Оприходованы ТМЦ (Зачет аванса поставщику)</t>
  </si>
  <si>
    <t>Обл. НДС
Шнур відбивочний 30 м з порошком
Надходження товарів і послуг ІБ00-007484 від 01.12.2025 11:00:00
КМД-2</t>
  </si>
  <si>
    <t>УКРСЕРВІС КОМПАНІЯ ТОВ
Рахунки_КМД-2
Рахунок на оплату постачальника ІБ00-005440 від 04.11.2025 18:47:08</t>
  </si>
  <si>
    <t>Обл. НДС
Бита Рh2 89мм 
Надходження товарів і послуг ІБ00-007484 від 01.12.2025 11:00:00
КМД-2</t>
  </si>
  <si>
    <t>Обл. НДС
Пензель плаский 4*100мм пластик. ручка
Надходження товарів і послуг ІБ00-007484 від 01.12.2025 11:00:00
КМД-2</t>
  </si>
  <si>
    <t>Обл. НДС
Валик 25см ROMA фасадний+ручка 
Надходження товарів і послуг ІБ00-007484 від 01.12.2025 11:00:00
КМД-2</t>
  </si>
  <si>
    <t>Обл. НДС
Кутник столярний 300 мм алюм.
Надходження товарів і послуг ІБ00-007484 від 01.12.2025 11:00:00
КМД-2</t>
  </si>
  <si>
    <t>Обл. НДС
Вилка пряма 16 А
Надходження товарів і послуг ІБ00-007484 від 01.12.2025 11:00:00
КМД-2</t>
  </si>
  <si>
    <t>Обл. НДС
Шуруп г/к по дереву 3,5*51 мм
Надходження товарів і послуг ІБ00-007484 від 01.12.2025 11:00:00
КМД-2</t>
  </si>
  <si>
    <t>Обл. НДС
Шуруп  гіпсокарт.дерево 4,2*70
Надходження товарів і послуг ІБ00-007484 від 01.12.2025 11:00:00
КМД-2</t>
  </si>
  <si>
    <t>Обл. НДС
(я-94)BOSCH витратні Круг відрізний 230*2,5*22 увігнутий
Надходження товарів і послуг ІБ00-007484 від 01.12.2025 11:00:00
КМД-2</t>
  </si>
  <si>
    <t>Обл. НДС
Круг алмазний 230 бетон,граніт сегмент
Надходження товарів і послуг ІБ00-007484 від 01.12.2025 11:00:00
КМД-2</t>
  </si>
  <si>
    <t>Обл. НДС
Скотч 48 мм х 200 м
Надходження товарів і послуг ІБ00-007484 від 01.12.2025 11:00:00
КМД-2</t>
  </si>
  <si>
    <t>Обл. НДС
Спрей-змазка 150мл (WD-40)
Надходження товарів і послуг ІБ00-007484 від 01.12.2025 11:00:00
КМД-2</t>
  </si>
  <si>
    <t>Надходження товарів і послуг ІБ00-007484 від 01.12.2025 11:00:00
Оприходованы ТМЦ</t>
  </si>
  <si>
    <t>Обл. НДС
Ніж висувний з сегм.лезом 25мм
Надходження товарів і послуг ІБ00-007484 від 01.12.2025 11:00:00
КМД-2</t>
  </si>
  <si>
    <t>Обл. НДС
Рукав до мотопомпи 50мм д/зливу води
Надходження товарів і послуг ІБ00-007484 від 01.12.2025 11:00:00
КМД-2</t>
  </si>
  <si>
    <t>Обл. НДС
Розетка силова 32А, ІР44 переносна
Надходження товарів і послуг ІБ00-007484 від 01.12.2025 11:00:00
КМД-2</t>
  </si>
  <si>
    <t>Обл. НДС
Вилка силова 32А переносна 
Надходження товарів і послуг ІБ00-007484 від 01.12.2025 11:00:00
КМД-2</t>
  </si>
  <si>
    <t>Надходження товарів і послуг ІБ00-007485 від 01.12.2025 11:00:00
Оприходованы ТМЦ</t>
  </si>
  <si>
    <t>Обл. НДС
Змазка в паливо для 2-х тактних двигунів 1:50  литр
Надходження товарів і послуг ІБ00-007485 від 01.12.2025 11:00:00
КМД-2</t>
  </si>
  <si>
    <t>УКРСЕРВІС КОМПАНІЯ ТОВ
Рахунки_КМД-2
Рахунок на оплату постачальника ІБ00-005931 від 28.11.2025 23:01:02</t>
  </si>
  <si>
    <t>Надходження товарів і послуг ІБ00-007486 від 01.12.2025 11:00:00
Оприходованы ТМЦ (Зачет аванса поставщику)</t>
  </si>
  <si>
    <t>Обл. НДС
Сверло 16*152 мм по дереву плоскофрезерне
Надходження товарів і послуг ІБ00-007486 від 01.12.2025 11:00:00
КМД-2</t>
  </si>
  <si>
    <t>УКРСЕРВІС КОМПАНІЯ ТОВ
Рахунки_КМД-2
Рахунок на оплату постачальника ІБ00-005256 від 28.10.2025 18:30:10</t>
  </si>
  <si>
    <t>Надходження товарів і послуг ІБ00-007487 від 01.12.2025 11:00:00
Оприходованы ТМЦ (Зачет аванса поставщику)</t>
  </si>
  <si>
    <t>Обл. НДС
Подушка ватна 60х60
Надходження товарів і послуг ІБ00-007487 від 01.12.2025 11:00:00
КМД-2</t>
  </si>
  <si>
    <t>УКРСЕРВІС КОМПАНІЯ ТОВ
Рахунки_КМД-2
Рахунок на оплату постачальника ІБ00-005439 від 04.11.2025 18:47:07</t>
  </si>
  <si>
    <t>Обл. НДС
Ковдра
Надходження товарів і послуг ІБ00-007487 від 01.12.2025 11:00:00
КМД-2</t>
  </si>
  <si>
    <t>Надходження товарів і послуг ІБ00-007661 від 01.12.2025 11:00:00
Оприходованы ТМЦ (Зачет аванса поставщику)</t>
  </si>
  <si>
    <t>Обл. НДС
Монтажний набір ROS11/I-25
Надходження товарів і послуг ІБ00-007661 від 01.12.2025 11:00:00
КМД-2</t>
  </si>
  <si>
    <t>Ітеко СІД
Рахунки_КМД-2
Рахунок на оплату постачальника ІБ00-005444 від 07.11.2025 17:50:12</t>
  </si>
  <si>
    <t>Обл. НДС
Монтажний набір ROS11/I-21
Надходження товарів і послуг ІБ00-007661 від 01.12.2025 11:00:00
КМД-2</t>
  </si>
  <si>
    <t>02.12.2025</t>
  </si>
  <si>
    <t>Комплектація номенклатури ІБ00-000043 від 02.12.2025 00:00:00
Комплектация</t>
  </si>
  <si>
    <t>Обл. НДС
Шуруп г/картон по дер.4,2*70 (уп.250шт)
Комплектація номенклатури ІБ00-000043 від 02.12.2025 00:00:00
КМД-2</t>
  </si>
  <si>
    <t>Надходження товарів і послуг ІБ00-007451 від 02.12.2025 11:00:00
Оприходованы ТМЦ</t>
  </si>
  <si>
    <t>Обл. НДС
Круг відрізний  125*1,6*22
Надходження товарів і послуг ІБ00-007451 від 02.12.2025 11:00:00
КМД-2</t>
  </si>
  <si>
    <t>УКРСЕРВІС КОМПАНІЯ ТОВ
Рахунки_КМД-2
Рахунок на оплату постачальника ІБ00-005930 від 01.12.2025 18:00:24</t>
  </si>
  <si>
    <t>Обл. НДС
Бур + 8*100/160 plus1 бетон,цегла
Надходження товарів і послуг ІБ00-007451 від 02.12.2025 11:00:00
КМД-2</t>
  </si>
  <si>
    <t>Надходження товарів і послуг ІБ00-007623 від 02.12.2025 11:00:00
Оприходованы ТМЦ</t>
  </si>
  <si>
    <t>Обл. НДС
Розетка стаціонарна наружна 125 32А 380В 3Р+N+Е ІР44
Надходження товарів і послуг ІБ00-007623 від 02.12.2025 11:00:00
КМД-2</t>
  </si>
  <si>
    <t>Обл. НДС
Вилка переносна 025 32А 380В 3Р+N+Е ІР44
Надходження товарів і послуг ІБ00-007623 від 02.12.2025 11:00:00
КМД-2</t>
  </si>
  <si>
    <t>Обл. НДС
Перемикач навантаження SSQ 463 "1-0-2" 4р 63А
Надходження товарів і послуг ІБ00-007623 від 02.12.2025 11:00:00
КМД-2</t>
  </si>
  <si>
    <t>Надходження товарів і послуг ІБ00-007646 від 02.12.2025 11:00:00
Оприходованы ТМЦ</t>
  </si>
  <si>
    <t>Обл. НДС
Бита Рh2 51мм 
Надходження товарів і послуг ІБ00-007646 від 02.12.2025 11:00:00
КМД-2</t>
  </si>
  <si>
    <t>УКРСЕРВІС КОМПАНІЯ ТОВ
Рахунки_КМД-2
Рахунок на оплату постачальника ІБ00-006181 від 01.12.2025 23:00:55</t>
  </si>
  <si>
    <t>Обл. НДС
піка SDS max 600 мм
Надходження товарів і послуг ІБ00-007646 від 02.12.2025 11:00:00
КМД-2</t>
  </si>
  <si>
    <t>Обл. НДС
Зубило М25*600мм посилене
Надходження товарів і послуг ІБ00-007646 від 02.12.2025 11:00:00
КМД-2</t>
  </si>
  <si>
    <t>Обл. НДС
Дюбель з ударним шурупом 8*80 потай
Надходження товарів і послуг ІБ00-007646 від 02.12.2025 11:00:00
КМД-2</t>
  </si>
  <si>
    <t>Комплектація номенклатури ІБ00-000042 від 02.12.2025 18:31:29
Комплектация</t>
  </si>
  <si>
    <t>Обл. НДС
Шуруп г/картон по дер.3,5*51 (уп.500шт.)
Комплектація номенклатури ІБ00-000042 від 02.12.2025 18:31:29
КМД-2</t>
  </si>
  <si>
    <t>Реалізація товарів і послуг ІБ00-000097 від 16.12.2025 00:00:00
Списаны ТМЦ</t>
  </si>
  <si>
    <t>&lt;...&gt;
&lt;...&gt;
Себестоимость реализованных покупных запасов</t>
  </si>
  <si>
    <t>Обл. НДС
(я-124)BOSCH витратні Бур + 18*250/300 plus5 бетон,цегла
Надходження товарів і послуг ІБ00-006672 від 01.11.2025 11:00:00
КМД-2</t>
  </si>
  <si>
    <t>943</t>
  </si>
  <si>
    <t>Обл. НДС
Бокорізи 180 мм 
Надходження товарів і послуг ІБ00-006694 від 01.11.2025 12:00:02
КМД-2</t>
  </si>
  <si>
    <t>Обл. НДС
Бур +10*200/260 плюс-1 бетон цегла
Надходження товарів і послуг ІБ00-006672 від 01.11.2025 11:00:00
КМД-2</t>
  </si>
  <si>
    <t>Обл. НДС
Бур +12*200/260 5Х
Надходження товарів і послуг ІБ00-006672 від 01.11.2025 11:00:00
КМД-2</t>
  </si>
  <si>
    <t>Обл. НДС
Відро будівельне 15 л
Надходження товарів і послуг ІБ00-006697 від 01.11.2025 11:00:00
КМД-2</t>
  </si>
  <si>
    <t>Обл. НДС
Гачок для вязки дроту 210 мм
Надходження товарів і послуг ІБ00-006697 від 01.11.2025 11:00:00
КМД-2</t>
  </si>
  <si>
    <t>Обл. НДС
Держак д/лопати
Надходження товарів і послуг ІБ00-006694 від 01.11.2025 12:00:02
КМД-2</t>
  </si>
  <si>
    <t>Обл. НДС
диск пильний 190*20/16мм 48 зуб.
Надходження товарів і послуг ІБ00-006448 від 02.10.2025 11:00:00
КМД-2</t>
  </si>
  <si>
    <t>Обл. НДС
Електроди "Моноліт РЦ" 4 мм 5кг
Надходження товарів і послуг ІБ00-006694 від 01.11.2025 12:00:02
КМД-2</t>
  </si>
  <si>
    <t>Обл. НДС
Жилка будівельна Ф8мм 100метр,
Надходження товарів і послуг ІБ00-006697 від 01.11.2025 11:00:00
КМД-2</t>
  </si>
  <si>
    <t>Обл. НДС
Каністра  20 л
Надходження товарів і послуг ІБ00-006633 від 01.10.2025 11:00:00
КМД-2</t>
  </si>
  <si>
    <t>Обл. НДС
Кувалда 6 кг з ручкою
Надходження товарів і послуг ІБ00-006694 від 01.11.2025 12:00:02
КМД-2</t>
  </si>
  <si>
    <t>Обл. НДС
Лампа LED  50W E40 6500K
Надходження товарів і послуг ІБ00-006673 від 01.11.2025 11:00:00
КМД-2</t>
  </si>
  <si>
    <t>Обл. НДС
Лампа світлодіодна ЕСО А60 куля 7Вт 230В 3000К Е27 ІЕК
Надходження товарів і послуг ІБ00-006449 від 15.10.2025 11:00:00
КМД-2</t>
  </si>
  <si>
    <t>Обл. НДС
Лом цвяхотяг слюсарний 700мм
Надходження товарів і послуг ІБ00-006694 від 01.11.2025 12:00:02
КМД-2</t>
  </si>
  <si>
    <t>Обл. НДС
Лопата 
Надходження товарів і послуг ІБ00-006694 від 01.11.2025 12:00:02
КМД-2</t>
  </si>
  <si>
    <t>Обл. НДС
Лопата совкова 
Надходження товарів і послуг ІБ00-006697 від 01.11.2025 11:00:00
КМД-2</t>
  </si>
  <si>
    <t>Обл. НДС
Лопата совкова 
Надходження товарів і послуг ІБ00-006694 від 01.11.2025 12:00:02
КМД-2</t>
  </si>
  <si>
    <t>Обл. НДС
Лопата штикова
Надходження товарів і послуг ІБ00-006694 від 01.11.2025 12:00:02
КМД-2</t>
  </si>
  <si>
    <t>Обл. НДС
Лопата штикова з держаком 
Надходження товарів і послуг ІБ00-006697 від 01.11.2025 11:00:00
КМД-2</t>
  </si>
  <si>
    <t>Обл. НДС
Маска зварювальника
Надходження товарів і послуг ІБ00-006694 від 01.11.2025 12:00:02
КМД-2</t>
  </si>
  <si>
    <t>Обл. НДС
Молоток  1000 гр.
Надходження товарів і послуг ІБ00-006694 від 01.11.2025 12:00:02
КМД-2</t>
  </si>
  <si>
    <t>Обл. НДС
Молоток  600 гр.
Надходження товарів і послуг ІБ00-006697 від 01.11.2025 11:00:00
КМД-2</t>
  </si>
  <si>
    <t>Обл. НДС
Набір викруток 7 предметів
Надходження товарів і послуг ІБ00-006697 від 01.11.2025 11:00:00
КМД-2</t>
  </si>
  <si>
    <t>Обл. НДС
Набір ключів комбінованих 6-32 мм 25 шт
Надходження товарів і послуг ІБ00-006697 від 01.11.2025 11:00:00
КМД-2</t>
  </si>
  <si>
    <t>Обл. НДС
Набір свердл по дереву 3-10мм 7шт
Надходження товарів і послуг ІБ00-006697 від 01.11.2025 11:00:00
КМД-2</t>
  </si>
  <si>
    <t>Обл. НДС
Ножівка по дереву
Надходження товарів і послуг ІБ00-006697 від 01.11.2025 11:00:00
КМД-2</t>
  </si>
  <si>
    <t>Обл. НДС
Окуляри захисні
Надходження товарів і послуг ІБ00-005640 від 26.09.2025 11:00:00
КМД-2</t>
  </si>
  <si>
    <t>Обл. НДС
Окуляри захисні
Надходження товарів і послуг ІБ00-006694 від 01.11.2025 12:00:02
КМД-2</t>
  </si>
  <si>
    <t>Обл. НДС
Очисник для піни С45 450 мл укр
Надходження товарів і послуг ІБ00-006673 від 01.11.2025 11:00:00
КМД-2</t>
  </si>
  <si>
    <t>Обл. НДС
Піна монтажна  750 мл 
Надходження товарів і послуг ІБ00-006673 від 01.11.2025 11:00:00
КМД-2</t>
  </si>
  <si>
    <t>Обл. НДС
Пістолет для  піни, тефлонове покриття,2,1мм
Надходження товарів і послуг ІБ00-006673 від 01.11.2025 11:00:00
КМД-2</t>
  </si>
  <si>
    <t>Обл. НДС
Рівень 150 см
Надходження товарів і послуг ІБ00-006813 від 01.11.2025 11:00:00
КМД-2</t>
  </si>
  <si>
    <t>Обл. НДС
Рівень 2000мм Spirit
Надходження товарів і послуг ІБ00-006813 від 01.11.2025 11:00:00
КМД-2</t>
  </si>
  <si>
    <t>Обл. НДС
Рукавички краги на підкладці
Надходження товарів і послуг ІБ00-006694 від 01.11.2025 12:00:02
КМД-2</t>
  </si>
  <si>
    <t>Обл. НДС
Рулетка  100м*12,7мм геодез 
Надходження товарів і послуг ІБ00-006618 від 06.10.2025 11:00:00
КМД-2</t>
  </si>
  <si>
    <t>Обл. НДС
Сверло 16*152 мм по дереву плоскофрезерне
Надходження товарів і послуг ІБ00-006672 від 01.11.2025 11:00:00
КМД-2</t>
  </si>
  <si>
    <t>Обл. НДС
Сверло до дерева перове 18*152мм
Надходження товарів і послуг ІБ00-006672 від 01.11.2025 11:00:00
КМД-2</t>
  </si>
  <si>
    <t>Обл. НДС
Скребок для розподілення бетону 
Надходження товарів і послуг ІБ00-006674 від 01.11.2025 11:00:00
КМД-2</t>
  </si>
  <si>
    <t>Обл. НДС
Сокира 1250 гр
Надходження товарів і послуг ІБ00-006694 від 01.11.2025 12:00:02
КМД-2</t>
  </si>
  <si>
    <t>Обл. НДС
Сокира пожежна з держаком 0,4 кг
Надходження товарів і послуг ІБ00-006697 від 01.11.2025 11:00:00
КМД-2</t>
  </si>
  <si>
    <t>Обл. НДС
Строп СКП- 2,5/4000
Надходження товарів і послуг ІБ00-006808 від 17.11.2025 11:00:00
КМД-2</t>
  </si>
  <si>
    <t>Обл. НДС
Строп СКП-10,0/4000
Надходження товарів і послуг ІБ00-006618 від 06.10.2025 11:00:00
КМД-2</t>
  </si>
  <si>
    <t>Обл. НДС
Строп СТП-3,0/4000
Надходження товарів і послуг ІБ00-006808 від 17.11.2025 11:00:00
КМД-2</t>
  </si>
  <si>
    <t>Обл. НДС
Строп СТП-6,0/4000
Надходження товарів і послуг ІБ00-006618 від 06.10.2025 11:00:00
КМД-2</t>
  </si>
  <si>
    <t>Обл. НДС
Тент н/ж 2,5кВт  90см
Надходження товарів і послуг ІБ00-006770 від 03.11.2025 11:00:00
КМД-2</t>
  </si>
  <si>
    <t>Обл. НДС
Фіксатор зірочка 30
Надходження товарів і послуг ІБ00-006251 від 28.10.2025 11:00:00
КМД-2</t>
  </si>
  <si>
    <t>Обл. НДС
Фіксатор стійка 30/35
Надходження товарів і послуг ІБ00-006812 від 11.11.2025 11:00:00
КМД-2</t>
  </si>
  <si>
    <t>Обл. НДС
Вилка пряма 16 А
Надходження товарів і послуг ІБ00-005767 від 26.09.2025 18:21:35
КМД-2</t>
  </si>
  <si>
    <t>Передача малоцінних активів в експлуатацію ІБ00-000654 від 20.12.2025 18:19:01
Списание стоимости малоценных активов</t>
  </si>
  <si>
    <t>Обл. НДС
Виробничий КМД 2, Путрівка
КМД-2
Амортизація ОЗ загальновиробничого призначення</t>
  </si>
  <si>
    <t>Обл. НДС
Фіксатор Стілець 50/8-24
Надходження товарів і послуг ІБ00-006251 від 28.10.2025 11:00:00
КМД-2</t>
  </si>
  <si>
    <t>Обл. НДС
Патрон Е-27 карболітовий підвісний
Надходження товарів і послуг ІБ00-006672 від 01.11.2025 11:00:00
КМД-2</t>
  </si>
  <si>
    <t>Обл. НДС
Кошма пожежна 1,5м*1,5м (брезент вогнетривкий)
Надходження товарів і послуг ІБ00-006697 від 01.11.2025 11:00:00
КМД-2</t>
  </si>
  <si>
    <t>Обл. НДС
Рулетка 10 м*25 мм
Надходження товарів і послуг ІБ00-006694 від 01.11.2025 12:00:02
КМД-2</t>
  </si>
  <si>
    <t>Обл. НДС
Трубочка до мундштуків АлкоФор в інд уп. 200шт
Надходження товарів і послуг ІБ00-006450 від 15.10.2025 11:00:00
КМД-2</t>
  </si>
  <si>
    <t>Переміщення товарів ІБ00-001677 від 29.12.2025 13:19:14
Перемещение ТМЦ</t>
  </si>
  <si>
    <t>Обл. НДС
Ковдра
Переміщення товарів ІБ00-001677 від 29.12.2025 13:19:14
КМД-2</t>
  </si>
  <si>
    <t>Обл. НДС
Ковдра
Надходження товарів і послуг ІБ00-004289 від 16.09.2024 22:20:50
Ніжин-4</t>
  </si>
  <si>
    <t>Обл. НДС
Ковдра
Надходження товарів і послуг ІБ00-004391 від 20.09.2024 18:19:37
Ніжин-4</t>
  </si>
  <si>
    <t>Обл. НДС
Матрас
Переміщення товарів ІБ00-001677 від 29.12.2025 13:19:14
КМД-2</t>
  </si>
  <si>
    <t>Обл. НДС
Матрас
Надходження товарів і послуг ІБ00-004289 від 16.09.2024 22:20:50
Ніжин-4</t>
  </si>
  <si>
    <t>Обл. НДС
Матрас
Надходження товарів і послуг ІБ00-004391 від 20.09.2024 18:19:37
Ніжин-4</t>
  </si>
  <si>
    <t>Обл. НДС
Подушка ватна 60х60
Переміщення товарів ІБ00-001677 від 29.12.2025 13:19:14
КМД-2</t>
  </si>
  <si>
    <t>Обл. НДС
Подушка ватна 60х60
Надходження товарів і послуг ІБ00-004289 від 16.09.2024 22:20:50
Ніжин-4</t>
  </si>
  <si>
    <t>Обл. НДС
Подушка ватна 60х60
Надходження товарів і послуг ІБ00-004391 від 20.09.2024 18:19:37
Ніжин-4</t>
  </si>
  <si>
    <t>Переміщення товарів ІБ00-001695 від 18.12.2025 00:00:00
Перемещение ТМЦ</t>
  </si>
  <si>
    <t>Обл. НДС
Балка №36
Переміщення товарів ІБ00-001695 від 18.12.2025 00:00:00
Цех_Глобино Виробничий</t>
  </si>
  <si>
    <t>Обл. НДС
Балка №36
Надходження товарів і послуг ІБ00-000519 від 12.02.2025 18:02:32
Цех_Глобино</t>
  </si>
  <si>
    <t>2051</t>
  </si>
  <si>
    <t>Обл. НДС
Балка №36
Надходження товарів і послуг ІБ00-004728 від 27.08.2025 18:27:06
Цех_Глобино</t>
  </si>
  <si>
    <t>Обл. НДС
Балка №36
Надходження товарів і послуг ІБ00-006955 від 01.11.2025 08:00:42
Цех_Глобино</t>
  </si>
  <si>
    <t>Обл. НДС
Лист г/к 10,0 мм 1500*6000, S235 JR
Переміщення товарів ІБ00-001695 від 18.12.2025 00:00:00
Цех_Глобино Виробничий</t>
  </si>
  <si>
    <t>Обл. НДС
Лист г/к 10,0 мм 1500*6000, S235 JR
Надходження товарів і послуг ІБ00-005283 від 18.09.2025 20:52:24
Цех_Глобино</t>
  </si>
  <si>
    <t>Обл. НДС
Лист г/к 20*1500*6000, S235 JR
Переміщення товарів ІБ00-001695 від 18.12.2025 00:00:00
Цех_Глобино Виробничий</t>
  </si>
  <si>
    <t>Обл. НДС
Лист г/к 20*1500*6000, S235 JR
Надходження товарів і послуг ІБ00-004241 від 05.08.2025 18:00:48
Цех_Глобино</t>
  </si>
  <si>
    <t>Обл. НДС
Труба 60х60х4,0мм МІРА 6м
Переміщення товарів ІБ00-001695 від 18.12.2025 00:00:00
Цех_Глобино Виробничий</t>
  </si>
  <si>
    <t>Обл. НДС
Труба 60х60х4,0мм МІРА 6м
Надходження товарів і послуг ІБ00-004266 від 06.08.2025 18:31:06
Цех_Глобино</t>
  </si>
  <si>
    <t>Обл. НДС
Труба 60х60х4,0мм МІРА 6м
Надходження товарів і послуг ІБ00-005475 від 24.09.2025 18:20:43
Цех_Глобино</t>
  </si>
  <si>
    <t>Обл. НДС
Круг 20 мм 3 ПС, 6 м
Переміщення товарів ІБ00-001695 від 18.12.2025 00:00:00
Цех_Глобино Виробничий</t>
  </si>
  <si>
    <t>Обл. НДС
Круг 20 мм 3 ПС, 6 м
Надходження товарів і послуг ІБ00-004727 від 28.08.2025 18:11:55
Цех_Глобино</t>
  </si>
  <si>
    <t>Обл. НДС
Труба 219*6 ст1-3 сп/пс L=6,05
Переміщення товарів ІБ00-001695 від 18.12.2025 00:00:00
Цех_Глобино Виробничий</t>
  </si>
  <si>
    <t>Обл. НДС
Труба 219*6 ст1-3 сп/пс L=6,05
Надходження товарів і послуг ІБ00-006955 від 01.11.2025 08:00:42
Цех_Глобино</t>
  </si>
  <si>
    <t>Обл. НДС
Лист г/к  6*1500*6000 мм S235JR
Переміщення товарів ІБ00-001695 від 18.12.2025 00:00:00
Цех_Глобино Виробничий</t>
  </si>
  <si>
    <t>Обл. НДС
Лист г/к  6*1500*6000 мм S235JR
Надходження товарів і послуг ІБ00-003663 від 11.07.2025 17:57:30
Цех_Глобино</t>
  </si>
  <si>
    <t>Обл. НДС
Труба 80х80х4 
Переміщення товарів ІБ00-001695 від 18.12.2025 00:00:00
Цех_Глобино Виробничий</t>
  </si>
  <si>
    <t>Обл. НДС
Труба 80х80х4 
Надходження товарів і послуг ІБ00-005478 від 24.09.2025 18:20:48
Цех_Глобино</t>
  </si>
  <si>
    <t>Обл. НДС
Труба 80х80х4 
Надходження товарів і послуг ІБ00-005480 від 24.09.2025 18:20:53
Цех_Глобино</t>
  </si>
  <si>
    <t>Обл. НДС
Труба 80х80х4 
Надходження товарів і послуг ІБ00-006954 від 27.11.2025 18:01:15
Цех_Глобино</t>
  </si>
  <si>
    <t>Обл. НДС
Труба профільна 140*140*5 L=12000 мм ст1-3 сп/пс
Переміщення товарів ІБ00-001695 від 18.12.2025 00:00:00
Цех_Глобино Виробничий</t>
  </si>
  <si>
    <t>Обл. НДС
Труба профільна 140*140*5 L=12000 мм ст1-3 сп/пс
Надходження товарів і послуг ІБ00-006955 від 01.11.2025 08:00:42
Цех_Глобино</t>
  </si>
  <si>
    <t>Обл. НДС
Труба 100*100*5
Переміщення товарів ІБ00-001695 від 18.12.2025 00:00:00
Цех_Глобино Виробничий</t>
  </si>
  <si>
    <t>Обл. НДС
Труба 100*100*5
Надходження товарів і послуг ІБ00-007134 від 01.11.2025 12:50:07
Цех_Глобино</t>
  </si>
  <si>
    <t>Обл. НДС
Лист г/к 20*1500*6000, S355J2
Переміщення товарів ІБ00-001695 від 18.12.2025 00:00:00
Цех_Глобино Виробничий</t>
  </si>
  <si>
    <t>Обл. НДС
Лист г/к 20*1500*6000, S355J2
Надходження товарів і послуг ІБ00-000636 від 24.02.2025 23:35:07
Цех_Глобино</t>
  </si>
  <si>
    <t>Обл. НДС
Лист г/к 20*1500*6000, S355J2
Надходження товарів і послуг ІБ00-001535 від 09.04.2025 23:59:28
Цех_Глобино</t>
  </si>
  <si>
    <t>Переміщення товарів ІБ00-001696 від 18.12.2025 19:00:32
Перемещение ТМЦ</t>
  </si>
  <si>
    <t>Обл. НДС
Швелер 16У (160 12,05- 8240 3пс)
Переміщення товарів ІБ00-001696 від 18.12.2025 19:00:32
Цех_Глобино Виробничий</t>
  </si>
  <si>
    <t>Обл. НДС
Швелер 16У (160 12,05- 8240 3пс)
Надходження товарів і послуг ІБ00-004269 від 06.08.2025 18:31:15
Цех_Глобино</t>
  </si>
  <si>
    <t>Обл. НДС
Круг 20 мм 3 ПС, 6 м
Переміщення товарів ІБ00-001696 від 18.12.2025 19:00:32
Цех_Глобино Виробничий</t>
  </si>
  <si>
    <t>Обл. НДС
Швелер 24П ст.3сп/пс 5, 12 м
Переміщення товарів ІБ00-001696 від 18.12.2025 19:00:32
Цех_Глобино Виробничий</t>
  </si>
  <si>
    <t>Обл. НДС
Швелер 24П ст.3сп/пс 5, 12 м
Надходження товарів і послуг ІБ00-006559 від 30.12.2024 21:00:00
Цех_Глобино</t>
  </si>
  <si>
    <t>Обл. НДС
Лист г/к 20*1500*6000, S235 JR
Переміщення товарів ІБ00-001696 від 18.12.2025 19:00:32
Цех_Глобино Виробничий</t>
  </si>
  <si>
    <t>Обл. НДС
Лист г/к 10,0 мм 1500*6000, S235 JR
Переміщення товарів ІБ00-001696 від 18.12.2025 19:00:32
Цех_Глобино Виробничий</t>
  </si>
  <si>
    <t>Обл. НДС
Швелер 10П 
Переміщення товарів ІБ00-001696 від 18.12.2025 19:00:32
Цех_Глобино Виробничий</t>
  </si>
  <si>
    <t>Обл. НДС
Швелер 10П 
Надходження товарів і послуг ІБ00-004269 від 06.08.2025 18:31:15
Цех_Глобино</t>
  </si>
  <si>
    <t>Обл. НДС
Труба 60х60х4,0мм МІРА 6м
Переміщення товарів ІБ00-001696 від 18.12.2025 19:00:32
Цех_Глобино Виробничий</t>
  </si>
  <si>
    <t>Обл. НДС
Труба 60х60х4,0мм МІРА 6м
Надходження товарів і послуг ІБ00-006955 від 01.11.2025 08:00:42
Цех_Глобино</t>
  </si>
  <si>
    <t>Обл. НДС
Труба 100*100*5
Переміщення товарів ІБ00-001696 від 18.12.2025 19:00:32
Цех_Глобино Виробничий</t>
  </si>
  <si>
    <t>Обл. НДС
Кутник 63х63х5  L=6000
Переміщення товарів ІБ00-001696 від 18.12.2025 19:00:32
Цех_Глобино Виробничий</t>
  </si>
  <si>
    <t>Обл. НДС
Кутник 63х63х5  L=6000
Надходження товарів і послуг ІБ00-004728 від 27.08.2025 18:27:06
Цех_Глобино</t>
  </si>
  <si>
    <t>Обл. НДС
Кутник 63х63х5  L=6000
Надходження товарів і послуг ІБ00-006954 від 27.11.2025 18:01:15
Цех_Глобино</t>
  </si>
  <si>
    <t>Обл. НДС
Труба 80х80х4 
Переміщення товарів ІБ00-001696 від 18.12.2025 19:00:32
Цех_Глобино Виробничий</t>
  </si>
  <si>
    <t>Обл. НДС
Труба профільна 140*140*5 L=12000 мм ст1-3 сп/пс
Переміщення товарів ІБ00-001696 від 18.12.2025 19:00:32
Цех_Глобино Виробничий</t>
  </si>
  <si>
    <t>Обл. НДС
Лист г/к 20*1500*6000, S355J2
Переміщення товарів ІБ00-001696 від 18.12.2025 19:00:32
Цех_Глобино Виробничий</t>
  </si>
  <si>
    <t>Обл. НДС
Лист г/к 20*1500*6000, S355J2
Надходження товарів і послуг ІБ00-001808 від 22.04.2025 11:00:00
Цех_Глобино</t>
  </si>
  <si>
    <t>Вимога-накладна ІБ00-001192 від 19.12.2025 00:00:00
Списаны ТМЦ</t>
  </si>
  <si>
    <t>Обл. НДС
Виробничий (Глобине-2)
Цех Глобино
Прямі материальні виробничі витрати крім зворотніх відходів</t>
  </si>
  <si>
    <t>Вимога-накладна ІБ00-001191 від 19.12.2025 18:12:15
Списаны ТМЦ</t>
  </si>
  <si>
    <t>Переміщення товарів ІБ00-001605 від 01.12.2025 23:00:39
Перемещение ТМЦ</t>
  </si>
  <si>
    <t>Обл. НДС
Балка 16  1-3 сп/пс 5 кат.L=12 м
Переміщення товарів ІБ00-001605 від 01.12.2025 23:00:39
Цех екстракції (Глобине)</t>
  </si>
  <si>
    <t>Обл. НДС
Балка 16  1-3 сп/пс 5 кат.L=12 м
Надходження товарів і послуг ІБ00-001032 від 04.03.2025 18:00:05
Цех екстракції (Глобине)</t>
  </si>
  <si>
    <t>Обл. НДС
Балка 16  1-3 сп/пс 5 кат.L=12 м
Надходження товарів і послуг ІБ00-001034 від 04.03.2025 18:00:07
Цех екстракції (Глобине)</t>
  </si>
  <si>
    <t>Обл. НДС
Лист г/к  4*1500*6000 мм
Переміщення товарів ІБ00-001605 від 01.12.2025 23:00:39
Цех екстракції (Глобине)</t>
  </si>
  <si>
    <t>Обл. НДС
Лист г/к  4*1500*6000 мм
Надходження товарів і послуг ІБ00-000537 від 13.02.2025 18:05:04
Цех екстракції (Глобине)</t>
  </si>
  <si>
    <t>Обл. НДС
Лист г/к  10*1280*12000 необр кромка
Переміщення товарів ІБ00-001605 від 01.12.2025 23:00:39
Цех екстракції (Глобине)</t>
  </si>
  <si>
    <t>Обл. НДС
Лист г/к  10*1280*12000 необр кромка
Надходження товарів і послуг ІБ00-005545 від 07.11.2024 17:17:36
Цех екстракції (Глобине)</t>
  </si>
  <si>
    <t>Вимога-накладна ІБ00-001140 від 12.12.2025 23:00:18
Списаны ТМЦ</t>
  </si>
  <si>
    <t>Обл. НДС
Виробничий (Глобине-2)
Глобине-2
Прямі материальні виробничі витрати крім зворотніх відходів</t>
  </si>
  <si>
    <t>Обл. НДС
Балка 20 ст3 пс 5 L=12,04 м
Переміщення товарів ІБ00-001574 від 28.11.2025 08:00:00
Цех екстракції (Глобине)</t>
  </si>
  <si>
    <t>Обл. НДС
Швелер 16У ст.1-3сп/пс 5, L= 12 м
Надходження товарів і послуг ІБ00-004219 від 31.07.2025 11:00:00
Цех екстракції (Глобине)</t>
  </si>
  <si>
    <t>Обл. НДС
Швелер 20П міра L=12000.00мм 1-3 сп/пс 5 категорія
Надходження товарів і послуг ІБ00-004221 від 31.07.2025 11:00:00
Цех екстракції (Глобине)</t>
  </si>
  <si>
    <t>Обл. НДС
Труба 40*40*3 мм ст.1-3пс, 6 м
Надходження товарів і послуг ІБ00-003553 від 04.07.2025 11:00:00
Цех екстракції (Глобине)</t>
  </si>
  <si>
    <t>Обл. НДС
Труба профільна 80*80*4 L=12  ст 1-3 сп/пс
Надходження товарів і послуг ІБ00-003557 від 04.07.2025 11:00:00
Цех екстракції (Глобине)</t>
  </si>
  <si>
    <t>Обл. НДС
Труба профільна 100*100*5 мм, 12 м
Надходження товарів і послуг ІБ00-003777 від 14.07.2025 17:24:46
Цех екстракції (Глобине)</t>
  </si>
  <si>
    <t>Обл. НДС
Труба  40*20*2 мм  ст 1-3 пс, L=6 м
Надходження товарів і послуг ІБ00-003554 від 04.07.2025 11:00:00
Цех екстракції (Глобине)</t>
  </si>
  <si>
    <t>Обл. НДС
Кутник 75*75 мм  6,0 мм, S275 JR 12 м
Надходження товарів і послуг ІБ00-005247 від 12.09.2025 11:00:00
Цех екстракції (Глобине)</t>
  </si>
  <si>
    <t>Обл. НДС
Лист г/к  8*1500*6000 мм; ст.3 сп/пс 5 кат.необр.кромка
Надходження товарів і послуг ІБ00-003277 від 20.06.2025 11:00:00
Цех екстракції (Глобине)</t>
  </si>
  <si>
    <t>Обл. НДС
Лист г/к 10,0 мм 1500*6000, S235 JR
Надходження товарів і послуг ІБ00-003561 від 08.07.2025 11:00:00
Цех екстракції (Глобине)</t>
  </si>
  <si>
    <t>Переміщення товарів ІБ00-001688 від 26.12.2025 08:00:00
Перемещение ТМЦ</t>
  </si>
  <si>
    <t>Обл. НДС
Труба 100х100х5 мм; ст. 3пс5; 12 м
Переміщення товарів ІБ00-001688 від 26.12.2025 08:00:00
Цех екстракції (Глобине)</t>
  </si>
  <si>
    <t>Обл. НДС
Труба 100х100х5 мм; ст. 3пс5; 12 м
Надходження товарів і послуг ІБ00-000719 від 19.02.2025 18:22:47
Цех екстракції (Глобине)</t>
  </si>
  <si>
    <t>Обл. НДС
Лист  4*1500*6000 3 сп/пс 5
Переміщення товарів ІБ00-001688 від 26.12.2025 08:00:00
Цех екстракції (Глобине)</t>
  </si>
  <si>
    <t>Обл. НДС
Лист  4*1500*6000 3 сп/пс 5
Надходження товарів і послуг ІБ00-000720 від 18.02.2025 20:00:46
Цех екстракції (Глобине)</t>
  </si>
  <si>
    <t>Обл. НДС
Лист г/к 12*1500*6000 мм 3 пс
Переміщення товарів ІБ00-001688 від 26.12.2025 08:00:00
Цех екстракції (Глобине)</t>
  </si>
  <si>
    <t>Обл. НДС
Лист г/к 12*1500*6000 мм 3 пс
Надходження товарів і послуг ІБ00-000717 від 19.02.2025 18:22:46
Цех екстракції (Глобине)</t>
  </si>
  <si>
    <t>Вимога-накладна ІБ00-001187 від 26.12.2025 12:17:06
Списаны ТМЦ</t>
  </si>
  <si>
    <t>Обл. НДС
Балка IPN 360 S275
Надходження товарів і послуг ІБ00-004707 від 27.08.2025 11:00:00
Цех екстракції (Глобине)</t>
  </si>
  <si>
    <t>Обл. НДС
Кутик 100х100х7 мм С275 12 м S275JR
Надходження товарів і послуг ІБ00-003277 від 20.06.2025 11:00:00
Цех екстракції (Глобине)</t>
  </si>
  <si>
    <t>Обл. НДС
Лист г/к 16*1500*6000, S235 JR
Надходження товарів і послуг ІБ00-003431 від 04.07.2025 11:00:00
Цех екстракції (Глобине)</t>
  </si>
  <si>
    <t>Переміщення товарів ІБ00-001719 від 30.12.2025 08:00:00
Перемещение ТМЦ</t>
  </si>
  <si>
    <t>Обл. НДС
Труба ДСТУ 8943 159 мм 6,0 S235 JRH, 12 м
Переміщення товарів ІБ00-001719 від 30.12.2025 08:00:00
Цех екстракції (Глобине)</t>
  </si>
  <si>
    <t>Обл. НДС
Труба ДСТУ 8943 159 мм 6,0 S235 JRH, 12 м
Надходження товарів і послуг ІБ00-006503 від 30.12.2024 12:00:00
Цех екстракції (Глобине)</t>
  </si>
  <si>
    <t>Вимога-накладна ІБ00-001232 від 30.12.2025 10:00:00
Списаны ТМЦ</t>
  </si>
  <si>
    <t>Обл. НДС
швелер № 18П; ст. 3пс5; 12 м
Надходження товарів і послуг ІБ00-004219 від 31.07.2025 11:00:00
Цех екстракції (Глобине)</t>
  </si>
  <si>
    <t>Обл. НДС
Труба 159*6 ст1-3 сп/пс L=12000
Надходження товарів і послуг ІБ00-003562 від 03.07.2025 11:00:00
Цех екстракції (Глобине)</t>
  </si>
  <si>
    <t>Обл. НДС
Труба 159*6 ст1-3 сп/пс L=12000
Надходження товарів і послуг ІБ00-004220 від 31.07.2025 11:00:00
Цех екстракції (Глобине)</t>
  </si>
  <si>
    <t>Обл. НДС
Кутик 50х50х5мм ст, S275JR. 6 м
Надходження товарів і послуг ІБ00-003682 від 11.07.2025 11:00:00
Цех екстракції (Глобине)</t>
  </si>
  <si>
    <t>Реалізація товарів і послуг ІБ00-000083 від 01.12.2025 00:00:00
Списаны ТМЦ</t>
  </si>
  <si>
    <t>Обл. НДС
Відвід безшовний 90° A/SA182 ASME B16.11 F304/304L 1/2'' 3000LBS
Надходження товарів і послуг ІБ00-007026 від 26.11.2025 00:00:00
Цех екстракції (Глобине)</t>
  </si>
  <si>
    <t>Обл. НДС
Відвід зварний 45° 12' SCH10S LR A/SA403 ASME B16.9 WP304/304L-W
Надходження товарів і послуг ІБ00-007026 від 26.11.2025 00:00:00
Цех екстракції (Глобине)</t>
  </si>
  <si>
    <t>Обл. НДС
Відвід зварний 45° 14' SCH10S LR A/SA403 ASME B16.9 WP304/304L-W /ASTM A312
Надходження товарів і послуг ІБ00-007026 від 26.11.2025 00:00:00
Цех екстракції (Глобине)</t>
  </si>
  <si>
    <t>Обл. НДС
Відвід зварний 45° 18' SCH10S LR A/SA403 ASME B16.9 WP304/304L-W
Надходження товарів і послуг ІБ00-007026 від 26.11.2025 00:00:00
Цех екстракції (Глобине)</t>
  </si>
  <si>
    <t>Обл. НДС
Відвід безшовний 45° 1/2' SCH40S LR A/SA403 ASME B16.9 WP304/304L-W
Надходження товарів і послуг ІБ00-007026 від 26.11.2025 00:00:00
Цех екстракції (Глобине)</t>
  </si>
  <si>
    <t>Обл. НДС
Відвід безшовний 45° 2' SCH40S LR A/SA403 ASME B16.9 WP304/304L-W
Надходження товарів і послуг ІБ00-007026 від 26.11.2025 00:00:00
Цех екстракції (Глобине)</t>
  </si>
  <si>
    <t>Обл. НДС
Відвід зварний 90° 6' SCH10S LR A/SA403 ASME B16.9 WP304/304L-W
Надходження товарів і послуг ІБ00-007026 від 26.11.2025 00:00:00
Цех екстракції (Глобине)</t>
  </si>
  <si>
    <t>Обл. НДС
Відвід зварний 90° 12' SCH10S LR A/SA403 ASME B16.9 WP304/304L-W
Надходження товарів і послуг ІБ00-007026 від 26.11.2025 00:00:00
Цех екстракції (Глобине)</t>
  </si>
  <si>
    <t>Обл. НДС
Відвід зварний 90° 18' SCH10S LR A/SA403 ASME B16.9 WP304/304L-W
Надходження товарів і послуг ІБ00-007026 від 26.11.2025 00:00:00
Цех екстракції (Глобине)</t>
  </si>
  <si>
    <t>Обл. НДС
Відвід зварний 90° 20' SCH10S LR A/SA403 ASME B16.9 WP304/304L-W
Надходження товарів і послуг ІБ00-007026 від 26.11.2025 00:00:00
Цех екстракції (Глобине)</t>
  </si>
  <si>
    <t>Реалізація товарів і послуг ІБ00-000084 від 01.12.2025 00:00:00
Списаны ТМЦ</t>
  </si>
  <si>
    <t>Обл. НДС
Перехід концентричний зварний 3'' х 2' SCH10S A/SA403 ASME B16.9 WP304/304L-W
Надходження товарів і послуг ІБ00-007027 від 26.11.2025 17:50:45
Цех екстракції (Глобине)</t>
  </si>
  <si>
    <t>Обл. НДС
Перехід концентричний зварний 4'' х 2' SCH10S A/SA403 ASME B16.9 WP304/304L-W
Надходження товарів і послуг ІБ00-007027 від 26.11.2025 17:50:45
Цех екстракції (Глобине)</t>
  </si>
  <si>
    <t>Обл. НДС
Перехід концентричний зварний 6'' х 4' SCH10S A/SA403 ASME B16.9 WP304/304L-W
Надходження товарів і послуг ІБ00-007027 від 26.11.2025 17:50:45
Цех екстракції (Глобине)</t>
  </si>
  <si>
    <t>Обл. НДС
Перехід концентричний зварний 12'' х 6' SCH10S A/SA403 ASME B16.9 WP304/304L-W
Надходження товарів і послуг ІБ00-007027 від 26.11.2025 17:50:45
Цех екстракції (Глобине)</t>
  </si>
  <si>
    <t>Обл. НДС
Перехід концентричний зварний 14'' х 12' SCH10S A/SA403 ASME B16.9 WP304/304L-W /ASTM A312
Надходження товарів і послуг ІБ00-007027 від 26.11.2025 17:50:45
Цех екстракції (Глобине)</t>
  </si>
  <si>
    <t>Обл. НДС
Перехід концентричний зварний 18'' х 14' SCH10S A/SA403 ASME B16.9 WP304/304L-W
Надходження товарів і послуг ІБ00-007027 від 26.11.2025 17:50:45
Цех екстракції (Глобине)</t>
  </si>
  <si>
    <t>Обл. НДС
Перехід концентричний зварний 24'' х 20' SCH10S A/SA403 ASME B16.9 WP304/304L-W
Надходження товарів і послуг ІБ00-007027 від 26.11.2025 17:50:45
Цех екстракції (Глобине)</t>
  </si>
  <si>
    <t>Обл. НДС
Перехід концентричний зварний 20'' х 16' SCH10S A/SA403 ASME B16.9 WP304/304L-W
Надходження товарів і послуг ІБ00-007027 від 26.11.2025 17:50:45
Цех екстракції (Глобине)</t>
  </si>
  <si>
    <t>Обл. НДС
Перехід концентричний зварний 1 1/2'' х 1/2' SCH40S A/SA403 ASME B16.9 WP304/304L-W
Надходження товарів і послуг ІБ00-007027 від 26.11.2025 17:50:45
Цех екстракції (Глобине)</t>
  </si>
  <si>
    <t>Обл. НДС
Перехід концентричний зварний 2'' х 1' SCH40S A/SA403 ASME B16.9 WP304/304L-W
Надходження товарів і послуг ІБ00-007027 від 26.11.2025 17:50:45
Цех екстракції (Глобине)</t>
  </si>
  <si>
    <t>Обл. НДС
Перехід ексцентричний зварний 3'' х 1 1/2' SCH10S A/SA403 ASME B16.9 WP304/304L-W
Надходження товарів і послуг ІБ00-007027 від 26.11.2025 17:50:45
Цех екстракції (Глобине)</t>
  </si>
  <si>
    <t>Обл. НДС
Перехід ексцентричний зварний 6'' х 4' SCH10S A/SA403 ASME B16.9 WP304/304L-W
Надходження товарів і послуг ІБ00-007027 від 26.11.2025 17:50:45
Цех екстракції (Глобине)</t>
  </si>
  <si>
    <t>Обл. НДС
Перехід ексцентричний зварний 12'' х 8' SCH10S A/SA403 ASME B16.9 WP304/304L-W
Надходження товарів і послуг ІБ00-007027 від 26.11.2025 17:50:45
Цех екстракції (Глобине)</t>
  </si>
  <si>
    <t>Обл. НДС
Трійник безшовний 1/2'' SW A/SA182 ASME B16.11 F304/304L 3000LBS
Надходження товарів і послуг ІБ00-007027 від 26.11.2025 17:50:45
Цех екстракції (Глобине)</t>
  </si>
  <si>
    <t>Обл. НДС
Трійник безшовний перехідний 2'' X 3/4' A/SA403 ASME B16.9 WP304/304L-S SCH40S
Надходження товарів і послуг ІБ00-007027 від 26.11.2025 17:50:45
Цех екстракції (Глобине)</t>
  </si>
  <si>
    <t>Обл. НДС
Фланець глухий 4" PN16, RF, 304L SS, TYPE 05B, BS EN1092-1
Надходження товарів і послуг ІБ00-007028 від 26.11.2025 00:00:00
Цех екстракції (Глобине)</t>
  </si>
  <si>
    <t>Реалізація товарів і послуг ІБ00-000085 від 01.12.2025 00:00:00
Списаны ТМЦ</t>
  </si>
  <si>
    <t>Обл. НДС
Н/ж труба зв. 21,34х2,77 мм A/SA312 TP304/304L  1/2" SCH40S
Надходження товарів і послуг ІБ00-007029 від 26.11.2025 17:50:46
Цех екстракції (Глобине)</t>
  </si>
  <si>
    <t>Обл. НДС
Відвід зварний 45° 12' SCH10S LR A/SA403 ASME B16.9 WP304/304L-W
Надходження товарів і послуг ІБ00-007029 від 26.11.2025 17:50:46
Цех екстракції (Глобине)</t>
  </si>
  <si>
    <t>Обл. НДС
Відвід зварний 45° 18' SCH10S LR A/SA403 ASME B16.9 WP304/304L-W
Надходження товарів і послуг ІБ00-007029 від 26.11.2025 17:50:46
Цех екстракції (Глобине)</t>
  </si>
  <si>
    <t>Обл. НДС
Відвід безшовний 45° 2' SCH40S LR A/SA403 ASME B16.9 WP304/304L-W
Надходження товарів і послуг ІБ00-007029 від 26.11.2025 17:50:46
Цех екстракції (Глобине)</t>
  </si>
  <si>
    <t>Обл. НДС
Відвід зварний 90° 6' SCH10S LR A/SA403 ASME B16.9 WP304/304L-W
Надходження товарів і послуг ІБ00-007029 від 26.11.2025 17:50:46
Цех екстракції (Глобине)</t>
  </si>
  <si>
    <t>Обл. НДС
Відвід зварний 90° 12' SCH10S LR A/SA403 ASME B16.9 WP304/304L-W
Надходження товарів і послуг ІБ00-007029 від 26.11.2025 17:50:46
Цех екстракції (Глобине)</t>
  </si>
  <si>
    <t>Обл. НДС
Відвід зварний 90° 18' SCH10S LR A/SA403 ASME B16.9 WP304/304L-W
Надходження товарів і послуг ІБ00-007029 від 26.11.2025 17:50:46
Цех екстракції (Глобине)</t>
  </si>
  <si>
    <t>Обл. НДС
Відвід зварний 90° 20' SCH10S LR A/SA403 ASME B16.9 WP304/304L-W
Надходження товарів і послуг ІБ00-007029 від 26.11.2025 17:50:46
Цех екстракції (Глобине)</t>
  </si>
  <si>
    <t>Обл. НДС
Перехід концентричний зварний 3'' х 2' SCH10S A/SA403 ASME B16.9 WP304/304L-W
Надходження товарів і послуг ІБ00-007029 від 26.11.2025 17:50:46
Цех екстракції (Глобине)</t>
  </si>
  <si>
    <t>Обл. НДС
Перехід концентричний зварний 4'' х 2' SCH10S A/SA403 ASME B16.9 WP304/304L-W
Надходження товарів і послуг ІБ00-007029 від 26.11.2025 17:50:46
Цех екстракції (Глобине)</t>
  </si>
  <si>
    <t>Обл. НДС
Перехід концентричний зварний 6'' х 4' SCH10S A/SA403 ASME B16.9 WP304/304L-W
Надходження товарів і послуг ІБ00-007029 від 26.11.2025 17:50:46
Цех екстракції (Глобине)</t>
  </si>
  <si>
    <t>Обл. НДС
Перехід концентричний зварний 12'' х 6' SCH10S A/SA403 ASME B16.9 WP304/304L-W
Надходження товарів і послуг ІБ00-007029 від 26.11.2025 17:50:46
Цех екстракції (Глобине)</t>
  </si>
  <si>
    <t>Обл. НДС
Перехід концентричний зварний 14'' х 12' SCH10S A/SA403 ASME B16.9 WP304/304L-W /ASTM A312
Надходження товарів і послуг ІБ00-007029 від 26.11.2025 17:50:46
Цех екстракції (Глобине)</t>
  </si>
  <si>
    <t>Обл. НДС
Перехід концентричний зварний 1 1/2'' х 1/2' SCH40S A/SA403 ASME B16.9 WP304/304L-W
Надходження товарів і послуг ІБ00-007029 від 26.11.2025 17:50:46
Цех екстракції (Глобине)</t>
  </si>
  <si>
    <t>Обл. НДС
Перехід концентричний зварний 2'' х 1' SCH40S A/SA403 ASME B16.9 WP304/304L-W
Надходження товарів і послуг ІБ00-007029 від 26.11.2025 17:50:46
Цех екстракції (Глобине)</t>
  </si>
  <si>
    <t>Обл. НДС
Перехід ексцентричний зварний 3'' х 1 1/2' SCH10S A/SA403 ASME B16.9 WP304/304L-W
Надходження товарів і послуг ІБ00-007029 від 26.11.2025 17:50:46
Цех екстракції (Глобине)</t>
  </si>
  <si>
    <t>Обл. НДС
Перехід ексцентричний зварний 6'' х 4' SCH10S A/SA403 ASME B16.9 WP304/304L-W
Надходження товарів і послуг ІБ00-007029 від 26.11.2025 17:50:46
Цех екстракції (Глобине)</t>
  </si>
  <si>
    <t>Обл. НДС
Трійник безшовний 1/2'' SW A/SA182 ASME B16.11 F304/304L 3000LBS (PN 100)
Надходження товарів і послуг ІБ00-007029 від 26.11.2025 17:50:46
Цех екстракції (Глобине)</t>
  </si>
  <si>
    <t>Обл. НДС
Трійник безшовний перехідний 2'' X 1 1/2' A/SA403 ASME B16.9 WP304/304L SCH40S
Надходження товарів і послуг ІБ00-007029 від 26.11.2025 17:50:46
Цех екстракції (Глобине)</t>
  </si>
  <si>
    <t>Обл. НДС
Трійник безшовний перехідний 2'' X 3/4' A/SA403 ASME B16.9 WP304/304L-S SCH40S
Надходження товарів і послуг ІБ00-007029 від 26.11.2025 17:50:46
Цех екстракції (Глобине)</t>
  </si>
  <si>
    <t>Переміщення товарів ІБ00-001575 від 01.12.2025 08:00:00
Перемещение ТМЦ</t>
  </si>
  <si>
    <t>Обл. НДС
Щебінь фракції 5-10
Переміщення товарів ІБ00-001575 від 01.12.2025 08:00:00
Транспортна галерея (Глобине)</t>
  </si>
  <si>
    <t>Обл. НДС
Щебінь фракції 5-10
Переміщення товарів ІБ00-001318 від 06.11.2025 11:20:00
ГПЗ (Глобине)</t>
  </si>
  <si>
    <t>Обл. НДС
Щебінь 10-20
Переміщення товарів ІБ00-001575 від 01.12.2025 08:00:00
Транспортна галерея (Глобине)</t>
  </si>
  <si>
    <t>Обл. НДС
Щебінь 10-20
Надходження товарів і послуг ІБ00-006748 від 04.11.2025 11:00:00
ГПЗ (Глобине)</t>
  </si>
  <si>
    <t>Обл. НДС
Пісок, т
Переміщення товарів ІБ00-001575 від 01.12.2025 08:00:00
Транспортна галерея (Глобине)</t>
  </si>
  <si>
    <t>Обл. НДС
Пісок, т
Надходження товарів і послуг ІБ00-006749 від 04.11.2025 11:00:00
ГПЗ (Глобине)</t>
  </si>
  <si>
    <t>Обл. НДС
Муфта з'єднувальна ф32 мм
Переміщення товарів ІБ00-001575 від 01.12.2025 08:00:00
Транспортна галерея (Глобине)</t>
  </si>
  <si>
    <t>Обл. НДС
Муфта з'єднувальна ф32 мм
Надходження товарів і послуг ІБ00-006772 від 12.11.2025 11:00:00
ГПЗ (Глобине)</t>
  </si>
  <si>
    <t>Переміщення товарів ІБ00-001576 від 01.12.2025 08:00:00
Перемещение ТМЦ</t>
  </si>
  <si>
    <t>Обл. НДС
Геотекстиль п/е голкопр.неткан. 300гр/м.кв
Переміщення товарів ІБ00-001576 від 01.12.2025 08:00:00
Транспортна галерея (Глобине)</t>
  </si>
  <si>
    <t>Обл. НДС
Геотекстиль п/е голкопр.неткан. 300гр/м.кв
Надходження товарів і послуг ІБ00-005040 від 05.09.2025 11:00:00
ГРП (Глобине)</t>
  </si>
  <si>
    <t>Обл. НДС
Арматура №12  А500С L=12000 мм
Переміщення товарів ІБ00-001576 від 01.12.2025 08:00:00
Транспортна галерея (Глобине)</t>
  </si>
  <si>
    <t>Обл. НДС
Арматура №12  А500С L=12000 мм
Переміщення товарів ІБ00-001159 від 01.10.2025 11:10:00
ГРП (Глобине)</t>
  </si>
  <si>
    <t>Переміщення товарів ІБ00-001577 від 01.12.2025 08:00:00
Перемещение ТМЦ</t>
  </si>
  <si>
    <t>Обл. НДС
Арматура №12  А500С L=12000 мм
Переміщення товарів ІБ00-001577 від 01.12.2025 08:00:00
Транспортна галерея (Глобине)</t>
  </si>
  <si>
    <t>Обл. НДС
Арматура №12  А500С L=12000 мм
Переміщення товарів ІБ00-001157 від 01.10.2025 11:10:00
Цех екстракції (Глобине)</t>
  </si>
  <si>
    <t>Надходження товарів і послуг ІБ00-007499 від 01.12.2025 11:00:00
Оприходованы ТМЦ</t>
  </si>
  <si>
    <t>Обл. НДС
Пісок з відсіву дроблення щебеню фр. 0-5мм.
Надходження товарів і послуг ІБ00-007499 від 01.12.2025 11:00:00
Глобине-2</t>
  </si>
  <si>
    <t>Енергія Логістик ТОВ
№28/10-2024 ВІД 28/10/24_Глобине-2
Рахунок на оплату постачальника ІБ00-006173 від 01.12.2025 23:00:41</t>
  </si>
  <si>
    <t>Обл. НДС
Щебінь 20-40
Надходження товарів і послуг ІБ00-007499 від 01.12.2025 11:00:00
Глобине-2</t>
  </si>
  <si>
    <t>Надходження товарів і послуг ІБ00-007519 від 01.12.2025 11:00:00
Оприходованы ТМЦ (Зачет аванса поставщику)</t>
  </si>
  <si>
    <t>Обл. НДС
Люк чавунний тип А15 EN124 легкий з мех.обробкою та з/п
Надходження товарів і послуг ІБ00-007519 від 01.12.2025 11:00:00
Транспортна галерея (Глобине)</t>
  </si>
  <si>
    <t>ТЕПЛОАРМАТУРА ТОВ
Рахунки_Глобино-2
Рахунок на оплату постачальника ІБ00-004943 від 08.10.2025 18:17:43</t>
  </si>
  <si>
    <t>Надходження товарів і послуг ІБ00-007617 від 01.12.2025 11:00:00
Оприходованы ТМЦ</t>
  </si>
  <si>
    <t>Обл. НДС
Болт М12*50  DIN 933
Надходження товарів і послуг ІБ00-007617 від 01.12.2025 11:00:00
Резервуарний парк соєвої меляси (Глобине)</t>
  </si>
  <si>
    <t>ЄВРОБОЛТ УКРАЇНА ТОВ
Рахунки_Глобине-2
Рахунок на оплату постачальника ІБ00-005873 від 01.11.2025 12:50:15</t>
  </si>
  <si>
    <t>Обл. НДС
Болт М16*80  DIN 933
Надходження товарів і послуг ІБ00-007617 від 01.12.2025 11:00:00
Резервуарний парк соєвої меляси (Глобине)</t>
  </si>
  <si>
    <t>Обл. НДС
Болт М20*90  DIN 933 8,8 цб
Надходження товарів і послуг ІБ00-007617 від 01.12.2025 11:00:00
Резервуарний парк соєвої меляси (Глобине)</t>
  </si>
  <si>
    <t>Обл. НДС
Болт М24*100  DIN 933 цб
Надходження товарів і послуг ІБ00-007617 від 01.12.2025 11:00:00
Резервуарний парк соєвої меляси (Глобине)</t>
  </si>
  <si>
    <t>Обл. НДС
Шайба плоська DIN 125 М12 140 HV ЦБ
Надходження товарів і послуг ІБ00-007617 від 01.12.2025 11:00:00
Резервуарний парк соєвої меляси (Глобине)</t>
  </si>
  <si>
    <t>Обл. НДС
Шайба плоська DIN 125 М20 140 HV ЦБ
Надходження товарів і послуг ІБ00-007617 від 01.12.2025 11:00:00
Резервуарний парк соєвої меляси (Глобине)</t>
  </si>
  <si>
    <t>Обл. НДС
Шайба плоська DIN 125 М24 140 HV ЦБ
Надходження товарів і послуг ІБ00-007617 від 01.12.2025 11:00:00
Резервуарний парк соєвої меляси (Глобине)</t>
  </si>
  <si>
    <t>Обл. НДС
Шайба плоська DIN 125 М16 140 HV ЦБ
Надходження товарів і послуг ІБ00-007617 від 01.12.2025 11:00:00
Резервуарний парк соєвої меляси (Глобине)</t>
  </si>
  <si>
    <t>Обл. НДС
Гайка М24  DIN 934
Надходження товарів і послуг ІБ00-007617 від 01.12.2025 11:00:00
Резервуарний парк соєвої меляси (Глобине)</t>
  </si>
  <si>
    <t>Обл. НДС
Гайка М20  DIN 934
Надходження товарів і послуг ІБ00-007617 від 01.12.2025 11:00:00
Резервуарний парк соєвої меляси (Глобине)</t>
  </si>
  <si>
    <t>Обл. НДС
Гайка М16 DIN 934 ЦБ
Надходження товарів і послуг ІБ00-007617 від 01.12.2025 11:00:00
Резервуарний парк соєвої меляси (Глобине)</t>
  </si>
  <si>
    <t>Обл. НДС
Гайка М12  DIN 934  цб
Надходження товарів і послуг ІБ00-007617 від 01.12.2025 11:00:00
Резервуарний парк соєвої меляси (Глобине)</t>
  </si>
  <si>
    <t>Надходження товарів і послуг ІБ00-007683 від 01.12.2025 11:00:00
Оприходованы ТМЦ</t>
  </si>
  <si>
    <t>Обл. НДС
Грунт-емаль ПФ-012 Р RAL7024
Надходження товарів і послуг ІБ00-007683 від 01.12.2025 11:00:00
СПК (Глобине)</t>
  </si>
  <si>
    <t>Синтез ЛКМ
РАХУНКИ_Глобино-2
Рахунок на оплату постачальника ІБ00-005784 від 01.11.2025 12:01:41</t>
  </si>
  <si>
    <t>Надходження товарів і послуг ІБ00-007683 від 01.12.2025 11:00:00
Оприходованы ТМЦ (Зачет аванса поставщику)</t>
  </si>
  <si>
    <t>Надходження дод. витрат ІБ00-000697 від 01.12.2025 11:10:00
Доп. расходы при поступлении товаров</t>
  </si>
  <si>
    <t>Переміщення товарів ІБ00-001609 від 01.12.2025 11:20:00
Перемещение ТМЦ</t>
  </si>
  <si>
    <t>Обл. НДС
Пісок з відсіву дроблення щебеню фр. 0-5мм.
Переміщення товарів ІБ00-001609 від 01.12.2025 11:20:00
Транспортна галерея Естакада 3.4 (Глобине)</t>
  </si>
  <si>
    <t>Переміщення товарів ІБ00-001610 від 01.12.2025 11:20:00
Перемещение ТМЦ</t>
  </si>
  <si>
    <t>Обл. НДС
Щебінь 20-40
Переміщення товарів ІБ00-001610 від 01.12.2025 11:20:00
Транспортна галерея (Глобине)</t>
  </si>
  <si>
    <t>Переміщення товарів ІБ00-001499 від 01.12.2025 18:00:33
Перемещение ТМЦ</t>
  </si>
  <si>
    <t>Обл. НДС
Сендвіч-панель ТПК стінова 100 мм МВ 1000 мм відкр.замок С 0,5 PS/C 0,45 PS 1100 мм 5,98
Переміщення товарів ІБ00-001499 від 01.12.2025 18:00:33
Цех екстракції (Глобине)</t>
  </si>
  <si>
    <t>Обл. НДС
Сендвіч-панель ТПК стінова 100 мм МВ 1000 мм відкр.замок С 0,5 PS/C 0,45 PS 1100 мм 5,98
Надходження товарів і послуг ІБ00-004944 від 05.09.2025 11:00:00
Котельна (Глобине)</t>
  </si>
  <si>
    <t>Обл. НДС
Сендвіч-панель ТПК стінова 100 мм МВ 1000 мм відкр.замок С 0,5 PS/C 0,45 PS 1100 мм 6,24
Переміщення товарів ІБ00-001499 від 01.12.2025 18:00:33
Цех екстракції (Глобине)</t>
  </si>
  <si>
    <t>Обл. НДС
Сендвіч-панель ТПК стінова 100 мм МВ 1000 мм відкр.замок С 0,5 PS/C 0,45 PS 1100 мм 6,24
Надходження товарів і послуг ІБ00-004944 від 05.09.2025 11:00:00
Котельна (Глобине)</t>
  </si>
  <si>
    <t>Переміщення товарів ІБ00-001500 від 01.12.2025 18:00:34
Перемещение ТМЦ</t>
  </si>
  <si>
    <t>Обл. НДС
Сендвіч-панель ТПК стінова 100 мм МВ 1000 мм відкр.замок С 0,5 PS/C 0,45 PS 1100 мм 5,98
Переміщення товарів ІБ00-001500 від 01.12.2025 18:00:34
Цех екстракції (Глобине)</t>
  </si>
  <si>
    <t>Обл. НДС
Сендвіч-панель ТПК стінова 100 мм МВ 1000 мм відкр.замок С 0,5 PS/C 0,45 PS 1100 мм 5,98
Надходження товарів і послуг ІБ00-004945 від 05.09.2025 11:00:00
Котельна (Глобине)</t>
  </si>
  <si>
    <t>Переміщення товарів ІБ00-001611 від 01.12.2025 23:00:45
Перемещение ТМЦ</t>
  </si>
  <si>
    <t>Обл. НДС
Пісок з відсіву дроблення щебеню фр. 0-5мм.
Переміщення товарів ІБ00-001611 від 01.12.2025 23:00:45
Транспортна галерея Естакада 3.4 (Глобине)</t>
  </si>
  <si>
    <t>Обл. НДС
Пісок з відсіву дроблення щебеню фр. 0-5мм.
Надходження товарів і послуг ІБ00-005055 від 26.08.2025 11:00:00
Транспортна галерея (Глобине)</t>
  </si>
  <si>
    <t>Обл. НДС
Пісок з відсіву дроблення щебеню фр. 0-5мм.
Надходження товарів і послуг ІБ00-005051 від 27.08.2025 11:00:00
Транспортна галерея (Глобине)</t>
  </si>
  <si>
    <t>Переміщення товарів ІБ00-001612 від 01.12.2025 23:00:46
Перемещение ТМЦ</t>
  </si>
  <si>
    <t>Обл. НДС
Пісок з відсіву дроблення щебеню фр. 0-5мм.
Переміщення товарів ІБ00-001612 від 01.12.2025 23:00:46
Транспортна галерея Естакада 3.4 (Глобине)</t>
  </si>
  <si>
    <t>Обл. НДС
Пісок з відсіву дроблення щебеню фр. 0-5мм.
Надходження товарів і послуг ІБ00-005607 від 26.09.2025 11:00:00
СПК (Глобине)</t>
  </si>
  <si>
    <t>Обл. НДС
Пісок з відсіву дроблення щебеню фр. 0-5мм.
Переміщення товарів ІБ00-001330 від 06.11.2025 11:20:00
СПК (Глобине)</t>
  </si>
  <si>
    <t>Обл. НДС
Пісок з відсіву дроблення щебеню фр. 0-5мм.
Переміщення товарів ІБ00-001467 від 28.11.2025 11:20:00
СПК (Глобине)</t>
  </si>
  <si>
    <t>Переміщення товарів ІБ00-001613 від 01.12.2025 23:00:47
Перемещение ТМЦ</t>
  </si>
  <si>
    <t>Обл. НДС
Пісок з відсіву дроблення щебеню фр. 0-5мм.
Переміщення товарів ІБ00-001613 від 01.12.2025 23:00:47
Транспортна галерея Естакада 3.4 (Глобине)</t>
  </si>
  <si>
    <t>Обл. НДС
Пісок з відсіву дроблення щебеню фр. 0-5мм.
Переміщення товарів ІБ00-001331 від 06.11.2025 11:20:00
Пункт фасування та зберігання в бігбегах (Глобине)</t>
  </si>
  <si>
    <t>Переміщення товарів ІБ00-001614 від 01.12.2025 23:00:49
Перемещение ТМЦ</t>
  </si>
  <si>
    <t>Обл. НДС
Пісок, т
Переміщення товарів ІБ00-001614 від 01.12.2025 23:00:49
Котельна (Глобине)</t>
  </si>
  <si>
    <t>Обл. НДС
Пісок, т
Переміщення товарів ІБ00-001421 від 25.11.2025 08:00:00
АПК (Глобине)</t>
  </si>
  <si>
    <t>Переміщення товарів ІБ00-001615 від 01.12.2025 23:00:50
Перемещение ТМЦ</t>
  </si>
  <si>
    <t>Обл. НДС
Розчинник УС Нефрас 0,94 л/ 0,70 кг
Переміщення товарів ІБ00-001615 від 01.12.2025 23:00:50
СПК (Глобине)</t>
  </si>
  <si>
    <t>Обл. НДС
Розчинник УС Нефрас 0,94 л/ 0,70 кг
Надходження товарів і послуг ІБ00-001908 від 30.04.2025 11:00:00
СПК (Глобине)</t>
  </si>
  <si>
    <t>Надходження товарів і послуг ІБ00-007235 від 02.12.2025 11:00:00
Оприходованы ТМЦ</t>
  </si>
  <si>
    <t>Обл. НДС
Ринва 150/75 2 м RAL5005
Надходження товарів і послуг ІБ00-007235 від 02.12.2025 11:00:00
АПК (Глобине)</t>
  </si>
  <si>
    <t>АЛМЕТ ТОВ
№28 от 22.09.2022.( рахунки)_Глобине-2
Рахунок на оплату постачальника ІБ00-005624 від 01.11.2025 12:00:39</t>
  </si>
  <si>
    <t>Надходження товарів і послуг ІБ00-007235 від 02.12.2025 11:00:00
Оприходованы ТМЦ (Зачет аванса поставщику)</t>
  </si>
  <si>
    <t>Обл. НДС
Кронштейн ринви на П-обраній пластині RAL 5005
Надходження товарів і послуг ІБ00-007235 від 02.12.2025 11:00:00
АПК (Глобине)</t>
  </si>
  <si>
    <t>Обл. НДС
Заглушка ринви 150/75  RAL5005
Надходження товарів і послуг ІБ00-007235 від 02.12.2025 11:00:00
АПК (Глобине)</t>
  </si>
  <si>
    <t>Обл. НДС
З'єднувач ринви 130мм  RAL5005
Надходження товарів і послуг ІБ00-007235 від 02.12.2025 11:00:00
АПК (Глобине)</t>
  </si>
  <si>
    <t>Обл. НДС
Воронка ринви 150/75/100мм  RAL5005
Надходження товарів і послуг ІБ00-007235 від 02.12.2025 11:00:00
АПК (Глобине)</t>
  </si>
  <si>
    <t>Обл. НДС
Відведення зливне д=100мм  RAL5005
Надходження товарів і послуг ІБ00-007235 від 02.12.2025 11:00:00
АПК (Глобине)</t>
  </si>
  <si>
    <t>Обл. НДС
Труба водосточна 100мм 2м RAL5005
Надходження товарів і послуг ІБ00-007235 від 02.12.2025 11:00:00
АПК (Глобине)</t>
  </si>
  <si>
    <t>Обл. НДС
Труба водосточна 100мм 1м RAL5005
Надходження товарів і послуг ІБ00-007235 від 02.12.2025 11:00:00
АПК (Глобине)</t>
  </si>
  <si>
    <t>Обл. НДС
Тримач труби 100мм відбортов з П-образ пласт 2 отв RAL5005
Надходження товарів і послуг ІБ00-007235 від 02.12.2025 11:00:00
АПК (Глобине)</t>
  </si>
  <si>
    <t>Надходження товарів і послуг ІБ00-007976 від 02.12.2025 11:00:00
Оприходованы ТМЦ (Зачет аванса поставщику)</t>
  </si>
  <si>
    <t>Обл. НДС
Ущільнювач 57х1,02 КН
Надходження товарів і послуг ІБ00-007976 від 02.12.2025 11:00:00
АПК (Глобине)</t>
  </si>
  <si>
    <t>АЛМЕТ ТОВ
№28 от 22.09.2022.( рахунки)_Глобине-2
Рахунок на оплату постачальника ІБ00-005623 від 01.11.2025 12:00:38</t>
  </si>
  <si>
    <t>Переміщення товарів ІБ00-001444 від 03.12.2025 11:00:00
Перемещение ТМЦ</t>
  </si>
  <si>
    <t>Обл. НДС
Швелер № 16П міра 12,00 м
Переміщення товарів ІБ00-001444 від 03.12.2025 11:00:00
Цех_Глобино</t>
  </si>
  <si>
    <t>Обл. НДС
Швелер № 16П міра 12,00 м
Надходження товарів і послуг ІБ00-002356 від 20.05.2025 11:00:00
СПК (Глобине)</t>
  </si>
  <si>
    <t>Надходження товарів і послуг ІБ00-007236 від 03.12.2025 11:00:00
Оприходованы ТМЦ (Зачет аванса поставщику)</t>
  </si>
  <si>
    <t>Обл. НДС
Решітковий настил KOZ 34*38/30*3/оц/1120*1000
Надходження товарів і послуг ІБ00-007236 від 03.12.2025 11:00:00
АПК (Глобине)</t>
  </si>
  <si>
    <t>Червоноградський завод металоконструкцій
Договір поставки № 44 від 11.06.2020 р._Глобино-2
Рахунок на оплату постачальника ІБ00-005299 від 09.10.2025 19:11:43</t>
  </si>
  <si>
    <t>Надходження товарів і послуг ІБ00-007236 від 03.12.2025 11:00:00
Оприходованы ТМЦ</t>
  </si>
  <si>
    <t>Обл. НДС
Решітковий настил KOZ 34*38/30*3/оц/1120*1200
Надходження товарів і послуг ІБ00-007236 від 03.12.2025 11:00:00
АПК (Глобине)</t>
  </si>
  <si>
    <t>Обл. НДС
Сходинки SOZ/34*38/25*3/оц/800*205
Надходження товарів і послуг ІБ00-007236 від 03.12.2025 11:00:00
АПК (Глобине)</t>
  </si>
  <si>
    <t>Надходження товарів і послуг ІБ00-007237 від 03.12.2025 11:00:00
Оприходованы ТМЦ (Зачет аванса поставщику)</t>
  </si>
  <si>
    <t>Обл. НДС
Решітковий настил KOZ 34*38/30*3/оц/1560*1000
Надходження товарів і послуг ІБ00-007237 від 03.12.2025 11:00:00
Пожежений резервуар (Глобине)</t>
  </si>
  <si>
    <t>Червоноградський завод металоконструкцій
Договір поставки № 44 від 11.06.2020 р._Глобино-2
Рахунок на оплату постачальника ІБ00-005303 від 09.10.2025 19:11:44</t>
  </si>
  <si>
    <t>Обл. НДС
Решітковий настил KOZ 34*38/30*3/оц/1560*1246
Надходження товарів і послуг ІБ00-007237 від 03.12.2025 11:00:00
Пожежений резервуар (Глобине)</t>
  </si>
  <si>
    <t>Обл. НДС
Решітковий настил KOZ 34*38/30*3/оц/1674*1270
Надходження товарів і послуг ІБ00-007237 від 03.12.2025 11:00:00
Пожежений резервуар (Глобине)</t>
  </si>
  <si>
    <t>Обл. НДС
Решітковий настил KOZ 34*38/30*3/оц/2000*560
Надходження товарів і послуг ІБ00-007237 від 03.12.2025 11:00:00
Пожежений резервуар (Глобине)</t>
  </si>
  <si>
    <t>Надходження товарів і послуг ІБ00-007237 від 03.12.2025 11:00:00
Оприходованы ТМЦ</t>
  </si>
  <si>
    <t>Обл. НДС
Решітковий настил KOZ 34*38/30*3/оц/2000*1000
Надходження товарів і послуг ІБ00-007237 від 03.12.2025 11:00:00
Пожежений резервуар (Глобине)</t>
  </si>
  <si>
    <t>Обл. НДС
Решітковий настил KOZ 34*38/30*3/оц/1978*560
Надходження товарів і послуг ІБ00-007237 від 03.12.2025 11:00:00
Пожежений резервуар (Глобине)</t>
  </si>
  <si>
    <t>Обл. НДС
Решітковий настил KOZ 34*38/30*3/оц/1978*1000
Надходження товарів і послуг ІБ00-007237 від 03.12.2025 11:00:00
Пожежений резервуар (Глобине)</t>
  </si>
  <si>
    <t>Обл. НДС
Решітковий настил KOZ 34*38/30*3/оц/1856*515
Надходження товарів і послуг ІБ00-007237 від 03.12.2025 11:00:00
Пожежений резервуар (Глобине)</t>
  </si>
  <si>
    <t>Обл. НДС
Решітковий настил KOZ 34*38/30*3/оц/1856*1000
Надходження товарів і послуг ІБ00-007237 від 03.12.2025 11:00:00
Пожежений резервуар (Глобине)</t>
  </si>
  <si>
    <t>Обл. НДС
Решітковий настил KOZ 34*38/30*3/оц/1897*1000
Надходження товарів і послуг ІБ00-007237 від 03.12.2025 11:00:00
Пожежений резервуар (Глобине)</t>
  </si>
  <si>
    <t>Обл. НДС
Решітковий настил KOZ 34*38/30*3/оц/2100*1000
Надходження товарів і послуг ІБ00-007237 від 03.12.2025 11:00:00
Пожежений резервуар (Глобине)</t>
  </si>
  <si>
    <t>Обл. НДС
Решітковий настил KOZ 34*38/30*3/оц/ 2000*1165
Надходження товарів і послуг ІБ00-007237 від 03.12.2025 11:00:00
Пожежений резервуар (Глобине)</t>
  </si>
  <si>
    <t>Обл. НДС
Решітковий настил KOZ 34*38/30*3/оц/1897*856
Надходження товарів і послуг ІБ00-007237 від 03.12.2025 11:00:00
Пожежений резервуар (Глобине)</t>
  </si>
  <si>
    <t>Обл. НДС
Решітковий настил KOZ 34*38/30*3/оц/2100*856
Надходження товарів і послуг ІБ00-007237 від 03.12.2025 11:00:00
Пожежений резервуар (Глобине)</t>
  </si>
  <si>
    <t>Обл. НДС
Решітковий настил KOZ 34*38/30*3/оц/2000*695
Надходження товарів і послуг ІБ00-007237 від 03.12.2025 11:00:00
Пожежений резервуар (Глобине)</t>
  </si>
  <si>
    <t>Обл. НДС
Решітковий настил KOZ 34*38/30*3/оц/2000*856
Надходження товарів і послуг ІБ00-007237 від 03.12.2025 11:00:00
Пожежений резервуар (Глобине)</t>
  </si>
  <si>
    <t>Обл. НДС
Решітковий настил KOZ 34*38/30*3/оц/2000*854
Надходження товарів і послуг ІБ00-007237 від 03.12.2025 11:00:00
Пожежений резервуар (Глобине)</t>
  </si>
  <si>
    <t>Обл. НДС
Решітковий настил KOZ 34*38/30*3/оц/2000*852
Надходження товарів і послуг ІБ00-007237 від 03.12.2025 11:00:00
Пожежений резервуар (Глобине)</t>
  </si>
  <si>
    <t>Обл. НДС
Решітковий настил KOZ 34*38/30*3/оц/1987*1000
Надходження товарів і послуг ІБ00-007237 від 03.12.2025 11:00:00
Пожежений резервуар (Глобине)</t>
  </si>
  <si>
    <t>Обл. НДС
Решітковий настил KOZ 34*38/30*3/оц/1987*856
Надходження товарів і послуг ІБ00-007237 від 03.12.2025 11:00:00
Пожежений резервуар (Глобине)</t>
  </si>
  <si>
    <t>Обл. НДС
Сходинки SOZ/34*38/25*3/оц/800*205
Надходження товарів і послуг ІБ00-007237 від 03.12.2025 11:00:00
Пожежений резервуар (Глобине)</t>
  </si>
  <si>
    <t>Надходження товарів і послуг ІБ00-007391 від 04.12.2025 11:00:00
Оприходованы ТМЦ</t>
  </si>
  <si>
    <t>Обл. НДС
Бетон С  8/10 Р4
Надходження товарів і послуг ІБ00-007391 від 04.12.2025 11:00:00
Транспортна галерея (Глобине)</t>
  </si>
  <si>
    <t>Кременчуцький річковий порт ПРАТ
Договір 112/Б від 15.10.2024_Глобине-2
Надходження товарів і послуг ІБ00-007391 від 04.12.2025 11:00:00</t>
  </si>
  <si>
    <t>Надходження товарів і послуг ІБ00-007981 від 04.12.2025 11:00:00
Оприходованы ТМЦ</t>
  </si>
  <si>
    <t>Обл. НДС
Пісок з відсіву дроблення щебеню фр. 0-5мм.
Надходження товарів і послуг ІБ00-007981 від 04.12.2025 11:00:00
Глобине-2</t>
  </si>
  <si>
    <t>Енергія Логістик ТОВ
№28/10-2024 ВІД 28/10/24_Глобине-2
Рахунок на оплату постачальника ІБ00-006493 від 04.12.2025 23:00:05</t>
  </si>
  <si>
    <t>Обл. НДС
Щебінь 20-40
Надходження товарів і послуг ІБ00-007981 від 04.12.2025 11:00:00
Глобине-2</t>
  </si>
  <si>
    <t>Надходження дод. витрат ІБ00-000691 від 04.12.2025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</si>
  <si>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ІБ00-000691 від 04.12.2025 11:10:00</t>
  </si>
  <si>
    <t>Надходження дод. витрат ІБ00-000713 від 04.12.2025 11:10:00
Доп. расходы при поступлении товаров</t>
  </si>
  <si>
    <t>Переміщення товарів ІБ00-001734 від 04.12.2025 11:20:00
Перемещение ТМЦ</t>
  </si>
  <si>
    <t>Обл. НДС
Пісок з відсіву дроблення щебеню фр. 0-5мм.
Переміщення товарів ІБ00-001734 від 04.12.2025 11:20:00
СПК (Глобине)</t>
  </si>
  <si>
    <t>Переміщення товарів ІБ00-001735 від 04.12.2025 11:20:00
Перемещение ТМЦ</t>
  </si>
  <si>
    <t>Обл. НДС
Щебінь 20-40
Переміщення товарів ІБ00-001735 від 04.12.2025 11:20:00
Транспортна галерея Естакада 3.5 (Глобине)</t>
  </si>
  <si>
    <t>Вимога-накладна ІБ00-001128 від 05.12.2025 10:00:00
Списаны ТМЦ</t>
  </si>
  <si>
    <t>Обл. НДС
Труба харчова ПЕ100 діам. 32*2,0/10атм
Надходження товарів і послуг ІБ00-006919 від 01.11.2025 11:00:00
Транспортна галерея (Глобине)</t>
  </si>
  <si>
    <t>Обл. НДС
Коліно затискне 32
Надходження товарів і послуг ІБ00-007518 від 01.11.2025 12:50:34
Транспортна галерея (Глобине)</t>
  </si>
  <si>
    <t>Обл. НДС
Труба ПЕ 100  110*6,6 мм 10 атм SDR 17
Надходження товарів і послуг ІБ00-006919 від 01.11.2025 11:00:00
Транспортна галерея (Глобине)</t>
  </si>
  <si>
    <t>Обл. НДС
Коліно затискне 110
Надходження товарів і послуг ІБ00-007518 від 01.11.2025 12:50:34
Транспортна галерея (Глобине)</t>
  </si>
  <si>
    <t>Обл. НДС
Кільце колодязне КС 10-9
Надходження товарів і послуг ІБ00-006724 від 01.11.2025 11:00:00
Транспортна галерея (Глобине)</t>
  </si>
  <si>
    <t>Обл. НДС
Кільце колодязне КС 10-6
Надходження товарів і послуг ІБ00-006724 від 01.11.2025 11:00:00
Транспортна галерея (Глобине)</t>
  </si>
  <si>
    <t>Обл. НДС
ПП-10-1 кришка колодязя
Надходження товарів і послуг ІБ00-006724 від 01.11.2025 11:00:00
Транспортна галерея (Глобине)</t>
  </si>
  <si>
    <t>Обл. НДС
Днище кільця колодязного ПН 10
Надходження товарів і послуг ІБ00-006724 від 01.11.2025 11:00:00
Транспортна галерея (Глобине)</t>
  </si>
  <si>
    <t>Обл. НДС
Кільце опірне КО-6
Надходження товарів і послуг ІБ00-006724 від 01.11.2025 11:00:00
Транспортна галерея (Глобине)</t>
  </si>
  <si>
    <t>Обл. НДС
Скоба опорна чавунна "Євроскоба"
Надходження товарів і послуг ІБ00-006372 від 21.10.2025 11:00:00
Транспортна галерея (Глобине)</t>
  </si>
  <si>
    <t>Обл. НДС
Насос фекальний DELTA WQD 1,1кВт
Надходження товарів і послуг ІБ00-006377 від 09.10.2025 11:00:00
Транспортна галерея (Глобине)</t>
  </si>
  <si>
    <t>Обл. НДС
Скоба опорна чавунна "Євроскоба"
Надходження товарів і послуг ІБ00-007138 від 03.11.2025 11:00:00
Транспортна галерея (Глобине)</t>
  </si>
  <si>
    <t>Обл. НДС
Труба кан.ПП гофров.IPlast-cor SN 8  110/6000 мм
Переміщення товарів ІБ00-001151 від 16.10.2025 11:10:00
Транспортна галерея (Глобине)</t>
  </si>
  <si>
    <t>Обл. НДС
Труба кан.ПП гофров.IPlast-cor SN 8  110/6000 мм
Переміщення товарів ІБ00-001333 від 03.11.2025 11:10:00
Транспортна галерея (Глобине)</t>
  </si>
  <si>
    <t>Обл. НДС
Муфта ПП гофра IPLast-cor SN 8 110
Переміщення товарів ІБ00-001151 від 16.10.2025 11:10:00
Транспортна галерея (Глобине)</t>
  </si>
  <si>
    <t>Обл. НДС
Коліно сегментне ПЕ 100 SDR17 ПЕ 110/45
Надходження товарів і послуг ІБ00-006919 від 01.11.2025 11:00:00
Транспортна галерея (Глобине)</t>
  </si>
  <si>
    <t>Обл. НДС
Бетон С20/25 W6 F75 P4
Переміщення товарів ІБ00-001302 від 10.11.2025 11:20:00
Транспортна галерея (Глобине)</t>
  </si>
  <si>
    <t>Обл. НДС
Бетон С20/25 W6 F75 P4
Надходження товарів і послуг ІБ00-006703 від 13.11.2025 11:00:00
Транспортна галерея (Глобине)</t>
  </si>
  <si>
    <t>Обл. НДС
Бетон С20/25 W6 F75 P4
Переміщення товарів ІБ00-001446 від 19.11.2025 11:20:00
Транспортна галерея (Глобине)</t>
  </si>
  <si>
    <t>Надходження товарів і послуг ІБ00-007392 від 05.12.2025 11:00:00
Оприходованы ТМЦ (Зачет аванса поставщику)</t>
  </si>
  <si>
    <t>Обл. НДС
Бетон С20/25 W6 F75 P4
Надходження товарів і послуг ІБ00-007392 від 05.12.2025 11:00:00
Глобине-2</t>
  </si>
  <si>
    <t>Кременчуцький річковий порт ПРАТ
Договір 112/Б від 15.10.2024_Глобине-2
Надходження товарів і послуг ІБ00-005981 від 18.10.2025 11:00:00</t>
  </si>
  <si>
    <t>Надходження товарів і послуг ІБ00-007935 від 05.12.2025 11:00:00
Оприходованы ТМЦ (Зачет аванса поставщику)</t>
  </si>
  <si>
    <t>Обл. НДС
Профілі сталеві листові Н-60 полімерне покриття
Надходження товарів і послуг ІБ00-007935 від 05.12.2025 11:00:00
АПК (Глобине)</t>
  </si>
  <si>
    <t>АЛМЕТ ТОВ
№28 от 22.09.2022.( рахунки)_Глобине-2
Рахунок на оплату постачальника ІБ00-005627 від 01.11.2025 12:00:42</t>
  </si>
  <si>
    <t>Надходження товарів і послуг ІБ00-007935 від 05.12.2025 11:00:00
Оприходованы ТМЦ</t>
  </si>
  <si>
    <t>Обл. НДС
Профіль сталевий листовий НС-20 RAL9006
Надходження товарів і послуг ІБ00-007935 від 05.12.2025 11:00:00
АПК (Глобине)</t>
  </si>
  <si>
    <t>Обл. НДС
Профіль сталевий листовий НС-20 0,5  5005 синій
Надходження товарів і послуг ІБ00-007935 від 05.12.2025 11:00:00
АПК (Глобине)</t>
  </si>
  <si>
    <t>Надходження товарів і послуг ІБ00-007977 від 05.12.2025 11:00:00
Оприходованы ТМЦ (Зачет аванса поставщику)</t>
  </si>
  <si>
    <t>Обл. НДС
Кронштейн фасадний КФ6-01/1-2
Надходження товарів і послуг ІБ00-007977 від 05.12.2025 11:00:00
АПК (Глобине)</t>
  </si>
  <si>
    <t>АЛМЕТ ТОВ
№28 от 22.09.2022.( рахунки)_Глобине-2
Рахунок на оплату постачальника ІБ00-005625 від 01.11.2025 12:00:40</t>
  </si>
  <si>
    <t>Надходження дод. витрат ІБ00-000692 від 05.12.2025 11:10:00
Доп. расходы при поступлении товаров (Зачет аванса поставщику)</t>
  </si>
  <si>
    <t>Переміщення товарів ІБ00-001555 від 05.12.2025 11:20:00
Перемещение ТМЦ</t>
  </si>
  <si>
    <t>Обл. НДС
Бетон С20/25 W6 F75 P4
Переміщення товарів ІБ00-001555 від 05.12.2025 11:20:00
Пункт фасування та зберігання в бігбегах (Глобине)</t>
  </si>
  <si>
    <t>Переміщення товарів ІБ00-001556 від 05.12.2025 11:20:00
Перемещение ТМЦ</t>
  </si>
  <si>
    <t>Обл. НДС
Бетон С20/25 W6 F75 P4
Переміщення товарів ІБ00-001556 від 05.12.2025 11:20:00
Транспортна галерея Естакада 3.5 (Глобине)</t>
  </si>
  <si>
    <t>08.12.2025</t>
  </si>
  <si>
    <t>Надходження товарів і послуг ІБ00-007390 від 08.12.2025 11:00:00
Оприходованы ТМЦ (Зачет аванса поставщику)</t>
  </si>
  <si>
    <t>Обл. НДС
Бетон С20/25 W6 F75 P4
Надходження товарів і послуг ІБ00-007390 від 08.12.2025 11:00:00
Транспортна галерея Естакада 3.5 (Глобине)</t>
  </si>
  <si>
    <t>Надходження товарів і послуг ІБ00-007644 від 08.12.2025 11:00:00
Оприходованы ТМЦ</t>
  </si>
  <si>
    <t>Обл. НДС
Профіль УГ 50*50
Надходження товарів і послуг ІБ00-007644 від 08.12.2025 11:00:00
АПК (Глобине)</t>
  </si>
  <si>
    <t>Надходження товарів і послуг ІБ00-007644 від 08.12.2025 11:00:00
Оприходованы ТМЦ (Зачет аванса поставщику)</t>
  </si>
  <si>
    <t>Надходження дод. витрат ІБ00-000690 від 08.12.2025 11:10:00
Доп. расходы при поступлении товаров (Зачет аванса поставщику)</t>
  </si>
  <si>
    <t>09.12.2025</t>
  </si>
  <si>
    <t>Надходження товарів і послуг ІБ00-007387 від 09.12.2025 11:00:00
Оприходованы ТМЦ</t>
  </si>
  <si>
    <t>Обл. НДС
Віконний блок із профілю "WDS 76 AD"
Надходження товарів і послуг ІБ00-007387 від 09.12.2025 11:00:00
АПК (Глобине)</t>
  </si>
  <si>
    <t>Екіпаж ПП
Дог№300525/3-П-Спец№1_від 29.05.2025_Глобино2
Рахунок на оплату постачальника ІБ00-005333 від 31.10.2025 09:28:55</t>
  </si>
  <si>
    <t>Надходження товарів і послуг ІБ00-007387 від 09.12.2025 11:00:00
Оприходованы ТМЦ (Зачет аванса поставщику)</t>
  </si>
  <si>
    <t>Надходження товарів і послуг ІБ00-007616 від 09.12.2025 11:00:00
Оприходованы ТМЦ</t>
  </si>
  <si>
    <t>Обл. НДС
Дюбель для газобетону GB14
Надходження товарів і послуг ІБ00-007616 від 09.12.2025 11:00:00
АПК (Глобине)</t>
  </si>
  <si>
    <t>ЄВРОБОЛТ УКРАЇНА ТОВ
Рахунки_Глобине-2
Рахунок на оплату постачальника ІБ00-006077 від 02.12.2025 18:31:08</t>
  </si>
  <si>
    <t>Обл. НДС
Гвинт для дерева з шестигран.голівкою DIN 571  оц.10,0*100
Надходження товарів і послуг ІБ00-007616 від 09.12.2025 11:00:00
АПК (Глобине)</t>
  </si>
  <si>
    <t>Надходження товарів і послуг ІБ00-007689 від 09.12.2025 11:00:00
Оприходованы ТМЦ</t>
  </si>
  <si>
    <t>Обл. НДС
Грунт ГФ-021 сірий
Надходження товарів і послуг ІБ00-007689 від 09.12.2025 11:00:00
СПК (Глобине)</t>
  </si>
  <si>
    <t>Синтез ЛКМ
РАХУНКИ_Глобино-2
Рахунок на оплату постачальника ІБ00-005970 від 05.12.2025 17:13:02</t>
  </si>
  <si>
    <t>Надходження товарів і послуг ІБ00-008046 від 09.12.2025 11:00:00
Оприходованы ТМЦ</t>
  </si>
  <si>
    <t>Обл. НДС
Кріплення стандартні
Надходження товарів і послуг ІБ00-008046 від 09.12.2025 11:00:00
Пожежений резервуар (Глобине)</t>
  </si>
  <si>
    <t>Обл. НДС
Кріплення гакове до швелера 22
Надходження товарів і послуг ІБ00-008046 від 09.12.2025 11:00:00
Пожежений резервуар (Глобине)</t>
  </si>
  <si>
    <t>Обл. НДС
Кріплення гакове до швелера 16
Надходження товарів і послуг ІБ00-008046 від 09.12.2025 11:00:00
Пожежений резервуар (Глобине)</t>
  </si>
  <si>
    <t>Обл. НДС
Кріплення для сходинок
Надходження товарів і послуг ІБ00-008046 від 09.12.2025 11:00:00
Пожежений резервуар (Глобине)</t>
  </si>
  <si>
    <t>Надходження товарів і послуг ІБ00-008047 від 09.12.2025 11:00:00
Оприходованы ТМЦ</t>
  </si>
  <si>
    <t>Обл. НДС
Кріплення стандартні
Надходження товарів і послуг ІБ00-008047 від 09.12.2025 11:00:00
АПК (Глобине)</t>
  </si>
  <si>
    <t>Обл. НДС
Кріплення гакове до швелера 16
Надходження товарів і послуг ІБ00-008047 від 09.12.2025 11:00:00
АПК (Глобине)</t>
  </si>
  <si>
    <t>Обл. НДС
Кріплення для сходинок
Надходження товарів і послуг ІБ00-008047 від 09.12.2025 11:00:00
АПК (Глобине)</t>
  </si>
  <si>
    <t>Надходження товарів і послуг ІБ00-007335 від 10.12.2025 00:00:00
Оприходованы ТМЦ</t>
  </si>
  <si>
    <t>Обл. НДС
Відвід 45° безшовний, 10", 273х9,27 мм, вуглецева сталь ASTM A 234 Grade WPB, ASME B16.9, LR
Надходження товарів і послуг ІБ00-007335 від 10.12.2025 00:00:00
Цех екстракції (Глобине)</t>
  </si>
  <si>
    <t>СПЕШАЛ ЕЛЛОЙЗ ТРЕЙДІНГ УКРАЇНА ТОВ
Дог.7/07  07.07.2025_Глобино-2
Рахунок на оплату постачальника ІБ00-005136 від 01.10.2025 23:00:12</t>
  </si>
  <si>
    <t>Обл. НДС
Відвід 45° безшовний, 12", 323,8х9,53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</si>
  <si>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14", 355,6х9,53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</si>
  <si>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16', 406,4х9,53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</si>
  <si>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18', 457х9,53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</si>
  <si>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3", 88,9х5,49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</si>
  <si>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3/4", вуглецева сталь ASTM/ASME A/SA 105N, ASME B 16.11, Class 3000
Надходження товарів і послуг ІБ00-007335 від 10.12.2025 00:00:00
Цех екстракції (Глобине)</t>
  </si>
  <si>
    <t>Обл. НДС
Відвід 45° безшовний, 4',114,3х6,02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</si>
  <si>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6", 168,3х7,11 мм, вуглецева сталь ASTM A 234 Grade WPB, ASME B16.9, LR
Надходження товарів і послуг ІБ00-007335 від 10.12.2025 00:00:00
Цех екстракції (Глобине)</t>
  </si>
  <si>
    <t>Обл. НДС
Відвід 45° безшовний, 8", 219,1х8,18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</si>
  <si>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 1/2", 48,3х3,68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</si>
  <si>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1", 33,4х3,38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</si>
  <si>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10", 273х9,27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</si>
  <si>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12", 323,8х9,53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</si>
  <si>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14", 355,6х9,53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</si>
  <si>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16', 406,4х9,53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</si>
  <si>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18', 457х9,53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</si>
  <si>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2", 60,3х3,91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</si>
  <si>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20', 508х9,53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</si>
  <si>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24', 610х9,53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</si>
  <si>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3", 88,9х5,49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</si>
  <si>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3/4", вуглецева сталь ASTM/ASME A/SA 105N, ASME B 16.11, Class 3000
Надходження товарів і послуг ІБ00-007335 від 10.12.2025 00:00:00
Цех екстракції (Глобине)</t>
  </si>
  <si>
    <t>Обл. НДС
Відвід 90° безшовний, 4',114,3х6,02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</si>
  <si>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6", 168,3х7,11 мм, вуглецева сталь ASTM A 234 Grade WPB, ASME B16.9, LR
Надходження товарів і послуг ІБ00-007335 від 10.12.2025 00:00:00
Цех екстракції (Глобине)</t>
  </si>
  <si>
    <t>Обл. НДС
Відвід 90° безшовний, 8", 219,1х8,18 мм, вуглецева сталь ASTM A 234 Grade WPB, ASME B16.9, LR
Надходження товарів і послуг ІБ00-007335 від 10.12.2025 00:00:00
Цех екстракції (Глобине)</t>
  </si>
  <si>
    <t>Обл. НДС
Заглушка торцева приварна 2" STD BW, вуглецева сталь ASTM A234 WPB, ASME B16.9
Надходження товарів і послуг ІБ00-007335 від 10.12.2025 00:00:00
Цех екстракції (Глобине)</t>
  </si>
  <si>
    <t>Обл. НДС
Заглушка торцева приварна 4" STD BW, вуглецева сталь ASTM A234 WPB, ASME B16.9
Надходження товарів і послуг ІБ00-007335 від 10.12.2025 00:00:00
Цех екстракції (Глобине)</t>
  </si>
  <si>
    <t>Обл. НДС
Заглушка торцева приварна 6" STD BW, вуглецева сталь ASTM A234 WPB, ASME B16.9
Надходження товарів і послуг ІБ00-007335 від 10.12.2025 00:00:00
Цех екстракції (Глобине)</t>
  </si>
  <si>
    <t>Обл. НДС
Заглушка торцева приварна 8" STD BW, вуглецева сталь ASTM A234 WPB, ASME B16.9
Надходження товарів і послуг ІБ00-007335 від 10.12.2025 00:00:00
Цех екстракції (Глобине)</t>
  </si>
  <si>
    <t>Обл. НДС
Перехід концентричний безшовний 10'' х 6'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</si>
  <si>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12'' х 6'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</si>
  <si>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16'' х 10'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</si>
  <si>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2'' х 1'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</si>
  <si>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20'' х 14'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</si>
  <si>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3'' х 2'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</si>
  <si>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4'' х 3'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</si>
  <si>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6'' х 4' STD вуглецева сталь ASTM A 234 Grade WPB ASME B 16.9
Надходження товарів і послуг ІБ00-007335 від 10.12.2025 00:00:00
Цех екстракції (Глобине)</t>
  </si>
  <si>
    <t>Обл. НДС
Перехід концентричний безшовний 8'' х 6' STD вуглецева сталь ASTM A 234 Grade WPB ASME B 16.9
Надходження товарів і послуг ІБ00-007335 від 10.12.2025 00:00:00
Цех екстракції (Глобине)</t>
  </si>
  <si>
    <t>Обл. НДС
Трійник приварний SW 1/2", вуглецева сталь A/SA 105N, клас 3000, ASME B16.11
Надходження товарів і послуг ІБ00-007335 від 10.12.2025 00:00:00
Цех екстракції (Глобине)</t>
  </si>
  <si>
    <t>Обл. НДС
Фланець глухий PN16 DN 100,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</si>
  <si>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150,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</si>
  <si>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200,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</si>
  <si>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250,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</si>
  <si>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350,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</si>
  <si>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400, B1, вуглецева сталь P250GH (1.0460), EN 1092-1
Надходження товарів і послуг ІБ00-007335 від 10.12.2025 00:00:00
Цех екстракції (Глобине)</t>
  </si>
  <si>
    <t>Обл. НДС
Фланець глухий PN16 DN 500, B1, вуглецева сталь P250GH (1.0460), EN 1092-1
Надходження товарів і послуг ІБ00-007335 від 10.12.2025 00:00:00
Цех екстракції (Глобине)</t>
  </si>
  <si>
    <t>Обл. НДС
Штуцер врізки (Велдолет) 16"x4", S/STD, стикова зварка BW end: MSS SP97 ANSI B16.25 A105 N
Надходження товарів і послуг ІБ00-007335 від 10.12.2025 00:00:00
Цех екстракції (Глобине)</t>
  </si>
  <si>
    <t>Обл. НДС
Фланець різьбовий комірковий 1 1/2" PN40, вуглецева сталь P250GH / 1.0460 EN 1092-1 тип 13
Надходження товарів і послуг ІБ00-007335 від 10.12.2025 00:00:00
Цех екстракції (Глобине)</t>
  </si>
  <si>
    <t>Обл. НДС
Фланець різьбовий комірковий 1/2" PN40, вуглецева сталь P250GH / 1.0460 EN 1092-1 тип 13
Надходження товарів і послуг ІБ00-007335 від 10.12.2025 00:00:00
Цех екстракції (Глобине)</t>
  </si>
  <si>
    <t>Обл. НДС
Фланець різьбовий комірковий 1" PN40, вуглецева сталь P250GH / 1.0460 EN 1092-1 тип 13
Надходження товарів і послуг ІБ00-007335 від 10.12.2025 00:00:00
Цех екстракції (Глобине)</t>
  </si>
  <si>
    <t>Обл. НДС
Фланець різьбовий комірковий 1 1/4" PN40, вуглецева сталь P250GH / 1.0460 EN 1092-1 тип 13
Надходження товарів і послуг ІБ00-007335 від 10.12.2025 00:00:00
Цех екстракції (Глобине)</t>
  </si>
  <si>
    <t>Обл. НДС
Фланець різьбовий комірковий 2" PN16, вуглецева сталь P250GH / 1.0460 EN 1092-1 тип 13
Надходження товарів і послуг ІБ00-007335 від 10.12.2025 00:00:00
Цех екстракції (Глобине)</t>
  </si>
  <si>
    <t>Обл. НДС
Заглушка різьбова зовн.DN 15, PN 100, ISO 7-1, вуглецева сталь P235GH, ISO 4144
Надходження товарів і послуг ІБ00-007335 від 10.12.2025 00:00:00
Цех екстракції (Глобине)</t>
  </si>
  <si>
    <t>Обл. НДС
Втулка редукційна DN 20x15 PN 100 різьбова внутр./зовн.ISO 7-1, матеріал P235GH ISO 4144
Надходження товарів і послуг ІБ00-007335 від 10.12.2025 00:00:00
Цех екстракції (Глобине)</t>
  </si>
  <si>
    <t>Обл. НДС
Втулка редукційна DN 25x15 PN 16 різьбова внутр./зовн.ISO 7-1, матеріал A197 (EN-GJMB-350-10)
Надходження товарів і послуг ІБ00-007335 від 10.12.2025 00:00:00
Цех екстракції (Глобине)</t>
  </si>
  <si>
    <t>Обл. НДС
Коліно 45° DN 40 (1 1/2") , PN 16, різьба ISO 7-1, Вн/Вн, матеріал EN-GJMB-350-10
Надходження товарів і послуг ІБ00-007335 від 10.12.2025 00:00:00
Цех екстракції (Глобине)</t>
  </si>
  <si>
    <t>Обл. НДС
Коліно 90° DN 25 (1") , PN 16, різьба ISO 7-1, Вн/Вн, матеріал EN-GJMB-350-10
Надходження товарів і послуг ІБ00-007335 від 10.12.2025 00:00:00
Цех екстракції (Глобине)</t>
  </si>
  <si>
    <t>Обл. НДС
Коліно 90° DN 40 (1 1/2") , PN 16, різьба ISO 7-1, Вн/Вн, матеріал EN-GJMB-350-10
Надходження товарів і послуг ІБ00-007335 від 10.12.2025 00:00:00
Цех екстракції (Глобине)</t>
  </si>
  <si>
    <t>Обл. НДС
Муфта редукційна редукційна різьбова 1 1/2"x1", PN 16, матеріал EN-GJMB-350-10 (А197)
Надходження товарів і послуг ІБ00-007335 від 10.12.2025 00:00:00
Цех екстракції (Глобине)</t>
  </si>
  <si>
    <t>Обл. НДС
Ніпель трубний різьбовий 1/2"х2" Зовн/Зовн, TBE сталь ASTM/ASME A/SA 106B, довжина 50 мм
Надходження товарів і послуг ІБ00-007335 від 10.12.2025 00:00:00
Цех екстракції (Глобине)</t>
  </si>
  <si>
    <t>Обл. НДС
Ніпель трубний різьбовий 1"х4" Зовн/Зовн, TBE сталь ASTM/ASME A/SA 106B, довжина 100 мм
Надходження товарів і послуг ІБ00-007335 від 10.12.2025 00:00:00
Цех екстракції (Глобине)</t>
  </si>
  <si>
    <t>Обл. НДС
Ніпель трубний різьбовий 1/2"х4" Зовн/Зовн, TBE сталь ASTM/ASME A/SA 106B, довжина 100 мм
Надходження товарів і послуг ІБ00-007335 від 10.12.2025 00:00:00
Цех екстракції (Глобине)</t>
  </si>
  <si>
    <t>Обл. НДС
Ніпель DN20 × 50 мм, різьбовий з одного кінця (BSP) TOE, зварний, EN 10255 S195T (A106)
Надходження товарів і послуг ІБ00-007335 від 10.12.2025 00:00:00
Цех екстракції (Глобине)</t>
  </si>
  <si>
    <t>Обл. НДС
Ніпель DN15 × 100 мм, різьбовий з одного кінця (BSP) TOE, зварний, EN 10255 S195T (A106)
Надходження товарів і послуг ІБ00-007335 від 10.12.2025 00:00:00
Цех екстракції (Глобине)</t>
  </si>
  <si>
    <t>Обл. НДС
Ніпель DN25 × 100 мм, різьбовий з одного кінця (BSP) TOE, зварний, EN 10255 S195T (A106)
Надходження товарів і послуг ІБ00-007335 від 10.12.2025 00:00:00
Цех екстракції (Глобине)</t>
  </si>
  <si>
    <t>Обл. НДС
Муфта різьбова DN15 (1/2"), PN100, BSP внутрішня, вуглецева сталь P245GH (P265GH or P235GH), EN 1022
Надходження товарів і послуг ІБ00-007335 від 10.12.2025 00:00:00
Цех екстракції (Глобине)</t>
  </si>
  <si>
    <t>Реалізація товарів і послуг ІБ00-000078 від 10.12.2025 00:00:00
Списаны ТМЦ</t>
  </si>
  <si>
    <t>Обл. НДС
Сендвіч-панель ТПК стінова 100 мм МВ 1180 мм відкр.замок С 0,5 PS/C 0,5 PS (трапеція 9006 сріблястий
Надходження товарів і послуг ІБ00-006365 від 28.10.2025 11:00:00
Цех екстракції (Глобине)</t>
  </si>
  <si>
    <t>Обл. НДС
Сендвіч-панель ТПК стінова 100 мм МВ 1180 мм відкр.замок С 0,5 PS/C 0,5 PS (трапеція 5005 синій/ тра
Надходження товарів і послуг ІБ00-006166 від 20.10.2025 11:00:00
Цех екстракції (Глобине)</t>
  </si>
  <si>
    <t>Обл. НДС
Сендвіч-панель ТПК стінова 100 мм МВ 1180 мм відкр.замок С 0,5 PS/C 0,5 PS (трапеція 5005 синій/ тра
Надходження товарів і послуг ІБ00-006654 від 05.11.2025 11:00:00
Цех екстракції (Глобине)</t>
  </si>
  <si>
    <t>Обл. НДС
Сендвіч-панель ТПК стінова 100 мм МВ 1180 мм відкр.замок С 0,5 PS/C 0,5 PS (трапеція 9006 сріблястий
Надходження товарів і послуг ІБ00-006166 від 20.10.2025 11:00:00
Цех екстракції (Глобине)</t>
  </si>
  <si>
    <t>Обл. НДС
Сендвіч-панель ТПК стінова 100 мм МВ 1180 мм відкр.замок С 0,5 PS/C 0,5 PS (трапеція 9006 сріблястий
Надходження товарів і послуг ІБ00-006654 від 05.11.2025 11:00:00
Цех екстракції (Глобине)</t>
  </si>
  <si>
    <t>Обл. НДС
Сендвіч-панель ТПК стінова 100 мм МВ 1180 мм відкр.замок С 0,5 PS/C 0,5 PS (трапеція 9006 сріблястий
Надходження товарів і послуг ІБ00-006364 від 28.10.2025 11:00:00
Цех екстракції (Глобине)</t>
  </si>
  <si>
    <t>Обл. НДС
Ущільнювальна стрічка ТПК УП-1 ППЕ НХ (5х50мм 20м)
Надходження товарів і послуг ІБ00-006166 від 20.10.2025 11:00:00
Цех екстракції (Глобине)</t>
  </si>
  <si>
    <t>Обл. НДС
Ущільнювальна стрічка ТПК УП-1 ППЕ НХ (5х50мм 20м)
Надходження товарів і послуг ІБ00-006364 від 28.10.2025 11:00:00
Цех екстракції (Глобине)</t>
  </si>
  <si>
    <t>Обл. НДС
Клей-герметик д/сендвіч-панелей Soudaflex 40 FC  (12 шт/уп) (600мл(шт.) cірий)
Надходження товарів і послуг ІБ00-006166 від 20.10.2025 11:00:00
Цех екстракції (Глобине)</t>
  </si>
  <si>
    <t>Обл. НДС
Клей-герметик д/сендвіч-панелей Soudaflex 40 FC  (12 шт/уп) (600мл(шт.) cірий)
Надходження товарів і послуг ІБ00-006364 від 28.10.2025 11:00:00
Цех екстракції (Глобине)</t>
  </si>
  <si>
    <t>Обл. НДС
Самонаріз в метал до сендвіч-панелей 5,5х6,3/150 (5005 синій (100шт))
Надходження товарів і послуг ІБ00-006166 від 20.10.2025 11:00:00
Цех екстракції (Глобине)</t>
  </si>
  <si>
    <t>Обл. НДС
Самонаріз в метал до сендвіч-панелей 5,5х6,3/150 (9006 сріблястий (100шт))
Надходження товарів і послуг ІБ00-006166 від 20.10.2025 11:00:00
Цех екстракції (Глобине)</t>
  </si>
  <si>
    <t>Обл. НДС
 Сендвіч-панель ТПК стінова 150 мм МВ 1000 мм термо замок С 0,5 PS/C 0,45 PS 1100 мм (трапеція 9006 
Надходження товарів і послуг ІБ00-007291 від 20.11.2025 11:00:00
Цех екстракції (Глобине)</t>
  </si>
  <si>
    <t>Обл. НДС
Сендвіч-панель ТПК стінова 100 мм МВ 1180 мм відкр.замок С 0,5 PS/C 0,5 PS (трапеція 9006 сріблястий
Надходження товарів і послуг ІБ00-007292 від 20.11.2025 11:00:00
Цех екстракції (Глобине)</t>
  </si>
  <si>
    <t>Надходження товарів і послуг ІБ00-007268 від 10.12.2025 08:35:31
Оприходованы ТМЦ (Зачет аванса поставщику)</t>
  </si>
  <si>
    <t>Обл. НДС
Ущільнення SWG MS14 DN15 PN16 SS316/FG/CS  розм. 29/39/51
Надходження товарів і послуг ІБ00-007268 від 10.12.2025 08:35:31
Цех екстракції (Глобине)</t>
  </si>
  <si>
    <t>СПЕШАЛ ЕЛЛОЙЗ ТРЕЙДІНГ УКРАЇНА ТОВ
Дог.7/07  07.07.2025_Глобино-2
Рахунок на оплату постачальника ІБ00-005326 від 27.10.2025 17:24:09</t>
  </si>
  <si>
    <t>Обл. НДС
Ущільнення SWG MS14 DN15 PN40 SS316/FG/CS  розм. 29/39/51 
Надходження товарів і послуг ІБ00-007268 від 10.12.2025 08:35:31
Цех екстракції (Глобине)</t>
  </si>
  <si>
    <t>Обл. НДС
Ущільнення SWG MS14 DN20 PN16 SS316/FG/CS  розм. 34/46/61 
Надходження товарів і послуг ІБ00-007268 від 10.12.2025 08:35:31
Цех екстракції (Глобине)</t>
  </si>
  <si>
    <t>Надходження товарів і послуг ІБ00-007268 від 10.12.2025 08:35:31
Оприходованы ТМЦ</t>
  </si>
  <si>
    <t>Обл. НДС
Ущільнення SWG MS14 DN25 PN16 SS316/FG/CS  розм. 41/53/71 
Надходження товарів і послуг ІБ00-007268 від 10.12.2025 08:35:31
Цех екстракції (Глобине)</t>
  </si>
  <si>
    <t>Обл. НДС
Ущільнення SWG MS14 DN25 PN40 SS316/FG/CS  розм. 41/53/71 
Надходження товарів і послуг ІБ00-007268 від 10.12.2025 08:35:31
Цех екстракції (Глобине)</t>
  </si>
  <si>
    <t>Обл. НДС
Ущільнення SWG MS14 DN32 PN16 SS316/FG/CS  розм. 49/61/82 
Надходження товарів і послуг ІБ00-007268 від 10.12.2025 08:35:31
Цех екстракції (Глобине)</t>
  </si>
  <si>
    <t>Обл. НДС
Ущільнення SWG MS14 DN32 PN40 SS316/FG/CS  розм. 49/61/82 
Надходження товарів і послуг ІБ00-007268 від 10.12.2025 08:35:31
Цех екстракції (Глобине)</t>
  </si>
  <si>
    <t>Обл. НДС
Ущільнення SWG MS14 DN40 PN16 SS316/FG/CS  розм. 56/68/92 
Надходження товарів і послуг ІБ00-007268 від 10.12.2025 08:35:31
Цех екстракції (Глобине)</t>
  </si>
  <si>
    <t>Обл. НДС
Ущільнення SWG MS14 DN40 PN40 SS316/FG/CS  розм. 56/68/92 
Надходження товарів і послуг ІБ00-007268 від 10.12.2025 08:35:31
Цех екстракції (Глобине)</t>
  </si>
  <si>
    <t>Обл. НДС
Ущільнення SWG MS14 DN50 PN16 SS316/FG/CS  розм. 70/86/107 
Надходження товарів і послуг ІБ00-007268 від 10.12.2025 08:35:31
Цех екстракції (Глобине)</t>
  </si>
  <si>
    <t>Обл. НДС
Ущільнення SWG MS14 DN50 PN40 SS316/FG/CS  розм. 70/86/107
Надходження товарів і послуг ІБ00-007268 від 10.12.2025 08:35:31
Цех екстракції (Глобине)</t>
  </si>
  <si>
    <t>Обл. НДС
Ущільнення SWG MS14 DN65 PN16 SS316/FG/CS  розм. 86/102/127 
Надходження товарів і послуг ІБ00-007268 від 10.12.2025 08:35:31
Цех екстракції (Глобине)</t>
  </si>
  <si>
    <t>Обл. НДС
Ущільнення SWG MS14 DN80 PN16 SS316/FG/CS  розм.99/115/142 
Надходження товарів і послуг ІБ00-007268 від 10.12.2025 08:35:31
Цех екстракції (Глобине)</t>
  </si>
  <si>
    <t>Обл. НДС
Ущільнення SWG MS14 DN80 PN40 SS316/FG/CS  розм. 99/115/142 
Надходження товарів і послуг ІБ00-007268 від 10.12.2025 08:35:31
Цех екстракції (Глобине)</t>
  </si>
  <si>
    <t>Обл. НДС
Ущільнення SWG MS14 DN100 PN16 SS316/FG/CS  розм. 127/143/162 
Надходження товарів і послуг ІБ00-007268 від 10.12.2025 08:35:31
Цех екстракції (Глобине)</t>
  </si>
  <si>
    <t>Обл. НДС
Ущільнення SWG MS14 DN125 PN16 SS316/FG/CS  розм. 152/172/192 
Надходження товарів і послуг ІБ00-007268 від 10.12.2025 08:35:31
Цех екстракції (Глобине)</t>
  </si>
  <si>
    <t>Обл. НДС
Ущільнення SWG MS14 DN150 PN16 SS316/FG/CS  розм. 179/199/218 
Надходження товарів і послуг ІБ00-007268 від 10.12.2025 08:35:31
Цех екстракції (Глобине)</t>
  </si>
  <si>
    <t>Обл. НДС
Ущільнення SWG MS14 DN150 PN40 SS316/FG/CS  розм. 179/199/224 
Надходження товарів і послуг ІБ00-007268 від 10.12.2025 08:35:31
Цех екстракції (Глобине)</t>
  </si>
  <si>
    <t>Обл. НДС
Ущільнення SWG MS14 DN150 PN10 SS316/FG/CS  розм. 179/199/218 
Надходження товарів і послуг ІБ00-007268 від 10.12.2025 08:35:31
Цех екстракції (Глобине)</t>
  </si>
  <si>
    <t>Обл. НДС
Ущільнення SWG MS14 DN200 PN16 SS316/FG/CS  розм. 228/248/273 
Надходження товарів і послуг ІБ00-007268 від 10.12.2025 08:35:31
Цех екстракції (Глобине)</t>
  </si>
  <si>
    <t>Обл. НДС
Ущільнення SWG MS14 DN200 PN40 SS316/FG/CS  розм. 228/248/290
Надходження товарів і послуг ІБ00-007268 від 10.12.2025 08:35:31
Цех екстракції (Глобине)</t>
  </si>
  <si>
    <t>Обл. НДС
Ущільнення SWG MS14 DN250 PN16 SS316/FG/CS  розм. 279/303/329 
Надходження товарів і послуг ІБ00-007268 від 10.12.2025 08:35:31
Цех екстракції (Глобине)</t>
  </si>
  <si>
    <t>Обл. НДС
Ущільнення SWG MS14 DN250 PN10 SS316/FG/CS  розм. 279/303/327 
Надходження товарів і послуг ІБ00-007268 від 10.12.2025 08:35:31
Цех екстракції (Глобине)</t>
  </si>
  <si>
    <t>Обл. НДС
Ущільнення SWG MS14 DN300 PN16 SS316/FG/CS  розм. 330/354/384
Надходження товарів і послуг ІБ00-007268 від 10.12.2025 08:35:31
Цех екстракції (Глобине)</t>
  </si>
  <si>
    <t>Обл. НДС
Ущільнення SWG MS14 DN300 PN10 SS316/FG/CS  розм. 330/354/377 
Надходження товарів і послуг ІБ00-007268 від 10.12.2025 08:35:31
Цех екстракції (Глобине)</t>
  </si>
  <si>
    <t>Обл. НДС
Ущільнення SWG MS14 DN350 PN16 SS316/FG/CS  розм. 376/400/444 
Надходження товарів і послуг ІБ00-007268 від 10.12.2025 08:35:31
Цех екстракції (Глобине)</t>
  </si>
  <si>
    <t>Обл. НДС
Ущільнення SWG MS14 DN400 PN16 SS316/FG/CS  розм. 422/450/495 
Надходження товарів і послуг ІБ00-007268 від 10.12.2025 08:35:31
Цех екстракції (Глобине)</t>
  </si>
  <si>
    <t>Обл. НДС
Ущільнення SWG MS14 DN450 PN16 SS316/FG/CS  розм. 478/526/567 
Надходження товарів і послуг ІБ00-007268 від 10.12.2025 08:35:31
Цех екстракції (Глобине)</t>
  </si>
  <si>
    <t>Обл. НДС
Ущільнення SWG MS14 DN500 PN16 SS316/FG/CS  розм. 522/550/617 
Надходження товарів і послуг ІБ00-007268 від 10.12.2025 08:35:31
Цех екстракції (Глобине)</t>
  </si>
  <si>
    <t>Обл. НДС
Ущільнення SWG MS14 DN600 PN10 SS316/FG/CS  розм. 622/650/695 
Надходження товарів і послуг ІБ00-007268 від 10.12.2025 08:35:31
Цех екстракції (Глобине)</t>
  </si>
  <si>
    <t>Обл. НДС
Ущільнення SWG MS14 DN300 PN40 SS316/FG/CS  розм. 330/354/417 
Надходження товарів і послуг ІБ00-007268 від 10.12.2025 08:35:31
Цех екстракції (Глобине)</t>
  </si>
  <si>
    <t>Реалізація товарів і послуг ІБ00-000086 від 10.12.2025 08:43:40
Списаны ТМЦ</t>
  </si>
  <si>
    <t>Надходження товарів і послуг ІБ00-007388 від 10.12.2025 11:00:00
Оприходованы ТМЦ (Зачет аванса поставщику)</t>
  </si>
  <si>
    <t>Обл. НДС
Бетон С20/25 W6 F75 P4
Надходження товарів і послуг ІБ00-007388 від 10.12.2025 11:00:00
Глобине-2</t>
  </si>
  <si>
    <t>Надходження товарів і послуг ІБ00-007520 від 10.12.2025 11:00:00
Оприходованы ТМЦ (Зачет аванса поставщику)</t>
  </si>
  <si>
    <t>Обл. НДС
Відвід 90 ° 27*3 ст 12Х18Н10Т
Надходження товарів і послуг ІБ00-007520 від 10.12.2025 11:00:00
Резервуарний парк соєвої меляси (Глобине)</t>
  </si>
  <si>
    <t>Науково-виробнича фірма Топстар ТОВ
Рахунки_Глобино-2
Рахунок на оплату постачальника ІБ00-005977 від 10.11.2025 23:36:31</t>
  </si>
  <si>
    <t>Надходження товарів і послуг ІБ00-007531 від 10.12.2025 11:00:00
Оприходованы ТМЦ (Зачет аванса поставщику)</t>
  </si>
  <si>
    <t>Обл. НДС
Сендвіч-панель ТПК стінова 100мм МВ 1150мм відкр замок С0,5 PS/C 0.5 PS 5,98м трапеція 9006 срібл/тр
Надходження товарів і послуг ІБ00-007531 від 10.12.2025 11:00:00
Котельна (Глобине)</t>
  </si>
  <si>
    <t>ТПК-ЦЕНТР ТОВ
Договір 13/20/П/011від 21.07.2020_Глобино-2
Рахунок на оплату постачальника ІБ00-004668 від 22.09.2025 20:26:26</t>
  </si>
  <si>
    <t>Надходження товарів і послуг ІБ00-007532 від 10.12.2025 11:00:00
Оприходованы ТМЦ (Зачет аванса поставщику)</t>
  </si>
  <si>
    <t>Обл. НДС
Сендвіч-панель ТПК стінова 100 мм МВ 1180 мм відкр.замок С 0,5 PS/C 0,5 PS 2,310м трап9003/трап9003
Надходження товарів і послуг ІБ00-007532 від 10.12.2025 11:00:00
Пункт фасування та зберігання в бігбегах (Глобине)</t>
  </si>
  <si>
    <t>ТПК-ЦЕНТР ТОВ
Договір 13/20/П/011від 21.07.2020_Глобино-2
Рахунок на оплату постачальника ІБ00-004584 від 18.09.2025 20:53:07</t>
  </si>
  <si>
    <t>Обл. НДС
Сендвіч-панель ТПК стінова 100 мм МВ 1180 мм відкр.замок С 0,5 PS/C 0,5 PS 2,420м трап9003/трап9003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</si>
  <si>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6,730м трап9003/трап9003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</si>
  <si>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9,620м трап9003/трап9003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</si>
  <si>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6,810м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</si>
  <si>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6,30м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</si>
  <si>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5,98м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</si>
  <si>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5,670м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</si>
  <si>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4,980м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</si>
  <si>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4,940м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</si>
  <si>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4,910м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</si>
  <si>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3,400м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</si>
  <si>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3,000м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</si>
  <si>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2,690м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</si>
  <si>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2,610м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</si>
  <si>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2,430м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</si>
  <si>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2,410м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</si>
  <si>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1180 мм відкр.замок С 0,5 PS/C 0,5 PS 2,220м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</si>
  <si>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6,300м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</si>
  <si>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6,170м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</si>
  <si>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5,980м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</si>
  <si>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4,980м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</si>
  <si>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4,910м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</si>
  <si>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4,590м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</si>
  <si>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4,480м трап9006/трап9003
Надходження товарів і послуг ІБ00-007532 від 10.12.2025 11:00:00
Пункт фасування та зберігання в бігбегах (Глобине)</t>
  </si>
  <si>
    <t>Надходження товарів і послуг ІБ00-007532 від 10.12.2025 11:00:00
Оприходованы ТМЦ</t>
  </si>
  <si>
    <t>Обл. НДС
Сендвіч-панель ТПК стінова 100 мм МВ 1000 мм відкр.замок С 0,5 PS/C 0,5 PS 3,490м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</si>
  <si>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3,400м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</si>
  <si>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3,010м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</si>
  <si>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2,620м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</si>
  <si>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2,500м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</si>
  <si>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2,450м трап9006/трап9003
Надходження товарів і послуг ІБ00-007532 від 10.12.2025 11:00:00
Пункт фасування та зберігання в бігбегах (Глобине)</t>
  </si>
  <si>
    <t>Обл. НДС
Сендвіч-панель ТПК стінова 100 мм МВ 1000 мм відкр.замок С 0,5 PS/C 0,5 PS 2,030м трап9006/трап9003
Надходження товарів і послуг ІБ00-007532 від 10.12.2025 11:00:00
Пункт фасування та зберігання в бігбегах (Глобине)</t>
  </si>
  <si>
    <t>Обл. НДС
Стрічка ущільнювальна ППЕ НХ 5х50х20 м
Надходження товарів і послуг ІБ00-007532 від 10.12.2025 11:00:00
Пункт фасування та зберігання в бігбегах (Глобине)</t>
  </si>
  <si>
    <t>Обл. НДС
Клей-герметик д/сендвіч- панелей Soudaflex 40 FC (12 шт/уп) (600мл(шт.) білий)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</si>
  <si>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5,5*6,3/150 9006 срібло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</si>
  <si>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5,5х6,3/150 (5005 синій (100шт))
Надходження товарів і послуг ІБ00-007532 від 10.12.2025 11:00:00
Пункт фасування та зберігання в бігбегах (Глобине)</t>
  </si>
  <si>
    <t>Обл. НДС
Самонаріз в метал до сендвіч-панелей 5,5*6,3/150 9003 білий
Надходження товарів і послуг ІБ00-007532 від 10.12.2025 11:00:00
Пункт фасування та зберігання в бігбегах (Глобине)</t>
  </si>
  <si>
    <t>Надходження товарів і послуг ІБ00-007688 від 10.12.2025 11:00:00
Оприходованы ТМЦ (Зачет аванса поставщику)</t>
  </si>
  <si>
    <t>Обл. НДС
Розчинник "White Spirit" (л)
Надходження товарів і послуг ІБ00-007688 від 10.12.2025 11:00:00
СПК (Глобине)</t>
  </si>
  <si>
    <t>Синтез ЛКМ
РАХУНКИ_Глобино-2
Рахунок на оплату постачальника ІБ00-005982 від 05.12.2025 17:13:06</t>
  </si>
  <si>
    <t>Надходження товарів і послуг ІБ00-007691 від 10.12.2025 11:00:00
Оприходованы ТМЦ (Зачет аванса поставщику)</t>
  </si>
  <si>
    <t>Обл. НДС
Фланець СТ20 плоский Ду 300/325,0 Ру10
Надходження товарів і послуг ІБ00-007691 від 10.12.2025 11:00:00
Насосна Градирня (Глобине)</t>
  </si>
  <si>
    <t>АРМАШОП.УА
№ 14/11-1 від 14.10.2022_Рахунки_Глобине-2
Рахунок на оплату постачальника ІБ00-005981 від 01.11.2025 12:50:21</t>
  </si>
  <si>
    <t>Надходження дод. витрат ІБ00-000689 від 10.12.2025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</si>
  <si>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ІБ00-000689 від 10.12.2025 11:10:00</t>
  </si>
  <si>
    <t>Переміщення товарів ІБ00-001546 від 10.12.2025 11:20:00
Перемещение ТМЦ</t>
  </si>
  <si>
    <t>Обл. НДС
Бетон С20/25 W6 F75 P4
Переміщення товарів ІБ00-001546 від 10.12.2025 11:20:00
Транспортна галерея Естакада 3.5 (Глобине)</t>
  </si>
  <si>
    <t>Переміщення товарів ІБ00-001547 від 10.12.2025 11:20:00
Перемещение ТМЦ</t>
  </si>
  <si>
    <t>Обл. НДС
Бетон С20/25 W6 F75 P4
Переміщення товарів ІБ00-001547 від 10.12.2025 11:20:00
Транспортна галерея (Глобине)</t>
  </si>
  <si>
    <t>Переміщення товарів ІБ00-001548 від 10.12.2025 11:20:00
Перемещение ТМЦ</t>
  </si>
  <si>
    <t>Обл. НДС
Бетон С20/25 W6 F75 P4
Переміщення товарів ІБ00-001548 від 10.12.2025 11:20:00
Пункт фасування та зберігання в бігбегах (Глобине)</t>
  </si>
  <si>
    <t>11.12.2025</t>
  </si>
  <si>
    <t>Надходження товарів і послуг ІБ00-007464 від 11.12.2025 11:00:00
Оприходованы ТМЦ</t>
  </si>
  <si>
    <t>Обл. НДС
Люк чавунний тип d400 EN124 магістральний
Надходження товарів і послуг ІБ00-007464 від 11.12.2025 11:00:00
ЗВК_Глобіне</t>
  </si>
  <si>
    <t>ТЕПЛОАРМАТУРА ТОВ
Рахунки_Глобино-2
Рахунок на оплату постачальника ІБ00-006017 від 01.11.2025 12:50:28</t>
  </si>
  <si>
    <t>Надходження товарів і послуг ІБ00-007534 від 11.12.2025 11:00:00
Оприходованы ТМЦ</t>
  </si>
  <si>
    <t>Обл. НДС
Сендвіч-панель ТПК стінова 100 мм МВ 1000 мм відкр.замок С 0,5 PS/C 0,5 PS 6,810м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</si>
  <si>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6,490м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</si>
  <si>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5,980м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</si>
  <si>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5,240м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</si>
  <si>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4,480м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</si>
  <si>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3,500м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</si>
  <si>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2,00м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</si>
  <si>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4,480м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</si>
  <si>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4,100м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</si>
  <si>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3,680м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</si>
  <si>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3,530м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</si>
  <si>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3,400м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</si>
  <si>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2,220м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</si>
  <si>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2,010м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</si>
  <si>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1180 мм відкр.замок С 0,5 PS/C 0,5 PS 2,000м трап9006/трап9003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</si>
  <si>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6,300м трап5005/трап9003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</si>
  <si>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5,980м трап5005/трап9003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</si>
  <si>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4,910м трап5005/трап9003
Надходження товарів і послуг ІБ00-007534 від 11.12.2025 11:00:00
Пункт фасування та зберігання в бігбегах (Глобине)</t>
  </si>
  <si>
    <t>Обл. НДС
Сендвіч-панель ТПК стінова 100 мм МВ 1000 мм відкр.замок С 0,5 PS/C 0,5 PS 4,480м трап5005/трап9003
Надходження товарів і послуг ІБ00-007534 від 11.12.2025 11:00:00
Пункт фасування та зберігання в бігбегах (Глобине)</t>
  </si>
  <si>
    <t>Надходження товарів і послуг ІБ00-007618 від 11.12.2025 11:00:00
Оприходованы ТМЦ</t>
  </si>
  <si>
    <t>Обл. НДС
Шпилька  М36х1000 DIN 975 8.8цб
Надходження товарів і послуг ІБ00-007618 від 11.12.2025 11:00:00
Насосна Градирня (Глобине)</t>
  </si>
  <si>
    <t>ЄВРОБОЛТ УКРАЇНА ТОВ
Рахунки_Глобине-2
Рахунок на оплату постачальника ІБ00-006227 від 01.12.2025 23:01:17</t>
  </si>
  <si>
    <t>Надходження товарів і послуг ІБ00-007620 від 11.12.2025 11:00:00
Оприходованы ТМЦ</t>
  </si>
  <si>
    <t>Обл. НДС
Шпилька  М16х1000 DIN 975 8.8цб
Надходження товарів і послуг ІБ00-007620 від 11.12.2025 11:00:00
Очисні споруди (Глобине)</t>
  </si>
  <si>
    <t>ЄВРОБОЛТ УКРАЇНА ТОВ
Рахунки_Глобине-2
Рахунок на оплату постачальника ІБ00-006228 від 04.12.2025 23:00:03</t>
  </si>
  <si>
    <t>Надходження товарів і послуг ІБ00-007972 від 11.12.2025 11:00:00
Оприходованы ТМЦ</t>
  </si>
  <si>
    <t>Обл. НДС
Плита 1200*600*100 мінераловатна Техноблок стандарт
Надходження товарів і послуг ІБ00-007972 від 11.12.2025 11:00:00
АПК (Глобине)</t>
  </si>
  <si>
    <t>Надходження товарів і послуг ІБ00-007972 від 11.12.2025 11:00:00
Оприходованы ТМЦ (Зачет аванса поставщику)</t>
  </si>
  <si>
    <t>Обл. НДС
Підпокрівельна супердіфузийна мембрана 75 м кв
Надходження товарів і послуг ІБ00-007972 від 11.12.2025 11:00:00
АПК (Глобине)</t>
  </si>
  <si>
    <t>Надходження товарів і послуг ІБ00-007974 від 11.12.2025 11:00:00
Оприходованы ТМЦ</t>
  </si>
  <si>
    <t>Обл. НДС
Стрічка ущільнювальна ППЕ НХ 5х50х20 м
Надходження товарів і послуг ІБ00-007974 від 11.12.2025 11:00:00
АПК (Глобине)</t>
  </si>
  <si>
    <t>АЛМЕТ ТОВ
№28 от 22.09.2022.( рахунки)_Глобине-2
Рахунок на оплату постачальника ІБ00-006490 від 10.12.2025 18:37:05</t>
  </si>
  <si>
    <t>Реалізація товарів і послуг ІБ00-000091 від 11.12.2025 14:16:27
Списаны ТМЦ</t>
  </si>
  <si>
    <t>Надходження товарів і послуг ІБ00-007411 від 11.12.2025 19:01:41
Оприходованы ТМЦ (Зачет аванса поставщику)</t>
  </si>
  <si>
    <t>Обл. НДС
Сендвіч-панель ТПК стінова 100 мм МВ 1180 мм відкр.замок С 0,5 PS/C 0,5 PS (трапеція 9006 сріблястий
Надходження товарів і послуг ІБ00-007411 від 11.12.2025 19:01:41
ГРП (Глобине)</t>
  </si>
  <si>
    <t>ТПК-ЦЕНТР ТОВ
Договір 13/20/П/011від 21.07.2020_Глобино-2
Рахунок на оплату постачальника ІБ00-004580 від 18.09.2025 20:53:03</t>
  </si>
  <si>
    <t>Обл. НДС
Сендвіч-панель ТПК стінова 100 мм МВ 1180 мм відкр.замок С 0,5 PS/C 0,5 PS 6,180м) сріблястий
Надходження товарів і послуг ІБ00-007411 від 11.12.2025 19:01:41
ГРП (Глобине)</t>
  </si>
  <si>
    <t>Надходження товарів і послуг ІБ00-007411 від 11.12.2025 19:01:41
Оприходованы ТМЦ</t>
  </si>
  <si>
    <t>Обл. НДС
Сендвіч-панель ТПК стінова 100 мм МВ 1180 мм відкр.замок С 0,5 PS/C 0,5 PS (4,180м) сріблястий
Надходження товарів і послуг ІБ00-007411 від 11.12.2025 19:01:41
ГРП (Глобине)</t>
  </si>
  <si>
    <t>Обл. НДС
Сендвіч-панель ТПК стінова 100 мм МВ 1180 мм відкр.замок С 0,5 PS/C 0,5 PS (2,080м) сріблястий
Надходження товарів і послуг ІБ00-007411 від 11.12.2025 19:01:41
ГРП (Глобине)</t>
  </si>
  <si>
    <t>Обл. НДС
Сендвіч-панель ТПК стінова 100 мм МВ 1180 мм відкр.замок С 0,5 PS/C 0,5 PS ( 2,900м) сріблястий
Надходження товарів і послуг ІБ00-007411 від 11.12.2025 19:01:41
ГРП (Глобине)</t>
  </si>
  <si>
    <t>Обл. НДС
Сендвіч-панель ТПК стінова 100 мм МВ 1150 мм відкр.замок С 0,5 PS/C 0,5 PS  6,180м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</si>
  <si>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4,190м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</si>
  <si>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4,180м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</si>
  <si>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4,100м синій/ тра
Надходження товарів і послуг ІБ00-007411 від 11.12.2025 19:01:41
ГРП (Глобине)</t>
  </si>
  <si>
    <t>Обл. НДС
Сендвіч-панель ТПК стінова 100 мм МВ 1150 мм відкр.замок С 0,5 PS/C 0,5 PS (2,670м) синій/ тра
Надходження товарів і послуг ІБ00-007411 від 11.12.2025 19:01:41
ГРП (Глобине)</t>
  </si>
  <si>
    <t>Обл. НДС
Ущільнювальна стрічка ТПК УП-1 ППЕ НХ (5х50мм 20м)
Надходження товарів і послуг ІБ00-007411 від 11.12.2025 19:01:41
ГРП (Глобине)</t>
  </si>
  <si>
    <t>Обл. НДС
Клей-герметик д/сендвіч-панелей Soudaflex 40 FC  (12 шт/уп) (600мл(шт.) білий)
Надходження товарів і послуг ІБ00-007411 від 11.12.2025 19:01:41
ГРП (Глобине)</t>
  </si>
  <si>
    <t>Обл. НДС
Самонаріз в метал до сендвіч-панелей 5,5х6,3/150 (9006 сріблястий (100шт))
Надходження товарів і послуг ІБ00-007411 від 11.12.2025 19:01:41
ГРП (Глобине)</t>
  </si>
  <si>
    <t>Обл. НДС
Самонаріз в метал до сендвіч-панелей 5,5х6,3/150 (5005 синій (100шт))
Надходження товарів і послуг ІБ00-007411 від 11.12.2025 19:01:41
ГРП (Глобине)</t>
  </si>
  <si>
    <t>Надходження товарів і послуг ІБ00-007419 від 11.12.2025 19:01:47
Оприходованы ТМЦ (Зачет аванса поставщику)</t>
  </si>
  <si>
    <t>Обл. НДС
Сендвіч-панель ТПК стінова 100 мм МВ 1150 мм відкр.замок С 0,5 PS/C 0,5 PS (3,590м) сріблястий
Надходження товарів і послуг ІБ00-007419 від 11.12.2025 19:01:47
Пожежений резервуар (Глобине)</t>
  </si>
  <si>
    <t>ТПК-ЦЕНТР ТОВ
Договір 13/20/П/011від 21.07.2020_Глобино-2
Рахунок на оплату постачальника ІБ00-004582 від 18.09.2025 20:53:05</t>
  </si>
  <si>
    <t>Обл. НДС
Сендвіч-панель ТПК стінова 100 мм МВ 1150 мм відкр.замок С 0,5 PS/C 0,5 PS (3,550м) сріблястий
Надходження товарів і послуг ІБ00-007419 від 11.12.2025 19:01:47
Пожежений резервуар (Глобине)</t>
  </si>
  <si>
    <t>Обл. НДС
Сендвіч-панель ТПК стінова 100 мм МВ 1150 мм відкр.замок С 0,5 PS/C 0,5 PS (2,670м) сріблястий
Надходження товарів і послуг ІБ00-007419 від 11.12.2025 19:01:47
Пожежений резервуар (Глобине)</t>
  </si>
  <si>
    <t>Обл. НДС
Сендвіч-панель ТПК стінова 100 мм МВ 1150 мм відкр.замок С 0,5 PS/C 0,5 PS (2,390м) сріблястий
Надходження товарів і послуг ІБ00-007419 від 11.12.2025 19:01:47
Пожежений резервуар (Глобине)</t>
  </si>
  <si>
    <t>Обл. НДС
Сендвіч-панель ТПК стінова 100 мм МВ 1150 мм відкр.замок С 0,5 PS/C 0,5 PS (2,290м) сріблястий
Надходження товарів і послуг ІБ00-007419 від 11.12.2025 19:01:47
Пожежений резервуар (Глобине)</t>
  </si>
  <si>
    <t>Надходження товарів і послуг ІБ00-007420 від 12.12.2025 00:00:00
Оприходованы ТМЦ (Зачет аванса поставщику)</t>
  </si>
  <si>
    <t>Обл. НДС
Сендвіч-панель ТПК стінова 100 мм МВ 1150 мм відкр.замок С 0,5 PS/C 0,5 PS (8,340м)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</si>
  <si>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(7,080м)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</si>
  <si>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(6,050м) сріблястий
Надходження товарів і послуг ІБ00-007420 від 12.12.2025 00:00:00
Пожежений резервуар (Глобине)</t>
  </si>
  <si>
    <t>Надходження товарів і послуг ІБ00-007420 від 12.12.2025 00:00:00
Оприходованы ТМЦ</t>
  </si>
  <si>
    <t>Обл. НДС
Сендвіч-панель ТПК стінова 100 мм МВ 1150 мм відкр.замок С 0,5 PS/C 0,5 PS (5,980м)6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</si>
  <si>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(5,970м) сріблястий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</si>
  <si>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(8,340м) 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</si>
  <si>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( 7,080м)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</si>
  <si>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(5,970м)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</si>
  <si>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(5,560м)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</si>
  <si>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(4,000м)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</si>
  <si>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(3,560м)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</si>
  <si>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(2,670м)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</si>
  <si>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(2,060м)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</si>
  <si>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(3,980м) 5005 синій/ тра
Надходження товарів і послуг ІБ00-007420 від 12.12.2025 00:00:00
Пожежений резервуар (Глобине)</t>
  </si>
  <si>
    <t>Обл. НДС
Сендвіч-панель ТПК стінова 100 мм МВ 1150 мм відкр.замок С 0,5 PS/C 0,5 PS (3,080м) 5005 синій/ тра
Надходження товарів і послуг ІБ00-007420 від 12.12.2025 00:00:00
Пожежений резервуар (Глобине)</t>
  </si>
  <si>
    <t>Обл. НДС
Ущільнювальна стрічка ТПК УП-1 ППЕ НХ (5х50мм 20м)
Надходження товарів і послуг ІБ00-007420 від 12.12.2025 00:00:00
Пожежений резервуар (Глобине)</t>
  </si>
  <si>
    <t>Обл. НДС
Клей-герметик д/сендвіч-панелей Soudaflex 40 FC  (12 шт/уп) (600мл(шт.) білий)
Надходження товарів і послуг ІБ00-007420 від 12.12.2025 00:00:00
Пожежений резервуар (Глобине)</t>
  </si>
  <si>
    <t>Обл. НДС
Самонаріз в метал до сендвіч-панелей 5,5х6,3/150 (9006 сріблястий (100шт))
Надходження товарів і послуг ІБ00-007420 від 12.12.2025 00:00:00
Пожежений резервуар (Глобине)</t>
  </si>
  <si>
    <t>Обл. НДС
Самонаріз в метал до сендвіч-панелей 5,5х6,3/150 (5005 синій (100шт))
Надходження товарів і послуг ІБ00-007420 від 12.12.2025 00:00:00
Пожежений резервуар (Глобине)</t>
  </si>
  <si>
    <t>Переміщення товарів ІБ00-001600 від 12.12.2025 08:00:00
Перемещение ТМЦ</t>
  </si>
  <si>
    <t>Обл. НДС
Щебінь 20-40
Переміщення товарів ІБ00-001600 від 12.12.2025 08:00:00
ГРП (Глобине)</t>
  </si>
  <si>
    <t>Обл. НДС
Щебінь 20-40
Надходження товарів і послуг ІБ00-005488 від 24.09.2025 11:00:00
Цех екстракції (Глобине)</t>
  </si>
  <si>
    <t>Надходження товарів і послуг ІБ00-007342 від 12.12.2025 08:52:57
Оприходованы ТМЦ (Зачет аванса поставщику)</t>
  </si>
  <si>
    <t>Обл. НДС
Різьбова шпилька DIN976  M12  2.25"  ASTM A193 B7, S/C
Надходження товарів і послуг ІБ00-007342 від 12.12.2025 08:52:57
Цех екстракції (Глобине)</t>
  </si>
  <si>
    <t>СПЕШАЛ ЕЛЛОЙЗ ТРЕЙДІНГ УКРАЇНА ТОВ
Дог.7/07  07.07.2025_Глобино-2
Рахунок на оплату постачальника ІБ00-005327 від 27.10.2025 17:24:10</t>
  </si>
  <si>
    <t>Обл. НДС
Різьбова шпилька DIN976  M12  2.5"  ASTM A193 B7, S/C
Надходження товарів і послуг ІБ00-007342 від 12.12.2025 08:52:57
Цех екстракції (Глобине)</t>
  </si>
  <si>
    <t>Обл. НДС
Різьбова шпилька DIN976  M12  2.75"  ASTM A193 B7, S/C
Надходження товарів і послуг ІБ00-007342 від 12.12.2025 08:52:57
Цех екстракції (Глобине)</t>
  </si>
  <si>
    <t>Обл. НДС
Різьбова шпилька DIN976  M12  3.5"  ASTM A193 B7, S/C
Надходження товарів і послуг ІБ00-007342 від 12.12.2025 08:52:57
Цех екстракції (Глобине)</t>
  </si>
  <si>
    <t>Обл. НДС
Різьбова шпилька DIN976  M16  2.75"  ASTM A193 B7, S/C
Надходження товарів і послуг ІБ00-007342 від 12.12.2025 08:52:57
Цех екстракції (Глобине)</t>
  </si>
  <si>
    <t>Обл. НДС
Різьбова шпилька DIN976  M16  3"  ASTM A193 B7, S/C
Надходження товарів і послуг ІБ00-007342 від 12.12.2025 08:52:57
Цех екстракції (Глобине)</t>
  </si>
  <si>
    <t>Надходження товарів і послуг ІБ00-007342 від 12.12.2025 08:52:57
Оприходованы ТМЦ</t>
  </si>
  <si>
    <t>Обл. НДС
Різьбова шпилька DIN976  M16  3.25"  ASTM A193 B7, S/C
Надходження товарів і послуг ІБ00-007342 від 12.12.2025 08:52:57
Цех екстракції (Глобине)</t>
  </si>
  <si>
    <t>Обл. НДС
Різьбова шпилька DIN976  M16  3.5"  ASTM A193 B7, S/C
Надходження товарів і послуг ІБ00-007342 від 12.12.2025 08:52:57
Цех екстракції (Глобине)</t>
  </si>
  <si>
    <t>Обл. НДС
Різьбова шпилька DIN976  M16  3.75"  ASTM A193 B7, S/C
Надходження товарів і послуг ІБ00-007342 від 12.12.2025 08:52:57
Цех екстракції (Глобине)</t>
  </si>
  <si>
    <t>Обл. НДС
Різьбова шпилька DIN976  M16  4.5"  ASTM A193 B7, S/C
Надходження товарів і послуг ІБ00-007342 від 12.12.2025 08:52:57
Цех екстракції (Глобине)</t>
  </si>
  <si>
    <t>Обл. НДС
Різьбова шпилька DIN976  M20  3.25"  ASTM A193 B7, S/C
Надходження товарів і послуг ІБ00-007342 від 12.12.2025 08:52:57
Цех екстракції (Глобине)</t>
  </si>
  <si>
    <t>Обл. НДС
Різьбова шпилька DIN976  M20  4"  ASTM A193 B7, S/C
Надходження товарів і послуг ІБ00-007342 від 12.12.2025 08:52:57
Цех екстракції (Глобине)</t>
  </si>
  <si>
    <t>Обл. НДС
Різьбова шпилька DIN976  M20  4.25"  ASTM A193 B7, S/C
Надходження товарів і послуг ІБ00-007342 від 12.12.2025 08:52:57
Цех екстракції (Глобине)</t>
  </si>
  <si>
    <t>Обл. НДС
Різьбова шпилька DIN976  M20  4.5"  ASTM A193 B7, S/C
Надходження товарів і послуг ІБ00-007342 від 12.12.2025 08:52:57
Цех екстракції (Глобине)</t>
  </si>
  <si>
    <t>Обл. НДС
Різьбова шпилька DIN976  M20  4.75"  ASTM A193 B7, S/C
Надходження товарів і послуг ІБ00-007342 від 12.12.2025 08:52:57
Цех екстракції (Глобине)</t>
  </si>
  <si>
    <t>Обл. НДС
Різьбова шпилька DIN976  M20  5"  ASTM A193 B7, S/C
Надходження товарів і послуг ІБ00-007342 від 12.12.2025 08:52:57
Цех екстракції (Глобине)</t>
  </si>
  <si>
    <t>Обл. НДС
Різьбова шпилька DIN976  M20  5.25"  ASTM A193 B7, S/C
Надходження товарів і послуг ІБ00-007342 від 12.12.2025 08:52:57
Цех екстракції (Глобине)</t>
  </si>
  <si>
    <t>Обл. НДС
Різьбова шпилька DIN976  M24  3.75"  ASTM A193 B7, S/C
Надходження товарів і послуг ІБ00-007342 від 12.12.2025 08:52:57
Цех екстракції (Глобине)</t>
  </si>
  <si>
    <t>Обл. НДС
Різьбова шпилька DIN976  M24  4"  ASTM A193 B7, S/C
Надходження товарів і послуг ІБ00-007342 від 12.12.2025 08:52:57
Цех екстракції (Глобине)</t>
  </si>
  <si>
    <t>Обл. НДС
Різьбова шпилька DIN976  M24  4.5"  ASTM A193 B7, S/C
Надходження товарів і послуг ІБ00-007342 від 12.12.2025 08:52:57
Цех екстракції (Глобине)</t>
  </si>
  <si>
    <t>Обл. НДС
Різьбова шпилька DIN976  M24  6"  ASTM A193 B7, S/C
Надходження товарів і послуг ІБ00-007342 від 12.12.2025 08:52:57
Цех екстракції (Глобине)</t>
  </si>
  <si>
    <t>Обл. НДС
Різьбова шпилька DIN976  M24  8.25"  ASTM A193 B7, S/C
Надходження товарів і послуг ІБ00-007342 від 12.12.2025 08:52:57
Цех екстракції (Глобине)</t>
  </si>
  <si>
    <t>Обл. НДС
Різьбова шпилька DIN976  M27  3.75"  ASTM A193 B7, S/C
Надходження товарів і послуг ІБ00-007342 від 12.12.2025 08:52:57
Цех екстракції (Глобине)</t>
  </si>
  <si>
    <t>Обл. НДС
Різьбова шпилька DIN976  M27  4.75"  ASTM A193 B7, S/C
Надходження товарів і послуг ІБ00-007342 від 12.12.2025 08:52:57
Цех екстракції (Глобине)</t>
  </si>
  <si>
    <t>Обл. НДС
Різьбова шпилька DIN976  M27  6.75"  ASTM A193 B7, S/C
Надходження товарів і послуг ІБ00-007342 від 12.12.2025 08:52:57
Цех екстракції (Глобине)</t>
  </si>
  <si>
    <t>Обл. НДС
Різьбова шпилька DIN976  M27  7"  ASTM A193 B7, S/C
Надходження товарів і послуг ІБ00-007342 від 12.12.2025 08:52:57
Цех екстракції (Глобине)</t>
  </si>
  <si>
    <t>Обл. НДС
Різьбова шпилька DIN976  M30  3.25"  ASTM A193 B7, S/C
Надходження товарів і послуг ІБ00-007342 від 12.12.2025 08:52:57
Цех екстракції (Глобине)</t>
  </si>
  <si>
    <t>Обл. НДС
Різьбова шпилька DIN976  M30  5.25"  ASTM A193 B7, S/C
Надходження товарів і послуг ІБ00-007342 від 12.12.2025 08:52:57
Цех екстракції (Глобине)</t>
  </si>
  <si>
    <t>Обл. НДС
Різьбова шпилька DIN976  M30  6.25"  ASTM A193 B7, S/C
Надходження товарів і послуг ІБ00-007342 від 12.12.2025 08:52:57
Цех екстракції (Глобине)</t>
  </si>
  <si>
    <t>Обл. НДС
Різьбова шпилька DIN976  M30  8"  ASTM A193 B7, S/C
Надходження товарів і послуг ІБ00-007342 від 12.12.2025 08:52:57
Цех екстракції (Глобине)</t>
  </si>
  <si>
    <t>Обл. НДС
Різьбова шпилька DIN976  M33  7.25"  ASTM A193 B7, S/C
Надходження товарів і послуг ІБ00-007342 від 12.12.2025 08:52:57
Цех екстракції (Глобине)</t>
  </si>
  <si>
    <t>Обл. НДС
Гайка шестигранна DIN934(H=D)  M12  ASTM A194 2H, S/C
Надходження товарів і послуг ІБ00-007342 від 12.12.2025 08:52:57
Цех екстракції (Глобине)</t>
  </si>
  <si>
    <t>Обл. НДС
Гайка шестигранна DIN934(H=D)  M16  ASTM A194 2H, S/C
Надходження товарів і послуг ІБ00-007342 від 12.12.2025 08:52:57
Цех екстракції (Глобине)</t>
  </si>
  <si>
    <t>Обл. НДС
Гайка шестигранна DIN934(H=D)  M20  ASTM A194 2H, S/C
Надходження товарів і послуг ІБ00-007342 від 12.12.2025 08:52:57
Цех екстракції (Глобине)</t>
  </si>
  <si>
    <t>Обл. НДС
Гайка шестигранна DIN934(H=D)  M24  ASTM A194 2H, S/C
Надходження товарів і послуг ІБ00-007342 від 12.12.2025 08:52:57
Цех екстракції (Глобине)</t>
  </si>
  <si>
    <t>Обл. НДС
Гайка шестигранна DIN934(H=D)  M27  ASTM A194 2H, S/C
Надходження товарів і послуг ІБ00-007342 від 12.12.2025 08:52:57
Цех екстракції (Глобине)</t>
  </si>
  <si>
    <t>Обл. НДС
Гайка шестигранна DIN934(H=D)  M30  ASTM A194 2H, S/C
Надходження товарів і послуг ІБ00-007342 від 12.12.2025 08:52:57
Цех екстракції (Глобине)</t>
  </si>
  <si>
    <t>Обл. НДС
Гайка шестигранна DIN934(H=D)  M33  ASTM A194 2H, S/C
Надходження товарів і послуг ІБ00-007342 від 12.12.2025 08:52:57
Цех екстракції (Глобине)</t>
  </si>
  <si>
    <t>Переміщення товарів ІБ00-001603 від 12.12.2025 10:00:00
Перемещение ТМЦ</t>
  </si>
  <si>
    <t>Обл. НДС
Прокат сталевий круглий (кл. А240С) ф10мм, ст.3пс, міра 6м
Переміщення товарів ІБ00-001603 від 12.12.2025 10:00:00
Транспортна галерея Естакада 3.5 (Глобине)</t>
  </si>
  <si>
    <t>Обл. НДС
Прокат сталевий круглий (кл. А240С) ф10мм, ст.3пс, міра 6м
Надходження товарів і послуг ІБ00-003916 від 21.07.2025 11:00:00
Транспортна галерея (Глобине)</t>
  </si>
  <si>
    <t>Переміщення товарів ІБ00-001604 від 12.12.2025 10:00:00
Перемещение ТМЦ</t>
  </si>
  <si>
    <t>Обл. НДС
Емульсія бітумна Р-10 EN каністра 20л
Переміщення товарів ІБ00-001604 від 12.12.2025 10:00:00
Транспортна галерея Естакада 3.5 (Глобине)</t>
  </si>
  <si>
    <t>Обл. НДС
Емульсія бітумна Р-10 EN каністра 20л
Надходження товарів і послуг ІБ00-002088 від 19.12.2023 18:21:48
Глобине-2</t>
  </si>
  <si>
    <t>Реалізація товарів і послуг ІБ00-000093 від 12.12.2025 10:01:58
Списаны ТМЦ</t>
  </si>
  <si>
    <t>Надходження товарів і послуг ІБ00-007535 від 12.12.2025 11:00:00
Оприходованы ТМЦ</t>
  </si>
  <si>
    <t>Обл. НДС
Сендвіч-панель ТПК стінова 100 мм МВ 1180 мм відкр.замок С 0,5 PS/C 0,5 PS 8,400м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</si>
  <si>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7,19м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</si>
  <si>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7,000м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</si>
  <si>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4,910м трап9006/трап9003
Надходження товарів і послуг ІБ00-007535 від 12.12.2025 11:00:00
Пункт фасування та зберігання в бігбегах (Глобине)</t>
  </si>
  <si>
    <t>Обл. НДС
Сендвіч-панель ТПК стінова 100 мм МВ 1180 мм відкр.замок С 0,5 PS/C 0,5 PS 4,480м трап9006/трап9003
Надходження товарів і послуг ІБ00-007535 від 12.12.2025 11:00:00
Пункт фасування та зберігання в бігбегах (Глобине)</t>
  </si>
  <si>
    <t>Надходження товарів і послуг ІБ00-007619 від 12.12.2025 11:00:00
Оприходованы ТМЦ</t>
  </si>
  <si>
    <t>Обл. НДС
Болт М10*75  DIN 933 8,8 цб пр
Надходження товарів і послуг ІБ00-007619 від 12.12.2025 11:00:00
Пункт фасування та зберігання в бігбегах (Глобине)</t>
  </si>
  <si>
    <t>ЄВРОБОЛТ УКРАЇНА ТОВ
Рахунки_Глобине-2
Рахунок на оплату постачальника ІБ00-006115 від 12.12.2025 23:00:01</t>
  </si>
  <si>
    <t>Обл. НДС
Болт М12*50  DIN 933
Надходження товарів і послуг ІБ00-007619 від 12.12.2025 11:00:00
Пункт фасування та зберігання в бігбегах (Глобине)</t>
  </si>
  <si>
    <t>Обл. НДС
Болт М16*70  DIN 933 8,8 цб пр
Надходження товарів і послуг ІБ00-007619 від 12.12.2025 11:00:00
Пункт фасування та зберігання в бігбегах (Глобине)</t>
  </si>
  <si>
    <t>Обл. НДС
Гайка М10  DIN 934
Надходження товарів і послуг ІБ00-007619 від 12.12.2025 11:00:00
Пункт фасування та зберігання в бігбегах (Глобине)</t>
  </si>
  <si>
    <t>Обл. НДС
Гайка М12  DIN 934
Надходження товарів і послуг ІБ00-007619 від 12.12.2025 11:00:00
Пункт фасування та зберігання в бігбегах (Глобине)</t>
  </si>
  <si>
    <t>Обл. НДС
Гайка М16  DIN 934 
Надходження товарів і послуг ІБ00-007619 від 12.12.2025 11:00:00
Пункт фасування та зберігання в бігбегах (Глобине)</t>
  </si>
  <si>
    <t>Обл. НДС
Шайба плоська DIN 125 М10 140 HV ЦБ
Надходження товарів і послуг ІБ00-007619 від 12.12.2025 11:00:00
Пункт фасування та зберігання в бігбегах (Глобине)</t>
  </si>
  <si>
    <t>Обл. НДС
Шайба плоська DIN 125 М12 140 HV ЦБ
Надходження товарів і послуг ІБ00-007619 від 12.12.2025 11:00:00
Пункт фасування та зберігання в бігбегах (Глобине)</t>
  </si>
  <si>
    <t>Обл. НДС
Шайба плоська DIN 125 М16 140 HV ЦБ
Надходження товарів і послуг ІБ00-007619 від 12.12.2025 11:00:00
Пункт фасування та зберігання в бігбегах (Глобине)</t>
  </si>
  <si>
    <t>Надходження товарів і послуг ІБ00-007685 від 12.12.2025 11:00:00
Оприходованы ТМЦ</t>
  </si>
  <si>
    <t>Обл. НДС
Шуруп г/к по дереву 3,5*55 мм
Надходження товарів і послуг ІБ00-007685 від 12.12.2025 11:00:00
Глобине-2</t>
  </si>
  <si>
    <t>Дяденко Владислав Миколайович ФОП
Рахунки_Глобино-2
Рахунок на оплату постачальника ІБ00-006263 від 11.12.2025 19:02:08</t>
  </si>
  <si>
    <t>Обл. НДС
Шуруп г/к по дереву 4,2*75 мм
Надходження товарів і послуг ІБ00-007685 від 12.12.2025 11:00:00
Глобине-2</t>
  </si>
  <si>
    <t>Надходження товарів і послуг ІБ00-007898 від 12.12.2025 11:00:00
Оприходованы ТМЦ</t>
  </si>
  <si>
    <t>Обл. НДС
Бетон С20/25 W6 F75 P4
Надходження товарів і послуг ІБ00-007898 від 12.12.2025 11:00:00
Транспортна галерея (Глобине)</t>
  </si>
  <si>
    <t>Кременчуцький річковий порт ПРАТ
Договір 112/Б від 15.10.2024_Глобине-2
Надходження товарів і послуг ІБ00-007898 від 12.12.2025 11:00:00</t>
  </si>
  <si>
    <t>Надходження дод. витрат ІБ00-000707 від 12.12.2025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</si>
  <si>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ІБ00-000707 від 12.12.2025 11:10:00</t>
  </si>
  <si>
    <t>Вимога-накладна ІБ00-001138 від 12.12.2025 11:11:40
Списаны ТМЦ</t>
  </si>
  <si>
    <t>Обл. НДС
Газоблок ХСМ 375*200*600 D500
Надходження товарів і послуг ІБ00-006200 від 01.10.2025 11:00:00
АПК (Глобине)</t>
  </si>
  <si>
    <t>Обл. НДС
Газоблок ХСМ 375*200*600 D500
Переміщення товарів ІБ00-001154 від 01.10.2025 11:10:00
АПК (Глобине)</t>
  </si>
  <si>
    <t>Обл. НДС
Клей для газобетону ХСМ МР2 (25 кг)
Переміщення товарів ІБ00-001417 від 25.11.2025 08:00:00
АПК (Глобине)</t>
  </si>
  <si>
    <t>Обл. НДС
Клей для газобетону STANDART BLOCK (25 кг)
Надходження товарів і послуг ІБ00-006866 від 01.11.2025 11:00:00
АПК (Глобине)</t>
  </si>
  <si>
    <t>Вимога-накладна ІБ00-001139 від 12.12.2025 11:38:29
Списаны ТМЦ</t>
  </si>
  <si>
    <t>Обл. НДС
Бетон С20/25 W6 F75 P4
Переміщення товарів ІБ00-001043 від 06.10.2025 11:20:00
Цех екстракції (Глобине)</t>
  </si>
  <si>
    <t>Списання товарів ІБ00-000713 від 12.12.2025 11:38:58
Списаны ТМЦ</t>
  </si>
  <si>
    <t>Обл. НДС
Сітка абразив. 105-280мм, зерно 150 (10 шт)
Авансовий звіт ІБ00-000356 від 18.11.2025 15:31:57
Глобине-2</t>
  </si>
  <si>
    <t>Списання товарів ІБ00-000714 від 12.12.2025 11:43:11
Списаны ТМЦ</t>
  </si>
  <si>
    <t>Обл. НДС
Кисень газ технічний  (40л/6,4 м3)
Надходження товарів і послуг ІБ00-007096 від 01.11.2025 11:00:00
Глобине-2</t>
  </si>
  <si>
    <t>Обл. НДС
Кисень газ технічний  (40л/6,4 м3)
Надходження товарів і послуг ІБ00-007097 від 01.11.2025 11:00:00
Глобине-2</t>
  </si>
  <si>
    <t>Вимога-накладна ІБ00-001133 від 12.12.2025 12:00:00
Списаны ТМЦ</t>
  </si>
  <si>
    <t>Вимога-накладна ІБ00-001141 від 12.12.2025 14:56:57
Списаны ТМЦ</t>
  </si>
  <si>
    <t>Реалізація товарів і послуг ІБ00-000094 від 12.12.2025 15:48:05
Списаны ТМЦ</t>
  </si>
  <si>
    <t>Обл. НДС
Коліно 160/90
Надходження товарів і послуг ІБ00-007365 від 13.11.2025 11:00:00
ЗВК_Глобіне</t>
  </si>
  <si>
    <t>Обл. НДС
Коліно сегментне fB-0,8 90*250 SDR 11 PE100
Надходження товарів і послуг ІБ00-007365 від 13.11.2025 11:00:00
ЗВК_Глобіне</t>
  </si>
  <si>
    <t>Обл. НДС
Коліно сегментне fB-0,8 90*250 SDR 11 PE100
Надходження товарів і послуг ІБ00-006793 від 14.11.2025 11:00:00
ЗВК_Глобіне</t>
  </si>
  <si>
    <t>Обл. НДС
Труба водяна ПЕ100 діам 630*57,2 SDR11
Надходження товарів і послуг ІБ00-006794 від 18.11.2025 11:00:00
ЗВК_Глобіне</t>
  </si>
  <si>
    <t>Обл. НДС
Труба водяна ПЕ100 діам 630*57,2 SDR11
Надходження товарів і послуг ІБ00-006956 від 19.11.2025 11:00:00
ЗВК_Глобіне</t>
  </si>
  <si>
    <t>Обл. НДС
Відвід 45* (fB-0,8)630 ПЕ 100 SDR11 cегментний
Надходження товарів і послуг ІБ00-006956 від 19.11.2025 11:00:00
ЗВК_Глобіне</t>
  </si>
  <si>
    <t>Обл. НДС
Відвід 90* (fB-0,8)630 ПЕ 100 SDR11 cегментний
Надходження товарів і послуг ІБ00-007367 від 25.11.2025 11:00:00
ЗВК_Глобіне</t>
  </si>
  <si>
    <t>Обл. НДС
Відвід 90* (fB-0,8)630 ПЕ 100 SDR11 cегментний
Надходження товарів і послуг ІБ00-007233 від 27.11.2025 11:00:00
ЗВК_Глобіне</t>
  </si>
  <si>
    <t>Обл. НДС
Труба ПП 50/1,8/1000 3-х шарова
Надходження товарів і послуг ІБ00-007365 від 13.11.2025 11:00:00
ЗВК_Глобіне</t>
  </si>
  <si>
    <t>Обл. НДС
Труба 110/3,2 зн м/паг
Надходження товарів і послуг ІБ00-007365 від 13.11.2025 11:00:00
ЗВК_Глобіне</t>
  </si>
  <si>
    <t>Обл. НДС
труба харч. ПЕ100 315*28,6/16атм SDR-11.0
Надходження товарів і послуг ІБ00-007365 від 13.11.2025 11:00:00
ЗВК_Глобіне</t>
  </si>
  <si>
    <t>Обл. НДС
Перехід ПЕ-сталь 32/32
Надходження товарів і послуг ІБ00-007366 від 12.11.2025 11:00:00
ЗВК_Глобіне</t>
  </si>
  <si>
    <t>Обл. НДС
Перехід ПЕ-сталь 40/42
Надходження товарів і послуг ІБ00-007366 від 12.11.2025 11:00:00
ЗВК_Глобіне</t>
  </si>
  <si>
    <t>Обл. НДС
Перехід ПЕ-сталь 50/48
Надходження товарів і послуг ІБ00-007366 від 12.11.2025 11:00:00
ЗВК_Глобіне</t>
  </si>
  <si>
    <t>Обл. НДС
Перехід ПЕ-сталь 63/57
Надходження товарів і послуг ІБ00-007366 від 12.11.2025 11:00:00
ЗВК_Глобіне</t>
  </si>
  <si>
    <t>Обл. НДС
Перехід ПЕ-сталь 90/89
Надходження товарів і послуг ІБ00-007366 від 12.11.2025 11:00:00
ЗВК_Глобіне</t>
  </si>
  <si>
    <t>Обл. НДС
Перехід ПЕ-сталь 110/108
Надходження товарів і послуг ІБ00-007366 від 12.11.2025 11:00:00
ЗВК_Глобіне</t>
  </si>
  <si>
    <t>Обл. НДС
Перехід ПЕ-сталь 160/159
Надходження товарів і послуг ІБ00-007366 від 12.11.2025 11:00:00
ЗВК_Глобіне</t>
  </si>
  <si>
    <t>Обл. НДС
Перехід поліетилен-сталь ПЕ/сталь 225/219
Надходження товарів і послуг ІБ00-007366 від 12.11.2025 11:00:00
ЗВК_Глобіне</t>
  </si>
  <si>
    <t>Обл. НДС
Перехід поліетилен-сталь ПЕ/сталь 280/273
Надходження товарів і послуг ІБ00-007366 від 12.11.2025 11:00:00
ЗВК_Глобіне</t>
  </si>
  <si>
    <t>Обл. НДС
Коліно 110/90  зн
Надходження товарів і послуг ІБ00-007365 від 13.11.2025 11:00:00
ЗВК_Глобіне</t>
  </si>
  <si>
    <t>Вимога-накладна ІБ00-001142 від 12.12.2025 15:59:26
Списаны ТМЦ</t>
  </si>
  <si>
    <t>Вимога-накладна ІБ00-001143 від 12.12.2025 16:05:26
Списаны ТМЦ</t>
  </si>
  <si>
    <t>Обл. НДС
Балка ІРЕ 300 міра L=12 S275JR
Надходження товарів і послуг ІБ00-006218 від 01.10.2025 11:00:00
СПК (Глобине)</t>
  </si>
  <si>
    <t>Обл. НДС
Балка ІРЕ 360 міра L=12 S275JR
Надходження товарів і послуг ІБ00-006207 від 01.10.2025 11:00:00
СПК (Глобине)</t>
  </si>
  <si>
    <t>Обл. НДС
Швелер 20П L= 12м
Надходження товарів і послуг ІБ00-005060 від 29.08.2025 11:00:00
СПК (Глобине)</t>
  </si>
  <si>
    <t>Обл. НДС
Швелер 30П (300 12,05- 8240 3пс5)
Надходження товарів і послуг ІБ00-003704 від 14.07.2025 11:00:00
СПК (Глобине)</t>
  </si>
  <si>
    <t>Обл. НДС
Труба профільна 120*120*4 L=12000 мм ст1-3 сп/пс
Надходження товарів і послуг ІБ00-006213 від 01.10.2025 11:00:00
СПК (Глобине)</t>
  </si>
  <si>
    <t>Обл. НДС
Грунт ГФ-021 сірий
Надходження товарів і послуг ІБ00-007309 від 14.11.2025 11:00:00
СПК (Глобине)</t>
  </si>
  <si>
    <t>Обл. НДС
Грунт-емаль ПФ-012 Р RAL7024
Надходження товарів і послуг ІБ00-007310 від 14.11.2025 11:00:00
СПК (Глобине)</t>
  </si>
  <si>
    <t>Обл. НДС
Розчинник на основі Уфйт-спірит 4,5 л/3,16 кг
Переміщення товарів ІБ00-001164 від 23.10.2025 11:10:00
СПК (Глобине)</t>
  </si>
  <si>
    <t>Списання товарів ІБ00-000716 від 12.12.2025 16:11:29
Списаны ТМЦ</t>
  </si>
  <si>
    <t>Обл. НДС
Полотно Р 10,0 1,0-50 50кв м
Надходження товарів і послуг ІБ00-003870 від 11.07.2025 11:00:00
СПК (Глобине)</t>
  </si>
  <si>
    <t>Вимога-накладна ІБ00-001137 від 12.12.2025 23:00:12
Списаны ТМЦ</t>
  </si>
  <si>
    <t>Обл. НДС
Бетон С20/25 W6 F75 P4
Переміщення товарів ІБ00-001517 від 21.11.2025 11:20:00
Транспортна галерея Естакада 3.5 (Глобине)</t>
  </si>
  <si>
    <t>Обл. НДС
Бетон С20/25 W6 F75 P4
Переміщення товарів ІБ00-001513 від 25.11.2025 11:20:00
Транспортна галерея Естакада 3.5 (Глобине)</t>
  </si>
  <si>
    <t>Обл. НДС
Анкерний блок БФБ-1
Надходження товарів і послуг ІБ00-005278 від 01.09.2025 11:00:00
Транспортна галерея Естакада 3.5 (Глобине)</t>
  </si>
  <si>
    <t>15.12.2025</t>
  </si>
  <si>
    <t>Надходження товарів і послуг ІБ00-007492 від 15.12.2025 11:00:00
Оприходованы ТМЦ</t>
  </si>
  <si>
    <t>Обл. НДС
Римболт UFE 12/190
Надходження товарів і послуг ІБ00-007492 від 15.12.2025 11:00:00
АПК (Глобине)</t>
  </si>
  <si>
    <t>Пері Україна ТОВ
Дог СО-24-0001187 від 01.03.2024 Глобине-2
Надходження товарів і послуг ІБ00-007492 від 15.12.2025 11:00:00</t>
  </si>
  <si>
    <t>Обл. НДС
Дюбель розпірний UFІ 14/135
Надходження товарів і послуг ІБ00-007492 від 15.12.2025 11:00:00
АПК (Глобине)</t>
  </si>
  <si>
    <t>Надходження товарів і послуг ІБ00-007645 від 16.12.2025 11:00:00
Оприходованы ТМЦ</t>
  </si>
  <si>
    <t>Обл. НДС
Огородження даху КО 600.10 RAL 5005
Надходження товарів і послуг ІБ00-007645 від 16.12.2025 11:00:00
АПК (Глобине)</t>
  </si>
  <si>
    <t>АЛМЕТ ТОВ
№28 от 22.09.2022.( рахунки)_Глобине-2
Рахунок на оплату постачальника ІБ00-005626 від 01.11.2025 12:00:41</t>
  </si>
  <si>
    <t>Надходження товарів і послуг ІБ00-007645 від 16.12.2025 11:00:00
Оприходованы ТМЦ (Зачет аванса поставщику)</t>
  </si>
  <si>
    <t>Надходження товарів і послуг ІБ00-007700 від 16.12.2025 11:00:00
Оприходованы ТМЦ</t>
  </si>
  <si>
    <t>Обл. НДС
Манометр ДМ 05-МП-ЗУ 100-1МПа-1,5
Надходження товарів і послуг ІБ00-007700 від 16.12.2025 11:00:00
АПК (Глобине)</t>
  </si>
  <si>
    <t>РОМСТАЛ УКРАЇНА ТОВ
Договір №2810-25 від  28.10.2025_Глобине 2
Надходження товарів і послуг ІБ00-007700 від 16.12.2025 11:00:00</t>
  </si>
  <si>
    <t>Обл. НДС
Кран триходовий точений без фланця з ручкою із текстолиту вик.3 - М20х1,5 / G1/2 - 1,6 МПа
Надходження товарів і послуг ІБ00-007700 від 16.12.2025 11:00:00
АПК (Глобине)</t>
  </si>
  <si>
    <t>Обл. НДС
Відведення ПВХ, кут=87 град., D=110 мм
Надходження товарів і послуг ІБ00-007700 від 16.12.2025 11:00:00
АПК (Глобине)</t>
  </si>
  <si>
    <t>Обл. НДС
Трійник ПВХ, кут=87 град., D=110х110 мм 
Надходження товарів і послуг ІБ00-007700 від 16.12.2025 11:00:00
АПК (Глобине)</t>
  </si>
  <si>
    <t>Обл. НДС
Каналізаційна труба ПВХ, SN8, D = 110x3,4 мм, L = 2м
Надходження товарів і послуг ІБ00-007700 від 16.12.2025 11:00:00
АПК (Глобине)</t>
  </si>
  <si>
    <t>Обл. НДС
Труба поліпропіленова, каналізаційна, d = 50 мм, l = 2000 мм 3917221000¶
Надходження товарів і послуг ІБ00-007700 від 16.12.2025 11:00:00
АПК (Глобине)</t>
  </si>
  <si>
    <t>Обл. НДС
Труба поліпропіленова, каналізаційна, d=110 мм, l=2000 мм 
Надходження товарів і послуг ІБ00-007700 від 16.12.2025 11:00:00
АПК (Глобине)</t>
  </si>
  <si>
    <t>Обл. НДС
Відвід d 50 мм 87*30"
Надходження товарів і послуг ІБ00-007700 від 16.12.2025 11:00:00
АПК (Глобине)</t>
  </si>
  <si>
    <t>Обл. НДС
Відвід D=110 мм, 87 30
Надходження товарів і послуг ІБ00-007700 від 16.12.2025 11:00:00
АПК (Глобине)</t>
  </si>
  <si>
    <t>Обл. НДС
Трійник D=50 mm 87* 30
Надходження товарів і послуг ІБ00-007700 від 16.12.2025 11:00:00
АПК (Глобине)</t>
  </si>
  <si>
    <t>Обл. НДС
Трійник D=110мм, 87° 30 ' 
Надходження товарів і послуг ІБ00-007700 від 16.12.2025 11:00:00
АПК (Глобине)</t>
  </si>
  <si>
    <t>Обл. НДС
Трійник редукційний D=110-50 мм, 87° 30 ' 3917400090
Надходження товарів і послуг ІБ00-007700 від 16.12.2025 11:00:00
АПК (Глобине)</t>
  </si>
  <si>
    <t>Обл. НДС
Перехід ексентричний D=110/50мм
Надходження товарів і послуг ІБ00-007700 від 16.12.2025 11:00:00
АПК (Глобине)</t>
  </si>
  <si>
    <t>Обл. НДС
Заглушка D=110 мм
Надходження товарів і послуг ІБ00-007700 від 16.12.2025 11:00:00
АПК (Глобине)</t>
  </si>
  <si>
    <t>Обл. НДС
Труба поліетиленова ПЕ 100 ВОДА SDR11 PN16 D= 20 х 2,0мм
Надходження товарів і послуг ІБ00-007700 від 16.12.2025 11:00:00
АПК (Глобине)</t>
  </si>
  <si>
    <t>Надходження товарів і послуг ІБ00-007903 від 16.12.2025 11:00:00
Оприходованы ТМЦ</t>
  </si>
  <si>
    <t>Обл. НДС
Бетон С20/25 W6 F75 P4
Надходження товарів і послуг ІБ00-007903 від 16.12.2025 11:00:00
Транспортна галерея (Глобине)</t>
  </si>
  <si>
    <t>Кременчуцький річковий порт ПРАТ
Договір 112/Б від 15.10.2024_Глобине-2
Надходження товарів і послуг ІБ00-007903 від 16.12.2025 11:00:00</t>
  </si>
  <si>
    <t>Надходження дод. витрат ІБ00-000709 від 16.12.2025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</si>
  <si>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ІБ00-000709 від 16.12.2025 11:10:00</t>
  </si>
  <si>
    <t>Надходження товарів і послуг ІБ00-007446 від 16.12.2025 16:25:07
Оприходованы ТМЦ (Зачет аванса поставщику)</t>
  </si>
  <si>
    <t>Обл. НДС
Кільце опорне КО-6
Надходження товарів і послуг ІБ00-007446 від 16.12.2025 16:25:07
ЗВК_Глобіне</t>
  </si>
  <si>
    <t>ТЕПЛОАРМАТУРА ТОВ
Рахунки_Глобино-2
Рахунок на оплату постачальника ІБ00-006018 від 24.11.2025 17:17:01</t>
  </si>
  <si>
    <t>Обл. НДС
Кільце КС 10-6
Надходження товарів і послуг ІБ00-007446 від 16.12.2025 16:25:07
ЗВК_Глобіне</t>
  </si>
  <si>
    <t>Обл. НДС
Кільце КС 10-9
Надходження товарів і послуг ІБ00-007446 від 16.12.2025 16:25:07
ЗВК_Глобіне</t>
  </si>
  <si>
    <t>Обл. НДС
Кільце залізобетонне КС 15-6
Надходження товарів і послуг ІБ00-007446 від 16.12.2025 16:25:07
ЗВК_Глобіне</t>
  </si>
  <si>
    <t>Обл. НДС
Кільце КС 15-9
Надходження товарів і послуг ІБ00-007446 від 16.12.2025 16:25:07
ЗВК_Глобіне</t>
  </si>
  <si>
    <t>Обл. НДС
Кільце КС 20-9
Надходження товарів і послуг ІБ00-007446 від 16.12.2025 16:25:07
ЗВК_Глобіне</t>
  </si>
  <si>
    <t>Обл. НДС
Кільце КС 7-3
Надходження товарів і послуг ІБ00-007446 від 16.12.2025 16:25:07
ЗВК_Глобіне</t>
  </si>
  <si>
    <t>Надходження товарів і послуг ІБ00-007447 від 16.12.2025 16:28:35
Оприходованы ТМЦ (Зачет аванса поставщику)</t>
  </si>
  <si>
    <t>Обл. НДС
Днище ПН-10
Надходження товарів і послуг ІБ00-007447 від 16.12.2025 16:28:35
ЗВК_Глобіне</t>
  </si>
  <si>
    <t>Обл. НДС
Днище ПН-15
Надходження товарів і послуг ІБ00-007447 від 16.12.2025 16:28:35
ЗВК_Глобіне</t>
  </si>
  <si>
    <t>Обл. НДС
Днище ПН-20
Надходження товарів і послуг ІБ00-007447 від 16.12.2025 16:28:35
ЗВК_Глобіне</t>
  </si>
  <si>
    <t>Обл. НДС
Кришка ПП 1-10-1
Надходження товарів і послуг ІБ00-007447 від 16.12.2025 16:28:35
ЗВК_Глобіне</t>
  </si>
  <si>
    <t>Обл. НДС
Кришка ПП 1-15-1
Надходження товарів і послуг ІБ00-007447 від 16.12.2025 16:28:35
ЗВК_Глобіне</t>
  </si>
  <si>
    <t>Обл. НДС
Кришка ПП 1-20-1
Надходження товарів і послуг ІБ00-007447 від 16.12.2025 16:28:35
ЗВК_Глобіне</t>
  </si>
  <si>
    <t>Надходження товарів і послуг ІБ00-007642 від 17.12.2025 11:00:00
Оприходованы ТМЦ (Зачет аванса поставщику)</t>
  </si>
  <si>
    <t>Обл. НДС
Сендвіч-панель ТПК покрівельна 100мм МВ 1000мм С0,5 PS/C0,5 PS 9,680м покрів5005/трап9003
Надходження товарів і послуг ІБ00-007642 від 17.12.2025 11:00:00
Пункт фасування та зберігання в бігбегах (Глобине)</t>
  </si>
  <si>
    <t>ТПК-ЦЕНТР ТОВ
Договір 13/20/П/011від 21.07.2020_Глобино-2
Рахунок на оплату постачальника ІБ00-004583 від 18.09.2025 20:53:06</t>
  </si>
  <si>
    <t>Обл. НДС
Ущільнювальна стрічка ТПК УП-1 ППЕ НХ (5х50мм 20м)
Надходження товарів і послуг ІБ00-007642 від 17.12.2025 11:00:00
Пункт фасування та зберігання в бігбегах (Глобине)</t>
  </si>
  <si>
    <t>Обл. НДС
Ущільнювальна стрічка ТПК-УП-4 ППЕ (3х15мм 30м)
Надходження товарів і послуг ІБ00-007642 від 17.12.2025 11:00:00
Пункт фасування та зберігання в бігбегах (Глобине)</t>
  </si>
  <si>
    <t>Надходження товарів і послуг ІБ00-007642 від 17.12.2025 11:00:00
Оприходованы ТМЦ</t>
  </si>
  <si>
    <t>Обл. НДС
Клей-герметик д/сендвіч- панелей Soudaflex 40 FC (12 шт/уп) (600мл(шт.) білий)
Надходження товарів і послуг ІБ00-007642 від 17.12.2025 11:00:00
Пункт фасування та зберігання в бігбегах (Глобине)</t>
  </si>
  <si>
    <t>Обл. НДС
Ущільнювач КН для с/п 1 м ППЕ НХ
Надходження товарів і послуг ІБ00-007642 від 17.12.2025 11:00:00
Пункт фасування та зберігання в бігбегах (Глобине)</t>
  </si>
  <si>
    <t>Обл. НДС
Самонаріз в метал до сендвіч-панелей 5,5*6,3/200 5005 синій
Надходження товарів і послуг ІБ00-007642 від 17.12.2025 11:00:00
Пункт фасування та зберігання в бігбегах (Глобине)</t>
  </si>
  <si>
    <t>Обл. НДС
Саморіз  4,8*19 для скріплення листів 250шт 5005 синій
Надходження товарів і послуг ІБ00-007642 від 17.12.2025 11:00:00
Пункт фасування та зберігання в бігбегах (Глобине)</t>
  </si>
  <si>
    <t>Надходження товарів і послуг ІБ00-007647 від 17.12.2025 11:00:00
Оприходованы ТМЦ</t>
  </si>
  <si>
    <t>Обл. НДС
Болт М12*50  DIN 933
Надходження товарів і послуг ІБ00-007647 від 17.12.2025 11:00:00
Транспортна галерея Естакада 3.4 (Глобине)</t>
  </si>
  <si>
    <t>ЄВРОБОЛТ УКРАЇНА ТОВ
Рахунки_Глобине-2
Рахунок на оплату постачальника ІБ00-006248 від 16.12.2025 18:29:24</t>
  </si>
  <si>
    <t>Обл. НДС
Болт М14*50  DIN 933
Надходження товарів і послуг ІБ00-007647 від 17.12.2025 11:00:00
Транспортна галерея Естакада 3.4 (Глобине)</t>
  </si>
  <si>
    <t>Обл. НДС
Болт М16*55  DIN 933 8,8 цб пр
Надходження товарів і послуг ІБ00-007647 від 17.12.2025 11:00:00
Транспортна галерея Естакада 3.4 (Глобине)</t>
  </si>
  <si>
    <t>Обл. НДС
Болт М16*60  DIN 933 оц. 8.8цб
Надходження товарів і послуг ІБ00-007647 від 17.12.2025 11:00:00
Транспортна галерея Естакада 3.4 (Глобине)</t>
  </si>
  <si>
    <t>Обл. НДС
Болт М16*70  DIN 933 8,8 цб пр
Надходження товарів і послуг ІБ00-007647 від 17.12.2025 11:00:00
Транспортна галерея Естакада 3.4 (Глобине)</t>
  </si>
  <si>
    <t>Обл. НДС
Болт М20*70  DIN 933 цб
Надходження товарів і послуг ІБ00-007647 від 17.12.2025 11:00:00
Транспортна галерея Естакада 3.4 (Глобине)</t>
  </si>
  <si>
    <t>Обл. НДС
Болт М20*90  DIN 933 оц. 8,8
Надходження товарів і послуг ІБ00-007647 від 17.12.2025 11:00:00
Транспортна галерея Естакада 3.4 (Глобине)</t>
  </si>
  <si>
    <t>Обл. НДС
Гайка DIN934 M 12
Надходження товарів і послуг ІБ00-007647 від 17.12.2025 11:00:00
Транспортна галерея Естакада 3.4 (Глобине)</t>
  </si>
  <si>
    <t>Обл. НДС
Гайка DIN934 M14 8 цинк
Надходження товарів і послуг ІБ00-007647 від 17.12.2025 11:00:00
Транспортна галерея Естакада 3.4 (Глобине)</t>
  </si>
  <si>
    <t>Обл. НДС
Гайка DIN934 M16 8 цинк
Надходження товарів і послуг ІБ00-007647 від 17.12.2025 11:00:00
Транспортна галерея Естакада 3.4 (Глобине)</t>
  </si>
  <si>
    <t>Обл. НДС
Гайка DIN934 M20 8 цинк
Надходження товарів і послуг ІБ00-007647 від 17.12.2025 11:00:00
Транспортна галерея Естакада 3.4 (Глобине)</t>
  </si>
  <si>
    <t>Обл. НДС
Шайба плоська DIN 125 М12 140 HV ЦБ
Надходження товарів і послуг ІБ00-007647 від 17.12.2025 11:00:00
Транспортна галерея Естакада 3.4 (Глобине)</t>
  </si>
  <si>
    <t>Обл. НДС
Шайба плоська DIN 125 М14 140 HV ЦБ
Надходження товарів і послуг ІБ00-007647 від 17.12.2025 11:00:00
Транспортна галерея Естакада 3.4 (Глобине)</t>
  </si>
  <si>
    <t>Обл. НДС
Шайба плоська DIN 125 М16 140 HV ЦБ
Надходження товарів і послуг ІБ00-007647 від 17.12.2025 11:00:00
Транспортна галерея Естакада 3.4 (Глобине)</t>
  </si>
  <si>
    <t>Обл. НДС
Шайба плоська DIN 125 М20 140 HV ЦБ
Надходження товарів і послуг ІБ00-007647 від 17.12.2025 11:00:00
Транспортна галерея Естакада 3.4 (Глобине)</t>
  </si>
  <si>
    <t>Надходження товарів і послуг ІБ00-007648 від 17.12.2025 11:00:00
Оприходованы ТМЦ (Зачет аванса поставщику)</t>
  </si>
  <si>
    <t>Обл. НДС
Гайка DIN934 M16 8 цинк
Надходження товарів і послуг ІБ00-007648 від 17.12.2025 11:00:00
Резервуар для зберігання розчинника(Глобине)</t>
  </si>
  <si>
    <t>ЄВРОБОЛТ УКРАЇНА ТОВ
Рахунки_Глобине-2
Рахунок на оплату постачальника ІБ00-006114 від 01.12.2025 23:00:24</t>
  </si>
  <si>
    <t>Обл. НДС
Гайка DIN934 M20 8 цинк
Надходження товарів і послуг ІБ00-007648 від 17.12.2025 11:00:00
Резервуар для зберігання розчинника(Глобине)</t>
  </si>
  <si>
    <t>Обл. НДС
Болт М16*80  DIN 933 цб пр
Надходження товарів і послуг ІБ00-007648 від 17.12.2025 11:00:00
Резервуар для зберігання розчинника(Глобине)</t>
  </si>
  <si>
    <t>Надходження товарів і послуг ІБ00-007648 від 17.12.2025 11:00:00
Оприходованы ТМЦ</t>
  </si>
  <si>
    <t>Обл. НДС
Болт М20*90  DIN 933 8,8 цб
Надходження товарів і послуг ІБ00-007648 від 17.12.2025 11:00:00
Резервуар для зберігання розчинника(Глобине)</t>
  </si>
  <si>
    <t>Надходження товарів і послуг ІБ00-007650 від 17.12.2025 11:00:00
Оприходованы ТМЦ (Зачет аванса поставщику)</t>
  </si>
  <si>
    <t>Обл. НДС
Перехід сталевий 530*377 (500*350)
Надходження товарів і послуг ІБ00-007650 від 17.12.2025 11:00:00
Насосна Градирня (Глобине)</t>
  </si>
  <si>
    <t>ТЕПЛОАРМАТУРА ТОВ
Рахунки_Глобино-2
Рахунок на оплату постачальника ІБ00-006120 від 01.12.2025 23:00:25</t>
  </si>
  <si>
    <t>Надходження товарів і послуг ІБ00-007699 від 17.12.2025 11:00:00
Оприходованы ТМЦ (Зачет аванса поставщику)</t>
  </si>
  <si>
    <t>Обл. НДС
Коліно стик.SDR 11 75
Надходження товарів і послуг ІБ00-007699 від 17.12.2025 11:00:00
АПК (Глобине)</t>
  </si>
  <si>
    <t>РОМСТАЛ УКРАЇНА ТОВ
Договір №2810-25 від  28.10.2025_Глобине 2
Списання з банківського рахунку 00017672 від 31.10.2025 17:52:44</t>
  </si>
  <si>
    <t>Обл. НДС
Коліно стик.SDR 11 110
Надходження товарів і послуг ІБ00-007699 від 17.12.2025 11:00:00
АПК (Глобине)</t>
  </si>
  <si>
    <t>Надходження товарів і послуг ІБ00-007809 від 17.12.2025 11:00:00
Оприходованы ТМЦ</t>
  </si>
  <si>
    <t>Обл. НДС
Щебінь 40-70
Надходження товарів і послуг ІБ00-007809 від 17.12.2025 11:00:00
ГРП (Глобине)</t>
  </si>
  <si>
    <t>Венкрас Авто ПП
Договір 05/09/2024 від 05.09.2024_Глобине-2
Рахунок на оплату постачальника ІБ00-006415 від 17.12.2025 18:19:03</t>
  </si>
  <si>
    <t>Надходження товарів і послуг ІБ00-007975 від 17.12.2025 11:00:00
Оприходованы ТМЦ</t>
  </si>
  <si>
    <t>Обл. НДС
Дюбель 10*160 для теплоізоляції
Надходження товарів і послуг ІБ00-007975 від 17.12.2025 11:00:00
АПК (Глобине)</t>
  </si>
  <si>
    <t>Надходження дод. витрат ІБ00-000712 від 17.12.2025 11:10:00
Доп. расходы при поступлении товаров</t>
  </si>
  <si>
    <t>Надходження товарів і послуг ІБ00-007696 від 18.12.2025 11:00:00
Оприходованы ТМЦ (Зачет аванса поставщику)</t>
  </si>
  <si>
    <t>Обл. НДС
Муфта з 3Р PPR SPK під ключ 40*11/4"
Надходження товарів і послуг ІБ00-007696 від 18.12.2025 11:00:00
Котельна (Глобине)</t>
  </si>
  <si>
    <t>ОВК-СИСТЕМИ ТОВ
Договору №030925 від 03.09.2025_Глобино-2
Рахунок на оплату постачальника ІБ00-006126 від 11.12.2025 19:01:53</t>
  </si>
  <si>
    <t>Обл. НДС
Фільтр грубої очистки RIV2500 Cellini DN32 1 1/4" PN16
Надходження товарів і послуг ІБ00-007696 від 18.12.2025 11:00:00
Котельна (Глобине)</t>
  </si>
  <si>
    <t>Обл. НДС
Клапан зворотній пружинний посилений п/прохідний RIV2270 DN32 11/4" PN25
Надходження товарів і послуг ІБ00-007696 від 18.12.2025 11:00:00
Котельна (Глобине)</t>
  </si>
  <si>
    <t>Обл. НДС
Лічильник води МТК 3/4 х/в (комл.згонів)
Надходження товарів і послуг ІБ00-007696 від 18.12.2025 11:00:00
Котельна (Глобине)</t>
  </si>
  <si>
    <t>Надходження товарів і послуг ІБ00-007710 від 18.12.2025 11:00:00
Оприходованы ТМЦ</t>
  </si>
  <si>
    <t>Обл. НДС
Відвід ст. 90“ 325*8 б/шов
Надходження товарів і послуг ІБ00-007710 від 18.12.2025 11:00:00
Резервуарний парк соєвої меляси (Глобине)</t>
  </si>
  <si>
    <t>ТЕПЛОАРМАТУРА ТОВ
Рахунки_Глобино-2
Рахунок на оплату постачальника ІБ00-006121 від 16.12.2025 17:43:53</t>
  </si>
  <si>
    <t>Надходження товарів і послуг ІБ00-007710 від 18.12.2025 11:00:00
Оприходованы ТМЦ (Зачет аванса поставщику)</t>
  </si>
  <si>
    <t>Надходження товарів і послуг ІБ00-007808 від 18.12.2025 11:00:00
Оприходованы ТМЦ</t>
  </si>
  <si>
    <t>Обл. НДС
Щебінь 70-120
Надходження товарів і послуг ІБ00-007808 від 18.12.2025 11:00:00
ГРП (Глобине)</t>
  </si>
  <si>
    <t>Венкрас Авто ПП
Договір 05/09/2024 від 05.09.2024_Глобине-2
Рахунок на оплату постачальника ІБ00-006414 від 18.12.2025 19:00:35</t>
  </si>
  <si>
    <t>Надходження дод. витрат ІБ00-000711 від 18.12.2025 11:10:00
Доп. расходы при поступлении товаров</t>
  </si>
  <si>
    <t>Надходження товарів і послуг ІБ00-007643 від 19.12.2025 11:00:00
Оприходованы ТМЦ</t>
  </si>
  <si>
    <t>Обл. НДС
Лист ЛГК 12,5*1200*2500 (шт)
Надходження товарів і послуг ІБ00-007643 від 19.12.2025 11:00:00
АПК (Глобине)</t>
  </si>
  <si>
    <t>СТАНДАРТ-БУД ТОВ
РАХУНКИ_Глобино-2
Рахунок на оплату постачальника ІБ00-006072 від 09.12.2025 18:57:55</t>
  </si>
  <si>
    <t>Надходження товарів і послуг ІБ00-007643 від 19.12.2025 11:00:00
Оприходованы ТМЦ (Зачет аванса поставщику)</t>
  </si>
  <si>
    <t>Надходження товарів і послуг ІБ00-007649 від 19.12.2025 11:00:00
Оприходованы ТМЦ</t>
  </si>
  <si>
    <t>Обл. НДС
Анкер клинопод. М12*100 стальний з гайкою
Надходження товарів і послуг ІБ00-007649 від 19.12.2025 11:00:00
СПК (Глобине)</t>
  </si>
  <si>
    <t>ЄВРОБОЛТ УКРАЇНА ТОВ
Рахунки_Глобине-2
Рахунок на оплату постачальника ІБ00-006250 від 18.12.2025 18:48:15</t>
  </si>
  <si>
    <t>Обл. НДС
Гайка М24  DIN 934
Надходження товарів і послуг ІБ00-007649 від 19.12.2025 11:00:00
СПК (Глобине)</t>
  </si>
  <si>
    <t>Обл. НДС
Шайба плоська DIN 125 М24 140 HV ЦБ
Надходження товарів і послуг ІБ00-007649 від 19.12.2025 11:00:00
СПК (Глобине)</t>
  </si>
  <si>
    <t>Надходження товарів і послуг ІБ00-007807 від 19.12.2025 11:00:00
Оприходованы ТМЦ</t>
  </si>
  <si>
    <t>Обл. НДС
Щебінь 70-120
Надходження товарів і послуг ІБ00-007807 від 19.12.2025 11:00:00
ГРП (Глобине)</t>
  </si>
  <si>
    <t>Венкрас Авто ПП
Договір 05/09/2024 від 05.09.2024_Глобине-2
Рахунок на оплату постачальника ІБ00-006413 від 19.12.2025 18:12:17</t>
  </si>
  <si>
    <t>Надходження товарів і послуг ІБ00-007897 від 19.12.2025 11:00:00
Оприходованы ТМЦ</t>
  </si>
  <si>
    <t>Обл. НДС
Бетон С20/25 W6 F75 P4
Надходження товарів і послуг ІБ00-007897 від 19.12.2025 11:00:00
ГПЗ (Глобине)</t>
  </si>
  <si>
    <t>Кременчуцький річковий порт ПРАТ
Договір 112/Б від 15.10.2024_Глобине-2
Надходження товарів і послуг ІБ00-007897 від 19.12.2025 11:00:00</t>
  </si>
  <si>
    <t>Надходження дод. витрат ІБ00-000706 від 19.12.2025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</si>
  <si>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ІБ00-000706 від 19.12.2025 11:10:00</t>
  </si>
  <si>
    <t>Надходження дод. витрат ІБ00-000710 від 19.12.2025 12:00:00
Доп. расходы при поступлении товаров</t>
  </si>
  <si>
    <t>Надходження товарів і послуг ІБ00-007522 від 19.12.2025 12:04:24
Оприходованы ТМЦ (Зачет аванса поставщику)</t>
  </si>
  <si>
    <t>Обл. НДС
Кільце опорне КО-6
Надходження товарів і послуг ІБ00-007522 від 19.12.2025 12:04:24
ЗВК_Глобіне</t>
  </si>
  <si>
    <t>Обл. НДС
Кільце КС 10-9
Надходження товарів і послуг ІБ00-007522 від 19.12.2025 12:04:24
ЗВК_Глобіне</t>
  </si>
  <si>
    <t>Обл. НДС
Кільце КС 15-9
Надходження товарів і послуг ІБ00-007522 від 19.12.2025 12:04:24
ЗВК_Глобіне</t>
  </si>
  <si>
    <t>Надходження товарів і послуг ІБ00-007523 від 19.12.2025 12:12:44
Оприходованы ТМЦ (Зачет аванса поставщику)</t>
  </si>
  <si>
    <t>Обл. НДС
Кільце КС 7-3
Надходження товарів і послуг ІБ00-007523 від 19.12.2025 12:12:44
ЗВК_Глобіне</t>
  </si>
  <si>
    <t>Обл. НДС
Днище ПН-10
Надходження товарів і послуг ІБ00-007523 від 19.12.2025 12:12:44
ЗВК_Глобіне</t>
  </si>
  <si>
    <t>Обл. НДС
Днище ПН-15
Надходження товарів і послуг ІБ00-007523 від 19.12.2025 12:12:44
ЗВК_Глобіне</t>
  </si>
  <si>
    <t>Обл. НДС
Кришка ПП 1-15-1
Надходження товарів і послуг ІБ00-007523 від 19.12.2025 12:12:44
ЗВК_Глобіне</t>
  </si>
  <si>
    <t>Надходження товарів і послуг ІБ00-007573 від 19.12.2025 18:11:55
Оприходованы ТМЦ (Зачет аванса поставщику)</t>
  </si>
  <si>
    <t>Обл. НДС
Кільце КС 10-9
Надходження товарів і послуг ІБ00-007573 від 19.12.2025 18:11:55
ЗВК_Глобіне</t>
  </si>
  <si>
    <t>Обл. НДС
Кільце КС 15-9
Надходження товарів і послуг ІБ00-007573 від 19.12.2025 18:11:55
ЗВК_Глобіне</t>
  </si>
  <si>
    <t>Обл. НДС
Кільце КС 20-9
Надходження товарів і послуг ІБ00-007573 від 19.12.2025 18:11:55
ЗВК_Глобіне</t>
  </si>
  <si>
    <t>Обл. НДС
Днище ПН-20
Надходження товарів і послуг ІБ00-007573 від 19.12.2025 18:11:55
ЗВК_Глобіне</t>
  </si>
  <si>
    <t>Обл. НДС
Кришка ПП 1-20-1
Надходження товарів і послуг ІБ00-007573 від 19.12.2025 18:11:55
ЗВК_Глобіне</t>
  </si>
  <si>
    <t>Вимога-накладна ІБ00-001161 від 20.12.2025 07:48:28
Списаны ТМЦ</t>
  </si>
  <si>
    <t>Обл. НДС
Розчинник "White Spirit" (л)
Переміщення товарів ІБ00-001010 від 26.09.2025 11:10:00
Транспортна галерея Естакада 3.5 (Глобине)</t>
  </si>
  <si>
    <t>Обл. НДС
Грунт-емаль ПФ-012 Р RAL7024
Переміщення товарів ІБ00-001010 від 26.09.2025 11:10:00
Транспортна галерея Естакада 3.5 (Глобине)</t>
  </si>
  <si>
    <t>Переміщення товарів ІБ00-001641 від 20.12.2025 08:00:00
Перемещение ТМЦ</t>
  </si>
  <si>
    <t>Обл. НДС
Щебінь 20-40
Переміщення товарів ІБ00-001641 від 20.12.2025 08:00:00
ГРП (Глобине)</t>
  </si>
  <si>
    <t>Обл. НДС
Щебінь 20-40
Переміщення товарів ІБ00-001321 від 07.11.2025 11:20:00
Транспортна галерея Естакада 3.5 (Глобине)</t>
  </si>
  <si>
    <t>Переміщення товарів ІБ00-001642 від 20.12.2025 08:00:00
Перемещение ТМЦ</t>
  </si>
  <si>
    <t>Обл. НДС
Плівка п/е рукав 1500*200
Переміщення товарів ІБ00-001642 від 20.12.2025 08:00:00
ГРП (Глобине)</t>
  </si>
  <si>
    <t>Обл. НДС
Плівка п/е рукав 1500*200
Надходження товарів і послуг ІБ00-002242 від 13.05.2025 11:00:00
Пожежений резервуар (Глобине)</t>
  </si>
  <si>
    <t>Переміщення товарів ІБ00-001643 від 20.12.2025 08:00:00
Перемещение ТМЦ</t>
  </si>
  <si>
    <t>Обл. НДС
Щебінь 20-40
Переміщення товарів ІБ00-001643 від 20.12.2025 08:00:00
Транспортна галерея Естакада 3.5 (Глобине)</t>
  </si>
  <si>
    <t>Переміщення товарів ІБ00-001645 від 20.12.2025 08:00:00
Перемещение ТМЦ</t>
  </si>
  <si>
    <t>Обл. НДС
Пісок, т
Переміщення товарів ІБ00-001645 від 20.12.2025 08:00:00
АПК (Глобине)</t>
  </si>
  <si>
    <t>Переміщення товарів ІБ00-001646 від 20.12.2025 08:00:00
Перемещение ТМЦ</t>
  </si>
  <si>
    <t>Обл. НДС
Плита пінополістирольна екструзійна 1180х580х100мм уп4шт/1шт-0,06844 куб м
Переміщення товарів ІБ00-001646 від 20.12.2025 08:00:00
АПК (Глобине)</t>
  </si>
  <si>
    <t>Обл. НДС
Плита пінополістирольна екструзійна 1180х580х100мм уп4шт/1шт-0,06844 куб м
Надходження товарів і послуг ІБ00-000575 від 20.02.2024 18:03:01
Транспортна галерея (Глобине)</t>
  </si>
  <si>
    <t>Переміщення товарів ІБ00-001648 від 20.12.2025 08:00:00
Перемещение ТМЦ</t>
  </si>
  <si>
    <t>Обл. НДС
Розчинник "White Spirit" (л)
Переміщення товарів ІБ00-001648 від 20.12.2025 08:00:00
Пункт фасування та зберігання в бігбегах (Глобине)</t>
  </si>
  <si>
    <t>Обл. НДС
Розчинник "White Spirit" (л)
Переміщення товарів ІБ00-001123 від 08.10.2025 11:10:00
Транспортна галерея Естакада 3.3 (Глобине)</t>
  </si>
  <si>
    <t>Обл. НДС
Розчинник "White Spirit" (л)
Переміщення товарів ІБ00-001077 від 09.10.2025 12:00:00
Транспортна галерея Естакада 3.3 (Глобине)</t>
  </si>
  <si>
    <t>Обл. НДС
Грунт-емаль ПФ-012 Р RAL7024
Переміщення товарів ІБ00-001648 від 20.12.2025 08:00:00
Пункт фасування та зберігання в бігбегах (Глобине)</t>
  </si>
  <si>
    <t>Обл. НДС
Грунт-емаль ПФ-012 Р RAL7024
Переміщення товарів ІБ00-001123 від 08.10.2025 11:10:00
Транспортна галерея Естакада 3.3 (Глобине)</t>
  </si>
  <si>
    <t>Переміщення товарів ІБ00-001649 від 20.12.2025 08:00:00
Перемещение ТМЦ</t>
  </si>
  <si>
    <t>Обл. НДС
Грунт-емаль ПФ-012 Р RAL7024
Переміщення товарів ІБ00-001649 від 20.12.2025 08:00:00
Пункт фасування та зберігання в бігбегах (Глобине)</t>
  </si>
  <si>
    <t>Обл. НДС
Грунт-емаль ПФ-012 Р RAL7024
Надходження товарів і послуг ІБ00-006230 від 09.10.2025 11:00:00
Резервуарний парк соєвої меляси (Глобине)</t>
  </si>
  <si>
    <t>Переміщення товарів ІБ00-001650 від 20.12.2025 08:00:00
Перемещение ТМЦ</t>
  </si>
  <si>
    <t>Обл. НДС
Клей для газобетону STANDART BLOCK (25 кг)
Переміщення товарів ІБ00-001650 від 20.12.2025 08:00:00
Цех екстракції (Глобине)</t>
  </si>
  <si>
    <t>Переміщення товарів ІБ00-001652 від 20.12.2025 08:00:00
Перемещение ТМЦ</t>
  </si>
  <si>
    <t>Обл. НДС
Щебінь 20-40
Переміщення товарів ІБ00-001652 від 20.12.2025 08:00:00
Транспортна галерея (Глобине)</t>
  </si>
  <si>
    <t>Обл. НДС
Щебінь 20-40
Надходження товарів і послуг ІБ00-005402 від 17.09.2025 11:00:00
Пункт фасування та зберігання в бігбегах (Глобине)</t>
  </si>
  <si>
    <t>Переміщення товарів ІБ00-001653 від 20.12.2025 08:00:00
Перемещение ТМЦ</t>
  </si>
  <si>
    <t>Обл. НДС
Щебінь 20-40
Переміщення товарів ІБ00-001653 від 20.12.2025 08:00:00
Транспортна галерея (Глобине)</t>
  </si>
  <si>
    <t>Переміщення товарів ІБ00-001654 від 20.12.2025 08:00:00
Перемещение ТМЦ</t>
  </si>
  <si>
    <t>Обл. НДС
Плитка зовнішня SOLANO LIGHT GREY MATT 598*598*83
Переміщення товарів ІБ00-001654 від 20.12.2025 08:00:00
Котельна (Глобине)</t>
  </si>
  <si>
    <t>Обл. НДС
Плитка зовнішня SOLANO LIGHT GREY MATT 598*598*83
Надходження товарів і послуг ІБ00-006829 від 11.11.2025 11:00:00
АПК (Глобине)</t>
  </si>
  <si>
    <t>Обл. НДС
Грунтовка глибокопроникаюча СТ17/10л
Переміщення товарів ІБ00-001654 від 20.12.2025 08:00:00
Котельна (Глобине)</t>
  </si>
  <si>
    <t>Обл. НДС
Грунтовка глибокопроникаюча СТ17/10л
Надходження товарів і послуг ІБ00-006148 від 16.10.2025 11:00:00
АПК (Глобине)</t>
  </si>
  <si>
    <t>Обл. НДС
Затирка однокомпонентна антрацит 114/5кг Ultracolor Plus
Переміщення товарів ІБ00-001654 від 20.12.2025 08:00:00
Котельна (Глобине)</t>
  </si>
  <si>
    <t>Обл. НДС
Затирка однокомпонентна антрацит 114/5кг Ultracolor Plus
Надходження товарів і послуг ІБ00-006829 від 11.11.2025 11:00:00
АПК (Глобине)</t>
  </si>
  <si>
    <t>Переміщення товарів ІБ00-001655 від 20.12.2025 08:00:00
Перемещение ТМЦ</t>
  </si>
  <si>
    <t>Обл. НДС
Грунтовка глибокопроникаюча СТ17/10л
Переміщення товарів ІБ00-001655 від 20.12.2025 08:00:00
Котельна (Глобине)</t>
  </si>
  <si>
    <t>Обл. НДС
Шпаклівка НР Фініш, 25 кг
Переміщення товарів ІБ00-001655 від 20.12.2025 08:00:00
Котельна (Глобине)</t>
  </si>
  <si>
    <t>Обл. НДС
Шпаклівка НР Фініш, 25 кг
Надходження товарів і послуг ІБ00-006148 від 16.10.2025 11:00:00
АПК (Глобине)</t>
  </si>
  <si>
    <t>Обл. НДС
Шпаклівка д/швів Уніфлот Кнакф 25кг
Переміщення товарів ІБ00-001655 від 20.12.2025 08:00:00
Котельна (Глобине)</t>
  </si>
  <si>
    <t>Обл. НДС
Шпаклівка д/швів Уніфлот Кнакф 25кг
Надходження товарів і послуг ІБ00-006148 від 16.10.2025 11:00:00
АПК (Глобине)</t>
  </si>
  <si>
    <t>Обл. НДС
Балка ІРЕ 300 міра L=12 S275JR
Переміщення товарів ІБ00-001656 від 20.12.2025 08:00:00
Цех екстракції (Глобине)</t>
  </si>
  <si>
    <t>Обл. НДС
Балка ІРЕ 360 міра L=12 S275JR
Переміщення товарів ІБ00-001656 від 20.12.2025 08:00:00
Цех екстракції (Глобине)</t>
  </si>
  <si>
    <t>Обл. НДС
Швелер 30П міра 12,00 м 
Переміщення товарів ІБ00-001656 від 20.12.2025 08:00:00
Цех екстракції (Глобине)</t>
  </si>
  <si>
    <t>Обл. НДС
Швелер 30П міра 12,00 м 
Надходження товарів і послуг ІБ00-005060 від 29.08.2025 11:00:00
СПК (Глобине)</t>
  </si>
  <si>
    <t>Обл. НДС
Грунт ГФ-021 сірий
Переміщення товарів ІБ00-001656 від 20.12.2025 08:00:00
Цех екстракції (Глобине)</t>
  </si>
  <si>
    <t>Обл. НДС
Грунт-емаль 3 в 1 антикороз RAL7024 25 кг
Переміщення товарів ІБ00-001656 від 20.12.2025 08:00:00
Цех екстракції (Глобине)</t>
  </si>
  <si>
    <t>Обл. НДС
Грунт-емаль 3 в 1 антикороз RAL7024 25 кг
Надходження товарів і послуг ІБ00-003609 від 07.07.2025 11:00:00
СПК (Глобине)</t>
  </si>
  <si>
    <t>Обл. НДС
Грунт-емаль ПФ-012 Р RAL7024
Переміщення товарів ІБ00-001656 від 20.12.2025 08:00:00
Цех екстракції (Глобине)</t>
  </si>
  <si>
    <t>Обл. НДС
Розчинник "White Spirit"
Переміщення товарів ІБ00-001656 від 20.12.2025 08:00:00
Цех екстракції (Глобине)</t>
  </si>
  <si>
    <t>Обл. НДС
Розчинник "White Spirit"
Надходження товарів і послуг ІБ00-002704 від 27.05.2025 11:00:00
СПК (Глобине)</t>
  </si>
  <si>
    <t>Переміщення товарів ІБ00-001657 від 20.12.2025 08:00:00
Перемещение ТМЦ</t>
  </si>
  <si>
    <t>Обл. НДС
Грунт-емаль ПФ-012 Р RAL7024
Переміщення товарів ІБ00-001657 від 20.12.2025 08:00:00
Цех екстракції (Глобине)</t>
  </si>
  <si>
    <t>Обл. НДС
Грунт-емаль ПФ-012 Р RAL7024
Надходження товарів і послуг ІБ00-006443 від 10.10.2025 11:00:00
Резервуарний парк соєвої меляси (Глобине)</t>
  </si>
  <si>
    <t>Переміщення товарів ІБ00-001658 від 20.12.2025 08:00:00
Перемещение ТМЦ</t>
  </si>
  <si>
    <t>Обл. НДС
Щебінь 20-40
Переміщення товарів ІБ00-001658 від 20.12.2025 08:00:00
Транспортна галерея Естакада 3.5 (Глобине)</t>
  </si>
  <si>
    <t>Вимога-накладна ІБ00-001166 від 20.12.2025 09:28:47
Списаны ТМЦ</t>
  </si>
  <si>
    <t>Вимога-накладна ІБ00-001167 від 20.12.2025 09:42:43
Списаны ТМЦ</t>
  </si>
  <si>
    <t>Вимога-накладна ІБ00-001168 від 20.12.2025 10:29:40
Списаны ТМЦ</t>
  </si>
  <si>
    <t>Обл. НДС
Планка п1 коник зовн 2000мм
Надходження товарів і послуг ІБ00-005394 від 18.09.2025 11:00:00
Котельна (Глобине)</t>
  </si>
  <si>
    <t>Обл. НДС
Планка п3б торцева покрівля 150 2000мм
Надходження товарів і послуг ІБ00-005394 від 18.09.2025 11:00:00
Котельна (Глобине)</t>
  </si>
  <si>
    <t>Обл. НДС
Планка п6а примикання стіни до покрівлі по торцю  2000мм
Надходження товарів і послуг ІБ00-005394 від 18.09.2025 11:00:00
Котельна (Глобине)</t>
  </si>
  <si>
    <t>Обл. НДС
Планка п7 снігоутримувач 2000мм
Надходження товарів і послуг ІБ00-005394 від 18.09.2025 11:00:00
Котельна (Глобине)</t>
  </si>
  <si>
    <t>Обл. НДС
Планка п9а нащільник стика 2000мм
Надходження товарів і послуг ІБ00-005394 від 18.09.2025 11:00:00
Котельна (Глобине)</t>
  </si>
  <si>
    <t>Обл. НДС
Планка п9б нащільник стика з виступом 2000мм
Надходження товарів і послуг ІБ00-005394 від 18.09.2025 11:00:00
Котельна (Глобине)</t>
  </si>
  <si>
    <t>Обл. НДС
Планка п10а кут зовн 130 2000мм
Надходження товарів і послуг ІБ00-005394 від 18.09.2025 11:00:00
Котельна (Глобине)</t>
  </si>
  <si>
    <t>Обл. НДС
Саморіз  4,8*19 RAL 9006
Надходження товарів і послуг ІБ00-003705 від 14.07.2025 11:00:00
Котельна (Глобине)</t>
  </si>
  <si>
    <t>Обл. НДС
Саморіз  4,8*19 RAL 9003
Надходження товарів і послуг ІБ00-003705 від 14.07.2025 11:00:00
Котельна (Глобине)</t>
  </si>
  <si>
    <t>Обл. НДС
Дефлектор Д710.00.000-03 №10 оц
Надходження товарів і послуг ІБ00-006248 від 27.10.2025 11:00:00
Котельна (Глобине)</t>
  </si>
  <si>
    <t>Обл. НДС
Вузол проходу №10
Надходження товарів і послуг ІБ00-006248 від 27.10.2025 11:00:00
Котельна (Глобине)</t>
  </si>
  <si>
    <t>Обл. НДС
КЛЕЙ Д/ГРЕСУ ATIS A-7 GRES XL C2TE КЛЕЙ ЕЛАСТИЧНИЙ
Надходження товарів і послуг ІБ00-005949 від 14.10.2025 18:16:56
Котельна (Глобине)</t>
  </si>
  <si>
    <t>Вимога-накладна ІБ00-001169 від 20.12.2025 10:45:26
Списаны ТМЦ</t>
  </si>
  <si>
    <t>Обл. НДС
Планка п4б1 карнизна покрівля 150 2000мм
Надходження товарів і послуг ІБ00-005394 від 18.09.2025 11:00:00
Котельна (Глобине)</t>
  </si>
  <si>
    <t>Обл. НДС
Штукатурка МП-75 30кг
Надходження товарів і послуг ІБ00-004200 від 15.07.2025 11:00:00
Котельна (Глобине)</t>
  </si>
  <si>
    <t>Вимога-накладна ІБ00-001170 від 20.12.2025 11:19:27
Списаны ТМЦ</t>
  </si>
  <si>
    <t>Обл. НДС
Плитка зовнішня  STREET LINE 600*600*8 світло-сірий
Надходження товарів і послуг ІБ00-005948 від 14.10.2025 18:16:55
Котельна (Глобине)</t>
  </si>
  <si>
    <t>Обл. НДС
Планка п6б примикання стіни до покрівлі по карнизу  2000мм
Надходження товарів і послуг ІБ00-005394 від 18.09.2025 11:00:00
Котельна (Глобине)</t>
  </si>
  <si>
    <t>Обл. НДС
Планка п6в примикання стіни до покрівлі по осі 11 зовн  2000мм
Надходження товарів і послуг ІБ00-005394 від 18.09.2025 11:00:00
Котельна (Глобине)</t>
  </si>
  <si>
    <t>Обл. НДС
Планка п8 примикання покрівлі до стіни 2000мм
Надходження товарів і послуг ІБ00-005394 від 18.09.2025 11:00:00
Котельна (Глобине)</t>
  </si>
  <si>
    <t>Списання товарів ІБ00-000725 від 20.12.2025 11:51:05
Списаны ТМЦ</t>
  </si>
  <si>
    <t>Обл. НДС
Кисень газ технічний  (40л/6,4 м3)
Надходження товарів і послуг ІБ00-007098 від 01.11.2025 11:00:00
Глобине-2</t>
  </si>
  <si>
    <t>Обл. НДС
Кисень газ технічний  (40л/6,4 м3)
Надходження товарів і послуг ІБ00-007099 від 01.11.2025 11:00:00
Глобине-2</t>
  </si>
  <si>
    <t>Вимога-накладна ІБ00-001160 від 20.12.2025 13:16:41
Списаны ТМЦ</t>
  </si>
  <si>
    <t>Обл. НДС
Бетон С20/25 W6 F75 P4
Переміщення товарів ІБ00-000918 від 19.09.2025 11:20:00
ГРП (Глобине)</t>
  </si>
  <si>
    <t>Обл. НДС
Бетон С20/25 W6 F75 P4
Переміщення товарів ІБ00-000933 від 26.09.2025 09:51:55
ГРП (Глобине)</t>
  </si>
  <si>
    <t>Списання товарів ІБ00-000719 від 20.12.2025 13:49:13
Списаны ТМЦ</t>
  </si>
  <si>
    <t>Обл. НДС
Кисень газ технічний  (40л/6,4 м3)
Надходження товарів і послуг ІБ00-007100 від 01.11.2025 11:00:00
Глобине-2</t>
  </si>
  <si>
    <t>Обл. НДС
Кисень газ технічний  (40л/6,4 м3)
Надходження товарів і послуг ІБ00-007101 від 12.11.2025 11:00:00
Глобине-2</t>
  </si>
  <si>
    <t>Обл. НДС
Вуглекислота (СО2) імп.вищого сорту
Надходження товарів і послуг ІБ00-007100 від 01.11.2025 11:00:00
Глобине-2</t>
  </si>
  <si>
    <t>Вимога-накладна ІБ00-001162 від 20.12.2025 16:11:17
Списаны ТМЦ</t>
  </si>
  <si>
    <t>Вимога-накладна ІБ00-001163 від 20.12.2025 20:12:56
Списаны ТМЦ</t>
  </si>
  <si>
    <t>Обл. НДС
Грунт СТ-17/10л
Надходження товарів і послуг ІБ00-006829 від 11.11.2025 11:00:00
АПК (Глобине)</t>
  </si>
  <si>
    <t>Вимога-накладна ІБ00-001164 від 20.12.2025 20:13:01
Списаны ТМЦ</t>
  </si>
  <si>
    <t>Вимога-накладна ІБ00-001165 від 20.12.2025 20:13:02
Списаны ТМЦ</t>
  </si>
  <si>
    <t>Вимога-накладна ІБ00-001171 від 20.12.2025 20:13:14
Списаны ТМЦ</t>
  </si>
  <si>
    <t>Надходження товарів і послуг ІБ00-007574 від 22.12.2025 14:03:57
Оприходованы ТМЦ (Зачет аванса поставщику)</t>
  </si>
  <si>
    <t>Обл. НДС
Кільце КС 10-9
Надходження товарів і послуг ІБ00-007574 від 22.12.2025 14:03:57
ЗВК_Глобіне</t>
  </si>
  <si>
    <t>Обл. НДС
Кільце КС 15-9
Надходження товарів і послуг ІБ00-007574 від 22.12.2025 14:03:57
ЗВК_Глобіне</t>
  </si>
  <si>
    <t>Обл. НДС
Днище ПН-15
Надходження товарів і послуг ІБ00-007574 від 22.12.2025 14:03:57
ЗВК_Глобіне</t>
  </si>
  <si>
    <t>Обл. НДС
Кришка ПП 1-10-1
Надходження товарів і послуг ІБ00-007574 від 22.12.2025 14:03:57
ЗВК_Глобіне</t>
  </si>
  <si>
    <t>Обл. НДС
Кришка ПП 1-15-1
Надходження товарів і послуг ІБ00-007574 від 22.12.2025 14:03:57
ЗВК_Глобіне</t>
  </si>
  <si>
    <t>Надходження товарів і послуг ІБ00-007575 від 22.12.2025 15:45:25
Оприходованы ТМЦ (Зачет аванса поставщику)</t>
  </si>
  <si>
    <t>Обл. НДС
Кільце опорне КО-6
Надходження товарів і послуг ІБ00-007575 від 22.12.2025 15:45:25
ЗВК_Глобіне</t>
  </si>
  <si>
    <t>Обл. НДС
Кільце КС 10-9
Надходження товарів і послуг ІБ00-007575 від 22.12.2025 15:45:25
ЗВК_Глобіне</t>
  </si>
  <si>
    <t>Обл. НДС
Кільце КС 15-9
Надходження товарів і послуг ІБ00-007575 від 22.12.2025 15:45:25
ЗВК_Глобіне</t>
  </si>
  <si>
    <t>Обл. НДС
Кільце КС 20-6
Надходження товарів і послуг ІБ00-007575 від 22.12.2025 15:45:25
ЗВК_Глобіне</t>
  </si>
  <si>
    <t>Обл. НДС
Кільце КС 20-9
Надходження товарів і послуг ІБ00-007575 від 22.12.2025 15:45:25
ЗВК_Глобіне</t>
  </si>
  <si>
    <t>Обл. НДС
Днище ПН-10
Надходження товарів і послуг ІБ00-007575 від 22.12.2025 15:45:25
ЗВК_Глобіне</t>
  </si>
  <si>
    <t>Обл. НДС
Днище ПН-15
Надходження товарів і послуг ІБ00-007575 від 22.12.2025 15:45:25
ЗВК_Глобіне</t>
  </si>
  <si>
    <t>23.12.2025</t>
  </si>
  <si>
    <t>Надходження товарів і послуг ІБ00-007694 від 23.12.2025 11:00:00
Оприходованы ТМЦ</t>
  </si>
  <si>
    <t>Обл. НДС
Віконний блок із профілю "WDS 76 AD"
Надходження товарів і послуг ІБ00-007694 від 23.12.2025 11:00:00
Пожежений резервуар (Глобине)</t>
  </si>
  <si>
    <t>Екіпаж ПП
Дог№300525/3-П-Спец№1_від 29.05.2025_Глобино2
Рахунок на оплату постачальника ІБ00-005639 від 19.11.2025 17:44:03</t>
  </si>
  <si>
    <t>Надходження товарів і послуг ІБ00-007694 від 23.12.2025 11:00:00
Оприходованы ТМЦ (Зачет аванса поставщику)</t>
  </si>
  <si>
    <t>Надходження товарів і послуг ІБ00-007711 від 24.12.2025 11:00:00
Оприходованы ТМЦ (Зачет аванса поставщику)</t>
  </si>
  <si>
    <t>Обл. НДС
Кільце  КС 10-6
Надходження товарів і послуг ІБ00-007711 від 24.12.2025 11:00:00
ЗВК_Глобіне</t>
  </si>
  <si>
    <t>Обл. НДС
Кільце  КС 10-9
Надходження товарів і послуг ІБ00-007711 від 24.12.2025 11:00:00
ЗВК_Глобіне</t>
  </si>
  <si>
    <t>Обл. НДС
Кільце  КС 15-6
Надходження товарів і послуг ІБ00-007711 від 24.12.2025 11:00:00
ЗВК_Глобіне</t>
  </si>
  <si>
    <t>Обл. НДС
Кільце  КС 15-9
Надходження товарів і послуг ІБ00-007711 від 24.12.2025 11:00:00
ЗВК_Глобіне</t>
  </si>
  <si>
    <t>Обл. НДС
Кільце  КС 7-3
Надходження товарів і послуг ІБ00-007711 від 24.12.2025 11:00:00
ЗВК_Глобіне</t>
  </si>
  <si>
    <t>Обл. НДС
Днище ПН-10
Надходження товарів і послуг ІБ00-007711 від 24.12.2025 11:00:00
ЗВК_Глобіне</t>
  </si>
  <si>
    <t>Обл. НДС
Днище ПН-15
Надходження товарів і послуг ІБ00-007711 від 24.12.2025 11:00:00
ЗВК_Глобіне</t>
  </si>
  <si>
    <t>Обл. НДС
Кришка ПП 1-15-1
Надходження товарів і послуг ІБ00-007711 від 24.12.2025 11:00:00
ЗВК_Глобіне</t>
  </si>
  <si>
    <t>Надходження товарів і послуг ІБ00-007766 від 24.12.2025 11:00:00
Оприходованы ТМЦ</t>
  </si>
  <si>
    <t>Обл. НДС
Сендвіч-панель ТПК покрів 160мм МВ1000ммС0,5PS/C0.5PS 9,680м трапец 5005синій/9003біл
Надходження товарів і послуг ІБ00-007766 від 24.12.2025 11:00:00
Пункт фасування та зберігання в бігбегах (Глобине)</t>
  </si>
  <si>
    <t>Надходження товарів і послуг ІБ00-007895 від 24.12.2025 11:00:00
Оприходованы ТМЦ</t>
  </si>
  <si>
    <t>Обл. НДС
Бетон С20/25 W6 F75 P4 доб-10
Надходження товарів і послуг ІБ00-007895 від 24.12.2025 11:00:00
Глобине-2</t>
  </si>
  <si>
    <t>Кременчуцький річковий порт ПРАТ
Договір 112/Б від 15.10.2024_Глобине-2
Надходження товарів і послуг ІБ00-007895 від 24.12.2025 11:00:00</t>
  </si>
  <si>
    <t>Надходження товарів і послуг ІБ00-007978 від 24.12.2025 11:00:00
Оприходованы ТМЦ</t>
  </si>
  <si>
    <t>Обл. НДС
Пісок з відсіву дроблення щебеню фр. 0-5мм.
Надходження товарів і послуг ІБ00-007978 від 24.12.2025 11:00:00
Транспортна галерея (Глобине)</t>
  </si>
  <si>
    <t>Енергія Логістик ТОВ
№28/10-2024 ВІД 28/10/24_Глобине-2
Рахунок на оплату постачальника ІБ00-006491 від 24.12.2025 17:53:19</t>
  </si>
  <si>
    <t>Надходження товарів і послуг ІБ00-008056 від 24.12.2025 11:00:00
Оприходованы ТМЦ</t>
  </si>
  <si>
    <t>Обл. НДС
Геотекстиль п/е голкопр.неткан. 300гр/м.кв
Надходження товарів і послуг ІБ00-008056 від 24.12.2025 11:00:00
Генплан благоустрій (Глобине)</t>
  </si>
  <si>
    <t>ПРОТЕКС УКРАЇНА
Договір 9  від 11.12.2023_Глобине 2
Рахунок на оплату постачальника ІБ00-000200 від 01.01.2026 11:02:12</t>
  </si>
  <si>
    <t>Надходження дод. витрат ІБ00-000704 від 24.12.2025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</si>
  <si>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ІБ00-000704 від 24.12.2025 11:10:00</t>
  </si>
  <si>
    <t>Переміщення товарів ІБ00-001707 від 24.12.2025 11:20:00
Перемещение ТМЦ</t>
  </si>
  <si>
    <t>Обл. НДС
Бетон С20/25 W6 F75 P4 доб-10
Переміщення товарів ІБ00-001707 від 24.12.2025 11:20:00
Транспортна галерея (Глобине)</t>
  </si>
  <si>
    <t>Переміщення товарів ІБ00-001708 від 24.12.2025 11:20:00
Перемещение ТМЦ</t>
  </si>
  <si>
    <t>Обл. НДС
Бетон С20/25 W6 F75 P4 доб-10
Переміщення товарів ІБ00-001708 від 24.12.2025 11:20:00
Пункт фасування та зберігання в бігбегах (Глобине)</t>
  </si>
  <si>
    <t>Обл. НДС
Перехідник
Авансовий звіт ІБ00-000411 від 24.12.2025 12:23:14
Глобине-2</t>
  </si>
  <si>
    <t>Обл. НДС
Вироби санітарно-технічні
Авансовий звіт ІБ00-000411 від 24.12.2025 12:23:14
Глобине-2</t>
  </si>
  <si>
    <t>Обл. НДС
Ручний інструмент 
Авансовий звіт ІБ00-000411 від 24.12.2025 12:23:14
Глобине-2</t>
  </si>
  <si>
    <t>Обл. НДС
проводи, кабелі та електромонтажні пристрої 27.3
Авансовий звіт ІБ00-000411 від 24.12.2025 12:23:14
Глобине-2</t>
  </si>
  <si>
    <t>Обл. НДС
Саморізи
Авансовий звіт ІБ00-000411 від 24.12.2025 12:23:14
Глобине-2</t>
  </si>
  <si>
    <t>Обл. НДС
замки та завіси 25.72
Авансовий звіт ІБ00-000411 від 24.12.2025 12:23:14
Глобине-2</t>
  </si>
  <si>
    <t>Обл. НДС
Круг шліфувальний самоклеючий
Авансовий звіт ІБ00-000411 від 24.12.2025 12:23:14
Глобине-2</t>
  </si>
  <si>
    <t>Обл. НДС
Абразивна затирочна сітка
Авансовий звіт ІБ00-000411 від 24.12.2025 12:23:14
Глобине-2</t>
  </si>
  <si>
    <t>Обл. НДС
Комплектуючі до плитки
Авансовий звіт ІБ00-000411 від 24.12.2025 12:23:14
Глобине-2</t>
  </si>
  <si>
    <t>Обл. НДС
Шпатель 
Авансовий звіт ІБ00-000411 від 24.12.2025 12:23:14
Глобине-2</t>
  </si>
  <si>
    <t>Обл. НДС
Армована клейка стрічка
Авансовий звіт ІБ00-000411 від 24.12.2025 12:23:14
Глобине-2</t>
  </si>
  <si>
    <t>Обл. НДС
Сантехнічні  матеріали 
Авансовий звіт ІБ00-000411 від 24.12.2025 12:23:14
Глобине-2</t>
  </si>
  <si>
    <t>Обл. НДС
Кутник настінний ф20x1/2"
Авансовий звіт ІБ00-000411 від 24.12.2025 12:23:14
Глобине-2</t>
  </si>
  <si>
    <t>Обл. НДС
Редукція 110*50
Авансовий звіт ІБ00-000411 від 24.12.2025 12:23:14
Глобине-2</t>
  </si>
  <si>
    <t>Авансовий звіт ІБ00-000412 від 24.12.2025 12:35:23
Оприходованы ТМЦ</t>
  </si>
  <si>
    <t>Обл. НДС
Редукція ПЕ100 SDR11 110/50
Авансовий звіт ІБ00-000412 від 24.12.2025 12:35:23
Глобине-2</t>
  </si>
  <si>
    <t>Кравцов Володимир Леонідович</t>
  </si>
  <si>
    <t>Надходження товарів і послуг ІБ00-007979 від 25.12.2025 11:00:00
Оприходованы ТМЦ</t>
  </si>
  <si>
    <t>Обл. НДС
Пісок з відсіву дроблення щебеню фр. 0-5мм.
Надходження товарів і послуг ІБ00-007979 від 25.12.2025 11:00:00
Генплан благоустрій (Глобине)</t>
  </si>
  <si>
    <t>Енергія Логістик ТОВ
№28/10-2024 ВІД 28/10/24_Глобине-2
Рахунок на оплату постачальника ІБ00-006492 від 25.12.2025 18:03:04</t>
  </si>
  <si>
    <t>Списання товарів ІБ00-000730 від 26.12.2025 00:00:00
Списаны ТМЦ</t>
  </si>
  <si>
    <t>Переміщення товарів ІБ00-001678 від 26.12.2025 08:00:00
Перемещение ТМЦ</t>
  </si>
  <si>
    <t>Обл. НДС
Арматура №10  А500С L=12000 мм
Переміщення товарів ІБ00-001678 від 26.12.2025 08:00:00
Транспортна галерея Естакада 3.5 (Глобине)</t>
  </si>
  <si>
    <t>Обл. НДС
Арматура №10  А500С L=12000 мм
Переміщення товарів ІБ00-000861 від 29.08.2025 11:10:00
АПК (Глобине)</t>
  </si>
  <si>
    <t>Переміщення товарів ІБ00-001679 від 26.12.2025 08:00:00
Перемещение ТМЦ</t>
  </si>
  <si>
    <t>Обл. НДС
Арматура №12  А500С L=12000 мм
Переміщення товарів ІБ00-001679 від 26.12.2025 08:00:00
Транспортна галерея Естакада 3.5 (Глобине)</t>
  </si>
  <si>
    <t>Переміщення товарів ІБ00-001680 від 26.12.2025 08:00:00
Перемещение ТМЦ</t>
  </si>
  <si>
    <t>Обл. НДС
Арматура №14  А400С/500С,12м
Переміщення товарів ІБ00-001680 від 26.12.2025 08:00:00
Транспортна галерея Естакада 3.5 (Глобине)</t>
  </si>
  <si>
    <t>Обл. НДС
Арматура №14  А400С/500С,12м
Переміщення товарів ІБ00-001432 від 28.11.2025 11:20:00
Очисні споруди (Глобине)</t>
  </si>
  <si>
    <t>Переміщення товарів ІБ00-001681 від 26.12.2025 08:00:00
Перемещение ТМЦ</t>
  </si>
  <si>
    <t>Обл. НДС
Бетон С 8/10 Р4 доб-10
Переміщення товарів ІБ00-001681 від 26.12.2025 08:00:00
Транспортна галерея Естакада 3.5 (Глобине)</t>
  </si>
  <si>
    <t>Обл. НДС
Бетон С 8/10 Р4 доб-10
Надходження товарів і послуг ІБ00-000728 від 22.02.2025 20:00:06
Глобине-2</t>
  </si>
  <si>
    <t>Переміщення товарів ІБ00-001682 від 26.12.2025 08:00:00
Перемещение ТМЦ</t>
  </si>
  <si>
    <t>Обл. НДС
Гіпсокартон KNAUF 12,5 мм х 1,2 х 2,5 м
Переміщення товарів ІБ00-001682 від 26.12.2025 08:00:00
АПК (Глобине)</t>
  </si>
  <si>
    <t>Обл. НДС
Гіпсокартон KNAUF 12,5 мм х 1,2 х 2,5 м
Надходження товарів і послуг ІБ00-004199 від 29.07.2025 11:00:00
Котельна (Глобине)</t>
  </si>
  <si>
    <t>Переміщення товарів ІБ00-001690 від 26.12.2025 08:00:00
Перемещение ТМЦ</t>
  </si>
  <si>
    <t>Обл. НДС
Арматура № 8  А500С, L=12000 мм
Переміщення товарів ІБ00-001690 від 26.12.2025 08:00:00
Цех екстракції (Глобине)</t>
  </si>
  <si>
    <t>Обл. НДС
Арматура № 8  А500С, L=12000 мм
Переміщення товарів ІБ00-001158 від 01.10.2025 11:10:00
АПК (Глобине)</t>
  </si>
  <si>
    <t>Переміщення товарів ІБ00-001692 від 26.12.2025 08:00:00
Перемещение ТМЦ</t>
  </si>
  <si>
    <t>Обл. НДС
Лист г/к  6*1500*6000 мм 3 пс
Переміщення товарів ІБ00-001692 від 26.12.2025 08:00:00
Цех екстракції (Глобине)</t>
  </si>
  <si>
    <t>Обл. НДС
Лист г/к  6*1500*6000 мм 3 пс
Надходження товарів і послуг ІБ00-002356 від 20.05.2025 11:00:00
Генплан митний склад (Глобине)</t>
  </si>
  <si>
    <t>Переміщення товарів ІБ00-001693 від 26.12.2025 08:00:00
Перемещение ТМЦ</t>
  </si>
  <si>
    <t>Обл. НДС
Кутик 100*100*7мм 12,05-S235/S275
Переміщення товарів ІБ00-001693 від 26.12.2025 08:00:00
Цех екстракції (Глобине)</t>
  </si>
  <si>
    <t>Обл. НДС
Кутик 100*100*7мм 12,05-S235/S275
Переміщення товарів ІБ00-001432 від 28.11.2025 11:20:00
Очисні споруди (Глобине)</t>
  </si>
  <si>
    <t>Переміщення товарів ІБ00-001694 від 26.12.2025 08:00:00
Перемещение ТМЦ</t>
  </si>
  <si>
    <t>Обл. НДС
Плитка зовнішня SOLANO LIGHT GREY MATT 598*598*83
Переміщення товарів ІБ00-001694 від 26.12.2025 08:00:00
Котельна (Глобине)</t>
  </si>
  <si>
    <t>Обл. НДС
Затирка однокомпонентна антрацит 114/5кг Ultracolor Plus
Переміщення товарів ІБ00-001694 від 26.12.2025 08:00:00
Котельна (Глобине)</t>
  </si>
  <si>
    <t>Обл. НДС
Грунтовка глибокопроникаюча СТ17/10л
Переміщення товарів ІБ00-001694 від 26.12.2025 08:00:00
Котельна (Глобине)</t>
  </si>
  <si>
    <t>Надходження товарів і послуг ІБ00-007775 від 26.12.2025 11:00:00
Оприходованы ТМЦ</t>
  </si>
  <si>
    <t>Обл. НДС
Шпилька метрична М10 х 3000мм (NL)
Надходження товарів і послуг ІБ00-007775 від 26.12.2025 11:00:00
Цех екстракції (Глобине)</t>
  </si>
  <si>
    <t>ОВК-СИСТЕМИ ТОВ
Договору №030925 від 03.09.2025_Глобино-2
Рахунок на оплату постачальника ІБ00-005648 від 11.11.2025 22:53:50</t>
  </si>
  <si>
    <t>Обл. НДС
Болт М 8*25 шестигран.
Надходження товарів і послуг ІБ00-007775 від 26.12.2025 11:00:00
Цех екстракції (Глобине)</t>
  </si>
  <si>
    <t>Обл. НДС
Стрічка безпеки  д/стубцини 350мм
Надходження товарів і послуг ІБ00-007775 від 26.12.2025 11:00:00
Цех екстракції (Глобине)</t>
  </si>
  <si>
    <t>Обл. НДС
Хомут д/велик навант без гумов ізоляц 379-389мм М16
Надходження товарів і послуг ІБ00-007775 від 26.12.2025 11:00:00
Цех екстракції (Глобине)</t>
  </si>
  <si>
    <t>Обл. НДС
Зажим балочний ВС80 Махх
Надходження товарів і послуг ІБ00-007775 від 26.12.2025 11:00:00
Цех екстракції (Глобине)</t>
  </si>
  <si>
    <t>Обл. НДС
Хомут д/велик навант з гумов б/ізоляц  217-227мм М16
Надходження товарів і послуг ІБ00-007775 від 26.12.2025 11:00:00
Цех екстракції (Глобине)</t>
  </si>
  <si>
    <t>Надходження товарів і послуг ІБ00-007900 від 26.12.2025 11:00:00
Оприходованы ТМЦ</t>
  </si>
  <si>
    <t>Обл. НДС
Бетон С20/25 W6 F75 P4 доб-10
Надходження товарів і послуг ІБ00-007900 від 26.12.2025 11:00:00
Глобине-2</t>
  </si>
  <si>
    <t>Кременчуцький річковий порт ПРАТ
Договір 112/Б від 15.10.2024_Глобине-2
Надходження товарів і послуг ІБ00-007900 від 26.12.2025 11:00:00</t>
  </si>
  <si>
    <t>Надходження дод. витрат ІБ00-000708 від 26.12.2025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</si>
  <si>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ІБ00-000708 від 26.12.2025 11:10:00</t>
  </si>
  <si>
    <t>Переміщення товарів ІБ00-001709 від 26.12.2025 11:20:00
Перемещение ТМЦ</t>
  </si>
  <si>
    <t>Обл. НДС
Бетон С20/25 W6 F75 P4 доб-10
Переміщення товарів ІБ00-001709 від 26.12.2025 11:20:00
СПК (Глобине)</t>
  </si>
  <si>
    <t>Переміщення товарів ІБ00-001710 від 26.12.2025 11:20:00
Перемещение ТМЦ</t>
  </si>
  <si>
    <t>Обл. НДС
Бетон С20/25 W6 F75 P4 доб-10
Переміщення товарів ІБ00-001710 від 26.12.2025 11:20:00
Транспортна галерея Естакада 3.4 (Глобине)</t>
  </si>
  <si>
    <t>Переміщення товарів ІБ00-001711 від 26.12.2025 11:20:00
Перемещение ТМЦ</t>
  </si>
  <si>
    <t>Обл. НДС
Бетон С20/25 W6 F75 P4 доб-10
Переміщення товарів ІБ00-001711 від 26.12.2025 11:20:00
Цех екстракції (Глобине)</t>
  </si>
  <si>
    <t>Вимога-накладна ІБ00-001184 від 26.12.2025 13:00:02
Списаны ТМЦ</t>
  </si>
  <si>
    <t>Обл. НДС
Розчинник "White Spirit" (л)
Переміщення товарів ІБ00-001011 від 26.09.2025 11:10:00
Пожежений резервуар (Глобине)</t>
  </si>
  <si>
    <t>Обл. НДС
Грунт-емаль ПФ-012 Р RAL7024
Переміщення товарів ІБ00-001011 від 26.09.2025 11:10:00
Пожежений резервуар (Глобине)</t>
  </si>
  <si>
    <t>Обл. НДС
Грунт-емаль ПФ-012 Р RAL7024
Переміщення товарів ІБ00-001121 від 08.10.2025 11:10:00
Пожежений резервуар (Глобине)</t>
  </si>
  <si>
    <t>Вимога-накладна ІБ00-001185 від 26.12.2025 13:00:05
Списаны ТМЦ</t>
  </si>
  <si>
    <t>Обл. НДС
Гайка М20 DIN 934 ЦБ
Надходження товарів і послуг ІБ00-005310 від 18.09.2025 11:00:00
Транспортна галерея Естакада 3.5 (Глобине)</t>
  </si>
  <si>
    <t>Списання товарів ІБ00-000729 від 26.12.2025 13:00:06
Списаны ТМЦ</t>
  </si>
  <si>
    <t>Обл. НДС
Фанера 21*2500*1250 мм
Надходження товарів і послуг ІБ00-006702 від 12.11.2025 11:00:00
Глобине-2</t>
  </si>
  <si>
    <t>Вимога-накладна ІБ00-001186 від 26.12.2025 13:00:21
Списаны ТМЦ</t>
  </si>
  <si>
    <t>Обл. НДС
Саморіз  3,5*9,5 з буром
Надходження товарів і послуг ІБ00-005315 від 18.09.2025 11:00:00
АПК (Глобине)</t>
  </si>
  <si>
    <t>Обл. НДС
Стрічка ППЕ НХ 5мм*30мм*20м
Надходження товарів і послуг ІБ00-005315 від 18.09.2025 11:00:00
АПК (Глобине)</t>
  </si>
  <si>
    <t>Обл. НДС
Дюбель "грибок" 6*60 
Надходження товарів і послуг ІБ00-005315 від 18.09.2025 11:00:00
АПК (Глобине)</t>
  </si>
  <si>
    <t>Обл. НДС
Профіль UW-100*50 4м товщ 0,55мм 2,88кг
Надходження товарів і послуг ІБ00-005336 від 18.09.2025 11:00:00
АПК (Глобине)</t>
  </si>
  <si>
    <t>Обл. НДС
Профіль CW-100/50/4м 0.55мм
Надходження товарів і послуг ІБ00-007090 від 28.11.2025 11:00:00
АПК (Глобине)</t>
  </si>
  <si>
    <t>Списання товарів ІБ00-000731 від 26.12.2025 15:00:00
Списаны ТМЦ</t>
  </si>
  <si>
    <t>Вимога-накладна ІБ00-001188 від 26.12.2025 15:00:02
Списаны ТМЦ</t>
  </si>
  <si>
    <t>Обл. НДС
Арматура 12 міра (12-3760  А500С/А400С)
Надходження товарів і послуг ІБ00-005811 від 07.10.2025 11:00:00
Пункт фасування та зберігання в бігбегах (Глобине)</t>
  </si>
  <si>
    <t>Вимога-накладна ІБ00-001189 від 26.12.2025 15:00:03
Списаны ТМЦ</t>
  </si>
  <si>
    <t>Обл. НДС
Блок  газобетон.200*300*600 D500 
Надходження товарів і послуг ІБ00-006199 від 01.10.2025 11:00:00
Цех екстракції (Глобине)</t>
  </si>
  <si>
    <t>Обл. НДС
Блок  газобетон.200*300*600 D500 
Переміщення товарів ІБ00-001155 від 01.10.2025 11:10:00
Цех екстракції (Глобине)</t>
  </si>
  <si>
    <t>Обл. НДС
Клей для газобетону ХСМ МР2 (25 кг)
Надходження товарів і послуг ІБ00-006199 від 01.10.2025 11:00:00
Цех екстракції (Глобине)</t>
  </si>
  <si>
    <t>Обл. НДС
Кутник 100*100 7мм 12м
Переміщення товарів ІБ00-000864 від 29.08.2025 11:10:00
Цех екстракції (Глобине)</t>
  </si>
  <si>
    <t>Переміщення товарів ІБ00-001691 від 26.12.2025 15:00:04
Перемещение ТМЦ</t>
  </si>
  <si>
    <t>Обл. НДС
Кутик 100*100*7мм 12,05-S235/S275
Переміщення товарів ІБ00-001691 від 26.12.2025 15:00:04
Цех екстракції (Глобине)</t>
  </si>
  <si>
    <t>Списання товарів ІБ00-000732 від 26.12.2025 16:00:00
Списаны ТМЦ</t>
  </si>
  <si>
    <t>Списання товарів ІБ00-000733 від 26.12.2025 16:00:00
Списаны ТМЦ</t>
  </si>
  <si>
    <t>Обл. НДС
Шуруп  3,5*9,5 самосв
Надходження товарів і послуг ІБ00-004199 від 29.07.2025 11:00:00
Котельна (Глобине)</t>
  </si>
  <si>
    <t>Обл. НДС
Шуруп 3,5*25 для г/к по металу
Надходження товарів і послуг ІБ00-004199 від 29.07.2025 11:00:00
Котельна (Глобине)</t>
  </si>
  <si>
    <t>Вимога-накладна ІБ00-001190 від 26.12.2025 16:00:01
Списаны ТМЦ</t>
  </si>
  <si>
    <t>Обл. НДС
Грунтівка 10кг
Надходження товарів і послуг ІБ00-004200 від 15.07.2025 11:00:00
Котельна (Глобине)</t>
  </si>
  <si>
    <t>Списання товарів ІБ00-000734 від 26.12.2025 16:00:02
Списаны ТМЦ</t>
  </si>
  <si>
    <t>Надходження товарів і послуг ІБ00-007810 від 29.12.2025 11:00:00
Оприходованы ТМЦ</t>
  </si>
  <si>
    <t>Обл. НДС
Сендвіч-панель ТПК покрівельна 100мм МВ 1000мм С0,5 PS/C0,5 PS 8,830м покрів5005/трап9003
Надходження товарів і послуг ІБ00-007810 від 29.12.2025 11:00:00
Пожежений резервуар (Глобине)</t>
  </si>
  <si>
    <t>ТПК-ЦЕНТР ТОВ
Договір 13/20/П/011від 21.07.2020_Глобино-2
Рахунок на оплату постачальника ІБ00-004581 від 18.09.2025 20:53:04</t>
  </si>
  <si>
    <t>Надходження товарів і послуг ІБ00-007810 від 29.12.2025 11:00:00
Оприходованы ТМЦ (Зачет аванса поставщику)</t>
  </si>
  <si>
    <t>Обл. НДС
Стрічка ущільнювальна ППЕ НХ 5х50х20 м
Надходження товарів і послуг ІБ00-007810 від 29.12.2025 11:00:00
Пожежений резервуар (Глобине)</t>
  </si>
  <si>
    <t>Обл. НДС
Ущільнювальна стрічка ТПК-УП-4 ППЕ (3х15мм 30м)
Надходження товарів і послуг ІБ00-007810 від 29.12.2025 11:00:00
Пожежений резервуар (Глобине)</t>
  </si>
  <si>
    <t>Обл. НДС
Клей-герметик д/сендвіч- панелей Soudaflex 40 FC (12 шт/уп) (600мл(шт.) білий)
Надходження товарів і послуг ІБ00-007810 від 29.12.2025 11:00:00
Пожежений резервуар (Глобине)</t>
  </si>
  <si>
    <t>Обл. НДС
Ущільнювач КН для с/п 1 м ППЕ НХ
Надходження товарів і послуг ІБ00-007810 від 29.12.2025 11:00:00
Пожежений резервуар (Глобине)</t>
  </si>
  <si>
    <t>Обл. НДС
Самонаріз в метал до сендвіч-панелей 5,5*6,3/200 5005 синій
Надходження товарів і послуг ІБ00-007810 від 29.12.2025 11:00:00
Пожежений резервуар (Глобине)</t>
  </si>
  <si>
    <t>Обл. НДС
Саморіз  4,8*19 для скріплення листів 250шт 5005 синій
Надходження товарів і послуг ІБ00-007810 від 29.12.2025 11:00:00
Пожежений резервуар (Глобине)</t>
  </si>
  <si>
    <t>Надходження товарів і послуг ІБ00-007973 від 29.12.2025 11:00:00
Оприходованы ТМЦ</t>
  </si>
  <si>
    <t>Обл. НДС
Спецпланка (620)
Надходження товарів і послуг ІБ00-007973 від 29.12.2025 11:00:00
АПК (Глобине)</t>
  </si>
  <si>
    <t>Обл. НДС
Спецпланка (365) 5005
Надходження товарів і послуг ІБ00-007973 від 29.12.2025 11:00:00
АПК (Глобине)</t>
  </si>
  <si>
    <t>Обл. НДС
Спецпланка (160)
Надходження товарів і послуг ІБ00-007973 від 29.12.2025 11:00:00
АПК (Глобине)</t>
  </si>
  <si>
    <t>Переміщення товарів ІБ00-001715 від 30.12.2025 08:00:00
Перемещение ТМЦ</t>
  </si>
  <si>
    <t>Обл. НДС
Грунт-емаль ПФ-012 Р RAL7024
Переміщення товарів ІБ00-001715 від 30.12.2025 08:00:00
Транспортна галерея Естакада 3.5 (Глобине)</t>
  </si>
  <si>
    <t>Обл. НДС
Розчинник на основі Уфйт-спірит 4,5 л/3,16 кг
Переміщення товарів ІБ00-001715 від 30.12.2025 08:00:00
Транспортна галерея Естакада 3.5 (Глобине)</t>
  </si>
  <si>
    <t>Обл. НДС
Розчинник на основі Уфйт-спірит 4,5 л/3,16 кг
Переміщення товарів ІБ00-001086 від 09.10.2025 13:00:00
Резервуарний парк соєвої меляси (Глобине)</t>
  </si>
  <si>
    <t>Переміщення товарів ІБ00-001716 від 30.12.2025 08:00:00
Перемещение ТМЦ</t>
  </si>
  <si>
    <t>Обл. НДС
Болт М12*40 DIN 933 8,8 цб пр
Переміщення товарів ІБ00-001716 від 30.12.2025 08:00:00
Пожежений резервуар (Глобине)</t>
  </si>
  <si>
    <t>Обл. НДС
Болт М12*40 DIN 933 8,8 цб пр
Надходження товарів і послуг ІБ00-004429 від 07.08.2025 11:00:00
Насосна Градирня (Глобине)</t>
  </si>
  <si>
    <t>Обл. НДС
Болт М16*55  DIN 933 8,8 цб пр
Переміщення товарів ІБ00-001716 від 30.12.2025 08:00:00
Пожежений резервуар (Глобине)</t>
  </si>
  <si>
    <t>Обл. НДС
Болт М16*55  DIN 933 8,8 цб пр
Надходження товарів і послуг ІБ00-004429 від 07.08.2025 11:00:00
Насосна Градирня (Глобине)</t>
  </si>
  <si>
    <t>Обл. НДС
Болт М16*60  DIN 933 оц. 5,8
Переміщення товарів ІБ00-001716 від 30.12.2025 08:00:00
Пожежений резервуар (Глобине)</t>
  </si>
  <si>
    <t>Обл. НДС
Болт М16*60  DIN 933 оц. 5,8
Надходження товарів і послуг ІБ00-004429 від 07.08.2025 11:00:00
Насосна Градирня (Глобине)</t>
  </si>
  <si>
    <t>Обл. НДС
Болт М16*80  DIN 933
Переміщення товарів ІБ00-001716 від 30.12.2025 08:00:00
Пожежений резервуар (Глобине)</t>
  </si>
  <si>
    <t>Обл. НДС
Болт М16*80  DIN 933
Надходження товарів і послуг ІБ00-004429 від 07.08.2025 11:00:00
Насосна Градирня (Глобине)</t>
  </si>
  <si>
    <t>Обл. НДС
Болт М20*65  DIN 933 
Переміщення товарів ІБ00-001716 від 30.12.2025 08:00:00
Пожежений резервуар (Глобине)</t>
  </si>
  <si>
    <t>Обл. НДС
Болт М20*65  DIN 933 
Надходження товарів і послуг ІБ00-004429 від 07.08.2025 11:00:00
Насосна Градирня (Глобине)</t>
  </si>
  <si>
    <t>Обл. НДС
Болт М20*70  DIN 933
Переміщення товарів ІБ00-001716 від 30.12.2025 08:00:00
Пожежений резервуар (Глобине)</t>
  </si>
  <si>
    <t>Обл. НДС
Болт М20*70  DIN 933
Надходження товарів і послуг ІБ00-004429 від 07.08.2025 11:00:00
Насосна Градирня (Глобине)</t>
  </si>
  <si>
    <t>Обл. НДС
Гайка DIN934 M12 8 цинк
Переміщення товарів ІБ00-001716 від 30.12.2025 08:00:00
Пожежений резервуар (Глобине)</t>
  </si>
  <si>
    <t>Обл. НДС
Гайка DIN934 M12 8 цинк
Надходження товарів і послуг ІБ00-004429 від 07.08.2025 11:00:00
Насосна Градирня (Глобине)</t>
  </si>
  <si>
    <t>Обл. НДС
Гайка DIN934 M16 8 цинк
Переміщення товарів ІБ00-001716 від 30.12.2025 08:00:00
Пожежений резервуар (Глобине)</t>
  </si>
  <si>
    <t>Обл. НДС
Гайка DIN934 M16 8 цинк
Надходження товарів і послуг ІБ00-004429 від 07.08.2025 11:00:00
Насосна Градирня (Глобине)</t>
  </si>
  <si>
    <t>Обл. НДС
Гайка DIN934 M20 8 цинк
Переміщення товарів ІБ00-001716 від 30.12.2025 08:00:00
Пожежений резервуар (Глобине)</t>
  </si>
  <si>
    <t>Обл. НДС
Гайка DIN934 M20 8 цинк
Надходження товарів і послуг ІБ00-004429 від 07.08.2025 11:00:00
Насосна Градирня (Глобине)</t>
  </si>
  <si>
    <t>Обл. НДС
Шайба плоська DIN 125 М12 140 HV ЦБ
Переміщення товарів ІБ00-001716 від 30.12.2025 08:00:00
Пожежений резервуар (Глобине)</t>
  </si>
  <si>
    <t>Обл. НДС
Шайба плоська DIN 125 М12 140 HV ЦБ
Надходження товарів і послуг ІБ00-004429 від 07.08.2025 11:00:00
Насосна Градирня (Глобине)</t>
  </si>
  <si>
    <t>Обл. НДС
Шайба плоська DIN 125 М16 140 HV ЦБ
Переміщення товарів ІБ00-001716 від 30.12.2025 08:00:00
Пожежений резервуар (Глобине)</t>
  </si>
  <si>
    <t>Обл. НДС
Шайба плоська DIN 125 М16 140 HV ЦБ
Надходження товарів і послуг ІБ00-004429 від 07.08.2025 11:00:00
Насосна Градирня (Глобине)</t>
  </si>
  <si>
    <t>Обл. НДС
Шайба плоська DIN 125 М20 140 HV ЦБ
Переміщення товарів ІБ00-001716 від 30.12.2025 08:00:00
Пожежений резервуар (Глобине)</t>
  </si>
  <si>
    <t>Обл. НДС
Шайба плоська DIN 125 М20 140 HV ЦБ
Надходження товарів і послуг ІБ00-004429 від 07.08.2025 11:00:00
Насосна Градирня (Глобине)</t>
  </si>
  <si>
    <t>Переміщення товарів ІБ00-001717 від 30.12.2025 08:00:00
Перемещение ТМЦ</t>
  </si>
  <si>
    <t>Обл. НДС
Емульсія бітумна Р-10 EN каністра 20л
Переміщення товарів ІБ00-001717 від 30.12.2025 08:00:00
Транспортна галерея Естакада 3.5 (Глобине)</t>
  </si>
  <si>
    <t>Переміщення товарів ІБ00-001718 від 30.12.2025 08:00:00
Перемещение ТМЦ</t>
  </si>
  <si>
    <t>Обл. НДС
Емульсія бітумна Р-10 EN каністра 20л
Переміщення товарів ІБ00-001718 від 30.12.2025 08:00:00
АПК (Глобине)</t>
  </si>
  <si>
    <t>Переміщення товарів ІБ00-001720 від 30.12.2025 08:00:00
Перемещение ТМЦ</t>
  </si>
  <si>
    <t>Обл. НДС
Блок  газобетон.200*300*600 D500 
Переміщення товарів ІБ00-001720 від 30.12.2025 08:00:00
Пункт фасування та зберігання в бігбегах (Глобине)</t>
  </si>
  <si>
    <t>Обл. НДС
Клей для газобетону ХСМ МР2 (25 кг)
Переміщення товарів ІБ00-001720 від 30.12.2025 08:00:00
Пункт фасування та зберігання в бігбегах (Глобине)</t>
  </si>
  <si>
    <t>Переміщення товарів ІБ00-001721 від 30.12.2025 08:00:00
Перемещение ТМЦ</t>
  </si>
  <si>
    <t>Обл. НДС
Газоблок ХСМ 375*200*600 D500
Переміщення товарів ІБ00-001721 від 30.12.2025 08:00:00
Пункт фасування та зберігання в бігбегах (Глобине)</t>
  </si>
  <si>
    <t>Переміщення товарів ІБ00-001722 від 30.12.2025 08:00:00
Перемещение ТМЦ</t>
  </si>
  <si>
    <t>Обл. НДС
Розчинник "White Spirit" (л)
Переміщення товарів ІБ00-001722 від 30.12.2025 08:00:00
Пункт фасування та зберігання в бігбегах (Глобине)</t>
  </si>
  <si>
    <t>Обл. НДС
Грунт-емаль ПФ-012 Р RAL7024
Переміщення товарів ІБ00-001722 від 30.12.2025 08:00:00
Пункт фасування та зберігання в бігбегах (Глобине)</t>
  </si>
  <si>
    <t>Переміщення товарів ІБ00-001723 від 30.12.2025 08:00:00
Перемещение ТМЦ</t>
  </si>
  <si>
    <t>Обл. НДС
Розчинник "White Spirit" (л)
Переміщення товарів ІБ00-001723 від 30.12.2025 08:00:00
Пункт фасування та зберігання в бігбегах (Глобине)</t>
  </si>
  <si>
    <t>Переміщення товарів ІБ00-001724 від 30.12.2025 08:00:00
Перемещение ТМЦ</t>
  </si>
  <si>
    <t>Обл. НДС
Розчинник на основі Уфйт-спірит 4,5 л/3,16 кг
Переміщення товарів ІБ00-001724 від 30.12.2025 08:00:00
Пункт фасування та зберігання в бігбегах (Глобине)</t>
  </si>
  <si>
    <t>Обл. НДС
Грунт-емаль ПФ-012 Р RAL7024
Переміщення товарів ІБ00-001724 від 30.12.2025 08:00:00
Пункт фасування та зберігання в бігбегах (Глобине)</t>
  </si>
  <si>
    <t>Переміщення товарів ІБ00-001725 від 30.12.2025 08:00:00
Перемещение ТМЦ</t>
  </si>
  <si>
    <t>Обл. НДС
Круг 10 (6,05- 3760 3пс/А240с)
Переміщення товарів ІБ00-001725 від 30.12.2025 08:00:00
Цех екстракції (Глобине)</t>
  </si>
  <si>
    <t>Обл. НДС
Круг 10 (6,05- 3760 3пс/А240с)
Надходження товарів і послуг ІБ00-001657 від 01.04.2025 11:00:00
Транспортна галерея (Глобине)</t>
  </si>
  <si>
    <t>Переміщення товарів ІБ00-001726 від 30.12.2025 08:00:00
Перемещение ТМЦ</t>
  </si>
  <si>
    <t>Обл. НДС
Арматура №12  А500С L=12000 мм
Переміщення товарів ІБ00-001726 від 30.12.2025 08:00:00
Цех екстракції (Глобине)</t>
  </si>
  <si>
    <t>Обл. НДС
Арматура №12  А500С L=12000 мм
Переміщення товарів ІБ00-001160 від 01.10.2025 11:10:00
СПК (Глобине)</t>
  </si>
  <si>
    <t>Переміщення товарів ІБ00-001727 від 30.12.2025 08:00:00
Перемещение ТМЦ</t>
  </si>
  <si>
    <t>Обл. НДС
Круг 10 (6,05- 3760 3пс/А240с)
Переміщення товарів ІБ00-001727 від 30.12.2025 08:00:00
Транспортна галерея (Глобине)</t>
  </si>
  <si>
    <t>Обл. НДС
Анкерний блок БФБ-2
Переміщення товарів ІБ00-001727 від 30.12.2025 08:00:00
Транспортна галерея (Глобине)</t>
  </si>
  <si>
    <t>Обл. НДС
Анкерний блок БФБ-2
Надходження товарів і послуг ІБ00-001163 від 20.03.2025 23:15:39
Транспортна галерея (Глобине)</t>
  </si>
  <si>
    <t>Переміщення товарів ІБ00-001728 від 30.12.2025 08:00:00
Перемещение ТМЦ</t>
  </si>
  <si>
    <t>Обл. НДС
Арматура 12 міра (12-3760  А500С/А400С)
Переміщення товарів ІБ00-001728 від 30.12.2025 08:00:00
Транспортна галерея (Глобине)</t>
  </si>
  <si>
    <t>Обл. НДС
Бетон С20/25 W6 F75 P4
Переміщення товарів ІБ00-001728 від 30.12.2025 08:00:00
Транспортна галерея (Глобине)</t>
  </si>
  <si>
    <t>Переміщення товарів ІБ00-001729 від 30.12.2025 08:00:00
Перемещение ТМЦ</t>
  </si>
  <si>
    <t>Обл. НДС
Арматура №14  А400С/500С,12м
Переміщення товарів ІБ00-001729 від 30.12.2025 08:00:00
Транспортна галерея (Глобине)</t>
  </si>
  <si>
    <t>Переміщення товарів ІБ00-001730 від 30.12.2025 08:00:00
Перемещение ТМЦ</t>
  </si>
  <si>
    <t>Обл. НДС
Бетон С 8/10 Р4 доб-15
Переміщення товарів ІБ00-001730 від 30.12.2025 08:00:00
Транспортна галерея (Глобине)</t>
  </si>
  <si>
    <t>Обл. НДС
Бетон С 8/10 Р4 доб-15
Надходження товарів і послуг ІБ00-000541 від 13.02.2025 18:05:07
СПК (Глобине)</t>
  </si>
  <si>
    <t>Переміщення товарів ІБ00-001731 від 30.12.2025 08:00:00
Перемещение ТМЦ</t>
  </si>
  <si>
    <t>Обл. НДС
Бетон С20/25 W6 F75 P4
Переміщення товарів ІБ00-001731 від 30.12.2025 08:00:00
СПК (Глобине)</t>
  </si>
  <si>
    <t>Переміщення товарів ІБ00-001732 від 30.12.2025 08:00:00
Перемещение ТМЦ</t>
  </si>
  <si>
    <t>Обл. НДС
Арматура №10  А500С L=12000 мм
Переміщення товарів ІБ00-001732 від 30.12.2025 08:00:00
СПК (Глобине)</t>
  </si>
  <si>
    <t>Списання товарів ІБ00-000743 від 30.12.2025 10:00:00
Списаны ТМЦ</t>
  </si>
  <si>
    <t>Вимога-накладна ІБ00-001227 від 30.12.2025 10:00:00
Списаны ТМЦ</t>
  </si>
  <si>
    <t>Вимога-накладна ІБ00-001228 від 30.12.2025 10:00:00
Списаны ТМЦ</t>
  </si>
  <si>
    <t>Вимога-накладна ІБ00-001229 від 30.12.2025 10:00:00
Списаны ТМЦ</t>
  </si>
  <si>
    <t>Вимога-накладна ІБ00-001230 від 30.12.2025 10:00:00
Списаны ТМЦ</t>
  </si>
  <si>
    <t>Вимога-накладна ІБ00-001231 від 30.12.2025 10:00:00
Списаны ТМЦ</t>
  </si>
  <si>
    <t>Обл. НДС
Євроруберойд  ХПП - 2,0 ,15 м
Надходження товарів і послуг ІБ00-006066 від 01.10.2025 11:00:00
АПК (Глобине)</t>
  </si>
  <si>
    <t>Вимога-накладна ІБ00-001233 від 30.12.2025 10:00:00
Списаны ТМЦ</t>
  </si>
  <si>
    <t>Обл. НДС
Арматура  8 мiра (12- 3760 А500С/А400С)
Переміщення товарів ІБ00-001433 від 28.11.2025 11:20:00
Пункт фасування та зберігання в бігбегах (Глобине)</t>
  </si>
  <si>
    <t>Вимога-накладна ІБ00-001234 від 30.12.2025 10:00:00
Списаны ТМЦ</t>
  </si>
  <si>
    <t>Вимога-накладна ІБ00-001235 від 30.12.2025 10:00:00
Списаны ТМЦ</t>
  </si>
  <si>
    <t>Обл. НДС
Бетон С 20/25  F75 W6 Р4
Переміщення товарів ІБ00-001078 від 15.10.2025 13:37:00
Цех екстракції (Глобине)</t>
  </si>
  <si>
    <t>Обл. НДС
Бетон С 20/25  F75 W6 Р4
Переміщення товарів ІБ00-001448 від 17.11.2025 11:20:00
Цех екстракції (Глобине)</t>
  </si>
  <si>
    <t>Обл. НДС
Самонаріз в метал до сендвіч-панелей 5,5х6,3/150 (9006 сріблястий (100шт))
Надходження товарів і послуг ІБ00-006364 від 28.10.2025 11:00:00
Цех екстракції (Глобине)</t>
  </si>
  <si>
    <t>Обл. НДС
Самонаріз в метал до сендвіч-панелей 5,5х6,3/150 (5005 синій (100шт))
Надходження товарів і послуг ІБ00-006364 від 28.10.2025 11:00:00
Цех екстракції (Глобине)</t>
  </si>
  <si>
    <t>Вимога-накладна ІБ00-001236 від 30.12.2025 10:00:00
Списаны ТМЦ</t>
  </si>
  <si>
    <t>Обл. НДС
Анкерний блок БФБ-1
Надходження товарів і послуг ІБ00-005505 від 01.09.2025 11:00:00
Транспортна галерея (Глобине)</t>
  </si>
  <si>
    <t>Вимога-накладна ІБ00-001237 від 30.12.2025 10:00:00
Списаны ТМЦ</t>
  </si>
  <si>
    <t>Обл. НДС
Решітка вентиляційна RAL9022
Надходження товарів і послуг ІБ00-006670 від 04.11.2025 11:00:00
Котельна (Глобине)</t>
  </si>
  <si>
    <t>Обл. НДС
Модульна конструкція світлопрозора енергоефект легкоскідна
Надходження товарів і послуг ІБ00-004999 від 01.09.2025 11:00:00
Котельна (Глобине)</t>
  </si>
  <si>
    <t>Вимога-накладна ІБ00-001238 від 30.12.2025 10:00:00
Списаны ТМЦ</t>
  </si>
  <si>
    <t>Обл. НДС
Швелер № 16П міра 12,00 м
Надходження товарів і послуг ІБ00-006218 від 01.10.2025 11:00:00
СПК (Глобине)</t>
  </si>
  <si>
    <t>Обл. НДС
Арматура №18  А-400С/500С 12 м
Надходження товарів і послуг ІБ00-005812 від 07.10.2025 11:00:00
СПК (Глобине)</t>
  </si>
  <si>
    <t>Обл. НДС
Бетон С20/25 W6 F75 P5 (щеб 5*10)
Надходження товарів і послуг ІБ00-007179 від 18.11.2025 11:00:00
СПК (Глобине)</t>
  </si>
  <si>
    <t>Обл. НДС
Кутик 50*50*5мм ст. S275 JR 6м
Переміщення товарів ІБ00-001160 від 01.10.2025 11:10:00
СПК (Глобине)</t>
  </si>
  <si>
    <t>Надходження товарів і послуг ІБ00-007896 від 30.12.2025 11:00:00
Оприходованы ТМЦ</t>
  </si>
  <si>
    <t>Обл. НДС
Бетон С20/25 W6 F75 P4 доб-10
Надходження товарів і послуг ІБ00-007896 від 30.12.2025 11:00:00
Транспортна галерея (Глобине)</t>
  </si>
  <si>
    <t>Кременчуцький річковий порт ПРАТ
Договір 112/Б від 15.10.2024_Глобине-2
Надходження товарів і послуг ІБ00-007896 від 30.12.2025 11:00:00</t>
  </si>
  <si>
    <t>Надходження дод. витрат ІБ00-000705 від 30.12.2025 11:10:00
Доп. расходы при поступлении товаров</t>
  </si>
  <si>
    <t>Кременчуцький річковий порт ПРАТ
Договір 112/Б від 15.10.2024_Глобине-2
Надходження дод. витрат ІБ00-000705 від 30.12.2025 11:10:00</t>
  </si>
  <si>
    <t>Списання товарів ІБ00-000745 від 30.12.2025 22:00:00
Списаны ТМЦ</t>
  </si>
  <si>
    <t>Обл. НДС
Кисень газ технічний  (40л/6,4 м3)
Надходження товарів і послуг ІБ00-007102 від 17.11.2025 11:00:00
Глобине-2</t>
  </si>
  <si>
    <t>Списання товарів ІБ00-000744 від 30.12.2025 22:00:38
Списаны ТМЦ</t>
  </si>
  <si>
    <t>Списання товарів ІБ00-000747 від 30.12.2025 23:00:09
Списаны ТМЦ</t>
  </si>
  <si>
    <t>Надходження товарів і послуг ІБ00-007229 від 01.12.2025 11:00:00
Оприходованы ТМЦ (Зачет аванса поставщику)</t>
  </si>
  <si>
    <t>Обл. НДС
Фарба вапняна А 10л
Надходження товарів і послуг ІБ00-007229 від 01.12.2025 11:00:00
Астарта_Тищенки</t>
  </si>
  <si>
    <t>Альба ТОВ
Рахунки_Астарта. Тищенки
Рахунок на оплату постачальника ІБ00-005776 від 21.11.2025 20:00:03</t>
  </si>
  <si>
    <t>Надходження товарів і послуг ІБ00-007330 від 01.12.2025 11:00:00
Оприходованы ТМЦ (Зачет аванса поставщику)</t>
  </si>
  <si>
    <t>Обл. НДС
Плита пустотна ПБ 63-12-8т
Надходження товарів і послуг ІБ00-007330 від 01.12.2025 11:00:00
Астарта_Тищенки</t>
  </si>
  <si>
    <t>Завод Залізобетонних Виробів №1 ПП
Дог №15/10-25-1 від 15.10.2025_Астарта. Тищенки
Рахунок на оплату постачальника ІБ00-004972 від 14.10.2025 18:16:54</t>
  </si>
  <si>
    <t>Обл. НДС
Плита пустотна ПБ 60-12-8т
Надходження товарів і послуг ІБ00-007330 від 01.12.2025 11:00:00
Астарта_Тищенки</t>
  </si>
  <si>
    <t>Надходження товарів і послуг ІБ00-007610 від 01.12.2025 11:00:00
Оприходованы ТМЦ (Зачет аванса поставщику)</t>
  </si>
  <si>
    <t>Обл. НДС
Цемент ПЦ ІІ/А-3 500 , 25 кг
Надходження товарів і послуг ІБ00-007610 від 01.12.2025 11:00:00
Астарта_Тищенки</t>
  </si>
  <si>
    <t>СТАНДАРТ-БУД ТОВ
РАХУНКИ_Астарта. Тищенки
Рахунок на оплату постачальника ІБ00-005768 від 25.11.2025 18:22:49</t>
  </si>
  <si>
    <t>Надходження товарів і послуг ІБ00-007610 від 01.12.2025 11:00:00
Оприходованы ТМЦ</t>
  </si>
  <si>
    <t>Обл. НДС
Євроруберойд  БМГ - 3,0 ,15 м.кв
Надходження товарів і послуг ІБ00-007610 від 01.12.2025 11:00:00
Астарта_Тищенки</t>
  </si>
  <si>
    <t>Надходження товарів і послуг ІБ00-007668 від 01.12.2025 11:00:00
Оприходованы ТМЦ</t>
  </si>
  <si>
    <t>Обл. НДС
Плівка п/е рукав 1500*150
Надходження товарів і послуг ІБ00-007668 від 01.12.2025 11:00:00
Астарта_Тищенки</t>
  </si>
  <si>
    <t>ПРОТЕКС УКРАЇНА
Договір 9  від 11.12.2023_Астарта. Тищенки
Рахунок на оплату постачальника ІБ00-005911 від 27.11.2025 18:51:38</t>
  </si>
  <si>
    <t>Надходження дод. витрат ІБ00-000682 від 01.12.2025 11:10:00
Доп. расходы при поступлении товаров (Зачет аванса поставщику)</t>
  </si>
  <si>
    <t>Надходження товарів і послуг ІБ00-007223 від 02.12.2025 11:00:00
Оприходованы ТМЦ</t>
  </si>
  <si>
    <t>Обл. НДС
Бетон С 12/15 F100 W4 S3
Надходження товарів і послуг ІБ00-007223 від 02.12.2025 11:00:00
Астарта_Тищенки</t>
  </si>
  <si>
    <t>ДОБРОБУД-БЕТОН ТОВ
Рахунки_Астарта_Тищенки
Надходження товарів і послуг ІБ00-007223 від 02.12.2025 11:00:00</t>
  </si>
  <si>
    <t>Надходження товарів і послуг ІБ00-007224 від 02.12.2025 11:00:00
Оприходованы ТМЦ</t>
  </si>
  <si>
    <t>Обл. НДС
Бетон С 20/25 F100 W4
Надходження товарів і послуг ІБ00-007224 від 02.12.2025 11:00:00
Астарта_Тищенки</t>
  </si>
  <si>
    <t>ДОБРОБУД-БЕТОН ТОВ
Рахунки_Астарта_Тищенки
Надходження товарів і послуг ІБ00-007224 від 02.12.2025 11:00:00</t>
  </si>
  <si>
    <t>Надходження товарів і послуг ІБ00-007226 від 02.12.2025 11:00:00
Оприходованы ТМЦ</t>
  </si>
  <si>
    <t>Обл. НДС
Бетон С 20/25 F100 W4
Надходження товарів і послуг ІБ00-007226 від 02.12.2025 11:00:00
Астарта_Тищенки</t>
  </si>
  <si>
    <t>ДОБРОБУД-БЕТОН ТОВ
Рахунки_Астарта_Тищенки
Надходження товарів і послуг ІБ00-007226 від 02.12.2025 11:00:00</t>
  </si>
  <si>
    <t>Надходження товарів і послуг ІБ00-007227 від 02.12.2025 11:00:00
Оприходованы ТМЦ</t>
  </si>
  <si>
    <t>Обл. НДС
Бетон С 20/25 F100 W4
Надходження товарів і послуг ІБ00-007227 від 02.12.2025 11:00:00
Астарта_Тищенки</t>
  </si>
  <si>
    <t>ДОБРОБУД-БЕТОН ТОВ
Рахунки_Астарта_Тищенки
Надходження товарів і послуг ІБ00-007227 від 02.12.2025 11:00:00</t>
  </si>
  <si>
    <t>Надходження товарів і послуг ІБ00-007281 від 02.12.2025 11:00:00
Оприходованы ТМЦ</t>
  </si>
  <si>
    <t>Обл. НДС
Бетон С 20/25 F100 W4
Надходження товарів і послуг ІБ00-007281 від 02.12.2025 11:00:00
Астарта_Тищенки</t>
  </si>
  <si>
    <t>ДОБРОБУД-БЕТОН ТОВ
Рахунки_Астарта_Тищенки
Надходження товарів і послуг ІБ00-007281 від 02.12.2025 11:00:00</t>
  </si>
  <si>
    <t>Надходження товарів і послуг ІБ00-007282 від 02.12.2025 11:00:00
Оприходованы ТМЦ</t>
  </si>
  <si>
    <t>Обл. НДС
Бетон С 20/25 F100 W4
Надходження товарів і послуг ІБ00-007282 від 02.12.2025 11:00:00
Астарта_Тищенки</t>
  </si>
  <si>
    <t>ДОБРОБУД-БЕТОН ТОВ
Рахунки_Астарта_Тищенки
Надходження товарів і послуг ІБ00-007282 від 02.12.2025 11:00:00</t>
  </si>
  <si>
    <t>Надходження товарів і послуг ІБ00-007302 від 02.12.2025 11:00:00
Оприходованы ТМЦ (Зачет аванса поставщику)</t>
  </si>
  <si>
    <t>Обл. НДС
Грунт ГФ-021 світло-коричнева 25кг
Надходження товарів і послуг ІБ00-007302 від 02.12.2025 11:00:00
Астарта_Тищенки</t>
  </si>
  <si>
    <t>ДНІПРО-СПЕЦЕМАЛЬ НВП ТОВ
Рахунки_Астарта. Тищенки
Рахунок на оплату постачальника ІБ00-005785 від 24.11.2025 17:16:46</t>
  </si>
  <si>
    <t>Надходження товарів і послуг ІБ00-007302 від 02.12.2025 11:00:00
Оприходованы ТМЦ</t>
  </si>
  <si>
    <t>Обл. НДС
Розчинник "SOLVENT INDUSTRIAL" (л)
Надходження товарів і послуг ІБ00-007302 від 02.12.2025 11:00:00
Астарта_Тищенки</t>
  </si>
  <si>
    <t>Надходження товарів і послуг ІБ00-007303 від 02.12.2025 11:00:00
Оприходованы ТМЦ</t>
  </si>
  <si>
    <t>Обл. НДС
Емаль ПФ-115 RAL 9006
Надходження товарів і послуг ІБ00-007303 від 02.12.2025 11:00:00
Астарта_Тищенки</t>
  </si>
  <si>
    <t>ДНІПРО-СПЕЦЕМАЛЬ НВП ТОВ
Рахунки_Астарта. Тищенки
Рахунок на оплату постачальника ІБ00-005787 від 24.11.2025 17:16:48</t>
  </si>
  <si>
    <t>Надходження товарів і послуг ІБ00-007303 від 02.12.2025 11:00:00
Оприходованы ТМЦ (Зачет аванса поставщику)</t>
  </si>
  <si>
    <t>Надходження товарів і послуг ІБ00-007304 від 02.12.2025 11:00:00
Оприходованы ТМЦ</t>
  </si>
  <si>
    <t>Обл. НДС
Емаль ПФ-115 RAL 9006
Надходження товарів і послуг ІБ00-007304 від 02.12.2025 11:00:00
Астарта_Тищенки</t>
  </si>
  <si>
    <t>ДНІПРО-СПЕЦЕМАЛЬ НВП ТОВ
Рахунки_Астарта. Тищенки
Рахунок на оплату постачальника ІБ00-005786 від 24.11.2025 17:16:47</t>
  </si>
  <si>
    <t>Надходження товарів і послуг ІБ00-007304 від 02.12.2025 11:00:00
Оприходованы ТМЦ (Зачет аванса поставщику)</t>
  </si>
  <si>
    <t>Надходження товарів і послуг ІБ00-007329 від 02.12.2025 11:00:00
Оприходованы ТМЦ</t>
  </si>
  <si>
    <t>Обл. НДС
Плита пустотна ПБ 60-15-8т
Надходження товарів і послуг ІБ00-007329 від 02.12.2025 11:00:00
Астарта_Тищенки</t>
  </si>
  <si>
    <t>Надходження товарів і послуг ІБ00-007329 від 02.12.2025 11:00:00
Оприходованы ТМЦ (Зачет аванса поставщику)</t>
  </si>
  <si>
    <t>Надходження дод. витрат ІБ00-000681 від 02.12.2025 11:10:00
Доп. расходы при поступлении товаров</t>
  </si>
  <si>
    <t>Реалізація товарів і послуг ІБ00-000075 від 03.12.2025 00:00:00
Списаны ТМЦ</t>
  </si>
  <si>
    <t>Обл. НДС
Плита перекриття 1П3-2А3ВТ
Надходження товарів і послуг ІБ00-006280 від 20.10.2025 11:00:00
Астарта_Тищенки</t>
  </si>
  <si>
    <t>902</t>
  </si>
  <si>
    <t>Обл. НДС
Плита перекриття 1П3-2А3ВТ
Надходження товарів і послуг ІБ00-006281 від 21.10.2025 11:00:00
Астарта_Тищенки</t>
  </si>
  <si>
    <t>Обл. НДС
Плита перекриття 1П3-2А3ВТ
Надходження товарів і послуг ІБ00-006209 від 27.10.2025 11:00:00
Астарта_Тищенки</t>
  </si>
  <si>
    <t>Надходження товарів і послуг ІБ00-007230 від 03.12.2025 11:00:00
Оприходованы ТМЦ</t>
  </si>
  <si>
    <t>Обл. НДС
Плита пустотна ПБ 60-15-8т
Надходження товарів і послуг ІБ00-007230 від 03.12.2025 11:00:00
Астарта_Тищенки</t>
  </si>
  <si>
    <t>Обл. НДС
Плита пустотна ПБ 60-12-8т
Надходження товарів і послуг ІБ00-007230 від 03.12.2025 11:00:00
Астарта_Тищенки</t>
  </si>
  <si>
    <t>Обл. НДС
Плита пустотна ПБ 48-15-8т
Надходження товарів і послуг ІБ00-007230 від 03.12.2025 11:00:00
Астарта_Тищенки</t>
  </si>
  <si>
    <t>Обл. НДС
Плита пустотна ПБ 31-12-8т
Надходження товарів і послуг ІБ00-007230 від 03.12.2025 11:00:00
Астарта_Тищенки</t>
  </si>
  <si>
    <t>Надходження товарів і послуг ІБ00-007301 від 03.12.2025 11:00:00
Оприходованы ТМЦ (Зачет аванса поставщику)</t>
  </si>
  <si>
    <t>Обл. НДС
Плита пустотна ПБ 64-12-8т
Надходження товарів і послуг ІБ00-007301 від 03.12.2025 11:00:00
Астарта_Тищенки</t>
  </si>
  <si>
    <t>Завод Залізобетонних Виробів №1 ПП
Дог №15/10-25-1 від 15.10.2025_Астарта. Тищенки
Рахунок на оплату постачальника ІБ00-005596 від 11.11.2025 22:53:48</t>
  </si>
  <si>
    <t>Обл. НДС
Плита пустотна ПБ 64-15-8т
Надходження товарів і послуг ІБ00-007301 від 03.12.2025 11:00:00
Астарта_Тищенки</t>
  </si>
  <si>
    <t>Надходження дод. витрат ІБ00-000677 від 03.12.2025 11:10:00
Доп. расходы при поступлении товаров</t>
  </si>
  <si>
    <t>Надходження дод. витрат ІБ00-000679 від 03.12.2025 11:10:00
Доп. расходы при поступлении товаров (Зачет аванса поставщику)</t>
  </si>
  <si>
    <t>Надходження товарів і послуг ІБ00-007228 від 04.12.2025 11:00:00
Оприходованы ТМЦ</t>
  </si>
  <si>
    <t>Обл. НДС
Бетон С 12/15 F100 W4 S3
Надходження товарів і послуг ІБ00-007228 від 04.12.2025 11:00:00
Астарта_Тищенки</t>
  </si>
  <si>
    <t>ДОБРОБУД-БЕТОН ТОВ
Рахунки_Астарта_Тищенки
Надходження товарів і послуг ІБ00-007228 від 04.12.2025 11:00:00</t>
  </si>
  <si>
    <t>Надходження товарів і послуг ІБ00-007300 від 04.12.2025 11:00:00
Оприходованы ТМЦ</t>
  </si>
  <si>
    <t>Обл. НДС
Плита пустотна ПБ 60-15-8т
Надходження товарів і послуг ІБ00-007300 від 04.12.2025 11:00:00
Астарта_Тищенки</t>
  </si>
  <si>
    <t>Надходження товарів і послуг ІБ00-007300 від 04.12.2025 11:00:00
Оприходованы ТМЦ (Зачет аванса поставщику)</t>
  </si>
  <si>
    <t>Надходження дод. витрат ІБ00-000678 від 04.12.2025 11:10:00
Доп. расходы при поступлении товаров</t>
  </si>
  <si>
    <t>Обл. НДС
Єврорубероїд Полібуд ХПП-2,0 Склохолст (1рул.=9 кв.м)
Авансовий звіт ІБ00-000367 від 04.12.2025 16:17:55
Астарта_Тищенки</t>
  </si>
  <si>
    <t>Надходження товарів і послуг ІБ00-007325 від 05.12.2025 11:00:00
Оприходованы ТМЦ (Зачет аванса поставщику)</t>
  </si>
  <si>
    <t>Обл. НДС
Шпилька  М36х300
Надходження товарів і послуг ІБ00-007325 від 05.12.2025 11:00:00
Астарта_Тищенки</t>
  </si>
  <si>
    <t>МАЛИН МЕТАЛ ТОВ
2709-П от 27.09.2023від 27.09.2023_Астарта. Тищенк
Рахунок на оплату постачальника ІБ00-005638 від 18.11.2025 18:46:40</t>
  </si>
  <si>
    <t>Надходження товарів і послуг ІБ00-007325 від 05.12.2025 11:00:00
Оприходованы ТМЦ</t>
  </si>
  <si>
    <t>Обл. НДС
Муфта М36
Надходження товарів і послуг ІБ00-007325 від 05.12.2025 11:00:00
Астарта_Тищенки</t>
  </si>
  <si>
    <t>06.12.2025</t>
  </si>
  <si>
    <t>Надходження товарів і послуг ІБ00-007336 від 06.12.2025 11:00:00
Оприходованы ТМЦ (Зачет аванса поставщику)</t>
  </si>
  <si>
    <t>Обл. НДС
Перемичка пiдсилена 3ПБ 16-37-п
Надходження товарів і послуг ІБ00-007336 від 06.12.2025 11:00:00
Астарта_Тищенки</t>
  </si>
  <si>
    <t>Комбінат виробничих підприємств ТОВ БК
Рахунки_Астарта. Тищенки
Рахунок на оплату постачальника ІБ00-005781 від 21.11.2025 20:00:04</t>
  </si>
  <si>
    <t>Обл. НДС
Перемичка пiдсилена 5ПБ 25-37-п
Надходження товарів і послуг ІБ00-007336 від 06.12.2025 11:00:00
Астарта_Тищенки</t>
  </si>
  <si>
    <t>Обл. НДС
Перемичка проста 2ПБ 13-1-п
Надходження товарів і послуг ІБ00-007336 від 06.12.2025 11:00:00
Астарта_Тищенки</t>
  </si>
  <si>
    <t>Обл. НДС
Перемичка проста 2ПБ 16-2-п
Надходження товарів і послуг ІБ00-007336 від 06.12.2025 11:00:00
Астарта_Тищенки</t>
  </si>
  <si>
    <t>Обл. НДС
Опорна подушка ОП 4-4
Надходження товарів і послуг ІБ00-007336 від 06.12.2025 11:00:00
Астарта_Тищенки</t>
  </si>
  <si>
    <t>Надходження дод. витрат ІБ00-000685 від 06.12.2025 11:10:00
Доп. расходы при поступлении товаров (Зачет аванса поставщику)</t>
  </si>
  <si>
    <t>Надходження товарів і послуг ІБ00-007541 від 09.12.2025 11:00:00
Оприходованы ТМЦ</t>
  </si>
  <si>
    <t>Обл. НДС
Бетон С 16/20 F100 W6
Надходження товарів і послуг ІБ00-007541 від 09.12.2025 11:00:00
Астарта_Тищенки</t>
  </si>
  <si>
    <t>ДОБРОБУД-БЕТОН ТОВ
Рахунки_Астарта_Тищенки
Надходження товарів і послуг ІБ00-007541 від 09.12.2025 11:00:00</t>
  </si>
  <si>
    <t>Надходження товарів і послуг ІБ00-007542 від 09.12.2025 11:00:00
Оприходованы ТМЦ</t>
  </si>
  <si>
    <t>Обл. НДС
Бетон С 12/15 F100 W4 S3
Надходження товарів і послуг ІБ00-007542 від 09.12.2025 11:00:00
Астарта_Тищенки</t>
  </si>
  <si>
    <t>ДОБРОБУД-БЕТОН ТОВ
Рахунки_Астарта_Тищенки
Надходження товарів і послуг ІБ00-007542 від 09.12.2025 11:00:00</t>
  </si>
  <si>
    <t>Надходження товарів і послуг ІБ00-007543 від 09.12.2025 11:00:00
Оприходованы ТМЦ</t>
  </si>
  <si>
    <t>Обл. НДС
Бетон С 16/20 F100 W6
Надходження товарів і послуг ІБ00-007543 від 09.12.2025 11:00:00
Астарта_Тищенки</t>
  </si>
  <si>
    <t>ДОБРОБУД-БЕТОН ТОВ
Рахунки_Астарта_Тищенки
Надходження товарів і послуг ІБ00-007543 від 09.12.2025 11:00:00</t>
  </si>
  <si>
    <t>Надходження товарів і послуг ІБ00-007544 від 09.12.2025 11:00:00
Оприходованы ТМЦ</t>
  </si>
  <si>
    <t>Обл. НДС
Бетон С 20/25 F250 W10 S3
Надходження товарів і послуг ІБ00-007544 від 09.12.2025 11:00:00
Астарта_Тищенки</t>
  </si>
  <si>
    <t>ДОБРОБУД-БЕТОН ТОВ
Рахунки_Астарта_Тищенки
Надходження товарів і послуг ІБ00-007544 від 09.12.2025 11:00:00</t>
  </si>
  <si>
    <t>Надходження товарів і послуг ІБ00-007545 від 09.12.2025 11:00:00
Оприходованы ТМЦ</t>
  </si>
  <si>
    <t>Обл. НДС
Бетон С 20/25 F250 W10 S3
Надходження товарів і послуг ІБ00-007545 від 09.12.2025 11:00:00
Астарта_Тищенки</t>
  </si>
  <si>
    <t>ДОБРОБУД-БЕТОН ТОВ
Рахунки_Астарта_Тищенки
Надходження товарів і послуг ІБ00-007545 від 09.12.2025 11:00:00</t>
  </si>
  <si>
    <t>Надходження товарів і послуг ІБ00-007546 від 09.12.2025 11:00:00
Оприходованы ТМЦ</t>
  </si>
  <si>
    <t>Обл. НДС
Бетон С 20/25 F250 W10 S3
Надходження товарів і послуг ІБ00-007546 від 09.12.2025 11:00:00
Астарта_Тищенки</t>
  </si>
  <si>
    <t>ДОБРОБУД-БЕТОН ТОВ
Рахунки_Астарта_Тищенки
Надходження товарів і послуг ІБ00-007546 від 09.12.2025 11:00:00</t>
  </si>
  <si>
    <t>Надходження товарів і послуг ІБ00-007547 від 09.12.2025 11:00:00
Оприходованы ТМЦ</t>
  </si>
  <si>
    <t>Обл. НДС
Бетон С 20/25 F250 W10 S3
Надходження товарів і послуг ІБ00-007547 від 09.12.2025 11:00:00
Астарта_Тищенки</t>
  </si>
  <si>
    <t>ДОБРОБУД-БЕТОН ТОВ
Рахунки_Астарта_Тищенки
Надходження товарів і послуг ІБ00-007547 від 09.12.2025 11:00:00</t>
  </si>
  <si>
    <t>Надходження товарів і послуг ІБ00-007548 від 09.12.2025 11:00:00
Оприходованы ТМЦ</t>
  </si>
  <si>
    <t>Обл. НДС
Бетон С 20/25 F250 W10 S3
Надходження товарів і послуг ІБ00-007548 від 09.12.2025 11:00:00
Астарта_Тищенки</t>
  </si>
  <si>
    <t>ДОБРОБУД-БЕТОН ТОВ
Рахунки_Астарта_Тищенки
Надходження товарів і послуг ІБ00-007548 від 09.12.2025 11:00:00</t>
  </si>
  <si>
    <t>Надходження товарів і послуг ІБ00-007538 від 10.12.2025 11:00:00
Оприходованы ТМЦ (Зачет аванса поставщику)</t>
  </si>
  <si>
    <t>Обл. НДС
Пенекрит 22,7кг/мішок
Надходження товарів і послуг ІБ00-007538 від 10.12.2025 11:00:00
Астарта_Тищенки</t>
  </si>
  <si>
    <t>ПЕНЕТРОН УКРАЇНА ТОВ
РАХУНКИ_Астарта. Тищенки
Рахунок на оплату постачальника ІБ00-005975 від 05.12.2025 17:13:03</t>
  </si>
  <si>
    <t>Надходження товарів і послуг ІБ00-007611 від 10.12.2025 11:00:00
Оприходованы ТМЦ (Зачет аванса поставщику)</t>
  </si>
  <si>
    <t>Обл. НДС
Рейка маячна штукатур оц 6мм/3м 
Надходження товарів і послуг ІБ00-007611 від 10.12.2025 11:00:00
Астарта_Тищенки</t>
  </si>
  <si>
    <t>Мережа магазинів будматеріалів М2 ТОВ
Рахунки_Астарта. Тищенки
Рахунок на оплату постачальника ІБ00-005924 від 08.12.2025 17:23:22</t>
  </si>
  <si>
    <t>Обл. НДС
Кріплення д/штукатурних маяків 
Надходження товарів і послуг ІБ00-007611 від 10.12.2025 11:00:00
Астарта_Тищенки</t>
  </si>
  <si>
    <t>Надходження товарів і послуг ІБ00-007665 від 10.12.2025 11:00:00
Оприходованы ТМЦ (Зачет аванса поставщику)</t>
  </si>
  <si>
    <t>Обл. НДС
Демпферна стрічка 5/150 50м п з плівкою
Надходження товарів і послуг ІБ00-007665 від 10.12.2025 11:00:00
Астарта_Тищенки</t>
  </si>
  <si>
    <t>ПРОТЕКС УКРАЇНА
Договір 9  від 11.12.2023_Астарта. Тищенки
Рахунок на оплату постачальника ІБ00-005910 від 05.12.2025 17:12:57</t>
  </si>
  <si>
    <t>Надходження товарів і послуг ІБ00-007833 від 10.12.2025 11:00:00
Оприходованы ТМЦ (Зачет аванса поставщику)</t>
  </si>
  <si>
    <t>Обл. НДС
Жолоб пластик h55 з решіткою стальною оцинк
Надходження товарів і послуг ІБ00-007833 від 10.12.2025 11:00:00
Астарта_Тищенки</t>
  </si>
  <si>
    <t>Епіцентр К ТОВ
 Астарта. Тищенки - РАХУНКИ
Рахунок на оплату постачальника ІБ00-005934 від 05.12.2025 17:13:00</t>
  </si>
  <si>
    <t>Надходження дод. витрат ІБ00-000703 від 10.12.2025 11:10:00
Доп. расходы при поступлении товаров (Зачет аванса поставщику)</t>
  </si>
  <si>
    <t>Надходження товарів і послуг ІБ00-007549 від 11.12.2025 11:00:00
Оприходованы ТМЦ</t>
  </si>
  <si>
    <t>Обл. НДС
Бетон С 20/25  F150 W8
Надходження товарів і послуг ІБ00-007549 від 11.12.2025 11:00:00
Астарта_Тищенки</t>
  </si>
  <si>
    <t>ДОБРОБУД-БЕТОН ТОВ
Рахунки_Астарта_Тищенки
Надходження товарів і послуг ІБ00-007549 від 11.12.2025 11:00:00</t>
  </si>
  <si>
    <t>Надходження товарів і послуг ІБ00-007550 від 11.12.2025 11:00:00
Оприходованы ТМЦ</t>
  </si>
  <si>
    <t>Обл. НДС
Бетон С 20/25  F150 W8
Надходження товарів і послуг ІБ00-007550 від 11.12.2025 11:00:00
Астарта_Тищенки</t>
  </si>
  <si>
    <t>ДОБРОБУД-БЕТОН ТОВ
Рахунки_Астарта_Тищенки
Надходження товарів і послуг ІБ00-007550 від 11.12.2025 11:00:00</t>
  </si>
  <si>
    <t>Надходження товарів і послуг ІБ00-007552 від 11.12.2025 11:00:00
Оприходованы ТМЦ</t>
  </si>
  <si>
    <t>Обл. НДС
Бетон С 20/25  F150 W8
Надходження товарів і послуг ІБ00-007552 від 11.12.2025 11:00:00
Астарта_Тищенки</t>
  </si>
  <si>
    <t>ДОБРОБУД-БЕТОН ТОВ
Рахунки_Астарта_Тищенки
Надходження товарів і послуг ІБ00-007552 від 11.12.2025 11:00:00</t>
  </si>
  <si>
    <t>Надходження товарів і послуг ІБ00-007851 від 12.12.2025 11:00:00
Оприходованы ТМЦ (Зачет аванса поставщику)</t>
  </si>
  <si>
    <t>Обл. НДС
Труба поліпропіленова каналізаційна d=50  мм І=500 мм
Надходження товарів і послуг ІБ00-007851 від 12.12.2025 11:00:00
Астарта_Тищенки</t>
  </si>
  <si>
    <t>РОМСТАЛ УКРАЇНА ТОВ
Договір №2810-25 від  28.10.2025_Астарта. Тищенки
Списання з банківського рахунку 00019395 від 09.12.2025 17:22:28</t>
  </si>
  <si>
    <t>Обл. НДС
Труба поліпропіленова каналізаційна d=50  мм І=1000 мм
Надходження товарів і послуг ІБ00-007851 від 12.12.2025 11:00:00
Астарта_Тищенки</t>
  </si>
  <si>
    <t>Обл. НДС
Труба поліпропіленова каналізаційна d=50  мм І=2000 мм
Надходження товарів і послуг ІБ00-007851 від 12.12.2025 11:00:00
Астарта_Тищенки</t>
  </si>
  <si>
    <t>Обл. НДС
Труба поліпропіленова каналізаційна d=50  мм І=3000 мм
Надходження товарів і послуг ІБ00-007851 від 12.12.2025 11:00:00
Астарта_Тищенки</t>
  </si>
  <si>
    <t>Обл. НДС
Труба поліпропіленова каналізаційна d=110  мм І=500 мм
Надходження товарів і послуг ІБ00-007851 від 12.12.2025 11:00:00
Астарта_Тищенки</t>
  </si>
  <si>
    <t>Обл. НДС
Труба поліпропіленова каналізаційна d=110  мм І=1000 мм
Надходження товарів і послуг ІБ00-007851 від 12.12.2025 11:00:00
Астарта_Тищенки</t>
  </si>
  <si>
    <t>Обл. НДС
Труба поліпропіленова каналізаційна d=110  мм І=2000 мм
Надходження товарів і послуг ІБ00-007851 від 12.12.2025 11:00:00
Астарта_Тищенки</t>
  </si>
  <si>
    <t>Обл. НДС
Труба поліпропіленова каналізаційна d=110  мм І=3000 мм
Надходження товарів і послуг ІБ00-007851 від 12.12.2025 11:00:00
Астарта_Тищенки</t>
  </si>
  <si>
    <t>Обл. НДС
Відвід D=50 мм, 45° 3917400090
Надходження товарів і послуг ІБ00-007851 від 12.12.2025 11:00:00
Астарта_Тищенки</t>
  </si>
  <si>
    <t>Обл. НДС
Відвід D=50 мм, 87° 30 ' 3917400090
Надходження товарів і послуг ІБ00-007851 від 12.12.2025 11:00:00
Астарта_Тищенки</t>
  </si>
  <si>
    <t>Обл. НДС
Відвід d 110 мм 45"
Надходження товарів і послуг ІБ00-007851 від 12.12.2025 11:00:00
Астарта_Тищенки</t>
  </si>
  <si>
    <t>Обл. НДС
Трійник D=50 mm 87* 30
Надходження товарів і послуг ІБ00-007851 від 12.12.2025 11:00:00
Астарта_Тищенки</t>
  </si>
  <si>
    <t>Обл. НДС
Трійник D=110 мм, 45°
Надходження товарів і послуг ІБ00-007851 від 12.12.2025 11:00:00
Астарта_Тищенки</t>
  </si>
  <si>
    <t>Обл. НДС
Перехід ексентричний D=110/50мм
Надходження товарів і послуг ІБ00-007851 від 12.12.2025 11:00:00
Астарта_Тищенки</t>
  </si>
  <si>
    <t>Обл. НДС
Ревізія 110
Надходження товарів і послуг ІБ00-007851 від 12.12.2025 11:00:00
Астарта_Тищенки</t>
  </si>
  <si>
    <t>Обл. НДС
Заглушка D=110 мм
Надходження товарів і послуг ІБ00-007851 від 12.12.2025 11:00:00
Астарта_Тищенки</t>
  </si>
  <si>
    <t>Обл. НДС
Повітряний клапан (аератор), D=100 мм, (без решітки)
Надходження товарів і послуг ІБ00-007851 від 12.12.2025 11:00:00
Астарта_Тищенки</t>
  </si>
  <si>
    <t>Обл. НДС
Труба поліетиленова РЕHD PE100, SDR17, PN10, d 315 мм
Надходження товарів і послуг ІБ00-007851 від 12.12.2025 11:00:00
Астарта_Тищенки</t>
  </si>
  <si>
    <t>Обл. НДС
Дюбель розпірний 10*50 мм
Надходження товарів і послуг ІБ00-007851 від 12.12.2025 11:00:00
Астарта_Тищенки</t>
  </si>
  <si>
    <t>Обл. НДС
Шуруп з подвійним різьбленням, М8, 100х10 мм 7318154800
Надходження товарів і послуг ІБ00-007851 від 12.12.2025 11:00:00
Астарта_Тищенки</t>
  </si>
  <si>
    <t>Обл. НДС
Хомут з прокладкою KSB1 M8 48-51 mm
Надходження товарів і послуг ІБ00-007851 від 12.12.2025 11:00:00
Астарта_Тищенки</t>
  </si>
  <si>
    <t>Обл. НДС
Хомут з прокладкою  M8/М10,2 1/2 (74-80 мм)
Надходження товарів і послуг ІБ00-007851 від 12.12.2025 11:00:00
Астарта_Тищенки</t>
  </si>
  <si>
    <t>13.12.2025</t>
  </si>
  <si>
    <t>Надходження товарів і послуг ІБ00-007551 від 13.12.2025 11:00:00
Оприходованы ТМЦ</t>
  </si>
  <si>
    <t>Обл. НДС
Бетон С 20/25  F150 W8 S3 M5
Надходження товарів і послуг ІБ00-007551 від 13.12.2025 11:00:00
Астарта_Тищенки</t>
  </si>
  <si>
    <t>ДОБРОБУД-БЕТОН ТОВ
Рахунки_Астарта_Тищенки
Надходження товарів і послуг ІБ00-007551 від 13.12.2025 11:00:00</t>
  </si>
  <si>
    <t>Надходження товарів і послуг ІБ00-007854 від 15.12.2025 11:00:00
Оприходованы ТМЦ (Зачет аванса поставщику)</t>
  </si>
  <si>
    <t>Обл. НДС
Коліно стик.SDR 17 315 45°
Надходження товарів і послуг ІБ00-007854 від 15.12.2025 11:00:00
Астарта_Тищенки</t>
  </si>
  <si>
    <t>Обл. НДС
Коліно стик.SDR 17 315 
Надходження товарів і послуг ІБ00-007854 від 15.12.2025 11:00:00
Астарта_Тищенки</t>
  </si>
  <si>
    <t>Обл. НДС
Трійник стиковий SDR 17 315
Надходження товарів і послуг ІБ00-007854 від 15.12.2025 11:00:00
Астарта_Тищенки</t>
  </si>
  <si>
    <t>Надходження товарів і послуг ІБ00-007553 від 16.12.2025 11:00:00
Оприходованы ТМЦ</t>
  </si>
  <si>
    <t>Обл. НДС
Бетон С 20/25  F150 W8 S3 M5
Надходження товарів і послуг ІБ00-007553 від 16.12.2025 11:00:00
Астарта_Тищенки</t>
  </si>
  <si>
    <t>ДОБРОБУД-БЕТОН ТОВ
Рахунки_Астарта_Тищенки
Надходження товарів і послуг ІБ00-007553 від 16.12.2025 11:00:00</t>
  </si>
  <si>
    <t>Надходження товарів і послуг ІБ00-007554 від 16.12.2025 11:00:00
Оприходованы ТМЦ</t>
  </si>
  <si>
    <t>Обл. НДС
Бетон С 20/25  F150 W8 S3 M5
Надходження товарів і послуг ІБ00-007554 від 16.12.2025 11:00:00
Астарта_Тищенки</t>
  </si>
  <si>
    <t>ДОБРОБУД-БЕТОН ТОВ
Рахунки_Астарта_Тищенки
Надходження товарів і послуг ІБ00-007554 від 16.12.2025 11:00:00</t>
  </si>
  <si>
    <t>Надходження товарів і послуг ІБ00-007555 від 16.12.2025 11:00:00
Оприходованы ТМЦ</t>
  </si>
  <si>
    <t>Обл. НДС
Бетон С 20/25  F150 W8 S3 M5
Надходження товарів і послуг ІБ00-007555 від 16.12.2025 11:00:00
Астарта_Тищенки</t>
  </si>
  <si>
    <t>ДОБРОБУД-БЕТОН ТОВ
Рахунки_Астарта_Тищенки
Надходження товарів і послуг ІБ00-007555 від 16.12.2025 11:00:00</t>
  </si>
  <si>
    <t>Авансовий звіт ІБ00-000404 від 16.12.2025 17:43:52
Оприходованы ТМЦ</t>
  </si>
  <si>
    <t>Обл. НДС
Єврорубероїд Полібуд ХПП-2,0 Склохолст (1рул.=9 кв.м)
Авансовий звіт ІБ00-000404 від 16.12.2025 17:43:52
Астарта_Тищенки</t>
  </si>
  <si>
    <t>Надходження товарів і послуг ІБ00-007862 від 17.12.2025 11:00:00
Оприходованы ТМЦ</t>
  </si>
  <si>
    <t>Обл. НДС
Бетон С 12/15 F100 W4 S3
Надходження товарів і послуг ІБ00-007862 від 17.12.2025 11:00:00
Астарта_Тищенки</t>
  </si>
  <si>
    <t>ДОБРОБУД-БЕТОН ТОВ
Рахунки_Астарта_Тищенки
Надходження товарів і послуг ІБ00-007862 від 17.12.2025 11:00:00</t>
  </si>
  <si>
    <t>Надходження товарів і послуг ІБ00-007864 від 17.12.2025 11:00:00
Оприходованы ТМЦ</t>
  </si>
  <si>
    <t>Обл. НДС
Бетон С 20/25  F150 W8 S3 M5
Надходження товарів і послуг ІБ00-007864 від 17.12.2025 11:00:00
Астарта_Тищенки</t>
  </si>
  <si>
    <t>ДОБРОБУД-БЕТОН ТОВ
Рахунки_Астарта_Тищенки
Надходження товарів і послуг ІБ00-007864 від 17.12.2025 11:00:00</t>
  </si>
  <si>
    <t>Надходження товарів і послуг ІБ00-007865 від 17.12.2025 11:00:00
Оприходованы ТМЦ</t>
  </si>
  <si>
    <t>Обл. НДС
Бетон С 20/25  F150 W8 S3 M5
Надходження товарів і послуг ІБ00-007865 від 17.12.2025 11:00:00
Астарта_Тищенки</t>
  </si>
  <si>
    <t>ДОБРОБУД-БЕТОН ТОВ
Рахунки_Астарта_Тищенки
Надходження товарів і послуг ІБ00-007865 від 17.12.2025 11:00:00</t>
  </si>
  <si>
    <t>Надходження товарів і послуг ІБ00-007866 від 17.12.2025 11:00:00
Оприходованы ТМЦ</t>
  </si>
  <si>
    <t>Обл. НДС
Бетон С 20/25  F150 W8 S3 M5
Надходження товарів і послуг ІБ00-007866 від 17.12.2025 11:00:00
Астарта_Тищенки</t>
  </si>
  <si>
    <t>ДОБРОБУД-БЕТОН ТОВ
Рахунки_Астарта_Тищенки
Надходження товарів і послуг ІБ00-007866 від 17.12.2025 11:00:00</t>
  </si>
  <si>
    <t>Надходження товарів і послуг ІБ00-007667 від 19.12.2025 11:00:00
Оприходованы ТМЦ (Зачет аванса поставщику)</t>
  </si>
  <si>
    <t>Обл. НДС
Шнур бентонітовий ГІДРОСТОП круглий д=22
Надходження товарів і послуг ІБ00-007667 від 19.12.2025 11:00:00
Астарта_Тищенки</t>
  </si>
  <si>
    <t>Надходження товарів і послуг ІБ00-007868 від 19.12.2025 11:00:00
Оприходованы ТМЦ</t>
  </si>
  <si>
    <t>Обл. НДС
Бетон С 20/25 S3 F250 W10 M5
Надходження товарів і послуг ІБ00-007868 від 19.12.2025 11:00:00
Астарта_Тищенки</t>
  </si>
  <si>
    <t>ДОБРОБУД-БЕТОН ТОВ
Рахунки_Астарта_Тищенки
Надходження товарів і послуг ІБ00-007868 від 19.12.2025 11:00:00</t>
  </si>
  <si>
    <t>Надходження товарів і послуг ІБ00-007870 від 19.12.2025 11:00:00
Оприходованы ТМЦ</t>
  </si>
  <si>
    <t>Обл. НДС
Бетон С 20/25 S3 F250 W10 M5
Надходження товарів і послуг ІБ00-007870 від 19.12.2025 11:00:00
Астарта_Тищенки</t>
  </si>
  <si>
    <t>ДОБРОБУД-БЕТОН ТОВ
Рахунки_Астарта_Тищенки
Надходження товарів і послуг ІБ00-007870 від 19.12.2025 11:00:00</t>
  </si>
  <si>
    <t>Надходження товарів і послуг ІБ00-007871 від 19.12.2025 11:00:00
Оприходованы ТМЦ</t>
  </si>
  <si>
    <t>Обл. НДС
Бетон С 20/25  F150 W8 S3 M5
Надходження товарів і послуг ІБ00-007871 від 19.12.2025 11:00:00
Астарта_Тищенки</t>
  </si>
  <si>
    <t>ДОБРОБУД-БЕТОН ТОВ
Рахунки_Астарта_Тищенки
Надходження товарів і послуг ІБ00-007871 від 19.12.2025 11:00:00</t>
  </si>
  <si>
    <t>Надходження товарів і послуг ІБ00-007872 від 19.12.2025 11:00:00
Оприходованы ТМЦ</t>
  </si>
  <si>
    <t>Обл. НДС
Бетон С 20/25 S3 F250 W10 M5
Надходження товарів і послуг ІБ00-007872 від 19.12.2025 11:00:00
Астарта_Тищенки</t>
  </si>
  <si>
    <t>ДОБРОБУД-БЕТОН ТОВ
Рахунки_Астарта_Тищенки
Надходження товарів і послуг ІБ00-007872 від 19.12.2025 11:00:00</t>
  </si>
  <si>
    <t>Надходження товарів і послуг ІБ00-007874 від 19.12.2025 11:00:00
Оприходованы ТМЦ</t>
  </si>
  <si>
    <t>Обл. НДС
Бетон С 20/25  F150 W8 S3 M5
Надходження товарів і послуг ІБ00-007874 від 19.12.2025 11:00:00
Астарта_Тищенки</t>
  </si>
  <si>
    <t>ДОБРОБУД-БЕТОН ТОВ
Рахунки_Астарта_Тищенки
Надходження товарів і послуг ІБ00-007874 від 19.12.2025 11:00:00</t>
  </si>
  <si>
    <t>Надходження товарів і послуг ІБ00-007875 від 19.12.2025 11:00:00
Оприходованы ТМЦ</t>
  </si>
  <si>
    <t>Обл. НДС
Бетон С 20/25  F150 W8 S3 M5
Надходження товарів і послуг ІБ00-007875 від 19.12.2025 11:00:00
Астарта_Тищенки</t>
  </si>
  <si>
    <t>ДОБРОБУД-БЕТОН ТОВ
Рахунки_Астарта_Тищенки
Надходження товарів і послуг ІБ00-007875 від 19.12.2025 11:00:00</t>
  </si>
  <si>
    <t>Надходження товарів і послуг ІБ00-007878 від 19.12.2025 11:00:00
Оприходованы ТМЦ</t>
  </si>
  <si>
    <t>Обл. НДС
Бетон С 20/25  F150 W8 S3 M5
Надходження товарів і послуг ІБ00-007878 від 19.12.2025 11:00:00
Астарта_Тищенки</t>
  </si>
  <si>
    <t>ДОБРОБУД-БЕТОН ТОВ
Рахунки_Астарта_Тищенки
Надходження товарів і послуг ІБ00-007878 від 19.12.2025 11:00:00</t>
  </si>
  <si>
    <t>Вимога-накладна ІБ00-001157 від 20.12.2025 00:00:00
Списаны ТМЦ</t>
  </si>
  <si>
    <t>Обл. НДС
Виробничий (Астарта_Тищенки)
Астарта_Тищенки
Прямі материальні виробничі витрати крім зворотніх відходів</t>
  </si>
  <si>
    <t>Обл. НДС
Арматура  8 мiра (12- 3760 А500С/А400С)
Надходження товарів і послуг ІБ00-005080 від 03.09.2025 11:00:00
Астарта_Тищенки</t>
  </si>
  <si>
    <t>Обл. НДС
Арматура 10 міра (12-3760  А500С/А400С)
Надходження товарів і послуг ІБ00-005374 від 08.09.2025 11:00:00
Астарта_Тищенки</t>
  </si>
  <si>
    <t>Обл. НДС
Арматура 10 міра (12-3760  А500С/А400С)
Надходження товарів і послуг ІБ00-006282 від 27.10.2025 11:00:00
Астарта_Тищенки</t>
  </si>
  <si>
    <t>Обл. НДС
Арматура 12 міра (12-3760  А400С/А500С)
Надходження товарів і послуг ІБ00-006282 від 27.10.2025 11:00:00
Астарта_Тищенки</t>
  </si>
  <si>
    <t>Обл. НДС
Прокат арматурний №14 мм  А500С, 12 м
Надходження товарів і послуг ІБ00-006551 від 09.10.2025 11:00:00
Астарта_Тищенки</t>
  </si>
  <si>
    <t>Обл. НДС
Плівка п/е рукав 1500*150
Надходження товарів і послуг ІБ00-005851 від 01.10.2025 11:00:00
Астарта_Тищенки</t>
  </si>
  <si>
    <t>Обл. НДС
Пісок жовтий
Надходження товарів і послуг ІБ00-005377 від 01.09.2025 11:00:00
Астарта_Тищенки</t>
  </si>
  <si>
    <t>Обл. НДС
Пісок жовтий
Надходження товарів і послуг ІБ00-005378 від 02.09.2025 11:00:00
Астарта_Тищенки</t>
  </si>
  <si>
    <t>Обл. НДС
Цемент ПЦ ІІ/А-В 500Р-Н , 25 кг
Надходження товарів і послуг ІБ00-005344 від 10.09.2025 11:00:00
Астарта_Тищенки</t>
  </si>
  <si>
    <t>Обл. НДС
Бетон С 12/15 F100 W4 S3
Надходження товарів і послуг ІБ00-006975 від 25.11.2025 11:00:00
Астарта_Тищенки</t>
  </si>
  <si>
    <t>Обл. НДС
Бетон С 12/15 F100 W4 S3
Надходження товарів і послуг ІБ00-006974 від 26.11.2025 11:00:00
Астарта_Тищенки</t>
  </si>
  <si>
    <t>Обл. НДС
Бетон С 12/15 F100 W4 S3
Надходження товарів і послуг ІБ00-007232 від 29.11.2025 11:00:00
Астарта_Тищенки</t>
  </si>
  <si>
    <t>Обл. НДС
Щебінь 40-70
Надходження товарів і послуг ІБ00-006958 від 01.11.2025 11:00:00
Астарта_Тищенки</t>
  </si>
  <si>
    <t>Надходження товарів і послуг ІБ00-007876 від 20.12.2025 11:00:00
Оприходованы ТМЦ</t>
  </si>
  <si>
    <t>Обл. НДС
Бетон С 12/15 F100 W4 S3
Надходження товарів і послуг ІБ00-007876 від 20.12.2025 11:00:00
Астарта_Тищенки</t>
  </si>
  <si>
    <t>ДОБРОБУД-БЕТОН ТОВ
Рахунки_Астарта_Тищенки
Надходження товарів і послуг ІБ00-007876 від 20.12.2025 11:00:00</t>
  </si>
  <si>
    <t>Вимога-накладна ІБ00-001158 від 20.12.2025 11:27:20
Списаны ТМЦ</t>
  </si>
  <si>
    <t>Обл. НДС
Емаль ХВ-124 сіра,  кг
Надходження товарів і послуг ІБ00-005014 від 08.09.2025 11:00:00
Астарта_Тищенки</t>
  </si>
  <si>
    <t>Обл. НДС
Розчинник складний органічний "SOLVENT INDUSTRIAL"
Надходження товарів і послуг ІБ00-005965 від 08.10.2025 18:17:45
Астарта_Тищенки</t>
  </si>
  <si>
    <t>Обл. НДС
Металопрофіль ТП-60  0,5мм поліестер срібл 9006 6,560м
Надходження товарів і послуг ІБ00-006553 від 24.10.2025 11:00:00
Астарта_Тищенки</t>
  </si>
  <si>
    <t>Обл. НДС
Саморіз  5,5*32 RAL 9006
Надходження товарів і послуг ІБ00-006840 від 01.11.2025 11:00:00
Астарта_Тищенки</t>
  </si>
  <si>
    <t>Обл. НДС
Труба 80х60х3 (12,05- 8940:2019 08кп/1-3п)
Переміщення товарів ІБ00-001307 від 01.11.2025 12:00:11
Астарта_Тищенки</t>
  </si>
  <si>
    <t>Обл. НДС
Труба 80х80х4 (12,05- 8940:2019 08кп/1-3пс)
Надходження товарів і послуг ІБ00-005374 від 08.09.2025 11:00:00
Астарта_Тищенки</t>
  </si>
  <si>
    <t>Обл. НДС
Кутник 50х50х4 L= 6000 мм, ст 3 пс
Надходження товарів і послуг ІБ00-004634 від 14.08.2025 11:00:00
Астарта_Тищенки</t>
  </si>
  <si>
    <t>Обл. НДС
Лист г/к  8*1500*3000 мм 
Надходження товарів і послуг ІБ00-005346 від 18.09.2025 11:00:00
Астарта_Тищенки</t>
  </si>
  <si>
    <t>Списання товарів ІБ00-000717 від 20.12.2025 18:18:54
Списаны ТМЦ</t>
  </si>
  <si>
    <t>Обл. НДС
Дошка 50*100 4,5 м
Надходження товарів і послуг ІБ00-005384 від 01.09.2025 11:00:00
Астарта_Тищенки</t>
  </si>
  <si>
    <t>Обл. НДС
Дошка 50*100*4000-4500
Надходження товарів і послуг ІБ00-006545 від 03.10.2025 11:00:00
Астарта_Тищенки</t>
  </si>
  <si>
    <t>Вимога-накладна ІБ00-001174 від 22.12.2025 00:00:00
Списаны ТМЦ</t>
  </si>
  <si>
    <t>Обл. НДС
Розчинник для емалей, лаків і фарб, 10л
Надходження товарів і послуг ІБ00-006269 від 01.10.2025 11:00:00
Астарта_Тищенки</t>
  </si>
  <si>
    <t>Обл. НДС
Металопрофіль ТП-60  0,5мм поліестер срібл 9006 3,770м
Надходження товарів і послуг ІБ00-006553 від 24.10.2025 11:00:00
Астарта_Тищенки</t>
  </si>
  <si>
    <t>Обл. НДС
Металопрофіль ТП-60  0,5мм поліестер срібл 9006 5,45м
Надходження товарів і послуг ІБ00-006553 від 24.10.2025 11:00:00
Астарта_Тищенки</t>
  </si>
  <si>
    <t>Обл. НДС
Металопрофіль ТП-60  0,5мм поліестер срібл 9006 6,20м
Надходження товарів і послуг ІБ00-006553 від 24.10.2025 11:00:00
Астарта_Тищенки</t>
  </si>
  <si>
    <t>Обл. НДС
Саморіз  4,8*19 RAL 9006
Надходження товарів і послуг ІБ00-006553 від 24.10.2025 11:00:00
Астарта_Тищенки</t>
  </si>
  <si>
    <t>Надходження товарів і послуг ІБ00-007879 від 22.12.2025 11:00:00
Оприходованы ТМЦ</t>
  </si>
  <si>
    <t>Обл. НДС
Бетон С 20/25  F150 W8 S3 M5
Надходження товарів і послуг ІБ00-007879 від 22.12.2025 11:00:00
Астарта_Тищенки</t>
  </si>
  <si>
    <t>ДОБРОБУД-БЕТОН ТОВ
Рахунки_Астарта_Тищенки
Надходження товарів і послуг ІБ00-007879 від 22.12.2025 11:00:00</t>
  </si>
  <si>
    <t>Надходження товарів і послуг ІБ00-007880 від 22.12.2025 11:00:00
Оприходованы ТМЦ</t>
  </si>
  <si>
    <t>Обл. НДС
Бетон С 20/25  F150 W8 S3 M5
Надходження товарів і послуг ІБ00-007880 від 22.12.2025 11:00:00
Астарта_Тищенки</t>
  </si>
  <si>
    <t>ДОБРОБУД-БЕТОН ТОВ
Рахунки_Астарта_Тищенки
Надходження товарів і послуг ІБ00-007880 від 22.12.2025 11:00:00</t>
  </si>
  <si>
    <t>Надходження товарів і послуг ІБ00-007881 від 22.12.2025 11:00:00
Оприходованы ТМЦ</t>
  </si>
  <si>
    <t>Обл. НДС
Бетон С 20/25  F150 W8 S3 M5
Надходження товарів і послуг ІБ00-007881 від 22.12.2025 11:00:00
Астарта_Тищенки</t>
  </si>
  <si>
    <t>ДОБРОБУД-БЕТОН ТОВ
Рахунки_Астарта_Тищенки
Надходження товарів і послуг ІБ00-007881 від 22.12.2025 11:00:00</t>
  </si>
  <si>
    <t>Надходження товарів і послуг ІБ00-007883 від 22.12.2025 11:00:00
Оприходованы ТМЦ</t>
  </si>
  <si>
    <t>Обл. НДС
Бетон С 20/25  F150 W8 S3 M5
Надходження товарів і послуг ІБ00-007883 від 22.12.2025 11:00:00
Астарта_Тищенки</t>
  </si>
  <si>
    <t>ДОБРОБУД-БЕТОН ТОВ
Рахунки_Астарта_Тищенки
Надходження товарів і послуг ІБ00-007883 від 22.12.2025 11:00:00</t>
  </si>
  <si>
    <t>Надходження товарів і послуг ІБ00-007884 від 22.12.2025 11:00:00
Оприходованы ТМЦ</t>
  </si>
  <si>
    <t>Обл. НДС
Бетон С 20/25  F150 W8 S3 M5
Надходження товарів і послуг ІБ00-007884 від 22.12.2025 11:00:00
Астарта_Тищенки</t>
  </si>
  <si>
    <t>ДОБРОБУД-БЕТОН ТОВ
Рахунки_Астарта_Тищенки
Надходження товарів і послуг ІБ00-007884 від 22.12.2025 11:00:00</t>
  </si>
  <si>
    <t>Вимога-накладна ІБ00-001177 від 22.12.2025 15:44:44
Списаны ТМЦ</t>
  </si>
  <si>
    <t>Обл. НДС
швелер № 18П; ст. 3пс5; 12 м
Надходження товарів і послуг ІБ00-005417 від 18.09.2025 11:00:00
Астарта_Тищенки</t>
  </si>
  <si>
    <t>Обл. НДС
Труба профільна 80*80*4 L=12  ст 1-3 сп/пс
Надходження товарів і послуг ІБ00-006208 від 24.10.2025 11:00:00
Астарта_Тищенки</t>
  </si>
  <si>
    <t>Обл. НДС
Газоблок 200*400*600 D500
Надходження товарів і послуг ІБ00-006862 від 04.11.2025 11:00:00
Астарта_Тищенки</t>
  </si>
  <si>
    <t>Обл. НДС
Клей для газобетону МР2 (25 кг)
Надходження товарів і послуг ІБ00-006272 від 17.10.2025 11:00:00
Астарта_Тищенки</t>
  </si>
  <si>
    <t>Вимога-накладна ІБ00-001178 від 22.12.2025 15:50:55
Списаны ТМЦ</t>
  </si>
  <si>
    <t>Обл. НДС
Пісок жовтий
Надходження товарів і послуг ІБ00-005379 від 10.09.2025 11:00:00
Астарта_Тищенки</t>
  </si>
  <si>
    <t>Обл. НДС
Пісок жовтий
Надходження товарів і послуг ІБ00-006847 від 01.11.2025 11:00:00
Астарта_Тищенки</t>
  </si>
  <si>
    <t>Обл. НДС
Емаль ХВ-124 сіра,  кг
Надходження товарів і послуг ІБ00-005965 від 08.10.2025 18:17:45
Астарта_Тищенки</t>
  </si>
  <si>
    <t>Обл. НДС
Саморіз  5,5*32 цинк з посиленим свердлом
Надходження товарів і послуг ІБ00-007024 від 13.11.2025 11:00:00
Астарта_Тищенки</t>
  </si>
  <si>
    <t>Обл. НДС
Полікарбонат профільований 1,5 мм 260  ТРК60 1,42мм  1,88м
Надходження товарів і послуг ІБ00-007022 від 13.11.2025 11:00:00
Астарта_Тищенки</t>
  </si>
  <si>
    <t>Списання товарів ІБ00-000727 від 22.12.2025 15:51:34
Списаны ТМЦ</t>
  </si>
  <si>
    <t>Обл. НДС
Шуруп 4х50
Надходження товарів і послуг ІБ00-005373 від 17.09.2025 11:00:00
Астарта_Тищенки</t>
  </si>
  <si>
    <t>Вимога-накладна ІБ00-001175 від 22.12.2025 17:34:38
Списаны ТМЦ</t>
  </si>
  <si>
    <t>Обл. НДС
Бетон С  8/10 В10
Надходження товарів і послуг ІБ00-006667 від 10.11.2025 11:00:00
Астарта_Тищенки</t>
  </si>
  <si>
    <t>Обл. НДС
Бетон С  8/10 В10
Надходження товарів і послуг ІБ00-006977 від 18.11.2025 11:00:00
Астарта_Тищенки</t>
  </si>
  <si>
    <t>Обл. НДС
Бетон С 16/20 В20
Надходження товарів і послуг ІБ00-006276 від 17.10.2025 11:00:00
Астарта_Тищенки</t>
  </si>
  <si>
    <t>Обл. НДС
Бетон С 16/20 В20
Надходження товарів і послуг ІБ00-006557 від 27.10.2025 11:00:00
Астарта_Тищенки</t>
  </si>
  <si>
    <t>Обл. НДС
Арматура 12 міра (12-3760  А400С/А500С)
Надходження товарів і послуг ІБ00-005080 від 03.09.2025 11:00:00
Астарта_Тищенки</t>
  </si>
  <si>
    <t>Обл. НДС
Фіксатор Стілець 50/8-24
Надходження товарів і послуг ІБ00-004889 від 12.08.2025 11:00:00
Астарта_Тищенки</t>
  </si>
  <si>
    <t>Обл. НДС
Дріт 1,2 мм термооброблений
Надходження товарів і послуг ІБ00-004625 від 04.08.2025 11:00:00
Астарта_Тищенки</t>
  </si>
  <si>
    <t>Вимога-накладна ІБ00-001176 від 22.12.2025 17:34:41
Списаны ТМЦ</t>
  </si>
  <si>
    <t>Обл. НДС
Бетон С 16/20 В20
Надходження товарів і послуг ІБ00-006560 від 27.10.2025 11:00:00
Астарта_Тищенки</t>
  </si>
  <si>
    <t>Обл. НДС
Бетон С 16/20 В20
Надходження товарів і послуг ІБ00-006561 від 27.10.2025 11:00:00
Астарта_Тищенки</t>
  </si>
  <si>
    <t>Обл. НДС
Бетон С 16/20 В20
Надходження товарів і послуг ІБ00-006555 від 01.11.2025 11:00:00
Астарта_Тищенки</t>
  </si>
  <si>
    <t>Обл. НДС
Анкер А-1
Надходження товарів і послуг ІБ00-006846 від 01.11.2025 11:00:00
Астарта_Тищенки</t>
  </si>
  <si>
    <t>Обл. НДС
Бетон С 16/20 В20
Надходження товарів і послуг ІБ00-006556 від 01.11.2025 11:00:00
Астарта_Тищенки</t>
  </si>
  <si>
    <t>Обл. НДС
Бетон С 16/20 В20
Надходження товарів і послуг ІБ00-006562 від 05.11.2025 11:00:00
Астарта_Тищенки</t>
  </si>
  <si>
    <t>Обл. НДС
Бетон С 16/20 В20
Надходження товарів і послуг ІБ00-006564 від 05.11.2025 11:00:00
Астарта_Тищенки</t>
  </si>
  <si>
    <t>Обл. НДС
Фіксатор настил 30-40 (200 шт. в упак.)
Надходження товарів і послуг ІБ00-006997 від 04.11.2025 11:00:00
Астарта_Тищенки</t>
  </si>
  <si>
    <t>Обл. НДС
Газоблок 200*400*600 D500
Надходження товарів і послуг ІБ00-006859 від 05.11.2025 11:00:00
Астарта_Тищенки</t>
  </si>
  <si>
    <t>Вимога-накладна ІБ00-001183 від 22.12.2025 22:34:50
Списаны ТМЦ</t>
  </si>
  <si>
    <t>Обл. НДС
Металопрофіль ТП-60  0,5мм поліестер срібл 9006 6,470м
Надходження товарів і послуг ІБ00-006553 від 24.10.2025 11:00:00
Астарта_Тищенки</t>
  </si>
  <si>
    <t>Обл. НДС
Металопрофіль ТП-60  0,5мм поліестер срібл 9006 4,95м
Надходження товарів і послуг ІБ00-006553 від 24.10.2025 11:00:00
Астарта_Тищенки</t>
  </si>
  <si>
    <t>Надходження товарів і послуг ІБ00-007836 від 23.12.2025 11:00:00
Оприходованы ТМЦ</t>
  </si>
  <si>
    <t>Обл. НДС
Самонаріз для мет.профілю до мет.конструкцій 5,5*32 срібло 9006 250шт
Надходження товарів і послуг ІБ00-007836 від 23.12.2025 11:00:00
Астарта_Тищенки</t>
  </si>
  <si>
    <t>ТПК-ЦЕНТР ТОВ
Договір13/20/П/011від 21.07.2020_ Астарта. Тищенки
Рахунок на оплату постачальника ІБ00-006408 від 22.12.2025 22:34:55</t>
  </si>
  <si>
    <t>Надходження товарів і послуг ІБ00-007837 від 23.12.2025 11:00:00
Оприходованы ТМЦ</t>
  </si>
  <si>
    <t>Обл. НДС
Самонаріз для мет.профілю до мет.конструкцій 4,8*19 срібло 9006
Надходження товарів і послуг ІБ00-007837 від 23.12.2025 11:00:00
Астарта_Тищенки</t>
  </si>
  <si>
    <t>ТПК-ЦЕНТР ТОВ
Договір13/20/П/011від 21.07.2020_ Астарта. Тищенки
Рахунок на оплату постачальника ІБ00-006438 від 22.12.2025 22:34:57</t>
  </si>
  <si>
    <t>Авансовий звіт ІБ00-000410 від 24.12.2025 10:39:42
Оприходованы ТМЦ</t>
  </si>
  <si>
    <t>Обл. НДС
Уайт-спірит аналог 0,75 кг
Авансовий звіт ІБ00-000410 від 24.12.2025 10:39:42
Астарта_Тищенки</t>
  </si>
  <si>
    <t>Обл. НДС
Розетка 3-на з заглушками Lezard каучук, 106-0400-0101
Авансовий звіт ІБ00-000410 від 24.12.2025 10:39:42
Астарта_Тищенки</t>
  </si>
  <si>
    <t>Обл. НДС
Вилка стандартна (каучук) 
Авансовий звіт ІБ00-000410 від 24.12.2025 10:39:42
Астарта_Тищенки</t>
  </si>
  <si>
    <t>Обл. НДС
трійник з поліпроп (45) 110х110х110 (2 гумки)
Авансовий звіт ІБ00-000410 від 24.12.2025 10:39:42
Астарта_Тищенки</t>
  </si>
  <si>
    <t>Обл. НДС
Коліно каналіз. 110*45°
Авансовий звіт ІБ00-000410 від 24.12.2025 10:39:42
Астарта_Тищенки</t>
  </si>
  <si>
    <t>Обл. НДС
Цемент СЕМ ІІІ/А 42,5N, 25 кг 
Авансовий звіт ІБ00-000410 від 24.12.2025 10:39:42
Астарта_Тищенки</t>
  </si>
  <si>
    <t>Обл. НДС
Колодка електр. б/з 2+2 гнізда
Авансовий звіт ІБ00-000410 від 24.12.2025 10:39:42
Астарта_Тищенки</t>
  </si>
  <si>
    <t>Обл. НДС
Вилка з заземленням
Авансовий звіт ІБ00-000410 від 24.12.2025 10:39:42
Астарта_Тищенки</t>
  </si>
  <si>
    <t>Надходження товарів і послуг ІБ00-007745 від 24.12.2025 11:00:00
Оприходованы ТМЦ</t>
  </si>
  <si>
    <t>Обл. НДС
Профільований полікарбонат прозорий 1,5 мм, SUNTUF 260 TPK60 UV2
Надходження товарів і послуг ІБ00-007745 від 24.12.2025 11:00:00
Астарта_Тищенки</t>
  </si>
  <si>
    <t>ТПК-ЦЕНТР ТОВ
Договір13/20/П/011від 21.07.2020_ Астарта. Тищенки
Рахунок на оплату постачальника ІБ00-005192 від 16.10.2025 18:17:36</t>
  </si>
  <si>
    <t>Надходження товарів і послуг ІБ00-007745 від 24.12.2025 11:00:00
Оприходованы ТМЦ (Зачет аванса поставщику)</t>
  </si>
  <si>
    <t>Надходження товарів і послуг ІБ00-007746 від 24.12.2025 11:00:00
Оприходованы ТМЦ</t>
  </si>
  <si>
    <t>Обл. НДС
Профільований полікарбонат прозорий 1,5 мм, SUNTUF 260 TPK60  UV2 1042мм 1,600м
Надходження товарів і послуг ІБ00-007746 від 24.12.2025 11:00:00
Астарта_Тищенки</t>
  </si>
  <si>
    <t>ТПК-ЦЕНТР ТОВ
Договір13/20/П/011від 21.07.2020_ Астарта. Тищенки
Рахунок на оплату постачальника ІБ00-005573 від 01.11.2025 12:00:29</t>
  </si>
  <si>
    <t>Надходження товарів і послуг ІБ00-007746 від 24.12.2025 11:00:00
Оприходованы ТМЦ (Зачет аванса поставщику)</t>
  </si>
  <si>
    <t>Вимога-накладна ІБ00-001215 від 29.12.2025 18:37:54
Списаны ТМЦ</t>
  </si>
  <si>
    <t>Вимога-накладна ІБ00-001216 від 29.12.2025 18:37:56
Списаны ТМЦ</t>
  </si>
  <si>
    <t>Вимога-накладна ІБ00-001217 від 29.12.2025 18:37:58
Списаны ТМЦ</t>
  </si>
  <si>
    <t>Обл. НДС
Лист г/к  8*1500*6000 S235JR
Надходження товарів і послуг ІБ00-006551 від 09.10.2025 11:00:00
Астарта_Тищенки</t>
  </si>
  <si>
    <t>Обл. НДС
Арматура 12 міра (12-3760  А500С/А400С)
Надходження товарів і послуг ІБ00-006984 від 21.11.2025 11:00:00
Астарта_Тищенки</t>
  </si>
  <si>
    <t>Списання товарів ІБ00-000735 від 29.12.2025 18:38:00
Списаны ТМЦ</t>
  </si>
  <si>
    <t>Обл. НДС
Фанера 1250*2500*21 мм
Надходження товарів і послуг ІБ00-004642 від 01.08.2025 11:00:00
Астарта_Тищенки</t>
  </si>
  <si>
    <t>Вимога-накладна ІБ00-001218 від 29.12.2025 18:38:01
Списаны ТМЦ</t>
  </si>
  <si>
    <t>Обл. НДС
Бетон С 20/25 F100 W4
Надходження товарів і послуг ІБ00-006664 від 08.11.2025 11:00:00
Астарта_Тищенки</t>
  </si>
  <si>
    <t>Обл. НДС
Бетон С 20/25 F100 W4
Надходження товарів і послуг ІБ00-006665 від 08.11.2025 11:00:00
Астарта_Тищенки</t>
  </si>
  <si>
    <t>Вимога-накладна ІБ00-001220 від 29.12.2025 18:38:05
Списаны ТМЦ</t>
  </si>
  <si>
    <t>Обл. НДС
Бетон С 20/25 F250 W10 S3
Надходження товарів і послуг ІБ00-007225 від 29.11.2025 11:00:00
Астарта_Тищенки</t>
  </si>
  <si>
    <t>Обл. НДС
Бетон С 20/25 F250 W10 S3
Надходження товарів і послуг ІБ00-007283 від 29.11.2025 11:00:00
Астарта_Тищенки</t>
  </si>
  <si>
    <t>Обл. НДС
Бетон С 20/25 F250 W10 S3
Надходження товарів і послуг ІБ00-007284 від 29.11.2025 11:00:00
Астарта_Тищенки</t>
  </si>
  <si>
    <t>Обл. НДС
Бетон С 20/25 F250 W10 S3
Надходження товарів і послуг ІБ00-007285 від 29.11.2025 11:00:00
Астарта_Тищенки</t>
  </si>
  <si>
    <t>Списання товарів ІБ00-000738 від 29.12.2025 18:39:01
Списаны ТМЦ</t>
  </si>
  <si>
    <t>Обл. НДС
Труба п/е 25- (2 м)
Надходження товарів і послуг ІБ00-005380 від 11.09.2025 11:00:00
Астарта_Тищенки</t>
  </si>
  <si>
    <t>Вимога-накладна ІБ00-001221 від 29.12.2025 18:39:02
Списаны ТМЦ</t>
  </si>
  <si>
    <t>Обл. НДС
Пісок, т
Надходження товарів і послуг ІБ00-007004 від 01.11.2025 11:00:00
Астарта_Тищенки</t>
  </si>
  <si>
    <t>Списання товарів ІБ00-000739 від 29.12.2025 18:39:04
Списаны ТМЦ</t>
  </si>
  <si>
    <t>Вимога-накладна ІБ00-001222 від 29.12.2025 18:39:05
Списаны ТМЦ</t>
  </si>
  <si>
    <t>Обл. НДС
Лист г/к 10 мм, 1500*6000, S235 JR
Надходження товарів і послуг ІБ00-005374 від 08.09.2025 11:00:00
Астарта_Тищенки</t>
  </si>
  <si>
    <t>Обл. НДС
Лист г/к 10 мм, 1500*6000, S235 JR
Надходження товарів і послуг ІБ00-005346 від 18.09.2025 11:00:00
Астарта_Тищенки</t>
  </si>
  <si>
    <t>Обл. НДС
Лист г/к 10,0 мм 1500*6000, S235 JR
Надходження товарів і послуг ІБ00-006551 від 09.10.2025 11:00:00
Астарта_Тищенки</t>
  </si>
  <si>
    <t>Обл. НДС
Лист г/к 10*2000*6000, S235 JR
Переміщення товарів ІБ00-001307 від 01.11.2025 12:00:11
Астарта_Тищенки</t>
  </si>
  <si>
    <t>Обл. НДС
Болт М20*260  DIN 931 оц. 8,8
Надходження товарів і послуг ІБ00-005506 від 11.09.2025 11:00:00
Астарта_Тищенки</t>
  </si>
  <si>
    <t>Обл. НДС
Гайка М20  ISO4032 8 гранна цб
Надходження товарів і послуг ІБ00-005506 від 11.09.2025 11:00:00
Астарта_Тищенки</t>
  </si>
  <si>
    <t>Обл. НДС
Шайба М20  DIN 125-1 до кл м 4,6-8,8
Надходження товарів і послуг ІБ00-005506 від 11.09.2025 11:00:00
Астарта_Тищенки</t>
  </si>
  <si>
    <t>Обл. НДС
Стрічка ущільнююча 3мм/30м/70мм рулон
Надходження товарів і послуг ІБ00-006637 від 23.10.2025 11:00:00
Астарта_Тищенки</t>
  </si>
  <si>
    <t>Списання товарів ІБ00-000740 від 29.12.2025 18:39:06
Списаны ТМЦ</t>
  </si>
  <si>
    <t>Вимога-накладна ІБ00-001223 від 29.12.2025 18:39:08
Списаны ТМЦ</t>
  </si>
  <si>
    <t>Обл. НДС
Бетон С 20/25  F150 W8
Надходження товарів і послуг ІБ00-005464 від 23.09.2025 11:00:00
Астарта_Тищенки</t>
  </si>
  <si>
    <t>Обл. НДС
Лист г/к 10 мм, 1500*6000, S235 JR
Надходження товарів і послуг ІБ00-006552 від 09.10.2025 11:00:00
Астарта_Тищенки</t>
  </si>
  <si>
    <t>Обл. НДС
Болт М20*260  DIN 931 оц. 8,8
Надходження товарів і послуг ІБ00-006238 від 17.10.2025 11:00:00
Астарта_Тищенки</t>
  </si>
  <si>
    <t>Обл. НДС
Гайка М20 DIN 934 ЦБ
Надходження товарів і послуг ІБ00-006238 від 17.10.2025 11:00:00
Астарта_Тищенки</t>
  </si>
  <si>
    <t>Обл. НДС
Шайба плоска М20 оц. DIN9021
Авансовий звіт ІБ00-000357 від 18.11.2025 15:56:27
Астарта_Тищенки</t>
  </si>
  <si>
    <t>Обл. НДС
Шайба пласка, DIN 9021 оцинкована М20
Авансовий звіт ІБ00-000278 від 02.10.2025 18:25:46
Астарта_Тищенки</t>
  </si>
  <si>
    <t>Обл. НДС
Шайба плоська DIN 125 М20 140 HV ЦБ
Надходження товарів і послуг ІБ00-006045 від 17.10.2025 11:00:00
Астарта_Тищенки</t>
  </si>
  <si>
    <t>Вимога-накладна ІБ00-001224 від 29.12.2025 18:39:09
Списаны ТМЦ</t>
  </si>
  <si>
    <t>Обл. НДС
Бетон С 20/25  F150 W8
Надходження товарів і послуг ІБ00-005465 від 23.09.2025 11:00:00
Астарта_Тищенки</t>
  </si>
  <si>
    <t>Вимога-накладна ІБ00-001225 від 29.12.2025 18:40:00
Списаны ТМЦ</t>
  </si>
  <si>
    <t>Обл. НДС
Пісок, т
Надходження товарів і послуг ІБ00-007005 від 01.11.2025 11:00:00
Астарта_Тищенки</t>
  </si>
  <si>
    <t>Обл. НДС
Бетон С 20/25  F150 W8
Надходження товарів і послуг ІБ00-006025 від 13.10.2025 11:00:00
Астарта_Тищенки</t>
  </si>
  <si>
    <t>Обл. НДС
Бетон С 20/25  F150 W8
Надходження товарів і послуг ІБ00-006277 від 18.10.2025 11:00:00
Астарта_Тищенки</t>
  </si>
  <si>
    <t>Обл. НДС
Бетон С 20/25  F150 W8
Надходження товарів і послуг ІБ00-006980 від 14.11.2025 11:00:00
Астарта_Тищенки</t>
  </si>
  <si>
    <t>Обл. НДС
Бетон С 20/25  F150 W8
Надходження товарів і послуг ІБ00-006982 від 14.11.2025 11:00:00
Астарта_Тищенки</t>
  </si>
  <si>
    <t>Обл. НДС
Бетон С 20/25  F150 W8
Надходження товарів і послуг ІБ00-006983 від 14.11.2025 11:00:00
Астарта_Тищенки</t>
  </si>
  <si>
    <t>Обл. НДС
Кутник 50*50*5мм 6.05 S235/S275 
Надходження товарів і послуг ІБ00-006208 від 24.10.2025 11:00:00
Астарта_Тищенки</t>
  </si>
  <si>
    <t>Обл. НДС
Кутник 50*50*5мм 6.05 S235/S275 
Надходження товарів і послуг ІБ00-006984 від 21.11.2025 11:00:00
Астарта_Тищенки</t>
  </si>
  <si>
    <t>Обл. НДС
Кутник 50*50*5мм 6.05 S235/S275 
Надходження товарів і послуг ІБ00-006987 від 21.11.2025 11:00:00
Астарта_Тищенки</t>
  </si>
  <si>
    <t>Обл. НДС
Кутник 50х50х5 L= 6 м
Надходження товарів і послуг ІБ00-005343 від 18.09.2025 11:00:00
Астарта_Тищенки</t>
  </si>
  <si>
    <t>Обл. НДС
Смуга 60 мм 6,0 мм, 6 м S235JR
Надходження товарів і послуг ІБ00-005343 від 18.09.2025 11:00:00
Астарта_Тищенки</t>
  </si>
  <si>
    <t>Вимога-накладна ІБ00-001226 від 29.12.2025 18:41:11
Списаны ТМЦ</t>
  </si>
  <si>
    <t>Обл. НДС
Прокат арматурний №14 мм  А500С, 12 м
Надходження товарів і послуг ІБ00-004587 від 07.08.2025 11:00:00
Астарта_Тищенки</t>
  </si>
  <si>
    <t>Вимога-накладна ІБ00-001249 від 29.12.2025 18:42:00
Списаны ТМЦ</t>
  </si>
  <si>
    <t>Вимога-накладна ІБ00-001250 від 29.12.2025 18:43:19
Списаны ТМЦ</t>
  </si>
  <si>
    <t>Обл. НДС
Пісок, т
Надходження товарів і послуг ІБ00-007006 від 01.11.2025 11:00:00
Астарта_Тищенки</t>
  </si>
  <si>
    <t>Обл. НДС
Пісок, т
Надходження товарів і послуг ІБ00-007007 від 01.11.2025 11:00:00
Астарта_Тищенки</t>
  </si>
  <si>
    <t>Обл. НДС
Кутик 50*50*5мм ст. S275 JR 6м
Надходження товарів і послуг ІБ00-005517 від 10.09.2025 11:00:00
Астарта_Тищенки</t>
  </si>
  <si>
    <t>Обл. НДС
Кутик 50х50х5мм ст 3пс МІРА
Надходження товарів і послуг ІБ00-006551 від 09.10.2025 11:00:00
Астарта_Тищенки</t>
  </si>
  <si>
    <t>Обл. НДС
Кутик 50х50х5мм ст, 3пс; 6 м
Надходження товарів і послуг ІБ00-005374 від 08.09.2025 11:00:00
Астарта_Тищенки</t>
  </si>
  <si>
    <t>Обл. НДС
Кутик 50х50х5мм ст, S275JR. 6 м
Переміщення товарів ІБ00-001307 від 01.11.2025 12:00:11
Астарта_Тищенки</t>
  </si>
  <si>
    <t>Обл. НДС
Самонаріз для мет.профілю до мет.конструкцій 5,5*32 синій 5005 
Надходження товарів і послуг ІБ00-007023 від 13.11.2025 11:00:00
Астарта_Тищенки</t>
  </si>
  <si>
    <t>Обл. НДС
Самонаріз для мет.профілю до мет.конструкцій 5,5*32 синій 5005 
Надходження товарів і послуг ІБ00-007025 від 13.11.2025 11:00:00
Астарта_Тищенки</t>
  </si>
  <si>
    <t>Обл. НДС
Фарба вапняна А 10л
Надходження товарів і послуг ІБ00-006237 від 24.10.2025 11:00:00
Астарта_Тищенки</t>
  </si>
  <si>
    <t>Вимога-накладна ІБ00-001251 від 29.12.2025 18:45:21
Списаны ТМЦ</t>
  </si>
  <si>
    <t>Обл. НДС
Швелер 18 П ст.3пс
Переміщення товарів ІБ00-001307 від 01.11.2025 12:00:11
Астарта_Тищенки</t>
  </si>
  <si>
    <t>Обл. НДС
Газоблок 200*400*600 D500
Надходження товарів і послуг ІБ00-006856 від 06.11.2025 11:00:00
Астарта_Тищенки</t>
  </si>
  <si>
    <t>Обл. НДС
Цегла рядова повнотіла М100
Надходження товарів і послуг ІБ00-006858 від 06.11.2025 11:00:00
Астарта_Тищенки</t>
  </si>
  <si>
    <t>Обл. НДС
Цегла рядова повнотіла М100
Надходження товарів і послуг ІБ00-007208 від 20.11.2025 11:00:00
Астарта_Тищенки</t>
  </si>
  <si>
    <t>Списання товарів ІБ00-000741 від 29.12.2025 22:38:10
Списаны ТМЦ</t>
  </si>
  <si>
    <t>Обл. НДС
Дошка 50*100*4000-4500
Надходження товарів і послуг ІБ00-006549 від 03.10.2025 11:00:00
Астарта_Тищенки</t>
  </si>
  <si>
    <t>Обл. НДС
Дріт 1,2 мм термооброблений
Надходження товарів і послуг ІБ00-006551 від 09.10.2025 11:00:00
Астарта_Тищенки</t>
  </si>
  <si>
    <t>Списання товарів ІБ00-000742 від 29.12.2025 22:38:13
Списаны ТМЦ</t>
  </si>
  <si>
    <t>Обл. НДС
Труба п/е 25- (2 м)
Надходження товарів і послуг ІБ00-006997 від 04.11.2025 11:00:00
Астарта_Тищенки</t>
  </si>
  <si>
    <t>Списання товарів ІБ00-000748 від 29.12.2025 22:38:17
Списаны ТМЦ</t>
  </si>
  <si>
    <t>Обл. НДС
Плита OSB  15 мм
Надходження товарів і послуг ІБ00-007204 від 19.11.2025 11:00:00
Астарта_Тищенки</t>
  </si>
  <si>
    <t>Обл. НДС
Дріт з/я т/о d 1,2 мм (3282-74)
Надходження товарів і послуг ІБ00-006985 від 21.11.2025 11:00:00
Астарта_Тищенки</t>
  </si>
  <si>
    <t>Списання товарів ІБ00-000749 від 29.12.2025 22:38:19
Списаны ТМЦ</t>
  </si>
  <si>
    <t>Списання товарів ІБ00-000750 від 29.12.2025 22:40:00
Списаны ТМЦ</t>
  </si>
  <si>
    <t>Обл. НДС
Дріт 1,2 мм термооброблений
Надходження товарів і послуг ІБ00-006552 від 09.10.2025 11:00:00
Астарта_Тищенки</t>
  </si>
  <si>
    <t>Обл. НДС
Дріт ОК т/о 1,2мм 
Надходження товарів і послуг ІБ00-005346 від 18.09.2025 11:00:00
Астарта_Тищенки</t>
  </si>
  <si>
    <t>Вимога-накладна ІБ00-001252 від 29.12.2025 22:40:02
Списаны ТМЦ</t>
  </si>
  <si>
    <t>Обл. НДС
Анкер А-3
Надходження товарів і послуг ІБ00-006846 від 01.11.2025 11:00:00
Астарта_Тищенки</t>
  </si>
  <si>
    <t>Обл. НДС
Прокат арматурний №12 мм  А500С  12м
Надходження товарів і послуг ІБ00-004587 від 07.08.2025 11:00:00
Астарта_Тищенки</t>
  </si>
  <si>
    <t>Обл. НДС
Круг 10 (6,05- 3260 3пс/А240с)
Надходження товарів і послуг ІБ00-005374 від 08.09.2025 11:00:00
Астарта_Тищенки</t>
  </si>
  <si>
    <t>Списання товарів ІБ00-000751 від 29.12.2025 22:41:00
Списаны ТМЦ</t>
  </si>
  <si>
    <t>31.12.2025</t>
  </si>
  <si>
    <t>Надходження товарів і послуг ІБ00-008051 від 31.12.2025 11:00:00
Оприходованы ТМЦ (Зачет аванса поставщику)</t>
  </si>
  <si>
    <t>Обл. НДС
Плита OSB 18 мм
Надходження товарів і послуг ІБ00-008051 від 31.12.2025 11:00:00
Астарта_Тищенки</t>
  </si>
  <si>
    <t>Укрлісцентр" ПП
РАХУНКИ_ Астарта. Тищенки
Рахунок на оплату постачальника ІБ00-006400 від 10.12.2025 18:36:58</t>
  </si>
  <si>
    <t>Обл. НДС
Кут 50
Надходження товарів і послуг ІБ00-007478 від 01.12.2025 11:00:00
КМД-2</t>
  </si>
  <si>
    <t>Обл. НДС
Сітка зв. штукат. чорн. 25х12/0,7мм/h1мх30м
Надходження товарів і послуг ІБ00-007478 від 01.12.2025 11:00:00
КМД-2</t>
  </si>
  <si>
    <t>Надходження товарів і послуг ІБ00-007533 від 01.12.2025 11:00:00
Оприходованы ТМЦ</t>
  </si>
  <si>
    <t>Обл. НДС
Бетон БСГ В30 Р5 F200 W6 
Надходження товарів і послуг ІБ00-007533 від 01.12.2025 11:00:00
КМД-2</t>
  </si>
  <si>
    <t>ЕКСПРЕС ТЕХБУД ТОВ
Дог. №0110/2025-4 від 01.10.2025_КМД-2
Рахунок на оплату постачальника ІБ00-006193 від 01.12.2025 23:00:59</t>
  </si>
  <si>
    <t>Надходження товарів і послуг ІБ00-007622 від 01.12.2025 11:00:00
Оприходованы ТМЦ</t>
  </si>
  <si>
    <t>Обл. НДС
Фіксатор конус
Надходження товарів і послуг ІБ00-007622 від 01.12.2025 11:00:00
КМД-2</t>
  </si>
  <si>
    <t>ПРОТЕКС УКРАЇНА
Договір 9  від 11.12.2023_КМД-2 Путрівка
Рахунок на оплату постачальника ІБ00-005909 від 24.11.2025 17:16:56</t>
  </si>
  <si>
    <t>Надходження дод. витрат ІБ00-000695 від 01.12.2025 11:10:00
Доп. расходы при поступлении товаров (Зачет аванса поставщику)</t>
  </si>
  <si>
    <t>Надходження дод. витрат ІБ00-000698 від 01.12.2025 11:10:00
Доп. расходы при поступлении товаров</t>
  </si>
  <si>
    <t>ЕКСПРЕС ТЕХБУД ТОВ
 № ЕТ СТ 0111/2025-2 від 01.11.2025_КМД-2
Рахунок на оплату постачальника ІБ00-006196 від 01.12.2025 23:01:02</t>
  </si>
  <si>
    <t>Надходження товарів і послуг ІБ00-007444 від 04.12.2025 11:00:00
Оприходованы ТМЦ</t>
  </si>
  <si>
    <t>Обл. НДС
ЩПС 0,05-70 (С-5)
Надходження товарів і послуг ІБ00-007444 від 04.12.2025 11:00:00
КМД-2</t>
  </si>
  <si>
    <t>ЕКСПРЕС ТЕХБУД ТОВ
Дог ET П 2910/2024-1 від 29.10.2024_КМД-2
Рахунок на оплату постачальника ІБ00-006112 від 04.12.2025 20:47:59</t>
  </si>
  <si>
    <t>Переміщення товарів ІБ00-001616 від 15.12.2025 17:57:45
Перемещение ТМЦ</t>
  </si>
  <si>
    <t>Обл. НДС
Сітка рабиця оц 50х50/2мм 1,5м*10м
Переміщення товарів ІБ00-001616 від 15.12.2025 17:57:45
КМД-2</t>
  </si>
  <si>
    <t>Обл. НДС
Сітка рабиця оц 50х50/2мм 1,5м*10м
Комплектація номенклатури ІБ00-000041 від 03.12.2025 18:16:23
Склад Обміну Стройматеріалів</t>
  </si>
  <si>
    <t>Обл. НДС
Круг відрізний 230*2,5*22 увігнутий
Переміщення товарів ІБ00-001616 від 15.12.2025 17:57:45
КМД-2</t>
  </si>
  <si>
    <t>Обл. НДС
Круг відрізний 230*2,5*22 увігнутий
Надходження товарів і послуг ІБ00-007425 від 01.12.2025 11:00:00
Склад Обміну Стройматеріалів</t>
  </si>
  <si>
    <t>Обл. НДС
Дріт 1,2 мм Н-О-Ч
Надходження товарів і послуг ІБ00-007048 від 01.11.2025 11:00:00
КМД-2</t>
  </si>
  <si>
    <t>Обл. НДС
Фанера ламінована 1250*2500*21 мм гл/гл
Надходження товарів і послуг ІБ00-007047 від 01.11.2025 11:00:00
КМД-2</t>
  </si>
  <si>
    <t>Обл. НДС
Цемент СЕМ 500 ІІ/B-S 42,5 R 25кг 1,6т
Надходження товарів і послуг ІБ00-007050 від 21.11.2025 11:00:00
КМД-2</t>
  </si>
  <si>
    <t>Обл. НДС
Шнур бентонітовий ГІДРОСТОП 15*25
Надходження товарів і послуг ІБ00-006816 від 03.11.2025 11:00:00
КМД-2</t>
  </si>
  <si>
    <t>Вимога-накладна ІБ00-001159 від 20.12.2025 18:18:59
Списаны ТМЦ</t>
  </si>
  <si>
    <t>Обл. НДС
Виробничий КМД 2, Путрівка
КМД-2
Прямі материальні виробничі витрати крім зворотніх відходів</t>
  </si>
  <si>
    <t>Обл. НДС
Бетон БСГ В10 Р4 F50 
Надходження товарів і послуг ІБ00-006907 від 01.11.2025 11:00:00
КМД-2</t>
  </si>
  <si>
    <t>Списання товарів ІБ00-000718 від 20.12.2025 18:19:00
Списаны ТМЦ</t>
  </si>
  <si>
    <t>Обл. НДС
Пиломатеріал 21*100*3000мм обрізний сосна
Надходження товарів і послуг ІБ00-006334 від 01.10.2025 11:00:00
КМД-2</t>
  </si>
  <si>
    <t>Обл. НДС
Пиломатеріал 100*100*3000мм обрізний сосна
Надходження товарів і послуг ІБ00-006335 від 01.10.2025 11:00:00
КМД-2</t>
  </si>
  <si>
    <t>Обл. НДС
Саморіз  4,8*35  по дер.з,шест.гол.зі свердлом і шайбою
Надходження товарів і послуг ІБ00-006621 від 01.10.2025 11:00:00
КМД-2</t>
  </si>
  <si>
    <t>Вимога-накладна ІБ00-000795 від 01.12.2025 00:00:00
Списаны ТМЦ</t>
  </si>
  <si>
    <t>Обл. НДС
Виробничий (Катеринопіль МХП)
Цех МХП Катеринопіль
Прямі материальні виробничі витрати крім зворотніх відходів</t>
  </si>
  <si>
    <t>Обл. НДС
Кутник 50х50х5 мм ст.3пс 6м
Переміщення товарів ІБ00-000902 від 17.09.2025 13:00:00
Цех_Катеринопіль МХП(ДУ-6 Транспортгалерея)</t>
  </si>
  <si>
    <t>Обл. НДС
Лист 5 мм
Переміщення товарів ІБ00-000902 від 17.09.2025 13:00:00
Цех_Катеринопіль МХП(ДУ-6 Транспортгалерея)</t>
  </si>
  <si>
    <t>Обл. НДС
Труба 80х80х4 (12,05- 8940:2019 08кп/1-3пс)
Переміщення товарів ІБ00-000902 від 17.09.2025 13:00:00
Цех_Катеринопіль МХП(ДУ-6 Транспортгалерея)</t>
  </si>
  <si>
    <t>Обл. НДС
Лист 20 (г.к)  (1,5х6) imp ((1,5*6,0) S235JR)
Переміщення товарів ІБ00-000902 від 17.09.2025 13:00:00
Цех_Катеринопіль МХП(ДУ-6 Транспортгалерея)</t>
  </si>
  <si>
    <t>Обл. НДС
Лист 10 (г.к.) (1,5х6) imp ((1,5*6,0) S235)
Переміщення товарів ІБ00-000902 від 17.09.2025 13:00:00
Цех_Катеринопіль МХП(ДУ-6 Транспортгалерея)</t>
  </si>
  <si>
    <t>Обл. НДС
Лист 10*1500*6000 3 сп/пс5  7208
Переміщення товарів ІБ00-000902 від 17.09.2025 13:00:00
Цех_Катеринопіль МХП(ДУ-6 Транспортгалерея)</t>
  </si>
  <si>
    <t>Обл. НДС
Лист 4 (г.к)  (1,5х6) ((1,5*6,0) 14637 3сп5)
Переміщення товарів ІБ00-000902 від 17.09.2025 13:00:00
Цех_Катеринопіль МХП(ДУ-6 Транспортгалерея)</t>
  </si>
  <si>
    <t>Обл. НДС
труба 140х140х4 мм; ст. 3пс5; 12 м
Переміщення товарів ІБ00-000902 від 17.09.2025 13:00:00
Цех_Катеринопіль МХП(ДУ-6 Транспортгалерея)</t>
  </si>
  <si>
    <t>Обл. НДС
Труба профільна 60*60*4 L=6 ст 1-3 сп/пс
Переміщення товарів ІБ00-000902 від 17.09.2025 13:00:00
Цех_Катеринопіль МХП(ДУ-6 Транспортгалерея)</t>
  </si>
  <si>
    <t>Обл. НДС
Труба 100х100х5 мм; ст. 3пс5; 12 м
Переміщення товарів ІБ00-000902 від 17.09.2025 13:00:00
Цех_Катеринопіль МХП(ДУ-6 Транспортгалерея)</t>
  </si>
  <si>
    <t>Обл. НДС
Труба 120х120х4 (12,05- 8940:2019 08кп/1-3пс)
Переміщення товарів ІБ00-000902 від 17.09.2025 13:00:00
Цех_Катеринопіль МХП(ДУ-6 Транспортгалерея)</t>
  </si>
  <si>
    <t>Вимога-накладна ІБ00-000797 від 01.12.2025 00:00:00
Списаны ТМЦ</t>
  </si>
  <si>
    <t>Обл. НДС
Швелер 16П  S275JR,12 м
Переміщення товарів ІБ00-000906 від 19.09.2025 13:00:00
Цех_Катеринопіль МХП(ДУ-6 Транспортгалерея)</t>
  </si>
  <si>
    <t>Обл. НДС
Швелер г/к № 16П ст.3ПС МІРА
Переміщення товарів ІБ00-000906 від 19.09.2025 13:00:00
Цех_Катеринопіль МХП(ДУ-6 Транспортгалерея)</t>
  </si>
  <si>
    <t>Обл. НДС
Лист 10*1500*6000 3 сп/пс5  7208
Переміщення товарів ІБ00-000906 від 19.09.2025 13:00:00
Цех_Катеринопіль МХП(ДУ-6 Транспортгалерея)</t>
  </si>
  <si>
    <t>Обл. НДС
Балка 30 ІРЕ (12.15 EN 10024 S235/ S275)
Переміщення товарів ІБ00-000906 від 19.09.2025 13:00:00
Цех_Катеринопіль МХП(ДУ-6 Транспортгалерея)</t>
  </si>
  <si>
    <t>Обл. НДС
Балка двутаврова ІРЕ 360 С275 12м
Переміщення товарів ІБ00-000906 від 19.09.2025 13:00:00
Цех_Катеринопіль МХП(ДУ-6 Транспортгалерея)</t>
  </si>
  <si>
    <t>Обл. НДС
Труба 100х100х4 (12,05- 8940:2019 08кп/1-3пс)
Переміщення товарів ІБ00-000906 від 19.09.2025 13:00:00
Цех_Катеринопіль МХП(ДУ-6 Транспортгалерея)</t>
  </si>
  <si>
    <t>Обл. НДС
Лист 4 (г.к)  (1,5х6) ((1,5*6,0) 14637 3сп5)
Переміщення товарів ІБ00-000906 від 19.09.2025 13:00:00
Цех_Катеринопіль МХП(ДУ-6 Транспортгалерея)</t>
  </si>
  <si>
    <t>Обл. НДС
Кутник 75х75х6 мм ст.3сп5 12м
Переміщення товарів ІБ00-000906 від 19.09.2025 13:00:00
Цех_Катеринопіль МХП(ДУ-6 Транспортгалерея)</t>
  </si>
  <si>
    <t>Обл. НДС
Кутник 50х50х5 мм ст.3пс 6м
Переміщення товарів ІБ00-000906 від 19.09.2025 13:00:00
Цех_Катеринопіль МХП(ДУ-6 Транспортгалерея)</t>
  </si>
  <si>
    <t>Обл. НДС
Труба 80х80х4 (12,05- 8940:2019 08кп/1-3пс)
Переміщення товарів ІБ00-000906 від 19.09.2025 13:00:00
Цех_Катеринопіль МХП(ДУ-6 Транспортгалерея)</t>
  </si>
  <si>
    <t>Обл. НДС
Лист г/к 20*1500*6000, S235 JR
Переміщення товарів ІБ00-000906 від 19.09.2025 13:00:00
Цех_Катеринопіль МХП(ДУ-6 Транспортгалерея)</t>
  </si>
  <si>
    <t>Обл. НДС
труба 140х140х4 мм; ст. 3пс5; 12 м
Переміщення товарів ІБ00-000906 від 19.09.2025 13:00:00
Цех_Катеринопіль МХП(ДУ-6 Транспортгалерея)</t>
  </si>
  <si>
    <t>Обл. НДС
Труба профільна 60*60*4 L=6 ст 1-3 сп/пс
Переміщення товарів ІБ00-000906 від 19.09.2025 13:00:00
Цех_Катеринопіль МХП(ДУ-6 Транспортгалерея)</t>
  </si>
  <si>
    <t>Обл. НДС
Труба профільна 120*120*5
Переміщення товарів ІБ00-000906 від 19.09.2025 13:00:00
Цех_Катеринопіль МХП(ДУ-6 Транспортгалерея)</t>
  </si>
  <si>
    <t>Обл. НДС
Труба 80х80х5 мм ст 1-3пс, 12 м
Переміщення товарів ІБ00-000906 від 19.09.2025 13:00:00
Цех_Катеринопіль МХП(ДУ-6 Транспортгалерея)</t>
  </si>
  <si>
    <t>Надходження товарів і послуг ІБ00-007452 від 01.12.2025 11:00:00
Оприходованы ТМЦ (Зачет аванса поставщику)</t>
  </si>
  <si>
    <t>Обл. НДС
Лист ПВЛ 5 506х1250х2500
Надходження товарів і послуг ІБ00-007452 від 01.12.2025 11:00:00
Катеринопіль МХП</t>
  </si>
  <si>
    <t>МЕТАЛ ХОЛДІНГ ТРЕЙД ТОВ
Дог 01/221/25 від 01.04.2025_Катеринопіль МХП
Рахунок на оплату постачальника ІБ00-005191 від 22.10.2025 18:15:55</t>
  </si>
  <si>
    <t>Надходження товарів і послуг ІБ00-007583 від 01.12.2025 11:00:00
Оприходованы ТМЦ</t>
  </si>
  <si>
    <t>Обл. НДС
Кутник 50х50х5 L= 6 м
Надходження товарів і послуг ІБ00-007583 від 01.12.2025 11:00:00
Катеринопіль МХП</t>
  </si>
  <si>
    <t>Вимога-накладна ІБ00-001101 від 01.12.2025 18:00:31
Списаны ТМЦ</t>
  </si>
  <si>
    <t>Обл. НДС
Виробничий (Катеринопіль МХП)
Катеринопіль МХП
Прямі материальні виробничі витрати крім зворотніх відходів</t>
  </si>
  <si>
    <t>Обл. НДС
Грунт ГФ-021 сірий
Надходження товарів і послуг ІБ00-003124 від 18.06.2025 11:00:00
Катеринопіль МХП</t>
  </si>
  <si>
    <t>Обл. НДС
Грунтовка ГФ-021 сіра 50кг
Надходження товарів і послуг ІБ00-003440 від 03.07.2025 11:00:00
Катеринопіль МХП</t>
  </si>
  <si>
    <t>Обл. НДС
Розчинник "White Spirit"
Надходження товарів і послуг ІБ00-003124 від 18.06.2025 11:00:00
Катеринопіль МХП</t>
  </si>
  <si>
    <t>Обл. НДС
Розчинник УС Нефрас 0,94 л/ 0,70 кг
Переміщення товарів ІБ00-001498 від 01.11.2025 12:50:27
Катеринопіль МХП</t>
  </si>
  <si>
    <t>Обл. НДС
Емаль ПФ-115 RAL 7012 (50кг) сірий
Надходження товарів і послуг ІБ00-003880 від 04.07.2025 11:00:00
Катеринопіль МХП</t>
  </si>
  <si>
    <t>Обл. НДС
Розчинник "White Spirit", кг
Надходження товарів і послуг ІБ00-002649 від 28.05.2025 11:00:00
Катеринопіль МХП</t>
  </si>
  <si>
    <t>Списання товарів ІБ00-000728 від 10.12.2025 18:36:47
Списаны ТМЦ</t>
  </si>
  <si>
    <t>Авансовий звіт ІБ00-000403 від 16.12.2025 17:37:05
Оприходованы ТМЦ</t>
  </si>
  <si>
    <t>Обл. НДС
Грунт-емаль по іржі 3 в 1 біла  2,8кг
Авансовий звіт ІБ00-000403 від 16.12.2025 17:37:05
Катеринопіль МХП</t>
  </si>
  <si>
    <t>Воропаєв Дмитро Миколайович</t>
  </si>
  <si>
    <t>Надходження товарів і послуг ІБ00-007582 від 22.12.2025 11:00:00
Оприходованы ТМЦ (Зачет аванса поставщику)</t>
  </si>
  <si>
    <t>Обл. НДС
Лист ПВЛ 5 506х1250х2500
Надходження товарів і послуг ІБ00-007582 від 22.12.2025 11:00:00
Катеринопіль МХП</t>
  </si>
  <si>
    <t>МЕТАЛ ХОЛДІНГ ТРЕЙД ТОВ
Дог 01/221/25 від 01.04.2025_Катеринопіль МХП
Рахунок на оплату постачальника ІБ00-006022 від 11.12.2025 19:00:57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</si>
</sst>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6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2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2" fillId="2" borderId="1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vertical="top"/>
    </xf>
    <xf numFmtId="0" fontId="2" fillId="2" borderId="3" xfId="2" applyNumberFormat="1" applyFont="1" applyFill="1" applyBorder="1" applyAlignment="1">
      <alignment vertical="top"/>
    </xf>
    <xf numFmtId="0" fontId="2" fillId="2" borderId="2" xfId="2" applyNumberFormat="1" applyFont="1" applyFill="1" applyBorder="1" applyAlignment="1">
      <alignment horizontal="center" vertical="top"/>
    </xf>
    <xf numFmtId="0" fontId="2" fillId="2" borderId="4" xfId="2" applyNumberFormat="1" applyFont="1" applyFill="1" applyBorder="1" applyAlignment="1">
      <alignment horizontal="center" vertical="top"/>
    </xf>
    <xf numFmtId="0" fontId="2" fillId="2" borderId="5" xfId="2" applyNumberFormat="1" applyFont="1" applyFill="1" applyBorder="1" applyAlignment="1">
      <alignment vertical="top"/>
    </xf>
    <xf numFmtId="0" fontId="2" fillId="2" borderId="6" xfId="2" applyNumberFormat="1" applyFont="1" applyFill="1" applyBorder="1" applyAlignment="1">
      <alignment vertical="top"/>
    </xf>
    <xf numFmtId="0" fontId="2" fillId="2" borderId="7" xfId="2" applyNumberFormat="1" applyFont="1" applyFill="1" applyBorder="1" applyAlignment="1">
      <alignment vertical="top"/>
    </xf>
    <xf numFmtId="0" fontId="2" fillId="2" borderId="4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8" xfId="2" applyNumberFormat="1" applyFont="1" applyFill="1" applyBorder="1" applyAlignment="1">
      <alignment vertical="top"/>
    </xf>
    <xf numFmtId="0" fontId="2" fillId="2" borderId="9" xfId="2" applyNumberFormat="1" applyFont="1" applyFill="1" applyBorder="1" applyAlignment="1">
      <alignment vertical="top"/>
    </xf>
    <xf numFmtId="0" fontId="2" fillId="2" borderId="10" xfId="2" applyNumberFormat="1" applyFont="1" applyFill="1" applyBorder="1" applyAlignment="1">
      <alignment vertical="top"/>
    </xf>
    <xf numFmtId="0" fontId="3" fillId="0" borderId="11" xfId="2" applyNumberFormat="1" applyFont="1" applyBorder="1" applyAlignment="1">
      <alignment vertical="top"/>
    </xf>
    <xf numFmtId="0" fontId="3" fillId="0" borderId="11" xfId="2" applyNumberFormat="1" applyFont="1" applyBorder="1" applyAlignment="1">
      <alignment vertical="top" wrapText="1"/>
    </xf>
    <xf numFmtId="0" fontId="3" fillId="0" borderId="11" xfId="2" applyNumberFormat="1" applyFont="1" applyBorder="1" applyAlignment="1">
      <alignment horizontal="left" vertical="top"/>
    </xf>
    <xf numFmtId="2" fontId="3" fillId="0" borderId="11" xfId="2" applyNumberFormat="1" applyFont="1" applyBorder="1" applyAlignment="1">
      <alignment horizontal="right" vertical="top" wrapText="1"/>
    </xf>
    <xf numFmtId="0" fontId="3" fillId="0" borderId="13" xfId="2" applyNumberFormat="1" applyFont="1" applyBorder="1" applyAlignment="1">
      <alignment horizontal="right" vertical="top" wrapText="1"/>
    </xf>
    <xf numFmtId="0" fontId="3" fillId="0" borderId="12" xfId="2" applyNumberFormat="1" applyFont="1" applyBorder="1" applyAlignment="1">
      <alignment horizontal="center" vertical="top"/>
    </xf>
    <xf numFmtId="4" fontId="3" fillId="0" borderId="13" xfId="2" applyNumberFormat="1" applyFont="1" applyBorder="1" applyAlignment="1">
      <alignment horizontal="right" vertical="top" wrapText="1"/>
    </xf>
    <xf numFmtId="0" fontId="3" fillId="0" borderId="11" xfId="2" applyNumberFormat="1" applyFont="1" applyBorder="1" applyAlignment="1">
      <alignment horizontal="right" vertical="top" wrapText="1"/>
    </xf>
    <xf numFmtId="2" fontId="3" fillId="0" borderId="13" xfId="2" applyNumberFormat="1" applyFont="1" applyBorder="1" applyAlignment="1">
      <alignment horizontal="right" vertical="top" wrapText="1"/>
    </xf>
    <xf numFmtId="4" fontId="3" fillId="0" borderId="11" xfId="2" applyNumberFormat="1" applyFont="1" applyBorder="1" applyAlignment="1">
      <alignment horizontal="right" vertical="top" wrapText="1"/>
    </xf>
    <xf numFmtId="4" fontId="3" fillId="0" borderId="13" xfId="2" applyNumberFormat="1" applyFont="1" applyBorder="1" applyAlignment="1">
      <alignment horizontal="right" vertical="top" wrapText="1"/>
    </xf>
    <xf numFmtId="0" fontId="4" fillId="2" borderId="11" xfId="2" applyNumberFormat="1" applyFont="1" applyFill="1" applyBorder="1" applyAlignment="1">
      <alignment vertical="top"/>
    </xf>
    <xf numFmtId="4" fontId="4" fillId="2" borderId="11" xfId="2" applyNumberFormat="1" applyFont="1" applyFill="1" applyBorder="1" applyAlignment="1">
      <alignment horizontal="right" vertical="top" wrapText="1"/>
    </xf>
    <xf numFmtId="0" fontId="4" fillId="2" borderId="12" xfId="2" applyNumberFormat="1" applyFont="1" applyFill="1" applyBorder="1" applyAlignment="1">
      <alignment horizontal="center" vertical="top"/>
    </xf>
    <xf numFmtId="4" fontId="4" fillId="2" borderId="13" xfId="2" applyNumberFormat="1" applyFont="1" applyFill="1" applyBorder="1" applyAlignment="1">
      <alignment horizontal="right" vertical="top" wrapText="1"/>
    </xf>
    <xf numFmtId="0" fontId="2" fillId="2" borderId="1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vertical="top"/>
    </xf>
    <xf numFmtId="0" fontId="2" fillId="2" borderId="3" xfId="3" applyNumberFormat="1" applyFont="1" applyFill="1" applyBorder="1" applyAlignment="1">
      <alignment vertical="top"/>
    </xf>
    <xf numFmtId="0" fontId="2" fillId="2" borderId="2" xfId="3" applyNumberFormat="1" applyFont="1" applyFill="1" applyBorder="1" applyAlignment="1">
      <alignment horizontal="center" vertical="top"/>
    </xf>
    <xf numFmtId="0" fontId="2" fillId="2" borderId="4" xfId="3" applyNumberFormat="1" applyFont="1" applyFill="1" applyBorder="1" applyAlignment="1">
      <alignment horizontal="center" vertical="top"/>
    </xf>
    <xf numFmtId="0" fontId="2" fillId="2" borderId="5" xfId="3" applyNumberFormat="1" applyFont="1" applyFill="1" applyBorder="1" applyAlignment="1">
      <alignment vertical="top"/>
    </xf>
    <xf numFmtId="0" fontId="2" fillId="2" borderId="6" xfId="3" applyNumberFormat="1" applyFont="1" applyFill="1" applyBorder="1" applyAlignment="1">
      <alignment vertical="top"/>
    </xf>
    <xf numFmtId="0" fontId="2" fillId="2" borderId="7" xfId="3" applyNumberFormat="1" applyFont="1" applyFill="1" applyBorder="1" applyAlignment="1">
      <alignment vertical="top"/>
    </xf>
    <xf numFmtId="0" fontId="2" fillId="2" borderId="4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8" xfId="3" applyNumberFormat="1" applyFont="1" applyFill="1" applyBorder="1" applyAlignment="1">
      <alignment vertical="top"/>
    </xf>
    <xf numFmtId="0" fontId="2" fillId="2" borderId="9" xfId="3" applyNumberFormat="1" applyFont="1" applyFill="1" applyBorder="1" applyAlignment="1">
      <alignment vertical="top"/>
    </xf>
    <xf numFmtId="0" fontId="2" fillId="2" borderId="10" xfId="3" applyNumberFormat="1" applyFont="1" applyFill="1" applyBorder="1" applyAlignment="1">
      <alignment vertical="top"/>
    </xf>
    <xf numFmtId="0" fontId="3" fillId="0" borderId="11" xfId="3" applyNumberFormat="1" applyFont="1" applyBorder="1" applyAlignment="1">
      <alignment vertical="top"/>
    </xf>
    <xf numFmtId="0" fontId="3" fillId="0" borderId="11" xfId="3" applyNumberFormat="1" applyFont="1" applyBorder="1" applyAlignment="1">
      <alignment vertical="top" wrapText="1"/>
    </xf>
    <xf numFmtId="0" fontId="3" fillId="0" borderId="11" xfId="3" applyNumberFormat="1" applyFont="1" applyBorder="1" applyAlignment="1">
      <alignment horizontal="left" vertical="top"/>
    </xf>
    <xf numFmtId="2" fontId="3" fillId="0" borderId="11" xfId="3" applyNumberFormat="1" applyFont="1" applyBorder="1" applyAlignment="1">
      <alignment horizontal="right" vertical="top" wrapText="1"/>
    </xf>
    <xf numFmtId="0" fontId="3" fillId="0" borderId="13" xfId="3" applyNumberFormat="1" applyFont="1" applyBorder="1" applyAlignment="1">
      <alignment horizontal="right" vertical="top" wrapText="1"/>
    </xf>
    <xf numFmtId="0" fontId="3" fillId="0" borderId="12" xfId="3" applyNumberFormat="1" applyFont="1" applyBorder="1" applyAlignment="1">
      <alignment horizontal="center" vertical="top"/>
    </xf>
    <xf numFmtId="4" fontId="3" fillId="0" borderId="13" xfId="3" applyNumberFormat="1" applyFont="1" applyBorder="1" applyAlignment="1">
      <alignment horizontal="right" vertical="top" wrapText="1"/>
    </xf>
    <xf numFmtId="4" fontId="3" fillId="0" borderId="11" xfId="3" applyNumberFormat="1" applyFont="1" applyBorder="1" applyAlignment="1">
      <alignment horizontal="right" vertical="top" wrapText="1"/>
    </xf>
    <xf numFmtId="0" fontId="3" fillId="0" borderId="11" xfId="3" applyNumberFormat="1" applyFont="1" applyBorder="1" applyAlignment="1">
      <alignment horizontal="right" vertical="top" wrapText="1"/>
    </xf>
    <xf numFmtId="2" fontId="3" fillId="0" borderId="13" xfId="3" applyNumberFormat="1" applyFont="1" applyBorder="1" applyAlignment="1">
      <alignment horizontal="right" vertical="top" wrapText="1"/>
    </xf>
    <xf numFmtId="4" fontId="3" fillId="0" borderId="13" xfId="3" applyNumberFormat="1" applyFont="1" applyBorder="1" applyAlignment="1">
      <alignment horizontal="right" vertical="top" wrapText="1"/>
    </xf>
    <xf numFmtId="0" fontId="4" fillId="2" borderId="11" xfId="3" applyNumberFormat="1" applyFont="1" applyFill="1" applyBorder="1" applyAlignment="1">
      <alignment vertical="top"/>
    </xf>
    <xf numFmtId="4" fontId="4" fillId="2" borderId="11" xfId="3" applyNumberFormat="1" applyFont="1" applyFill="1" applyBorder="1" applyAlignment="1">
      <alignment horizontal="right" vertical="top" wrapText="1"/>
    </xf>
    <xf numFmtId="0" fontId="4" fillId="2" borderId="12" xfId="3" applyNumberFormat="1" applyFont="1" applyFill="1" applyBorder="1" applyAlignment="1">
      <alignment horizontal="center" vertical="top"/>
    </xf>
    <xf numFmtId="4" fontId="4" fillId="2" borderId="13" xfId="3" applyNumberFormat="1" applyFont="1" applyFill="1" applyBorder="1" applyAlignment="1">
      <alignment horizontal="right" vertical="top" wrapText="1"/>
    </xf>
    <xf numFmtId="0" fontId="2" fillId="2" borderId="1" xfId="4" applyNumberFormat="1" applyFont="1" applyFill="1" applyBorder="1" applyAlignment="1">
      <alignment vertical="top"/>
    </xf>
    <xf numFmtId="0" fontId="2" fillId="2" borderId="2" xfId="4" applyNumberFormat="1" applyFont="1" applyFill="1" applyBorder="1" applyAlignment="1">
      <alignment vertical="top"/>
    </xf>
    <xf numFmtId="0" fontId="2" fillId="2" borderId="3" xfId="4" applyNumberFormat="1" applyFont="1" applyFill="1" applyBorder="1" applyAlignment="1">
      <alignment vertical="top"/>
    </xf>
    <xf numFmtId="0" fontId="2" fillId="2" borderId="2" xfId="4" applyNumberFormat="1" applyFont="1" applyFill="1" applyBorder="1" applyAlignment="1">
      <alignment horizontal="center" vertical="top"/>
    </xf>
    <xf numFmtId="0" fontId="2" fillId="2" borderId="4" xfId="4" applyNumberFormat="1" applyFont="1" applyFill="1" applyBorder="1" applyAlignment="1">
      <alignment horizontal="center" vertical="top"/>
    </xf>
    <xf numFmtId="0" fontId="2" fillId="2" borderId="5" xfId="4" applyNumberFormat="1" applyFont="1" applyFill="1" applyBorder="1" applyAlignment="1">
      <alignment vertical="top"/>
    </xf>
    <xf numFmtId="0" fontId="2" fillId="2" borderId="6" xfId="4" applyNumberFormat="1" applyFont="1" applyFill="1" applyBorder="1" applyAlignment="1">
      <alignment vertical="top"/>
    </xf>
    <xf numFmtId="0" fontId="2" fillId="2" borderId="7" xfId="4" applyNumberFormat="1" applyFont="1" applyFill="1" applyBorder="1" applyAlignment="1">
      <alignment vertical="top"/>
    </xf>
    <xf numFmtId="0" fontId="2" fillId="2" borderId="4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2" fillId="2" borderId="8" xfId="4" applyNumberFormat="1" applyFont="1" applyFill="1" applyBorder="1" applyAlignment="1">
      <alignment vertical="top"/>
    </xf>
    <xf numFmtId="0" fontId="2" fillId="2" borderId="9" xfId="4" applyNumberFormat="1" applyFont="1" applyFill="1" applyBorder="1" applyAlignment="1">
      <alignment vertical="top"/>
    </xf>
    <xf numFmtId="0" fontId="2" fillId="2" borderId="10" xfId="4" applyNumberFormat="1" applyFont="1" applyFill="1" applyBorder="1" applyAlignment="1">
      <alignment vertical="top"/>
    </xf>
    <xf numFmtId="0" fontId="3" fillId="0" borderId="11" xfId="4" applyNumberFormat="1" applyFont="1" applyBorder="1" applyAlignment="1">
      <alignment vertical="top"/>
    </xf>
    <xf numFmtId="0" fontId="3" fillId="0" borderId="11" xfId="4" applyNumberFormat="1" applyFont="1" applyBorder="1" applyAlignment="1">
      <alignment vertical="top" wrapText="1"/>
    </xf>
    <xf numFmtId="0" fontId="3" fillId="0" borderId="11" xfId="4" applyNumberFormat="1" applyFont="1" applyBorder="1" applyAlignment="1">
      <alignment horizontal="left" vertical="top"/>
    </xf>
    <xf numFmtId="4" fontId="3" fillId="0" borderId="11" xfId="4" applyNumberFormat="1" applyFont="1" applyBorder="1" applyAlignment="1">
      <alignment horizontal="right" vertical="top" wrapText="1"/>
    </xf>
    <xf numFmtId="0" fontId="3" fillId="0" borderId="13" xfId="4" applyNumberFormat="1" applyFont="1" applyBorder="1" applyAlignment="1">
      <alignment horizontal="right" vertical="top" wrapText="1"/>
    </xf>
    <xf numFmtId="0" fontId="3" fillId="0" borderId="12" xfId="4" applyNumberFormat="1" applyFont="1" applyBorder="1" applyAlignment="1">
      <alignment horizontal="center" vertical="top"/>
    </xf>
    <xf numFmtId="4" fontId="3" fillId="0" borderId="13" xfId="4" applyNumberFormat="1" applyFont="1" applyBorder="1" applyAlignment="1">
      <alignment horizontal="right" vertical="top" wrapText="1"/>
    </xf>
    <xf numFmtId="2" fontId="3" fillId="0" borderId="11" xfId="4" applyNumberFormat="1" applyFont="1" applyBorder="1" applyAlignment="1">
      <alignment horizontal="right" vertical="top" wrapText="1"/>
    </xf>
    <xf numFmtId="0" fontId="3" fillId="0" borderId="11" xfId="4" applyNumberFormat="1" applyFont="1" applyBorder="1" applyAlignment="1">
      <alignment horizontal="right" vertical="top" wrapText="1"/>
    </xf>
    <xf numFmtId="4" fontId="3" fillId="0" borderId="13" xfId="4" applyNumberFormat="1" applyFont="1" applyBorder="1" applyAlignment="1">
      <alignment horizontal="right" vertical="top" wrapText="1"/>
    </xf>
    <xf numFmtId="2" fontId="3" fillId="0" borderId="13" xfId="4" applyNumberFormat="1" applyFont="1" applyBorder="1" applyAlignment="1">
      <alignment horizontal="right" vertical="top" wrapText="1"/>
    </xf>
    <xf numFmtId="0" fontId="3" fillId="0" borderId="13" xfId="4" applyNumberFormat="1" applyFont="1" applyBorder="1" applyAlignment="1">
      <alignment horizontal="right" vertical="top" wrapText="1"/>
    </xf>
    <xf numFmtId="0" fontId="4" fillId="2" borderId="11" xfId="4" applyNumberFormat="1" applyFont="1" applyFill="1" applyBorder="1" applyAlignment="1">
      <alignment vertical="top"/>
    </xf>
    <xf numFmtId="4" fontId="4" fillId="2" borderId="11" xfId="4" applyNumberFormat="1" applyFont="1" applyFill="1" applyBorder="1" applyAlignment="1">
      <alignment horizontal="right" vertical="top" wrapText="1"/>
    </xf>
    <xf numFmtId="0" fontId="4" fillId="2" borderId="12" xfId="4" applyNumberFormat="1" applyFont="1" applyFill="1" applyBorder="1" applyAlignment="1">
      <alignment horizontal="center" vertical="top"/>
    </xf>
    <xf numFmtId="2" fontId="4" fillId="2" borderId="13" xfId="4" applyNumberFormat="1" applyFont="1" applyFill="1" applyBorder="1" applyAlignment="1">
      <alignment horizontal="right" vertical="top" wrapText="1"/>
    </xf>
    <xf numFmtId="0" fontId="2" fillId="2" borderId="1" xfId="5" applyNumberFormat="1" applyFont="1" applyFill="1" applyBorder="1" applyAlignment="1">
      <alignment vertical="top"/>
    </xf>
    <xf numFmtId="0" fontId="2" fillId="2" borderId="2" xfId="5" applyNumberFormat="1" applyFont="1" applyFill="1" applyBorder="1" applyAlignment="1">
      <alignment vertical="top"/>
    </xf>
    <xf numFmtId="0" fontId="2" fillId="2" borderId="3" xfId="5" applyNumberFormat="1" applyFont="1" applyFill="1" applyBorder="1" applyAlignment="1">
      <alignment vertical="top"/>
    </xf>
    <xf numFmtId="0" fontId="2" fillId="2" borderId="2" xfId="5" applyNumberFormat="1" applyFont="1" applyFill="1" applyBorder="1" applyAlignment="1">
      <alignment horizontal="center" vertical="top"/>
    </xf>
    <xf numFmtId="0" fontId="2" fillId="2" borderId="4" xfId="5" applyNumberFormat="1" applyFont="1" applyFill="1" applyBorder="1" applyAlignment="1">
      <alignment horizontal="center" vertical="top"/>
    </xf>
    <xf numFmtId="0" fontId="2" fillId="2" borderId="5" xfId="5" applyNumberFormat="1" applyFont="1" applyFill="1" applyBorder="1" applyAlignment="1">
      <alignment vertical="top"/>
    </xf>
    <xf numFmtId="0" fontId="2" fillId="2" borderId="6" xfId="5" applyNumberFormat="1" applyFont="1" applyFill="1" applyBorder="1" applyAlignment="1">
      <alignment vertical="top"/>
    </xf>
    <xf numFmtId="0" fontId="2" fillId="2" borderId="7" xfId="5" applyNumberFormat="1" applyFont="1" applyFill="1" applyBorder="1" applyAlignment="1">
      <alignment vertical="top"/>
    </xf>
    <xf numFmtId="0" fontId="2" fillId="2" borderId="4" xfId="5" applyNumberFormat="1" applyFont="1" applyFill="1" applyBorder="1" applyAlignment="1">
      <alignment vertical="top"/>
    </xf>
    <xf numFmtId="0" fontId="2" fillId="2" borderId="8" xfId="5" applyNumberFormat="1" applyFont="1" applyFill="1" applyBorder="1" applyAlignment="1">
      <alignment vertical="top"/>
    </xf>
    <xf numFmtId="0" fontId="2" fillId="2" borderId="8" xfId="5" applyNumberFormat="1" applyFont="1" applyFill="1" applyBorder="1" applyAlignment="1">
      <alignment vertical="top"/>
    </xf>
    <xf numFmtId="0" fontId="2" fillId="2" borderId="9" xfId="5" applyNumberFormat="1" applyFont="1" applyFill="1" applyBorder="1" applyAlignment="1">
      <alignment vertical="top"/>
    </xf>
    <xf numFmtId="0" fontId="2" fillId="2" borderId="10" xfId="5" applyNumberFormat="1" applyFont="1" applyFill="1" applyBorder="1" applyAlignment="1">
      <alignment vertical="top"/>
    </xf>
    <xf numFmtId="0" fontId="3" fillId="0" borderId="11" xfId="5" applyNumberFormat="1" applyFont="1" applyBorder="1" applyAlignment="1">
      <alignment vertical="top"/>
    </xf>
    <xf numFmtId="0" fontId="3" fillId="0" borderId="11" xfId="5" applyNumberFormat="1" applyFont="1" applyBorder="1" applyAlignment="1">
      <alignment vertical="top" wrapText="1"/>
    </xf>
    <xf numFmtId="0" fontId="3" fillId="0" borderId="11" xfId="5" applyNumberFormat="1" applyFont="1" applyBorder="1" applyAlignment="1">
      <alignment horizontal="left" vertical="top"/>
    </xf>
    <xf numFmtId="4" fontId="3" fillId="0" borderId="11" xfId="5" applyNumberFormat="1" applyFont="1" applyBorder="1" applyAlignment="1">
      <alignment horizontal="right" vertical="top" wrapText="1"/>
    </xf>
    <xf numFmtId="4" fontId="3" fillId="0" borderId="13" xfId="5" applyNumberFormat="1" applyFont="1" applyBorder="1" applyAlignment="1">
      <alignment horizontal="right" vertical="top" wrapText="1"/>
    </xf>
    <xf numFmtId="0" fontId="3" fillId="0" borderId="12" xfId="5" applyNumberFormat="1" applyFont="1" applyBorder="1" applyAlignment="1">
      <alignment horizontal="center" vertical="top"/>
    </xf>
    <xf numFmtId="4" fontId="3" fillId="0" borderId="13" xfId="5" applyNumberFormat="1" applyFont="1" applyBorder="1" applyAlignment="1">
      <alignment horizontal="right" vertical="top" wrapText="1"/>
    </xf>
    <xf numFmtId="0" fontId="3" fillId="0" borderId="11" xfId="5" applyNumberFormat="1" applyFont="1" applyBorder="1" applyAlignment="1">
      <alignment horizontal="right" vertical="top" wrapText="1"/>
    </xf>
    <xf numFmtId="2" fontId="3" fillId="0" borderId="13" xfId="5" applyNumberFormat="1" applyFont="1" applyBorder="1" applyAlignment="1">
      <alignment horizontal="right" vertical="top" wrapText="1"/>
    </xf>
    <xf numFmtId="2" fontId="3" fillId="0" borderId="11" xfId="5" applyNumberFormat="1" applyFont="1" applyBorder="1" applyAlignment="1">
      <alignment horizontal="right" vertical="top" wrapText="1"/>
    </xf>
    <xf numFmtId="0" fontId="4" fillId="2" borderId="11" xfId="5" applyNumberFormat="1" applyFont="1" applyFill="1" applyBorder="1" applyAlignment="1">
      <alignment vertical="top"/>
    </xf>
    <xf numFmtId="4" fontId="4" fillId="2" borderId="11" xfId="5" applyNumberFormat="1" applyFont="1" applyFill="1" applyBorder="1" applyAlignment="1">
      <alignment horizontal="right" vertical="top" wrapText="1"/>
    </xf>
    <xf numFmtId="0" fontId="4" fillId="2" borderId="12" xfId="5" applyNumberFormat="1" applyFont="1" applyFill="1" applyBorder="1" applyAlignment="1">
      <alignment horizontal="center" vertical="top"/>
    </xf>
    <xf numFmtId="4" fontId="4" fillId="2" borderId="13" xfId="5" applyNumberFormat="1" applyFont="1" applyFill="1" applyBorder="1" applyAlignment="1">
      <alignment horizontal="right" vertical="top" wrapText="1"/>
    </xf>
    <xf numFmtId="0" fontId="2" fillId="2" borderId="1" xfId="6" applyNumberFormat="1" applyFont="1" applyFill="1" applyBorder="1" applyAlignment="1">
      <alignment vertical="top"/>
    </xf>
    <xf numFmtId="0" fontId="2" fillId="2" borderId="2" xfId="6" applyNumberFormat="1" applyFont="1" applyFill="1" applyBorder="1" applyAlignment="1">
      <alignment vertical="top"/>
    </xf>
    <xf numFmtId="0" fontId="2" fillId="2" borderId="3" xfId="6" applyNumberFormat="1" applyFont="1" applyFill="1" applyBorder="1" applyAlignment="1">
      <alignment vertical="top"/>
    </xf>
    <xf numFmtId="0" fontId="2" fillId="2" borderId="2" xfId="6" applyNumberFormat="1" applyFont="1" applyFill="1" applyBorder="1" applyAlignment="1">
      <alignment horizontal="center" vertical="top"/>
    </xf>
    <xf numFmtId="0" fontId="2" fillId="2" borderId="4" xfId="6" applyNumberFormat="1" applyFont="1" applyFill="1" applyBorder="1" applyAlignment="1">
      <alignment horizontal="center" vertical="top"/>
    </xf>
    <xf numFmtId="0" fontId="2" fillId="2" borderId="5" xfId="6" applyNumberFormat="1" applyFont="1" applyFill="1" applyBorder="1" applyAlignment="1">
      <alignment vertical="top"/>
    </xf>
    <xf numFmtId="0" fontId="2" fillId="2" borderId="6" xfId="6" applyNumberFormat="1" applyFont="1" applyFill="1" applyBorder="1" applyAlignment="1">
      <alignment vertical="top"/>
    </xf>
    <xf numFmtId="0" fontId="2" fillId="2" borderId="7" xfId="6" applyNumberFormat="1" applyFont="1" applyFill="1" applyBorder="1" applyAlignment="1">
      <alignment vertical="top"/>
    </xf>
    <xf numFmtId="0" fontId="2" fillId="2" borderId="4" xfId="6" applyNumberFormat="1" applyFont="1" applyFill="1" applyBorder="1" applyAlignment="1">
      <alignment vertical="top"/>
    </xf>
    <xf numFmtId="0" fontId="2" fillId="2" borderId="8" xfId="6" applyNumberFormat="1" applyFont="1" applyFill="1" applyBorder="1" applyAlignment="1">
      <alignment vertical="top"/>
    </xf>
    <xf numFmtId="0" fontId="2" fillId="2" borderId="8" xfId="6" applyNumberFormat="1" applyFont="1" applyFill="1" applyBorder="1" applyAlignment="1">
      <alignment vertical="top"/>
    </xf>
    <xf numFmtId="0" fontId="2" fillId="2" borderId="9" xfId="6" applyNumberFormat="1" applyFont="1" applyFill="1" applyBorder="1" applyAlignment="1">
      <alignment vertical="top"/>
    </xf>
    <xf numFmtId="0" fontId="2" fillId="2" borderId="10" xfId="6" applyNumberFormat="1" applyFont="1" applyFill="1" applyBorder="1" applyAlignment="1">
      <alignment vertical="top"/>
    </xf>
    <xf numFmtId="0" fontId="3" fillId="0" borderId="11" xfId="6" applyNumberFormat="1" applyFont="1" applyBorder="1" applyAlignment="1">
      <alignment vertical="top"/>
    </xf>
    <xf numFmtId="0" fontId="3" fillId="0" borderId="11" xfId="6" applyNumberFormat="1" applyFont="1" applyBorder="1" applyAlignment="1">
      <alignment vertical="top" wrapText="1"/>
    </xf>
    <xf numFmtId="0" fontId="3" fillId="0" borderId="11" xfId="6" applyNumberFormat="1" applyFont="1" applyBorder="1" applyAlignment="1">
      <alignment horizontal="left" vertical="top"/>
    </xf>
    <xf numFmtId="0" fontId="3" fillId="0" borderId="11" xfId="6" applyNumberFormat="1" applyFont="1" applyBorder="1" applyAlignment="1">
      <alignment horizontal="right" vertical="top" wrapText="1"/>
    </xf>
    <xf numFmtId="4" fontId="3" fillId="0" borderId="13" xfId="6" applyNumberFormat="1" applyFont="1" applyBorder="1" applyAlignment="1">
      <alignment horizontal="right" vertical="top" wrapText="1"/>
    </xf>
    <xf numFmtId="0" fontId="3" fillId="0" borderId="12" xfId="6" applyNumberFormat="1" applyFont="1" applyBorder="1" applyAlignment="1">
      <alignment horizontal="center" vertical="top"/>
    </xf>
    <xf numFmtId="4" fontId="3" fillId="0" borderId="13" xfId="6" applyNumberFormat="1" applyFont="1" applyBorder="1" applyAlignment="1">
      <alignment horizontal="right" vertical="top" wrapText="1"/>
    </xf>
    <xf numFmtId="2" fontId="3" fillId="0" borderId="13" xfId="6" applyNumberFormat="1" applyFont="1" applyBorder="1" applyAlignment="1">
      <alignment horizontal="right" vertical="top" wrapText="1"/>
    </xf>
    <xf numFmtId="4" fontId="3" fillId="0" borderId="11" xfId="6" applyNumberFormat="1" applyFont="1" applyBorder="1" applyAlignment="1">
      <alignment horizontal="right" vertical="top" wrapText="1"/>
    </xf>
    <xf numFmtId="0" fontId="3" fillId="0" borderId="13" xfId="6" applyNumberFormat="1" applyFont="1" applyBorder="1" applyAlignment="1">
      <alignment horizontal="right" vertical="top" wrapText="1"/>
    </xf>
    <xf numFmtId="2" fontId="3" fillId="0" borderId="11" xfId="6" applyNumberFormat="1" applyFont="1" applyBorder="1" applyAlignment="1">
      <alignment horizontal="right" vertical="top" wrapText="1"/>
    </xf>
    <xf numFmtId="0" fontId="4" fillId="2" borderId="11" xfId="6" applyNumberFormat="1" applyFont="1" applyFill="1" applyBorder="1" applyAlignment="1">
      <alignment vertical="top"/>
    </xf>
    <xf numFmtId="4" fontId="4" fillId="2" borderId="11" xfId="6" applyNumberFormat="1" applyFont="1" applyFill="1" applyBorder="1" applyAlignment="1">
      <alignment horizontal="right" vertical="top" wrapText="1"/>
    </xf>
    <xf numFmtId="0" fontId="4" fillId="2" borderId="12" xfId="6" applyNumberFormat="1" applyFont="1" applyFill="1" applyBorder="1" applyAlignment="1">
      <alignment horizontal="center" vertical="top"/>
    </xf>
    <xf numFmtId="4" fontId="4" fillId="2" borderId="13" xfId="6" applyNumberFormat="1" applyFont="1" applyFill="1" applyBorder="1" applyAlignment="1">
      <alignment horizontal="right" vertical="top" wrapText="1"/>
    </xf>
    <xf numFmtId="0" fontId="2" fillId="2" borderId="1" xfId="7" applyNumberFormat="1" applyFont="1" applyFill="1" applyBorder="1" applyAlignment="1">
      <alignment vertical="top"/>
    </xf>
    <xf numFmtId="0" fontId="2" fillId="2" borderId="2" xfId="7" applyNumberFormat="1" applyFont="1" applyFill="1" applyBorder="1" applyAlignment="1">
      <alignment vertical="top"/>
    </xf>
    <xf numFmtId="0" fontId="2" fillId="2" borderId="3" xfId="7" applyNumberFormat="1" applyFont="1" applyFill="1" applyBorder="1" applyAlignment="1">
      <alignment vertical="top"/>
    </xf>
    <xf numFmtId="0" fontId="2" fillId="2" borderId="2" xfId="7" applyNumberFormat="1" applyFont="1" applyFill="1" applyBorder="1" applyAlignment="1">
      <alignment horizontal="center" vertical="top"/>
    </xf>
    <xf numFmtId="0" fontId="2" fillId="2" borderId="4" xfId="7" applyNumberFormat="1" applyFont="1" applyFill="1" applyBorder="1" applyAlignment="1">
      <alignment horizontal="center" vertical="top"/>
    </xf>
    <xf numFmtId="0" fontId="2" fillId="2" borderId="5" xfId="7" applyNumberFormat="1" applyFont="1" applyFill="1" applyBorder="1" applyAlignment="1">
      <alignment vertical="top"/>
    </xf>
    <xf numFmtId="0" fontId="2" fillId="2" borderId="6" xfId="7" applyNumberFormat="1" applyFont="1" applyFill="1" applyBorder="1" applyAlignment="1">
      <alignment vertical="top"/>
    </xf>
    <xf numFmtId="0" fontId="2" fillId="2" borderId="7" xfId="7" applyNumberFormat="1" applyFont="1" applyFill="1" applyBorder="1" applyAlignment="1">
      <alignment vertical="top"/>
    </xf>
    <xf numFmtId="0" fontId="2" fillId="2" borderId="4" xfId="7" applyNumberFormat="1" applyFont="1" applyFill="1" applyBorder="1" applyAlignment="1">
      <alignment vertical="top"/>
    </xf>
    <xf numFmtId="0" fontId="2" fillId="2" borderId="8" xfId="7" applyNumberFormat="1" applyFont="1" applyFill="1" applyBorder="1" applyAlignment="1">
      <alignment vertical="top"/>
    </xf>
    <xf numFmtId="0" fontId="2" fillId="2" borderId="8" xfId="7" applyNumberFormat="1" applyFont="1" applyFill="1" applyBorder="1" applyAlignment="1">
      <alignment vertical="top"/>
    </xf>
    <xf numFmtId="0" fontId="2" fillId="2" borderId="9" xfId="7" applyNumberFormat="1" applyFont="1" applyFill="1" applyBorder="1" applyAlignment="1">
      <alignment vertical="top"/>
    </xf>
    <xf numFmtId="0" fontId="2" fillId="2" borderId="10" xfId="7" applyNumberFormat="1" applyFont="1" applyFill="1" applyBorder="1" applyAlignment="1">
      <alignment vertical="top"/>
    </xf>
    <xf numFmtId="0" fontId="3" fillId="0" borderId="11" xfId="7" applyNumberFormat="1" applyFont="1" applyBorder="1" applyAlignment="1">
      <alignment vertical="top"/>
    </xf>
    <xf numFmtId="0" fontId="3" fillId="0" borderId="11" xfId="7" applyNumberFormat="1" applyFont="1" applyBorder="1" applyAlignment="1">
      <alignment vertical="top" wrapText="1"/>
    </xf>
    <xf numFmtId="0" fontId="3" fillId="0" borderId="11" xfId="7" applyNumberFormat="1" applyFont="1" applyBorder="1" applyAlignment="1">
      <alignment horizontal="left" vertical="top"/>
    </xf>
    <xf numFmtId="4" fontId="3" fillId="0" borderId="11" xfId="7" applyNumberFormat="1" applyFont="1" applyBorder="1" applyAlignment="1">
      <alignment horizontal="right" vertical="top" wrapText="1"/>
    </xf>
    <xf numFmtId="0" fontId="3" fillId="0" borderId="13" xfId="7" applyNumberFormat="1" applyFont="1" applyBorder="1" applyAlignment="1">
      <alignment horizontal="right" vertical="top" wrapText="1"/>
    </xf>
    <xf numFmtId="0" fontId="3" fillId="0" borderId="12" xfId="7" applyNumberFormat="1" applyFont="1" applyBorder="1" applyAlignment="1">
      <alignment horizontal="center" vertical="top"/>
    </xf>
    <xf numFmtId="4" fontId="3" fillId="0" borderId="13" xfId="7" applyNumberFormat="1" applyFont="1" applyBorder="1" applyAlignment="1">
      <alignment horizontal="right" vertical="top" wrapText="1"/>
    </xf>
    <xf numFmtId="2" fontId="3" fillId="0" borderId="11" xfId="7" applyNumberFormat="1" applyFont="1" applyBorder="1" applyAlignment="1">
      <alignment horizontal="right" vertical="top" wrapText="1"/>
    </xf>
    <xf numFmtId="0" fontId="3" fillId="0" borderId="11" xfId="7" applyNumberFormat="1" applyFont="1" applyBorder="1" applyAlignment="1">
      <alignment horizontal="right" vertical="top" wrapText="1"/>
    </xf>
    <xf numFmtId="4" fontId="3" fillId="0" borderId="13" xfId="7" applyNumberFormat="1" applyFont="1" applyBorder="1" applyAlignment="1">
      <alignment horizontal="right" vertical="top" wrapText="1"/>
    </xf>
    <xf numFmtId="2" fontId="3" fillId="0" borderId="13" xfId="7" applyNumberFormat="1" applyFont="1" applyBorder="1" applyAlignment="1">
      <alignment horizontal="right" vertical="top" wrapText="1"/>
    </xf>
    <xf numFmtId="0" fontId="4" fillId="2" borderId="11" xfId="7" applyNumberFormat="1" applyFont="1" applyFill="1" applyBorder="1" applyAlignment="1">
      <alignment vertical="top"/>
    </xf>
    <xf numFmtId="4" fontId="4" fillId="2" borderId="11" xfId="7" applyNumberFormat="1" applyFont="1" applyFill="1" applyBorder="1" applyAlignment="1">
      <alignment horizontal="right" vertical="top" wrapText="1"/>
    </xf>
    <xf numFmtId="0" fontId="4" fillId="2" borderId="12" xfId="7" applyNumberFormat="1" applyFont="1" applyFill="1" applyBorder="1" applyAlignment="1">
      <alignment horizontal="center" vertical="top"/>
    </xf>
    <xf numFmtId="4" fontId="4" fillId="2" borderId="13" xfId="7" applyNumberFormat="1" applyFont="1" applyFill="1" applyBorder="1" applyAlignment="1">
      <alignment horizontal="right" vertical="top" wrapText="1"/>
    </xf>
    <xf numFmtId="0" fontId="2" fillId="2" borderId="1" xfId="8" applyNumberFormat="1" applyFont="1" applyFill="1" applyBorder="1" applyAlignment="1">
      <alignment vertical="top"/>
    </xf>
    <xf numFmtId="0" fontId="2" fillId="2" borderId="2" xfId="8" applyNumberFormat="1" applyFont="1" applyFill="1" applyBorder="1" applyAlignment="1">
      <alignment vertical="top"/>
    </xf>
    <xf numFmtId="0" fontId="2" fillId="2" borderId="3" xfId="8" applyNumberFormat="1" applyFont="1" applyFill="1" applyBorder="1" applyAlignment="1">
      <alignment vertical="top"/>
    </xf>
    <xf numFmtId="0" fontId="2" fillId="2" borderId="2" xfId="8" applyNumberFormat="1" applyFont="1" applyFill="1" applyBorder="1" applyAlignment="1">
      <alignment horizontal="center" vertical="top"/>
    </xf>
    <xf numFmtId="0" fontId="2" fillId="2" borderId="4" xfId="8" applyNumberFormat="1" applyFont="1" applyFill="1" applyBorder="1" applyAlignment="1">
      <alignment horizontal="center" vertical="top"/>
    </xf>
    <xf numFmtId="0" fontId="2" fillId="2" borderId="5" xfId="8" applyNumberFormat="1" applyFont="1" applyFill="1" applyBorder="1" applyAlignment="1">
      <alignment vertical="top"/>
    </xf>
    <xf numFmtId="0" fontId="2" fillId="2" borderId="6" xfId="8" applyNumberFormat="1" applyFont="1" applyFill="1" applyBorder="1" applyAlignment="1">
      <alignment vertical="top"/>
    </xf>
    <xf numFmtId="0" fontId="2" fillId="2" borderId="7" xfId="8" applyNumberFormat="1" applyFont="1" applyFill="1" applyBorder="1" applyAlignment="1">
      <alignment vertical="top"/>
    </xf>
    <xf numFmtId="0" fontId="2" fillId="2" borderId="4" xfId="8" applyNumberFormat="1" applyFont="1" applyFill="1" applyBorder="1" applyAlignment="1">
      <alignment vertical="top"/>
    </xf>
    <xf numFmtId="0" fontId="2" fillId="2" borderId="8" xfId="8" applyNumberFormat="1" applyFont="1" applyFill="1" applyBorder="1" applyAlignment="1">
      <alignment vertical="top"/>
    </xf>
    <xf numFmtId="0" fontId="2" fillId="2" borderId="8" xfId="8" applyNumberFormat="1" applyFont="1" applyFill="1" applyBorder="1" applyAlignment="1">
      <alignment vertical="top"/>
    </xf>
    <xf numFmtId="0" fontId="2" fillId="2" borderId="9" xfId="8" applyNumberFormat="1" applyFont="1" applyFill="1" applyBorder="1" applyAlignment="1">
      <alignment vertical="top"/>
    </xf>
    <xf numFmtId="0" fontId="2" fillId="2" borderId="10" xfId="8" applyNumberFormat="1" applyFont="1" applyFill="1" applyBorder="1" applyAlignment="1">
      <alignment vertical="top"/>
    </xf>
    <xf numFmtId="0" fontId="3" fillId="0" borderId="11" xfId="8" applyNumberFormat="1" applyFont="1" applyBorder="1" applyAlignment="1">
      <alignment vertical="top"/>
    </xf>
    <xf numFmtId="0" fontId="3" fillId="0" borderId="11" xfId="8" applyNumberFormat="1" applyFont="1" applyBorder="1" applyAlignment="1">
      <alignment vertical="top" wrapText="1"/>
    </xf>
    <xf numFmtId="0" fontId="3" fillId="0" borderId="11" xfId="8" applyNumberFormat="1" applyFont="1" applyBorder="1" applyAlignment="1">
      <alignment horizontal="left" vertical="top"/>
    </xf>
    <xf numFmtId="2" fontId="3" fillId="0" borderId="11" xfId="8" applyNumberFormat="1" applyFont="1" applyBorder="1" applyAlignment="1">
      <alignment horizontal="right" vertical="top" wrapText="1"/>
    </xf>
    <xf numFmtId="0" fontId="3" fillId="0" borderId="13" xfId="8" applyNumberFormat="1" applyFont="1" applyBorder="1" applyAlignment="1">
      <alignment horizontal="right" vertical="top" wrapText="1"/>
    </xf>
    <xf numFmtId="0" fontId="3" fillId="0" borderId="12" xfId="8" applyNumberFormat="1" applyFont="1" applyBorder="1" applyAlignment="1">
      <alignment horizontal="center" vertical="top"/>
    </xf>
    <xf numFmtId="4" fontId="3" fillId="0" borderId="13" xfId="8" applyNumberFormat="1" applyFont="1" applyBorder="1" applyAlignment="1">
      <alignment horizontal="right" vertical="top" wrapText="1"/>
    </xf>
    <xf numFmtId="4" fontId="3" fillId="0" borderId="11" xfId="8" applyNumberFormat="1" applyFont="1" applyBorder="1" applyAlignment="1">
      <alignment horizontal="right" vertical="top" wrapText="1"/>
    </xf>
    <xf numFmtId="0" fontId="3" fillId="0" borderId="11" xfId="8" applyNumberFormat="1" applyFont="1" applyBorder="1" applyAlignment="1">
      <alignment horizontal="right" vertical="top" wrapText="1"/>
    </xf>
    <xf numFmtId="4" fontId="3" fillId="0" borderId="13" xfId="8" applyNumberFormat="1" applyFont="1" applyBorder="1" applyAlignment="1">
      <alignment horizontal="right" vertical="top" wrapText="1"/>
    </xf>
    <xf numFmtId="2" fontId="3" fillId="0" borderId="13" xfId="8" applyNumberFormat="1" applyFont="1" applyBorder="1" applyAlignment="1">
      <alignment horizontal="right" vertical="top" wrapText="1"/>
    </xf>
    <xf numFmtId="0" fontId="4" fillId="2" borderId="11" xfId="8" applyNumberFormat="1" applyFont="1" applyFill="1" applyBorder="1" applyAlignment="1">
      <alignment vertical="top"/>
    </xf>
    <xf numFmtId="4" fontId="4" fillId="2" borderId="11" xfId="8" applyNumberFormat="1" applyFont="1" applyFill="1" applyBorder="1" applyAlignment="1">
      <alignment horizontal="right" vertical="top" wrapText="1"/>
    </xf>
    <xf numFmtId="0" fontId="4" fillId="2" borderId="12" xfId="8" applyNumberFormat="1" applyFont="1" applyFill="1" applyBorder="1" applyAlignment="1">
      <alignment horizontal="center" vertical="top"/>
    </xf>
    <xf numFmtId="4" fontId="4" fillId="2" borderId="13" xfId="8" applyNumberFormat="1" applyFont="1" applyFill="1" applyBorder="1" applyAlignment="1">
      <alignment horizontal="right" vertical="top" wrapText="1"/>
    </xf>
    <xf numFmtId="0" fontId="2" fillId="2" borderId="1" xfId="9" applyNumberFormat="1" applyFont="1" applyFill="1" applyBorder="1" applyAlignment="1">
      <alignment vertical="top"/>
    </xf>
    <xf numFmtId="0" fontId="2" fillId="2" borderId="2" xfId="9" applyNumberFormat="1" applyFont="1" applyFill="1" applyBorder="1" applyAlignment="1">
      <alignment vertical="top"/>
    </xf>
    <xf numFmtId="0" fontId="2" fillId="2" borderId="3" xfId="9" applyNumberFormat="1" applyFont="1" applyFill="1" applyBorder="1" applyAlignment="1">
      <alignment vertical="top"/>
    </xf>
    <xf numFmtId="0" fontId="2" fillId="2" borderId="2" xfId="9" applyNumberFormat="1" applyFont="1" applyFill="1" applyBorder="1" applyAlignment="1">
      <alignment horizontal="center" vertical="top"/>
    </xf>
    <xf numFmtId="0" fontId="2" fillId="2" borderId="4" xfId="9" applyNumberFormat="1" applyFont="1" applyFill="1" applyBorder="1" applyAlignment="1">
      <alignment horizontal="center" vertical="top"/>
    </xf>
    <xf numFmtId="0" fontId="2" fillId="2" borderId="5" xfId="9" applyNumberFormat="1" applyFont="1" applyFill="1" applyBorder="1" applyAlignment="1">
      <alignment vertical="top"/>
    </xf>
    <xf numFmtId="0" fontId="2" fillId="2" borderId="6" xfId="9" applyNumberFormat="1" applyFont="1" applyFill="1" applyBorder="1" applyAlignment="1">
      <alignment vertical="top"/>
    </xf>
    <xf numFmtId="0" fontId="2" fillId="2" borderId="7" xfId="9" applyNumberFormat="1" applyFont="1" applyFill="1" applyBorder="1" applyAlignment="1">
      <alignment vertical="top"/>
    </xf>
    <xf numFmtId="0" fontId="2" fillId="2" borderId="4" xfId="9" applyNumberFormat="1" applyFont="1" applyFill="1" applyBorder="1" applyAlignment="1">
      <alignment vertical="top"/>
    </xf>
    <xf numFmtId="0" fontId="2" fillId="2" borderId="8" xfId="9" applyNumberFormat="1" applyFont="1" applyFill="1" applyBorder="1" applyAlignment="1">
      <alignment vertical="top"/>
    </xf>
    <xf numFmtId="0" fontId="2" fillId="2" borderId="8" xfId="9" applyNumberFormat="1" applyFont="1" applyFill="1" applyBorder="1" applyAlignment="1">
      <alignment vertical="top"/>
    </xf>
    <xf numFmtId="0" fontId="2" fillId="2" borderId="9" xfId="9" applyNumberFormat="1" applyFont="1" applyFill="1" applyBorder="1" applyAlignment="1">
      <alignment vertical="top"/>
    </xf>
    <xf numFmtId="0" fontId="2" fillId="2" borderId="10" xfId="9" applyNumberFormat="1" applyFont="1" applyFill="1" applyBorder="1" applyAlignment="1">
      <alignment vertical="top"/>
    </xf>
    <xf numFmtId="0" fontId="3" fillId="0" borderId="11" xfId="9" applyNumberFormat="1" applyFont="1" applyBorder="1" applyAlignment="1">
      <alignment vertical="top"/>
    </xf>
    <xf numFmtId="0" fontId="3" fillId="0" borderId="11" xfId="9" applyNumberFormat="1" applyFont="1" applyBorder="1" applyAlignment="1">
      <alignment vertical="top" wrapText="1"/>
    </xf>
    <xf numFmtId="0" fontId="3" fillId="0" borderId="11" xfId="9" applyNumberFormat="1" applyFont="1" applyBorder="1" applyAlignment="1">
      <alignment horizontal="left" vertical="top"/>
    </xf>
    <xf numFmtId="0" fontId="3" fillId="0" borderId="11" xfId="9" applyNumberFormat="1" applyFont="1" applyBorder="1" applyAlignment="1">
      <alignment horizontal="right" vertical="top" wrapText="1"/>
    </xf>
    <xf numFmtId="4" fontId="3" fillId="0" borderId="13" xfId="9" applyNumberFormat="1" applyFont="1" applyBorder="1" applyAlignment="1">
      <alignment horizontal="right" vertical="top" wrapText="1"/>
    </xf>
    <xf numFmtId="0" fontId="3" fillId="0" borderId="12" xfId="9" applyNumberFormat="1" applyFont="1" applyBorder="1" applyAlignment="1">
      <alignment horizontal="center" vertical="top"/>
    </xf>
    <xf numFmtId="4" fontId="3" fillId="0" borderId="13" xfId="9" applyNumberFormat="1" applyFont="1" applyBorder="1" applyAlignment="1">
      <alignment horizontal="right" vertical="top" wrapText="1"/>
    </xf>
    <xf numFmtId="2" fontId="3" fillId="0" borderId="13" xfId="9" applyNumberFormat="1" applyFont="1" applyBorder="1" applyAlignment="1">
      <alignment horizontal="right" vertical="top" wrapText="1"/>
    </xf>
    <xf numFmtId="0" fontId="3" fillId="0" borderId="13" xfId="9" applyNumberFormat="1" applyFont="1" applyBorder="1" applyAlignment="1">
      <alignment horizontal="right" vertical="top" wrapText="1"/>
    </xf>
    <xf numFmtId="4" fontId="3" fillId="0" borderId="11" xfId="9" applyNumberFormat="1" applyFont="1" applyBorder="1" applyAlignment="1">
      <alignment horizontal="right" vertical="top" wrapText="1"/>
    </xf>
    <xf numFmtId="0" fontId="3" fillId="0" borderId="13" xfId="9" applyNumberFormat="1" applyFont="1" applyBorder="1" applyAlignment="1">
      <alignment horizontal="right" vertical="top" wrapText="1"/>
    </xf>
    <xf numFmtId="0" fontId="4" fillId="2" borderId="11" xfId="9" applyNumberFormat="1" applyFont="1" applyFill="1" applyBorder="1" applyAlignment="1">
      <alignment vertical="top"/>
    </xf>
    <xf numFmtId="4" fontId="4" fillId="2" borderId="11" xfId="9" applyNumberFormat="1" applyFont="1" applyFill="1" applyBorder="1" applyAlignment="1">
      <alignment horizontal="right" vertical="top" wrapText="1"/>
    </xf>
    <xf numFmtId="0" fontId="4" fillId="2" borderId="12" xfId="9" applyNumberFormat="1" applyFont="1" applyFill="1" applyBorder="1" applyAlignment="1">
      <alignment horizontal="center" vertical="top"/>
    </xf>
    <xf numFmtId="4" fontId="4" fillId="2" borderId="13" xfId="9" applyNumberFormat="1" applyFont="1" applyFill="1" applyBorder="1" applyAlignment="1">
      <alignment horizontal="right" vertical="top" wrapText="1"/>
    </xf>
  </cellXfs>
  <cellStyles count="10">
    <cellStyle name="Обычный" xfId="0" builtinId="0"/>
    <cellStyle name="Обычный_Глобино-2_Материал" xfId="6" xr:uid="{FF8D43E3-34F9-4415-A8FC-E42528810261}"/>
    <cellStyle name="Обычный_Глобино-2_МШП" xfId="1" xr:uid="{5750F963-C099-4119-8BE6-CBD425BA220C}"/>
    <cellStyle name="Обычный_КМД-2_Материал" xfId="8" xr:uid="{E8F111C4-83D5-4FE5-9BE0-CD7066935725}"/>
    <cellStyle name="Обычный_КМД-2_МШП" xfId="3" xr:uid="{0D637CBF-AEA9-4CB1-B064-61CD8D88154B}"/>
    <cellStyle name="Обычный_Лист4" xfId="5" xr:uid="{4A9F7B1D-C712-4AFA-AD85-062BF16FC515}"/>
    <cellStyle name="Обычный_МХП_Материал" xfId="9" xr:uid="{9E11641D-DC0F-4ED9-9ED0-C17C92020E68}"/>
    <cellStyle name="Обычный_Тищенки_Материал" xfId="7" xr:uid="{F7E9E147-8C76-491C-BD97-534C9DDE1ECF}"/>
    <cellStyle name="Обычный_Тищенки_МШП" xfId="2" xr:uid="{4B75D06A-CA7C-44AE-934D-8D44C7ACBE3E}"/>
    <cellStyle name="Обычный_Цех_Глобино Виробничий_Пері2051" xfId="4" xr:uid="{17E3B386-6D1A-4549-9536-F1E488CBE4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96"/>
  <sheetViews>
    <sheetView topLeftCell="A288" workbookViewId="0">
      <selection activeCell="J296" sqref="J296"/>
    </sheetView>
  </sheetViews>
  <sheetFormatPr defaultRowHeight="14.4" x14ac:dyDescent="0.3"/>
  <cols>
    <col min="2" max="4" width="23.88671875" customWidth="1"/>
    <col min="10" max="10" width="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hidden="1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71.400000000000006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>
        <v>923.9</v>
      </c>
      <c r="G3" s="17"/>
      <c r="H3" s="16" t="s">
        <v>14</v>
      </c>
      <c r="I3" s="18" t="s">
        <v>15</v>
      </c>
      <c r="J3" s="18"/>
      <c r="K3" s="19" t="s">
        <v>8</v>
      </c>
      <c r="L3" s="20">
        <v>308712.69</v>
      </c>
    </row>
    <row r="4" spans="1:12" ht="71.400000000000006" hidden="1" x14ac:dyDescent="0.3">
      <c r="A4" s="14" t="s">
        <v>9</v>
      </c>
      <c r="B4" s="15" t="s">
        <v>16</v>
      </c>
      <c r="C4" s="15" t="s">
        <v>17</v>
      </c>
      <c r="D4" s="15" t="s">
        <v>18</v>
      </c>
      <c r="E4" s="16" t="s">
        <v>13</v>
      </c>
      <c r="F4" s="17">
        <v>220.3</v>
      </c>
      <c r="G4" s="17"/>
      <c r="H4" s="16" t="s">
        <v>14</v>
      </c>
      <c r="I4" s="18" t="s">
        <v>15</v>
      </c>
      <c r="J4" s="18"/>
      <c r="K4" s="19" t="s">
        <v>8</v>
      </c>
      <c r="L4" s="20">
        <v>71681.22</v>
      </c>
    </row>
    <row r="5" spans="1:12" ht="71.400000000000006" hidden="1" x14ac:dyDescent="0.3">
      <c r="A5" s="14" t="s">
        <v>19</v>
      </c>
      <c r="B5" s="15" t="s">
        <v>20</v>
      </c>
      <c r="C5" s="15" t="s">
        <v>21</v>
      </c>
      <c r="D5" s="15" t="s">
        <v>22</v>
      </c>
      <c r="E5" s="16" t="s">
        <v>13</v>
      </c>
      <c r="F5" s="21">
        <v>1653.36</v>
      </c>
      <c r="G5" s="21"/>
      <c r="H5" s="16" t="s">
        <v>14</v>
      </c>
      <c r="I5" s="18" t="s">
        <v>15</v>
      </c>
      <c r="J5" s="18"/>
      <c r="K5" s="19" t="s">
        <v>8</v>
      </c>
      <c r="L5" s="20">
        <v>310366.05</v>
      </c>
    </row>
    <row r="6" spans="1:12" ht="71.400000000000006" hidden="1" x14ac:dyDescent="0.3">
      <c r="A6" s="14" t="s">
        <v>19</v>
      </c>
      <c r="B6" s="15" t="s">
        <v>20</v>
      </c>
      <c r="C6" s="15" t="s">
        <v>23</v>
      </c>
      <c r="D6" s="15" t="s">
        <v>22</v>
      </c>
      <c r="E6" s="16" t="s">
        <v>13</v>
      </c>
      <c r="F6" s="21">
        <v>2480.04</v>
      </c>
      <c r="G6" s="21"/>
      <c r="H6" s="16" t="s">
        <v>14</v>
      </c>
      <c r="I6" s="18" t="s">
        <v>15</v>
      </c>
      <c r="J6" s="18"/>
      <c r="K6" s="19" t="s">
        <v>8</v>
      </c>
      <c r="L6" s="20">
        <v>312846.09000000003</v>
      </c>
    </row>
    <row r="7" spans="1:12" ht="81.599999999999994" hidden="1" x14ac:dyDescent="0.3">
      <c r="A7" s="14" t="s">
        <v>19</v>
      </c>
      <c r="B7" s="15" t="s">
        <v>20</v>
      </c>
      <c r="C7" s="15" t="s">
        <v>24</v>
      </c>
      <c r="D7" s="15" t="s">
        <v>22</v>
      </c>
      <c r="E7" s="16" t="s">
        <v>13</v>
      </c>
      <c r="F7" s="21">
        <v>3415</v>
      </c>
      <c r="G7" s="21"/>
      <c r="H7" s="16" t="s">
        <v>14</v>
      </c>
      <c r="I7" s="18" t="s">
        <v>15</v>
      </c>
      <c r="J7" s="18"/>
      <c r="K7" s="19" t="s">
        <v>8</v>
      </c>
      <c r="L7" s="20">
        <v>316261.09000000003</v>
      </c>
    </row>
    <row r="8" spans="1:12" ht="61.2" hidden="1" x14ac:dyDescent="0.3">
      <c r="A8" s="14" t="s">
        <v>25</v>
      </c>
      <c r="B8" s="15" t="s">
        <v>26</v>
      </c>
      <c r="C8" s="15" t="s">
        <v>27</v>
      </c>
      <c r="D8" s="15" t="s">
        <v>28</v>
      </c>
      <c r="E8" s="16" t="s">
        <v>13</v>
      </c>
      <c r="F8" s="21">
        <v>2724.9</v>
      </c>
      <c r="G8" s="21"/>
      <c r="H8" s="16" t="s">
        <v>14</v>
      </c>
      <c r="I8" s="18" t="s">
        <v>15</v>
      </c>
      <c r="J8" s="18"/>
      <c r="K8" s="19" t="s">
        <v>8</v>
      </c>
      <c r="L8" s="20">
        <v>318985.99</v>
      </c>
    </row>
    <row r="9" spans="1:12" ht="71.400000000000006" hidden="1" x14ac:dyDescent="0.3">
      <c r="A9" s="14" t="s">
        <v>25</v>
      </c>
      <c r="B9" s="15" t="s">
        <v>26</v>
      </c>
      <c r="C9" s="15" t="s">
        <v>29</v>
      </c>
      <c r="D9" s="15" t="s">
        <v>28</v>
      </c>
      <c r="E9" s="16" t="s">
        <v>13</v>
      </c>
      <c r="F9" s="21">
        <v>2330</v>
      </c>
      <c r="G9" s="21"/>
      <c r="H9" s="16" t="s">
        <v>14</v>
      </c>
      <c r="I9" s="18" t="s">
        <v>15</v>
      </c>
      <c r="J9" s="18"/>
      <c r="K9" s="19" t="s">
        <v>8</v>
      </c>
      <c r="L9" s="20">
        <v>321315.99</v>
      </c>
    </row>
    <row r="10" spans="1:12" ht="61.2" hidden="1" x14ac:dyDescent="0.3">
      <c r="A10" s="14" t="s">
        <v>30</v>
      </c>
      <c r="B10" s="15" t="s">
        <v>31</v>
      </c>
      <c r="C10" s="15" t="s">
        <v>32</v>
      </c>
      <c r="D10" s="15" t="s">
        <v>33</v>
      </c>
      <c r="E10" s="16" t="s">
        <v>13</v>
      </c>
      <c r="F10" s="21">
        <v>2982.8</v>
      </c>
      <c r="G10" s="21"/>
      <c r="H10" s="16" t="s">
        <v>14</v>
      </c>
      <c r="I10" s="18" t="s">
        <v>15</v>
      </c>
      <c r="J10" s="18"/>
      <c r="K10" s="19" t="s">
        <v>8</v>
      </c>
      <c r="L10" s="20">
        <v>324298.78999999998</v>
      </c>
    </row>
    <row r="11" spans="1:12" ht="61.2" hidden="1" x14ac:dyDescent="0.3">
      <c r="A11" s="14" t="s">
        <v>34</v>
      </c>
      <c r="B11" s="15" t="s">
        <v>35</v>
      </c>
      <c r="C11" s="15" t="s">
        <v>36</v>
      </c>
      <c r="D11" s="15" t="s">
        <v>37</v>
      </c>
      <c r="E11" s="16" t="s">
        <v>13</v>
      </c>
      <c r="F11" s="21">
        <v>1141.67</v>
      </c>
      <c r="G11" s="21"/>
      <c r="H11" s="16" t="s">
        <v>14</v>
      </c>
      <c r="I11" s="18" t="s">
        <v>15</v>
      </c>
      <c r="J11" s="18"/>
      <c r="K11" s="19" t="s">
        <v>8</v>
      </c>
      <c r="L11" s="20">
        <v>325440.46000000002</v>
      </c>
    </row>
    <row r="12" spans="1:12" ht="61.2" hidden="1" x14ac:dyDescent="0.3">
      <c r="A12" s="14" t="s">
        <v>34</v>
      </c>
      <c r="B12" s="15" t="s">
        <v>35</v>
      </c>
      <c r="C12" s="15" t="s">
        <v>38</v>
      </c>
      <c r="D12" s="15" t="s">
        <v>37</v>
      </c>
      <c r="E12" s="16" t="s">
        <v>13</v>
      </c>
      <c r="F12" s="17">
        <v>704.17</v>
      </c>
      <c r="G12" s="17"/>
      <c r="H12" s="16" t="s">
        <v>14</v>
      </c>
      <c r="I12" s="18" t="s">
        <v>15</v>
      </c>
      <c r="J12" s="18"/>
      <c r="K12" s="19" t="s">
        <v>8</v>
      </c>
      <c r="L12" s="20">
        <v>326144.63</v>
      </c>
    </row>
    <row r="13" spans="1:12" ht="61.2" x14ac:dyDescent="0.3">
      <c r="A13" s="14" t="s">
        <v>34</v>
      </c>
      <c r="B13" s="15" t="s">
        <v>39</v>
      </c>
      <c r="C13" s="15" t="s">
        <v>40</v>
      </c>
      <c r="D13" s="15" t="s">
        <v>41</v>
      </c>
      <c r="E13" s="16" t="s">
        <v>42</v>
      </c>
      <c r="F13" s="22" t="s">
        <v>15</v>
      </c>
      <c r="G13" s="22"/>
      <c r="H13" s="16" t="s">
        <v>13</v>
      </c>
      <c r="I13" s="23">
        <v>372.5</v>
      </c>
      <c r="J13" s="23"/>
      <c r="K13" s="19" t="s">
        <v>8</v>
      </c>
      <c r="L13" s="24">
        <v>304.25</v>
      </c>
    </row>
    <row r="14" spans="1:12" ht="61.2" x14ac:dyDescent="0.3">
      <c r="A14" s="14" t="s">
        <v>34</v>
      </c>
      <c r="B14" s="15" t="s">
        <v>39</v>
      </c>
      <c r="C14" s="15" t="s">
        <v>40</v>
      </c>
      <c r="D14" s="15" t="s">
        <v>43</v>
      </c>
      <c r="E14" s="16" t="s">
        <v>42</v>
      </c>
      <c r="F14" s="22" t="s">
        <v>15</v>
      </c>
      <c r="G14" s="22"/>
      <c r="H14" s="16" t="s">
        <v>13</v>
      </c>
      <c r="I14" s="23">
        <v>203.25</v>
      </c>
      <c r="J14" s="23"/>
      <c r="K14" s="19" t="s">
        <v>8</v>
      </c>
      <c r="L14" s="24">
        <v>101</v>
      </c>
    </row>
    <row r="15" spans="1:12" ht="61.2" x14ac:dyDescent="0.3">
      <c r="A15" s="14" t="s">
        <v>34</v>
      </c>
      <c r="B15" s="15" t="s">
        <v>39</v>
      </c>
      <c r="C15" s="15" t="s">
        <v>40</v>
      </c>
      <c r="D15" s="15" t="s">
        <v>44</v>
      </c>
      <c r="E15" s="16" t="s">
        <v>42</v>
      </c>
      <c r="F15" s="22" t="s">
        <v>15</v>
      </c>
      <c r="G15" s="22"/>
      <c r="H15" s="16" t="s">
        <v>13</v>
      </c>
      <c r="I15" s="23">
        <v>101</v>
      </c>
      <c r="J15" s="23"/>
      <c r="K15" s="19"/>
      <c r="L15" s="25"/>
    </row>
    <row r="16" spans="1:12" ht="61.2" x14ac:dyDescent="0.3">
      <c r="A16" s="14" t="s">
        <v>34</v>
      </c>
      <c r="B16" s="15" t="s">
        <v>45</v>
      </c>
      <c r="C16" s="15" t="s">
        <v>40</v>
      </c>
      <c r="D16" s="15" t="s">
        <v>46</v>
      </c>
      <c r="E16" s="16" t="s">
        <v>42</v>
      </c>
      <c r="F16" s="22" t="s">
        <v>15</v>
      </c>
      <c r="G16" s="22"/>
      <c r="H16" s="16" t="s">
        <v>13</v>
      </c>
      <c r="I16" s="23">
        <v>694</v>
      </c>
      <c r="J16" s="23"/>
      <c r="K16" s="19" t="s">
        <v>8</v>
      </c>
      <c r="L16" s="20">
        <v>325450.63</v>
      </c>
    </row>
    <row r="17" spans="1:12" ht="61.2" x14ac:dyDescent="0.3">
      <c r="A17" s="14" t="s">
        <v>34</v>
      </c>
      <c r="B17" s="15" t="s">
        <v>45</v>
      </c>
      <c r="C17" s="15" t="s">
        <v>47</v>
      </c>
      <c r="D17" s="15" t="s">
        <v>48</v>
      </c>
      <c r="E17" s="16" t="s">
        <v>42</v>
      </c>
      <c r="F17" s="22" t="s">
        <v>15</v>
      </c>
      <c r="G17" s="22"/>
      <c r="H17" s="16" t="s">
        <v>13</v>
      </c>
      <c r="I17" s="23">
        <v>656.5</v>
      </c>
      <c r="J17" s="23"/>
      <c r="K17" s="19" t="s">
        <v>8</v>
      </c>
      <c r="L17" s="20">
        <v>324794.13</v>
      </c>
    </row>
    <row r="18" spans="1:12" ht="71.400000000000006" x14ac:dyDescent="0.3">
      <c r="A18" s="14" t="s">
        <v>34</v>
      </c>
      <c r="B18" s="15" t="s">
        <v>49</v>
      </c>
      <c r="C18" s="15" t="s">
        <v>40</v>
      </c>
      <c r="D18" s="15" t="s">
        <v>50</v>
      </c>
      <c r="E18" s="16" t="s">
        <v>42</v>
      </c>
      <c r="F18" s="22" t="s">
        <v>15</v>
      </c>
      <c r="G18" s="22"/>
      <c r="H18" s="16" t="s">
        <v>13</v>
      </c>
      <c r="I18" s="26">
        <v>1084.5</v>
      </c>
      <c r="J18" s="26"/>
      <c r="K18" s="19" t="s">
        <v>8</v>
      </c>
      <c r="L18" s="20">
        <v>19347.04</v>
      </c>
    </row>
    <row r="19" spans="1:12" ht="61.2" x14ac:dyDescent="0.3">
      <c r="A19" s="14" t="s">
        <v>34</v>
      </c>
      <c r="B19" s="15" t="s">
        <v>49</v>
      </c>
      <c r="C19" s="15" t="s">
        <v>40</v>
      </c>
      <c r="D19" s="15" t="s">
        <v>51</v>
      </c>
      <c r="E19" s="16" t="s">
        <v>42</v>
      </c>
      <c r="F19" s="22" t="s">
        <v>15</v>
      </c>
      <c r="G19" s="22"/>
      <c r="H19" s="16" t="s">
        <v>13</v>
      </c>
      <c r="I19" s="26">
        <v>1708.5</v>
      </c>
      <c r="J19" s="26"/>
      <c r="K19" s="19" t="s">
        <v>8</v>
      </c>
      <c r="L19" s="20">
        <v>17638.54</v>
      </c>
    </row>
    <row r="20" spans="1:12" ht="71.400000000000006" x14ac:dyDescent="0.3">
      <c r="A20" s="14" t="s">
        <v>34</v>
      </c>
      <c r="B20" s="15" t="s">
        <v>52</v>
      </c>
      <c r="C20" s="15" t="s">
        <v>40</v>
      </c>
      <c r="D20" s="15" t="s">
        <v>53</v>
      </c>
      <c r="E20" s="16" t="s">
        <v>42</v>
      </c>
      <c r="F20" s="22" t="s">
        <v>15</v>
      </c>
      <c r="G20" s="22"/>
      <c r="H20" s="16" t="s">
        <v>13</v>
      </c>
      <c r="I20" s="23">
        <v>795.85</v>
      </c>
      <c r="J20" s="23"/>
      <c r="K20" s="19" t="s">
        <v>8</v>
      </c>
      <c r="L20" s="20">
        <v>323998.28000000003</v>
      </c>
    </row>
    <row r="21" spans="1:12" ht="71.400000000000006" x14ac:dyDescent="0.3">
      <c r="A21" s="14" t="s">
        <v>34</v>
      </c>
      <c r="B21" s="15" t="s">
        <v>52</v>
      </c>
      <c r="C21" s="15" t="s">
        <v>40</v>
      </c>
      <c r="D21" s="15" t="s">
        <v>54</v>
      </c>
      <c r="E21" s="16" t="s">
        <v>42</v>
      </c>
      <c r="F21" s="22" t="s">
        <v>15</v>
      </c>
      <c r="G21" s="22"/>
      <c r="H21" s="16" t="s">
        <v>13</v>
      </c>
      <c r="I21" s="26">
        <v>1591.7</v>
      </c>
      <c r="J21" s="26"/>
      <c r="K21" s="19" t="s">
        <v>8</v>
      </c>
      <c r="L21" s="20">
        <v>322406.58</v>
      </c>
    </row>
    <row r="22" spans="1:12" ht="71.400000000000006" x14ac:dyDescent="0.3">
      <c r="A22" s="14" t="s">
        <v>34</v>
      </c>
      <c r="B22" s="15" t="s">
        <v>52</v>
      </c>
      <c r="C22" s="15" t="s">
        <v>40</v>
      </c>
      <c r="D22" s="15" t="s">
        <v>55</v>
      </c>
      <c r="E22" s="16" t="s">
        <v>42</v>
      </c>
      <c r="F22" s="22" t="s">
        <v>15</v>
      </c>
      <c r="G22" s="22"/>
      <c r="H22" s="16" t="s">
        <v>13</v>
      </c>
      <c r="I22" s="23">
        <v>795.85</v>
      </c>
      <c r="J22" s="23"/>
      <c r="K22" s="19" t="s">
        <v>8</v>
      </c>
      <c r="L22" s="20">
        <v>321610.73</v>
      </c>
    </row>
    <row r="23" spans="1:12" ht="71.400000000000006" x14ac:dyDescent="0.3">
      <c r="A23" s="14" t="s">
        <v>34</v>
      </c>
      <c r="B23" s="15" t="s">
        <v>52</v>
      </c>
      <c r="C23" s="15" t="s">
        <v>40</v>
      </c>
      <c r="D23" s="15" t="s">
        <v>56</v>
      </c>
      <c r="E23" s="16" t="s">
        <v>42</v>
      </c>
      <c r="F23" s="22" t="s">
        <v>15</v>
      </c>
      <c r="G23" s="22"/>
      <c r="H23" s="16" t="s">
        <v>13</v>
      </c>
      <c r="I23" s="23">
        <v>795.85</v>
      </c>
      <c r="J23" s="23"/>
      <c r="K23" s="19" t="s">
        <v>8</v>
      </c>
      <c r="L23" s="20">
        <v>320814.88</v>
      </c>
    </row>
    <row r="24" spans="1:12" ht="71.400000000000006" x14ac:dyDescent="0.3">
      <c r="A24" s="14" t="s">
        <v>34</v>
      </c>
      <c r="B24" s="15" t="s">
        <v>52</v>
      </c>
      <c r="C24" s="15" t="s">
        <v>40</v>
      </c>
      <c r="D24" s="15" t="s">
        <v>57</v>
      </c>
      <c r="E24" s="16" t="s">
        <v>42</v>
      </c>
      <c r="F24" s="22" t="s">
        <v>15</v>
      </c>
      <c r="G24" s="22"/>
      <c r="H24" s="16" t="s">
        <v>13</v>
      </c>
      <c r="I24" s="23">
        <v>795.85</v>
      </c>
      <c r="J24" s="23"/>
      <c r="K24" s="19" t="s">
        <v>8</v>
      </c>
      <c r="L24" s="20">
        <v>320019.03000000003</v>
      </c>
    </row>
    <row r="25" spans="1:12" ht="61.2" x14ac:dyDescent="0.3">
      <c r="A25" s="14" t="s">
        <v>34</v>
      </c>
      <c r="B25" s="15" t="s">
        <v>58</v>
      </c>
      <c r="C25" s="15" t="s">
        <v>40</v>
      </c>
      <c r="D25" s="15" t="s">
        <v>59</v>
      </c>
      <c r="E25" s="16" t="s">
        <v>42</v>
      </c>
      <c r="F25" s="22" t="s">
        <v>15</v>
      </c>
      <c r="G25" s="22"/>
      <c r="H25" s="16" t="s">
        <v>13</v>
      </c>
      <c r="I25" s="23">
        <v>988.8</v>
      </c>
      <c r="J25" s="23"/>
      <c r="K25" s="19" t="s">
        <v>8</v>
      </c>
      <c r="L25" s="20">
        <v>319030.23</v>
      </c>
    </row>
    <row r="26" spans="1:12" ht="71.400000000000006" x14ac:dyDescent="0.3">
      <c r="A26" s="14" t="s">
        <v>34</v>
      </c>
      <c r="B26" s="15" t="s">
        <v>60</v>
      </c>
      <c r="C26" s="15" t="s">
        <v>40</v>
      </c>
      <c r="D26" s="15" t="s">
        <v>61</v>
      </c>
      <c r="E26" s="16" t="s">
        <v>42</v>
      </c>
      <c r="F26" s="22" t="s">
        <v>15</v>
      </c>
      <c r="G26" s="22"/>
      <c r="H26" s="16" t="s">
        <v>13</v>
      </c>
      <c r="I26" s="26">
        <v>8287.5</v>
      </c>
      <c r="J26" s="26"/>
      <c r="K26" s="19" t="s">
        <v>8</v>
      </c>
      <c r="L26" s="20">
        <v>310742.73</v>
      </c>
    </row>
    <row r="27" spans="1:12" ht="71.400000000000006" x14ac:dyDescent="0.3">
      <c r="A27" s="14" t="s">
        <v>34</v>
      </c>
      <c r="B27" s="15" t="s">
        <v>62</v>
      </c>
      <c r="C27" s="15" t="s">
        <v>40</v>
      </c>
      <c r="D27" s="15" t="s">
        <v>63</v>
      </c>
      <c r="E27" s="16" t="s">
        <v>42</v>
      </c>
      <c r="F27" s="22" t="s">
        <v>15</v>
      </c>
      <c r="G27" s="22"/>
      <c r="H27" s="16" t="s">
        <v>13</v>
      </c>
      <c r="I27" s="26">
        <v>3144.54</v>
      </c>
      <c r="J27" s="26"/>
      <c r="K27" s="19" t="s">
        <v>8</v>
      </c>
      <c r="L27" s="20">
        <v>307598.19</v>
      </c>
    </row>
    <row r="28" spans="1:12" ht="81.599999999999994" x14ac:dyDescent="0.3">
      <c r="A28" s="14" t="s">
        <v>34</v>
      </c>
      <c r="B28" s="15" t="s">
        <v>62</v>
      </c>
      <c r="C28" s="15" t="s">
        <v>40</v>
      </c>
      <c r="D28" s="15" t="s">
        <v>64</v>
      </c>
      <c r="E28" s="16" t="s">
        <v>42</v>
      </c>
      <c r="F28" s="22" t="s">
        <v>15</v>
      </c>
      <c r="G28" s="22"/>
      <c r="H28" s="16" t="s">
        <v>13</v>
      </c>
      <c r="I28" s="26">
        <v>3415</v>
      </c>
      <c r="J28" s="26"/>
      <c r="K28" s="19" t="s">
        <v>8</v>
      </c>
      <c r="L28" s="20">
        <v>304183.19</v>
      </c>
    </row>
    <row r="29" spans="1:12" ht="61.2" x14ac:dyDescent="0.3">
      <c r="A29" s="14" t="s">
        <v>34</v>
      </c>
      <c r="B29" s="15" t="s">
        <v>62</v>
      </c>
      <c r="C29" s="15" t="s">
        <v>40</v>
      </c>
      <c r="D29" s="15" t="s">
        <v>65</v>
      </c>
      <c r="E29" s="16" t="s">
        <v>42</v>
      </c>
      <c r="F29" s="22" t="s">
        <v>15</v>
      </c>
      <c r="G29" s="22"/>
      <c r="H29" s="16" t="s">
        <v>13</v>
      </c>
      <c r="I29" s="26">
        <v>6180</v>
      </c>
      <c r="J29" s="26"/>
      <c r="K29" s="19" t="s">
        <v>8</v>
      </c>
      <c r="L29" s="20">
        <v>298003.19</v>
      </c>
    </row>
    <row r="30" spans="1:12" ht="71.400000000000006" x14ac:dyDescent="0.3">
      <c r="A30" s="14" t="s">
        <v>34</v>
      </c>
      <c r="B30" s="15" t="s">
        <v>62</v>
      </c>
      <c r="C30" s="15" t="s">
        <v>40</v>
      </c>
      <c r="D30" s="15" t="s">
        <v>66</v>
      </c>
      <c r="E30" s="16" t="s">
        <v>42</v>
      </c>
      <c r="F30" s="22" t="s">
        <v>15</v>
      </c>
      <c r="G30" s="22"/>
      <c r="H30" s="16" t="s">
        <v>13</v>
      </c>
      <c r="I30" s="23">
        <v>485.77</v>
      </c>
      <c r="J30" s="23"/>
      <c r="K30" s="19" t="s">
        <v>8</v>
      </c>
      <c r="L30" s="20">
        <v>297517.42</v>
      </c>
    </row>
    <row r="31" spans="1:12" ht="71.400000000000006" x14ac:dyDescent="0.3">
      <c r="A31" s="14" t="s">
        <v>34</v>
      </c>
      <c r="B31" s="15" t="s">
        <v>62</v>
      </c>
      <c r="C31" s="15" t="s">
        <v>40</v>
      </c>
      <c r="D31" s="15" t="s">
        <v>67</v>
      </c>
      <c r="E31" s="16" t="s">
        <v>42</v>
      </c>
      <c r="F31" s="22" t="s">
        <v>15</v>
      </c>
      <c r="G31" s="22"/>
      <c r="H31" s="16" t="s">
        <v>13</v>
      </c>
      <c r="I31" s="23">
        <v>836</v>
      </c>
      <c r="J31" s="23"/>
      <c r="K31" s="19" t="s">
        <v>8</v>
      </c>
      <c r="L31" s="20">
        <v>296681.42</v>
      </c>
    </row>
    <row r="32" spans="1:12" ht="71.400000000000006" x14ac:dyDescent="0.3">
      <c r="A32" s="14" t="s">
        <v>34</v>
      </c>
      <c r="B32" s="15" t="s">
        <v>62</v>
      </c>
      <c r="C32" s="15" t="s">
        <v>40</v>
      </c>
      <c r="D32" s="15" t="s">
        <v>68</v>
      </c>
      <c r="E32" s="16" t="s">
        <v>42</v>
      </c>
      <c r="F32" s="22" t="s">
        <v>15</v>
      </c>
      <c r="G32" s="22"/>
      <c r="H32" s="16" t="s">
        <v>13</v>
      </c>
      <c r="I32" s="26">
        <v>4600</v>
      </c>
      <c r="J32" s="26"/>
      <c r="K32" s="19" t="s">
        <v>8</v>
      </c>
      <c r="L32" s="20">
        <v>292081.42</v>
      </c>
    </row>
    <row r="33" spans="1:12" ht="61.2" x14ac:dyDescent="0.3">
      <c r="A33" s="14" t="s">
        <v>34</v>
      </c>
      <c r="B33" s="15" t="s">
        <v>69</v>
      </c>
      <c r="C33" s="15" t="s">
        <v>40</v>
      </c>
      <c r="D33" s="15" t="s">
        <v>70</v>
      </c>
      <c r="E33" s="16" t="s">
        <v>42</v>
      </c>
      <c r="F33" s="22" t="s">
        <v>15</v>
      </c>
      <c r="G33" s="22"/>
      <c r="H33" s="16" t="s">
        <v>13</v>
      </c>
      <c r="I33" s="23">
        <v>204.25</v>
      </c>
      <c r="J33" s="23"/>
      <c r="K33" s="19" t="s">
        <v>8</v>
      </c>
      <c r="L33" s="20">
        <v>44660.32</v>
      </c>
    </row>
    <row r="34" spans="1:12" ht="81.599999999999994" x14ac:dyDescent="0.3">
      <c r="A34" s="14" t="s">
        <v>34</v>
      </c>
      <c r="B34" s="15" t="s">
        <v>69</v>
      </c>
      <c r="C34" s="15" t="s">
        <v>40</v>
      </c>
      <c r="D34" s="15" t="s">
        <v>71</v>
      </c>
      <c r="E34" s="16" t="s">
        <v>42</v>
      </c>
      <c r="F34" s="22" t="s">
        <v>15</v>
      </c>
      <c r="G34" s="22"/>
      <c r="H34" s="16" t="s">
        <v>13</v>
      </c>
      <c r="I34" s="26">
        <v>6800</v>
      </c>
      <c r="J34" s="26"/>
      <c r="K34" s="19" t="s">
        <v>8</v>
      </c>
      <c r="L34" s="20">
        <v>37860.32</v>
      </c>
    </row>
    <row r="35" spans="1:12" ht="61.2" x14ac:dyDescent="0.3">
      <c r="A35" s="14" t="s">
        <v>34</v>
      </c>
      <c r="B35" s="15" t="s">
        <v>69</v>
      </c>
      <c r="C35" s="15" t="s">
        <v>40</v>
      </c>
      <c r="D35" s="15" t="s">
        <v>72</v>
      </c>
      <c r="E35" s="16" t="s">
        <v>42</v>
      </c>
      <c r="F35" s="22" t="s">
        <v>15</v>
      </c>
      <c r="G35" s="22"/>
      <c r="H35" s="16" t="s">
        <v>13</v>
      </c>
      <c r="I35" s="26">
        <v>2212.5</v>
      </c>
      <c r="J35" s="26"/>
      <c r="K35" s="19" t="s">
        <v>8</v>
      </c>
      <c r="L35" s="20">
        <v>35647.82</v>
      </c>
    </row>
    <row r="36" spans="1:12" ht="71.400000000000006" x14ac:dyDescent="0.3">
      <c r="A36" s="14" t="s">
        <v>34</v>
      </c>
      <c r="B36" s="15" t="s">
        <v>73</v>
      </c>
      <c r="C36" s="15" t="s">
        <v>40</v>
      </c>
      <c r="D36" s="15" t="s">
        <v>61</v>
      </c>
      <c r="E36" s="16" t="s">
        <v>42</v>
      </c>
      <c r="F36" s="22" t="s">
        <v>15</v>
      </c>
      <c r="G36" s="22"/>
      <c r="H36" s="16" t="s">
        <v>13</v>
      </c>
      <c r="I36" s="26">
        <v>5525</v>
      </c>
      <c r="J36" s="26"/>
      <c r="K36" s="19" t="s">
        <v>8</v>
      </c>
      <c r="L36" s="20">
        <v>286556.42</v>
      </c>
    </row>
    <row r="37" spans="1:12" ht="81.599999999999994" hidden="1" x14ac:dyDescent="0.3">
      <c r="A37" s="14" t="s">
        <v>74</v>
      </c>
      <c r="B37" s="15" t="s">
        <v>75</v>
      </c>
      <c r="C37" s="15" t="s">
        <v>76</v>
      </c>
      <c r="D37" s="15" t="s">
        <v>77</v>
      </c>
      <c r="E37" s="16" t="s">
        <v>13</v>
      </c>
      <c r="F37" s="21">
        <v>3415</v>
      </c>
      <c r="G37" s="21"/>
      <c r="H37" s="16" t="s">
        <v>14</v>
      </c>
      <c r="I37" s="18" t="s">
        <v>15</v>
      </c>
      <c r="J37" s="18"/>
      <c r="K37" s="19" t="s">
        <v>8</v>
      </c>
      <c r="L37" s="20">
        <v>289971.42</v>
      </c>
    </row>
    <row r="38" spans="1:12" ht="81.599999999999994" hidden="1" x14ac:dyDescent="0.3">
      <c r="A38" s="14" t="s">
        <v>74</v>
      </c>
      <c r="B38" s="15" t="s">
        <v>75</v>
      </c>
      <c r="C38" s="15" t="s">
        <v>78</v>
      </c>
      <c r="D38" s="15" t="s">
        <v>77</v>
      </c>
      <c r="E38" s="16" t="s">
        <v>13</v>
      </c>
      <c r="F38" s="21">
        <v>3415</v>
      </c>
      <c r="G38" s="21"/>
      <c r="H38" s="16" t="s">
        <v>14</v>
      </c>
      <c r="I38" s="18" t="s">
        <v>15</v>
      </c>
      <c r="J38" s="18"/>
      <c r="K38" s="19" t="s">
        <v>8</v>
      </c>
      <c r="L38" s="20">
        <v>293386.42</v>
      </c>
    </row>
    <row r="39" spans="1:12" ht="71.400000000000006" hidden="1" x14ac:dyDescent="0.3">
      <c r="A39" s="14" t="s">
        <v>74</v>
      </c>
      <c r="B39" s="15" t="s">
        <v>75</v>
      </c>
      <c r="C39" s="15" t="s">
        <v>79</v>
      </c>
      <c r="D39" s="15" t="s">
        <v>77</v>
      </c>
      <c r="E39" s="16" t="s">
        <v>13</v>
      </c>
      <c r="F39" s="17">
        <v>868.35</v>
      </c>
      <c r="G39" s="17"/>
      <c r="H39" s="16" t="s">
        <v>14</v>
      </c>
      <c r="I39" s="18" t="s">
        <v>15</v>
      </c>
      <c r="J39" s="18"/>
      <c r="K39" s="19" t="s">
        <v>8</v>
      </c>
      <c r="L39" s="20">
        <v>294254.77</v>
      </c>
    </row>
    <row r="40" spans="1:12" ht="71.400000000000006" hidden="1" x14ac:dyDescent="0.3">
      <c r="A40" s="14" t="s">
        <v>74</v>
      </c>
      <c r="B40" s="15" t="s">
        <v>75</v>
      </c>
      <c r="C40" s="15" t="s">
        <v>80</v>
      </c>
      <c r="D40" s="15" t="s">
        <v>77</v>
      </c>
      <c r="E40" s="16" t="s">
        <v>13</v>
      </c>
      <c r="F40" s="17">
        <v>868.35</v>
      </c>
      <c r="G40" s="17"/>
      <c r="H40" s="16" t="s">
        <v>14</v>
      </c>
      <c r="I40" s="18" t="s">
        <v>15</v>
      </c>
      <c r="J40" s="18"/>
      <c r="K40" s="19" t="s">
        <v>8</v>
      </c>
      <c r="L40" s="20">
        <v>295123.12</v>
      </c>
    </row>
    <row r="41" spans="1:12" ht="61.2" hidden="1" x14ac:dyDescent="0.3">
      <c r="A41" s="14" t="s">
        <v>74</v>
      </c>
      <c r="B41" s="15" t="s">
        <v>81</v>
      </c>
      <c r="C41" s="15" t="s">
        <v>82</v>
      </c>
      <c r="D41" s="15" t="s">
        <v>83</v>
      </c>
      <c r="E41" s="16" t="s">
        <v>13</v>
      </c>
      <c r="F41" s="21">
        <v>32500</v>
      </c>
      <c r="G41" s="21"/>
      <c r="H41" s="16" t="s">
        <v>14</v>
      </c>
      <c r="I41" s="18" t="s">
        <v>15</v>
      </c>
      <c r="J41" s="18"/>
      <c r="K41" s="19" t="s">
        <v>8</v>
      </c>
      <c r="L41" s="20">
        <v>327623.12</v>
      </c>
    </row>
    <row r="42" spans="1:12" ht="71.400000000000006" hidden="1" x14ac:dyDescent="0.3">
      <c r="A42" s="14" t="s">
        <v>74</v>
      </c>
      <c r="B42" s="15" t="s">
        <v>81</v>
      </c>
      <c r="C42" s="15" t="s">
        <v>84</v>
      </c>
      <c r="D42" s="15" t="s">
        <v>83</v>
      </c>
      <c r="E42" s="16" t="s">
        <v>13</v>
      </c>
      <c r="F42" s="21">
        <v>7000</v>
      </c>
      <c r="G42" s="21"/>
      <c r="H42" s="16" t="s">
        <v>14</v>
      </c>
      <c r="I42" s="18" t="s">
        <v>15</v>
      </c>
      <c r="J42" s="18"/>
      <c r="K42" s="19" t="s">
        <v>8</v>
      </c>
      <c r="L42" s="20">
        <v>334623.12</v>
      </c>
    </row>
    <row r="43" spans="1:12" ht="61.2" hidden="1" x14ac:dyDescent="0.3">
      <c r="A43" s="14" t="s">
        <v>74</v>
      </c>
      <c r="B43" s="15" t="s">
        <v>85</v>
      </c>
      <c r="C43" s="15" t="s">
        <v>86</v>
      </c>
      <c r="D43" s="15" t="s">
        <v>87</v>
      </c>
      <c r="E43" s="16" t="s">
        <v>13</v>
      </c>
      <c r="F43" s="21">
        <v>32500</v>
      </c>
      <c r="G43" s="21"/>
      <c r="H43" s="16" t="s">
        <v>14</v>
      </c>
      <c r="I43" s="18" t="s">
        <v>15</v>
      </c>
      <c r="J43" s="18"/>
      <c r="K43" s="19" t="s">
        <v>8</v>
      </c>
      <c r="L43" s="20">
        <v>367123.12</v>
      </c>
    </row>
    <row r="44" spans="1:12" ht="71.400000000000006" hidden="1" x14ac:dyDescent="0.3">
      <c r="A44" s="14" t="s">
        <v>74</v>
      </c>
      <c r="B44" s="15" t="s">
        <v>85</v>
      </c>
      <c r="C44" s="15" t="s">
        <v>88</v>
      </c>
      <c r="D44" s="15" t="s">
        <v>87</v>
      </c>
      <c r="E44" s="16" t="s">
        <v>13</v>
      </c>
      <c r="F44" s="21">
        <v>6500</v>
      </c>
      <c r="G44" s="21"/>
      <c r="H44" s="16" t="s">
        <v>14</v>
      </c>
      <c r="I44" s="18" t="s">
        <v>15</v>
      </c>
      <c r="J44" s="18"/>
      <c r="K44" s="19" t="s">
        <v>8</v>
      </c>
      <c r="L44" s="20">
        <v>373623.12</v>
      </c>
    </row>
    <row r="45" spans="1:12" ht="61.2" hidden="1" x14ac:dyDescent="0.3">
      <c r="A45" s="14" t="s">
        <v>89</v>
      </c>
      <c r="B45" s="15" t="s">
        <v>90</v>
      </c>
      <c r="C45" s="15" t="s">
        <v>91</v>
      </c>
      <c r="D45" s="15" t="s">
        <v>92</v>
      </c>
      <c r="E45" s="16" t="s">
        <v>13</v>
      </c>
      <c r="F45" s="21">
        <v>2500</v>
      </c>
      <c r="G45" s="21"/>
      <c r="H45" s="16" t="s">
        <v>13</v>
      </c>
      <c r="I45" s="18" t="s">
        <v>15</v>
      </c>
      <c r="J45" s="18"/>
      <c r="K45" s="19" t="s">
        <v>8</v>
      </c>
      <c r="L45" s="20">
        <v>376123.12</v>
      </c>
    </row>
    <row r="46" spans="1:12" ht="71.400000000000006" hidden="1" x14ac:dyDescent="0.3">
      <c r="A46" s="14" t="s">
        <v>89</v>
      </c>
      <c r="B46" s="15" t="s">
        <v>90</v>
      </c>
      <c r="C46" s="15" t="s">
        <v>93</v>
      </c>
      <c r="D46" s="15" t="s">
        <v>94</v>
      </c>
      <c r="E46" s="16" t="s">
        <v>13</v>
      </c>
      <c r="F46" s="17">
        <v>750</v>
      </c>
      <c r="G46" s="17"/>
      <c r="H46" s="16" t="s">
        <v>13</v>
      </c>
      <c r="I46" s="18" t="s">
        <v>15</v>
      </c>
      <c r="J46" s="18"/>
      <c r="K46" s="19" t="s">
        <v>8</v>
      </c>
      <c r="L46" s="20">
        <v>376873.12</v>
      </c>
    </row>
    <row r="47" spans="1:12" ht="61.2" hidden="1" x14ac:dyDescent="0.3">
      <c r="A47" s="14" t="s">
        <v>89</v>
      </c>
      <c r="B47" s="15" t="s">
        <v>90</v>
      </c>
      <c r="C47" s="15" t="s">
        <v>95</v>
      </c>
      <c r="D47" s="15" t="s">
        <v>96</v>
      </c>
      <c r="E47" s="16" t="s">
        <v>13</v>
      </c>
      <c r="F47" s="21">
        <v>1009.5</v>
      </c>
      <c r="G47" s="21"/>
      <c r="H47" s="16" t="s">
        <v>13</v>
      </c>
      <c r="I47" s="18" t="s">
        <v>15</v>
      </c>
      <c r="J47" s="18"/>
      <c r="K47" s="19" t="s">
        <v>8</v>
      </c>
      <c r="L47" s="20">
        <v>377882.62</v>
      </c>
    </row>
    <row r="48" spans="1:12" ht="61.2" hidden="1" x14ac:dyDescent="0.3">
      <c r="A48" s="14" t="s">
        <v>89</v>
      </c>
      <c r="B48" s="15" t="s">
        <v>90</v>
      </c>
      <c r="C48" s="15" t="s">
        <v>97</v>
      </c>
      <c r="D48" s="15" t="s">
        <v>98</v>
      </c>
      <c r="E48" s="16" t="s">
        <v>13</v>
      </c>
      <c r="F48" s="17">
        <v>582.5</v>
      </c>
      <c r="G48" s="17"/>
      <c r="H48" s="16" t="s">
        <v>13</v>
      </c>
      <c r="I48" s="18" t="s">
        <v>15</v>
      </c>
      <c r="J48" s="18"/>
      <c r="K48" s="19" t="s">
        <v>8</v>
      </c>
      <c r="L48" s="20">
        <v>378465.12</v>
      </c>
    </row>
    <row r="49" spans="1:12" ht="71.400000000000006" hidden="1" x14ac:dyDescent="0.3">
      <c r="A49" s="14" t="s">
        <v>99</v>
      </c>
      <c r="B49" s="15" t="s">
        <v>100</v>
      </c>
      <c r="C49" s="15" t="s">
        <v>101</v>
      </c>
      <c r="D49" s="15" t="s">
        <v>102</v>
      </c>
      <c r="E49" s="16" t="s">
        <v>13</v>
      </c>
      <c r="F49" s="17">
        <v>868.35</v>
      </c>
      <c r="G49" s="17"/>
      <c r="H49" s="16" t="s">
        <v>14</v>
      </c>
      <c r="I49" s="18" t="s">
        <v>15</v>
      </c>
      <c r="J49" s="18"/>
      <c r="K49" s="19" t="s">
        <v>8</v>
      </c>
      <c r="L49" s="20">
        <v>379333.47</v>
      </c>
    </row>
    <row r="50" spans="1:12" ht="71.400000000000006" hidden="1" x14ac:dyDescent="0.3">
      <c r="A50" s="14" t="s">
        <v>99</v>
      </c>
      <c r="B50" s="15" t="s">
        <v>100</v>
      </c>
      <c r="C50" s="15" t="s">
        <v>103</v>
      </c>
      <c r="D50" s="15" t="s">
        <v>102</v>
      </c>
      <c r="E50" s="16" t="s">
        <v>13</v>
      </c>
      <c r="F50" s="17">
        <v>868.35</v>
      </c>
      <c r="G50" s="17"/>
      <c r="H50" s="16" t="s">
        <v>14</v>
      </c>
      <c r="I50" s="18" t="s">
        <v>15</v>
      </c>
      <c r="J50" s="18"/>
      <c r="K50" s="19" t="s">
        <v>8</v>
      </c>
      <c r="L50" s="20">
        <v>380201.82</v>
      </c>
    </row>
    <row r="51" spans="1:12" ht="71.400000000000006" hidden="1" x14ac:dyDescent="0.3">
      <c r="A51" s="14" t="s">
        <v>99</v>
      </c>
      <c r="B51" s="15" t="s">
        <v>100</v>
      </c>
      <c r="C51" s="15" t="s">
        <v>104</v>
      </c>
      <c r="D51" s="15" t="s">
        <v>102</v>
      </c>
      <c r="E51" s="16" t="s">
        <v>13</v>
      </c>
      <c r="F51" s="17">
        <v>868.35</v>
      </c>
      <c r="G51" s="17"/>
      <c r="H51" s="16" t="s">
        <v>14</v>
      </c>
      <c r="I51" s="18" t="s">
        <v>15</v>
      </c>
      <c r="J51" s="18"/>
      <c r="K51" s="19" t="s">
        <v>8</v>
      </c>
      <c r="L51" s="20">
        <v>381070.17</v>
      </c>
    </row>
    <row r="52" spans="1:12" ht="71.400000000000006" hidden="1" x14ac:dyDescent="0.3">
      <c r="A52" s="14" t="s">
        <v>99</v>
      </c>
      <c r="B52" s="15" t="s">
        <v>100</v>
      </c>
      <c r="C52" s="15" t="s">
        <v>105</v>
      </c>
      <c r="D52" s="15" t="s">
        <v>102</v>
      </c>
      <c r="E52" s="16" t="s">
        <v>13</v>
      </c>
      <c r="F52" s="21">
        <v>3473.4</v>
      </c>
      <c r="G52" s="21"/>
      <c r="H52" s="16" t="s">
        <v>14</v>
      </c>
      <c r="I52" s="18" t="s">
        <v>15</v>
      </c>
      <c r="J52" s="18"/>
      <c r="K52" s="19" t="s">
        <v>8</v>
      </c>
      <c r="L52" s="20">
        <v>384543.57</v>
      </c>
    </row>
    <row r="53" spans="1:12" ht="71.400000000000006" hidden="1" x14ac:dyDescent="0.3">
      <c r="A53" s="14" t="s">
        <v>99</v>
      </c>
      <c r="B53" s="15" t="s">
        <v>100</v>
      </c>
      <c r="C53" s="15" t="s">
        <v>106</v>
      </c>
      <c r="D53" s="15" t="s">
        <v>102</v>
      </c>
      <c r="E53" s="16" t="s">
        <v>13</v>
      </c>
      <c r="F53" s="17">
        <v>868.35</v>
      </c>
      <c r="G53" s="17"/>
      <c r="H53" s="16" t="s">
        <v>14</v>
      </c>
      <c r="I53" s="18" t="s">
        <v>15</v>
      </c>
      <c r="J53" s="18"/>
      <c r="K53" s="19" t="s">
        <v>8</v>
      </c>
      <c r="L53" s="20">
        <v>385411.92</v>
      </c>
    </row>
    <row r="54" spans="1:12" ht="71.400000000000006" hidden="1" x14ac:dyDescent="0.3">
      <c r="A54" s="14" t="s">
        <v>99</v>
      </c>
      <c r="B54" s="15" t="s">
        <v>100</v>
      </c>
      <c r="C54" s="15" t="s">
        <v>107</v>
      </c>
      <c r="D54" s="15" t="s">
        <v>102</v>
      </c>
      <c r="E54" s="16" t="s">
        <v>13</v>
      </c>
      <c r="F54" s="17">
        <v>868.35</v>
      </c>
      <c r="G54" s="17"/>
      <c r="H54" s="16" t="s">
        <v>14</v>
      </c>
      <c r="I54" s="18" t="s">
        <v>15</v>
      </c>
      <c r="J54" s="18"/>
      <c r="K54" s="19" t="s">
        <v>8</v>
      </c>
      <c r="L54" s="20">
        <v>386280.27</v>
      </c>
    </row>
    <row r="55" spans="1:12" ht="71.400000000000006" hidden="1" x14ac:dyDescent="0.3">
      <c r="A55" s="14" t="s">
        <v>99</v>
      </c>
      <c r="B55" s="15" t="s">
        <v>100</v>
      </c>
      <c r="C55" s="15" t="s">
        <v>108</v>
      </c>
      <c r="D55" s="15" t="s">
        <v>102</v>
      </c>
      <c r="E55" s="16" t="s">
        <v>13</v>
      </c>
      <c r="F55" s="17">
        <v>868.35</v>
      </c>
      <c r="G55" s="17"/>
      <c r="H55" s="16" t="s">
        <v>14</v>
      </c>
      <c r="I55" s="18" t="s">
        <v>15</v>
      </c>
      <c r="J55" s="18"/>
      <c r="K55" s="19" t="s">
        <v>8</v>
      </c>
      <c r="L55" s="20">
        <v>387148.62</v>
      </c>
    </row>
    <row r="56" spans="1:12" ht="61.2" hidden="1" x14ac:dyDescent="0.3">
      <c r="A56" s="14" t="s">
        <v>99</v>
      </c>
      <c r="B56" s="15" t="s">
        <v>109</v>
      </c>
      <c r="C56" s="15" t="s">
        <v>110</v>
      </c>
      <c r="D56" s="15" t="s">
        <v>111</v>
      </c>
      <c r="E56" s="16" t="s">
        <v>13</v>
      </c>
      <c r="F56" s="17">
        <v>587.5</v>
      </c>
      <c r="G56" s="17"/>
      <c r="H56" s="16" t="s">
        <v>14</v>
      </c>
      <c r="I56" s="18" t="s">
        <v>15</v>
      </c>
      <c r="J56" s="18"/>
      <c r="K56" s="19" t="s">
        <v>8</v>
      </c>
      <c r="L56" s="20">
        <v>387736.12</v>
      </c>
    </row>
    <row r="57" spans="1:12" ht="81.599999999999994" hidden="1" x14ac:dyDescent="0.3">
      <c r="A57" s="14" t="s">
        <v>99</v>
      </c>
      <c r="B57" s="15" t="s">
        <v>109</v>
      </c>
      <c r="C57" s="15" t="s">
        <v>112</v>
      </c>
      <c r="D57" s="15" t="s">
        <v>111</v>
      </c>
      <c r="E57" s="16" t="s">
        <v>13</v>
      </c>
      <c r="F57" s="17">
        <v>404.25</v>
      </c>
      <c r="G57" s="17"/>
      <c r="H57" s="16" t="s">
        <v>14</v>
      </c>
      <c r="I57" s="18" t="s">
        <v>15</v>
      </c>
      <c r="J57" s="18"/>
      <c r="K57" s="19" t="s">
        <v>8</v>
      </c>
      <c r="L57" s="20">
        <v>388140.37</v>
      </c>
    </row>
    <row r="58" spans="1:12" ht="61.2" hidden="1" x14ac:dyDescent="0.3">
      <c r="A58" s="14" t="s">
        <v>113</v>
      </c>
      <c r="B58" s="15" t="s">
        <v>114</v>
      </c>
      <c r="C58" s="15" t="s">
        <v>115</v>
      </c>
      <c r="D58" s="15" t="s">
        <v>116</v>
      </c>
      <c r="E58" s="16" t="s">
        <v>13</v>
      </c>
      <c r="F58" s="21">
        <v>3314.4</v>
      </c>
      <c r="G58" s="21"/>
      <c r="H58" s="16" t="s">
        <v>14</v>
      </c>
      <c r="I58" s="18" t="s">
        <v>15</v>
      </c>
      <c r="J58" s="18"/>
      <c r="K58" s="19" t="s">
        <v>8</v>
      </c>
      <c r="L58" s="20">
        <v>391454.77</v>
      </c>
    </row>
    <row r="59" spans="1:12" ht="61.2" hidden="1" x14ac:dyDescent="0.3">
      <c r="A59" s="14" t="s">
        <v>113</v>
      </c>
      <c r="B59" s="15" t="s">
        <v>114</v>
      </c>
      <c r="C59" s="15" t="s">
        <v>117</v>
      </c>
      <c r="D59" s="15" t="s">
        <v>116</v>
      </c>
      <c r="E59" s="16" t="s">
        <v>13</v>
      </c>
      <c r="F59" s="21">
        <v>12168</v>
      </c>
      <c r="G59" s="21"/>
      <c r="H59" s="16" t="s">
        <v>14</v>
      </c>
      <c r="I59" s="18" t="s">
        <v>15</v>
      </c>
      <c r="J59" s="18"/>
      <c r="K59" s="19" t="s">
        <v>8</v>
      </c>
      <c r="L59" s="20">
        <v>403622.77</v>
      </c>
    </row>
    <row r="60" spans="1:12" ht="61.2" hidden="1" x14ac:dyDescent="0.3">
      <c r="A60" s="14" t="s">
        <v>113</v>
      </c>
      <c r="B60" s="15" t="s">
        <v>114</v>
      </c>
      <c r="C60" s="15" t="s">
        <v>118</v>
      </c>
      <c r="D60" s="15" t="s">
        <v>116</v>
      </c>
      <c r="E60" s="16" t="s">
        <v>13</v>
      </c>
      <c r="F60" s="21">
        <v>4477.5</v>
      </c>
      <c r="G60" s="21"/>
      <c r="H60" s="16" t="s">
        <v>14</v>
      </c>
      <c r="I60" s="18" t="s">
        <v>15</v>
      </c>
      <c r="J60" s="18"/>
      <c r="K60" s="19" t="s">
        <v>8</v>
      </c>
      <c r="L60" s="20">
        <v>408100.27</v>
      </c>
    </row>
    <row r="61" spans="1:12" ht="61.2" hidden="1" x14ac:dyDescent="0.3">
      <c r="A61" s="14" t="s">
        <v>113</v>
      </c>
      <c r="B61" s="15" t="s">
        <v>114</v>
      </c>
      <c r="C61" s="15" t="s">
        <v>119</v>
      </c>
      <c r="D61" s="15" t="s">
        <v>116</v>
      </c>
      <c r="E61" s="16" t="s">
        <v>13</v>
      </c>
      <c r="F61" s="17">
        <v>215</v>
      </c>
      <c r="G61" s="17"/>
      <c r="H61" s="16" t="s">
        <v>14</v>
      </c>
      <c r="I61" s="18" t="s">
        <v>15</v>
      </c>
      <c r="J61" s="18"/>
      <c r="K61" s="19" t="s">
        <v>8</v>
      </c>
      <c r="L61" s="20">
        <v>408315.27</v>
      </c>
    </row>
    <row r="62" spans="1:12" ht="71.400000000000006" hidden="1" x14ac:dyDescent="0.3">
      <c r="A62" s="14" t="s">
        <v>113</v>
      </c>
      <c r="B62" s="15" t="s">
        <v>114</v>
      </c>
      <c r="C62" s="15" t="s">
        <v>120</v>
      </c>
      <c r="D62" s="15" t="s">
        <v>116</v>
      </c>
      <c r="E62" s="16" t="s">
        <v>13</v>
      </c>
      <c r="F62" s="17">
        <v>892.8</v>
      </c>
      <c r="G62" s="17"/>
      <c r="H62" s="16" t="s">
        <v>14</v>
      </c>
      <c r="I62" s="18" t="s">
        <v>15</v>
      </c>
      <c r="J62" s="18"/>
      <c r="K62" s="19" t="s">
        <v>8</v>
      </c>
      <c r="L62" s="20">
        <v>409208.07</v>
      </c>
    </row>
    <row r="63" spans="1:12" ht="61.2" hidden="1" x14ac:dyDescent="0.3">
      <c r="A63" s="14" t="s">
        <v>113</v>
      </c>
      <c r="B63" s="15" t="s">
        <v>114</v>
      </c>
      <c r="C63" s="15" t="s">
        <v>121</v>
      </c>
      <c r="D63" s="15" t="s">
        <v>116</v>
      </c>
      <c r="E63" s="16" t="s">
        <v>13</v>
      </c>
      <c r="F63" s="17">
        <v>792.6</v>
      </c>
      <c r="G63" s="17"/>
      <c r="H63" s="16" t="s">
        <v>14</v>
      </c>
      <c r="I63" s="18" t="s">
        <v>15</v>
      </c>
      <c r="J63" s="18"/>
      <c r="K63" s="19" t="s">
        <v>8</v>
      </c>
      <c r="L63" s="20">
        <v>410000.67</v>
      </c>
    </row>
    <row r="64" spans="1:12" ht="61.2" hidden="1" x14ac:dyDescent="0.3">
      <c r="A64" s="14" t="s">
        <v>113</v>
      </c>
      <c r="B64" s="15" t="s">
        <v>114</v>
      </c>
      <c r="C64" s="15" t="s">
        <v>122</v>
      </c>
      <c r="D64" s="15" t="s">
        <v>116</v>
      </c>
      <c r="E64" s="16" t="s">
        <v>13</v>
      </c>
      <c r="F64" s="17">
        <v>877.5</v>
      </c>
      <c r="G64" s="17"/>
      <c r="H64" s="16" t="s">
        <v>14</v>
      </c>
      <c r="I64" s="18" t="s">
        <v>15</v>
      </c>
      <c r="J64" s="18"/>
      <c r="K64" s="19" t="s">
        <v>8</v>
      </c>
      <c r="L64" s="20">
        <v>410878.17</v>
      </c>
    </row>
    <row r="65" spans="1:12" ht="61.2" hidden="1" x14ac:dyDescent="0.3">
      <c r="A65" s="14" t="s">
        <v>113</v>
      </c>
      <c r="B65" s="15" t="s">
        <v>114</v>
      </c>
      <c r="C65" s="15" t="s">
        <v>123</v>
      </c>
      <c r="D65" s="15" t="s">
        <v>116</v>
      </c>
      <c r="E65" s="16" t="s">
        <v>13</v>
      </c>
      <c r="F65" s="17">
        <v>422.8</v>
      </c>
      <c r="G65" s="17"/>
      <c r="H65" s="16" t="s">
        <v>14</v>
      </c>
      <c r="I65" s="18" t="s">
        <v>15</v>
      </c>
      <c r="J65" s="18"/>
      <c r="K65" s="19" t="s">
        <v>8</v>
      </c>
      <c r="L65" s="20">
        <v>411300.97</v>
      </c>
    </row>
    <row r="66" spans="1:12" ht="61.2" hidden="1" x14ac:dyDescent="0.3">
      <c r="A66" s="14" t="s">
        <v>113</v>
      </c>
      <c r="B66" s="15" t="s">
        <v>114</v>
      </c>
      <c r="C66" s="15" t="s">
        <v>124</v>
      </c>
      <c r="D66" s="15" t="s">
        <v>116</v>
      </c>
      <c r="E66" s="16" t="s">
        <v>13</v>
      </c>
      <c r="F66" s="21">
        <v>1791</v>
      </c>
      <c r="G66" s="21"/>
      <c r="H66" s="16" t="s">
        <v>14</v>
      </c>
      <c r="I66" s="18" t="s">
        <v>15</v>
      </c>
      <c r="J66" s="18"/>
      <c r="K66" s="19" t="s">
        <v>8</v>
      </c>
      <c r="L66" s="20">
        <v>413091.97</v>
      </c>
    </row>
    <row r="67" spans="1:12" ht="71.400000000000006" hidden="1" x14ac:dyDescent="0.3">
      <c r="A67" s="14" t="s">
        <v>113</v>
      </c>
      <c r="B67" s="15" t="s">
        <v>114</v>
      </c>
      <c r="C67" s="15" t="s">
        <v>125</v>
      </c>
      <c r="D67" s="15" t="s">
        <v>116</v>
      </c>
      <c r="E67" s="16" t="s">
        <v>13</v>
      </c>
      <c r="F67" s="21">
        <v>5650</v>
      </c>
      <c r="G67" s="21"/>
      <c r="H67" s="16" t="s">
        <v>14</v>
      </c>
      <c r="I67" s="18" t="s">
        <v>15</v>
      </c>
      <c r="J67" s="18"/>
      <c r="K67" s="19" t="s">
        <v>8</v>
      </c>
      <c r="L67" s="20">
        <v>418741.97</v>
      </c>
    </row>
    <row r="68" spans="1:12" ht="61.2" hidden="1" x14ac:dyDescent="0.3">
      <c r="A68" s="14" t="s">
        <v>113</v>
      </c>
      <c r="B68" s="15" t="s">
        <v>114</v>
      </c>
      <c r="C68" s="15" t="s">
        <v>126</v>
      </c>
      <c r="D68" s="15" t="s">
        <v>116</v>
      </c>
      <c r="E68" s="16" t="s">
        <v>13</v>
      </c>
      <c r="F68" s="21">
        <v>1704.3</v>
      </c>
      <c r="G68" s="21"/>
      <c r="H68" s="16" t="s">
        <v>14</v>
      </c>
      <c r="I68" s="18" t="s">
        <v>15</v>
      </c>
      <c r="J68" s="18"/>
      <c r="K68" s="19" t="s">
        <v>8</v>
      </c>
      <c r="L68" s="20">
        <v>420446.27</v>
      </c>
    </row>
    <row r="69" spans="1:12" ht="61.2" hidden="1" x14ac:dyDescent="0.3">
      <c r="A69" s="14" t="s">
        <v>113</v>
      </c>
      <c r="B69" s="15" t="s">
        <v>114</v>
      </c>
      <c r="C69" s="15" t="s">
        <v>127</v>
      </c>
      <c r="D69" s="15" t="s">
        <v>116</v>
      </c>
      <c r="E69" s="16" t="s">
        <v>13</v>
      </c>
      <c r="F69" s="17">
        <v>482.7</v>
      </c>
      <c r="G69" s="17"/>
      <c r="H69" s="16" t="s">
        <v>14</v>
      </c>
      <c r="I69" s="18" t="s">
        <v>15</v>
      </c>
      <c r="J69" s="18"/>
      <c r="K69" s="19" t="s">
        <v>8</v>
      </c>
      <c r="L69" s="20">
        <v>420928.97</v>
      </c>
    </row>
    <row r="70" spans="1:12" ht="61.2" hidden="1" x14ac:dyDescent="0.3">
      <c r="A70" s="14" t="s">
        <v>113</v>
      </c>
      <c r="B70" s="15" t="s">
        <v>114</v>
      </c>
      <c r="C70" s="15" t="s">
        <v>128</v>
      </c>
      <c r="D70" s="15" t="s">
        <v>116</v>
      </c>
      <c r="E70" s="16" t="s">
        <v>13</v>
      </c>
      <c r="F70" s="21">
        <v>1676</v>
      </c>
      <c r="G70" s="21"/>
      <c r="H70" s="16" t="s">
        <v>14</v>
      </c>
      <c r="I70" s="18" t="s">
        <v>15</v>
      </c>
      <c r="J70" s="18"/>
      <c r="K70" s="19" t="s">
        <v>8</v>
      </c>
      <c r="L70" s="20">
        <v>422604.97</v>
      </c>
    </row>
    <row r="71" spans="1:12" ht="71.400000000000006" hidden="1" x14ac:dyDescent="0.3">
      <c r="A71" s="14" t="s">
        <v>113</v>
      </c>
      <c r="B71" s="15" t="s">
        <v>114</v>
      </c>
      <c r="C71" s="15" t="s">
        <v>129</v>
      </c>
      <c r="D71" s="15" t="s">
        <v>116</v>
      </c>
      <c r="E71" s="16" t="s">
        <v>13</v>
      </c>
      <c r="F71" s="17">
        <v>358.4</v>
      </c>
      <c r="G71" s="17"/>
      <c r="H71" s="16" t="s">
        <v>14</v>
      </c>
      <c r="I71" s="18" t="s">
        <v>15</v>
      </c>
      <c r="J71" s="18"/>
      <c r="K71" s="19" t="s">
        <v>8</v>
      </c>
      <c r="L71" s="20">
        <v>422963.37</v>
      </c>
    </row>
    <row r="72" spans="1:12" ht="61.2" hidden="1" x14ac:dyDescent="0.3">
      <c r="A72" s="14" t="s">
        <v>113</v>
      </c>
      <c r="B72" s="15" t="s">
        <v>114</v>
      </c>
      <c r="C72" s="15" t="s">
        <v>130</v>
      </c>
      <c r="D72" s="15" t="s">
        <v>116</v>
      </c>
      <c r="E72" s="16" t="s">
        <v>13</v>
      </c>
      <c r="F72" s="17">
        <v>265.39999999999998</v>
      </c>
      <c r="G72" s="17"/>
      <c r="H72" s="16" t="s">
        <v>14</v>
      </c>
      <c r="I72" s="18" t="s">
        <v>15</v>
      </c>
      <c r="J72" s="18"/>
      <c r="K72" s="19" t="s">
        <v>8</v>
      </c>
      <c r="L72" s="20">
        <v>423228.77</v>
      </c>
    </row>
    <row r="73" spans="1:12" ht="61.2" hidden="1" x14ac:dyDescent="0.3">
      <c r="A73" s="14" t="s">
        <v>113</v>
      </c>
      <c r="B73" s="15" t="s">
        <v>114</v>
      </c>
      <c r="C73" s="15" t="s">
        <v>131</v>
      </c>
      <c r="D73" s="15" t="s">
        <v>116</v>
      </c>
      <c r="E73" s="16" t="s">
        <v>13</v>
      </c>
      <c r="F73" s="17">
        <v>310</v>
      </c>
      <c r="G73" s="17"/>
      <c r="H73" s="16" t="s">
        <v>14</v>
      </c>
      <c r="I73" s="18" t="s">
        <v>15</v>
      </c>
      <c r="J73" s="18"/>
      <c r="K73" s="19" t="s">
        <v>8</v>
      </c>
      <c r="L73" s="20">
        <v>423538.77</v>
      </c>
    </row>
    <row r="74" spans="1:12" ht="61.2" hidden="1" x14ac:dyDescent="0.3">
      <c r="A74" s="14" t="s">
        <v>113</v>
      </c>
      <c r="B74" s="15" t="s">
        <v>114</v>
      </c>
      <c r="C74" s="15" t="s">
        <v>132</v>
      </c>
      <c r="D74" s="15" t="s">
        <v>116</v>
      </c>
      <c r="E74" s="16" t="s">
        <v>13</v>
      </c>
      <c r="F74" s="17">
        <v>300.39999999999998</v>
      </c>
      <c r="G74" s="17"/>
      <c r="H74" s="16" t="s">
        <v>14</v>
      </c>
      <c r="I74" s="18" t="s">
        <v>15</v>
      </c>
      <c r="J74" s="18"/>
      <c r="K74" s="19" t="s">
        <v>8</v>
      </c>
      <c r="L74" s="20">
        <v>423839.17</v>
      </c>
    </row>
    <row r="75" spans="1:12" ht="61.2" hidden="1" x14ac:dyDescent="0.3">
      <c r="A75" s="14" t="s">
        <v>113</v>
      </c>
      <c r="B75" s="15" t="s">
        <v>114</v>
      </c>
      <c r="C75" s="15" t="s">
        <v>133</v>
      </c>
      <c r="D75" s="15" t="s">
        <v>116</v>
      </c>
      <c r="E75" s="16" t="s">
        <v>13</v>
      </c>
      <c r="F75" s="17">
        <v>311.60000000000002</v>
      </c>
      <c r="G75" s="17"/>
      <c r="H75" s="16" t="s">
        <v>14</v>
      </c>
      <c r="I75" s="18" t="s">
        <v>15</v>
      </c>
      <c r="J75" s="18"/>
      <c r="K75" s="19" t="s">
        <v>8</v>
      </c>
      <c r="L75" s="20">
        <v>424150.77</v>
      </c>
    </row>
    <row r="76" spans="1:12" ht="61.2" hidden="1" x14ac:dyDescent="0.3">
      <c r="A76" s="14" t="s">
        <v>113</v>
      </c>
      <c r="B76" s="15" t="s">
        <v>114</v>
      </c>
      <c r="C76" s="15" t="s">
        <v>134</v>
      </c>
      <c r="D76" s="15" t="s">
        <v>116</v>
      </c>
      <c r="E76" s="16" t="s">
        <v>13</v>
      </c>
      <c r="F76" s="17">
        <v>401.2</v>
      </c>
      <c r="G76" s="17"/>
      <c r="H76" s="16" t="s">
        <v>14</v>
      </c>
      <c r="I76" s="18" t="s">
        <v>15</v>
      </c>
      <c r="J76" s="18"/>
      <c r="K76" s="19" t="s">
        <v>8</v>
      </c>
      <c r="L76" s="20">
        <v>424551.97</v>
      </c>
    </row>
    <row r="77" spans="1:12" ht="61.2" hidden="1" x14ac:dyDescent="0.3">
      <c r="A77" s="14" t="s">
        <v>113</v>
      </c>
      <c r="B77" s="15" t="s">
        <v>114</v>
      </c>
      <c r="C77" s="15" t="s">
        <v>135</v>
      </c>
      <c r="D77" s="15" t="s">
        <v>116</v>
      </c>
      <c r="E77" s="16" t="s">
        <v>13</v>
      </c>
      <c r="F77" s="17">
        <v>361</v>
      </c>
      <c r="G77" s="17"/>
      <c r="H77" s="16" t="s">
        <v>14</v>
      </c>
      <c r="I77" s="18" t="s">
        <v>15</v>
      </c>
      <c r="J77" s="18"/>
      <c r="K77" s="19" t="s">
        <v>8</v>
      </c>
      <c r="L77" s="20">
        <v>424912.97</v>
      </c>
    </row>
    <row r="78" spans="1:12" ht="61.2" hidden="1" x14ac:dyDescent="0.3">
      <c r="A78" s="14" t="s">
        <v>113</v>
      </c>
      <c r="B78" s="15" t="s">
        <v>114</v>
      </c>
      <c r="C78" s="15" t="s">
        <v>136</v>
      </c>
      <c r="D78" s="15" t="s">
        <v>116</v>
      </c>
      <c r="E78" s="16" t="s">
        <v>13</v>
      </c>
      <c r="F78" s="17">
        <v>291.60000000000002</v>
      </c>
      <c r="G78" s="17"/>
      <c r="H78" s="16" t="s">
        <v>14</v>
      </c>
      <c r="I78" s="18" t="s">
        <v>15</v>
      </c>
      <c r="J78" s="18"/>
      <c r="K78" s="19" t="s">
        <v>8</v>
      </c>
      <c r="L78" s="20">
        <v>425204.57</v>
      </c>
    </row>
    <row r="79" spans="1:12" ht="61.2" hidden="1" x14ac:dyDescent="0.3">
      <c r="A79" s="14" t="s">
        <v>113</v>
      </c>
      <c r="B79" s="15" t="s">
        <v>114</v>
      </c>
      <c r="C79" s="15" t="s">
        <v>137</v>
      </c>
      <c r="D79" s="15" t="s">
        <v>116</v>
      </c>
      <c r="E79" s="16" t="s">
        <v>13</v>
      </c>
      <c r="F79" s="17">
        <v>586.35</v>
      </c>
      <c r="G79" s="17"/>
      <c r="H79" s="16" t="s">
        <v>14</v>
      </c>
      <c r="I79" s="18" t="s">
        <v>15</v>
      </c>
      <c r="J79" s="18"/>
      <c r="K79" s="19" t="s">
        <v>8</v>
      </c>
      <c r="L79" s="20">
        <v>425790.92</v>
      </c>
    </row>
    <row r="80" spans="1:12" ht="61.2" hidden="1" x14ac:dyDescent="0.3">
      <c r="A80" s="14" t="s">
        <v>113</v>
      </c>
      <c r="B80" s="15" t="s">
        <v>114</v>
      </c>
      <c r="C80" s="15" t="s">
        <v>138</v>
      </c>
      <c r="D80" s="15" t="s">
        <v>116</v>
      </c>
      <c r="E80" s="16" t="s">
        <v>13</v>
      </c>
      <c r="F80" s="17">
        <v>142.19999999999999</v>
      </c>
      <c r="G80" s="17"/>
      <c r="H80" s="16" t="s">
        <v>14</v>
      </c>
      <c r="I80" s="18" t="s">
        <v>15</v>
      </c>
      <c r="J80" s="18"/>
      <c r="K80" s="19" t="s">
        <v>8</v>
      </c>
      <c r="L80" s="20">
        <v>425933.12</v>
      </c>
    </row>
    <row r="81" spans="1:12" ht="61.2" hidden="1" x14ac:dyDescent="0.3">
      <c r="A81" s="14" t="s">
        <v>113</v>
      </c>
      <c r="B81" s="15" t="s">
        <v>114</v>
      </c>
      <c r="C81" s="15" t="s">
        <v>123</v>
      </c>
      <c r="D81" s="15" t="s">
        <v>116</v>
      </c>
      <c r="E81" s="16" t="s">
        <v>13</v>
      </c>
      <c r="F81" s="21">
        <v>1621.3</v>
      </c>
      <c r="G81" s="21"/>
      <c r="H81" s="16" t="s">
        <v>14</v>
      </c>
      <c r="I81" s="18" t="s">
        <v>15</v>
      </c>
      <c r="J81" s="18"/>
      <c r="K81" s="19" t="s">
        <v>8</v>
      </c>
      <c r="L81" s="20">
        <v>427554.42</v>
      </c>
    </row>
    <row r="82" spans="1:12" ht="61.2" hidden="1" x14ac:dyDescent="0.3">
      <c r="A82" s="14" t="s">
        <v>113</v>
      </c>
      <c r="B82" s="15" t="s">
        <v>114</v>
      </c>
      <c r="C82" s="15" t="s">
        <v>139</v>
      </c>
      <c r="D82" s="15" t="s">
        <v>116</v>
      </c>
      <c r="E82" s="16" t="s">
        <v>13</v>
      </c>
      <c r="F82" s="21">
        <v>1681.8</v>
      </c>
      <c r="G82" s="21"/>
      <c r="H82" s="16" t="s">
        <v>14</v>
      </c>
      <c r="I82" s="18" t="s">
        <v>15</v>
      </c>
      <c r="J82" s="18"/>
      <c r="K82" s="19" t="s">
        <v>8</v>
      </c>
      <c r="L82" s="20">
        <v>429236.22</v>
      </c>
    </row>
    <row r="83" spans="1:12" ht="71.400000000000006" hidden="1" x14ac:dyDescent="0.3">
      <c r="A83" s="14" t="s">
        <v>113</v>
      </c>
      <c r="B83" s="15" t="s">
        <v>114</v>
      </c>
      <c r="C83" s="15" t="s">
        <v>140</v>
      </c>
      <c r="D83" s="15" t="s">
        <v>116</v>
      </c>
      <c r="E83" s="16" t="s">
        <v>13</v>
      </c>
      <c r="F83" s="17">
        <v>897.6</v>
      </c>
      <c r="G83" s="17"/>
      <c r="H83" s="16" t="s">
        <v>14</v>
      </c>
      <c r="I83" s="18" t="s">
        <v>15</v>
      </c>
      <c r="J83" s="18"/>
      <c r="K83" s="19" t="s">
        <v>8</v>
      </c>
      <c r="L83" s="20">
        <v>430133.82</v>
      </c>
    </row>
    <row r="84" spans="1:12" ht="71.400000000000006" hidden="1" x14ac:dyDescent="0.3">
      <c r="A84" s="14" t="s">
        <v>113</v>
      </c>
      <c r="B84" s="15" t="s">
        <v>114</v>
      </c>
      <c r="C84" s="15" t="s">
        <v>141</v>
      </c>
      <c r="D84" s="15" t="s">
        <v>116</v>
      </c>
      <c r="E84" s="16" t="s">
        <v>13</v>
      </c>
      <c r="F84" s="17">
        <v>541.70000000000005</v>
      </c>
      <c r="G84" s="17"/>
      <c r="H84" s="16" t="s">
        <v>14</v>
      </c>
      <c r="I84" s="18" t="s">
        <v>15</v>
      </c>
      <c r="J84" s="18"/>
      <c r="K84" s="19" t="s">
        <v>8</v>
      </c>
      <c r="L84" s="20">
        <v>430675.52</v>
      </c>
    </row>
    <row r="85" spans="1:12" ht="61.2" hidden="1" x14ac:dyDescent="0.3">
      <c r="A85" s="14" t="s">
        <v>113</v>
      </c>
      <c r="B85" s="15" t="s">
        <v>142</v>
      </c>
      <c r="C85" s="15" t="s">
        <v>143</v>
      </c>
      <c r="D85" s="15" t="s">
        <v>144</v>
      </c>
      <c r="E85" s="16" t="s">
        <v>13</v>
      </c>
      <c r="F85" s="21">
        <v>6908.4</v>
      </c>
      <c r="G85" s="21"/>
      <c r="H85" s="16" t="s">
        <v>14</v>
      </c>
      <c r="I85" s="18" t="s">
        <v>15</v>
      </c>
      <c r="J85" s="18"/>
      <c r="K85" s="19" t="s">
        <v>8</v>
      </c>
      <c r="L85" s="20">
        <v>437583.92</v>
      </c>
    </row>
    <row r="86" spans="1:12" ht="61.2" hidden="1" x14ac:dyDescent="0.3">
      <c r="A86" s="14" t="s">
        <v>113</v>
      </c>
      <c r="B86" s="15" t="s">
        <v>142</v>
      </c>
      <c r="C86" s="15" t="s">
        <v>145</v>
      </c>
      <c r="D86" s="15" t="s">
        <v>144</v>
      </c>
      <c r="E86" s="16" t="s">
        <v>13</v>
      </c>
      <c r="F86" s="17">
        <v>262.5</v>
      </c>
      <c r="G86" s="17"/>
      <c r="H86" s="16" t="s">
        <v>14</v>
      </c>
      <c r="I86" s="18" t="s">
        <v>15</v>
      </c>
      <c r="J86" s="18"/>
      <c r="K86" s="19" t="s">
        <v>8</v>
      </c>
      <c r="L86" s="20">
        <v>437846.42</v>
      </c>
    </row>
    <row r="87" spans="1:12" ht="61.2" hidden="1" x14ac:dyDescent="0.3">
      <c r="A87" s="14" t="s">
        <v>113</v>
      </c>
      <c r="B87" s="15" t="s">
        <v>142</v>
      </c>
      <c r="C87" s="15" t="s">
        <v>146</v>
      </c>
      <c r="D87" s="15" t="s">
        <v>144</v>
      </c>
      <c r="E87" s="16" t="s">
        <v>13</v>
      </c>
      <c r="F87" s="17">
        <v>438</v>
      </c>
      <c r="G87" s="17"/>
      <c r="H87" s="16" t="s">
        <v>14</v>
      </c>
      <c r="I87" s="18" t="s">
        <v>15</v>
      </c>
      <c r="J87" s="18"/>
      <c r="K87" s="19" t="s">
        <v>8</v>
      </c>
      <c r="L87" s="20">
        <v>438284.42</v>
      </c>
    </row>
    <row r="88" spans="1:12" ht="61.2" hidden="1" x14ac:dyDescent="0.3">
      <c r="A88" s="14" t="s">
        <v>113</v>
      </c>
      <c r="B88" s="15" t="s">
        <v>142</v>
      </c>
      <c r="C88" s="15" t="s">
        <v>147</v>
      </c>
      <c r="D88" s="15" t="s">
        <v>144</v>
      </c>
      <c r="E88" s="16" t="s">
        <v>13</v>
      </c>
      <c r="F88" s="17">
        <v>612.75</v>
      </c>
      <c r="G88" s="17"/>
      <c r="H88" s="16" t="s">
        <v>14</v>
      </c>
      <c r="I88" s="18" t="s">
        <v>15</v>
      </c>
      <c r="J88" s="18"/>
      <c r="K88" s="19" t="s">
        <v>8</v>
      </c>
      <c r="L88" s="20">
        <v>438897.17</v>
      </c>
    </row>
    <row r="89" spans="1:12" ht="61.2" hidden="1" x14ac:dyDescent="0.3">
      <c r="A89" s="14" t="s">
        <v>113</v>
      </c>
      <c r="B89" s="15" t="s">
        <v>142</v>
      </c>
      <c r="C89" s="15" t="s">
        <v>148</v>
      </c>
      <c r="D89" s="15" t="s">
        <v>144</v>
      </c>
      <c r="E89" s="16" t="s">
        <v>13</v>
      </c>
      <c r="F89" s="21">
        <v>1117.5</v>
      </c>
      <c r="G89" s="21"/>
      <c r="H89" s="16" t="s">
        <v>14</v>
      </c>
      <c r="I89" s="18" t="s">
        <v>15</v>
      </c>
      <c r="J89" s="18"/>
      <c r="K89" s="19" t="s">
        <v>8</v>
      </c>
      <c r="L89" s="20">
        <v>440014.67</v>
      </c>
    </row>
    <row r="90" spans="1:12" ht="61.2" hidden="1" x14ac:dyDescent="0.3">
      <c r="A90" s="14" t="s">
        <v>113</v>
      </c>
      <c r="B90" s="15" t="s">
        <v>142</v>
      </c>
      <c r="C90" s="15" t="s">
        <v>149</v>
      </c>
      <c r="D90" s="15" t="s">
        <v>144</v>
      </c>
      <c r="E90" s="16" t="s">
        <v>13</v>
      </c>
      <c r="F90" s="21">
        <v>10276</v>
      </c>
      <c r="G90" s="21"/>
      <c r="H90" s="16" t="s">
        <v>14</v>
      </c>
      <c r="I90" s="18" t="s">
        <v>15</v>
      </c>
      <c r="J90" s="18"/>
      <c r="K90" s="19" t="s">
        <v>8</v>
      </c>
      <c r="L90" s="20">
        <v>450290.67</v>
      </c>
    </row>
    <row r="91" spans="1:12" ht="71.400000000000006" hidden="1" x14ac:dyDescent="0.3">
      <c r="A91" s="14" t="s">
        <v>113</v>
      </c>
      <c r="B91" s="15" t="s">
        <v>150</v>
      </c>
      <c r="C91" s="15" t="s">
        <v>151</v>
      </c>
      <c r="D91" s="15" t="s">
        <v>144</v>
      </c>
      <c r="E91" s="16" t="s">
        <v>13</v>
      </c>
      <c r="F91" s="21">
        <v>3453.83</v>
      </c>
      <c r="G91" s="21"/>
      <c r="H91" s="16" t="s">
        <v>14</v>
      </c>
      <c r="I91" s="18" t="s">
        <v>15</v>
      </c>
      <c r="J91" s="18"/>
      <c r="K91" s="19" t="s">
        <v>8</v>
      </c>
      <c r="L91" s="20">
        <v>453744.5</v>
      </c>
    </row>
    <row r="92" spans="1:12" ht="71.400000000000006" hidden="1" x14ac:dyDescent="0.3">
      <c r="A92" s="14" t="s">
        <v>113</v>
      </c>
      <c r="B92" s="15" t="s">
        <v>142</v>
      </c>
      <c r="C92" s="15" t="s">
        <v>151</v>
      </c>
      <c r="D92" s="15" t="s">
        <v>144</v>
      </c>
      <c r="E92" s="16" t="s">
        <v>13</v>
      </c>
      <c r="F92" s="21">
        <v>6986.17</v>
      </c>
      <c r="G92" s="21"/>
      <c r="H92" s="16" t="s">
        <v>14</v>
      </c>
      <c r="I92" s="18" t="s">
        <v>15</v>
      </c>
      <c r="J92" s="18"/>
      <c r="K92" s="19" t="s">
        <v>8</v>
      </c>
      <c r="L92" s="20">
        <v>460730.67</v>
      </c>
    </row>
    <row r="93" spans="1:12" ht="61.2" hidden="1" x14ac:dyDescent="0.3">
      <c r="A93" s="14" t="s">
        <v>113</v>
      </c>
      <c r="B93" s="15" t="s">
        <v>150</v>
      </c>
      <c r="C93" s="15" t="s">
        <v>152</v>
      </c>
      <c r="D93" s="15" t="s">
        <v>144</v>
      </c>
      <c r="E93" s="16" t="s">
        <v>13</v>
      </c>
      <c r="F93" s="17">
        <v>325</v>
      </c>
      <c r="G93" s="17"/>
      <c r="H93" s="16" t="s">
        <v>14</v>
      </c>
      <c r="I93" s="18" t="s">
        <v>15</v>
      </c>
      <c r="J93" s="18"/>
      <c r="K93" s="19" t="s">
        <v>8</v>
      </c>
      <c r="L93" s="20">
        <v>461055.67</v>
      </c>
    </row>
    <row r="94" spans="1:12" ht="61.2" hidden="1" x14ac:dyDescent="0.3">
      <c r="A94" s="14" t="s">
        <v>113</v>
      </c>
      <c r="B94" s="15" t="s">
        <v>150</v>
      </c>
      <c r="C94" s="15" t="s">
        <v>153</v>
      </c>
      <c r="D94" s="15" t="s">
        <v>144</v>
      </c>
      <c r="E94" s="16" t="s">
        <v>13</v>
      </c>
      <c r="F94" s="17">
        <v>421.5</v>
      </c>
      <c r="G94" s="17"/>
      <c r="H94" s="16" t="s">
        <v>14</v>
      </c>
      <c r="I94" s="18" t="s">
        <v>15</v>
      </c>
      <c r="J94" s="18"/>
      <c r="K94" s="19" t="s">
        <v>8</v>
      </c>
      <c r="L94" s="20">
        <v>461477.17</v>
      </c>
    </row>
    <row r="95" spans="1:12" ht="61.2" hidden="1" x14ac:dyDescent="0.3">
      <c r="A95" s="14" t="s">
        <v>113</v>
      </c>
      <c r="B95" s="15" t="s">
        <v>150</v>
      </c>
      <c r="C95" s="15" t="s">
        <v>154</v>
      </c>
      <c r="D95" s="15" t="s">
        <v>144</v>
      </c>
      <c r="E95" s="16" t="s">
        <v>13</v>
      </c>
      <c r="F95" s="17">
        <v>280.2</v>
      </c>
      <c r="G95" s="17"/>
      <c r="H95" s="16" t="s">
        <v>14</v>
      </c>
      <c r="I95" s="18" t="s">
        <v>15</v>
      </c>
      <c r="J95" s="18"/>
      <c r="K95" s="19" t="s">
        <v>8</v>
      </c>
      <c r="L95" s="20">
        <v>461757.37</v>
      </c>
    </row>
    <row r="96" spans="1:12" ht="61.2" hidden="1" x14ac:dyDescent="0.3">
      <c r="A96" s="14" t="s">
        <v>113</v>
      </c>
      <c r="B96" s="15" t="s">
        <v>155</v>
      </c>
      <c r="C96" s="15" t="s">
        <v>156</v>
      </c>
      <c r="D96" s="15" t="s">
        <v>157</v>
      </c>
      <c r="E96" s="16" t="s">
        <v>13</v>
      </c>
      <c r="F96" s="21">
        <v>1101</v>
      </c>
      <c r="G96" s="21"/>
      <c r="H96" s="16" t="s">
        <v>14</v>
      </c>
      <c r="I96" s="18" t="s">
        <v>15</v>
      </c>
      <c r="J96" s="18"/>
      <c r="K96" s="19" t="s">
        <v>8</v>
      </c>
      <c r="L96" s="20">
        <v>462858.37</v>
      </c>
    </row>
    <row r="97" spans="1:12" ht="81.599999999999994" hidden="1" x14ac:dyDescent="0.3">
      <c r="A97" s="14" t="s">
        <v>113</v>
      </c>
      <c r="B97" s="15" t="s">
        <v>155</v>
      </c>
      <c r="C97" s="15" t="s">
        <v>158</v>
      </c>
      <c r="D97" s="15" t="s">
        <v>157</v>
      </c>
      <c r="E97" s="16" t="s">
        <v>13</v>
      </c>
      <c r="F97" s="21">
        <v>2940</v>
      </c>
      <c r="G97" s="21"/>
      <c r="H97" s="16" t="s">
        <v>14</v>
      </c>
      <c r="I97" s="18" t="s">
        <v>15</v>
      </c>
      <c r="J97" s="18"/>
      <c r="K97" s="19" t="s">
        <v>8</v>
      </c>
      <c r="L97" s="20">
        <v>465798.37</v>
      </c>
    </row>
    <row r="98" spans="1:12" ht="71.400000000000006" hidden="1" x14ac:dyDescent="0.3">
      <c r="A98" s="14" t="s">
        <v>113</v>
      </c>
      <c r="B98" s="15" t="s">
        <v>155</v>
      </c>
      <c r="C98" s="15" t="s">
        <v>159</v>
      </c>
      <c r="D98" s="15" t="s">
        <v>157</v>
      </c>
      <c r="E98" s="16" t="s">
        <v>13</v>
      </c>
      <c r="F98" s="21">
        <v>4750</v>
      </c>
      <c r="G98" s="21"/>
      <c r="H98" s="16" t="s">
        <v>14</v>
      </c>
      <c r="I98" s="18" t="s">
        <v>15</v>
      </c>
      <c r="J98" s="18"/>
      <c r="K98" s="19" t="s">
        <v>8</v>
      </c>
      <c r="L98" s="20">
        <v>470548.37</v>
      </c>
    </row>
    <row r="99" spans="1:12" ht="71.400000000000006" hidden="1" x14ac:dyDescent="0.3">
      <c r="A99" s="14" t="s">
        <v>113</v>
      </c>
      <c r="B99" s="15" t="s">
        <v>155</v>
      </c>
      <c r="C99" s="15" t="s">
        <v>160</v>
      </c>
      <c r="D99" s="15" t="s">
        <v>157</v>
      </c>
      <c r="E99" s="16" t="s">
        <v>13</v>
      </c>
      <c r="F99" s="21">
        <v>6592.5</v>
      </c>
      <c r="G99" s="21"/>
      <c r="H99" s="16" t="s">
        <v>14</v>
      </c>
      <c r="I99" s="18" t="s">
        <v>15</v>
      </c>
      <c r="J99" s="18"/>
      <c r="K99" s="19" t="s">
        <v>8</v>
      </c>
      <c r="L99" s="20">
        <v>477140.87</v>
      </c>
    </row>
    <row r="100" spans="1:12" ht="71.400000000000006" hidden="1" x14ac:dyDescent="0.3">
      <c r="A100" s="14" t="s">
        <v>113</v>
      </c>
      <c r="B100" s="15" t="s">
        <v>155</v>
      </c>
      <c r="C100" s="15" t="s">
        <v>161</v>
      </c>
      <c r="D100" s="15" t="s">
        <v>157</v>
      </c>
      <c r="E100" s="16" t="s">
        <v>13</v>
      </c>
      <c r="F100" s="21">
        <v>3420</v>
      </c>
      <c r="G100" s="21"/>
      <c r="H100" s="16" t="s">
        <v>14</v>
      </c>
      <c r="I100" s="18" t="s">
        <v>15</v>
      </c>
      <c r="J100" s="18"/>
      <c r="K100" s="19" t="s">
        <v>8</v>
      </c>
      <c r="L100" s="20">
        <v>480560.87</v>
      </c>
    </row>
    <row r="101" spans="1:12" ht="71.400000000000006" hidden="1" x14ac:dyDescent="0.3">
      <c r="A101" s="14" t="s">
        <v>113</v>
      </c>
      <c r="B101" s="15" t="s">
        <v>155</v>
      </c>
      <c r="C101" s="15" t="s">
        <v>162</v>
      </c>
      <c r="D101" s="15" t="s">
        <v>157</v>
      </c>
      <c r="E101" s="16" t="s">
        <v>13</v>
      </c>
      <c r="F101" s="21">
        <v>5305</v>
      </c>
      <c r="G101" s="21"/>
      <c r="H101" s="16" t="s">
        <v>14</v>
      </c>
      <c r="I101" s="18" t="s">
        <v>15</v>
      </c>
      <c r="J101" s="18"/>
      <c r="K101" s="19" t="s">
        <v>8</v>
      </c>
      <c r="L101" s="20">
        <v>485865.87</v>
      </c>
    </row>
    <row r="102" spans="1:12" ht="71.400000000000006" hidden="1" x14ac:dyDescent="0.3">
      <c r="A102" s="14" t="s">
        <v>113</v>
      </c>
      <c r="B102" s="15" t="s">
        <v>155</v>
      </c>
      <c r="C102" s="15" t="s">
        <v>163</v>
      </c>
      <c r="D102" s="15" t="s">
        <v>157</v>
      </c>
      <c r="E102" s="16" t="s">
        <v>13</v>
      </c>
      <c r="F102" s="21">
        <v>2137.5</v>
      </c>
      <c r="G102" s="21"/>
      <c r="H102" s="16" t="s">
        <v>14</v>
      </c>
      <c r="I102" s="18" t="s">
        <v>15</v>
      </c>
      <c r="J102" s="18"/>
      <c r="K102" s="19" t="s">
        <v>8</v>
      </c>
      <c r="L102" s="20">
        <v>488003.37</v>
      </c>
    </row>
    <row r="103" spans="1:12" ht="71.400000000000006" hidden="1" x14ac:dyDescent="0.3">
      <c r="A103" s="14" t="s">
        <v>113</v>
      </c>
      <c r="B103" s="15" t="s">
        <v>155</v>
      </c>
      <c r="C103" s="15" t="s">
        <v>164</v>
      </c>
      <c r="D103" s="15" t="s">
        <v>157</v>
      </c>
      <c r="E103" s="16" t="s">
        <v>13</v>
      </c>
      <c r="F103" s="21">
        <v>1668.75</v>
      </c>
      <c r="G103" s="21"/>
      <c r="H103" s="16" t="s">
        <v>14</v>
      </c>
      <c r="I103" s="18" t="s">
        <v>15</v>
      </c>
      <c r="J103" s="18"/>
      <c r="K103" s="19" t="s">
        <v>8</v>
      </c>
      <c r="L103" s="20">
        <v>489672.12</v>
      </c>
    </row>
    <row r="104" spans="1:12" ht="71.400000000000006" hidden="1" x14ac:dyDescent="0.3">
      <c r="A104" s="14" t="s">
        <v>113</v>
      </c>
      <c r="B104" s="15" t="s">
        <v>155</v>
      </c>
      <c r="C104" s="15" t="s">
        <v>165</v>
      </c>
      <c r="D104" s="15" t="s">
        <v>157</v>
      </c>
      <c r="E104" s="16" t="s">
        <v>13</v>
      </c>
      <c r="F104" s="21">
        <v>3366</v>
      </c>
      <c r="G104" s="21"/>
      <c r="H104" s="16" t="s">
        <v>14</v>
      </c>
      <c r="I104" s="18" t="s">
        <v>15</v>
      </c>
      <c r="J104" s="18"/>
      <c r="K104" s="19" t="s">
        <v>8</v>
      </c>
      <c r="L104" s="20">
        <v>493038.12</v>
      </c>
    </row>
    <row r="105" spans="1:12" ht="71.400000000000006" hidden="1" x14ac:dyDescent="0.3">
      <c r="A105" s="14" t="s">
        <v>113</v>
      </c>
      <c r="B105" s="15" t="s">
        <v>155</v>
      </c>
      <c r="C105" s="15" t="s">
        <v>166</v>
      </c>
      <c r="D105" s="15" t="s">
        <v>157</v>
      </c>
      <c r="E105" s="16" t="s">
        <v>13</v>
      </c>
      <c r="F105" s="21">
        <v>1543.8</v>
      </c>
      <c r="G105" s="21"/>
      <c r="H105" s="16" t="s">
        <v>14</v>
      </c>
      <c r="I105" s="18" t="s">
        <v>15</v>
      </c>
      <c r="J105" s="18"/>
      <c r="K105" s="19" t="s">
        <v>8</v>
      </c>
      <c r="L105" s="20">
        <v>494581.92</v>
      </c>
    </row>
    <row r="106" spans="1:12" ht="61.2" hidden="1" x14ac:dyDescent="0.3">
      <c r="A106" s="14" t="s">
        <v>167</v>
      </c>
      <c r="B106" s="15" t="s">
        <v>168</v>
      </c>
      <c r="C106" s="15" t="s">
        <v>169</v>
      </c>
      <c r="D106" s="15" t="s">
        <v>170</v>
      </c>
      <c r="E106" s="16" t="s">
        <v>13</v>
      </c>
      <c r="F106" s="22" t="s">
        <v>15</v>
      </c>
      <c r="G106" s="22"/>
      <c r="H106" s="16" t="s">
        <v>13</v>
      </c>
      <c r="I106" s="23">
        <v>187.5</v>
      </c>
      <c r="J106" s="23"/>
      <c r="K106" s="19" t="s">
        <v>8</v>
      </c>
      <c r="L106" s="20">
        <v>23114.02</v>
      </c>
    </row>
    <row r="107" spans="1:12" ht="61.2" hidden="1" x14ac:dyDescent="0.3">
      <c r="A107" s="14" t="s">
        <v>167</v>
      </c>
      <c r="B107" s="15" t="s">
        <v>168</v>
      </c>
      <c r="C107" s="15" t="s">
        <v>169</v>
      </c>
      <c r="D107" s="15" t="s">
        <v>170</v>
      </c>
      <c r="E107" s="16" t="s">
        <v>13</v>
      </c>
      <c r="F107" s="17">
        <v>187.5</v>
      </c>
      <c r="G107" s="17"/>
      <c r="H107" s="16" t="s">
        <v>13</v>
      </c>
      <c r="I107" s="18" t="s">
        <v>15</v>
      </c>
      <c r="J107" s="18"/>
      <c r="K107" s="19" t="s">
        <v>8</v>
      </c>
      <c r="L107" s="20">
        <v>71868.72</v>
      </c>
    </row>
    <row r="108" spans="1:12" ht="51" hidden="1" x14ac:dyDescent="0.3">
      <c r="A108" s="14" t="s">
        <v>167</v>
      </c>
      <c r="B108" s="15" t="s">
        <v>168</v>
      </c>
      <c r="C108" s="15" t="s">
        <v>171</v>
      </c>
      <c r="D108" s="15" t="s">
        <v>172</v>
      </c>
      <c r="E108" s="16" t="s">
        <v>13</v>
      </c>
      <c r="F108" s="22" t="s">
        <v>15</v>
      </c>
      <c r="G108" s="22"/>
      <c r="H108" s="16" t="s">
        <v>13</v>
      </c>
      <c r="I108" s="23">
        <v>170.8</v>
      </c>
      <c r="J108" s="23"/>
      <c r="K108" s="19" t="s">
        <v>8</v>
      </c>
      <c r="L108" s="20">
        <v>22943.22</v>
      </c>
    </row>
    <row r="109" spans="1:12" ht="51" hidden="1" x14ac:dyDescent="0.3">
      <c r="A109" s="14" t="s">
        <v>167</v>
      </c>
      <c r="B109" s="15" t="s">
        <v>168</v>
      </c>
      <c r="C109" s="15" t="s">
        <v>171</v>
      </c>
      <c r="D109" s="15" t="s">
        <v>172</v>
      </c>
      <c r="E109" s="16" t="s">
        <v>13</v>
      </c>
      <c r="F109" s="17">
        <v>170.8</v>
      </c>
      <c r="G109" s="17"/>
      <c r="H109" s="16" t="s">
        <v>13</v>
      </c>
      <c r="I109" s="18" t="s">
        <v>15</v>
      </c>
      <c r="J109" s="18"/>
      <c r="K109" s="19" t="s">
        <v>8</v>
      </c>
      <c r="L109" s="20">
        <v>72039.520000000004</v>
      </c>
    </row>
    <row r="110" spans="1:12" ht="51" hidden="1" x14ac:dyDescent="0.3">
      <c r="A110" s="14" t="s">
        <v>167</v>
      </c>
      <c r="B110" s="15" t="s">
        <v>168</v>
      </c>
      <c r="C110" s="15" t="s">
        <v>173</v>
      </c>
      <c r="D110" s="15" t="s">
        <v>174</v>
      </c>
      <c r="E110" s="16" t="s">
        <v>13</v>
      </c>
      <c r="F110" s="22" t="s">
        <v>15</v>
      </c>
      <c r="G110" s="22"/>
      <c r="H110" s="16" t="s">
        <v>13</v>
      </c>
      <c r="I110" s="23">
        <v>170.5</v>
      </c>
      <c r="J110" s="23"/>
      <c r="K110" s="19" t="s">
        <v>8</v>
      </c>
      <c r="L110" s="20">
        <v>22772.720000000001</v>
      </c>
    </row>
    <row r="111" spans="1:12" ht="51" hidden="1" x14ac:dyDescent="0.3">
      <c r="A111" s="14" t="s">
        <v>167</v>
      </c>
      <c r="B111" s="15" t="s">
        <v>168</v>
      </c>
      <c r="C111" s="15" t="s">
        <v>173</v>
      </c>
      <c r="D111" s="15" t="s">
        <v>174</v>
      </c>
      <c r="E111" s="16" t="s">
        <v>13</v>
      </c>
      <c r="F111" s="17">
        <v>170.5</v>
      </c>
      <c r="G111" s="17"/>
      <c r="H111" s="16" t="s">
        <v>13</v>
      </c>
      <c r="I111" s="18" t="s">
        <v>15</v>
      </c>
      <c r="J111" s="18"/>
      <c r="K111" s="19" t="s">
        <v>8</v>
      </c>
      <c r="L111" s="20">
        <v>72210.02</v>
      </c>
    </row>
    <row r="112" spans="1:12" ht="61.2" hidden="1" x14ac:dyDescent="0.3">
      <c r="A112" s="14" t="s">
        <v>167</v>
      </c>
      <c r="B112" s="15" t="s">
        <v>168</v>
      </c>
      <c r="C112" s="15" t="s">
        <v>175</v>
      </c>
      <c r="D112" s="15" t="s">
        <v>176</v>
      </c>
      <c r="E112" s="16" t="s">
        <v>13</v>
      </c>
      <c r="F112" s="22" t="s">
        <v>15</v>
      </c>
      <c r="G112" s="22"/>
      <c r="H112" s="16" t="s">
        <v>13</v>
      </c>
      <c r="I112" s="23">
        <v>631.25</v>
      </c>
      <c r="J112" s="23"/>
      <c r="K112" s="19" t="s">
        <v>8</v>
      </c>
      <c r="L112" s="20">
        <v>22141.47</v>
      </c>
    </row>
    <row r="113" spans="1:12" ht="61.2" hidden="1" x14ac:dyDescent="0.3">
      <c r="A113" s="14" t="s">
        <v>167</v>
      </c>
      <c r="B113" s="15" t="s">
        <v>168</v>
      </c>
      <c r="C113" s="15" t="s">
        <v>175</v>
      </c>
      <c r="D113" s="15" t="s">
        <v>176</v>
      </c>
      <c r="E113" s="16" t="s">
        <v>13</v>
      </c>
      <c r="F113" s="17">
        <v>631.25</v>
      </c>
      <c r="G113" s="17"/>
      <c r="H113" s="16" t="s">
        <v>13</v>
      </c>
      <c r="I113" s="18" t="s">
        <v>15</v>
      </c>
      <c r="J113" s="18"/>
      <c r="K113" s="19" t="s">
        <v>8</v>
      </c>
      <c r="L113" s="20">
        <v>72841.27</v>
      </c>
    </row>
    <row r="114" spans="1:12" ht="61.2" hidden="1" x14ac:dyDescent="0.3">
      <c r="A114" s="14" t="s">
        <v>167</v>
      </c>
      <c r="B114" s="15" t="s">
        <v>168</v>
      </c>
      <c r="C114" s="15" t="s">
        <v>177</v>
      </c>
      <c r="D114" s="15" t="s">
        <v>178</v>
      </c>
      <c r="E114" s="16" t="s">
        <v>13</v>
      </c>
      <c r="F114" s="22" t="s">
        <v>15</v>
      </c>
      <c r="G114" s="22"/>
      <c r="H114" s="16" t="s">
        <v>13</v>
      </c>
      <c r="I114" s="23">
        <v>780.5</v>
      </c>
      <c r="J114" s="23"/>
      <c r="K114" s="19" t="s">
        <v>8</v>
      </c>
      <c r="L114" s="20">
        <v>21360.97</v>
      </c>
    </row>
    <row r="115" spans="1:12" ht="61.2" hidden="1" x14ac:dyDescent="0.3">
      <c r="A115" s="14" t="s">
        <v>167</v>
      </c>
      <c r="B115" s="15" t="s">
        <v>168</v>
      </c>
      <c r="C115" s="15" t="s">
        <v>177</v>
      </c>
      <c r="D115" s="15" t="s">
        <v>178</v>
      </c>
      <c r="E115" s="16" t="s">
        <v>13</v>
      </c>
      <c r="F115" s="17">
        <v>780.5</v>
      </c>
      <c r="G115" s="17"/>
      <c r="H115" s="16" t="s">
        <v>13</v>
      </c>
      <c r="I115" s="18" t="s">
        <v>15</v>
      </c>
      <c r="J115" s="18"/>
      <c r="K115" s="19" t="s">
        <v>8</v>
      </c>
      <c r="L115" s="20">
        <v>73621.77</v>
      </c>
    </row>
    <row r="116" spans="1:12" ht="51" hidden="1" x14ac:dyDescent="0.3">
      <c r="A116" s="14" t="s">
        <v>167</v>
      </c>
      <c r="B116" s="15" t="s">
        <v>168</v>
      </c>
      <c r="C116" s="15" t="s">
        <v>179</v>
      </c>
      <c r="D116" s="15" t="s">
        <v>180</v>
      </c>
      <c r="E116" s="16" t="s">
        <v>13</v>
      </c>
      <c r="F116" s="22" t="s">
        <v>15</v>
      </c>
      <c r="G116" s="22"/>
      <c r="H116" s="16" t="s">
        <v>13</v>
      </c>
      <c r="I116" s="23">
        <v>372.5</v>
      </c>
      <c r="J116" s="23"/>
      <c r="K116" s="19" t="s">
        <v>8</v>
      </c>
      <c r="L116" s="20">
        <v>20988.47</v>
      </c>
    </row>
    <row r="117" spans="1:12" ht="51" hidden="1" x14ac:dyDescent="0.3">
      <c r="A117" s="14" t="s">
        <v>167</v>
      </c>
      <c r="B117" s="15" t="s">
        <v>168</v>
      </c>
      <c r="C117" s="15" t="s">
        <v>179</v>
      </c>
      <c r="D117" s="15" t="s">
        <v>180</v>
      </c>
      <c r="E117" s="16" t="s">
        <v>13</v>
      </c>
      <c r="F117" s="17">
        <v>372.5</v>
      </c>
      <c r="G117" s="17"/>
      <c r="H117" s="16" t="s">
        <v>13</v>
      </c>
      <c r="I117" s="18" t="s">
        <v>15</v>
      </c>
      <c r="J117" s="18"/>
      <c r="K117" s="19" t="s">
        <v>8</v>
      </c>
      <c r="L117" s="20">
        <v>73994.27</v>
      </c>
    </row>
    <row r="118" spans="1:12" ht="61.2" hidden="1" x14ac:dyDescent="0.3">
      <c r="A118" s="14" t="s">
        <v>167</v>
      </c>
      <c r="B118" s="15" t="s">
        <v>181</v>
      </c>
      <c r="C118" s="15" t="s">
        <v>182</v>
      </c>
      <c r="D118" s="15" t="s">
        <v>183</v>
      </c>
      <c r="E118" s="16" t="s">
        <v>13</v>
      </c>
      <c r="F118" s="21">
        <v>6226.5</v>
      </c>
      <c r="G118" s="21"/>
      <c r="H118" s="16" t="s">
        <v>13</v>
      </c>
      <c r="I118" s="18" t="s">
        <v>15</v>
      </c>
      <c r="J118" s="18"/>
      <c r="K118" s="19" t="s">
        <v>8</v>
      </c>
      <c r="L118" s="20">
        <v>500808.42</v>
      </c>
    </row>
    <row r="119" spans="1:12" ht="61.2" hidden="1" x14ac:dyDescent="0.3">
      <c r="A119" s="14" t="s">
        <v>167</v>
      </c>
      <c r="B119" s="15" t="s">
        <v>181</v>
      </c>
      <c r="C119" s="15" t="s">
        <v>182</v>
      </c>
      <c r="D119" s="15" t="s">
        <v>183</v>
      </c>
      <c r="E119" s="16" t="s">
        <v>13</v>
      </c>
      <c r="F119" s="22" t="s">
        <v>15</v>
      </c>
      <c r="G119" s="22"/>
      <c r="H119" s="16" t="s">
        <v>13</v>
      </c>
      <c r="I119" s="26">
        <v>6226.5</v>
      </c>
      <c r="J119" s="26"/>
      <c r="K119" s="19" t="s">
        <v>8</v>
      </c>
      <c r="L119" s="20">
        <v>11412.04</v>
      </c>
    </row>
    <row r="120" spans="1:12" ht="61.2" hidden="1" x14ac:dyDescent="0.3">
      <c r="A120" s="14" t="s">
        <v>167</v>
      </c>
      <c r="B120" s="15" t="s">
        <v>181</v>
      </c>
      <c r="C120" s="15" t="s">
        <v>184</v>
      </c>
      <c r="D120" s="15" t="s">
        <v>185</v>
      </c>
      <c r="E120" s="16" t="s">
        <v>13</v>
      </c>
      <c r="F120" s="21">
        <v>2911.75</v>
      </c>
      <c r="G120" s="21"/>
      <c r="H120" s="16" t="s">
        <v>13</v>
      </c>
      <c r="I120" s="18" t="s">
        <v>15</v>
      </c>
      <c r="J120" s="18"/>
      <c r="K120" s="19" t="s">
        <v>8</v>
      </c>
      <c r="L120" s="20">
        <v>503720.17</v>
      </c>
    </row>
    <row r="121" spans="1:12" ht="61.2" hidden="1" x14ac:dyDescent="0.3">
      <c r="A121" s="14" t="s">
        <v>167</v>
      </c>
      <c r="B121" s="15" t="s">
        <v>181</v>
      </c>
      <c r="C121" s="15" t="s">
        <v>184</v>
      </c>
      <c r="D121" s="15" t="s">
        <v>185</v>
      </c>
      <c r="E121" s="16" t="s">
        <v>13</v>
      </c>
      <c r="F121" s="22" t="s">
        <v>15</v>
      </c>
      <c r="G121" s="22"/>
      <c r="H121" s="16" t="s">
        <v>13</v>
      </c>
      <c r="I121" s="26">
        <v>2911.75</v>
      </c>
      <c r="J121" s="26"/>
      <c r="K121" s="19" t="s">
        <v>8</v>
      </c>
      <c r="L121" s="20">
        <v>8500.2900000000009</v>
      </c>
    </row>
    <row r="122" spans="1:12" ht="61.2" hidden="1" x14ac:dyDescent="0.3">
      <c r="A122" s="14" t="s">
        <v>167</v>
      </c>
      <c r="B122" s="15" t="s">
        <v>186</v>
      </c>
      <c r="C122" s="15" t="s">
        <v>187</v>
      </c>
      <c r="D122" s="15" t="s">
        <v>188</v>
      </c>
      <c r="E122" s="16" t="s">
        <v>13</v>
      </c>
      <c r="F122" s="22" t="s">
        <v>15</v>
      </c>
      <c r="G122" s="22"/>
      <c r="H122" s="16" t="s">
        <v>13</v>
      </c>
      <c r="I122" s="23">
        <v>402.1</v>
      </c>
      <c r="J122" s="23"/>
      <c r="K122" s="19" t="s">
        <v>8</v>
      </c>
      <c r="L122" s="20">
        <v>3493.54</v>
      </c>
    </row>
    <row r="123" spans="1:12" ht="61.2" hidden="1" x14ac:dyDescent="0.3">
      <c r="A123" s="14" t="s">
        <v>167</v>
      </c>
      <c r="B123" s="15" t="s">
        <v>186</v>
      </c>
      <c r="C123" s="15" t="s">
        <v>187</v>
      </c>
      <c r="D123" s="15" t="s">
        <v>188</v>
      </c>
      <c r="E123" s="16" t="s">
        <v>13</v>
      </c>
      <c r="F123" s="17">
        <v>402.1</v>
      </c>
      <c r="G123" s="17"/>
      <c r="H123" s="16" t="s">
        <v>13</v>
      </c>
      <c r="I123" s="18" t="s">
        <v>15</v>
      </c>
      <c r="J123" s="18"/>
      <c r="K123" s="19" t="s">
        <v>8</v>
      </c>
      <c r="L123" s="20">
        <v>504122.27</v>
      </c>
    </row>
    <row r="124" spans="1:12" ht="51" hidden="1" x14ac:dyDescent="0.3">
      <c r="A124" s="14" t="s">
        <v>167</v>
      </c>
      <c r="B124" s="15" t="s">
        <v>189</v>
      </c>
      <c r="C124" s="15" t="s">
        <v>190</v>
      </c>
      <c r="D124" s="15" t="s">
        <v>191</v>
      </c>
      <c r="E124" s="16" t="s">
        <v>13</v>
      </c>
      <c r="F124" s="17">
        <v>939.75</v>
      </c>
      <c r="G124" s="17"/>
      <c r="H124" s="16" t="s">
        <v>13</v>
      </c>
      <c r="I124" s="18" t="s">
        <v>15</v>
      </c>
      <c r="J124" s="18"/>
      <c r="K124" s="19" t="s">
        <v>8</v>
      </c>
      <c r="L124" s="20">
        <v>18792.28</v>
      </c>
    </row>
    <row r="125" spans="1:12" ht="51" hidden="1" x14ac:dyDescent="0.3">
      <c r="A125" s="14" t="s">
        <v>167</v>
      </c>
      <c r="B125" s="15" t="s">
        <v>189</v>
      </c>
      <c r="C125" s="15" t="s">
        <v>190</v>
      </c>
      <c r="D125" s="15" t="s">
        <v>191</v>
      </c>
      <c r="E125" s="16" t="s">
        <v>13</v>
      </c>
      <c r="F125" s="22" t="s">
        <v>15</v>
      </c>
      <c r="G125" s="22"/>
      <c r="H125" s="16" t="s">
        <v>13</v>
      </c>
      <c r="I125" s="23">
        <v>939.75</v>
      </c>
      <c r="J125" s="23"/>
      <c r="K125" s="19" t="s">
        <v>8</v>
      </c>
      <c r="L125" s="20">
        <v>34708.07</v>
      </c>
    </row>
    <row r="126" spans="1:12" ht="51" hidden="1" x14ac:dyDescent="0.3">
      <c r="A126" s="14" t="s">
        <v>167</v>
      </c>
      <c r="B126" s="15" t="s">
        <v>189</v>
      </c>
      <c r="C126" s="15" t="s">
        <v>192</v>
      </c>
      <c r="D126" s="15" t="s">
        <v>193</v>
      </c>
      <c r="E126" s="16" t="s">
        <v>13</v>
      </c>
      <c r="F126" s="21">
        <v>1529.2</v>
      </c>
      <c r="G126" s="21"/>
      <c r="H126" s="16" t="s">
        <v>13</v>
      </c>
      <c r="I126" s="18" t="s">
        <v>15</v>
      </c>
      <c r="J126" s="18"/>
      <c r="K126" s="19" t="s">
        <v>8</v>
      </c>
      <c r="L126" s="20">
        <v>20321.48</v>
      </c>
    </row>
    <row r="127" spans="1:12" ht="51" hidden="1" x14ac:dyDescent="0.3">
      <c r="A127" s="14" t="s">
        <v>167</v>
      </c>
      <c r="B127" s="15" t="s">
        <v>189</v>
      </c>
      <c r="C127" s="15" t="s">
        <v>192</v>
      </c>
      <c r="D127" s="15" t="s">
        <v>193</v>
      </c>
      <c r="E127" s="16" t="s">
        <v>13</v>
      </c>
      <c r="F127" s="22" t="s">
        <v>15</v>
      </c>
      <c r="G127" s="22"/>
      <c r="H127" s="16" t="s">
        <v>13</v>
      </c>
      <c r="I127" s="26">
        <v>1529.2</v>
      </c>
      <c r="J127" s="26"/>
      <c r="K127" s="19" t="s">
        <v>8</v>
      </c>
      <c r="L127" s="20">
        <v>33178.870000000003</v>
      </c>
    </row>
    <row r="128" spans="1:12" ht="61.2" hidden="1" x14ac:dyDescent="0.3">
      <c r="A128" s="14" t="s">
        <v>167</v>
      </c>
      <c r="B128" s="15" t="s">
        <v>189</v>
      </c>
      <c r="C128" s="15" t="s">
        <v>194</v>
      </c>
      <c r="D128" s="15" t="s">
        <v>195</v>
      </c>
      <c r="E128" s="16" t="s">
        <v>13</v>
      </c>
      <c r="F128" s="21">
        <v>3717.26</v>
      </c>
      <c r="G128" s="21"/>
      <c r="H128" s="16" t="s">
        <v>13</v>
      </c>
      <c r="I128" s="18" t="s">
        <v>15</v>
      </c>
      <c r="J128" s="18"/>
      <c r="K128" s="19" t="s">
        <v>8</v>
      </c>
      <c r="L128" s="20">
        <v>24038.74</v>
      </c>
    </row>
    <row r="129" spans="1:12" ht="61.2" hidden="1" x14ac:dyDescent="0.3">
      <c r="A129" s="14" t="s">
        <v>167</v>
      </c>
      <c r="B129" s="15" t="s">
        <v>189</v>
      </c>
      <c r="C129" s="15" t="s">
        <v>194</v>
      </c>
      <c r="D129" s="15" t="s">
        <v>195</v>
      </c>
      <c r="E129" s="16" t="s">
        <v>13</v>
      </c>
      <c r="F129" s="22" t="s">
        <v>15</v>
      </c>
      <c r="G129" s="22"/>
      <c r="H129" s="16" t="s">
        <v>13</v>
      </c>
      <c r="I129" s="26">
        <v>3717.26</v>
      </c>
      <c r="J129" s="26"/>
      <c r="K129" s="19" t="s">
        <v>8</v>
      </c>
      <c r="L129" s="20">
        <v>29461.61</v>
      </c>
    </row>
    <row r="130" spans="1:12" ht="51" hidden="1" x14ac:dyDescent="0.3">
      <c r="A130" s="14" t="s">
        <v>167</v>
      </c>
      <c r="B130" s="15" t="s">
        <v>189</v>
      </c>
      <c r="C130" s="15" t="s">
        <v>196</v>
      </c>
      <c r="D130" s="15" t="s">
        <v>197</v>
      </c>
      <c r="E130" s="16" t="s">
        <v>13</v>
      </c>
      <c r="F130" s="21">
        <v>3815</v>
      </c>
      <c r="G130" s="21"/>
      <c r="H130" s="16" t="s">
        <v>13</v>
      </c>
      <c r="I130" s="18" t="s">
        <v>15</v>
      </c>
      <c r="J130" s="18"/>
      <c r="K130" s="19" t="s">
        <v>8</v>
      </c>
      <c r="L130" s="20">
        <v>27853.74</v>
      </c>
    </row>
    <row r="131" spans="1:12" ht="51" hidden="1" x14ac:dyDescent="0.3">
      <c r="A131" s="14" t="s">
        <v>167</v>
      </c>
      <c r="B131" s="15" t="s">
        <v>189</v>
      </c>
      <c r="C131" s="15" t="s">
        <v>196</v>
      </c>
      <c r="D131" s="15" t="s">
        <v>197</v>
      </c>
      <c r="E131" s="16" t="s">
        <v>13</v>
      </c>
      <c r="F131" s="22" t="s">
        <v>15</v>
      </c>
      <c r="G131" s="22"/>
      <c r="H131" s="16" t="s">
        <v>13</v>
      </c>
      <c r="I131" s="26">
        <v>3815</v>
      </c>
      <c r="J131" s="26"/>
      <c r="K131" s="19" t="s">
        <v>8</v>
      </c>
      <c r="L131" s="20">
        <v>25646.61</v>
      </c>
    </row>
    <row r="132" spans="1:12" ht="51" hidden="1" x14ac:dyDescent="0.3">
      <c r="A132" s="14" t="s">
        <v>167</v>
      </c>
      <c r="B132" s="15" t="s">
        <v>189</v>
      </c>
      <c r="C132" s="15" t="s">
        <v>198</v>
      </c>
      <c r="D132" s="15" t="s">
        <v>199</v>
      </c>
      <c r="E132" s="16" t="s">
        <v>13</v>
      </c>
      <c r="F132" s="21">
        <v>3631</v>
      </c>
      <c r="G132" s="21"/>
      <c r="H132" s="16" t="s">
        <v>13</v>
      </c>
      <c r="I132" s="18" t="s">
        <v>15</v>
      </c>
      <c r="J132" s="18"/>
      <c r="K132" s="19" t="s">
        <v>8</v>
      </c>
      <c r="L132" s="20">
        <v>31484.74</v>
      </c>
    </row>
    <row r="133" spans="1:12" ht="51" hidden="1" x14ac:dyDescent="0.3">
      <c r="A133" s="14" t="s">
        <v>167</v>
      </c>
      <c r="B133" s="15" t="s">
        <v>189</v>
      </c>
      <c r="C133" s="15" t="s">
        <v>198</v>
      </c>
      <c r="D133" s="15" t="s">
        <v>199</v>
      </c>
      <c r="E133" s="16" t="s">
        <v>13</v>
      </c>
      <c r="F133" s="22" t="s">
        <v>15</v>
      </c>
      <c r="G133" s="22"/>
      <c r="H133" s="16" t="s">
        <v>13</v>
      </c>
      <c r="I133" s="26">
        <v>3631</v>
      </c>
      <c r="J133" s="26"/>
      <c r="K133" s="19" t="s">
        <v>8</v>
      </c>
      <c r="L133" s="20">
        <v>22015.61</v>
      </c>
    </row>
    <row r="134" spans="1:12" ht="51" hidden="1" x14ac:dyDescent="0.3">
      <c r="A134" s="14" t="s">
        <v>167</v>
      </c>
      <c r="B134" s="15" t="s">
        <v>200</v>
      </c>
      <c r="C134" s="15" t="s">
        <v>201</v>
      </c>
      <c r="D134" s="15" t="s">
        <v>202</v>
      </c>
      <c r="E134" s="16" t="s">
        <v>13</v>
      </c>
      <c r="F134" s="22" t="s">
        <v>15</v>
      </c>
      <c r="G134" s="22"/>
      <c r="H134" s="16" t="s">
        <v>13</v>
      </c>
      <c r="I134" s="26">
        <v>1708.16</v>
      </c>
      <c r="J134" s="26"/>
      <c r="K134" s="19" t="s">
        <v>8</v>
      </c>
      <c r="L134" s="20">
        <v>20307.45</v>
      </c>
    </row>
    <row r="135" spans="1:12" ht="51" hidden="1" x14ac:dyDescent="0.3">
      <c r="A135" s="14" t="s">
        <v>167</v>
      </c>
      <c r="B135" s="15" t="s">
        <v>200</v>
      </c>
      <c r="C135" s="15" t="s">
        <v>201</v>
      </c>
      <c r="D135" s="15" t="s">
        <v>202</v>
      </c>
      <c r="E135" s="16" t="s">
        <v>13</v>
      </c>
      <c r="F135" s="21">
        <v>1708.16</v>
      </c>
      <c r="G135" s="21"/>
      <c r="H135" s="16" t="s">
        <v>13</v>
      </c>
      <c r="I135" s="18" t="s">
        <v>15</v>
      </c>
      <c r="J135" s="18"/>
      <c r="K135" s="19" t="s">
        <v>8</v>
      </c>
      <c r="L135" s="20">
        <v>21110.35</v>
      </c>
    </row>
    <row r="136" spans="1:12" ht="51" hidden="1" x14ac:dyDescent="0.3">
      <c r="A136" s="14" t="s">
        <v>167</v>
      </c>
      <c r="B136" s="15" t="s">
        <v>200</v>
      </c>
      <c r="C136" s="15" t="s">
        <v>203</v>
      </c>
      <c r="D136" s="15" t="s">
        <v>204</v>
      </c>
      <c r="E136" s="16" t="s">
        <v>13</v>
      </c>
      <c r="F136" s="21">
        <v>1625.05</v>
      </c>
      <c r="G136" s="21"/>
      <c r="H136" s="16" t="s">
        <v>13</v>
      </c>
      <c r="I136" s="18" t="s">
        <v>15</v>
      </c>
      <c r="J136" s="18"/>
      <c r="K136" s="19" t="s">
        <v>8</v>
      </c>
      <c r="L136" s="20">
        <v>22735.4</v>
      </c>
    </row>
    <row r="137" spans="1:12" ht="51" hidden="1" x14ac:dyDescent="0.3">
      <c r="A137" s="14" t="s">
        <v>167</v>
      </c>
      <c r="B137" s="15" t="s">
        <v>200</v>
      </c>
      <c r="C137" s="15" t="s">
        <v>203</v>
      </c>
      <c r="D137" s="15" t="s">
        <v>204</v>
      </c>
      <c r="E137" s="16" t="s">
        <v>13</v>
      </c>
      <c r="F137" s="22" t="s">
        <v>15</v>
      </c>
      <c r="G137" s="22"/>
      <c r="H137" s="16" t="s">
        <v>13</v>
      </c>
      <c r="I137" s="26">
        <v>1625.05</v>
      </c>
      <c r="J137" s="26"/>
      <c r="K137" s="19" t="s">
        <v>8</v>
      </c>
      <c r="L137" s="20">
        <v>18682.400000000001</v>
      </c>
    </row>
    <row r="138" spans="1:12" ht="61.2" x14ac:dyDescent="0.3">
      <c r="A138" s="14" t="s">
        <v>167</v>
      </c>
      <c r="B138" s="15" t="s">
        <v>205</v>
      </c>
      <c r="C138" s="15" t="s">
        <v>40</v>
      </c>
      <c r="D138" s="15" t="s">
        <v>190</v>
      </c>
      <c r="E138" s="16" t="s">
        <v>42</v>
      </c>
      <c r="F138" s="22" t="s">
        <v>15</v>
      </c>
      <c r="G138" s="22"/>
      <c r="H138" s="16" t="s">
        <v>13</v>
      </c>
      <c r="I138" s="23">
        <v>939.75</v>
      </c>
      <c r="J138" s="23"/>
      <c r="K138" s="19" t="s">
        <v>8</v>
      </c>
      <c r="L138" s="20">
        <v>30544.99</v>
      </c>
    </row>
    <row r="139" spans="1:12" ht="61.2" x14ac:dyDescent="0.3">
      <c r="A139" s="14" t="s">
        <v>167</v>
      </c>
      <c r="B139" s="15" t="s">
        <v>205</v>
      </c>
      <c r="C139" s="15" t="s">
        <v>40</v>
      </c>
      <c r="D139" s="15" t="s">
        <v>192</v>
      </c>
      <c r="E139" s="16" t="s">
        <v>42</v>
      </c>
      <c r="F139" s="22" t="s">
        <v>15</v>
      </c>
      <c r="G139" s="22"/>
      <c r="H139" s="16" t="s">
        <v>13</v>
      </c>
      <c r="I139" s="26">
        <v>1529.2</v>
      </c>
      <c r="J139" s="26"/>
      <c r="K139" s="19" t="s">
        <v>8</v>
      </c>
      <c r="L139" s="20">
        <v>29015.79</v>
      </c>
    </row>
    <row r="140" spans="1:12" ht="61.2" x14ac:dyDescent="0.3">
      <c r="A140" s="14" t="s">
        <v>167</v>
      </c>
      <c r="B140" s="15" t="s">
        <v>205</v>
      </c>
      <c r="C140" s="15" t="s">
        <v>40</v>
      </c>
      <c r="D140" s="15" t="s">
        <v>194</v>
      </c>
      <c r="E140" s="16" t="s">
        <v>42</v>
      </c>
      <c r="F140" s="22" t="s">
        <v>15</v>
      </c>
      <c r="G140" s="22"/>
      <c r="H140" s="16" t="s">
        <v>13</v>
      </c>
      <c r="I140" s="26">
        <v>3717.26</v>
      </c>
      <c r="J140" s="26"/>
      <c r="K140" s="19" t="s">
        <v>8</v>
      </c>
      <c r="L140" s="20">
        <v>25298.53</v>
      </c>
    </row>
    <row r="141" spans="1:12" ht="61.2" x14ac:dyDescent="0.3">
      <c r="A141" s="14" t="s">
        <v>167</v>
      </c>
      <c r="B141" s="15" t="s">
        <v>205</v>
      </c>
      <c r="C141" s="15" t="s">
        <v>40</v>
      </c>
      <c r="D141" s="15" t="s">
        <v>196</v>
      </c>
      <c r="E141" s="16" t="s">
        <v>42</v>
      </c>
      <c r="F141" s="22" t="s">
        <v>15</v>
      </c>
      <c r="G141" s="22"/>
      <c r="H141" s="16" t="s">
        <v>13</v>
      </c>
      <c r="I141" s="26">
        <v>3815</v>
      </c>
      <c r="J141" s="26"/>
      <c r="K141" s="19" t="s">
        <v>8</v>
      </c>
      <c r="L141" s="20">
        <v>21483.53</v>
      </c>
    </row>
    <row r="142" spans="1:12" ht="61.2" x14ac:dyDescent="0.3">
      <c r="A142" s="14" t="s">
        <v>167</v>
      </c>
      <c r="B142" s="15" t="s">
        <v>205</v>
      </c>
      <c r="C142" s="15" t="s">
        <v>40</v>
      </c>
      <c r="D142" s="15" t="s">
        <v>198</v>
      </c>
      <c r="E142" s="16" t="s">
        <v>42</v>
      </c>
      <c r="F142" s="22" t="s">
        <v>15</v>
      </c>
      <c r="G142" s="22"/>
      <c r="H142" s="16" t="s">
        <v>13</v>
      </c>
      <c r="I142" s="26">
        <v>3631</v>
      </c>
      <c r="J142" s="26"/>
      <c r="K142" s="19" t="s">
        <v>8</v>
      </c>
      <c r="L142" s="20">
        <v>17852.53</v>
      </c>
    </row>
    <row r="143" spans="1:12" ht="61.2" x14ac:dyDescent="0.3">
      <c r="A143" s="14" t="s">
        <v>167</v>
      </c>
      <c r="B143" s="15" t="s">
        <v>206</v>
      </c>
      <c r="C143" s="15" t="s">
        <v>40</v>
      </c>
      <c r="D143" s="15" t="s">
        <v>207</v>
      </c>
      <c r="E143" s="16" t="s">
        <v>42</v>
      </c>
      <c r="F143" s="22" t="s">
        <v>15</v>
      </c>
      <c r="G143" s="22"/>
      <c r="H143" s="16" t="s">
        <v>13</v>
      </c>
      <c r="I143" s="23">
        <v>690</v>
      </c>
      <c r="J143" s="23"/>
      <c r="K143" s="19" t="s">
        <v>8</v>
      </c>
      <c r="L143" s="20">
        <v>503432.27</v>
      </c>
    </row>
    <row r="144" spans="1:12" ht="61.2" x14ac:dyDescent="0.3">
      <c r="A144" s="14" t="s">
        <v>167</v>
      </c>
      <c r="B144" s="15" t="s">
        <v>206</v>
      </c>
      <c r="C144" s="15" t="s">
        <v>40</v>
      </c>
      <c r="D144" s="15" t="s">
        <v>208</v>
      </c>
      <c r="E144" s="16" t="s">
        <v>42</v>
      </c>
      <c r="F144" s="22" t="s">
        <v>15</v>
      </c>
      <c r="G144" s="22"/>
      <c r="H144" s="16" t="s">
        <v>13</v>
      </c>
      <c r="I144" s="26">
        <v>1823.5</v>
      </c>
      <c r="J144" s="26"/>
      <c r="K144" s="19" t="s">
        <v>8</v>
      </c>
      <c r="L144" s="20">
        <v>501608.77</v>
      </c>
    </row>
    <row r="145" spans="1:12" ht="71.400000000000006" x14ac:dyDescent="0.3">
      <c r="A145" s="14" t="s">
        <v>167</v>
      </c>
      <c r="B145" s="15" t="s">
        <v>206</v>
      </c>
      <c r="C145" s="15" t="s">
        <v>40</v>
      </c>
      <c r="D145" s="15" t="s">
        <v>209</v>
      </c>
      <c r="E145" s="16" t="s">
        <v>42</v>
      </c>
      <c r="F145" s="22" t="s">
        <v>15</v>
      </c>
      <c r="G145" s="22"/>
      <c r="H145" s="16" t="s">
        <v>13</v>
      </c>
      <c r="I145" s="26">
        <v>1268</v>
      </c>
      <c r="J145" s="26"/>
      <c r="K145" s="19" t="s">
        <v>8</v>
      </c>
      <c r="L145" s="20">
        <v>500340.77</v>
      </c>
    </row>
    <row r="146" spans="1:12" ht="61.2" x14ac:dyDescent="0.3">
      <c r="A146" s="14" t="s">
        <v>167</v>
      </c>
      <c r="B146" s="15" t="s">
        <v>206</v>
      </c>
      <c r="C146" s="15" t="s">
        <v>40</v>
      </c>
      <c r="D146" s="15" t="s">
        <v>97</v>
      </c>
      <c r="E146" s="16" t="s">
        <v>42</v>
      </c>
      <c r="F146" s="22" t="s">
        <v>15</v>
      </c>
      <c r="G146" s="22"/>
      <c r="H146" s="16" t="s">
        <v>13</v>
      </c>
      <c r="I146" s="23">
        <v>582.5</v>
      </c>
      <c r="J146" s="23"/>
      <c r="K146" s="19" t="s">
        <v>8</v>
      </c>
      <c r="L146" s="20">
        <v>499758.27</v>
      </c>
    </row>
    <row r="147" spans="1:12" ht="61.2" x14ac:dyDescent="0.3">
      <c r="A147" s="14" t="s">
        <v>167</v>
      </c>
      <c r="B147" s="15" t="s">
        <v>210</v>
      </c>
      <c r="C147" s="15" t="s">
        <v>40</v>
      </c>
      <c r="D147" s="15" t="s">
        <v>93</v>
      </c>
      <c r="E147" s="16" t="s">
        <v>42</v>
      </c>
      <c r="F147" s="22" t="s">
        <v>15</v>
      </c>
      <c r="G147" s="22"/>
      <c r="H147" s="16" t="s">
        <v>13</v>
      </c>
      <c r="I147" s="23">
        <v>750</v>
      </c>
      <c r="J147" s="23"/>
      <c r="K147" s="19" t="s">
        <v>8</v>
      </c>
      <c r="L147" s="20">
        <v>499008.27</v>
      </c>
    </row>
    <row r="148" spans="1:12" ht="61.2" x14ac:dyDescent="0.3">
      <c r="A148" s="14" t="s">
        <v>167</v>
      </c>
      <c r="B148" s="15" t="s">
        <v>210</v>
      </c>
      <c r="C148" s="15" t="s">
        <v>40</v>
      </c>
      <c r="D148" s="15" t="s">
        <v>211</v>
      </c>
      <c r="E148" s="16" t="s">
        <v>42</v>
      </c>
      <c r="F148" s="22" t="s">
        <v>15</v>
      </c>
      <c r="G148" s="22"/>
      <c r="H148" s="16" t="s">
        <v>13</v>
      </c>
      <c r="I148" s="23">
        <v>975</v>
      </c>
      <c r="J148" s="23"/>
      <c r="K148" s="19" t="s">
        <v>8</v>
      </c>
      <c r="L148" s="20">
        <v>498033.27</v>
      </c>
    </row>
    <row r="149" spans="1:12" ht="61.2" x14ac:dyDescent="0.3">
      <c r="A149" s="14" t="s">
        <v>167</v>
      </c>
      <c r="B149" s="15" t="s">
        <v>212</v>
      </c>
      <c r="C149" s="15" t="s">
        <v>40</v>
      </c>
      <c r="D149" s="15" t="s">
        <v>201</v>
      </c>
      <c r="E149" s="16" t="s">
        <v>42</v>
      </c>
      <c r="F149" s="22" t="s">
        <v>15</v>
      </c>
      <c r="G149" s="22"/>
      <c r="H149" s="16" t="s">
        <v>13</v>
      </c>
      <c r="I149" s="26">
        <v>1708.16</v>
      </c>
      <c r="J149" s="26"/>
      <c r="K149" s="19" t="s">
        <v>8</v>
      </c>
      <c r="L149" s="20">
        <v>21027.24</v>
      </c>
    </row>
    <row r="150" spans="1:12" ht="61.2" x14ac:dyDescent="0.3">
      <c r="A150" s="14" t="s">
        <v>167</v>
      </c>
      <c r="B150" s="15" t="s">
        <v>212</v>
      </c>
      <c r="C150" s="15" t="s">
        <v>40</v>
      </c>
      <c r="D150" s="15" t="s">
        <v>203</v>
      </c>
      <c r="E150" s="16" t="s">
        <v>42</v>
      </c>
      <c r="F150" s="22" t="s">
        <v>15</v>
      </c>
      <c r="G150" s="22"/>
      <c r="H150" s="16" t="s">
        <v>13</v>
      </c>
      <c r="I150" s="26">
        <v>1625.05</v>
      </c>
      <c r="J150" s="26"/>
      <c r="K150" s="19" t="s">
        <v>8</v>
      </c>
      <c r="L150" s="20">
        <v>19402.189999999999</v>
      </c>
    </row>
    <row r="151" spans="1:12" ht="71.400000000000006" x14ac:dyDescent="0.3">
      <c r="A151" s="14" t="s">
        <v>167</v>
      </c>
      <c r="B151" s="15" t="s">
        <v>213</v>
      </c>
      <c r="C151" s="15" t="s">
        <v>40</v>
      </c>
      <c r="D151" s="15" t="s">
        <v>214</v>
      </c>
      <c r="E151" s="16" t="s">
        <v>42</v>
      </c>
      <c r="F151" s="22" t="s">
        <v>15</v>
      </c>
      <c r="G151" s="22"/>
      <c r="H151" s="16" t="s">
        <v>13</v>
      </c>
      <c r="I151" s="23">
        <v>531</v>
      </c>
      <c r="J151" s="23"/>
      <c r="K151" s="19" t="s">
        <v>8</v>
      </c>
      <c r="L151" s="20">
        <v>497502.27</v>
      </c>
    </row>
    <row r="152" spans="1:12" ht="61.2" x14ac:dyDescent="0.3">
      <c r="A152" s="14" t="s">
        <v>167</v>
      </c>
      <c r="B152" s="15" t="s">
        <v>215</v>
      </c>
      <c r="C152" s="15" t="s">
        <v>40</v>
      </c>
      <c r="D152" s="15" t="s">
        <v>216</v>
      </c>
      <c r="E152" s="16" t="s">
        <v>42</v>
      </c>
      <c r="F152" s="22" t="s">
        <v>15</v>
      </c>
      <c r="G152" s="22"/>
      <c r="H152" s="16" t="s">
        <v>13</v>
      </c>
      <c r="I152" s="26">
        <v>1250</v>
      </c>
      <c r="J152" s="26"/>
      <c r="K152" s="19" t="s">
        <v>8</v>
      </c>
      <c r="L152" s="20">
        <v>496252.27</v>
      </c>
    </row>
    <row r="153" spans="1:12" ht="61.2" x14ac:dyDescent="0.3">
      <c r="A153" s="14" t="s">
        <v>167</v>
      </c>
      <c r="B153" s="15" t="s">
        <v>217</v>
      </c>
      <c r="C153" s="15" t="s">
        <v>40</v>
      </c>
      <c r="D153" s="15" t="s">
        <v>169</v>
      </c>
      <c r="E153" s="16" t="s">
        <v>42</v>
      </c>
      <c r="F153" s="22" t="s">
        <v>15</v>
      </c>
      <c r="G153" s="22"/>
      <c r="H153" s="16" t="s">
        <v>13</v>
      </c>
      <c r="I153" s="23">
        <v>187.5</v>
      </c>
      <c r="J153" s="23"/>
      <c r="K153" s="19" t="s">
        <v>8</v>
      </c>
      <c r="L153" s="20">
        <v>73806.77</v>
      </c>
    </row>
    <row r="154" spans="1:12" ht="61.2" x14ac:dyDescent="0.3">
      <c r="A154" s="14" t="s">
        <v>167</v>
      </c>
      <c r="B154" s="15" t="s">
        <v>217</v>
      </c>
      <c r="C154" s="15" t="s">
        <v>40</v>
      </c>
      <c r="D154" s="15" t="s">
        <v>171</v>
      </c>
      <c r="E154" s="16" t="s">
        <v>42</v>
      </c>
      <c r="F154" s="22" t="s">
        <v>15</v>
      </c>
      <c r="G154" s="22"/>
      <c r="H154" s="16" t="s">
        <v>13</v>
      </c>
      <c r="I154" s="23">
        <v>170.8</v>
      </c>
      <c r="J154" s="23"/>
      <c r="K154" s="19" t="s">
        <v>8</v>
      </c>
      <c r="L154" s="20">
        <v>73635.97</v>
      </c>
    </row>
    <row r="155" spans="1:12" ht="61.2" x14ac:dyDescent="0.3">
      <c r="A155" s="14" t="s">
        <v>167</v>
      </c>
      <c r="B155" s="15" t="s">
        <v>217</v>
      </c>
      <c r="C155" s="15" t="s">
        <v>40</v>
      </c>
      <c r="D155" s="15" t="s">
        <v>173</v>
      </c>
      <c r="E155" s="16" t="s">
        <v>42</v>
      </c>
      <c r="F155" s="22" t="s">
        <v>15</v>
      </c>
      <c r="G155" s="22"/>
      <c r="H155" s="16" t="s">
        <v>13</v>
      </c>
      <c r="I155" s="23">
        <v>170.5</v>
      </c>
      <c r="J155" s="23"/>
      <c r="K155" s="19" t="s">
        <v>8</v>
      </c>
      <c r="L155" s="20">
        <v>73465.47</v>
      </c>
    </row>
    <row r="156" spans="1:12" ht="61.2" x14ac:dyDescent="0.3">
      <c r="A156" s="14" t="s">
        <v>167</v>
      </c>
      <c r="B156" s="15" t="s">
        <v>217</v>
      </c>
      <c r="C156" s="15" t="s">
        <v>40</v>
      </c>
      <c r="D156" s="15" t="s">
        <v>175</v>
      </c>
      <c r="E156" s="16" t="s">
        <v>42</v>
      </c>
      <c r="F156" s="22" t="s">
        <v>15</v>
      </c>
      <c r="G156" s="22"/>
      <c r="H156" s="16" t="s">
        <v>13</v>
      </c>
      <c r="I156" s="23">
        <v>631.25</v>
      </c>
      <c r="J156" s="23"/>
      <c r="K156" s="19" t="s">
        <v>8</v>
      </c>
      <c r="L156" s="20">
        <v>72834.22</v>
      </c>
    </row>
    <row r="157" spans="1:12" ht="61.2" x14ac:dyDescent="0.3">
      <c r="A157" s="14" t="s">
        <v>167</v>
      </c>
      <c r="B157" s="15" t="s">
        <v>217</v>
      </c>
      <c r="C157" s="15" t="s">
        <v>40</v>
      </c>
      <c r="D157" s="15" t="s">
        <v>177</v>
      </c>
      <c r="E157" s="16" t="s">
        <v>42</v>
      </c>
      <c r="F157" s="22" t="s">
        <v>15</v>
      </c>
      <c r="G157" s="22"/>
      <c r="H157" s="16" t="s">
        <v>13</v>
      </c>
      <c r="I157" s="23">
        <v>780.5</v>
      </c>
      <c r="J157" s="23"/>
      <c r="K157" s="19" t="s">
        <v>8</v>
      </c>
      <c r="L157" s="20">
        <v>72053.72</v>
      </c>
    </row>
    <row r="158" spans="1:12" ht="61.2" x14ac:dyDescent="0.3">
      <c r="A158" s="14" t="s">
        <v>167</v>
      </c>
      <c r="B158" s="15" t="s">
        <v>217</v>
      </c>
      <c r="C158" s="15" t="s">
        <v>40</v>
      </c>
      <c r="D158" s="15" t="s">
        <v>179</v>
      </c>
      <c r="E158" s="16" t="s">
        <v>42</v>
      </c>
      <c r="F158" s="22" t="s">
        <v>15</v>
      </c>
      <c r="G158" s="22"/>
      <c r="H158" s="16" t="s">
        <v>13</v>
      </c>
      <c r="I158" s="23">
        <v>372.5</v>
      </c>
      <c r="J158" s="23"/>
      <c r="K158" s="19" t="s">
        <v>8</v>
      </c>
      <c r="L158" s="20">
        <v>71681.22</v>
      </c>
    </row>
    <row r="159" spans="1:12" ht="61.2" x14ac:dyDescent="0.3">
      <c r="A159" s="14" t="s">
        <v>167</v>
      </c>
      <c r="B159" s="15" t="s">
        <v>218</v>
      </c>
      <c r="C159" s="15" t="s">
        <v>40</v>
      </c>
      <c r="D159" s="15" t="s">
        <v>182</v>
      </c>
      <c r="E159" s="16" t="s">
        <v>42</v>
      </c>
      <c r="F159" s="22" t="s">
        <v>15</v>
      </c>
      <c r="G159" s="22"/>
      <c r="H159" s="16" t="s">
        <v>13</v>
      </c>
      <c r="I159" s="26">
        <v>6226.5</v>
      </c>
      <c r="J159" s="26"/>
      <c r="K159" s="19" t="s">
        <v>8</v>
      </c>
      <c r="L159" s="20">
        <v>490025.77</v>
      </c>
    </row>
    <row r="160" spans="1:12" ht="61.2" x14ac:dyDescent="0.3">
      <c r="A160" s="14" t="s">
        <v>167</v>
      </c>
      <c r="B160" s="15" t="s">
        <v>218</v>
      </c>
      <c r="C160" s="15" t="s">
        <v>40</v>
      </c>
      <c r="D160" s="15" t="s">
        <v>184</v>
      </c>
      <c r="E160" s="16" t="s">
        <v>42</v>
      </c>
      <c r="F160" s="22" t="s">
        <v>15</v>
      </c>
      <c r="G160" s="22"/>
      <c r="H160" s="16" t="s">
        <v>13</v>
      </c>
      <c r="I160" s="26">
        <v>2911.75</v>
      </c>
      <c r="J160" s="26"/>
      <c r="K160" s="19" t="s">
        <v>8</v>
      </c>
      <c r="L160" s="20">
        <v>487114.02</v>
      </c>
    </row>
    <row r="161" spans="1:12" ht="61.2" x14ac:dyDescent="0.3">
      <c r="A161" s="14" t="s">
        <v>167</v>
      </c>
      <c r="B161" s="15" t="s">
        <v>218</v>
      </c>
      <c r="C161" s="15" t="s">
        <v>40</v>
      </c>
      <c r="D161" s="15" t="s">
        <v>95</v>
      </c>
      <c r="E161" s="16" t="s">
        <v>42</v>
      </c>
      <c r="F161" s="22" t="s">
        <v>15</v>
      </c>
      <c r="G161" s="22"/>
      <c r="H161" s="16" t="s">
        <v>13</v>
      </c>
      <c r="I161" s="26">
        <v>1009.5</v>
      </c>
      <c r="J161" s="26"/>
      <c r="K161" s="19" t="s">
        <v>8</v>
      </c>
      <c r="L161" s="20">
        <v>486104.52</v>
      </c>
    </row>
    <row r="162" spans="1:12" ht="61.2" x14ac:dyDescent="0.3">
      <c r="A162" s="14" t="s">
        <v>167</v>
      </c>
      <c r="B162" s="15" t="s">
        <v>218</v>
      </c>
      <c r="C162" s="15" t="s">
        <v>40</v>
      </c>
      <c r="D162" s="15" t="s">
        <v>219</v>
      </c>
      <c r="E162" s="16" t="s">
        <v>42</v>
      </c>
      <c r="F162" s="22" t="s">
        <v>15</v>
      </c>
      <c r="G162" s="22"/>
      <c r="H162" s="16" t="s">
        <v>13</v>
      </c>
      <c r="I162" s="26">
        <v>2250.83</v>
      </c>
      <c r="J162" s="26"/>
      <c r="K162" s="19" t="s">
        <v>8</v>
      </c>
      <c r="L162" s="20">
        <v>483853.69</v>
      </c>
    </row>
    <row r="163" spans="1:12" ht="61.2" x14ac:dyDescent="0.3">
      <c r="A163" s="14" t="s">
        <v>167</v>
      </c>
      <c r="B163" s="15" t="s">
        <v>218</v>
      </c>
      <c r="C163" s="15" t="s">
        <v>40</v>
      </c>
      <c r="D163" s="15" t="s">
        <v>220</v>
      </c>
      <c r="E163" s="16" t="s">
        <v>42</v>
      </c>
      <c r="F163" s="22" t="s">
        <v>15</v>
      </c>
      <c r="G163" s="22"/>
      <c r="H163" s="16" t="s">
        <v>13</v>
      </c>
      <c r="I163" s="26">
        <v>1675.5</v>
      </c>
      <c r="J163" s="26"/>
      <c r="K163" s="19" t="s">
        <v>8</v>
      </c>
      <c r="L163" s="20">
        <v>482178.19</v>
      </c>
    </row>
    <row r="164" spans="1:12" ht="61.2" x14ac:dyDescent="0.3">
      <c r="A164" s="14" t="s">
        <v>167</v>
      </c>
      <c r="B164" s="15" t="s">
        <v>221</v>
      </c>
      <c r="C164" s="15" t="s">
        <v>40</v>
      </c>
      <c r="D164" s="15" t="s">
        <v>222</v>
      </c>
      <c r="E164" s="16" t="s">
        <v>42</v>
      </c>
      <c r="F164" s="22" t="s">
        <v>15</v>
      </c>
      <c r="G164" s="22"/>
      <c r="H164" s="16" t="s">
        <v>13</v>
      </c>
      <c r="I164" s="26">
        <v>1290.92</v>
      </c>
      <c r="J164" s="26"/>
      <c r="K164" s="19" t="s">
        <v>8</v>
      </c>
      <c r="L164" s="20">
        <v>480887.27</v>
      </c>
    </row>
    <row r="165" spans="1:12" ht="61.2" x14ac:dyDescent="0.3">
      <c r="A165" s="14" t="s">
        <v>167</v>
      </c>
      <c r="B165" s="15" t="s">
        <v>221</v>
      </c>
      <c r="C165" s="15" t="s">
        <v>40</v>
      </c>
      <c r="D165" s="15" t="s">
        <v>223</v>
      </c>
      <c r="E165" s="16" t="s">
        <v>42</v>
      </c>
      <c r="F165" s="22" t="s">
        <v>15</v>
      </c>
      <c r="G165" s="22"/>
      <c r="H165" s="16" t="s">
        <v>13</v>
      </c>
      <c r="I165" s="26">
        <v>1250</v>
      </c>
      <c r="J165" s="26"/>
      <c r="K165" s="19" t="s">
        <v>8</v>
      </c>
      <c r="L165" s="20">
        <v>479637.27</v>
      </c>
    </row>
    <row r="166" spans="1:12" ht="61.2" x14ac:dyDescent="0.3">
      <c r="A166" s="14" t="s">
        <v>167</v>
      </c>
      <c r="B166" s="15" t="s">
        <v>221</v>
      </c>
      <c r="C166" s="15" t="s">
        <v>40</v>
      </c>
      <c r="D166" s="15" t="s">
        <v>224</v>
      </c>
      <c r="E166" s="16" t="s">
        <v>42</v>
      </c>
      <c r="F166" s="22" t="s">
        <v>15</v>
      </c>
      <c r="G166" s="22"/>
      <c r="H166" s="16" t="s">
        <v>13</v>
      </c>
      <c r="I166" s="26">
        <v>4140.1000000000004</v>
      </c>
      <c r="J166" s="26"/>
      <c r="K166" s="19" t="s">
        <v>8</v>
      </c>
      <c r="L166" s="20">
        <v>475497.17</v>
      </c>
    </row>
    <row r="167" spans="1:12" ht="71.400000000000006" x14ac:dyDescent="0.3">
      <c r="A167" s="14" t="s">
        <v>167</v>
      </c>
      <c r="B167" s="15" t="s">
        <v>221</v>
      </c>
      <c r="C167" s="15" t="s">
        <v>40</v>
      </c>
      <c r="D167" s="15" t="s">
        <v>225</v>
      </c>
      <c r="E167" s="16" t="s">
        <v>42</v>
      </c>
      <c r="F167" s="22" t="s">
        <v>15</v>
      </c>
      <c r="G167" s="22"/>
      <c r="H167" s="16" t="s">
        <v>13</v>
      </c>
      <c r="I167" s="26">
        <v>1000</v>
      </c>
      <c r="J167" s="26"/>
      <c r="K167" s="19" t="s">
        <v>8</v>
      </c>
      <c r="L167" s="20">
        <v>474497.17</v>
      </c>
    </row>
    <row r="168" spans="1:12" ht="61.2" x14ac:dyDescent="0.3">
      <c r="A168" s="14" t="s">
        <v>167</v>
      </c>
      <c r="B168" s="15" t="s">
        <v>221</v>
      </c>
      <c r="C168" s="15" t="s">
        <v>40</v>
      </c>
      <c r="D168" s="15" t="s">
        <v>226</v>
      </c>
      <c r="E168" s="16" t="s">
        <v>42</v>
      </c>
      <c r="F168" s="22" t="s">
        <v>15</v>
      </c>
      <c r="G168" s="22"/>
      <c r="H168" s="16" t="s">
        <v>13</v>
      </c>
      <c r="I168" s="26">
        <v>6624.15</v>
      </c>
      <c r="J168" s="26"/>
      <c r="K168" s="19" t="s">
        <v>8</v>
      </c>
      <c r="L168" s="20">
        <v>467873.02</v>
      </c>
    </row>
    <row r="169" spans="1:12" ht="61.2" x14ac:dyDescent="0.3">
      <c r="A169" s="14" t="s">
        <v>167</v>
      </c>
      <c r="B169" s="15" t="s">
        <v>221</v>
      </c>
      <c r="C169" s="15" t="s">
        <v>40</v>
      </c>
      <c r="D169" s="15" t="s">
        <v>227</v>
      </c>
      <c r="E169" s="16" t="s">
        <v>42</v>
      </c>
      <c r="F169" s="22" t="s">
        <v>15</v>
      </c>
      <c r="G169" s="22"/>
      <c r="H169" s="16" t="s">
        <v>13</v>
      </c>
      <c r="I169" s="26">
        <v>2993.75</v>
      </c>
      <c r="J169" s="26"/>
      <c r="K169" s="19" t="s">
        <v>8</v>
      </c>
      <c r="L169" s="20">
        <v>464879.27</v>
      </c>
    </row>
    <row r="170" spans="1:12" ht="81.599999999999994" x14ac:dyDescent="0.3">
      <c r="A170" s="14" t="s">
        <v>167</v>
      </c>
      <c r="B170" s="15" t="s">
        <v>221</v>
      </c>
      <c r="C170" s="15" t="s">
        <v>40</v>
      </c>
      <c r="D170" s="15" t="s">
        <v>228</v>
      </c>
      <c r="E170" s="16" t="s">
        <v>42</v>
      </c>
      <c r="F170" s="22" t="s">
        <v>15</v>
      </c>
      <c r="G170" s="22"/>
      <c r="H170" s="16" t="s">
        <v>13</v>
      </c>
      <c r="I170" s="26">
        <v>3974.49</v>
      </c>
      <c r="J170" s="26"/>
      <c r="K170" s="19" t="s">
        <v>8</v>
      </c>
      <c r="L170" s="20">
        <v>460904.78</v>
      </c>
    </row>
    <row r="171" spans="1:12" ht="71.400000000000006" x14ac:dyDescent="0.3">
      <c r="A171" s="14" t="s">
        <v>167</v>
      </c>
      <c r="B171" s="15" t="s">
        <v>221</v>
      </c>
      <c r="C171" s="15" t="s">
        <v>40</v>
      </c>
      <c r="D171" s="15" t="s">
        <v>229</v>
      </c>
      <c r="E171" s="16" t="s">
        <v>42</v>
      </c>
      <c r="F171" s="22" t="s">
        <v>15</v>
      </c>
      <c r="G171" s="22"/>
      <c r="H171" s="16" t="s">
        <v>13</v>
      </c>
      <c r="I171" s="26">
        <v>11280</v>
      </c>
      <c r="J171" s="26"/>
      <c r="K171" s="19" t="s">
        <v>8</v>
      </c>
      <c r="L171" s="20">
        <v>449624.78</v>
      </c>
    </row>
    <row r="172" spans="1:12" ht="61.2" x14ac:dyDescent="0.3">
      <c r="A172" s="14" t="s">
        <v>167</v>
      </c>
      <c r="B172" s="15" t="s">
        <v>230</v>
      </c>
      <c r="C172" s="15" t="s">
        <v>40</v>
      </c>
      <c r="D172" s="15" t="s">
        <v>231</v>
      </c>
      <c r="E172" s="16" t="s">
        <v>42</v>
      </c>
      <c r="F172" s="22" t="s">
        <v>15</v>
      </c>
      <c r="G172" s="22"/>
      <c r="H172" s="16" t="s">
        <v>13</v>
      </c>
      <c r="I172" s="26">
        <v>4410.8999999999996</v>
      </c>
      <c r="J172" s="26"/>
      <c r="K172" s="19" t="s">
        <v>8</v>
      </c>
      <c r="L172" s="20">
        <v>445213.88</v>
      </c>
    </row>
    <row r="173" spans="1:12" ht="61.2" x14ac:dyDescent="0.3">
      <c r="A173" s="14" t="s">
        <v>167</v>
      </c>
      <c r="B173" s="15" t="s">
        <v>230</v>
      </c>
      <c r="C173" s="15" t="s">
        <v>40</v>
      </c>
      <c r="D173" s="15" t="s">
        <v>187</v>
      </c>
      <c r="E173" s="16" t="s">
        <v>42</v>
      </c>
      <c r="F173" s="22" t="s">
        <v>15</v>
      </c>
      <c r="G173" s="22"/>
      <c r="H173" s="16" t="s">
        <v>13</v>
      </c>
      <c r="I173" s="23">
        <v>402.1</v>
      </c>
      <c r="J173" s="23"/>
      <c r="K173" s="19" t="s">
        <v>8</v>
      </c>
      <c r="L173" s="20">
        <v>444811.78</v>
      </c>
    </row>
    <row r="174" spans="1:12" ht="61.2" x14ac:dyDescent="0.3">
      <c r="A174" s="14" t="s">
        <v>167</v>
      </c>
      <c r="B174" s="15" t="s">
        <v>232</v>
      </c>
      <c r="C174" s="15" t="s">
        <v>40</v>
      </c>
      <c r="D174" s="15" t="s">
        <v>185</v>
      </c>
      <c r="E174" s="16" t="s">
        <v>42</v>
      </c>
      <c r="F174" s="22" t="s">
        <v>15</v>
      </c>
      <c r="G174" s="22"/>
      <c r="H174" s="16" t="s">
        <v>13</v>
      </c>
      <c r="I174" s="23">
        <v>306.5</v>
      </c>
      <c r="J174" s="23"/>
      <c r="K174" s="19" t="s">
        <v>8</v>
      </c>
      <c r="L174" s="20">
        <v>8193.7900000000009</v>
      </c>
    </row>
    <row r="175" spans="1:12" ht="61.2" x14ac:dyDescent="0.3">
      <c r="A175" s="14" t="s">
        <v>167</v>
      </c>
      <c r="B175" s="15" t="s">
        <v>233</v>
      </c>
      <c r="C175" s="15" t="s">
        <v>40</v>
      </c>
      <c r="D175" s="15" t="s">
        <v>234</v>
      </c>
      <c r="E175" s="16" t="s">
        <v>42</v>
      </c>
      <c r="F175" s="22" t="s">
        <v>15</v>
      </c>
      <c r="G175" s="22"/>
      <c r="H175" s="16" t="s">
        <v>13</v>
      </c>
      <c r="I175" s="26">
        <v>2106</v>
      </c>
      <c r="J175" s="26"/>
      <c r="K175" s="19" t="s">
        <v>8</v>
      </c>
      <c r="L175" s="20">
        <v>442705.78</v>
      </c>
    </row>
    <row r="176" spans="1:12" ht="61.2" x14ac:dyDescent="0.3">
      <c r="A176" s="14" t="s">
        <v>167</v>
      </c>
      <c r="B176" s="15" t="s">
        <v>235</v>
      </c>
      <c r="C176" s="15" t="s">
        <v>40</v>
      </c>
      <c r="D176" s="15" t="s">
        <v>236</v>
      </c>
      <c r="E176" s="16" t="s">
        <v>42</v>
      </c>
      <c r="F176" s="22" t="s">
        <v>15</v>
      </c>
      <c r="G176" s="22"/>
      <c r="H176" s="16" t="s">
        <v>13</v>
      </c>
      <c r="I176" s="23">
        <v>912.25</v>
      </c>
      <c r="J176" s="23"/>
      <c r="K176" s="19" t="s">
        <v>8</v>
      </c>
      <c r="L176" s="20">
        <v>441793.53</v>
      </c>
    </row>
    <row r="177" spans="1:12" ht="61.2" x14ac:dyDescent="0.3">
      <c r="A177" s="14" t="s">
        <v>167</v>
      </c>
      <c r="B177" s="15" t="s">
        <v>235</v>
      </c>
      <c r="C177" s="15" t="s">
        <v>40</v>
      </c>
      <c r="D177" s="15" t="s">
        <v>237</v>
      </c>
      <c r="E177" s="16" t="s">
        <v>42</v>
      </c>
      <c r="F177" s="22" t="s">
        <v>15</v>
      </c>
      <c r="G177" s="22"/>
      <c r="H177" s="16" t="s">
        <v>13</v>
      </c>
      <c r="I177" s="26">
        <v>1686</v>
      </c>
      <c r="J177" s="26"/>
      <c r="K177" s="19" t="s">
        <v>8</v>
      </c>
      <c r="L177" s="20">
        <v>440107.53</v>
      </c>
    </row>
    <row r="178" spans="1:12" ht="71.400000000000006" x14ac:dyDescent="0.3">
      <c r="A178" s="14" t="s">
        <v>167</v>
      </c>
      <c r="B178" s="15" t="s">
        <v>235</v>
      </c>
      <c r="C178" s="15" t="s">
        <v>40</v>
      </c>
      <c r="D178" s="15" t="s">
        <v>11</v>
      </c>
      <c r="E178" s="16" t="s">
        <v>42</v>
      </c>
      <c r="F178" s="22" t="s">
        <v>15</v>
      </c>
      <c r="G178" s="22"/>
      <c r="H178" s="16" t="s">
        <v>13</v>
      </c>
      <c r="I178" s="23">
        <v>923.9</v>
      </c>
      <c r="J178" s="23"/>
      <c r="K178" s="19" t="s">
        <v>8</v>
      </c>
      <c r="L178" s="20">
        <v>439183.63</v>
      </c>
    </row>
    <row r="179" spans="1:12" ht="71.400000000000006" x14ac:dyDescent="0.3">
      <c r="A179" s="14" t="s">
        <v>167</v>
      </c>
      <c r="B179" s="15" t="s">
        <v>235</v>
      </c>
      <c r="C179" s="15" t="s">
        <v>40</v>
      </c>
      <c r="D179" s="15" t="s">
        <v>238</v>
      </c>
      <c r="E179" s="16" t="s">
        <v>42</v>
      </c>
      <c r="F179" s="22" t="s">
        <v>15</v>
      </c>
      <c r="G179" s="22"/>
      <c r="H179" s="16" t="s">
        <v>13</v>
      </c>
      <c r="I179" s="23">
        <v>264.97000000000003</v>
      </c>
      <c r="J179" s="23"/>
      <c r="K179" s="19" t="s">
        <v>8</v>
      </c>
      <c r="L179" s="20">
        <v>438918.66</v>
      </c>
    </row>
    <row r="180" spans="1:12" ht="51" hidden="1" x14ac:dyDescent="0.3">
      <c r="A180" s="14" t="s">
        <v>239</v>
      </c>
      <c r="B180" s="15" t="s">
        <v>240</v>
      </c>
      <c r="C180" s="15" t="s">
        <v>241</v>
      </c>
      <c r="D180" s="15" t="s">
        <v>242</v>
      </c>
      <c r="E180" s="16" t="s">
        <v>13</v>
      </c>
      <c r="F180" s="17">
        <v>136</v>
      </c>
      <c r="G180" s="17"/>
      <c r="H180" s="16" t="s">
        <v>243</v>
      </c>
      <c r="I180" s="18" t="s">
        <v>15</v>
      </c>
      <c r="J180" s="18"/>
      <c r="K180" s="19" t="s">
        <v>8</v>
      </c>
      <c r="L180" s="20">
        <v>439054.66</v>
      </c>
    </row>
    <row r="181" spans="1:12" ht="51" hidden="1" x14ac:dyDescent="0.3">
      <c r="A181" s="14" t="s">
        <v>239</v>
      </c>
      <c r="B181" s="15" t="s">
        <v>240</v>
      </c>
      <c r="C181" s="15" t="s">
        <v>244</v>
      </c>
      <c r="D181" s="15" t="s">
        <v>242</v>
      </c>
      <c r="E181" s="16" t="s">
        <v>13</v>
      </c>
      <c r="F181" s="17">
        <v>680</v>
      </c>
      <c r="G181" s="17"/>
      <c r="H181" s="16" t="s">
        <v>243</v>
      </c>
      <c r="I181" s="18" t="s">
        <v>15</v>
      </c>
      <c r="J181" s="18"/>
      <c r="K181" s="19" t="s">
        <v>8</v>
      </c>
      <c r="L181" s="20">
        <v>439734.66</v>
      </c>
    </row>
    <row r="182" spans="1:12" ht="61.2" hidden="1" x14ac:dyDescent="0.3">
      <c r="A182" s="14" t="s">
        <v>245</v>
      </c>
      <c r="B182" s="15" t="s">
        <v>246</v>
      </c>
      <c r="C182" s="15" t="s">
        <v>247</v>
      </c>
      <c r="D182" s="15" t="s">
        <v>248</v>
      </c>
      <c r="E182" s="16" t="s">
        <v>13</v>
      </c>
      <c r="F182" s="17">
        <v>360</v>
      </c>
      <c r="G182" s="17"/>
      <c r="H182" s="16" t="s">
        <v>13</v>
      </c>
      <c r="I182" s="18" t="s">
        <v>15</v>
      </c>
      <c r="J182" s="18"/>
      <c r="K182" s="19" t="s">
        <v>8</v>
      </c>
      <c r="L182" s="20">
        <v>440094.66</v>
      </c>
    </row>
    <row r="183" spans="1:12" ht="61.2" hidden="1" x14ac:dyDescent="0.3">
      <c r="A183" s="14" t="s">
        <v>245</v>
      </c>
      <c r="B183" s="15" t="s">
        <v>246</v>
      </c>
      <c r="C183" s="15" t="s">
        <v>249</v>
      </c>
      <c r="D183" s="15" t="s">
        <v>250</v>
      </c>
      <c r="E183" s="16" t="s">
        <v>13</v>
      </c>
      <c r="F183" s="21">
        <v>1106</v>
      </c>
      <c r="G183" s="21"/>
      <c r="H183" s="16" t="s">
        <v>13</v>
      </c>
      <c r="I183" s="18" t="s">
        <v>15</v>
      </c>
      <c r="J183" s="18"/>
      <c r="K183" s="19" t="s">
        <v>8</v>
      </c>
      <c r="L183" s="20">
        <v>441200.66</v>
      </c>
    </row>
    <row r="184" spans="1:12" ht="61.2" hidden="1" x14ac:dyDescent="0.3">
      <c r="A184" s="14" t="s">
        <v>245</v>
      </c>
      <c r="B184" s="15" t="s">
        <v>246</v>
      </c>
      <c r="C184" s="15" t="s">
        <v>251</v>
      </c>
      <c r="D184" s="15" t="s">
        <v>252</v>
      </c>
      <c r="E184" s="16" t="s">
        <v>13</v>
      </c>
      <c r="F184" s="21">
        <v>2750.1</v>
      </c>
      <c r="G184" s="21"/>
      <c r="H184" s="16" t="s">
        <v>13</v>
      </c>
      <c r="I184" s="18" t="s">
        <v>15</v>
      </c>
      <c r="J184" s="18"/>
      <c r="K184" s="19" t="s">
        <v>8</v>
      </c>
      <c r="L184" s="20">
        <v>443950.76</v>
      </c>
    </row>
    <row r="185" spans="1:12" ht="71.400000000000006" hidden="1" x14ac:dyDescent="0.3">
      <c r="A185" s="14" t="s">
        <v>245</v>
      </c>
      <c r="B185" s="15" t="s">
        <v>246</v>
      </c>
      <c r="C185" s="15" t="s">
        <v>253</v>
      </c>
      <c r="D185" s="15" t="s">
        <v>254</v>
      </c>
      <c r="E185" s="16" t="s">
        <v>13</v>
      </c>
      <c r="F185" s="21">
        <v>1516.64</v>
      </c>
      <c r="G185" s="21"/>
      <c r="H185" s="16" t="s">
        <v>13</v>
      </c>
      <c r="I185" s="18" t="s">
        <v>15</v>
      </c>
      <c r="J185" s="18"/>
      <c r="K185" s="19" t="s">
        <v>8</v>
      </c>
      <c r="L185" s="20">
        <v>445467.4</v>
      </c>
    </row>
    <row r="186" spans="1:12" ht="61.2" hidden="1" x14ac:dyDescent="0.3">
      <c r="A186" s="14" t="s">
        <v>245</v>
      </c>
      <c r="B186" s="15" t="s">
        <v>246</v>
      </c>
      <c r="C186" s="15" t="s">
        <v>255</v>
      </c>
      <c r="D186" s="15" t="s">
        <v>256</v>
      </c>
      <c r="E186" s="16" t="s">
        <v>13</v>
      </c>
      <c r="F186" s="17">
        <v>929.3</v>
      </c>
      <c r="G186" s="17"/>
      <c r="H186" s="16" t="s">
        <v>13</v>
      </c>
      <c r="I186" s="18" t="s">
        <v>15</v>
      </c>
      <c r="J186" s="18"/>
      <c r="K186" s="19" t="s">
        <v>8</v>
      </c>
      <c r="L186" s="20">
        <v>446396.7</v>
      </c>
    </row>
    <row r="187" spans="1:12" ht="61.2" hidden="1" x14ac:dyDescent="0.3">
      <c r="A187" s="14" t="s">
        <v>245</v>
      </c>
      <c r="B187" s="15" t="s">
        <v>246</v>
      </c>
      <c r="C187" s="15" t="s">
        <v>257</v>
      </c>
      <c r="D187" s="15" t="s">
        <v>258</v>
      </c>
      <c r="E187" s="16" t="s">
        <v>13</v>
      </c>
      <c r="F187" s="21">
        <v>1755</v>
      </c>
      <c r="G187" s="21"/>
      <c r="H187" s="16" t="s">
        <v>13</v>
      </c>
      <c r="I187" s="18" t="s">
        <v>15</v>
      </c>
      <c r="J187" s="18"/>
      <c r="K187" s="19" t="s">
        <v>8</v>
      </c>
      <c r="L187" s="20">
        <v>448151.7</v>
      </c>
    </row>
    <row r="188" spans="1:12" ht="61.2" hidden="1" x14ac:dyDescent="0.3">
      <c r="A188" s="14" t="s">
        <v>245</v>
      </c>
      <c r="B188" s="15" t="s">
        <v>246</v>
      </c>
      <c r="C188" s="15" t="s">
        <v>259</v>
      </c>
      <c r="D188" s="15" t="s">
        <v>260</v>
      </c>
      <c r="E188" s="16" t="s">
        <v>13</v>
      </c>
      <c r="F188" s="17">
        <v>119</v>
      </c>
      <c r="G188" s="17"/>
      <c r="H188" s="16" t="s">
        <v>13</v>
      </c>
      <c r="I188" s="18" t="s">
        <v>15</v>
      </c>
      <c r="J188" s="18"/>
      <c r="K188" s="19" t="s">
        <v>8</v>
      </c>
      <c r="L188" s="20">
        <v>448270.7</v>
      </c>
    </row>
    <row r="189" spans="1:12" ht="71.400000000000006" hidden="1" x14ac:dyDescent="0.3">
      <c r="A189" s="14" t="s">
        <v>245</v>
      </c>
      <c r="B189" s="15" t="s">
        <v>246</v>
      </c>
      <c r="C189" s="15" t="s">
        <v>261</v>
      </c>
      <c r="D189" s="15" t="s">
        <v>262</v>
      </c>
      <c r="E189" s="16" t="s">
        <v>13</v>
      </c>
      <c r="F189" s="17">
        <v>126.8</v>
      </c>
      <c r="G189" s="17"/>
      <c r="H189" s="16" t="s">
        <v>13</v>
      </c>
      <c r="I189" s="18" t="s">
        <v>15</v>
      </c>
      <c r="J189" s="18"/>
      <c r="K189" s="19" t="s">
        <v>8</v>
      </c>
      <c r="L189" s="20">
        <v>448397.5</v>
      </c>
    </row>
    <row r="190" spans="1:12" ht="71.400000000000006" hidden="1" x14ac:dyDescent="0.3">
      <c r="A190" s="14" t="s">
        <v>245</v>
      </c>
      <c r="B190" s="15" t="s">
        <v>246</v>
      </c>
      <c r="C190" s="15" t="s">
        <v>263</v>
      </c>
      <c r="D190" s="15" t="s">
        <v>264</v>
      </c>
      <c r="E190" s="16" t="s">
        <v>13</v>
      </c>
      <c r="F190" s="21">
        <v>2325</v>
      </c>
      <c r="G190" s="21"/>
      <c r="H190" s="16" t="s">
        <v>13</v>
      </c>
      <c r="I190" s="18" t="s">
        <v>15</v>
      </c>
      <c r="J190" s="18"/>
      <c r="K190" s="19" t="s">
        <v>8</v>
      </c>
      <c r="L190" s="20">
        <v>450722.5</v>
      </c>
    </row>
    <row r="191" spans="1:12" ht="81.599999999999994" hidden="1" x14ac:dyDescent="0.3">
      <c r="A191" s="14" t="s">
        <v>245</v>
      </c>
      <c r="B191" s="15" t="s">
        <v>246</v>
      </c>
      <c r="C191" s="15" t="s">
        <v>265</v>
      </c>
      <c r="D191" s="15" t="s">
        <v>266</v>
      </c>
      <c r="E191" s="16" t="s">
        <v>13</v>
      </c>
      <c r="F191" s="17">
        <v>958.5</v>
      </c>
      <c r="G191" s="17"/>
      <c r="H191" s="16" t="s">
        <v>13</v>
      </c>
      <c r="I191" s="18" t="s">
        <v>15</v>
      </c>
      <c r="J191" s="18"/>
      <c r="K191" s="19" t="s">
        <v>8</v>
      </c>
      <c r="L191" s="20">
        <v>451681</v>
      </c>
    </row>
    <row r="192" spans="1:12" ht="71.400000000000006" hidden="1" x14ac:dyDescent="0.3">
      <c r="A192" s="14" t="s">
        <v>245</v>
      </c>
      <c r="B192" s="15" t="s">
        <v>246</v>
      </c>
      <c r="C192" s="15" t="s">
        <v>267</v>
      </c>
      <c r="D192" s="15" t="s">
        <v>268</v>
      </c>
      <c r="E192" s="16" t="s">
        <v>13</v>
      </c>
      <c r="F192" s="17">
        <v>500.83</v>
      </c>
      <c r="G192" s="17"/>
      <c r="H192" s="16" t="s">
        <v>13</v>
      </c>
      <c r="I192" s="18" t="s">
        <v>15</v>
      </c>
      <c r="J192" s="18"/>
      <c r="K192" s="19" t="s">
        <v>8</v>
      </c>
      <c r="L192" s="20">
        <v>452181.83</v>
      </c>
    </row>
    <row r="193" spans="1:12" ht="61.2" hidden="1" x14ac:dyDescent="0.3">
      <c r="A193" s="14" t="s">
        <v>245</v>
      </c>
      <c r="B193" s="15" t="s">
        <v>246</v>
      </c>
      <c r="C193" s="15" t="s">
        <v>269</v>
      </c>
      <c r="D193" s="15" t="s">
        <v>270</v>
      </c>
      <c r="E193" s="16" t="s">
        <v>13</v>
      </c>
      <c r="F193" s="21">
        <v>1283.4000000000001</v>
      </c>
      <c r="G193" s="21"/>
      <c r="H193" s="16" t="s">
        <v>13</v>
      </c>
      <c r="I193" s="18" t="s">
        <v>15</v>
      </c>
      <c r="J193" s="18"/>
      <c r="K193" s="19" t="s">
        <v>8</v>
      </c>
      <c r="L193" s="20">
        <v>453465.23</v>
      </c>
    </row>
    <row r="194" spans="1:12" ht="61.2" hidden="1" x14ac:dyDescent="0.3">
      <c r="A194" s="14" t="s">
        <v>245</v>
      </c>
      <c r="B194" s="15" t="s">
        <v>246</v>
      </c>
      <c r="C194" s="15" t="s">
        <v>271</v>
      </c>
      <c r="D194" s="15" t="s">
        <v>272</v>
      </c>
      <c r="E194" s="16" t="s">
        <v>13</v>
      </c>
      <c r="F194" s="21">
        <v>3073.6</v>
      </c>
      <c r="G194" s="21"/>
      <c r="H194" s="16" t="s">
        <v>13</v>
      </c>
      <c r="I194" s="18" t="s">
        <v>15</v>
      </c>
      <c r="J194" s="18"/>
      <c r="K194" s="19" t="s">
        <v>8</v>
      </c>
      <c r="L194" s="20">
        <v>456538.83</v>
      </c>
    </row>
    <row r="195" spans="1:12" ht="61.2" hidden="1" x14ac:dyDescent="0.3">
      <c r="A195" s="14" t="s">
        <v>245</v>
      </c>
      <c r="B195" s="15" t="s">
        <v>246</v>
      </c>
      <c r="C195" s="15" t="s">
        <v>273</v>
      </c>
      <c r="D195" s="15" t="s">
        <v>274</v>
      </c>
      <c r="E195" s="16" t="s">
        <v>13</v>
      </c>
      <c r="F195" s="17">
        <v>983.4</v>
      </c>
      <c r="G195" s="17"/>
      <c r="H195" s="16" t="s">
        <v>13</v>
      </c>
      <c r="I195" s="18" t="s">
        <v>15</v>
      </c>
      <c r="J195" s="18"/>
      <c r="K195" s="19" t="s">
        <v>8</v>
      </c>
      <c r="L195" s="20">
        <v>457522.23</v>
      </c>
    </row>
    <row r="196" spans="1:12" ht="61.2" hidden="1" x14ac:dyDescent="0.3">
      <c r="A196" s="14" t="s">
        <v>245</v>
      </c>
      <c r="B196" s="15" t="s">
        <v>246</v>
      </c>
      <c r="C196" s="15" t="s">
        <v>275</v>
      </c>
      <c r="D196" s="15" t="s">
        <v>276</v>
      </c>
      <c r="E196" s="16" t="s">
        <v>13</v>
      </c>
      <c r="F196" s="21">
        <v>2000</v>
      </c>
      <c r="G196" s="21"/>
      <c r="H196" s="16" t="s">
        <v>13</v>
      </c>
      <c r="I196" s="18" t="s">
        <v>15</v>
      </c>
      <c r="J196" s="18"/>
      <c r="K196" s="19" t="s">
        <v>8</v>
      </c>
      <c r="L196" s="20">
        <v>459522.23</v>
      </c>
    </row>
    <row r="197" spans="1:12" ht="61.2" hidden="1" x14ac:dyDescent="0.3">
      <c r="A197" s="14" t="s">
        <v>245</v>
      </c>
      <c r="B197" s="15" t="s">
        <v>246</v>
      </c>
      <c r="C197" s="15" t="s">
        <v>277</v>
      </c>
      <c r="D197" s="15" t="s">
        <v>278</v>
      </c>
      <c r="E197" s="16" t="s">
        <v>13</v>
      </c>
      <c r="F197" s="17">
        <v>364.65</v>
      </c>
      <c r="G197" s="17"/>
      <c r="H197" s="16" t="s">
        <v>13</v>
      </c>
      <c r="I197" s="18" t="s">
        <v>15</v>
      </c>
      <c r="J197" s="18"/>
      <c r="K197" s="19" t="s">
        <v>8</v>
      </c>
      <c r="L197" s="20">
        <v>459886.88</v>
      </c>
    </row>
    <row r="198" spans="1:12" ht="51" hidden="1" x14ac:dyDescent="0.3">
      <c r="A198" s="14" t="s">
        <v>279</v>
      </c>
      <c r="B198" s="15" t="s">
        <v>280</v>
      </c>
      <c r="C198" s="15" t="s">
        <v>281</v>
      </c>
      <c r="D198" s="15" t="s">
        <v>282</v>
      </c>
      <c r="E198" s="16" t="s">
        <v>13</v>
      </c>
      <c r="F198" s="17">
        <v>302</v>
      </c>
      <c r="G198" s="17"/>
      <c r="H198" s="16" t="s">
        <v>283</v>
      </c>
      <c r="I198" s="18" t="s">
        <v>15</v>
      </c>
      <c r="J198" s="18"/>
      <c r="K198" s="19" t="s">
        <v>8</v>
      </c>
      <c r="L198" s="20">
        <v>460188.88</v>
      </c>
    </row>
    <row r="199" spans="1:12" ht="71.400000000000006" hidden="1" x14ac:dyDescent="0.3">
      <c r="A199" s="14" t="s">
        <v>279</v>
      </c>
      <c r="B199" s="15" t="s">
        <v>284</v>
      </c>
      <c r="C199" s="15" t="s">
        <v>285</v>
      </c>
      <c r="D199" s="15" t="s">
        <v>286</v>
      </c>
      <c r="E199" s="16" t="s">
        <v>13</v>
      </c>
      <c r="F199" s="21">
        <v>1262</v>
      </c>
      <c r="G199" s="21"/>
      <c r="H199" s="16" t="s">
        <v>13</v>
      </c>
      <c r="I199" s="18" t="s">
        <v>15</v>
      </c>
      <c r="J199" s="18"/>
      <c r="K199" s="19" t="s">
        <v>8</v>
      </c>
      <c r="L199" s="20">
        <v>461450.88</v>
      </c>
    </row>
    <row r="200" spans="1:12" ht="71.400000000000006" hidden="1" x14ac:dyDescent="0.3">
      <c r="A200" s="14" t="s">
        <v>279</v>
      </c>
      <c r="B200" s="15" t="s">
        <v>284</v>
      </c>
      <c r="C200" s="15" t="s">
        <v>285</v>
      </c>
      <c r="D200" s="15" t="s">
        <v>286</v>
      </c>
      <c r="E200" s="16" t="s">
        <v>13</v>
      </c>
      <c r="F200" s="22" t="s">
        <v>15</v>
      </c>
      <c r="G200" s="22"/>
      <c r="H200" s="16" t="s">
        <v>13</v>
      </c>
      <c r="I200" s="26">
        <v>1262</v>
      </c>
      <c r="J200" s="26"/>
      <c r="K200" s="19" t="s">
        <v>8</v>
      </c>
      <c r="L200" s="20">
        <v>18140.189999999999</v>
      </c>
    </row>
    <row r="201" spans="1:12" ht="71.400000000000006" hidden="1" x14ac:dyDescent="0.3">
      <c r="A201" s="14" t="s">
        <v>279</v>
      </c>
      <c r="B201" s="15" t="s">
        <v>284</v>
      </c>
      <c r="C201" s="15" t="s">
        <v>287</v>
      </c>
      <c r="D201" s="15" t="s">
        <v>288</v>
      </c>
      <c r="E201" s="16" t="s">
        <v>13</v>
      </c>
      <c r="F201" s="21">
        <v>3042.25</v>
      </c>
      <c r="G201" s="21"/>
      <c r="H201" s="16" t="s">
        <v>13</v>
      </c>
      <c r="I201" s="18" t="s">
        <v>15</v>
      </c>
      <c r="J201" s="18"/>
      <c r="K201" s="19" t="s">
        <v>8</v>
      </c>
      <c r="L201" s="20">
        <v>464493.13</v>
      </c>
    </row>
    <row r="202" spans="1:12" ht="71.400000000000006" hidden="1" x14ac:dyDescent="0.3">
      <c r="A202" s="14" t="s">
        <v>279</v>
      </c>
      <c r="B202" s="15" t="s">
        <v>284</v>
      </c>
      <c r="C202" s="15" t="s">
        <v>287</v>
      </c>
      <c r="D202" s="15" t="s">
        <v>288</v>
      </c>
      <c r="E202" s="16" t="s">
        <v>13</v>
      </c>
      <c r="F202" s="22" t="s">
        <v>15</v>
      </c>
      <c r="G202" s="22"/>
      <c r="H202" s="16" t="s">
        <v>13</v>
      </c>
      <c r="I202" s="26">
        <v>3042.25</v>
      </c>
      <c r="J202" s="26"/>
      <c r="K202" s="19" t="s">
        <v>8</v>
      </c>
      <c r="L202" s="20">
        <v>15097.94</v>
      </c>
    </row>
    <row r="203" spans="1:12" ht="71.400000000000006" hidden="1" x14ac:dyDescent="0.3">
      <c r="A203" s="14" t="s">
        <v>279</v>
      </c>
      <c r="B203" s="15" t="s">
        <v>289</v>
      </c>
      <c r="C203" s="15" t="s">
        <v>290</v>
      </c>
      <c r="D203" s="15" t="s">
        <v>291</v>
      </c>
      <c r="E203" s="16" t="s">
        <v>13</v>
      </c>
      <c r="F203" s="21">
        <v>8019</v>
      </c>
      <c r="G203" s="21"/>
      <c r="H203" s="16" t="s">
        <v>14</v>
      </c>
      <c r="I203" s="18" t="s">
        <v>15</v>
      </c>
      <c r="J203" s="18"/>
      <c r="K203" s="19" t="s">
        <v>8</v>
      </c>
      <c r="L203" s="20">
        <v>472512.13</v>
      </c>
    </row>
    <row r="204" spans="1:12" ht="61.2" hidden="1" x14ac:dyDescent="0.3">
      <c r="A204" s="14" t="s">
        <v>279</v>
      </c>
      <c r="B204" s="15" t="s">
        <v>289</v>
      </c>
      <c r="C204" s="15" t="s">
        <v>292</v>
      </c>
      <c r="D204" s="15" t="s">
        <v>291</v>
      </c>
      <c r="E204" s="16" t="s">
        <v>13</v>
      </c>
      <c r="F204" s="21">
        <v>2490</v>
      </c>
      <c r="G204" s="21"/>
      <c r="H204" s="16" t="s">
        <v>14</v>
      </c>
      <c r="I204" s="18" t="s">
        <v>15</v>
      </c>
      <c r="J204" s="18"/>
      <c r="K204" s="19" t="s">
        <v>8</v>
      </c>
      <c r="L204" s="20">
        <v>475002.13</v>
      </c>
    </row>
    <row r="205" spans="1:12" ht="61.2" hidden="1" x14ac:dyDescent="0.3">
      <c r="A205" s="14" t="s">
        <v>279</v>
      </c>
      <c r="B205" s="15" t="s">
        <v>289</v>
      </c>
      <c r="C205" s="15" t="s">
        <v>293</v>
      </c>
      <c r="D205" s="15" t="s">
        <v>291</v>
      </c>
      <c r="E205" s="16" t="s">
        <v>13</v>
      </c>
      <c r="F205" s="17">
        <v>104.4</v>
      </c>
      <c r="G205" s="17"/>
      <c r="H205" s="16" t="s">
        <v>14</v>
      </c>
      <c r="I205" s="18" t="s">
        <v>15</v>
      </c>
      <c r="J205" s="18"/>
      <c r="K205" s="19" t="s">
        <v>8</v>
      </c>
      <c r="L205" s="20">
        <v>475106.53</v>
      </c>
    </row>
    <row r="206" spans="1:12" ht="61.2" hidden="1" x14ac:dyDescent="0.3">
      <c r="A206" s="14" t="s">
        <v>279</v>
      </c>
      <c r="B206" s="15" t="s">
        <v>289</v>
      </c>
      <c r="C206" s="15" t="s">
        <v>294</v>
      </c>
      <c r="D206" s="15" t="s">
        <v>291</v>
      </c>
      <c r="E206" s="16" t="s">
        <v>13</v>
      </c>
      <c r="F206" s="17">
        <v>370.2</v>
      </c>
      <c r="G206" s="17"/>
      <c r="H206" s="16" t="s">
        <v>14</v>
      </c>
      <c r="I206" s="18" t="s">
        <v>15</v>
      </c>
      <c r="J206" s="18"/>
      <c r="K206" s="19" t="s">
        <v>8</v>
      </c>
      <c r="L206" s="20">
        <v>475476.73</v>
      </c>
    </row>
    <row r="207" spans="1:12" ht="61.2" hidden="1" x14ac:dyDescent="0.3">
      <c r="A207" s="14" t="s">
        <v>279</v>
      </c>
      <c r="B207" s="15" t="s">
        <v>295</v>
      </c>
      <c r="C207" s="15" t="s">
        <v>296</v>
      </c>
      <c r="D207" s="15" t="s">
        <v>291</v>
      </c>
      <c r="E207" s="16" t="s">
        <v>13</v>
      </c>
      <c r="F207" s="21">
        <v>5090.87</v>
      </c>
      <c r="G207" s="21"/>
      <c r="H207" s="16" t="s">
        <v>14</v>
      </c>
      <c r="I207" s="18" t="s">
        <v>15</v>
      </c>
      <c r="J207" s="18"/>
      <c r="K207" s="19" t="s">
        <v>8</v>
      </c>
      <c r="L207" s="20">
        <v>480567.6</v>
      </c>
    </row>
    <row r="208" spans="1:12" ht="61.2" hidden="1" x14ac:dyDescent="0.3">
      <c r="A208" s="14" t="s">
        <v>279</v>
      </c>
      <c r="B208" s="15" t="s">
        <v>289</v>
      </c>
      <c r="C208" s="15" t="s">
        <v>296</v>
      </c>
      <c r="D208" s="15" t="s">
        <v>291</v>
      </c>
      <c r="E208" s="16" t="s">
        <v>13</v>
      </c>
      <c r="F208" s="21">
        <v>1279.1300000000001</v>
      </c>
      <c r="G208" s="21"/>
      <c r="H208" s="16" t="s">
        <v>14</v>
      </c>
      <c r="I208" s="18" t="s">
        <v>15</v>
      </c>
      <c r="J208" s="18"/>
      <c r="K208" s="19" t="s">
        <v>8</v>
      </c>
      <c r="L208" s="20">
        <v>481846.73</v>
      </c>
    </row>
    <row r="209" spans="1:12" ht="61.2" hidden="1" x14ac:dyDescent="0.3">
      <c r="A209" s="14" t="s">
        <v>279</v>
      </c>
      <c r="B209" s="15" t="s">
        <v>297</v>
      </c>
      <c r="C209" s="15" t="s">
        <v>298</v>
      </c>
      <c r="D209" s="15" t="s">
        <v>299</v>
      </c>
      <c r="E209" s="16" t="s">
        <v>13</v>
      </c>
      <c r="F209" s="17">
        <v>259</v>
      </c>
      <c r="G209" s="17"/>
      <c r="H209" s="16" t="s">
        <v>14</v>
      </c>
      <c r="I209" s="18" t="s">
        <v>15</v>
      </c>
      <c r="J209" s="18"/>
      <c r="K209" s="19" t="s">
        <v>8</v>
      </c>
      <c r="L209" s="20">
        <v>482105.73</v>
      </c>
    </row>
    <row r="210" spans="1:12" ht="61.2" hidden="1" x14ac:dyDescent="0.3">
      <c r="A210" s="14" t="s">
        <v>279</v>
      </c>
      <c r="B210" s="15" t="s">
        <v>297</v>
      </c>
      <c r="C210" s="15" t="s">
        <v>300</v>
      </c>
      <c r="D210" s="15" t="s">
        <v>299</v>
      </c>
      <c r="E210" s="16" t="s">
        <v>13</v>
      </c>
      <c r="F210" s="17">
        <v>175.05</v>
      </c>
      <c r="G210" s="17"/>
      <c r="H210" s="16" t="s">
        <v>14</v>
      </c>
      <c r="I210" s="18" t="s">
        <v>15</v>
      </c>
      <c r="J210" s="18"/>
      <c r="K210" s="19" t="s">
        <v>8</v>
      </c>
      <c r="L210" s="20">
        <v>482280.78</v>
      </c>
    </row>
    <row r="211" spans="1:12" ht="61.2" hidden="1" x14ac:dyDescent="0.3">
      <c r="A211" s="14" t="s">
        <v>279</v>
      </c>
      <c r="B211" s="15" t="s">
        <v>297</v>
      </c>
      <c r="C211" s="15" t="s">
        <v>301</v>
      </c>
      <c r="D211" s="15" t="s">
        <v>299</v>
      </c>
      <c r="E211" s="16" t="s">
        <v>13</v>
      </c>
      <c r="F211" s="17">
        <v>679.6</v>
      </c>
      <c r="G211" s="17"/>
      <c r="H211" s="16" t="s">
        <v>14</v>
      </c>
      <c r="I211" s="18" t="s">
        <v>15</v>
      </c>
      <c r="J211" s="18"/>
      <c r="K211" s="19" t="s">
        <v>8</v>
      </c>
      <c r="L211" s="20">
        <v>482960.38</v>
      </c>
    </row>
    <row r="212" spans="1:12" ht="61.2" hidden="1" x14ac:dyDescent="0.3">
      <c r="A212" s="14" t="s">
        <v>279</v>
      </c>
      <c r="B212" s="15" t="s">
        <v>297</v>
      </c>
      <c r="C212" s="15" t="s">
        <v>302</v>
      </c>
      <c r="D212" s="15" t="s">
        <v>299</v>
      </c>
      <c r="E212" s="16" t="s">
        <v>13</v>
      </c>
      <c r="F212" s="21">
        <v>2000</v>
      </c>
      <c r="G212" s="21"/>
      <c r="H212" s="16" t="s">
        <v>14</v>
      </c>
      <c r="I212" s="18" t="s">
        <v>15</v>
      </c>
      <c r="J212" s="18"/>
      <c r="K212" s="19" t="s">
        <v>8</v>
      </c>
      <c r="L212" s="20">
        <v>484960.38</v>
      </c>
    </row>
    <row r="213" spans="1:12" ht="61.2" hidden="1" x14ac:dyDescent="0.3">
      <c r="A213" s="14" t="s">
        <v>279</v>
      </c>
      <c r="B213" s="15" t="s">
        <v>297</v>
      </c>
      <c r="C213" s="15" t="s">
        <v>303</v>
      </c>
      <c r="D213" s="15" t="s">
        <v>299</v>
      </c>
      <c r="E213" s="16" t="s">
        <v>13</v>
      </c>
      <c r="F213" s="17">
        <v>531.70000000000005</v>
      </c>
      <c r="G213" s="17"/>
      <c r="H213" s="16" t="s">
        <v>14</v>
      </c>
      <c r="I213" s="18" t="s">
        <v>15</v>
      </c>
      <c r="J213" s="18"/>
      <c r="K213" s="19" t="s">
        <v>8</v>
      </c>
      <c r="L213" s="20">
        <v>485492.08</v>
      </c>
    </row>
    <row r="214" spans="1:12" ht="61.2" hidden="1" x14ac:dyDescent="0.3">
      <c r="A214" s="14" t="s">
        <v>279</v>
      </c>
      <c r="B214" s="15" t="s">
        <v>297</v>
      </c>
      <c r="C214" s="15" t="s">
        <v>304</v>
      </c>
      <c r="D214" s="15" t="s">
        <v>299</v>
      </c>
      <c r="E214" s="16" t="s">
        <v>13</v>
      </c>
      <c r="F214" s="21">
        <v>1014</v>
      </c>
      <c r="G214" s="21"/>
      <c r="H214" s="16" t="s">
        <v>14</v>
      </c>
      <c r="I214" s="18" t="s">
        <v>15</v>
      </c>
      <c r="J214" s="18"/>
      <c r="K214" s="19" t="s">
        <v>8</v>
      </c>
      <c r="L214" s="20">
        <v>486506.08</v>
      </c>
    </row>
    <row r="215" spans="1:12" ht="71.400000000000006" hidden="1" x14ac:dyDescent="0.3">
      <c r="A215" s="14" t="s">
        <v>279</v>
      </c>
      <c r="B215" s="15" t="s">
        <v>297</v>
      </c>
      <c r="C215" s="15" t="s">
        <v>305</v>
      </c>
      <c r="D215" s="15" t="s">
        <v>299</v>
      </c>
      <c r="E215" s="16" t="s">
        <v>13</v>
      </c>
      <c r="F215" s="21">
        <v>1978.1</v>
      </c>
      <c r="G215" s="21"/>
      <c r="H215" s="16" t="s">
        <v>14</v>
      </c>
      <c r="I215" s="18" t="s">
        <v>15</v>
      </c>
      <c r="J215" s="18"/>
      <c r="K215" s="19" t="s">
        <v>8</v>
      </c>
      <c r="L215" s="20">
        <v>488484.18</v>
      </c>
    </row>
    <row r="216" spans="1:12" ht="71.400000000000006" hidden="1" x14ac:dyDescent="0.3">
      <c r="A216" s="14" t="s">
        <v>279</v>
      </c>
      <c r="B216" s="15" t="s">
        <v>297</v>
      </c>
      <c r="C216" s="15" t="s">
        <v>306</v>
      </c>
      <c r="D216" s="15" t="s">
        <v>299</v>
      </c>
      <c r="E216" s="16" t="s">
        <v>13</v>
      </c>
      <c r="F216" s="21">
        <v>1083.4000000000001</v>
      </c>
      <c r="G216" s="21"/>
      <c r="H216" s="16" t="s">
        <v>14</v>
      </c>
      <c r="I216" s="18" t="s">
        <v>15</v>
      </c>
      <c r="J216" s="18"/>
      <c r="K216" s="19" t="s">
        <v>8</v>
      </c>
      <c r="L216" s="20">
        <v>489567.58</v>
      </c>
    </row>
    <row r="217" spans="1:12" ht="71.400000000000006" hidden="1" x14ac:dyDescent="0.3">
      <c r="A217" s="14" t="s">
        <v>279</v>
      </c>
      <c r="B217" s="15" t="s">
        <v>307</v>
      </c>
      <c r="C217" s="15" t="s">
        <v>308</v>
      </c>
      <c r="D217" s="15" t="s">
        <v>309</v>
      </c>
      <c r="E217" s="16" t="s">
        <v>13</v>
      </c>
      <c r="F217" s="17">
        <v>689.8</v>
      </c>
      <c r="G217" s="17"/>
      <c r="H217" s="16" t="s">
        <v>14</v>
      </c>
      <c r="I217" s="18" t="s">
        <v>15</v>
      </c>
      <c r="J217" s="18"/>
      <c r="K217" s="19" t="s">
        <v>8</v>
      </c>
      <c r="L217" s="20">
        <v>490257.38</v>
      </c>
    </row>
    <row r="218" spans="1:12" ht="61.2" hidden="1" x14ac:dyDescent="0.3">
      <c r="A218" s="14" t="s">
        <v>279</v>
      </c>
      <c r="B218" s="15" t="s">
        <v>307</v>
      </c>
      <c r="C218" s="15" t="s">
        <v>310</v>
      </c>
      <c r="D218" s="15" t="s">
        <v>309</v>
      </c>
      <c r="E218" s="16" t="s">
        <v>13</v>
      </c>
      <c r="F218" s="21">
        <v>1101.4000000000001</v>
      </c>
      <c r="G218" s="21"/>
      <c r="H218" s="16" t="s">
        <v>14</v>
      </c>
      <c r="I218" s="18" t="s">
        <v>15</v>
      </c>
      <c r="J218" s="18"/>
      <c r="K218" s="19" t="s">
        <v>8</v>
      </c>
      <c r="L218" s="20">
        <v>491358.78</v>
      </c>
    </row>
    <row r="219" spans="1:12" ht="61.2" hidden="1" x14ac:dyDescent="0.3">
      <c r="A219" s="14" t="s">
        <v>279</v>
      </c>
      <c r="B219" s="15" t="s">
        <v>311</v>
      </c>
      <c r="C219" s="15" t="s">
        <v>312</v>
      </c>
      <c r="D219" s="15" t="s">
        <v>309</v>
      </c>
      <c r="E219" s="16" t="s">
        <v>13</v>
      </c>
      <c r="F219" s="17">
        <v>324.7</v>
      </c>
      <c r="G219" s="17"/>
      <c r="H219" s="16" t="s">
        <v>14</v>
      </c>
      <c r="I219" s="18" t="s">
        <v>15</v>
      </c>
      <c r="J219" s="18"/>
      <c r="K219" s="19" t="s">
        <v>8</v>
      </c>
      <c r="L219" s="20">
        <v>491683.48</v>
      </c>
    </row>
    <row r="220" spans="1:12" ht="61.2" hidden="1" x14ac:dyDescent="0.3">
      <c r="A220" s="14" t="s">
        <v>279</v>
      </c>
      <c r="B220" s="15" t="s">
        <v>311</v>
      </c>
      <c r="C220" s="15" t="s">
        <v>313</v>
      </c>
      <c r="D220" s="15" t="s">
        <v>309</v>
      </c>
      <c r="E220" s="16" t="s">
        <v>13</v>
      </c>
      <c r="F220" s="17">
        <v>232.05</v>
      </c>
      <c r="G220" s="17"/>
      <c r="H220" s="16" t="s">
        <v>14</v>
      </c>
      <c r="I220" s="18" t="s">
        <v>15</v>
      </c>
      <c r="J220" s="18"/>
      <c r="K220" s="19" t="s">
        <v>8</v>
      </c>
      <c r="L220" s="20">
        <v>491915.53</v>
      </c>
    </row>
    <row r="221" spans="1:12" ht="61.2" hidden="1" x14ac:dyDescent="0.3">
      <c r="A221" s="14" t="s">
        <v>279</v>
      </c>
      <c r="B221" s="15" t="s">
        <v>311</v>
      </c>
      <c r="C221" s="15" t="s">
        <v>314</v>
      </c>
      <c r="D221" s="15" t="s">
        <v>309</v>
      </c>
      <c r="E221" s="16" t="s">
        <v>13</v>
      </c>
      <c r="F221" s="17">
        <v>113.4</v>
      </c>
      <c r="G221" s="17"/>
      <c r="H221" s="16" t="s">
        <v>14</v>
      </c>
      <c r="I221" s="18" t="s">
        <v>15</v>
      </c>
      <c r="J221" s="18"/>
      <c r="K221" s="19" t="s">
        <v>8</v>
      </c>
      <c r="L221" s="20">
        <v>492028.93</v>
      </c>
    </row>
    <row r="222" spans="1:12" ht="71.400000000000006" hidden="1" x14ac:dyDescent="0.3">
      <c r="A222" s="14" t="s">
        <v>279</v>
      </c>
      <c r="B222" s="15" t="s">
        <v>311</v>
      </c>
      <c r="C222" s="15" t="s">
        <v>315</v>
      </c>
      <c r="D222" s="15" t="s">
        <v>309</v>
      </c>
      <c r="E222" s="16" t="s">
        <v>13</v>
      </c>
      <c r="F222" s="17">
        <v>179.55</v>
      </c>
      <c r="G222" s="17"/>
      <c r="H222" s="16" t="s">
        <v>14</v>
      </c>
      <c r="I222" s="18" t="s">
        <v>15</v>
      </c>
      <c r="J222" s="18"/>
      <c r="K222" s="19" t="s">
        <v>8</v>
      </c>
      <c r="L222" s="20">
        <v>492208.48</v>
      </c>
    </row>
    <row r="223" spans="1:12" ht="61.2" hidden="1" x14ac:dyDescent="0.3">
      <c r="A223" s="14" t="s">
        <v>279</v>
      </c>
      <c r="B223" s="15" t="s">
        <v>311</v>
      </c>
      <c r="C223" s="15" t="s">
        <v>316</v>
      </c>
      <c r="D223" s="15" t="s">
        <v>309</v>
      </c>
      <c r="E223" s="16" t="s">
        <v>13</v>
      </c>
      <c r="F223" s="17">
        <v>236.95</v>
      </c>
      <c r="G223" s="17"/>
      <c r="H223" s="16" t="s">
        <v>14</v>
      </c>
      <c r="I223" s="18" t="s">
        <v>15</v>
      </c>
      <c r="J223" s="18"/>
      <c r="K223" s="19" t="s">
        <v>8</v>
      </c>
      <c r="L223" s="20">
        <v>492445.43</v>
      </c>
    </row>
    <row r="224" spans="1:12" ht="61.2" hidden="1" x14ac:dyDescent="0.3">
      <c r="A224" s="14" t="s">
        <v>279</v>
      </c>
      <c r="B224" s="15" t="s">
        <v>311</v>
      </c>
      <c r="C224" s="15" t="s">
        <v>317</v>
      </c>
      <c r="D224" s="15" t="s">
        <v>309</v>
      </c>
      <c r="E224" s="16" t="s">
        <v>13</v>
      </c>
      <c r="F224" s="17">
        <v>292.95</v>
      </c>
      <c r="G224" s="17"/>
      <c r="H224" s="16" t="s">
        <v>14</v>
      </c>
      <c r="I224" s="18" t="s">
        <v>15</v>
      </c>
      <c r="J224" s="18"/>
      <c r="K224" s="19" t="s">
        <v>8</v>
      </c>
      <c r="L224" s="20">
        <v>492738.38</v>
      </c>
    </row>
    <row r="225" spans="1:12" ht="61.2" hidden="1" x14ac:dyDescent="0.3">
      <c r="A225" s="14" t="s">
        <v>279</v>
      </c>
      <c r="B225" s="15" t="s">
        <v>311</v>
      </c>
      <c r="C225" s="15" t="s">
        <v>318</v>
      </c>
      <c r="D225" s="15" t="s">
        <v>309</v>
      </c>
      <c r="E225" s="16" t="s">
        <v>13</v>
      </c>
      <c r="F225" s="21">
        <v>1030.05</v>
      </c>
      <c r="G225" s="21"/>
      <c r="H225" s="16" t="s">
        <v>14</v>
      </c>
      <c r="I225" s="18" t="s">
        <v>15</v>
      </c>
      <c r="J225" s="18"/>
      <c r="K225" s="19" t="s">
        <v>8</v>
      </c>
      <c r="L225" s="20">
        <v>493768.43</v>
      </c>
    </row>
    <row r="226" spans="1:12" ht="61.2" x14ac:dyDescent="0.3">
      <c r="A226" s="14" t="s">
        <v>279</v>
      </c>
      <c r="B226" s="15" t="s">
        <v>319</v>
      </c>
      <c r="C226" s="15" t="s">
        <v>40</v>
      </c>
      <c r="D226" s="15" t="s">
        <v>320</v>
      </c>
      <c r="E226" s="16" t="s">
        <v>42</v>
      </c>
      <c r="F226" s="22" t="s">
        <v>15</v>
      </c>
      <c r="G226" s="22"/>
      <c r="H226" s="16" t="s">
        <v>13</v>
      </c>
      <c r="I226" s="26">
        <v>1391.25</v>
      </c>
      <c r="J226" s="26"/>
      <c r="K226" s="19" t="s">
        <v>8</v>
      </c>
      <c r="L226" s="20">
        <v>5371.05</v>
      </c>
    </row>
    <row r="227" spans="1:12" ht="61.2" x14ac:dyDescent="0.3">
      <c r="A227" s="14" t="s">
        <v>279</v>
      </c>
      <c r="B227" s="15" t="s">
        <v>319</v>
      </c>
      <c r="C227" s="15" t="s">
        <v>40</v>
      </c>
      <c r="D227" s="15" t="s">
        <v>321</v>
      </c>
      <c r="E227" s="16" t="s">
        <v>42</v>
      </c>
      <c r="F227" s="22" t="s">
        <v>15</v>
      </c>
      <c r="G227" s="22"/>
      <c r="H227" s="16" t="s">
        <v>13</v>
      </c>
      <c r="I227" s="23">
        <v>112</v>
      </c>
      <c r="J227" s="23"/>
      <c r="K227" s="19" t="s">
        <v>8</v>
      </c>
      <c r="L227" s="20">
        <v>5259.05</v>
      </c>
    </row>
    <row r="228" spans="1:12" ht="61.2" x14ac:dyDescent="0.3">
      <c r="A228" s="14" t="s">
        <v>279</v>
      </c>
      <c r="B228" s="15" t="s">
        <v>319</v>
      </c>
      <c r="C228" s="15" t="s">
        <v>40</v>
      </c>
      <c r="D228" s="15" t="s">
        <v>322</v>
      </c>
      <c r="E228" s="16" t="s">
        <v>42</v>
      </c>
      <c r="F228" s="22" t="s">
        <v>15</v>
      </c>
      <c r="G228" s="22"/>
      <c r="H228" s="16" t="s">
        <v>13</v>
      </c>
      <c r="I228" s="23">
        <v>189.8</v>
      </c>
      <c r="J228" s="23"/>
      <c r="K228" s="19" t="s">
        <v>8</v>
      </c>
      <c r="L228" s="20">
        <v>5069.25</v>
      </c>
    </row>
    <row r="229" spans="1:12" ht="61.2" x14ac:dyDescent="0.3">
      <c r="A229" s="14" t="s">
        <v>279</v>
      </c>
      <c r="B229" s="15" t="s">
        <v>319</v>
      </c>
      <c r="C229" s="15" t="s">
        <v>40</v>
      </c>
      <c r="D229" s="15" t="s">
        <v>323</v>
      </c>
      <c r="E229" s="16" t="s">
        <v>42</v>
      </c>
      <c r="F229" s="22" t="s">
        <v>15</v>
      </c>
      <c r="G229" s="22"/>
      <c r="H229" s="16" t="s">
        <v>13</v>
      </c>
      <c r="I229" s="26">
        <v>1446</v>
      </c>
      <c r="J229" s="26"/>
      <c r="K229" s="19" t="s">
        <v>8</v>
      </c>
      <c r="L229" s="20">
        <v>3623.25</v>
      </c>
    </row>
    <row r="230" spans="1:12" ht="61.2" x14ac:dyDescent="0.3">
      <c r="A230" s="14" t="s">
        <v>279</v>
      </c>
      <c r="B230" s="15" t="s">
        <v>324</v>
      </c>
      <c r="C230" s="15" t="s">
        <v>40</v>
      </c>
      <c r="D230" s="15" t="s">
        <v>325</v>
      </c>
      <c r="E230" s="16" t="s">
        <v>42</v>
      </c>
      <c r="F230" s="22" t="s">
        <v>15</v>
      </c>
      <c r="G230" s="22"/>
      <c r="H230" s="16" t="s">
        <v>13</v>
      </c>
      <c r="I230" s="26">
        <v>3375</v>
      </c>
      <c r="J230" s="26"/>
      <c r="K230" s="19" t="s">
        <v>8</v>
      </c>
      <c r="L230" s="20">
        <v>490393.43</v>
      </c>
    </row>
    <row r="231" spans="1:12" ht="61.2" x14ac:dyDescent="0.3">
      <c r="A231" s="14" t="s">
        <v>279</v>
      </c>
      <c r="B231" s="15" t="s">
        <v>324</v>
      </c>
      <c r="C231" s="15" t="s">
        <v>40</v>
      </c>
      <c r="D231" s="15" t="s">
        <v>281</v>
      </c>
      <c r="E231" s="16" t="s">
        <v>42</v>
      </c>
      <c r="F231" s="22" t="s">
        <v>15</v>
      </c>
      <c r="G231" s="22"/>
      <c r="H231" s="16" t="s">
        <v>13</v>
      </c>
      <c r="I231" s="23">
        <v>302</v>
      </c>
      <c r="J231" s="23"/>
      <c r="K231" s="19" t="s">
        <v>8</v>
      </c>
      <c r="L231" s="20">
        <v>490091.43</v>
      </c>
    </row>
    <row r="232" spans="1:12" ht="61.2" x14ac:dyDescent="0.3">
      <c r="A232" s="14" t="s">
        <v>279</v>
      </c>
      <c r="B232" s="15" t="s">
        <v>326</v>
      </c>
      <c r="C232" s="15" t="s">
        <v>40</v>
      </c>
      <c r="D232" s="15" t="s">
        <v>285</v>
      </c>
      <c r="E232" s="16" t="s">
        <v>42</v>
      </c>
      <c r="F232" s="22" t="s">
        <v>15</v>
      </c>
      <c r="G232" s="22"/>
      <c r="H232" s="16" t="s">
        <v>13</v>
      </c>
      <c r="I232" s="26">
        <v>1262</v>
      </c>
      <c r="J232" s="26"/>
      <c r="K232" s="19" t="s">
        <v>8</v>
      </c>
      <c r="L232" s="20">
        <v>488829.43</v>
      </c>
    </row>
    <row r="233" spans="1:12" ht="61.2" x14ac:dyDescent="0.3">
      <c r="A233" s="14" t="s">
        <v>279</v>
      </c>
      <c r="B233" s="15" t="s">
        <v>326</v>
      </c>
      <c r="C233" s="15" t="s">
        <v>40</v>
      </c>
      <c r="D233" s="15" t="s">
        <v>287</v>
      </c>
      <c r="E233" s="16" t="s">
        <v>42</v>
      </c>
      <c r="F233" s="22" t="s">
        <v>15</v>
      </c>
      <c r="G233" s="22"/>
      <c r="H233" s="16" t="s">
        <v>13</v>
      </c>
      <c r="I233" s="26">
        <v>3042.25</v>
      </c>
      <c r="J233" s="26"/>
      <c r="K233" s="19" t="s">
        <v>8</v>
      </c>
      <c r="L233" s="20">
        <v>485787.18</v>
      </c>
    </row>
    <row r="234" spans="1:12" ht="81.599999999999994" x14ac:dyDescent="0.3">
      <c r="A234" s="14" t="s">
        <v>279</v>
      </c>
      <c r="B234" s="15" t="s">
        <v>326</v>
      </c>
      <c r="C234" s="15" t="s">
        <v>40</v>
      </c>
      <c r="D234" s="15" t="s">
        <v>327</v>
      </c>
      <c r="E234" s="16" t="s">
        <v>42</v>
      </c>
      <c r="F234" s="22" t="s">
        <v>15</v>
      </c>
      <c r="G234" s="22"/>
      <c r="H234" s="16" t="s">
        <v>13</v>
      </c>
      <c r="I234" s="26">
        <v>3415</v>
      </c>
      <c r="J234" s="26"/>
      <c r="K234" s="19" t="s">
        <v>8</v>
      </c>
      <c r="L234" s="20">
        <v>482372.18</v>
      </c>
    </row>
    <row r="235" spans="1:12" ht="61.2" x14ac:dyDescent="0.3">
      <c r="A235" s="14" t="s">
        <v>279</v>
      </c>
      <c r="B235" s="15" t="s">
        <v>326</v>
      </c>
      <c r="C235" s="15" t="s">
        <v>40</v>
      </c>
      <c r="D235" s="15" t="s">
        <v>244</v>
      </c>
      <c r="E235" s="16" t="s">
        <v>42</v>
      </c>
      <c r="F235" s="22" t="s">
        <v>15</v>
      </c>
      <c r="G235" s="22"/>
      <c r="H235" s="16" t="s">
        <v>13</v>
      </c>
      <c r="I235" s="23">
        <v>680</v>
      </c>
      <c r="J235" s="23"/>
      <c r="K235" s="19" t="s">
        <v>8</v>
      </c>
      <c r="L235" s="20">
        <v>481692.18</v>
      </c>
    </row>
    <row r="236" spans="1:12" ht="61.2" x14ac:dyDescent="0.3">
      <c r="A236" s="14" t="s">
        <v>328</v>
      </c>
      <c r="B236" s="15" t="s">
        <v>329</v>
      </c>
      <c r="C236" s="15" t="s">
        <v>40</v>
      </c>
      <c r="D236" s="15" t="s">
        <v>330</v>
      </c>
      <c r="E236" s="16" t="s">
        <v>42</v>
      </c>
      <c r="F236" s="22" t="s">
        <v>15</v>
      </c>
      <c r="G236" s="22"/>
      <c r="H236" s="16" t="s">
        <v>13</v>
      </c>
      <c r="I236" s="26">
        <v>2581.84</v>
      </c>
      <c r="J236" s="26"/>
      <c r="K236" s="19" t="s">
        <v>8</v>
      </c>
      <c r="L236" s="20">
        <v>479110.34</v>
      </c>
    </row>
    <row r="237" spans="1:12" ht="61.2" x14ac:dyDescent="0.3">
      <c r="A237" s="14" t="s">
        <v>328</v>
      </c>
      <c r="B237" s="15" t="s">
        <v>329</v>
      </c>
      <c r="C237" s="15" t="s">
        <v>40</v>
      </c>
      <c r="D237" s="15" t="s">
        <v>331</v>
      </c>
      <c r="E237" s="16" t="s">
        <v>42</v>
      </c>
      <c r="F237" s="22" t="s">
        <v>15</v>
      </c>
      <c r="G237" s="22"/>
      <c r="H237" s="16" t="s">
        <v>13</v>
      </c>
      <c r="I237" s="26">
        <v>2581.84</v>
      </c>
      <c r="J237" s="26"/>
      <c r="K237" s="19" t="s">
        <v>8</v>
      </c>
      <c r="L237" s="20">
        <v>476528.5</v>
      </c>
    </row>
    <row r="238" spans="1:12" ht="61.2" hidden="1" x14ac:dyDescent="0.3">
      <c r="A238" s="14" t="s">
        <v>332</v>
      </c>
      <c r="B238" s="15" t="s">
        <v>333</v>
      </c>
      <c r="C238" s="15" t="s">
        <v>334</v>
      </c>
      <c r="D238" s="15" t="s">
        <v>335</v>
      </c>
      <c r="E238" s="16" t="s">
        <v>13</v>
      </c>
      <c r="F238" s="22" t="s">
        <v>15</v>
      </c>
      <c r="G238" s="22"/>
      <c r="H238" s="16" t="s">
        <v>13</v>
      </c>
      <c r="I238" s="26">
        <v>3990</v>
      </c>
      <c r="J238" s="26"/>
      <c r="K238" s="19" t="s">
        <v>8</v>
      </c>
      <c r="L238" s="20">
        <v>16998.47</v>
      </c>
    </row>
    <row r="239" spans="1:12" ht="61.2" hidden="1" x14ac:dyDescent="0.3">
      <c r="A239" s="14" t="s">
        <v>332</v>
      </c>
      <c r="B239" s="15" t="s">
        <v>333</v>
      </c>
      <c r="C239" s="15" t="s">
        <v>334</v>
      </c>
      <c r="D239" s="15" t="s">
        <v>335</v>
      </c>
      <c r="E239" s="16" t="s">
        <v>13</v>
      </c>
      <c r="F239" s="21">
        <v>3990</v>
      </c>
      <c r="G239" s="21"/>
      <c r="H239" s="16" t="s">
        <v>13</v>
      </c>
      <c r="I239" s="18" t="s">
        <v>15</v>
      </c>
      <c r="J239" s="18"/>
      <c r="K239" s="19" t="s">
        <v>8</v>
      </c>
      <c r="L239" s="20">
        <v>480518.5</v>
      </c>
    </row>
    <row r="240" spans="1:12" ht="51" hidden="1" x14ac:dyDescent="0.3">
      <c r="A240" s="14" t="s">
        <v>332</v>
      </c>
      <c r="B240" s="15" t="s">
        <v>333</v>
      </c>
      <c r="C240" s="15" t="s">
        <v>336</v>
      </c>
      <c r="D240" s="15" t="s">
        <v>337</v>
      </c>
      <c r="E240" s="16" t="s">
        <v>13</v>
      </c>
      <c r="F240" s="22" t="s">
        <v>15</v>
      </c>
      <c r="G240" s="22"/>
      <c r="H240" s="16" t="s">
        <v>13</v>
      </c>
      <c r="I240" s="26">
        <v>6226.5</v>
      </c>
      <c r="J240" s="26"/>
      <c r="K240" s="19" t="s">
        <v>8</v>
      </c>
      <c r="L240" s="20">
        <v>10771.97</v>
      </c>
    </row>
    <row r="241" spans="1:12" ht="51" hidden="1" x14ac:dyDescent="0.3">
      <c r="A241" s="14" t="s">
        <v>332</v>
      </c>
      <c r="B241" s="15" t="s">
        <v>333</v>
      </c>
      <c r="C241" s="15" t="s">
        <v>336</v>
      </c>
      <c r="D241" s="15" t="s">
        <v>337</v>
      </c>
      <c r="E241" s="16" t="s">
        <v>13</v>
      </c>
      <c r="F241" s="21">
        <v>6226.5</v>
      </c>
      <c r="G241" s="21"/>
      <c r="H241" s="16" t="s">
        <v>13</v>
      </c>
      <c r="I241" s="18" t="s">
        <v>15</v>
      </c>
      <c r="J241" s="18"/>
      <c r="K241" s="19" t="s">
        <v>8</v>
      </c>
      <c r="L241" s="20">
        <v>486745</v>
      </c>
    </row>
    <row r="242" spans="1:12" ht="51" hidden="1" x14ac:dyDescent="0.3">
      <c r="A242" s="14" t="s">
        <v>332</v>
      </c>
      <c r="B242" s="15" t="s">
        <v>333</v>
      </c>
      <c r="C242" s="15" t="s">
        <v>338</v>
      </c>
      <c r="D242" s="15" t="s">
        <v>339</v>
      </c>
      <c r="E242" s="16" t="s">
        <v>13</v>
      </c>
      <c r="F242" s="22" t="s">
        <v>15</v>
      </c>
      <c r="G242" s="22"/>
      <c r="H242" s="16" t="s">
        <v>13</v>
      </c>
      <c r="I242" s="23">
        <v>627.5</v>
      </c>
      <c r="J242" s="23"/>
      <c r="K242" s="19" t="s">
        <v>8</v>
      </c>
      <c r="L242" s="20">
        <v>10144.469999999999</v>
      </c>
    </row>
    <row r="243" spans="1:12" ht="51" hidden="1" x14ac:dyDescent="0.3">
      <c r="A243" s="14" t="s">
        <v>332</v>
      </c>
      <c r="B243" s="15" t="s">
        <v>333</v>
      </c>
      <c r="C243" s="15" t="s">
        <v>338</v>
      </c>
      <c r="D243" s="15" t="s">
        <v>339</v>
      </c>
      <c r="E243" s="16" t="s">
        <v>13</v>
      </c>
      <c r="F243" s="17">
        <v>627.5</v>
      </c>
      <c r="G243" s="17"/>
      <c r="H243" s="16" t="s">
        <v>13</v>
      </c>
      <c r="I243" s="18" t="s">
        <v>15</v>
      </c>
      <c r="J243" s="18"/>
      <c r="K243" s="19" t="s">
        <v>8</v>
      </c>
      <c r="L243" s="20">
        <v>487372.5</v>
      </c>
    </row>
    <row r="244" spans="1:12" ht="61.2" hidden="1" x14ac:dyDescent="0.3">
      <c r="A244" s="14" t="s">
        <v>332</v>
      </c>
      <c r="B244" s="15" t="s">
        <v>333</v>
      </c>
      <c r="C244" s="15" t="s">
        <v>340</v>
      </c>
      <c r="D244" s="15" t="s">
        <v>341</v>
      </c>
      <c r="E244" s="16" t="s">
        <v>13</v>
      </c>
      <c r="F244" s="22" t="s">
        <v>15</v>
      </c>
      <c r="G244" s="22"/>
      <c r="H244" s="16" t="s">
        <v>13</v>
      </c>
      <c r="I244" s="23">
        <v>999.6</v>
      </c>
      <c r="J244" s="23"/>
      <c r="K244" s="19" t="s">
        <v>8</v>
      </c>
      <c r="L244" s="20">
        <v>9144.8700000000008</v>
      </c>
    </row>
    <row r="245" spans="1:12" ht="61.2" hidden="1" x14ac:dyDescent="0.3">
      <c r="A245" s="14" t="s">
        <v>332</v>
      </c>
      <c r="B245" s="15" t="s">
        <v>333</v>
      </c>
      <c r="C245" s="15" t="s">
        <v>340</v>
      </c>
      <c r="D245" s="15" t="s">
        <v>341</v>
      </c>
      <c r="E245" s="16" t="s">
        <v>13</v>
      </c>
      <c r="F245" s="17">
        <v>999.6</v>
      </c>
      <c r="G245" s="17"/>
      <c r="H245" s="16" t="s">
        <v>13</v>
      </c>
      <c r="I245" s="18" t="s">
        <v>15</v>
      </c>
      <c r="J245" s="18"/>
      <c r="K245" s="19" t="s">
        <v>8</v>
      </c>
      <c r="L245" s="20">
        <v>488372.1</v>
      </c>
    </row>
    <row r="246" spans="1:12" ht="71.400000000000006" x14ac:dyDescent="0.3">
      <c r="A246" s="14" t="s">
        <v>332</v>
      </c>
      <c r="B246" s="15" t="s">
        <v>342</v>
      </c>
      <c r="C246" s="15" t="s">
        <v>40</v>
      </c>
      <c r="D246" s="15" t="s">
        <v>108</v>
      </c>
      <c r="E246" s="16" t="s">
        <v>42</v>
      </c>
      <c r="F246" s="22" t="s">
        <v>15</v>
      </c>
      <c r="G246" s="22"/>
      <c r="H246" s="16" t="s">
        <v>13</v>
      </c>
      <c r="I246" s="23">
        <v>868.35</v>
      </c>
      <c r="J246" s="23"/>
      <c r="K246" s="19" t="s">
        <v>8</v>
      </c>
      <c r="L246" s="20">
        <v>487503.75</v>
      </c>
    </row>
    <row r="247" spans="1:12" ht="71.400000000000006" x14ac:dyDescent="0.3">
      <c r="A247" s="14" t="s">
        <v>332</v>
      </c>
      <c r="B247" s="15" t="s">
        <v>342</v>
      </c>
      <c r="C247" s="15" t="s">
        <v>40</v>
      </c>
      <c r="D247" s="15" t="s">
        <v>101</v>
      </c>
      <c r="E247" s="16" t="s">
        <v>42</v>
      </c>
      <c r="F247" s="22" t="s">
        <v>15</v>
      </c>
      <c r="G247" s="22"/>
      <c r="H247" s="16" t="s">
        <v>13</v>
      </c>
      <c r="I247" s="23">
        <v>868.35</v>
      </c>
      <c r="J247" s="23"/>
      <c r="K247" s="19" t="s">
        <v>8</v>
      </c>
      <c r="L247" s="20">
        <v>486635.4</v>
      </c>
    </row>
    <row r="248" spans="1:12" ht="71.400000000000006" x14ac:dyDescent="0.3">
      <c r="A248" s="14" t="s">
        <v>332</v>
      </c>
      <c r="B248" s="15" t="s">
        <v>342</v>
      </c>
      <c r="C248" s="15" t="s">
        <v>40</v>
      </c>
      <c r="D248" s="15" t="s">
        <v>103</v>
      </c>
      <c r="E248" s="16" t="s">
        <v>42</v>
      </c>
      <c r="F248" s="22" t="s">
        <v>15</v>
      </c>
      <c r="G248" s="22"/>
      <c r="H248" s="16" t="s">
        <v>13</v>
      </c>
      <c r="I248" s="23">
        <v>868.35</v>
      </c>
      <c r="J248" s="23"/>
      <c r="K248" s="19" t="s">
        <v>8</v>
      </c>
      <c r="L248" s="20">
        <v>485767.05</v>
      </c>
    </row>
    <row r="249" spans="1:12" ht="71.400000000000006" x14ac:dyDescent="0.3">
      <c r="A249" s="14" t="s">
        <v>332</v>
      </c>
      <c r="B249" s="15" t="s">
        <v>343</v>
      </c>
      <c r="C249" s="15" t="s">
        <v>40</v>
      </c>
      <c r="D249" s="15" t="s">
        <v>160</v>
      </c>
      <c r="E249" s="16" t="s">
        <v>42</v>
      </c>
      <c r="F249" s="22" t="s">
        <v>15</v>
      </c>
      <c r="G249" s="22"/>
      <c r="H249" s="16" t="s">
        <v>13</v>
      </c>
      <c r="I249" s="26">
        <v>6592.5</v>
      </c>
      <c r="J249" s="26"/>
      <c r="K249" s="19" t="s">
        <v>8</v>
      </c>
      <c r="L249" s="20">
        <v>479174.55</v>
      </c>
    </row>
    <row r="250" spans="1:12" ht="71.400000000000006" x14ac:dyDescent="0.3">
      <c r="A250" s="14" t="s">
        <v>332</v>
      </c>
      <c r="B250" s="15" t="s">
        <v>343</v>
      </c>
      <c r="C250" s="15" t="s">
        <v>40</v>
      </c>
      <c r="D250" s="15" t="s">
        <v>164</v>
      </c>
      <c r="E250" s="16" t="s">
        <v>42</v>
      </c>
      <c r="F250" s="22" t="s">
        <v>15</v>
      </c>
      <c r="G250" s="22"/>
      <c r="H250" s="16" t="s">
        <v>13</v>
      </c>
      <c r="I250" s="26">
        <v>1668.75</v>
      </c>
      <c r="J250" s="26"/>
      <c r="K250" s="19" t="s">
        <v>8</v>
      </c>
      <c r="L250" s="20">
        <v>477505.8</v>
      </c>
    </row>
    <row r="251" spans="1:12" ht="61.2" x14ac:dyDescent="0.3">
      <c r="A251" s="14" t="s">
        <v>332</v>
      </c>
      <c r="B251" s="15" t="s">
        <v>343</v>
      </c>
      <c r="C251" s="15" t="s">
        <v>40</v>
      </c>
      <c r="D251" s="15" t="s">
        <v>126</v>
      </c>
      <c r="E251" s="16" t="s">
        <v>42</v>
      </c>
      <c r="F251" s="22" t="s">
        <v>15</v>
      </c>
      <c r="G251" s="22"/>
      <c r="H251" s="16" t="s">
        <v>13</v>
      </c>
      <c r="I251" s="26">
        <v>1704.3</v>
      </c>
      <c r="J251" s="26"/>
      <c r="K251" s="19" t="s">
        <v>8</v>
      </c>
      <c r="L251" s="20">
        <v>475801.5</v>
      </c>
    </row>
    <row r="252" spans="1:12" ht="61.2" x14ac:dyDescent="0.3">
      <c r="A252" s="14" t="s">
        <v>332</v>
      </c>
      <c r="B252" s="15" t="s">
        <v>343</v>
      </c>
      <c r="C252" s="15" t="s">
        <v>40</v>
      </c>
      <c r="D252" s="15" t="s">
        <v>127</v>
      </c>
      <c r="E252" s="16" t="s">
        <v>42</v>
      </c>
      <c r="F252" s="22" t="s">
        <v>15</v>
      </c>
      <c r="G252" s="22"/>
      <c r="H252" s="16" t="s">
        <v>13</v>
      </c>
      <c r="I252" s="23">
        <v>482.7</v>
      </c>
      <c r="J252" s="23"/>
      <c r="K252" s="19" t="s">
        <v>8</v>
      </c>
      <c r="L252" s="20">
        <v>475318.8</v>
      </c>
    </row>
    <row r="253" spans="1:12" ht="61.2" x14ac:dyDescent="0.3">
      <c r="A253" s="14" t="s">
        <v>332</v>
      </c>
      <c r="B253" s="15" t="s">
        <v>343</v>
      </c>
      <c r="C253" s="15" t="s">
        <v>40</v>
      </c>
      <c r="D253" s="15" t="s">
        <v>137</v>
      </c>
      <c r="E253" s="16" t="s">
        <v>42</v>
      </c>
      <c r="F253" s="22" t="s">
        <v>15</v>
      </c>
      <c r="G253" s="22"/>
      <c r="H253" s="16" t="s">
        <v>13</v>
      </c>
      <c r="I253" s="23">
        <v>586.35</v>
      </c>
      <c r="J253" s="23"/>
      <c r="K253" s="19" t="s">
        <v>8</v>
      </c>
      <c r="L253" s="20">
        <v>474732.45</v>
      </c>
    </row>
    <row r="254" spans="1:12" ht="61.2" x14ac:dyDescent="0.3">
      <c r="A254" s="14" t="s">
        <v>332</v>
      </c>
      <c r="B254" s="15" t="s">
        <v>344</v>
      </c>
      <c r="C254" s="15" t="s">
        <v>40</v>
      </c>
      <c r="D254" s="15" t="s">
        <v>82</v>
      </c>
      <c r="E254" s="16" t="s">
        <v>42</v>
      </c>
      <c r="F254" s="22" t="s">
        <v>15</v>
      </c>
      <c r="G254" s="22"/>
      <c r="H254" s="16" t="s">
        <v>13</v>
      </c>
      <c r="I254" s="26">
        <v>1300</v>
      </c>
      <c r="J254" s="26"/>
      <c r="K254" s="19" t="s">
        <v>8</v>
      </c>
      <c r="L254" s="20">
        <v>473432.45</v>
      </c>
    </row>
    <row r="255" spans="1:12" ht="61.2" x14ac:dyDescent="0.3">
      <c r="A255" s="14" t="s">
        <v>332</v>
      </c>
      <c r="B255" s="15" t="s">
        <v>345</v>
      </c>
      <c r="C255" s="15" t="s">
        <v>40</v>
      </c>
      <c r="D255" s="15" t="s">
        <v>152</v>
      </c>
      <c r="E255" s="16" t="s">
        <v>42</v>
      </c>
      <c r="F255" s="22" t="s">
        <v>15</v>
      </c>
      <c r="G255" s="22"/>
      <c r="H255" s="16" t="s">
        <v>13</v>
      </c>
      <c r="I255" s="23">
        <v>325</v>
      </c>
      <c r="J255" s="23"/>
      <c r="K255" s="19" t="s">
        <v>8</v>
      </c>
      <c r="L255" s="20">
        <v>473107.45</v>
      </c>
    </row>
    <row r="256" spans="1:12" ht="61.2" x14ac:dyDescent="0.3">
      <c r="A256" s="14" t="s">
        <v>332</v>
      </c>
      <c r="B256" s="15" t="s">
        <v>345</v>
      </c>
      <c r="C256" s="15" t="s">
        <v>40</v>
      </c>
      <c r="D256" s="15" t="s">
        <v>119</v>
      </c>
      <c r="E256" s="16" t="s">
        <v>42</v>
      </c>
      <c r="F256" s="22" t="s">
        <v>15</v>
      </c>
      <c r="G256" s="22"/>
      <c r="H256" s="16" t="s">
        <v>13</v>
      </c>
      <c r="I256" s="23">
        <v>215</v>
      </c>
      <c r="J256" s="23"/>
      <c r="K256" s="19" t="s">
        <v>8</v>
      </c>
      <c r="L256" s="20">
        <v>472892.45</v>
      </c>
    </row>
    <row r="257" spans="1:12" ht="61.2" x14ac:dyDescent="0.3">
      <c r="A257" s="14" t="s">
        <v>332</v>
      </c>
      <c r="B257" s="15" t="s">
        <v>346</v>
      </c>
      <c r="C257" s="15" t="s">
        <v>40</v>
      </c>
      <c r="D257" s="15" t="s">
        <v>145</v>
      </c>
      <c r="E257" s="16" t="s">
        <v>42</v>
      </c>
      <c r="F257" s="22" t="s">
        <v>15</v>
      </c>
      <c r="G257" s="22"/>
      <c r="H257" s="16" t="s">
        <v>13</v>
      </c>
      <c r="I257" s="23">
        <v>262.5</v>
      </c>
      <c r="J257" s="23"/>
      <c r="K257" s="19" t="s">
        <v>8</v>
      </c>
      <c r="L257" s="20">
        <v>472629.95</v>
      </c>
    </row>
    <row r="258" spans="1:12" ht="61.2" x14ac:dyDescent="0.3">
      <c r="A258" s="14" t="s">
        <v>332</v>
      </c>
      <c r="B258" s="15" t="s">
        <v>346</v>
      </c>
      <c r="C258" s="15" t="s">
        <v>40</v>
      </c>
      <c r="D258" s="15" t="s">
        <v>146</v>
      </c>
      <c r="E258" s="16" t="s">
        <v>42</v>
      </c>
      <c r="F258" s="22" t="s">
        <v>15</v>
      </c>
      <c r="G258" s="22"/>
      <c r="H258" s="16" t="s">
        <v>13</v>
      </c>
      <c r="I258" s="23">
        <v>438</v>
      </c>
      <c r="J258" s="23"/>
      <c r="K258" s="19" t="s">
        <v>8</v>
      </c>
      <c r="L258" s="20">
        <v>472191.95</v>
      </c>
    </row>
    <row r="259" spans="1:12" ht="61.2" x14ac:dyDescent="0.3">
      <c r="A259" s="14" t="s">
        <v>332</v>
      </c>
      <c r="B259" s="15" t="s">
        <v>347</v>
      </c>
      <c r="C259" s="15" t="s">
        <v>40</v>
      </c>
      <c r="D259" s="15" t="s">
        <v>147</v>
      </c>
      <c r="E259" s="16" t="s">
        <v>42</v>
      </c>
      <c r="F259" s="22" t="s">
        <v>15</v>
      </c>
      <c r="G259" s="22"/>
      <c r="H259" s="16" t="s">
        <v>13</v>
      </c>
      <c r="I259" s="23">
        <v>612.75</v>
      </c>
      <c r="J259" s="23"/>
      <c r="K259" s="19" t="s">
        <v>8</v>
      </c>
      <c r="L259" s="20">
        <v>471579.2</v>
      </c>
    </row>
    <row r="260" spans="1:12" ht="61.2" x14ac:dyDescent="0.3">
      <c r="A260" s="14" t="s">
        <v>332</v>
      </c>
      <c r="B260" s="15" t="s">
        <v>347</v>
      </c>
      <c r="C260" s="15" t="s">
        <v>40</v>
      </c>
      <c r="D260" s="15" t="s">
        <v>154</v>
      </c>
      <c r="E260" s="16" t="s">
        <v>42</v>
      </c>
      <c r="F260" s="22" t="s">
        <v>15</v>
      </c>
      <c r="G260" s="22"/>
      <c r="H260" s="16" t="s">
        <v>13</v>
      </c>
      <c r="I260" s="23">
        <v>280.2</v>
      </c>
      <c r="J260" s="23"/>
      <c r="K260" s="19" t="s">
        <v>8</v>
      </c>
      <c r="L260" s="20">
        <v>471299</v>
      </c>
    </row>
    <row r="261" spans="1:12" ht="61.2" x14ac:dyDescent="0.3">
      <c r="A261" s="14" t="s">
        <v>332</v>
      </c>
      <c r="B261" s="15" t="s">
        <v>348</v>
      </c>
      <c r="C261" s="15" t="s">
        <v>40</v>
      </c>
      <c r="D261" s="15" t="s">
        <v>149</v>
      </c>
      <c r="E261" s="16" t="s">
        <v>42</v>
      </c>
      <c r="F261" s="22" t="s">
        <v>15</v>
      </c>
      <c r="G261" s="22"/>
      <c r="H261" s="16" t="s">
        <v>13</v>
      </c>
      <c r="I261" s="26">
        <v>10276</v>
      </c>
      <c r="J261" s="26"/>
      <c r="K261" s="19" t="s">
        <v>8</v>
      </c>
      <c r="L261" s="20">
        <v>461023</v>
      </c>
    </row>
    <row r="262" spans="1:12" ht="71.400000000000006" x14ac:dyDescent="0.3">
      <c r="A262" s="14" t="s">
        <v>332</v>
      </c>
      <c r="B262" s="15" t="s">
        <v>348</v>
      </c>
      <c r="C262" s="15" t="s">
        <v>40</v>
      </c>
      <c r="D262" s="15" t="s">
        <v>161</v>
      </c>
      <c r="E262" s="16" t="s">
        <v>42</v>
      </c>
      <c r="F262" s="22" t="s">
        <v>15</v>
      </c>
      <c r="G262" s="22"/>
      <c r="H262" s="16" t="s">
        <v>13</v>
      </c>
      <c r="I262" s="26">
        <v>3420</v>
      </c>
      <c r="J262" s="26"/>
      <c r="K262" s="19" t="s">
        <v>8</v>
      </c>
      <c r="L262" s="20">
        <v>457603</v>
      </c>
    </row>
    <row r="263" spans="1:12" ht="71.400000000000006" x14ac:dyDescent="0.3">
      <c r="A263" s="14" t="s">
        <v>332</v>
      </c>
      <c r="B263" s="15" t="s">
        <v>348</v>
      </c>
      <c r="C263" s="15" t="s">
        <v>40</v>
      </c>
      <c r="D263" s="15" t="s">
        <v>151</v>
      </c>
      <c r="E263" s="16" t="s">
        <v>42</v>
      </c>
      <c r="F263" s="22" t="s">
        <v>15</v>
      </c>
      <c r="G263" s="22"/>
      <c r="H263" s="16" t="s">
        <v>13</v>
      </c>
      <c r="I263" s="26">
        <v>10440</v>
      </c>
      <c r="J263" s="26"/>
      <c r="K263" s="19" t="s">
        <v>8</v>
      </c>
      <c r="L263" s="20">
        <v>447163</v>
      </c>
    </row>
    <row r="264" spans="1:12" ht="71.400000000000006" x14ac:dyDescent="0.3">
      <c r="A264" s="14" t="s">
        <v>332</v>
      </c>
      <c r="B264" s="15" t="s">
        <v>348</v>
      </c>
      <c r="C264" s="15" t="s">
        <v>40</v>
      </c>
      <c r="D264" s="15" t="s">
        <v>166</v>
      </c>
      <c r="E264" s="16" t="s">
        <v>42</v>
      </c>
      <c r="F264" s="22" t="s">
        <v>15</v>
      </c>
      <c r="G264" s="22"/>
      <c r="H264" s="16" t="s">
        <v>13</v>
      </c>
      <c r="I264" s="26">
        <v>1543.8</v>
      </c>
      <c r="J264" s="26"/>
      <c r="K264" s="19" t="s">
        <v>8</v>
      </c>
      <c r="L264" s="20">
        <v>445619.20000000001</v>
      </c>
    </row>
    <row r="265" spans="1:12" ht="71.400000000000006" x14ac:dyDescent="0.3">
      <c r="A265" s="14" t="s">
        <v>332</v>
      </c>
      <c r="B265" s="15" t="s">
        <v>348</v>
      </c>
      <c r="C265" s="15" t="s">
        <v>40</v>
      </c>
      <c r="D265" s="15" t="s">
        <v>165</v>
      </c>
      <c r="E265" s="16" t="s">
        <v>42</v>
      </c>
      <c r="F265" s="22" t="s">
        <v>15</v>
      </c>
      <c r="G265" s="22"/>
      <c r="H265" s="16" t="s">
        <v>13</v>
      </c>
      <c r="I265" s="26">
        <v>3366</v>
      </c>
      <c r="J265" s="26"/>
      <c r="K265" s="19" t="s">
        <v>8</v>
      </c>
      <c r="L265" s="20">
        <v>442253.2</v>
      </c>
    </row>
    <row r="266" spans="1:12" ht="61.2" x14ac:dyDescent="0.3">
      <c r="A266" s="14" t="s">
        <v>332</v>
      </c>
      <c r="B266" s="15" t="s">
        <v>348</v>
      </c>
      <c r="C266" s="15" t="s">
        <v>40</v>
      </c>
      <c r="D266" s="15" t="s">
        <v>128</v>
      </c>
      <c r="E266" s="16" t="s">
        <v>42</v>
      </c>
      <c r="F266" s="22" t="s">
        <v>15</v>
      </c>
      <c r="G266" s="22"/>
      <c r="H266" s="16" t="s">
        <v>13</v>
      </c>
      <c r="I266" s="26">
        <v>1676</v>
      </c>
      <c r="J266" s="26"/>
      <c r="K266" s="19" t="s">
        <v>8</v>
      </c>
      <c r="L266" s="20">
        <v>440577.2</v>
      </c>
    </row>
    <row r="267" spans="1:12" ht="71.400000000000006" x14ac:dyDescent="0.3">
      <c r="A267" s="14" t="s">
        <v>332</v>
      </c>
      <c r="B267" s="15" t="s">
        <v>348</v>
      </c>
      <c r="C267" s="15" t="s">
        <v>40</v>
      </c>
      <c r="D267" s="15" t="s">
        <v>129</v>
      </c>
      <c r="E267" s="16" t="s">
        <v>42</v>
      </c>
      <c r="F267" s="22" t="s">
        <v>15</v>
      </c>
      <c r="G267" s="22"/>
      <c r="H267" s="16" t="s">
        <v>13</v>
      </c>
      <c r="I267" s="23">
        <v>358.4</v>
      </c>
      <c r="J267" s="23"/>
      <c r="K267" s="19" t="s">
        <v>8</v>
      </c>
      <c r="L267" s="20">
        <v>440218.8</v>
      </c>
    </row>
    <row r="268" spans="1:12" ht="61.2" x14ac:dyDescent="0.3">
      <c r="A268" s="14" t="s">
        <v>332</v>
      </c>
      <c r="B268" s="15" t="s">
        <v>348</v>
      </c>
      <c r="C268" s="15" t="s">
        <v>40</v>
      </c>
      <c r="D268" s="15" t="s">
        <v>123</v>
      </c>
      <c r="E268" s="16" t="s">
        <v>42</v>
      </c>
      <c r="F268" s="22" t="s">
        <v>15</v>
      </c>
      <c r="G268" s="22"/>
      <c r="H268" s="16" t="s">
        <v>13</v>
      </c>
      <c r="I268" s="26">
        <v>2044.1</v>
      </c>
      <c r="J268" s="26"/>
      <c r="K268" s="19" t="s">
        <v>8</v>
      </c>
      <c r="L268" s="20">
        <v>438174.7</v>
      </c>
    </row>
    <row r="269" spans="1:12" ht="61.2" x14ac:dyDescent="0.3">
      <c r="A269" s="14" t="s">
        <v>332</v>
      </c>
      <c r="B269" s="15" t="s">
        <v>349</v>
      </c>
      <c r="C269" s="15" t="s">
        <v>40</v>
      </c>
      <c r="D269" s="15" t="s">
        <v>277</v>
      </c>
      <c r="E269" s="16" t="s">
        <v>42</v>
      </c>
      <c r="F269" s="22" t="s">
        <v>15</v>
      </c>
      <c r="G269" s="22"/>
      <c r="H269" s="16" t="s">
        <v>13</v>
      </c>
      <c r="I269" s="23">
        <v>364.65</v>
      </c>
      <c r="J269" s="23"/>
      <c r="K269" s="19" t="s">
        <v>8</v>
      </c>
      <c r="L269" s="20">
        <v>437810.05</v>
      </c>
    </row>
    <row r="270" spans="1:12" ht="71.400000000000006" x14ac:dyDescent="0.3">
      <c r="A270" s="14" t="s">
        <v>332</v>
      </c>
      <c r="B270" s="15" t="s">
        <v>349</v>
      </c>
      <c r="C270" s="15" t="s">
        <v>40</v>
      </c>
      <c r="D270" s="15" t="s">
        <v>159</v>
      </c>
      <c r="E270" s="16" t="s">
        <v>42</v>
      </c>
      <c r="F270" s="22" t="s">
        <v>15</v>
      </c>
      <c r="G270" s="22"/>
      <c r="H270" s="16" t="s">
        <v>13</v>
      </c>
      <c r="I270" s="26">
        <v>1187.5</v>
      </c>
      <c r="J270" s="26"/>
      <c r="K270" s="19" t="s">
        <v>8</v>
      </c>
      <c r="L270" s="20">
        <v>436622.55</v>
      </c>
    </row>
    <row r="271" spans="1:12" ht="61.2" x14ac:dyDescent="0.3">
      <c r="A271" s="14" t="s">
        <v>332</v>
      </c>
      <c r="B271" s="15" t="s">
        <v>350</v>
      </c>
      <c r="C271" s="15" t="s">
        <v>40</v>
      </c>
      <c r="D271" s="15" t="s">
        <v>334</v>
      </c>
      <c r="E271" s="16" t="s">
        <v>42</v>
      </c>
      <c r="F271" s="22" t="s">
        <v>15</v>
      </c>
      <c r="G271" s="22"/>
      <c r="H271" s="16" t="s">
        <v>13</v>
      </c>
      <c r="I271" s="26">
        <v>3990</v>
      </c>
      <c r="J271" s="26"/>
      <c r="K271" s="19" t="s">
        <v>8</v>
      </c>
      <c r="L271" s="20">
        <v>432632.55</v>
      </c>
    </row>
    <row r="272" spans="1:12" ht="61.2" x14ac:dyDescent="0.3">
      <c r="A272" s="14" t="s">
        <v>332</v>
      </c>
      <c r="B272" s="15" t="s">
        <v>350</v>
      </c>
      <c r="C272" s="15" t="s">
        <v>40</v>
      </c>
      <c r="D272" s="15" t="s">
        <v>336</v>
      </c>
      <c r="E272" s="16" t="s">
        <v>42</v>
      </c>
      <c r="F272" s="22" t="s">
        <v>15</v>
      </c>
      <c r="G272" s="22"/>
      <c r="H272" s="16" t="s">
        <v>13</v>
      </c>
      <c r="I272" s="26">
        <v>6226.5</v>
      </c>
      <c r="J272" s="26"/>
      <c r="K272" s="19" t="s">
        <v>8</v>
      </c>
      <c r="L272" s="20">
        <v>426406.05</v>
      </c>
    </row>
    <row r="273" spans="1:12" ht="61.2" x14ac:dyDescent="0.3">
      <c r="A273" s="14" t="s">
        <v>332</v>
      </c>
      <c r="B273" s="15" t="s">
        <v>350</v>
      </c>
      <c r="C273" s="15" t="s">
        <v>40</v>
      </c>
      <c r="D273" s="15" t="s">
        <v>338</v>
      </c>
      <c r="E273" s="16" t="s">
        <v>42</v>
      </c>
      <c r="F273" s="22" t="s">
        <v>15</v>
      </c>
      <c r="G273" s="22"/>
      <c r="H273" s="16" t="s">
        <v>13</v>
      </c>
      <c r="I273" s="23">
        <v>627.5</v>
      </c>
      <c r="J273" s="23"/>
      <c r="K273" s="19" t="s">
        <v>8</v>
      </c>
      <c r="L273" s="20">
        <v>425778.55</v>
      </c>
    </row>
    <row r="274" spans="1:12" ht="61.2" x14ac:dyDescent="0.3">
      <c r="A274" s="14" t="s">
        <v>332</v>
      </c>
      <c r="B274" s="15" t="s">
        <v>350</v>
      </c>
      <c r="C274" s="15" t="s">
        <v>40</v>
      </c>
      <c r="D274" s="15" t="s">
        <v>340</v>
      </c>
      <c r="E274" s="16" t="s">
        <v>42</v>
      </c>
      <c r="F274" s="22" t="s">
        <v>15</v>
      </c>
      <c r="G274" s="22"/>
      <c r="H274" s="16" t="s">
        <v>13</v>
      </c>
      <c r="I274" s="23">
        <v>999.6</v>
      </c>
      <c r="J274" s="23"/>
      <c r="K274" s="19" t="s">
        <v>8</v>
      </c>
      <c r="L274" s="20">
        <v>424778.95</v>
      </c>
    </row>
    <row r="275" spans="1:12" ht="61.2" x14ac:dyDescent="0.3">
      <c r="A275" s="14" t="s">
        <v>332</v>
      </c>
      <c r="B275" s="15" t="s">
        <v>350</v>
      </c>
      <c r="C275" s="15" t="s">
        <v>40</v>
      </c>
      <c r="D275" s="15" t="s">
        <v>32</v>
      </c>
      <c r="E275" s="16" t="s">
        <v>42</v>
      </c>
      <c r="F275" s="22" t="s">
        <v>15</v>
      </c>
      <c r="G275" s="22"/>
      <c r="H275" s="16" t="s">
        <v>13</v>
      </c>
      <c r="I275" s="26">
        <v>2982.8</v>
      </c>
      <c r="J275" s="26"/>
      <c r="K275" s="19" t="s">
        <v>8</v>
      </c>
      <c r="L275" s="20">
        <v>421796.15</v>
      </c>
    </row>
    <row r="276" spans="1:12" ht="61.2" x14ac:dyDescent="0.3">
      <c r="A276" s="14" t="s">
        <v>332</v>
      </c>
      <c r="B276" s="15" t="s">
        <v>350</v>
      </c>
      <c r="C276" s="15" t="s">
        <v>40</v>
      </c>
      <c r="D276" s="15" t="s">
        <v>121</v>
      </c>
      <c r="E276" s="16" t="s">
        <v>42</v>
      </c>
      <c r="F276" s="22" t="s">
        <v>15</v>
      </c>
      <c r="G276" s="22"/>
      <c r="H276" s="16" t="s">
        <v>13</v>
      </c>
      <c r="I276" s="23">
        <v>792.6</v>
      </c>
      <c r="J276" s="23"/>
      <c r="K276" s="19" t="s">
        <v>8</v>
      </c>
      <c r="L276" s="20">
        <v>421003.55</v>
      </c>
    </row>
    <row r="277" spans="1:12" ht="61.2" x14ac:dyDescent="0.3">
      <c r="A277" s="14" t="s">
        <v>332</v>
      </c>
      <c r="B277" s="15" t="s">
        <v>350</v>
      </c>
      <c r="C277" s="15" t="s">
        <v>40</v>
      </c>
      <c r="D277" s="15" t="s">
        <v>122</v>
      </c>
      <c r="E277" s="16" t="s">
        <v>42</v>
      </c>
      <c r="F277" s="22" t="s">
        <v>15</v>
      </c>
      <c r="G277" s="22"/>
      <c r="H277" s="16" t="s">
        <v>13</v>
      </c>
      <c r="I277" s="23">
        <v>877.5</v>
      </c>
      <c r="J277" s="23"/>
      <c r="K277" s="19" t="s">
        <v>8</v>
      </c>
      <c r="L277" s="20">
        <v>420126.05</v>
      </c>
    </row>
    <row r="278" spans="1:12" ht="61.2" x14ac:dyDescent="0.3">
      <c r="A278" s="14" t="s">
        <v>332</v>
      </c>
      <c r="B278" s="15" t="s">
        <v>350</v>
      </c>
      <c r="C278" s="15" t="s">
        <v>40</v>
      </c>
      <c r="D278" s="15" t="s">
        <v>153</v>
      </c>
      <c r="E278" s="16" t="s">
        <v>42</v>
      </c>
      <c r="F278" s="22" t="s">
        <v>15</v>
      </c>
      <c r="G278" s="22"/>
      <c r="H278" s="16" t="s">
        <v>13</v>
      </c>
      <c r="I278" s="23">
        <v>421.5</v>
      </c>
      <c r="J278" s="23"/>
      <c r="K278" s="19" t="s">
        <v>8</v>
      </c>
      <c r="L278" s="20">
        <v>419704.55</v>
      </c>
    </row>
    <row r="279" spans="1:12" ht="61.2" x14ac:dyDescent="0.3">
      <c r="A279" s="14" t="s">
        <v>332</v>
      </c>
      <c r="B279" s="15" t="s">
        <v>351</v>
      </c>
      <c r="C279" s="15" t="s">
        <v>40</v>
      </c>
      <c r="D279" s="15" t="s">
        <v>131</v>
      </c>
      <c r="E279" s="16" t="s">
        <v>42</v>
      </c>
      <c r="F279" s="22" t="s">
        <v>15</v>
      </c>
      <c r="G279" s="22"/>
      <c r="H279" s="16" t="s">
        <v>13</v>
      </c>
      <c r="I279" s="23">
        <v>310</v>
      </c>
      <c r="J279" s="23"/>
      <c r="K279" s="19" t="s">
        <v>8</v>
      </c>
      <c r="L279" s="20">
        <v>419394.55</v>
      </c>
    </row>
    <row r="280" spans="1:12" ht="61.2" x14ac:dyDescent="0.3">
      <c r="A280" s="14" t="s">
        <v>332</v>
      </c>
      <c r="B280" s="15" t="s">
        <v>351</v>
      </c>
      <c r="C280" s="15" t="s">
        <v>40</v>
      </c>
      <c r="D280" s="15" t="s">
        <v>132</v>
      </c>
      <c r="E280" s="16" t="s">
        <v>42</v>
      </c>
      <c r="F280" s="22" t="s">
        <v>15</v>
      </c>
      <c r="G280" s="22"/>
      <c r="H280" s="16" t="s">
        <v>13</v>
      </c>
      <c r="I280" s="23">
        <v>300.39999999999998</v>
      </c>
      <c r="J280" s="23"/>
      <c r="K280" s="19" t="s">
        <v>8</v>
      </c>
      <c r="L280" s="20">
        <v>419094.15</v>
      </c>
    </row>
    <row r="281" spans="1:12" ht="61.2" x14ac:dyDescent="0.3">
      <c r="A281" s="14" t="s">
        <v>332</v>
      </c>
      <c r="B281" s="15" t="s">
        <v>351</v>
      </c>
      <c r="C281" s="15" t="s">
        <v>40</v>
      </c>
      <c r="D281" s="15" t="s">
        <v>133</v>
      </c>
      <c r="E281" s="16" t="s">
        <v>42</v>
      </c>
      <c r="F281" s="22" t="s">
        <v>15</v>
      </c>
      <c r="G281" s="22"/>
      <c r="H281" s="16" t="s">
        <v>13</v>
      </c>
      <c r="I281" s="23">
        <v>311.60000000000002</v>
      </c>
      <c r="J281" s="23"/>
      <c r="K281" s="19" t="s">
        <v>8</v>
      </c>
      <c r="L281" s="20">
        <v>418782.55</v>
      </c>
    </row>
    <row r="282" spans="1:12" ht="61.2" x14ac:dyDescent="0.3">
      <c r="A282" s="14" t="s">
        <v>332</v>
      </c>
      <c r="B282" s="15" t="s">
        <v>351</v>
      </c>
      <c r="C282" s="15" t="s">
        <v>40</v>
      </c>
      <c r="D282" s="15" t="s">
        <v>135</v>
      </c>
      <c r="E282" s="16" t="s">
        <v>42</v>
      </c>
      <c r="F282" s="22" t="s">
        <v>15</v>
      </c>
      <c r="G282" s="22"/>
      <c r="H282" s="16" t="s">
        <v>13</v>
      </c>
      <c r="I282" s="23">
        <v>361</v>
      </c>
      <c r="J282" s="23"/>
      <c r="K282" s="19" t="s">
        <v>8</v>
      </c>
      <c r="L282" s="20">
        <v>418421.55</v>
      </c>
    </row>
    <row r="283" spans="1:12" ht="61.2" x14ac:dyDescent="0.3">
      <c r="A283" s="14" t="s">
        <v>332</v>
      </c>
      <c r="B283" s="15" t="s">
        <v>351</v>
      </c>
      <c r="C283" s="15" t="s">
        <v>40</v>
      </c>
      <c r="D283" s="15" t="s">
        <v>134</v>
      </c>
      <c r="E283" s="16" t="s">
        <v>42</v>
      </c>
      <c r="F283" s="22" t="s">
        <v>15</v>
      </c>
      <c r="G283" s="22"/>
      <c r="H283" s="16" t="s">
        <v>13</v>
      </c>
      <c r="I283" s="23">
        <v>401.2</v>
      </c>
      <c r="J283" s="23"/>
      <c r="K283" s="19" t="s">
        <v>8</v>
      </c>
      <c r="L283" s="20">
        <v>418020.35</v>
      </c>
    </row>
    <row r="284" spans="1:12" ht="61.2" x14ac:dyDescent="0.3">
      <c r="A284" s="14" t="s">
        <v>332</v>
      </c>
      <c r="B284" s="15" t="s">
        <v>351</v>
      </c>
      <c r="C284" s="15" t="s">
        <v>40</v>
      </c>
      <c r="D284" s="15" t="s">
        <v>267</v>
      </c>
      <c r="E284" s="16" t="s">
        <v>42</v>
      </c>
      <c r="F284" s="22" t="s">
        <v>15</v>
      </c>
      <c r="G284" s="22"/>
      <c r="H284" s="16" t="s">
        <v>13</v>
      </c>
      <c r="I284" s="23">
        <v>500.83</v>
      </c>
      <c r="J284" s="23"/>
      <c r="K284" s="19" t="s">
        <v>8</v>
      </c>
      <c r="L284" s="20">
        <v>417519.52</v>
      </c>
    </row>
    <row r="285" spans="1:12" ht="71.400000000000006" x14ac:dyDescent="0.3">
      <c r="A285" s="14" t="s">
        <v>332</v>
      </c>
      <c r="B285" s="15" t="s">
        <v>351</v>
      </c>
      <c r="C285" s="15" t="s">
        <v>40</v>
      </c>
      <c r="D285" s="15" t="s">
        <v>88</v>
      </c>
      <c r="E285" s="16" t="s">
        <v>42</v>
      </c>
      <c r="F285" s="22" t="s">
        <v>15</v>
      </c>
      <c r="G285" s="22"/>
      <c r="H285" s="16" t="s">
        <v>13</v>
      </c>
      <c r="I285" s="26">
        <v>6500</v>
      </c>
      <c r="J285" s="26"/>
      <c r="K285" s="19" t="s">
        <v>8</v>
      </c>
      <c r="L285" s="20">
        <v>411019.52000000002</v>
      </c>
    </row>
    <row r="286" spans="1:12" ht="71.400000000000006" x14ac:dyDescent="0.3">
      <c r="A286" s="14" t="s">
        <v>332</v>
      </c>
      <c r="B286" s="15" t="s">
        <v>351</v>
      </c>
      <c r="C286" s="15" t="s">
        <v>40</v>
      </c>
      <c r="D286" s="15" t="s">
        <v>120</v>
      </c>
      <c r="E286" s="16" t="s">
        <v>42</v>
      </c>
      <c r="F286" s="22" t="s">
        <v>15</v>
      </c>
      <c r="G286" s="22"/>
      <c r="H286" s="16" t="s">
        <v>13</v>
      </c>
      <c r="I286" s="23">
        <v>892.8</v>
      </c>
      <c r="J286" s="23"/>
      <c r="K286" s="19" t="s">
        <v>8</v>
      </c>
      <c r="L286" s="20">
        <v>410126.72</v>
      </c>
    </row>
    <row r="287" spans="1:12" ht="71.400000000000006" x14ac:dyDescent="0.3">
      <c r="A287" s="14" t="s">
        <v>332</v>
      </c>
      <c r="B287" s="15" t="s">
        <v>351</v>
      </c>
      <c r="C287" s="15" t="s">
        <v>40</v>
      </c>
      <c r="D287" s="15" t="s">
        <v>29</v>
      </c>
      <c r="E287" s="16" t="s">
        <v>42</v>
      </c>
      <c r="F287" s="22" t="s">
        <v>15</v>
      </c>
      <c r="G287" s="22"/>
      <c r="H287" s="16" t="s">
        <v>13</v>
      </c>
      <c r="I287" s="26">
        <v>2330</v>
      </c>
      <c r="J287" s="26"/>
      <c r="K287" s="19" t="s">
        <v>8</v>
      </c>
      <c r="L287" s="20">
        <v>407796.72</v>
      </c>
    </row>
    <row r="288" spans="1:12" ht="81.599999999999994" x14ac:dyDescent="0.3">
      <c r="A288" s="14" t="s">
        <v>332</v>
      </c>
      <c r="B288" s="15" t="s">
        <v>351</v>
      </c>
      <c r="C288" s="15" t="s">
        <v>40</v>
      </c>
      <c r="D288" s="15" t="s">
        <v>24</v>
      </c>
      <c r="E288" s="16" t="s">
        <v>42</v>
      </c>
      <c r="F288" s="22" t="s">
        <v>15</v>
      </c>
      <c r="G288" s="22"/>
      <c r="H288" s="16" t="s">
        <v>13</v>
      </c>
      <c r="I288" s="26">
        <v>3415</v>
      </c>
      <c r="J288" s="26"/>
      <c r="K288" s="19" t="s">
        <v>8</v>
      </c>
      <c r="L288" s="20">
        <v>404381.72</v>
      </c>
    </row>
    <row r="289" spans="1:12" ht="81.599999999999994" x14ac:dyDescent="0.3">
      <c r="A289" s="14" t="s">
        <v>332</v>
      </c>
      <c r="B289" s="15" t="s">
        <v>351</v>
      </c>
      <c r="C289" s="15" t="s">
        <v>40</v>
      </c>
      <c r="D289" s="15" t="s">
        <v>76</v>
      </c>
      <c r="E289" s="16" t="s">
        <v>42</v>
      </c>
      <c r="F289" s="22" t="s">
        <v>15</v>
      </c>
      <c r="G289" s="22"/>
      <c r="H289" s="16" t="s">
        <v>13</v>
      </c>
      <c r="I289" s="26">
        <v>3415</v>
      </c>
      <c r="J289" s="26"/>
      <c r="K289" s="19" t="s">
        <v>8</v>
      </c>
      <c r="L289" s="20">
        <v>400966.72</v>
      </c>
    </row>
    <row r="290" spans="1:12" ht="71.400000000000006" x14ac:dyDescent="0.3">
      <c r="A290" s="14" t="s">
        <v>332</v>
      </c>
      <c r="B290" s="15" t="s">
        <v>352</v>
      </c>
      <c r="C290" s="15" t="s">
        <v>40</v>
      </c>
      <c r="D290" s="15" t="s">
        <v>163</v>
      </c>
      <c r="E290" s="16" t="s">
        <v>42</v>
      </c>
      <c r="F290" s="22" t="s">
        <v>15</v>
      </c>
      <c r="G290" s="22"/>
      <c r="H290" s="16" t="s">
        <v>13</v>
      </c>
      <c r="I290" s="23">
        <v>85.5</v>
      </c>
      <c r="J290" s="23"/>
      <c r="K290" s="19" t="s">
        <v>8</v>
      </c>
      <c r="L290" s="20">
        <v>400881.22</v>
      </c>
    </row>
    <row r="291" spans="1:12" ht="61.2" x14ac:dyDescent="0.3">
      <c r="A291" s="14" t="s">
        <v>332</v>
      </c>
      <c r="B291" s="15" t="s">
        <v>352</v>
      </c>
      <c r="C291" s="15" t="s">
        <v>40</v>
      </c>
      <c r="D291" s="15" t="s">
        <v>82</v>
      </c>
      <c r="E291" s="16" t="s">
        <v>42</v>
      </c>
      <c r="F291" s="22" t="s">
        <v>15</v>
      </c>
      <c r="G291" s="22"/>
      <c r="H291" s="16" t="s">
        <v>13</v>
      </c>
      <c r="I291" s="26">
        <v>1300</v>
      </c>
      <c r="J291" s="26"/>
      <c r="K291" s="19" t="s">
        <v>8</v>
      </c>
      <c r="L291" s="20">
        <v>399581.22</v>
      </c>
    </row>
    <row r="292" spans="1:12" hidden="1" x14ac:dyDescent="0.3">
      <c r="A292" s="27" t="s">
        <v>353</v>
      </c>
      <c r="B292" s="27"/>
      <c r="C292" s="27"/>
      <c r="D292" s="27"/>
      <c r="E292" s="28">
        <v>322113.83</v>
      </c>
      <c r="F292" s="28"/>
      <c r="G292" s="28"/>
      <c r="H292" s="28">
        <v>291199.82</v>
      </c>
      <c r="I292" s="28"/>
      <c r="J292" s="28"/>
      <c r="K292" s="29" t="s">
        <v>8</v>
      </c>
      <c r="L292" s="30">
        <v>547350.76</v>
      </c>
    </row>
    <row r="294" spans="1:12" x14ac:dyDescent="0.3">
      <c r="J294" s="31">
        <f>SUBTOTAL(9,I13:J291)</f>
        <v>246233.15000000002</v>
      </c>
    </row>
    <row r="296" spans="1:12" x14ac:dyDescent="0.3">
      <c r="J296" s="31">
        <f>J294*1.2</f>
        <v>295479.78000000003</v>
      </c>
    </row>
  </sheetData>
  <autoFilter ref="B1:D292" xr:uid="{74542589-1433-4D9B-8981-815271BF7E08}">
    <filterColumn colId="0">
      <filters>
        <filter val="Передача малоцінних активів в експлуатацію ІБ00-000630 від 12.12.2025 23:00:09_x000a_Списание стоимости малоценных активов"/>
        <filter val="Передача малоцінних активів в експлуатацію ІБ00-000632 від 12.12.2025 23:00:13_x000a_Списание стоимости малоценных активов"/>
        <filter val="Передача малоцінних активів в експлуатацію ІБ00-000633 від 12.12.2025 23:00:15_x000a_Списание стоимости малоценных активов"/>
        <filter val="Передача малоцінних активів в експлуатацію ІБ00-000634 від 12.12.2025 23:00:17_x000a_Списание стоимости малоценных активов"/>
        <filter val="Передача малоцінних активів в експлуатацію ІБ00-000635 від 12.12.2025 23:00:19_x000a_Списание стоимости малоценных активов"/>
        <filter val="Передача малоцінних активів в експлуатацію ІБ00-000637 від 12.12.2025 23:00:21_x000a_Списание стоимости малоценных активов"/>
        <filter val="Передача малоцінних активів в експлуатацію ІБ00-000638 від 12.12.2025 15:10:39_x000a_Списание стоимости малоценных активов"/>
        <filter val="Передача малоцінних активів в експлуатацію ІБ00-000639 від 12.12.2025 23:00:24_x000a_Списание стоимости малоценных активов"/>
        <filter val="Передача малоцінних активів в експлуатацію ІБ00-000640 від 12.12.2025 23:00:25_x000a_Списание стоимости малоценных активов"/>
        <filter val="Передача малоцінних активів в експлуатацію ІБ00-000655 від 20.12.2025 20:00:00_x000a_Списание стоимости малоценных активов"/>
        <filter val="Передача малоцінних активів в експлуатацію ІБ00-000656 від 20.12.2025 20:12:52_x000a_Списание стоимости малоценных активов"/>
        <filter val="Передача малоцінних активів в експлуатацію ІБ00-000657 від 20.12.2025 20:12:54_x000a_Списание стоимости малоценных активов"/>
        <filter val="Передача малоцінних активів в експлуатацію ІБ00-000658 від 20.12.2025 20:12:57_x000a_Списание стоимости малоценных активов"/>
        <filter val="Передача малоцінних активів в експлуатацію ІБ00-000659 від 20.12.2025 16:37:08_x000a_Списание стоимости малоценных активов"/>
        <filter val="Передача малоцінних активів в експлуатацію ІБ00-000660 від 20.12.2025 20:12:59_x000a_Списание стоимости малоценных активов"/>
        <filter val="Передача малоцінних активів в експлуатацію ІБ00-000661 від 20.12.2025 20:13:03_x000a_Списание стоимости малоценных активов"/>
        <filter val="Передача малоцінних активів в експлуатацію ІБ00-000662 від 20.12.2025 20:13:05_x000a_Списание стоимости малоценных активов"/>
        <filter val="Передача малоцінних активів в експлуатацію ІБ00-000663 від 20.12.2025 20:13:07_x000a_Списание стоимости малоценных активов"/>
        <filter val="Передача малоцінних активів в експлуатацію ІБ00-000664 від 20.12.2025 20:13:10_x000a_Списание стоимости малоценных активов"/>
        <filter val="Передача малоцінних активів в експлуатацію ІБ00-000665 від 20.12.2025 20:13:12_x000a_Списание стоимости малоценных активов"/>
        <filter val="Передача малоцінних активів в експлуатацію ІБ00-000666 від 20.12.2025 12:00:00_x000a_Списание стоимости малоценных активов"/>
        <filter val="Передача малоцінних активів в експлуатацію ІБ00-000672 від 20.12.2025 20:00:00_x000a_Списание стоимости малоценных активов"/>
        <filter val="Передача малоцінних активів в експлуатацію ІБ00-000675 від 26.12.2025 13:00:03_x000a_Списание стоимости малоценных активов"/>
        <filter val="Передача малоцінних активів в експлуатацію ІБ00-000676 від 29.12.2025 13:00:10_x000a_Списание стоимости малоценных активов"/>
        <filter val="Передача малоцінних активів в експлуатацію ІБ00-000677 від 26.12.2025 13:00:22_x000a_Списание стоимости малоценных активов"/>
        <filter val="Передача малоцінних активів в експлуатацію ІБ00-000678 від 26.12.2025 15:00:00_x000a_Списание стоимости малоценных активов"/>
        <filter val="Передача малоцінних активів в експлуатацію ІБ00-000691 від 30.12.2025 22:00:32_x000a_Списание стоимости малоценных активов"/>
        <filter val="Передача малоцінних активів в експлуатацію ІБ00-000692 від 30.12.2025 22:00:34_x000a_Списание стоимости малоценных активов"/>
        <filter val="Передача малоцінних активів в експлуатацію ІБ00-000693 від 30.12.2025 22:00:36_x000a_Списание стоимости малоценных активов"/>
        <filter val="Передача малоцінних активів в експлуатацію ІБ00-000694 від 30.12.2025 22:00:39_x000a_Списание стоимости малоценных активов"/>
        <filter val="Передача малоцінних активів в експлуатацію ІБ00-000695 від 30.12.2025 23:00:00_x000a_Списание стоимости малоценных активов"/>
        <filter val="Передача малоцінних активів в експлуатацію ІБ00-000696 від 30.12.2025 23:00:02_x000a_Списание стоимости малоценных активов"/>
        <filter val="Передача малоцінних активів в експлуатацію ІБ00-000697 від 30.12.2025 23:00:04_x000a_Списание стоимости малоценных активов"/>
        <filter val="Передача малоцінних активів в експлуатацію ІБ00-000698 від 30.12.2025 23:00:00_x000a_Списание стоимости малоценных активов"/>
        <filter val="Передача малоцінних активів в експлуатацію ІБ00-000699 від 30.12.2025 10:00:00_x000a_Списание стоимости малоценных активов"/>
        <filter val="Передача малоцінних активів в експлуатацію ІБ00-000700 від 30.12.2025 23:00:00_x000a_Списание стоимости малоценных активов"/>
        <filter val="Передача малоцінних активів в експлуатацію ІБ00-000701 від 30.12.2025 23:00:00_x000a_Списание стоимости малоценных активов"/>
      </filters>
    </filterColumn>
  </autoFilter>
  <mergeCells count="590">
    <mergeCell ref="A292:D292"/>
    <mergeCell ref="E292:G292"/>
    <mergeCell ref="H292:J292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FC06-B5F2-468E-8299-9BB010A99F41}">
  <sheetPr filterMode="1"/>
  <dimension ref="A1:L1317"/>
  <sheetViews>
    <sheetView topLeftCell="A1311" workbookViewId="0">
      <selection activeCell="J1317" sqref="J1317"/>
    </sheetView>
  </sheetViews>
  <sheetFormatPr defaultRowHeight="14.4" x14ac:dyDescent="0.3"/>
  <cols>
    <col min="2" max="4" width="28.5546875" customWidth="1"/>
    <col min="10" max="10" width="12.33203125" bestFit="1" customWidth="1"/>
  </cols>
  <sheetData>
    <row r="1" spans="1:12" x14ac:dyDescent="0.3">
      <c r="A1" s="144" t="s">
        <v>0</v>
      </c>
      <c r="B1" s="145" t="s">
        <v>1</v>
      </c>
      <c r="C1" s="145" t="s">
        <v>2</v>
      </c>
      <c r="D1" s="146" t="s">
        <v>3</v>
      </c>
      <c r="E1" s="147" t="s">
        <v>4</v>
      </c>
      <c r="F1" s="147"/>
      <c r="G1" s="147"/>
      <c r="H1" s="148" t="s">
        <v>5</v>
      </c>
      <c r="I1" s="148"/>
      <c r="J1" s="148"/>
      <c r="K1" s="145" t="s">
        <v>6</v>
      </c>
      <c r="L1" s="145"/>
    </row>
    <row r="2" spans="1:12" hidden="1" x14ac:dyDescent="0.3">
      <c r="A2" s="149"/>
      <c r="B2" s="150"/>
      <c r="C2" s="150"/>
      <c r="D2" s="151"/>
      <c r="E2" s="152" t="s">
        <v>7</v>
      </c>
      <c r="F2" s="153"/>
      <c r="G2" s="153"/>
      <c r="H2" s="154" t="s">
        <v>7</v>
      </c>
      <c r="I2" s="155"/>
      <c r="J2" s="155"/>
      <c r="K2" s="149"/>
      <c r="L2" s="156"/>
    </row>
    <row r="3" spans="1:12" ht="61.2" x14ac:dyDescent="0.3">
      <c r="A3" s="157" t="s">
        <v>9</v>
      </c>
      <c r="B3" s="158" t="s">
        <v>771</v>
      </c>
      <c r="C3" s="158" t="s">
        <v>611</v>
      </c>
      <c r="D3" s="158" t="s">
        <v>772</v>
      </c>
      <c r="E3" s="159" t="s">
        <v>613</v>
      </c>
      <c r="F3" s="160" t="s">
        <v>15</v>
      </c>
      <c r="G3" s="160"/>
      <c r="H3" s="159" t="s">
        <v>283</v>
      </c>
      <c r="I3" s="161">
        <v>395983.5</v>
      </c>
      <c r="J3" s="161"/>
      <c r="K3" s="162" t="s">
        <v>8</v>
      </c>
      <c r="L3" s="163">
        <v>7968189.5700000003</v>
      </c>
    </row>
    <row r="4" spans="1:12" ht="61.2" x14ac:dyDescent="0.3">
      <c r="A4" s="157" t="s">
        <v>9</v>
      </c>
      <c r="B4" s="158" t="s">
        <v>771</v>
      </c>
      <c r="C4" s="158" t="s">
        <v>611</v>
      </c>
      <c r="D4" s="158" t="s">
        <v>773</v>
      </c>
      <c r="E4" s="159" t="s">
        <v>613</v>
      </c>
      <c r="F4" s="160" t="s">
        <v>15</v>
      </c>
      <c r="G4" s="160"/>
      <c r="H4" s="159" t="s">
        <v>283</v>
      </c>
      <c r="I4" s="161">
        <v>142444.5</v>
      </c>
      <c r="J4" s="161"/>
      <c r="K4" s="162" t="s">
        <v>8</v>
      </c>
      <c r="L4" s="163">
        <v>7825745.0700000003</v>
      </c>
    </row>
    <row r="5" spans="1:12" ht="71.400000000000006" x14ac:dyDescent="0.3">
      <c r="A5" s="157" t="s">
        <v>9</v>
      </c>
      <c r="B5" s="158" t="s">
        <v>771</v>
      </c>
      <c r="C5" s="158" t="s">
        <v>611</v>
      </c>
      <c r="D5" s="158" t="s">
        <v>774</v>
      </c>
      <c r="E5" s="159" t="s">
        <v>613</v>
      </c>
      <c r="F5" s="160" t="s">
        <v>15</v>
      </c>
      <c r="G5" s="160"/>
      <c r="H5" s="159" t="s">
        <v>283</v>
      </c>
      <c r="I5" s="161">
        <v>319572</v>
      </c>
      <c r="J5" s="161"/>
      <c r="K5" s="162" t="s">
        <v>8</v>
      </c>
      <c r="L5" s="163">
        <v>7506173.0700000003</v>
      </c>
    </row>
    <row r="6" spans="1:12" ht="61.2" x14ac:dyDescent="0.3">
      <c r="A6" s="157" t="s">
        <v>9</v>
      </c>
      <c r="B6" s="158" t="s">
        <v>771</v>
      </c>
      <c r="C6" s="158" t="s">
        <v>611</v>
      </c>
      <c r="D6" s="158" t="s">
        <v>775</v>
      </c>
      <c r="E6" s="159" t="s">
        <v>613</v>
      </c>
      <c r="F6" s="160" t="s">
        <v>15</v>
      </c>
      <c r="G6" s="160"/>
      <c r="H6" s="159" t="s">
        <v>283</v>
      </c>
      <c r="I6" s="161">
        <v>245553</v>
      </c>
      <c r="J6" s="161"/>
      <c r="K6" s="162" t="s">
        <v>8</v>
      </c>
      <c r="L6" s="163">
        <v>7260620.0700000003</v>
      </c>
    </row>
    <row r="7" spans="1:12" ht="61.2" x14ac:dyDescent="0.3">
      <c r="A7" s="157" t="s">
        <v>9</v>
      </c>
      <c r="B7" s="158" t="s">
        <v>771</v>
      </c>
      <c r="C7" s="158" t="s">
        <v>611</v>
      </c>
      <c r="D7" s="158" t="s">
        <v>776</v>
      </c>
      <c r="E7" s="159" t="s">
        <v>613</v>
      </c>
      <c r="F7" s="160" t="s">
        <v>15</v>
      </c>
      <c r="G7" s="160"/>
      <c r="H7" s="159" t="s">
        <v>283</v>
      </c>
      <c r="I7" s="161">
        <v>8382</v>
      </c>
      <c r="J7" s="161"/>
      <c r="K7" s="162" t="s">
        <v>8</v>
      </c>
      <c r="L7" s="163">
        <v>7252238.0700000003</v>
      </c>
    </row>
    <row r="8" spans="1:12" ht="61.2" x14ac:dyDescent="0.3">
      <c r="A8" s="157" t="s">
        <v>9</v>
      </c>
      <c r="B8" s="158" t="s">
        <v>771</v>
      </c>
      <c r="C8" s="158" t="s">
        <v>611</v>
      </c>
      <c r="D8" s="158" t="s">
        <v>777</v>
      </c>
      <c r="E8" s="159" t="s">
        <v>613</v>
      </c>
      <c r="F8" s="160" t="s">
        <v>15</v>
      </c>
      <c r="G8" s="160"/>
      <c r="H8" s="159" t="s">
        <v>283</v>
      </c>
      <c r="I8" s="161">
        <v>3405.6</v>
      </c>
      <c r="J8" s="161"/>
      <c r="K8" s="162" t="s">
        <v>8</v>
      </c>
      <c r="L8" s="163">
        <v>7248832.4699999997</v>
      </c>
    </row>
    <row r="9" spans="1:12" ht="61.2" x14ac:dyDescent="0.3">
      <c r="A9" s="157" t="s">
        <v>9</v>
      </c>
      <c r="B9" s="158" t="s">
        <v>771</v>
      </c>
      <c r="C9" s="158" t="s">
        <v>611</v>
      </c>
      <c r="D9" s="158" t="s">
        <v>778</v>
      </c>
      <c r="E9" s="159" t="s">
        <v>613</v>
      </c>
      <c r="F9" s="160" t="s">
        <v>15</v>
      </c>
      <c r="G9" s="160"/>
      <c r="H9" s="159" t="s">
        <v>283</v>
      </c>
      <c r="I9" s="161">
        <v>487014</v>
      </c>
      <c r="J9" s="161"/>
      <c r="K9" s="162" t="s">
        <v>8</v>
      </c>
      <c r="L9" s="163">
        <v>6761818.4699999997</v>
      </c>
    </row>
    <row r="10" spans="1:12" ht="61.2" x14ac:dyDescent="0.3">
      <c r="A10" s="157" t="s">
        <v>9</v>
      </c>
      <c r="B10" s="158" t="s">
        <v>771</v>
      </c>
      <c r="C10" s="158" t="s">
        <v>611</v>
      </c>
      <c r="D10" s="158" t="s">
        <v>779</v>
      </c>
      <c r="E10" s="159" t="s">
        <v>613</v>
      </c>
      <c r="F10" s="160" t="s">
        <v>15</v>
      </c>
      <c r="G10" s="160"/>
      <c r="H10" s="159" t="s">
        <v>283</v>
      </c>
      <c r="I10" s="161">
        <v>259545</v>
      </c>
      <c r="J10" s="161"/>
      <c r="K10" s="162" t="s">
        <v>8</v>
      </c>
      <c r="L10" s="163">
        <v>6502273.4699999997</v>
      </c>
    </row>
    <row r="11" spans="1:12" ht="61.2" x14ac:dyDescent="0.3">
      <c r="A11" s="157" t="s">
        <v>9</v>
      </c>
      <c r="B11" s="158" t="s">
        <v>771</v>
      </c>
      <c r="C11" s="158" t="s">
        <v>611</v>
      </c>
      <c r="D11" s="158" t="s">
        <v>780</v>
      </c>
      <c r="E11" s="159" t="s">
        <v>613</v>
      </c>
      <c r="F11" s="160" t="s">
        <v>15</v>
      </c>
      <c r="G11" s="160"/>
      <c r="H11" s="159" t="s">
        <v>283</v>
      </c>
      <c r="I11" s="161">
        <v>459195</v>
      </c>
      <c r="J11" s="161"/>
      <c r="K11" s="162" t="s">
        <v>8</v>
      </c>
      <c r="L11" s="163">
        <v>6043078.4699999997</v>
      </c>
    </row>
    <row r="12" spans="1:12" ht="61.2" x14ac:dyDescent="0.3">
      <c r="A12" s="157" t="s">
        <v>9</v>
      </c>
      <c r="B12" s="158" t="s">
        <v>771</v>
      </c>
      <c r="C12" s="158" t="s">
        <v>611</v>
      </c>
      <c r="D12" s="158" t="s">
        <v>781</v>
      </c>
      <c r="E12" s="159" t="s">
        <v>613</v>
      </c>
      <c r="F12" s="160" t="s">
        <v>15</v>
      </c>
      <c r="G12" s="160"/>
      <c r="H12" s="159" t="s">
        <v>283</v>
      </c>
      <c r="I12" s="161">
        <v>154935</v>
      </c>
      <c r="J12" s="161"/>
      <c r="K12" s="162" t="s">
        <v>8</v>
      </c>
      <c r="L12" s="163">
        <v>5888143.4699999997</v>
      </c>
    </row>
    <row r="13" spans="1:12" ht="71.400000000000006" x14ac:dyDescent="0.3">
      <c r="A13" s="157" t="s">
        <v>9</v>
      </c>
      <c r="B13" s="158" t="s">
        <v>782</v>
      </c>
      <c r="C13" s="158" t="s">
        <v>611</v>
      </c>
      <c r="D13" s="158" t="s">
        <v>783</v>
      </c>
      <c r="E13" s="159" t="s">
        <v>613</v>
      </c>
      <c r="F13" s="160" t="s">
        <v>15</v>
      </c>
      <c r="G13" s="160"/>
      <c r="H13" s="159" t="s">
        <v>283</v>
      </c>
      <c r="I13" s="161">
        <v>21928.85</v>
      </c>
      <c r="J13" s="161"/>
      <c r="K13" s="162" t="s">
        <v>8</v>
      </c>
      <c r="L13" s="163">
        <v>5866214.6200000001</v>
      </c>
    </row>
    <row r="14" spans="1:12" ht="71.400000000000006" x14ac:dyDescent="0.3">
      <c r="A14" s="157" t="s">
        <v>9</v>
      </c>
      <c r="B14" s="158" t="s">
        <v>782</v>
      </c>
      <c r="C14" s="158" t="s">
        <v>611</v>
      </c>
      <c r="D14" s="158" t="s">
        <v>784</v>
      </c>
      <c r="E14" s="159" t="s">
        <v>613</v>
      </c>
      <c r="F14" s="160" t="s">
        <v>15</v>
      </c>
      <c r="G14" s="160"/>
      <c r="H14" s="159" t="s">
        <v>283</v>
      </c>
      <c r="I14" s="161">
        <v>12315.66</v>
      </c>
      <c r="J14" s="161"/>
      <c r="K14" s="162" t="s">
        <v>8</v>
      </c>
      <c r="L14" s="163">
        <v>5853898.96</v>
      </c>
    </row>
    <row r="15" spans="1:12" ht="71.400000000000006" x14ac:dyDescent="0.3">
      <c r="A15" s="157" t="s">
        <v>9</v>
      </c>
      <c r="B15" s="158" t="s">
        <v>782</v>
      </c>
      <c r="C15" s="158" t="s">
        <v>611</v>
      </c>
      <c r="D15" s="158" t="s">
        <v>785</v>
      </c>
      <c r="E15" s="159" t="s">
        <v>613</v>
      </c>
      <c r="F15" s="160" t="s">
        <v>15</v>
      </c>
      <c r="G15" s="160"/>
      <c r="H15" s="159" t="s">
        <v>283</v>
      </c>
      <c r="I15" s="161">
        <v>27970.28</v>
      </c>
      <c r="J15" s="161"/>
      <c r="K15" s="162" t="s">
        <v>8</v>
      </c>
      <c r="L15" s="163">
        <v>5825928.6799999997</v>
      </c>
    </row>
    <row r="16" spans="1:12" ht="71.400000000000006" x14ac:dyDescent="0.3">
      <c r="A16" s="157" t="s">
        <v>9</v>
      </c>
      <c r="B16" s="158" t="s">
        <v>782</v>
      </c>
      <c r="C16" s="158" t="s">
        <v>611</v>
      </c>
      <c r="D16" s="158" t="s">
        <v>786</v>
      </c>
      <c r="E16" s="159" t="s">
        <v>613</v>
      </c>
      <c r="F16" s="160" t="s">
        <v>15</v>
      </c>
      <c r="G16" s="160"/>
      <c r="H16" s="159" t="s">
        <v>283</v>
      </c>
      <c r="I16" s="161">
        <v>54748.61</v>
      </c>
      <c r="J16" s="161"/>
      <c r="K16" s="162" t="s">
        <v>8</v>
      </c>
      <c r="L16" s="163">
        <v>5771180.0700000003</v>
      </c>
    </row>
    <row r="17" spans="1:12" ht="71.400000000000006" x14ac:dyDescent="0.3">
      <c r="A17" s="157" t="s">
        <v>9</v>
      </c>
      <c r="B17" s="158" t="s">
        <v>782</v>
      </c>
      <c r="C17" s="158" t="s">
        <v>611</v>
      </c>
      <c r="D17" s="158" t="s">
        <v>787</v>
      </c>
      <c r="E17" s="159" t="s">
        <v>613</v>
      </c>
      <c r="F17" s="160" t="s">
        <v>15</v>
      </c>
      <c r="G17" s="160"/>
      <c r="H17" s="159" t="s">
        <v>283</v>
      </c>
      <c r="I17" s="161">
        <v>238903.4</v>
      </c>
      <c r="J17" s="161"/>
      <c r="K17" s="162" t="s">
        <v>8</v>
      </c>
      <c r="L17" s="163">
        <v>5532276.6699999999</v>
      </c>
    </row>
    <row r="18" spans="1:12" ht="71.400000000000006" x14ac:dyDescent="0.3">
      <c r="A18" s="157" t="s">
        <v>9</v>
      </c>
      <c r="B18" s="158" t="s">
        <v>782</v>
      </c>
      <c r="C18" s="158" t="s">
        <v>611</v>
      </c>
      <c r="D18" s="158" t="s">
        <v>788</v>
      </c>
      <c r="E18" s="159" t="s">
        <v>613</v>
      </c>
      <c r="F18" s="160" t="s">
        <v>15</v>
      </c>
      <c r="G18" s="160"/>
      <c r="H18" s="159" t="s">
        <v>283</v>
      </c>
      <c r="I18" s="161">
        <v>22794.95</v>
      </c>
      <c r="J18" s="161"/>
      <c r="K18" s="162" t="s">
        <v>8</v>
      </c>
      <c r="L18" s="163">
        <v>5509481.7199999997</v>
      </c>
    </row>
    <row r="19" spans="1:12" ht="71.400000000000006" x14ac:dyDescent="0.3">
      <c r="A19" s="157" t="s">
        <v>9</v>
      </c>
      <c r="B19" s="158" t="s">
        <v>782</v>
      </c>
      <c r="C19" s="158" t="s">
        <v>611</v>
      </c>
      <c r="D19" s="158" t="s">
        <v>789</v>
      </c>
      <c r="E19" s="159" t="s">
        <v>613</v>
      </c>
      <c r="F19" s="160" t="s">
        <v>15</v>
      </c>
      <c r="G19" s="160"/>
      <c r="H19" s="159" t="s">
        <v>283</v>
      </c>
      <c r="I19" s="161">
        <v>133550.46</v>
      </c>
      <c r="J19" s="161"/>
      <c r="K19" s="162" t="s">
        <v>8</v>
      </c>
      <c r="L19" s="163">
        <v>5375931.2599999998</v>
      </c>
    </row>
    <row r="20" spans="1:12" ht="71.400000000000006" x14ac:dyDescent="0.3">
      <c r="A20" s="157" t="s">
        <v>9</v>
      </c>
      <c r="B20" s="158" t="s">
        <v>782</v>
      </c>
      <c r="C20" s="158" t="s">
        <v>611</v>
      </c>
      <c r="D20" s="158" t="s">
        <v>790</v>
      </c>
      <c r="E20" s="159" t="s">
        <v>613</v>
      </c>
      <c r="F20" s="160" t="s">
        <v>15</v>
      </c>
      <c r="G20" s="160"/>
      <c r="H20" s="159" t="s">
        <v>283</v>
      </c>
      <c r="I20" s="161">
        <v>102256.77</v>
      </c>
      <c r="J20" s="161"/>
      <c r="K20" s="162" t="s">
        <v>8</v>
      </c>
      <c r="L20" s="163">
        <v>5273674.49</v>
      </c>
    </row>
    <row r="21" spans="1:12" ht="71.400000000000006" x14ac:dyDescent="0.3">
      <c r="A21" s="157" t="s">
        <v>9</v>
      </c>
      <c r="B21" s="158" t="s">
        <v>782</v>
      </c>
      <c r="C21" s="158" t="s">
        <v>611</v>
      </c>
      <c r="D21" s="158" t="s">
        <v>791</v>
      </c>
      <c r="E21" s="159" t="s">
        <v>613</v>
      </c>
      <c r="F21" s="160" t="s">
        <v>15</v>
      </c>
      <c r="G21" s="160"/>
      <c r="H21" s="159" t="s">
        <v>283</v>
      </c>
      <c r="I21" s="161">
        <v>3223.29</v>
      </c>
      <c r="J21" s="161"/>
      <c r="K21" s="162" t="s">
        <v>8</v>
      </c>
      <c r="L21" s="163">
        <v>5270451.2</v>
      </c>
    </row>
    <row r="22" spans="1:12" ht="71.400000000000006" x14ac:dyDescent="0.3">
      <c r="A22" s="157" t="s">
        <v>9</v>
      </c>
      <c r="B22" s="158" t="s">
        <v>782</v>
      </c>
      <c r="C22" s="158" t="s">
        <v>611</v>
      </c>
      <c r="D22" s="158" t="s">
        <v>792</v>
      </c>
      <c r="E22" s="159" t="s">
        <v>613</v>
      </c>
      <c r="F22" s="160" t="s">
        <v>15</v>
      </c>
      <c r="G22" s="160"/>
      <c r="H22" s="159" t="s">
        <v>283</v>
      </c>
      <c r="I22" s="161">
        <v>7183.68</v>
      </c>
      <c r="J22" s="161"/>
      <c r="K22" s="162" t="s">
        <v>8</v>
      </c>
      <c r="L22" s="163">
        <v>5263267.5199999996</v>
      </c>
    </row>
    <row r="23" spans="1:12" ht="71.400000000000006" x14ac:dyDescent="0.3">
      <c r="A23" s="157" t="s">
        <v>9</v>
      </c>
      <c r="B23" s="158" t="s">
        <v>782</v>
      </c>
      <c r="C23" s="158" t="s">
        <v>611</v>
      </c>
      <c r="D23" s="158" t="s">
        <v>793</v>
      </c>
      <c r="E23" s="159" t="s">
        <v>613</v>
      </c>
      <c r="F23" s="160" t="s">
        <v>15</v>
      </c>
      <c r="G23" s="160"/>
      <c r="H23" s="159" t="s">
        <v>283</v>
      </c>
      <c r="I23" s="161">
        <v>8352.74</v>
      </c>
      <c r="J23" s="161"/>
      <c r="K23" s="162" t="s">
        <v>8</v>
      </c>
      <c r="L23" s="163">
        <v>5254914.78</v>
      </c>
    </row>
    <row r="24" spans="1:12" ht="71.400000000000006" x14ac:dyDescent="0.3">
      <c r="A24" s="157" t="s">
        <v>9</v>
      </c>
      <c r="B24" s="158" t="s">
        <v>782</v>
      </c>
      <c r="C24" s="158" t="s">
        <v>611</v>
      </c>
      <c r="D24" s="158" t="s">
        <v>794</v>
      </c>
      <c r="E24" s="159" t="s">
        <v>613</v>
      </c>
      <c r="F24" s="160" t="s">
        <v>15</v>
      </c>
      <c r="G24" s="160"/>
      <c r="H24" s="159" t="s">
        <v>283</v>
      </c>
      <c r="I24" s="161">
        <v>31882.62</v>
      </c>
      <c r="J24" s="161"/>
      <c r="K24" s="162" t="s">
        <v>8</v>
      </c>
      <c r="L24" s="163">
        <v>5223032.16</v>
      </c>
    </row>
    <row r="25" spans="1:12" ht="71.400000000000006" x14ac:dyDescent="0.3">
      <c r="A25" s="157" t="s">
        <v>9</v>
      </c>
      <c r="B25" s="158" t="s">
        <v>782</v>
      </c>
      <c r="C25" s="158" t="s">
        <v>611</v>
      </c>
      <c r="D25" s="158" t="s">
        <v>795</v>
      </c>
      <c r="E25" s="159" t="s">
        <v>613</v>
      </c>
      <c r="F25" s="160" t="s">
        <v>15</v>
      </c>
      <c r="G25" s="160"/>
      <c r="H25" s="159" t="s">
        <v>283</v>
      </c>
      <c r="I25" s="161">
        <v>32815.07</v>
      </c>
      <c r="J25" s="161"/>
      <c r="K25" s="162" t="s">
        <v>8</v>
      </c>
      <c r="L25" s="163">
        <v>5190217.09</v>
      </c>
    </row>
    <row r="26" spans="1:12" ht="61.2" x14ac:dyDescent="0.3">
      <c r="A26" s="157" t="s">
        <v>9</v>
      </c>
      <c r="B26" s="158" t="s">
        <v>782</v>
      </c>
      <c r="C26" s="158" t="s">
        <v>611</v>
      </c>
      <c r="D26" s="158" t="s">
        <v>796</v>
      </c>
      <c r="E26" s="159" t="s">
        <v>613</v>
      </c>
      <c r="F26" s="160" t="s">
        <v>15</v>
      </c>
      <c r="G26" s="160"/>
      <c r="H26" s="159" t="s">
        <v>283</v>
      </c>
      <c r="I26" s="161">
        <v>50458.32</v>
      </c>
      <c r="J26" s="161"/>
      <c r="K26" s="162" t="s">
        <v>8</v>
      </c>
      <c r="L26" s="163">
        <v>5139758.7699999996</v>
      </c>
    </row>
    <row r="27" spans="1:12" ht="71.400000000000006" x14ac:dyDescent="0.3">
      <c r="A27" s="157" t="s">
        <v>9</v>
      </c>
      <c r="B27" s="158" t="s">
        <v>782</v>
      </c>
      <c r="C27" s="158" t="s">
        <v>611</v>
      </c>
      <c r="D27" s="158" t="s">
        <v>797</v>
      </c>
      <c r="E27" s="159" t="s">
        <v>613</v>
      </c>
      <c r="F27" s="160" t="s">
        <v>15</v>
      </c>
      <c r="G27" s="160"/>
      <c r="H27" s="159" t="s">
        <v>283</v>
      </c>
      <c r="I27" s="161">
        <v>6163.25</v>
      </c>
      <c r="J27" s="161"/>
      <c r="K27" s="162" t="s">
        <v>8</v>
      </c>
      <c r="L27" s="163">
        <v>5133595.5199999996</v>
      </c>
    </row>
    <row r="28" spans="1:12" ht="61.2" x14ac:dyDescent="0.3">
      <c r="A28" s="157" t="s">
        <v>9</v>
      </c>
      <c r="B28" s="158" t="s">
        <v>782</v>
      </c>
      <c r="C28" s="158" t="s">
        <v>611</v>
      </c>
      <c r="D28" s="158" t="s">
        <v>798</v>
      </c>
      <c r="E28" s="159" t="s">
        <v>613</v>
      </c>
      <c r="F28" s="160" t="s">
        <v>15</v>
      </c>
      <c r="G28" s="160"/>
      <c r="H28" s="159" t="s">
        <v>283</v>
      </c>
      <c r="I28" s="161">
        <v>17913.04</v>
      </c>
      <c r="J28" s="161"/>
      <c r="K28" s="162" t="s">
        <v>8</v>
      </c>
      <c r="L28" s="163">
        <v>5115682.4800000004</v>
      </c>
    </row>
    <row r="29" spans="1:12" ht="61.2" x14ac:dyDescent="0.3">
      <c r="A29" s="157" t="s">
        <v>9</v>
      </c>
      <c r="B29" s="158" t="s">
        <v>799</v>
      </c>
      <c r="C29" s="158" t="s">
        <v>611</v>
      </c>
      <c r="D29" s="158" t="s">
        <v>800</v>
      </c>
      <c r="E29" s="159" t="s">
        <v>613</v>
      </c>
      <c r="F29" s="160" t="s">
        <v>15</v>
      </c>
      <c r="G29" s="160"/>
      <c r="H29" s="159" t="s">
        <v>283</v>
      </c>
      <c r="I29" s="161">
        <v>207720.1</v>
      </c>
      <c r="J29" s="161"/>
      <c r="K29" s="162" t="s">
        <v>8</v>
      </c>
      <c r="L29" s="163">
        <v>4907962.38</v>
      </c>
    </row>
    <row r="30" spans="1:12" ht="61.2" x14ac:dyDescent="0.3">
      <c r="A30" s="157" t="s">
        <v>9</v>
      </c>
      <c r="B30" s="158" t="s">
        <v>799</v>
      </c>
      <c r="C30" s="158" t="s">
        <v>611</v>
      </c>
      <c r="D30" s="158" t="s">
        <v>801</v>
      </c>
      <c r="E30" s="159" t="s">
        <v>613</v>
      </c>
      <c r="F30" s="160" t="s">
        <v>15</v>
      </c>
      <c r="G30" s="160"/>
      <c r="H30" s="159" t="s">
        <v>283</v>
      </c>
      <c r="I30" s="161">
        <v>14244</v>
      </c>
      <c r="J30" s="161"/>
      <c r="K30" s="162" t="s">
        <v>8</v>
      </c>
      <c r="L30" s="163">
        <v>4893718.38</v>
      </c>
    </row>
    <row r="31" spans="1:12" ht="61.2" x14ac:dyDescent="0.3">
      <c r="A31" s="157" t="s">
        <v>9</v>
      </c>
      <c r="B31" s="158" t="s">
        <v>799</v>
      </c>
      <c r="C31" s="158" t="s">
        <v>611</v>
      </c>
      <c r="D31" s="158" t="s">
        <v>802</v>
      </c>
      <c r="E31" s="159" t="s">
        <v>613</v>
      </c>
      <c r="F31" s="160" t="s">
        <v>15</v>
      </c>
      <c r="G31" s="160"/>
      <c r="H31" s="159" t="s">
        <v>283</v>
      </c>
      <c r="I31" s="161">
        <v>35079</v>
      </c>
      <c r="J31" s="161"/>
      <c r="K31" s="162" t="s">
        <v>8</v>
      </c>
      <c r="L31" s="163">
        <v>4858639.38</v>
      </c>
    </row>
    <row r="32" spans="1:12" ht="61.2" x14ac:dyDescent="0.3">
      <c r="A32" s="157" t="s">
        <v>9</v>
      </c>
      <c r="B32" s="158" t="s">
        <v>799</v>
      </c>
      <c r="C32" s="158" t="s">
        <v>611</v>
      </c>
      <c r="D32" s="158" t="s">
        <v>803</v>
      </c>
      <c r="E32" s="159" t="s">
        <v>613</v>
      </c>
      <c r="F32" s="160" t="s">
        <v>15</v>
      </c>
      <c r="G32" s="160"/>
      <c r="H32" s="159" t="s">
        <v>283</v>
      </c>
      <c r="I32" s="164">
        <v>568</v>
      </c>
      <c r="J32" s="164"/>
      <c r="K32" s="162" t="s">
        <v>8</v>
      </c>
      <c r="L32" s="163">
        <v>4858071.38</v>
      </c>
    </row>
    <row r="33" spans="1:12" ht="61.2" x14ac:dyDescent="0.3">
      <c r="A33" s="157" t="s">
        <v>9</v>
      </c>
      <c r="B33" s="158" t="s">
        <v>799</v>
      </c>
      <c r="C33" s="158" t="s">
        <v>611</v>
      </c>
      <c r="D33" s="158" t="s">
        <v>804</v>
      </c>
      <c r="E33" s="159" t="s">
        <v>613</v>
      </c>
      <c r="F33" s="160" t="s">
        <v>15</v>
      </c>
      <c r="G33" s="160"/>
      <c r="H33" s="159" t="s">
        <v>283</v>
      </c>
      <c r="I33" s="161">
        <v>46530</v>
      </c>
      <c r="J33" s="161"/>
      <c r="K33" s="162" t="s">
        <v>8</v>
      </c>
      <c r="L33" s="163">
        <v>4811541.38</v>
      </c>
    </row>
    <row r="34" spans="1:12" ht="61.2" x14ac:dyDescent="0.3">
      <c r="A34" s="157" t="s">
        <v>9</v>
      </c>
      <c r="B34" s="158" t="s">
        <v>799</v>
      </c>
      <c r="C34" s="158" t="s">
        <v>611</v>
      </c>
      <c r="D34" s="158" t="s">
        <v>805</v>
      </c>
      <c r="E34" s="159" t="s">
        <v>613</v>
      </c>
      <c r="F34" s="160" t="s">
        <v>15</v>
      </c>
      <c r="G34" s="160"/>
      <c r="H34" s="159" t="s">
        <v>283</v>
      </c>
      <c r="I34" s="161">
        <v>79860</v>
      </c>
      <c r="J34" s="161"/>
      <c r="K34" s="162" t="s">
        <v>8</v>
      </c>
      <c r="L34" s="163">
        <v>4731681.38</v>
      </c>
    </row>
    <row r="35" spans="1:12" ht="61.2" x14ac:dyDescent="0.3">
      <c r="A35" s="157" t="s">
        <v>9</v>
      </c>
      <c r="B35" s="158" t="s">
        <v>799</v>
      </c>
      <c r="C35" s="158" t="s">
        <v>611</v>
      </c>
      <c r="D35" s="158" t="s">
        <v>806</v>
      </c>
      <c r="E35" s="159" t="s">
        <v>613</v>
      </c>
      <c r="F35" s="160" t="s">
        <v>15</v>
      </c>
      <c r="G35" s="160"/>
      <c r="H35" s="159" t="s">
        <v>283</v>
      </c>
      <c r="I35" s="161">
        <v>41745</v>
      </c>
      <c r="J35" s="161"/>
      <c r="K35" s="162" t="s">
        <v>8</v>
      </c>
      <c r="L35" s="163">
        <v>4689936.38</v>
      </c>
    </row>
    <row r="36" spans="1:12" ht="61.2" x14ac:dyDescent="0.3">
      <c r="A36" s="157" t="s">
        <v>9</v>
      </c>
      <c r="B36" s="158" t="s">
        <v>799</v>
      </c>
      <c r="C36" s="158" t="s">
        <v>611</v>
      </c>
      <c r="D36" s="158" t="s">
        <v>807</v>
      </c>
      <c r="E36" s="159" t="s">
        <v>613</v>
      </c>
      <c r="F36" s="160" t="s">
        <v>15</v>
      </c>
      <c r="G36" s="160"/>
      <c r="H36" s="159" t="s">
        <v>283</v>
      </c>
      <c r="I36" s="161">
        <v>51645</v>
      </c>
      <c r="J36" s="161"/>
      <c r="K36" s="162" t="s">
        <v>8</v>
      </c>
      <c r="L36" s="163">
        <v>4638291.38</v>
      </c>
    </row>
    <row r="37" spans="1:12" ht="71.400000000000006" x14ac:dyDescent="0.3">
      <c r="A37" s="157" t="s">
        <v>9</v>
      </c>
      <c r="B37" s="158" t="s">
        <v>799</v>
      </c>
      <c r="C37" s="158" t="s">
        <v>611</v>
      </c>
      <c r="D37" s="158" t="s">
        <v>808</v>
      </c>
      <c r="E37" s="159" t="s">
        <v>613</v>
      </c>
      <c r="F37" s="160" t="s">
        <v>15</v>
      </c>
      <c r="G37" s="160"/>
      <c r="H37" s="159" t="s">
        <v>283</v>
      </c>
      <c r="I37" s="161">
        <v>1070</v>
      </c>
      <c r="J37" s="161"/>
      <c r="K37" s="162" t="s">
        <v>8</v>
      </c>
      <c r="L37" s="163">
        <v>4637221.38</v>
      </c>
    </row>
    <row r="38" spans="1:12" ht="71.400000000000006" x14ac:dyDescent="0.3">
      <c r="A38" s="157" t="s">
        <v>9</v>
      </c>
      <c r="B38" s="158" t="s">
        <v>799</v>
      </c>
      <c r="C38" s="158" t="s">
        <v>611</v>
      </c>
      <c r="D38" s="158" t="s">
        <v>809</v>
      </c>
      <c r="E38" s="159" t="s">
        <v>613</v>
      </c>
      <c r="F38" s="160" t="s">
        <v>15</v>
      </c>
      <c r="G38" s="160"/>
      <c r="H38" s="159" t="s">
        <v>283</v>
      </c>
      <c r="I38" s="161">
        <v>1760</v>
      </c>
      <c r="J38" s="161"/>
      <c r="K38" s="162" t="s">
        <v>8</v>
      </c>
      <c r="L38" s="163">
        <v>4635461.38</v>
      </c>
    </row>
    <row r="39" spans="1:12" ht="71.400000000000006" x14ac:dyDescent="0.3">
      <c r="A39" s="157" t="s">
        <v>9</v>
      </c>
      <c r="B39" s="158" t="s">
        <v>799</v>
      </c>
      <c r="C39" s="158" t="s">
        <v>611</v>
      </c>
      <c r="D39" s="158" t="s">
        <v>810</v>
      </c>
      <c r="E39" s="159" t="s">
        <v>613</v>
      </c>
      <c r="F39" s="160" t="s">
        <v>15</v>
      </c>
      <c r="G39" s="160"/>
      <c r="H39" s="159" t="s">
        <v>283</v>
      </c>
      <c r="I39" s="161">
        <v>8608</v>
      </c>
      <c r="J39" s="161"/>
      <c r="K39" s="162" t="s">
        <v>8</v>
      </c>
      <c r="L39" s="163">
        <v>4626853.38</v>
      </c>
    </row>
    <row r="40" spans="1:12" ht="71.400000000000006" x14ac:dyDescent="0.3">
      <c r="A40" s="157" t="s">
        <v>9</v>
      </c>
      <c r="B40" s="158" t="s">
        <v>799</v>
      </c>
      <c r="C40" s="158" t="s">
        <v>611</v>
      </c>
      <c r="D40" s="158" t="s">
        <v>811</v>
      </c>
      <c r="E40" s="159" t="s">
        <v>613</v>
      </c>
      <c r="F40" s="160" t="s">
        <v>15</v>
      </c>
      <c r="G40" s="160"/>
      <c r="H40" s="159" t="s">
        <v>283</v>
      </c>
      <c r="I40" s="161">
        <v>7821</v>
      </c>
      <c r="J40" s="161"/>
      <c r="K40" s="162" t="s">
        <v>8</v>
      </c>
      <c r="L40" s="163">
        <v>4619032.38</v>
      </c>
    </row>
    <row r="41" spans="1:12" ht="71.400000000000006" x14ac:dyDescent="0.3">
      <c r="A41" s="157" t="s">
        <v>9</v>
      </c>
      <c r="B41" s="158" t="s">
        <v>799</v>
      </c>
      <c r="C41" s="158" t="s">
        <v>611</v>
      </c>
      <c r="D41" s="158" t="s">
        <v>812</v>
      </c>
      <c r="E41" s="159" t="s">
        <v>613</v>
      </c>
      <c r="F41" s="160" t="s">
        <v>15</v>
      </c>
      <c r="G41" s="160"/>
      <c r="H41" s="159" t="s">
        <v>283</v>
      </c>
      <c r="I41" s="161">
        <v>23890</v>
      </c>
      <c r="J41" s="161"/>
      <c r="K41" s="162" t="s">
        <v>8</v>
      </c>
      <c r="L41" s="163">
        <v>4595142.38</v>
      </c>
    </row>
    <row r="42" spans="1:12" ht="71.400000000000006" x14ac:dyDescent="0.3">
      <c r="A42" s="157" t="s">
        <v>9</v>
      </c>
      <c r="B42" s="158" t="s">
        <v>799</v>
      </c>
      <c r="C42" s="158" t="s">
        <v>611</v>
      </c>
      <c r="D42" s="158" t="s">
        <v>813</v>
      </c>
      <c r="E42" s="159" t="s">
        <v>613</v>
      </c>
      <c r="F42" s="160" t="s">
        <v>15</v>
      </c>
      <c r="G42" s="160"/>
      <c r="H42" s="159" t="s">
        <v>283</v>
      </c>
      <c r="I42" s="161">
        <v>1840</v>
      </c>
      <c r="J42" s="161"/>
      <c r="K42" s="162" t="s">
        <v>8</v>
      </c>
      <c r="L42" s="163">
        <v>4593302.38</v>
      </c>
    </row>
    <row r="43" spans="1:12" ht="71.400000000000006" x14ac:dyDescent="0.3">
      <c r="A43" s="157" t="s">
        <v>9</v>
      </c>
      <c r="B43" s="158" t="s">
        <v>799</v>
      </c>
      <c r="C43" s="158" t="s">
        <v>611</v>
      </c>
      <c r="D43" s="158" t="s">
        <v>814</v>
      </c>
      <c r="E43" s="159" t="s">
        <v>613</v>
      </c>
      <c r="F43" s="160" t="s">
        <v>15</v>
      </c>
      <c r="G43" s="160"/>
      <c r="H43" s="159" t="s">
        <v>283</v>
      </c>
      <c r="I43" s="164">
        <v>449</v>
      </c>
      <c r="J43" s="164"/>
      <c r="K43" s="162" t="s">
        <v>8</v>
      </c>
      <c r="L43" s="163">
        <v>4592853.38</v>
      </c>
    </row>
    <row r="44" spans="1:12" ht="71.400000000000006" x14ac:dyDescent="0.3">
      <c r="A44" s="157" t="s">
        <v>9</v>
      </c>
      <c r="B44" s="158" t="s">
        <v>799</v>
      </c>
      <c r="C44" s="158" t="s">
        <v>611</v>
      </c>
      <c r="D44" s="158" t="s">
        <v>815</v>
      </c>
      <c r="E44" s="159" t="s">
        <v>613</v>
      </c>
      <c r="F44" s="160" t="s">
        <v>15</v>
      </c>
      <c r="G44" s="160"/>
      <c r="H44" s="159" t="s">
        <v>283</v>
      </c>
      <c r="I44" s="164">
        <v>759</v>
      </c>
      <c r="J44" s="164"/>
      <c r="K44" s="162" t="s">
        <v>8</v>
      </c>
      <c r="L44" s="163">
        <v>4592094.38</v>
      </c>
    </row>
    <row r="45" spans="1:12" ht="71.400000000000006" x14ac:dyDescent="0.3">
      <c r="A45" s="157" t="s">
        <v>9</v>
      </c>
      <c r="B45" s="158" t="s">
        <v>799</v>
      </c>
      <c r="C45" s="158" t="s">
        <v>611</v>
      </c>
      <c r="D45" s="158" t="s">
        <v>816</v>
      </c>
      <c r="E45" s="159" t="s">
        <v>613</v>
      </c>
      <c r="F45" s="160" t="s">
        <v>15</v>
      </c>
      <c r="G45" s="160"/>
      <c r="H45" s="159" t="s">
        <v>283</v>
      </c>
      <c r="I45" s="161">
        <v>2277</v>
      </c>
      <c r="J45" s="161"/>
      <c r="K45" s="162" t="s">
        <v>8</v>
      </c>
      <c r="L45" s="163">
        <v>4589817.38</v>
      </c>
    </row>
    <row r="46" spans="1:12" ht="71.400000000000006" x14ac:dyDescent="0.3">
      <c r="A46" s="157" t="s">
        <v>9</v>
      </c>
      <c r="B46" s="158" t="s">
        <v>799</v>
      </c>
      <c r="C46" s="158" t="s">
        <v>611</v>
      </c>
      <c r="D46" s="158" t="s">
        <v>817</v>
      </c>
      <c r="E46" s="159" t="s">
        <v>613</v>
      </c>
      <c r="F46" s="160" t="s">
        <v>15</v>
      </c>
      <c r="G46" s="160"/>
      <c r="H46" s="159" t="s">
        <v>283</v>
      </c>
      <c r="I46" s="161">
        <v>99789</v>
      </c>
      <c r="J46" s="161"/>
      <c r="K46" s="162" t="s">
        <v>8</v>
      </c>
      <c r="L46" s="163">
        <v>4490028.38</v>
      </c>
    </row>
    <row r="47" spans="1:12" ht="71.400000000000006" x14ac:dyDescent="0.3">
      <c r="A47" s="157" t="s">
        <v>9</v>
      </c>
      <c r="B47" s="158" t="s">
        <v>799</v>
      </c>
      <c r="C47" s="158" t="s">
        <v>611</v>
      </c>
      <c r="D47" s="158" t="s">
        <v>818</v>
      </c>
      <c r="E47" s="159" t="s">
        <v>613</v>
      </c>
      <c r="F47" s="160" t="s">
        <v>15</v>
      </c>
      <c r="G47" s="160"/>
      <c r="H47" s="159" t="s">
        <v>283</v>
      </c>
      <c r="I47" s="161">
        <v>56350</v>
      </c>
      <c r="J47" s="161"/>
      <c r="K47" s="162" t="s">
        <v>8</v>
      </c>
      <c r="L47" s="163">
        <v>4433678.38</v>
      </c>
    </row>
    <row r="48" spans="1:12" ht="71.400000000000006" x14ac:dyDescent="0.3">
      <c r="A48" s="157" t="s">
        <v>9</v>
      </c>
      <c r="B48" s="158" t="s">
        <v>799</v>
      </c>
      <c r="C48" s="158" t="s">
        <v>611</v>
      </c>
      <c r="D48" s="158" t="s">
        <v>819</v>
      </c>
      <c r="E48" s="159" t="s">
        <v>613</v>
      </c>
      <c r="F48" s="160" t="s">
        <v>15</v>
      </c>
      <c r="G48" s="160"/>
      <c r="H48" s="159" t="s">
        <v>283</v>
      </c>
      <c r="I48" s="161">
        <v>1233</v>
      </c>
      <c r="J48" s="161"/>
      <c r="K48" s="162" t="s">
        <v>8</v>
      </c>
      <c r="L48" s="163">
        <v>4432445.38</v>
      </c>
    </row>
    <row r="49" spans="1:12" ht="51" hidden="1" x14ac:dyDescent="0.3">
      <c r="A49" s="157" t="s">
        <v>9</v>
      </c>
      <c r="B49" s="158" t="s">
        <v>820</v>
      </c>
      <c r="C49" s="158" t="s">
        <v>821</v>
      </c>
      <c r="D49" s="158" t="s">
        <v>822</v>
      </c>
      <c r="E49" s="159" t="s">
        <v>283</v>
      </c>
      <c r="F49" s="165">
        <v>16034.12</v>
      </c>
      <c r="G49" s="165"/>
      <c r="H49" s="159" t="s">
        <v>283</v>
      </c>
      <c r="I49" s="166" t="s">
        <v>15</v>
      </c>
      <c r="J49" s="166"/>
      <c r="K49" s="162" t="s">
        <v>8</v>
      </c>
      <c r="L49" s="163">
        <v>212647.27</v>
      </c>
    </row>
    <row r="50" spans="1:12" ht="51" hidden="1" x14ac:dyDescent="0.3">
      <c r="A50" s="157" t="s">
        <v>9</v>
      </c>
      <c r="B50" s="158" t="s">
        <v>820</v>
      </c>
      <c r="C50" s="158" t="s">
        <v>821</v>
      </c>
      <c r="D50" s="158" t="s">
        <v>822</v>
      </c>
      <c r="E50" s="159" t="s">
        <v>283</v>
      </c>
      <c r="F50" s="160" t="s">
        <v>15</v>
      </c>
      <c r="G50" s="160"/>
      <c r="H50" s="159" t="s">
        <v>283</v>
      </c>
      <c r="I50" s="161">
        <v>16034.12</v>
      </c>
      <c r="J50" s="161"/>
      <c r="K50" s="162" t="s">
        <v>8</v>
      </c>
      <c r="L50" s="163">
        <v>41970.01</v>
      </c>
    </row>
    <row r="51" spans="1:12" ht="51" hidden="1" x14ac:dyDescent="0.3">
      <c r="A51" s="157" t="s">
        <v>9</v>
      </c>
      <c r="B51" s="158" t="s">
        <v>820</v>
      </c>
      <c r="C51" s="158" t="s">
        <v>823</v>
      </c>
      <c r="D51" s="158" t="s">
        <v>824</v>
      </c>
      <c r="E51" s="159" t="s">
        <v>283</v>
      </c>
      <c r="F51" s="165">
        <v>13403.49</v>
      </c>
      <c r="G51" s="165"/>
      <c r="H51" s="159" t="s">
        <v>283</v>
      </c>
      <c r="I51" s="166" t="s">
        <v>15</v>
      </c>
      <c r="J51" s="166"/>
      <c r="K51" s="162" t="s">
        <v>8</v>
      </c>
      <c r="L51" s="163">
        <v>226050.76</v>
      </c>
    </row>
    <row r="52" spans="1:12" ht="51" hidden="1" x14ac:dyDescent="0.3">
      <c r="A52" s="157" t="s">
        <v>9</v>
      </c>
      <c r="B52" s="158" t="s">
        <v>820</v>
      </c>
      <c r="C52" s="158" t="s">
        <v>823</v>
      </c>
      <c r="D52" s="158" t="s">
        <v>824</v>
      </c>
      <c r="E52" s="159" t="s">
        <v>283</v>
      </c>
      <c r="F52" s="160" t="s">
        <v>15</v>
      </c>
      <c r="G52" s="160"/>
      <c r="H52" s="159" t="s">
        <v>283</v>
      </c>
      <c r="I52" s="161">
        <v>13403.49</v>
      </c>
      <c r="J52" s="161"/>
      <c r="K52" s="162" t="s">
        <v>8</v>
      </c>
      <c r="L52" s="163">
        <v>28566.52</v>
      </c>
    </row>
    <row r="53" spans="1:12" ht="51" hidden="1" x14ac:dyDescent="0.3">
      <c r="A53" s="157" t="s">
        <v>9</v>
      </c>
      <c r="B53" s="158" t="s">
        <v>820</v>
      </c>
      <c r="C53" s="158" t="s">
        <v>825</v>
      </c>
      <c r="D53" s="158" t="s">
        <v>826</v>
      </c>
      <c r="E53" s="159" t="s">
        <v>283</v>
      </c>
      <c r="F53" s="165">
        <v>4142.83</v>
      </c>
      <c r="G53" s="165"/>
      <c r="H53" s="159" t="s">
        <v>283</v>
      </c>
      <c r="I53" s="166" t="s">
        <v>15</v>
      </c>
      <c r="J53" s="166"/>
      <c r="K53" s="162" t="s">
        <v>8</v>
      </c>
      <c r="L53" s="163">
        <v>230193.59</v>
      </c>
    </row>
    <row r="54" spans="1:12" ht="51" hidden="1" x14ac:dyDescent="0.3">
      <c r="A54" s="157" t="s">
        <v>9</v>
      </c>
      <c r="B54" s="158" t="s">
        <v>820</v>
      </c>
      <c r="C54" s="158" t="s">
        <v>825</v>
      </c>
      <c r="D54" s="158" t="s">
        <v>826</v>
      </c>
      <c r="E54" s="159" t="s">
        <v>283</v>
      </c>
      <c r="F54" s="160" t="s">
        <v>15</v>
      </c>
      <c r="G54" s="160"/>
      <c r="H54" s="159" t="s">
        <v>283</v>
      </c>
      <c r="I54" s="161">
        <v>4142.83</v>
      </c>
      <c r="J54" s="161"/>
      <c r="K54" s="162" t="s">
        <v>8</v>
      </c>
      <c r="L54" s="163">
        <v>24423.69</v>
      </c>
    </row>
    <row r="55" spans="1:12" ht="51" hidden="1" x14ac:dyDescent="0.3">
      <c r="A55" s="157" t="s">
        <v>9</v>
      </c>
      <c r="B55" s="158" t="s">
        <v>820</v>
      </c>
      <c r="C55" s="158" t="s">
        <v>827</v>
      </c>
      <c r="D55" s="158" t="s">
        <v>828</v>
      </c>
      <c r="E55" s="159" t="s">
        <v>283</v>
      </c>
      <c r="F55" s="167">
        <v>226.4</v>
      </c>
      <c r="G55" s="167"/>
      <c r="H55" s="159" t="s">
        <v>283</v>
      </c>
      <c r="I55" s="166" t="s">
        <v>15</v>
      </c>
      <c r="J55" s="166"/>
      <c r="K55" s="162" t="s">
        <v>8</v>
      </c>
      <c r="L55" s="163">
        <v>230419.99</v>
      </c>
    </row>
    <row r="56" spans="1:12" ht="51" hidden="1" x14ac:dyDescent="0.3">
      <c r="A56" s="157" t="s">
        <v>9</v>
      </c>
      <c r="B56" s="158" t="s">
        <v>820</v>
      </c>
      <c r="C56" s="158" t="s">
        <v>827</v>
      </c>
      <c r="D56" s="158" t="s">
        <v>828</v>
      </c>
      <c r="E56" s="159" t="s">
        <v>283</v>
      </c>
      <c r="F56" s="160" t="s">
        <v>15</v>
      </c>
      <c r="G56" s="160"/>
      <c r="H56" s="159" t="s">
        <v>283</v>
      </c>
      <c r="I56" s="164">
        <v>226.4</v>
      </c>
      <c r="J56" s="164"/>
      <c r="K56" s="162" t="s">
        <v>8</v>
      </c>
      <c r="L56" s="163">
        <v>24197.29</v>
      </c>
    </row>
    <row r="57" spans="1:12" ht="51" hidden="1" x14ac:dyDescent="0.3">
      <c r="A57" s="157" t="s">
        <v>9</v>
      </c>
      <c r="B57" s="158" t="s">
        <v>820</v>
      </c>
      <c r="C57" s="158" t="s">
        <v>823</v>
      </c>
      <c r="D57" s="158" t="s">
        <v>824</v>
      </c>
      <c r="E57" s="159" t="s">
        <v>283</v>
      </c>
      <c r="F57" s="160" t="s">
        <v>15</v>
      </c>
      <c r="G57" s="160"/>
      <c r="H57" s="159" t="s">
        <v>283</v>
      </c>
      <c r="I57" s="161">
        <v>2476.6799999999998</v>
      </c>
      <c r="J57" s="161"/>
      <c r="K57" s="162" t="s">
        <v>8</v>
      </c>
      <c r="L57" s="163">
        <v>21720.61</v>
      </c>
    </row>
    <row r="58" spans="1:12" ht="51" hidden="1" x14ac:dyDescent="0.3">
      <c r="A58" s="157" t="s">
        <v>9</v>
      </c>
      <c r="B58" s="158" t="s">
        <v>820</v>
      </c>
      <c r="C58" s="158" t="s">
        <v>823</v>
      </c>
      <c r="D58" s="158" t="s">
        <v>824</v>
      </c>
      <c r="E58" s="159" t="s">
        <v>283</v>
      </c>
      <c r="F58" s="165">
        <v>2476.6799999999998</v>
      </c>
      <c r="G58" s="165"/>
      <c r="H58" s="159" t="s">
        <v>283</v>
      </c>
      <c r="I58" s="166" t="s">
        <v>15</v>
      </c>
      <c r="J58" s="166"/>
      <c r="K58" s="162" t="s">
        <v>8</v>
      </c>
      <c r="L58" s="163">
        <v>232896.67</v>
      </c>
    </row>
    <row r="59" spans="1:12" ht="61.2" hidden="1" x14ac:dyDescent="0.3">
      <c r="A59" s="157" t="s">
        <v>9</v>
      </c>
      <c r="B59" s="158" t="s">
        <v>829</v>
      </c>
      <c r="C59" s="158" t="s">
        <v>830</v>
      </c>
      <c r="D59" s="158" t="s">
        <v>831</v>
      </c>
      <c r="E59" s="159" t="s">
        <v>283</v>
      </c>
      <c r="F59" s="160" t="s">
        <v>15</v>
      </c>
      <c r="G59" s="160"/>
      <c r="H59" s="159" t="s">
        <v>283</v>
      </c>
      <c r="I59" s="164">
        <v>598</v>
      </c>
      <c r="J59" s="164"/>
      <c r="K59" s="162" t="s">
        <v>8</v>
      </c>
      <c r="L59" s="163">
        <v>62749</v>
      </c>
    </row>
    <row r="60" spans="1:12" ht="61.2" hidden="1" x14ac:dyDescent="0.3">
      <c r="A60" s="157" t="s">
        <v>9</v>
      </c>
      <c r="B60" s="158" t="s">
        <v>829</v>
      </c>
      <c r="C60" s="158" t="s">
        <v>830</v>
      </c>
      <c r="D60" s="158" t="s">
        <v>831</v>
      </c>
      <c r="E60" s="159" t="s">
        <v>283</v>
      </c>
      <c r="F60" s="167">
        <v>598</v>
      </c>
      <c r="G60" s="167"/>
      <c r="H60" s="159" t="s">
        <v>283</v>
      </c>
      <c r="I60" s="166" t="s">
        <v>15</v>
      </c>
      <c r="J60" s="166"/>
      <c r="K60" s="162" t="s">
        <v>8</v>
      </c>
      <c r="L60" s="163">
        <v>233494.67</v>
      </c>
    </row>
    <row r="61" spans="1:12" ht="51" hidden="1" x14ac:dyDescent="0.3">
      <c r="A61" s="157" t="s">
        <v>9</v>
      </c>
      <c r="B61" s="158" t="s">
        <v>829</v>
      </c>
      <c r="C61" s="158" t="s">
        <v>832</v>
      </c>
      <c r="D61" s="158" t="s">
        <v>833</v>
      </c>
      <c r="E61" s="159" t="s">
        <v>283</v>
      </c>
      <c r="F61" s="160" t="s">
        <v>15</v>
      </c>
      <c r="G61" s="160"/>
      <c r="H61" s="159" t="s">
        <v>283</v>
      </c>
      <c r="I61" s="161">
        <v>2362.5</v>
      </c>
      <c r="J61" s="161"/>
      <c r="K61" s="162" t="s">
        <v>8</v>
      </c>
      <c r="L61" s="163">
        <v>60386.5</v>
      </c>
    </row>
    <row r="62" spans="1:12" ht="51" hidden="1" x14ac:dyDescent="0.3">
      <c r="A62" s="157" t="s">
        <v>9</v>
      </c>
      <c r="B62" s="158" t="s">
        <v>829</v>
      </c>
      <c r="C62" s="158" t="s">
        <v>832</v>
      </c>
      <c r="D62" s="158" t="s">
        <v>833</v>
      </c>
      <c r="E62" s="159" t="s">
        <v>283</v>
      </c>
      <c r="F62" s="165">
        <v>2362.5</v>
      </c>
      <c r="G62" s="165"/>
      <c r="H62" s="159" t="s">
        <v>283</v>
      </c>
      <c r="I62" s="166" t="s">
        <v>15</v>
      </c>
      <c r="J62" s="166"/>
      <c r="K62" s="162" t="s">
        <v>8</v>
      </c>
      <c r="L62" s="163">
        <v>235857.17</v>
      </c>
    </row>
    <row r="63" spans="1:12" ht="51" hidden="1" x14ac:dyDescent="0.3">
      <c r="A63" s="157" t="s">
        <v>9</v>
      </c>
      <c r="B63" s="158" t="s">
        <v>834</v>
      </c>
      <c r="C63" s="158" t="s">
        <v>835</v>
      </c>
      <c r="D63" s="158" t="s">
        <v>836</v>
      </c>
      <c r="E63" s="159" t="s">
        <v>283</v>
      </c>
      <c r="F63" s="160" t="s">
        <v>15</v>
      </c>
      <c r="G63" s="160"/>
      <c r="H63" s="159" t="s">
        <v>283</v>
      </c>
      <c r="I63" s="161">
        <v>1837.5</v>
      </c>
      <c r="J63" s="161"/>
      <c r="K63" s="162" t="s">
        <v>8</v>
      </c>
      <c r="L63" s="163">
        <v>4430607.88</v>
      </c>
    </row>
    <row r="64" spans="1:12" ht="51" hidden="1" x14ac:dyDescent="0.3">
      <c r="A64" s="157" t="s">
        <v>9</v>
      </c>
      <c r="B64" s="158" t="s">
        <v>834</v>
      </c>
      <c r="C64" s="158" t="s">
        <v>835</v>
      </c>
      <c r="D64" s="158" t="s">
        <v>836</v>
      </c>
      <c r="E64" s="159" t="s">
        <v>283</v>
      </c>
      <c r="F64" s="165">
        <v>1837.5</v>
      </c>
      <c r="G64" s="165"/>
      <c r="H64" s="159" t="s">
        <v>283</v>
      </c>
      <c r="I64" s="166" t="s">
        <v>15</v>
      </c>
      <c r="J64" s="166"/>
      <c r="K64" s="162" t="s">
        <v>8</v>
      </c>
      <c r="L64" s="163">
        <v>237694.67</v>
      </c>
    </row>
    <row r="65" spans="1:12" ht="61.2" hidden="1" x14ac:dyDescent="0.3">
      <c r="A65" s="157" t="s">
        <v>9</v>
      </c>
      <c r="B65" s="158" t="s">
        <v>837</v>
      </c>
      <c r="C65" s="158" t="s">
        <v>838</v>
      </c>
      <c r="D65" s="158" t="s">
        <v>839</v>
      </c>
      <c r="E65" s="159" t="s">
        <v>283</v>
      </c>
      <c r="F65" s="165">
        <v>4747.5</v>
      </c>
      <c r="G65" s="165"/>
      <c r="H65" s="159" t="s">
        <v>14</v>
      </c>
      <c r="I65" s="166" t="s">
        <v>15</v>
      </c>
      <c r="J65" s="166"/>
      <c r="K65" s="162" t="s">
        <v>8</v>
      </c>
      <c r="L65" s="163">
        <v>109781.72</v>
      </c>
    </row>
    <row r="66" spans="1:12" ht="51" hidden="1" x14ac:dyDescent="0.3">
      <c r="A66" s="157" t="s">
        <v>9</v>
      </c>
      <c r="B66" s="158" t="s">
        <v>837</v>
      </c>
      <c r="C66" s="158" t="s">
        <v>840</v>
      </c>
      <c r="D66" s="158" t="s">
        <v>839</v>
      </c>
      <c r="E66" s="159" t="s">
        <v>283</v>
      </c>
      <c r="F66" s="165">
        <v>20778.330000000002</v>
      </c>
      <c r="G66" s="165"/>
      <c r="H66" s="159" t="s">
        <v>14</v>
      </c>
      <c r="I66" s="166" t="s">
        <v>15</v>
      </c>
      <c r="J66" s="166"/>
      <c r="K66" s="162" t="s">
        <v>8</v>
      </c>
      <c r="L66" s="163">
        <v>130560.05</v>
      </c>
    </row>
    <row r="67" spans="1:12" ht="61.2" hidden="1" x14ac:dyDescent="0.3">
      <c r="A67" s="157" t="s">
        <v>9</v>
      </c>
      <c r="B67" s="158" t="s">
        <v>841</v>
      </c>
      <c r="C67" s="158" t="s">
        <v>842</v>
      </c>
      <c r="D67" s="158" t="s">
        <v>843</v>
      </c>
      <c r="E67" s="159" t="s">
        <v>283</v>
      </c>
      <c r="F67" s="165">
        <v>10296</v>
      </c>
      <c r="G67" s="165"/>
      <c r="H67" s="159" t="s">
        <v>14</v>
      </c>
      <c r="I67" s="166" t="s">
        <v>15</v>
      </c>
      <c r="J67" s="166"/>
      <c r="K67" s="162" t="s">
        <v>8</v>
      </c>
      <c r="L67" s="163">
        <v>247990.67</v>
      </c>
    </row>
    <row r="68" spans="1:12" ht="61.2" hidden="1" x14ac:dyDescent="0.3">
      <c r="A68" s="157" t="s">
        <v>9</v>
      </c>
      <c r="B68" s="158" t="s">
        <v>844</v>
      </c>
      <c r="C68" s="158" t="s">
        <v>845</v>
      </c>
      <c r="D68" s="158" t="s">
        <v>846</v>
      </c>
      <c r="E68" s="159" t="s">
        <v>283</v>
      </c>
      <c r="F68" s="167">
        <v>165.76</v>
      </c>
      <c r="G68" s="167"/>
      <c r="H68" s="159" t="s">
        <v>14</v>
      </c>
      <c r="I68" s="166" t="s">
        <v>15</v>
      </c>
      <c r="J68" s="166"/>
      <c r="K68" s="162" t="s">
        <v>8</v>
      </c>
      <c r="L68" s="163">
        <v>1261856.3500000001</v>
      </c>
    </row>
    <row r="69" spans="1:12" ht="61.2" hidden="1" x14ac:dyDescent="0.3">
      <c r="A69" s="157" t="s">
        <v>9</v>
      </c>
      <c r="B69" s="158" t="s">
        <v>844</v>
      </c>
      <c r="C69" s="158" t="s">
        <v>847</v>
      </c>
      <c r="D69" s="158" t="s">
        <v>846</v>
      </c>
      <c r="E69" s="159" t="s">
        <v>283</v>
      </c>
      <c r="F69" s="165">
        <v>6468</v>
      </c>
      <c r="G69" s="165"/>
      <c r="H69" s="159" t="s">
        <v>14</v>
      </c>
      <c r="I69" s="166" t="s">
        <v>15</v>
      </c>
      <c r="J69" s="166"/>
      <c r="K69" s="162" t="s">
        <v>8</v>
      </c>
      <c r="L69" s="163">
        <v>1268324.3500000001</v>
      </c>
    </row>
    <row r="70" spans="1:12" ht="61.2" hidden="1" x14ac:dyDescent="0.3">
      <c r="A70" s="157" t="s">
        <v>9</v>
      </c>
      <c r="B70" s="158" t="s">
        <v>844</v>
      </c>
      <c r="C70" s="158" t="s">
        <v>848</v>
      </c>
      <c r="D70" s="158" t="s">
        <v>846</v>
      </c>
      <c r="E70" s="159" t="s">
        <v>283</v>
      </c>
      <c r="F70" s="165">
        <v>26583.200000000001</v>
      </c>
      <c r="G70" s="165"/>
      <c r="H70" s="159" t="s">
        <v>14</v>
      </c>
      <c r="I70" s="166" t="s">
        <v>15</v>
      </c>
      <c r="J70" s="166"/>
      <c r="K70" s="162" t="s">
        <v>8</v>
      </c>
      <c r="L70" s="163">
        <v>1294907.55</v>
      </c>
    </row>
    <row r="71" spans="1:12" ht="61.2" hidden="1" x14ac:dyDescent="0.3">
      <c r="A71" s="157" t="s">
        <v>9</v>
      </c>
      <c r="B71" s="158" t="s">
        <v>844</v>
      </c>
      <c r="C71" s="158" t="s">
        <v>849</v>
      </c>
      <c r="D71" s="158" t="s">
        <v>846</v>
      </c>
      <c r="E71" s="159" t="s">
        <v>283</v>
      </c>
      <c r="F71" s="165">
        <v>2307.1999999999998</v>
      </c>
      <c r="G71" s="165"/>
      <c r="H71" s="159" t="s">
        <v>14</v>
      </c>
      <c r="I71" s="166" t="s">
        <v>15</v>
      </c>
      <c r="J71" s="166"/>
      <c r="K71" s="162" t="s">
        <v>8</v>
      </c>
      <c r="L71" s="163">
        <v>1297214.75</v>
      </c>
    </row>
    <row r="72" spans="1:12" ht="61.2" hidden="1" x14ac:dyDescent="0.3">
      <c r="A72" s="157" t="s">
        <v>9</v>
      </c>
      <c r="B72" s="158" t="s">
        <v>844</v>
      </c>
      <c r="C72" s="158" t="s">
        <v>849</v>
      </c>
      <c r="D72" s="158" t="s">
        <v>846</v>
      </c>
      <c r="E72" s="159" t="s">
        <v>283</v>
      </c>
      <c r="F72" s="167">
        <v>461.44</v>
      </c>
      <c r="G72" s="167"/>
      <c r="H72" s="159" t="s">
        <v>14</v>
      </c>
      <c r="I72" s="166" t="s">
        <v>15</v>
      </c>
      <c r="J72" s="166"/>
      <c r="K72" s="162" t="s">
        <v>8</v>
      </c>
      <c r="L72" s="163">
        <v>1297676.19</v>
      </c>
    </row>
    <row r="73" spans="1:12" ht="61.2" hidden="1" x14ac:dyDescent="0.3">
      <c r="A73" s="157" t="s">
        <v>9</v>
      </c>
      <c r="B73" s="158" t="s">
        <v>844</v>
      </c>
      <c r="C73" s="158" t="s">
        <v>850</v>
      </c>
      <c r="D73" s="158" t="s">
        <v>846</v>
      </c>
      <c r="E73" s="159" t="s">
        <v>283</v>
      </c>
      <c r="F73" s="167">
        <v>16.64</v>
      </c>
      <c r="G73" s="167"/>
      <c r="H73" s="159" t="s">
        <v>14</v>
      </c>
      <c r="I73" s="166" t="s">
        <v>15</v>
      </c>
      <c r="J73" s="166"/>
      <c r="K73" s="162" t="s">
        <v>8</v>
      </c>
      <c r="L73" s="163">
        <v>1297692.83</v>
      </c>
    </row>
    <row r="74" spans="1:12" ht="61.2" hidden="1" x14ac:dyDescent="0.3">
      <c r="A74" s="157" t="s">
        <v>9</v>
      </c>
      <c r="B74" s="158" t="s">
        <v>844</v>
      </c>
      <c r="C74" s="158" t="s">
        <v>851</v>
      </c>
      <c r="D74" s="158" t="s">
        <v>846</v>
      </c>
      <c r="E74" s="159" t="s">
        <v>283</v>
      </c>
      <c r="F74" s="167">
        <v>907.36</v>
      </c>
      <c r="G74" s="167"/>
      <c r="H74" s="159" t="s">
        <v>14</v>
      </c>
      <c r="I74" s="166" t="s">
        <v>15</v>
      </c>
      <c r="J74" s="166"/>
      <c r="K74" s="162" t="s">
        <v>8</v>
      </c>
      <c r="L74" s="163">
        <v>1298600.19</v>
      </c>
    </row>
    <row r="75" spans="1:12" ht="61.2" hidden="1" x14ac:dyDescent="0.3">
      <c r="A75" s="157" t="s">
        <v>9</v>
      </c>
      <c r="B75" s="158" t="s">
        <v>844</v>
      </c>
      <c r="C75" s="158" t="s">
        <v>852</v>
      </c>
      <c r="D75" s="158" t="s">
        <v>846</v>
      </c>
      <c r="E75" s="159" t="s">
        <v>283</v>
      </c>
      <c r="F75" s="167">
        <v>83.5</v>
      </c>
      <c r="G75" s="167"/>
      <c r="H75" s="159" t="s">
        <v>14</v>
      </c>
      <c r="I75" s="166" t="s">
        <v>15</v>
      </c>
      <c r="J75" s="166"/>
      <c r="K75" s="162" t="s">
        <v>8</v>
      </c>
      <c r="L75" s="163">
        <v>1298683.69</v>
      </c>
    </row>
    <row r="76" spans="1:12" ht="61.2" hidden="1" x14ac:dyDescent="0.3">
      <c r="A76" s="157" t="s">
        <v>9</v>
      </c>
      <c r="B76" s="158" t="s">
        <v>844</v>
      </c>
      <c r="C76" s="158" t="s">
        <v>853</v>
      </c>
      <c r="D76" s="158" t="s">
        <v>846</v>
      </c>
      <c r="E76" s="159" t="s">
        <v>283</v>
      </c>
      <c r="F76" s="167">
        <v>452.96</v>
      </c>
      <c r="G76" s="167"/>
      <c r="H76" s="159" t="s">
        <v>14</v>
      </c>
      <c r="I76" s="166" t="s">
        <v>15</v>
      </c>
      <c r="J76" s="166"/>
      <c r="K76" s="162" t="s">
        <v>8</v>
      </c>
      <c r="L76" s="163">
        <v>1299136.6499999999</v>
      </c>
    </row>
    <row r="77" spans="1:12" ht="61.2" hidden="1" x14ac:dyDescent="0.3">
      <c r="A77" s="157" t="s">
        <v>9</v>
      </c>
      <c r="B77" s="158" t="s">
        <v>844</v>
      </c>
      <c r="C77" s="158" t="s">
        <v>854</v>
      </c>
      <c r="D77" s="158" t="s">
        <v>846</v>
      </c>
      <c r="E77" s="159" t="s">
        <v>283</v>
      </c>
      <c r="F77" s="167">
        <v>576</v>
      </c>
      <c r="G77" s="167"/>
      <c r="H77" s="159" t="s">
        <v>14</v>
      </c>
      <c r="I77" s="166" t="s">
        <v>15</v>
      </c>
      <c r="J77" s="166"/>
      <c r="K77" s="162" t="s">
        <v>8</v>
      </c>
      <c r="L77" s="163">
        <v>1299712.6499999999</v>
      </c>
    </row>
    <row r="78" spans="1:12" ht="61.2" hidden="1" x14ac:dyDescent="0.3">
      <c r="A78" s="157" t="s">
        <v>9</v>
      </c>
      <c r="B78" s="158" t="s">
        <v>844</v>
      </c>
      <c r="C78" s="158" t="s">
        <v>855</v>
      </c>
      <c r="D78" s="158" t="s">
        <v>846</v>
      </c>
      <c r="E78" s="159" t="s">
        <v>283</v>
      </c>
      <c r="F78" s="165">
        <v>5906.4</v>
      </c>
      <c r="G78" s="165"/>
      <c r="H78" s="159" t="s">
        <v>14</v>
      </c>
      <c r="I78" s="166" t="s">
        <v>15</v>
      </c>
      <c r="J78" s="166"/>
      <c r="K78" s="162" t="s">
        <v>8</v>
      </c>
      <c r="L78" s="163">
        <v>1305619.05</v>
      </c>
    </row>
    <row r="79" spans="1:12" ht="61.2" hidden="1" x14ac:dyDescent="0.3">
      <c r="A79" s="157" t="s">
        <v>9</v>
      </c>
      <c r="B79" s="158" t="s">
        <v>844</v>
      </c>
      <c r="C79" s="158" t="s">
        <v>856</v>
      </c>
      <c r="D79" s="158" t="s">
        <v>846</v>
      </c>
      <c r="E79" s="159" t="s">
        <v>283</v>
      </c>
      <c r="F79" s="165">
        <v>1776.08</v>
      </c>
      <c r="G79" s="165"/>
      <c r="H79" s="159" t="s">
        <v>14</v>
      </c>
      <c r="I79" s="166" t="s">
        <v>15</v>
      </c>
      <c r="J79" s="166"/>
      <c r="K79" s="162" t="s">
        <v>8</v>
      </c>
      <c r="L79" s="163">
        <v>1307395.1299999999</v>
      </c>
    </row>
    <row r="80" spans="1:12" ht="61.2" hidden="1" x14ac:dyDescent="0.3">
      <c r="A80" s="157" t="s">
        <v>9</v>
      </c>
      <c r="B80" s="158" t="s">
        <v>844</v>
      </c>
      <c r="C80" s="158" t="s">
        <v>857</v>
      </c>
      <c r="D80" s="158" t="s">
        <v>846</v>
      </c>
      <c r="E80" s="159" t="s">
        <v>283</v>
      </c>
      <c r="F80" s="167">
        <v>46.4</v>
      </c>
      <c r="G80" s="167"/>
      <c r="H80" s="159" t="s">
        <v>14</v>
      </c>
      <c r="I80" s="166" t="s">
        <v>15</v>
      </c>
      <c r="J80" s="166"/>
      <c r="K80" s="162" t="s">
        <v>8</v>
      </c>
      <c r="L80" s="163">
        <v>1307441.53</v>
      </c>
    </row>
    <row r="81" spans="1:12" ht="51" hidden="1" x14ac:dyDescent="0.3">
      <c r="A81" s="157" t="s">
        <v>9</v>
      </c>
      <c r="B81" s="158" t="s">
        <v>858</v>
      </c>
      <c r="C81" s="158" t="s">
        <v>859</v>
      </c>
      <c r="D81" s="158" t="s">
        <v>860</v>
      </c>
      <c r="E81" s="159" t="s">
        <v>283</v>
      </c>
      <c r="F81" s="165">
        <v>1813.28</v>
      </c>
      <c r="G81" s="165"/>
      <c r="H81" s="159" t="s">
        <v>14</v>
      </c>
      <c r="I81" s="166" t="s">
        <v>15</v>
      </c>
      <c r="J81" s="166"/>
      <c r="K81" s="162" t="s">
        <v>8</v>
      </c>
      <c r="L81" s="163">
        <v>6324608.8399999999</v>
      </c>
    </row>
    <row r="82" spans="1:12" ht="51" hidden="1" x14ac:dyDescent="0.3">
      <c r="A82" s="157" t="s">
        <v>9</v>
      </c>
      <c r="B82" s="158" t="s">
        <v>861</v>
      </c>
      <c r="C82" s="158" t="s">
        <v>859</v>
      </c>
      <c r="D82" s="158" t="s">
        <v>860</v>
      </c>
      <c r="E82" s="159" t="s">
        <v>283</v>
      </c>
      <c r="F82" s="165">
        <v>43518.720000000001</v>
      </c>
      <c r="G82" s="165"/>
      <c r="H82" s="159" t="s">
        <v>14</v>
      </c>
      <c r="I82" s="166" t="s">
        <v>15</v>
      </c>
      <c r="J82" s="166"/>
      <c r="K82" s="162" t="s">
        <v>8</v>
      </c>
      <c r="L82" s="163">
        <v>6368127.5599999996</v>
      </c>
    </row>
    <row r="83" spans="1:12" ht="61.2" hidden="1" x14ac:dyDescent="0.3">
      <c r="A83" s="157" t="s">
        <v>9</v>
      </c>
      <c r="B83" s="158" t="s">
        <v>862</v>
      </c>
      <c r="C83" s="158" t="s">
        <v>838</v>
      </c>
      <c r="D83" s="158" t="s">
        <v>839</v>
      </c>
      <c r="E83" s="159" t="s">
        <v>283</v>
      </c>
      <c r="F83" s="165">
        <v>4401.28</v>
      </c>
      <c r="G83" s="165"/>
      <c r="H83" s="159" t="s">
        <v>14</v>
      </c>
      <c r="I83" s="166" t="s">
        <v>15</v>
      </c>
      <c r="J83" s="166"/>
      <c r="K83" s="162" t="s">
        <v>8</v>
      </c>
      <c r="L83" s="163">
        <v>134961.32999999999</v>
      </c>
    </row>
    <row r="84" spans="1:12" ht="51" hidden="1" x14ac:dyDescent="0.3">
      <c r="A84" s="157" t="s">
        <v>9</v>
      </c>
      <c r="B84" s="158" t="s">
        <v>862</v>
      </c>
      <c r="C84" s="158" t="s">
        <v>840</v>
      </c>
      <c r="D84" s="158" t="s">
        <v>839</v>
      </c>
      <c r="E84" s="159" t="s">
        <v>283</v>
      </c>
      <c r="F84" s="165">
        <v>19263.05</v>
      </c>
      <c r="G84" s="165"/>
      <c r="H84" s="159" t="s">
        <v>14</v>
      </c>
      <c r="I84" s="166" t="s">
        <v>15</v>
      </c>
      <c r="J84" s="166"/>
      <c r="K84" s="162" t="s">
        <v>8</v>
      </c>
      <c r="L84" s="163">
        <v>154224.38</v>
      </c>
    </row>
    <row r="85" spans="1:12" ht="71.400000000000006" hidden="1" x14ac:dyDescent="0.3">
      <c r="A85" s="157" t="s">
        <v>9</v>
      </c>
      <c r="B85" s="158" t="s">
        <v>863</v>
      </c>
      <c r="C85" s="158" t="s">
        <v>864</v>
      </c>
      <c r="D85" s="158" t="s">
        <v>838</v>
      </c>
      <c r="E85" s="159" t="s">
        <v>283</v>
      </c>
      <c r="F85" s="160" t="s">
        <v>15</v>
      </c>
      <c r="G85" s="160"/>
      <c r="H85" s="159" t="s">
        <v>283</v>
      </c>
      <c r="I85" s="161">
        <v>9148.7800000000007</v>
      </c>
      <c r="J85" s="161"/>
      <c r="K85" s="162" t="s">
        <v>8</v>
      </c>
      <c r="L85" s="163">
        <v>145075.6</v>
      </c>
    </row>
    <row r="86" spans="1:12" ht="71.400000000000006" hidden="1" x14ac:dyDescent="0.3">
      <c r="A86" s="157" t="s">
        <v>9</v>
      </c>
      <c r="B86" s="158" t="s">
        <v>863</v>
      </c>
      <c r="C86" s="158" t="s">
        <v>864</v>
      </c>
      <c r="D86" s="158" t="s">
        <v>838</v>
      </c>
      <c r="E86" s="159" t="s">
        <v>283</v>
      </c>
      <c r="F86" s="165">
        <v>9148.7800000000007</v>
      </c>
      <c r="G86" s="165"/>
      <c r="H86" s="159" t="s">
        <v>283</v>
      </c>
      <c r="I86" s="166" t="s">
        <v>15</v>
      </c>
      <c r="J86" s="166"/>
      <c r="K86" s="162" t="s">
        <v>8</v>
      </c>
      <c r="L86" s="163">
        <v>9148.7800000000007</v>
      </c>
    </row>
    <row r="87" spans="1:12" ht="51" hidden="1" x14ac:dyDescent="0.3">
      <c r="A87" s="157" t="s">
        <v>9</v>
      </c>
      <c r="B87" s="158" t="s">
        <v>865</v>
      </c>
      <c r="C87" s="158" t="s">
        <v>866</v>
      </c>
      <c r="D87" s="158" t="s">
        <v>840</v>
      </c>
      <c r="E87" s="159" t="s">
        <v>283</v>
      </c>
      <c r="F87" s="160" t="s">
        <v>15</v>
      </c>
      <c r="G87" s="160"/>
      <c r="H87" s="159" t="s">
        <v>283</v>
      </c>
      <c r="I87" s="161">
        <v>40041.379999999997</v>
      </c>
      <c r="J87" s="161"/>
      <c r="K87" s="162" t="s">
        <v>8</v>
      </c>
      <c r="L87" s="163">
        <v>105034.22</v>
      </c>
    </row>
    <row r="88" spans="1:12" ht="51" hidden="1" x14ac:dyDescent="0.3">
      <c r="A88" s="157" t="s">
        <v>9</v>
      </c>
      <c r="B88" s="158" t="s">
        <v>865</v>
      </c>
      <c r="C88" s="158" t="s">
        <v>866</v>
      </c>
      <c r="D88" s="158" t="s">
        <v>840</v>
      </c>
      <c r="E88" s="159" t="s">
        <v>283</v>
      </c>
      <c r="F88" s="165">
        <v>40041.379999999997</v>
      </c>
      <c r="G88" s="165"/>
      <c r="H88" s="159" t="s">
        <v>283</v>
      </c>
      <c r="I88" s="166" t="s">
        <v>15</v>
      </c>
      <c r="J88" s="166"/>
      <c r="K88" s="162" t="s">
        <v>8</v>
      </c>
      <c r="L88" s="163">
        <v>288032.05</v>
      </c>
    </row>
    <row r="89" spans="1:12" ht="71.400000000000006" hidden="1" x14ac:dyDescent="0.3">
      <c r="A89" s="157" t="s">
        <v>9</v>
      </c>
      <c r="B89" s="158" t="s">
        <v>867</v>
      </c>
      <c r="C89" s="158" t="s">
        <v>868</v>
      </c>
      <c r="D89" s="158" t="s">
        <v>869</v>
      </c>
      <c r="E89" s="159" t="s">
        <v>283</v>
      </c>
      <c r="F89" s="160" t="s">
        <v>15</v>
      </c>
      <c r="G89" s="160"/>
      <c r="H89" s="159" t="s">
        <v>283</v>
      </c>
      <c r="I89" s="161">
        <v>35257.18</v>
      </c>
      <c r="J89" s="161"/>
      <c r="K89" s="162" t="s">
        <v>8</v>
      </c>
      <c r="L89" s="163">
        <v>2467213.86</v>
      </c>
    </row>
    <row r="90" spans="1:12" ht="71.400000000000006" hidden="1" x14ac:dyDescent="0.3">
      <c r="A90" s="157" t="s">
        <v>9</v>
      </c>
      <c r="B90" s="158" t="s">
        <v>867</v>
      </c>
      <c r="C90" s="158" t="s">
        <v>868</v>
      </c>
      <c r="D90" s="158" t="s">
        <v>869</v>
      </c>
      <c r="E90" s="159" t="s">
        <v>283</v>
      </c>
      <c r="F90" s="165">
        <v>35257.18</v>
      </c>
      <c r="G90" s="165"/>
      <c r="H90" s="159" t="s">
        <v>283</v>
      </c>
      <c r="I90" s="166" t="s">
        <v>15</v>
      </c>
      <c r="J90" s="166"/>
      <c r="K90" s="162" t="s">
        <v>8</v>
      </c>
      <c r="L90" s="163">
        <v>4465865.0599999996</v>
      </c>
    </row>
    <row r="91" spans="1:12" ht="71.400000000000006" hidden="1" x14ac:dyDescent="0.3">
      <c r="A91" s="157" t="s">
        <v>9</v>
      </c>
      <c r="B91" s="158" t="s">
        <v>867</v>
      </c>
      <c r="C91" s="158" t="s">
        <v>870</v>
      </c>
      <c r="D91" s="158" t="s">
        <v>871</v>
      </c>
      <c r="E91" s="159" t="s">
        <v>283</v>
      </c>
      <c r="F91" s="160" t="s">
        <v>15</v>
      </c>
      <c r="G91" s="160"/>
      <c r="H91" s="159" t="s">
        <v>283</v>
      </c>
      <c r="I91" s="161">
        <v>6759.98</v>
      </c>
      <c r="J91" s="161"/>
      <c r="K91" s="162" t="s">
        <v>8</v>
      </c>
      <c r="L91" s="163">
        <v>2460453.88</v>
      </c>
    </row>
    <row r="92" spans="1:12" ht="71.400000000000006" hidden="1" x14ac:dyDescent="0.3">
      <c r="A92" s="157" t="s">
        <v>9</v>
      </c>
      <c r="B92" s="158" t="s">
        <v>867</v>
      </c>
      <c r="C92" s="158" t="s">
        <v>870</v>
      </c>
      <c r="D92" s="158" t="s">
        <v>871</v>
      </c>
      <c r="E92" s="159" t="s">
        <v>283</v>
      </c>
      <c r="F92" s="165">
        <v>6759.98</v>
      </c>
      <c r="G92" s="165"/>
      <c r="H92" s="159" t="s">
        <v>283</v>
      </c>
      <c r="I92" s="166" t="s">
        <v>15</v>
      </c>
      <c r="J92" s="166"/>
      <c r="K92" s="162" t="s">
        <v>8</v>
      </c>
      <c r="L92" s="163">
        <v>4472625.04</v>
      </c>
    </row>
    <row r="93" spans="1:12" ht="71.400000000000006" hidden="1" x14ac:dyDescent="0.3">
      <c r="A93" s="157" t="s">
        <v>9</v>
      </c>
      <c r="B93" s="158" t="s">
        <v>867</v>
      </c>
      <c r="C93" s="158" t="s">
        <v>868</v>
      </c>
      <c r="D93" s="158" t="s">
        <v>869</v>
      </c>
      <c r="E93" s="159" t="s">
        <v>283</v>
      </c>
      <c r="F93" s="160" t="s">
        <v>15</v>
      </c>
      <c r="G93" s="160"/>
      <c r="H93" s="159" t="s">
        <v>283</v>
      </c>
      <c r="I93" s="161">
        <v>45348.19</v>
      </c>
      <c r="J93" s="161"/>
      <c r="K93" s="162" t="s">
        <v>8</v>
      </c>
      <c r="L93" s="163">
        <v>2415105.69</v>
      </c>
    </row>
    <row r="94" spans="1:12" ht="71.400000000000006" hidden="1" x14ac:dyDescent="0.3">
      <c r="A94" s="157" t="s">
        <v>9</v>
      </c>
      <c r="B94" s="158" t="s">
        <v>867</v>
      </c>
      <c r="C94" s="158" t="s">
        <v>868</v>
      </c>
      <c r="D94" s="158" t="s">
        <v>869</v>
      </c>
      <c r="E94" s="159" t="s">
        <v>283</v>
      </c>
      <c r="F94" s="165">
        <v>45348.19</v>
      </c>
      <c r="G94" s="165"/>
      <c r="H94" s="159" t="s">
        <v>283</v>
      </c>
      <c r="I94" s="166" t="s">
        <v>15</v>
      </c>
      <c r="J94" s="166"/>
      <c r="K94" s="162" t="s">
        <v>8</v>
      </c>
      <c r="L94" s="163">
        <v>4517973.2300000004</v>
      </c>
    </row>
    <row r="95" spans="1:12" ht="71.400000000000006" hidden="1" x14ac:dyDescent="0.3">
      <c r="A95" s="157" t="s">
        <v>9</v>
      </c>
      <c r="B95" s="158" t="s">
        <v>872</v>
      </c>
      <c r="C95" s="158" t="s">
        <v>873</v>
      </c>
      <c r="D95" s="158" t="s">
        <v>874</v>
      </c>
      <c r="E95" s="159" t="s">
        <v>283</v>
      </c>
      <c r="F95" s="160" t="s">
        <v>15</v>
      </c>
      <c r="G95" s="160"/>
      <c r="H95" s="159" t="s">
        <v>283</v>
      </c>
      <c r="I95" s="161">
        <v>7898.56</v>
      </c>
      <c r="J95" s="161"/>
      <c r="K95" s="162" t="s">
        <v>8</v>
      </c>
      <c r="L95" s="163">
        <v>2407207.13</v>
      </c>
    </row>
    <row r="96" spans="1:12" ht="71.400000000000006" hidden="1" x14ac:dyDescent="0.3">
      <c r="A96" s="157" t="s">
        <v>9</v>
      </c>
      <c r="B96" s="158" t="s">
        <v>872</v>
      </c>
      <c r="C96" s="158" t="s">
        <v>873</v>
      </c>
      <c r="D96" s="158" t="s">
        <v>874</v>
      </c>
      <c r="E96" s="159" t="s">
        <v>283</v>
      </c>
      <c r="F96" s="165">
        <v>7898.56</v>
      </c>
      <c r="G96" s="165"/>
      <c r="H96" s="159" t="s">
        <v>283</v>
      </c>
      <c r="I96" s="166" t="s">
        <v>15</v>
      </c>
      <c r="J96" s="166"/>
      <c r="K96" s="162" t="s">
        <v>8</v>
      </c>
      <c r="L96" s="163">
        <v>4525871.79</v>
      </c>
    </row>
    <row r="97" spans="1:12" ht="71.400000000000006" hidden="1" x14ac:dyDescent="0.3">
      <c r="A97" s="157" t="s">
        <v>9</v>
      </c>
      <c r="B97" s="158" t="s">
        <v>875</v>
      </c>
      <c r="C97" s="158" t="s">
        <v>876</v>
      </c>
      <c r="D97" s="158" t="s">
        <v>877</v>
      </c>
      <c r="E97" s="159" t="s">
        <v>283</v>
      </c>
      <c r="F97" s="167">
        <v>907.5</v>
      </c>
      <c r="G97" s="167"/>
      <c r="H97" s="159" t="s">
        <v>283</v>
      </c>
      <c r="I97" s="166" t="s">
        <v>15</v>
      </c>
      <c r="J97" s="166"/>
      <c r="K97" s="162" t="s">
        <v>8</v>
      </c>
      <c r="L97" s="163">
        <v>10056.280000000001</v>
      </c>
    </row>
    <row r="98" spans="1:12" ht="71.400000000000006" hidden="1" x14ac:dyDescent="0.3">
      <c r="A98" s="157" t="s">
        <v>9</v>
      </c>
      <c r="B98" s="158" t="s">
        <v>875</v>
      </c>
      <c r="C98" s="158" t="s">
        <v>876</v>
      </c>
      <c r="D98" s="158" t="s">
        <v>877</v>
      </c>
      <c r="E98" s="159" t="s">
        <v>283</v>
      </c>
      <c r="F98" s="160" t="s">
        <v>15</v>
      </c>
      <c r="G98" s="160"/>
      <c r="H98" s="159" t="s">
        <v>283</v>
      </c>
      <c r="I98" s="164">
        <v>907.5</v>
      </c>
      <c r="J98" s="164"/>
      <c r="K98" s="162" t="s">
        <v>8</v>
      </c>
      <c r="L98" s="163">
        <v>287124.55</v>
      </c>
    </row>
    <row r="99" spans="1:12" ht="71.400000000000006" hidden="1" x14ac:dyDescent="0.3">
      <c r="A99" s="157" t="s">
        <v>9</v>
      </c>
      <c r="B99" s="158" t="s">
        <v>875</v>
      </c>
      <c r="C99" s="158" t="s">
        <v>876</v>
      </c>
      <c r="D99" s="158" t="s">
        <v>878</v>
      </c>
      <c r="E99" s="159" t="s">
        <v>283</v>
      </c>
      <c r="F99" s="165">
        <v>4387.17</v>
      </c>
      <c r="G99" s="165"/>
      <c r="H99" s="159" t="s">
        <v>283</v>
      </c>
      <c r="I99" s="166" t="s">
        <v>15</v>
      </c>
      <c r="J99" s="166"/>
      <c r="K99" s="162" t="s">
        <v>8</v>
      </c>
      <c r="L99" s="163">
        <v>14443.45</v>
      </c>
    </row>
    <row r="100" spans="1:12" ht="71.400000000000006" hidden="1" x14ac:dyDescent="0.3">
      <c r="A100" s="157" t="s">
        <v>9</v>
      </c>
      <c r="B100" s="158" t="s">
        <v>875</v>
      </c>
      <c r="C100" s="158" t="s">
        <v>876</v>
      </c>
      <c r="D100" s="158" t="s">
        <v>878</v>
      </c>
      <c r="E100" s="159" t="s">
        <v>283</v>
      </c>
      <c r="F100" s="160" t="s">
        <v>15</v>
      </c>
      <c r="G100" s="160"/>
      <c r="H100" s="159" t="s">
        <v>283</v>
      </c>
      <c r="I100" s="161">
        <v>4387.17</v>
      </c>
      <c r="J100" s="161"/>
      <c r="K100" s="162" t="s">
        <v>8</v>
      </c>
      <c r="L100" s="163">
        <v>282737.38</v>
      </c>
    </row>
    <row r="101" spans="1:12" ht="71.400000000000006" hidden="1" x14ac:dyDescent="0.3">
      <c r="A101" s="157" t="s">
        <v>9</v>
      </c>
      <c r="B101" s="158" t="s">
        <v>879</v>
      </c>
      <c r="C101" s="158" t="s">
        <v>880</v>
      </c>
      <c r="D101" s="158" t="s">
        <v>881</v>
      </c>
      <c r="E101" s="159" t="s">
        <v>283</v>
      </c>
      <c r="F101" s="165">
        <v>9221.33</v>
      </c>
      <c r="G101" s="165"/>
      <c r="H101" s="159" t="s">
        <v>283</v>
      </c>
      <c r="I101" s="166" t="s">
        <v>15</v>
      </c>
      <c r="J101" s="166"/>
      <c r="K101" s="162" t="s">
        <v>8</v>
      </c>
      <c r="L101" s="163">
        <v>23664.78</v>
      </c>
    </row>
    <row r="102" spans="1:12" ht="71.400000000000006" hidden="1" x14ac:dyDescent="0.3">
      <c r="A102" s="157" t="s">
        <v>9</v>
      </c>
      <c r="B102" s="158" t="s">
        <v>879</v>
      </c>
      <c r="C102" s="158" t="s">
        <v>880</v>
      </c>
      <c r="D102" s="158" t="s">
        <v>881</v>
      </c>
      <c r="E102" s="159" t="s">
        <v>283</v>
      </c>
      <c r="F102" s="160" t="s">
        <v>15</v>
      </c>
      <c r="G102" s="160"/>
      <c r="H102" s="159" t="s">
        <v>283</v>
      </c>
      <c r="I102" s="161">
        <v>9221.33</v>
      </c>
      <c r="J102" s="161"/>
      <c r="K102" s="162" t="s">
        <v>8</v>
      </c>
      <c r="L102" s="163">
        <v>6358906.2300000004</v>
      </c>
    </row>
    <row r="103" spans="1:12" ht="71.400000000000006" hidden="1" x14ac:dyDescent="0.3">
      <c r="A103" s="157" t="s">
        <v>9</v>
      </c>
      <c r="B103" s="158" t="s">
        <v>879</v>
      </c>
      <c r="C103" s="158" t="s">
        <v>880</v>
      </c>
      <c r="D103" s="158" t="s">
        <v>882</v>
      </c>
      <c r="E103" s="159" t="s">
        <v>283</v>
      </c>
      <c r="F103" s="165">
        <v>5214.24</v>
      </c>
      <c r="G103" s="165"/>
      <c r="H103" s="159" t="s">
        <v>283</v>
      </c>
      <c r="I103" s="166" t="s">
        <v>15</v>
      </c>
      <c r="J103" s="166"/>
      <c r="K103" s="162" t="s">
        <v>8</v>
      </c>
      <c r="L103" s="163">
        <v>28879.02</v>
      </c>
    </row>
    <row r="104" spans="1:12" ht="71.400000000000006" hidden="1" x14ac:dyDescent="0.3">
      <c r="A104" s="157" t="s">
        <v>9</v>
      </c>
      <c r="B104" s="158" t="s">
        <v>879</v>
      </c>
      <c r="C104" s="158" t="s">
        <v>880</v>
      </c>
      <c r="D104" s="158" t="s">
        <v>882</v>
      </c>
      <c r="E104" s="159" t="s">
        <v>283</v>
      </c>
      <c r="F104" s="160" t="s">
        <v>15</v>
      </c>
      <c r="G104" s="160"/>
      <c r="H104" s="159" t="s">
        <v>283</v>
      </c>
      <c r="I104" s="161">
        <v>5214.24</v>
      </c>
      <c r="J104" s="161"/>
      <c r="K104" s="162" t="s">
        <v>8</v>
      </c>
      <c r="L104" s="163">
        <v>6353691.9900000002</v>
      </c>
    </row>
    <row r="105" spans="1:12" ht="71.400000000000006" hidden="1" x14ac:dyDescent="0.3">
      <c r="A105" s="157" t="s">
        <v>9</v>
      </c>
      <c r="B105" s="158" t="s">
        <v>879</v>
      </c>
      <c r="C105" s="158" t="s">
        <v>880</v>
      </c>
      <c r="D105" s="158" t="s">
        <v>883</v>
      </c>
      <c r="E105" s="159" t="s">
        <v>283</v>
      </c>
      <c r="F105" s="165">
        <v>9703.65</v>
      </c>
      <c r="G105" s="165"/>
      <c r="H105" s="159" t="s">
        <v>283</v>
      </c>
      <c r="I105" s="166" t="s">
        <v>15</v>
      </c>
      <c r="J105" s="166"/>
      <c r="K105" s="162" t="s">
        <v>8</v>
      </c>
      <c r="L105" s="163">
        <v>38582.67</v>
      </c>
    </row>
    <row r="106" spans="1:12" ht="71.400000000000006" hidden="1" x14ac:dyDescent="0.3">
      <c r="A106" s="157" t="s">
        <v>9</v>
      </c>
      <c r="B106" s="158" t="s">
        <v>879</v>
      </c>
      <c r="C106" s="158" t="s">
        <v>880</v>
      </c>
      <c r="D106" s="158" t="s">
        <v>883</v>
      </c>
      <c r="E106" s="159" t="s">
        <v>283</v>
      </c>
      <c r="F106" s="160" t="s">
        <v>15</v>
      </c>
      <c r="G106" s="160"/>
      <c r="H106" s="159" t="s">
        <v>283</v>
      </c>
      <c r="I106" s="161">
        <v>9703.65</v>
      </c>
      <c r="J106" s="161"/>
      <c r="K106" s="162" t="s">
        <v>8</v>
      </c>
      <c r="L106" s="163">
        <v>6343988.3399999999</v>
      </c>
    </row>
    <row r="107" spans="1:12" ht="71.400000000000006" hidden="1" x14ac:dyDescent="0.3">
      <c r="A107" s="157" t="s">
        <v>9</v>
      </c>
      <c r="B107" s="158" t="s">
        <v>884</v>
      </c>
      <c r="C107" s="158" t="s">
        <v>885</v>
      </c>
      <c r="D107" s="158" t="s">
        <v>886</v>
      </c>
      <c r="E107" s="159" t="s">
        <v>283</v>
      </c>
      <c r="F107" s="165">
        <v>3327.23</v>
      </c>
      <c r="G107" s="165"/>
      <c r="H107" s="159" t="s">
        <v>283</v>
      </c>
      <c r="I107" s="166" t="s">
        <v>15</v>
      </c>
      <c r="J107" s="166"/>
      <c r="K107" s="162" t="s">
        <v>8</v>
      </c>
      <c r="L107" s="163">
        <v>41909.9</v>
      </c>
    </row>
    <row r="108" spans="1:12" ht="71.400000000000006" hidden="1" x14ac:dyDescent="0.3">
      <c r="A108" s="157" t="s">
        <v>9</v>
      </c>
      <c r="B108" s="158" t="s">
        <v>884</v>
      </c>
      <c r="C108" s="158" t="s">
        <v>885</v>
      </c>
      <c r="D108" s="158" t="s">
        <v>886</v>
      </c>
      <c r="E108" s="159" t="s">
        <v>283</v>
      </c>
      <c r="F108" s="160" t="s">
        <v>15</v>
      </c>
      <c r="G108" s="160"/>
      <c r="H108" s="159" t="s">
        <v>283</v>
      </c>
      <c r="I108" s="161">
        <v>3327.23</v>
      </c>
      <c r="J108" s="161"/>
      <c r="K108" s="162" t="s">
        <v>8</v>
      </c>
      <c r="L108" s="163">
        <v>414628.14</v>
      </c>
    </row>
    <row r="109" spans="1:12" ht="51" hidden="1" x14ac:dyDescent="0.3">
      <c r="A109" s="157" t="s">
        <v>9</v>
      </c>
      <c r="B109" s="158" t="s">
        <v>887</v>
      </c>
      <c r="C109" s="158" t="s">
        <v>888</v>
      </c>
      <c r="D109" s="158" t="s">
        <v>889</v>
      </c>
      <c r="E109" s="159" t="s">
        <v>283</v>
      </c>
      <c r="F109" s="167">
        <v>3.91</v>
      </c>
      <c r="G109" s="167"/>
      <c r="H109" s="159" t="s">
        <v>283</v>
      </c>
      <c r="I109" s="166" t="s">
        <v>15</v>
      </c>
      <c r="J109" s="166"/>
      <c r="K109" s="162" t="s">
        <v>8</v>
      </c>
      <c r="L109" s="163">
        <v>2407211.04</v>
      </c>
    </row>
    <row r="110" spans="1:12" ht="51" hidden="1" x14ac:dyDescent="0.3">
      <c r="A110" s="157" t="s">
        <v>9</v>
      </c>
      <c r="B110" s="158" t="s">
        <v>887</v>
      </c>
      <c r="C110" s="158" t="s">
        <v>888</v>
      </c>
      <c r="D110" s="158" t="s">
        <v>889</v>
      </c>
      <c r="E110" s="159" t="s">
        <v>283</v>
      </c>
      <c r="F110" s="160" t="s">
        <v>15</v>
      </c>
      <c r="G110" s="160"/>
      <c r="H110" s="159" t="s">
        <v>283</v>
      </c>
      <c r="I110" s="164">
        <v>3.91</v>
      </c>
      <c r="J110" s="164"/>
      <c r="K110" s="162" t="s">
        <v>8</v>
      </c>
      <c r="L110" s="163">
        <v>751684.37</v>
      </c>
    </row>
    <row r="111" spans="1:12" ht="51" hidden="1" x14ac:dyDescent="0.3">
      <c r="A111" s="157" t="s">
        <v>9</v>
      </c>
      <c r="B111" s="158" t="s">
        <v>890</v>
      </c>
      <c r="C111" s="158" t="s">
        <v>891</v>
      </c>
      <c r="D111" s="158" t="s">
        <v>892</v>
      </c>
      <c r="E111" s="159" t="s">
        <v>283</v>
      </c>
      <c r="F111" s="167">
        <v>630.52</v>
      </c>
      <c r="G111" s="167"/>
      <c r="H111" s="159" t="s">
        <v>283</v>
      </c>
      <c r="I111" s="164">
        <v>630.52</v>
      </c>
      <c r="J111" s="164"/>
      <c r="K111" s="162" t="s">
        <v>8</v>
      </c>
      <c r="L111" s="163">
        <v>6343988.3399999999</v>
      </c>
    </row>
    <row r="112" spans="1:12" ht="51" hidden="1" x14ac:dyDescent="0.3">
      <c r="A112" s="157" t="s">
        <v>591</v>
      </c>
      <c r="B112" s="158" t="s">
        <v>893</v>
      </c>
      <c r="C112" s="158" t="s">
        <v>894</v>
      </c>
      <c r="D112" s="158" t="s">
        <v>895</v>
      </c>
      <c r="E112" s="159" t="s">
        <v>283</v>
      </c>
      <c r="F112" s="165">
        <v>4119.08</v>
      </c>
      <c r="G112" s="165"/>
      <c r="H112" s="159" t="s">
        <v>14</v>
      </c>
      <c r="I112" s="166" t="s">
        <v>15</v>
      </c>
      <c r="J112" s="166"/>
      <c r="K112" s="162" t="s">
        <v>8</v>
      </c>
      <c r="L112" s="163">
        <v>755803.45</v>
      </c>
    </row>
    <row r="113" spans="1:12" ht="51" hidden="1" x14ac:dyDescent="0.3">
      <c r="A113" s="157" t="s">
        <v>591</v>
      </c>
      <c r="B113" s="158" t="s">
        <v>896</v>
      </c>
      <c r="C113" s="158" t="s">
        <v>894</v>
      </c>
      <c r="D113" s="158" t="s">
        <v>895</v>
      </c>
      <c r="E113" s="159" t="s">
        <v>283</v>
      </c>
      <c r="F113" s="165">
        <v>71423.570000000007</v>
      </c>
      <c r="G113" s="165"/>
      <c r="H113" s="159" t="s">
        <v>14</v>
      </c>
      <c r="I113" s="166" t="s">
        <v>15</v>
      </c>
      <c r="J113" s="166"/>
      <c r="K113" s="162" t="s">
        <v>8</v>
      </c>
      <c r="L113" s="163">
        <v>827227.02</v>
      </c>
    </row>
    <row r="114" spans="1:12" ht="61.2" hidden="1" x14ac:dyDescent="0.3">
      <c r="A114" s="157" t="s">
        <v>591</v>
      </c>
      <c r="B114" s="158" t="s">
        <v>893</v>
      </c>
      <c r="C114" s="158" t="s">
        <v>897</v>
      </c>
      <c r="D114" s="158" t="s">
        <v>895</v>
      </c>
      <c r="E114" s="159" t="s">
        <v>283</v>
      </c>
      <c r="F114" s="165">
        <v>13416</v>
      </c>
      <c r="G114" s="165"/>
      <c r="H114" s="159" t="s">
        <v>14</v>
      </c>
      <c r="I114" s="166" t="s">
        <v>15</v>
      </c>
      <c r="J114" s="166"/>
      <c r="K114" s="162" t="s">
        <v>8</v>
      </c>
      <c r="L114" s="163">
        <v>840643.02</v>
      </c>
    </row>
    <row r="115" spans="1:12" ht="51" hidden="1" x14ac:dyDescent="0.3">
      <c r="A115" s="157" t="s">
        <v>591</v>
      </c>
      <c r="B115" s="158" t="s">
        <v>893</v>
      </c>
      <c r="C115" s="158" t="s">
        <v>898</v>
      </c>
      <c r="D115" s="158" t="s">
        <v>895</v>
      </c>
      <c r="E115" s="159" t="s">
        <v>283</v>
      </c>
      <c r="F115" s="167">
        <v>880</v>
      </c>
      <c r="G115" s="167"/>
      <c r="H115" s="159" t="s">
        <v>14</v>
      </c>
      <c r="I115" s="166" t="s">
        <v>15</v>
      </c>
      <c r="J115" s="166"/>
      <c r="K115" s="162" t="s">
        <v>8</v>
      </c>
      <c r="L115" s="163">
        <v>841523.02</v>
      </c>
    </row>
    <row r="116" spans="1:12" ht="51" hidden="1" x14ac:dyDescent="0.3">
      <c r="A116" s="157" t="s">
        <v>591</v>
      </c>
      <c r="B116" s="158" t="s">
        <v>893</v>
      </c>
      <c r="C116" s="158" t="s">
        <v>899</v>
      </c>
      <c r="D116" s="158" t="s">
        <v>895</v>
      </c>
      <c r="E116" s="159" t="s">
        <v>283</v>
      </c>
      <c r="F116" s="165">
        <v>3174</v>
      </c>
      <c r="G116" s="165"/>
      <c r="H116" s="159" t="s">
        <v>14</v>
      </c>
      <c r="I116" s="166" t="s">
        <v>15</v>
      </c>
      <c r="J116" s="166"/>
      <c r="K116" s="162" t="s">
        <v>8</v>
      </c>
      <c r="L116" s="163">
        <v>844697.02</v>
      </c>
    </row>
    <row r="117" spans="1:12" ht="51" hidden="1" x14ac:dyDescent="0.3">
      <c r="A117" s="157" t="s">
        <v>591</v>
      </c>
      <c r="B117" s="158" t="s">
        <v>893</v>
      </c>
      <c r="C117" s="158" t="s">
        <v>900</v>
      </c>
      <c r="D117" s="158" t="s">
        <v>895</v>
      </c>
      <c r="E117" s="159" t="s">
        <v>283</v>
      </c>
      <c r="F117" s="165">
        <v>2223.3200000000002</v>
      </c>
      <c r="G117" s="165"/>
      <c r="H117" s="159" t="s">
        <v>14</v>
      </c>
      <c r="I117" s="166" t="s">
        <v>15</v>
      </c>
      <c r="J117" s="166"/>
      <c r="K117" s="162" t="s">
        <v>8</v>
      </c>
      <c r="L117" s="163">
        <v>846920.34</v>
      </c>
    </row>
    <row r="118" spans="1:12" ht="51" hidden="1" x14ac:dyDescent="0.3">
      <c r="A118" s="157" t="s">
        <v>591</v>
      </c>
      <c r="B118" s="158" t="s">
        <v>893</v>
      </c>
      <c r="C118" s="158" t="s">
        <v>901</v>
      </c>
      <c r="D118" s="158" t="s">
        <v>895</v>
      </c>
      <c r="E118" s="159" t="s">
        <v>283</v>
      </c>
      <c r="F118" s="165">
        <v>1456.64</v>
      </c>
      <c r="G118" s="165"/>
      <c r="H118" s="159" t="s">
        <v>14</v>
      </c>
      <c r="I118" s="166" t="s">
        <v>15</v>
      </c>
      <c r="J118" s="166"/>
      <c r="K118" s="162" t="s">
        <v>8</v>
      </c>
      <c r="L118" s="163">
        <v>848376.98</v>
      </c>
    </row>
    <row r="119" spans="1:12" ht="51" hidden="1" x14ac:dyDescent="0.3">
      <c r="A119" s="157" t="s">
        <v>591</v>
      </c>
      <c r="B119" s="158" t="s">
        <v>893</v>
      </c>
      <c r="C119" s="158" t="s">
        <v>902</v>
      </c>
      <c r="D119" s="158" t="s">
        <v>895</v>
      </c>
      <c r="E119" s="159" t="s">
        <v>283</v>
      </c>
      <c r="F119" s="165">
        <v>13186.67</v>
      </c>
      <c r="G119" s="165"/>
      <c r="H119" s="159" t="s">
        <v>14</v>
      </c>
      <c r="I119" s="166" t="s">
        <v>15</v>
      </c>
      <c r="J119" s="166"/>
      <c r="K119" s="162" t="s">
        <v>8</v>
      </c>
      <c r="L119" s="163">
        <v>861563.65</v>
      </c>
    </row>
    <row r="120" spans="1:12" ht="51" hidden="1" x14ac:dyDescent="0.3">
      <c r="A120" s="157" t="s">
        <v>591</v>
      </c>
      <c r="B120" s="158" t="s">
        <v>893</v>
      </c>
      <c r="C120" s="158" t="s">
        <v>903</v>
      </c>
      <c r="D120" s="158" t="s">
        <v>895</v>
      </c>
      <c r="E120" s="159" t="s">
        <v>283</v>
      </c>
      <c r="F120" s="165">
        <v>1800</v>
      </c>
      <c r="G120" s="165"/>
      <c r="H120" s="159" t="s">
        <v>14</v>
      </c>
      <c r="I120" s="166" t="s">
        <v>15</v>
      </c>
      <c r="J120" s="166"/>
      <c r="K120" s="162" t="s">
        <v>8</v>
      </c>
      <c r="L120" s="163">
        <v>863363.65</v>
      </c>
    </row>
    <row r="121" spans="1:12" ht="61.2" hidden="1" x14ac:dyDescent="0.3">
      <c r="A121" s="157" t="s">
        <v>591</v>
      </c>
      <c r="B121" s="158" t="s">
        <v>893</v>
      </c>
      <c r="C121" s="158" t="s">
        <v>904</v>
      </c>
      <c r="D121" s="158" t="s">
        <v>895</v>
      </c>
      <c r="E121" s="159" t="s">
        <v>283</v>
      </c>
      <c r="F121" s="165">
        <v>7360</v>
      </c>
      <c r="G121" s="165"/>
      <c r="H121" s="159" t="s">
        <v>14</v>
      </c>
      <c r="I121" s="166" t="s">
        <v>15</v>
      </c>
      <c r="J121" s="166"/>
      <c r="K121" s="162" t="s">
        <v>8</v>
      </c>
      <c r="L121" s="163">
        <v>870723.65</v>
      </c>
    </row>
    <row r="122" spans="1:12" ht="51" hidden="1" x14ac:dyDescent="0.3">
      <c r="A122" s="157" t="s">
        <v>591</v>
      </c>
      <c r="B122" s="158" t="s">
        <v>905</v>
      </c>
      <c r="C122" s="158" t="s">
        <v>906</v>
      </c>
      <c r="D122" s="158" t="s">
        <v>907</v>
      </c>
      <c r="E122" s="159" t="s">
        <v>283</v>
      </c>
      <c r="F122" s="165">
        <v>2800</v>
      </c>
      <c r="G122" s="165"/>
      <c r="H122" s="159" t="s">
        <v>14</v>
      </c>
      <c r="I122" s="166" t="s">
        <v>15</v>
      </c>
      <c r="J122" s="166"/>
      <c r="K122" s="162" t="s">
        <v>8</v>
      </c>
      <c r="L122" s="163">
        <v>873523.65</v>
      </c>
    </row>
    <row r="123" spans="1:12" ht="51" hidden="1" x14ac:dyDescent="0.3">
      <c r="A123" s="157" t="s">
        <v>19</v>
      </c>
      <c r="B123" s="158" t="s">
        <v>908</v>
      </c>
      <c r="C123" s="158" t="s">
        <v>909</v>
      </c>
      <c r="D123" s="158" t="s">
        <v>910</v>
      </c>
      <c r="E123" s="159" t="s">
        <v>283</v>
      </c>
      <c r="F123" s="160" t="s">
        <v>15</v>
      </c>
      <c r="G123" s="160"/>
      <c r="H123" s="159" t="s">
        <v>283</v>
      </c>
      <c r="I123" s="161">
        <v>187239.29</v>
      </c>
      <c r="J123" s="161"/>
      <c r="K123" s="162" t="s">
        <v>8</v>
      </c>
      <c r="L123" s="163">
        <v>6156749.0499999998</v>
      </c>
    </row>
    <row r="124" spans="1:12" ht="51" hidden="1" x14ac:dyDescent="0.3">
      <c r="A124" s="157" t="s">
        <v>19</v>
      </c>
      <c r="B124" s="158" t="s">
        <v>908</v>
      </c>
      <c r="C124" s="158" t="s">
        <v>909</v>
      </c>
      <c r="D124" s="158" t="s">
        <v>910</v>
      </c>
      <c r="E124" s="159" t="s">
        <v>283</v>
      </c>
      <c r="F124" s="165">
        <v>187239.29</v>
      </c>
      <c r="G124" s="165"/>
      <c r="H124" s="159" t="s">
        <v>283</v>
      </c>
      <c r="I124" s="166" t="s">
        <v>15</v>
      </c>
      <c r="J124" s="166"/>
      <c r="K124" s="162" t="s">
        <v>8</v>
      </c>
      <c r="L124" s="163">
        <v>2528014.25</v>
      </c>
    </row>
    <row r="125" spans="1:12" ht="61.2" hidden="1" x14ac:dyDescent="0.3">
      <c r="A125" s="157" t="s">
        <v>19</v>
      </c>
      <c r="B125" s="158" t="s">
        <v>911</v>
      </c>
      <c r="C125" s="158" t="s">
        <v>912</v>
      </c>
      <c r="D125" s="158" t="s">
        <v>913</v>
      </c>
      <c r="E125" s="159" t="s">
        <v>283</v>
      </c>
      <c r="F125" s="165">
        <v>5464.4</v>
      </c>
      <c r="G125" s="165"/>
      <c r="H125" s="159" t="s">
        <v>14</v>
      </c>
      <c r="I125" s="166" t="s">
        <v>15</v>
      </c>
      <c r="J125" s="166"/>
      <c r="K125" s="162" t="s">
        <v>8</v>
      </c>
      <c r="L125" s="163">
        <v>878988.05</v>
      </c>
    </row>
    <row r="126" spans="1:12" ht="61.2" hidden="1" x14ac:dyDescent="0.3">
      <c r="A126" s="157" t="s">
        <v>19</v>
      </c>
      <c r="B126" s="158" t="s">
        <v>914</v>
      </c>
      <c r="C126" s="158" t="s">
        <v>915</v>
      </c>
      <c r="D126" s="158" t="s">
        <v>913</v>
      </c>
      <c r="E126" s="159" t="s">
        <v>283</v>
      </c>
      <c r="F126" s="165">
        <v>3532.3</v>
      </c>
      <c r="G126" s="165"/>
      <c r="H126" s="159" t="s">
        <v>14</v>
      </c>
      <c r="I126" s="166" t="s">
        <v>15</v>
      </c>
      <c r="J126" s="166"/>
      <c r="K126" s="162" t="s">
        <v>8</v>
      </c>
      <c r="L126" s="163">
        <v>882520.35</v>
      </c>
    </row>
    <row r="127" spans="1:12" ht="61.2" hidden="1" x14ac:dyDescent="0.3">
      <c r="A127" s="157" t="s">
        <v>19</v>
      </c>
      <c r="B127" s="158" t="s">
        <v>914</v>
      </c>
      <c r="C127" s="158" t="s">
        <v>916</v>
      </c>
      <c r="D127" s="158" t="s">
        <v>913</v>
      </c>
      <c r="E127" s="159" t="s">
        <v>283</v>
      </c>
      <c r="F127" s="165">
        <v>7298.1</v>
      </c>
      <c r="G127" s="165"/>
      <c r="H127" s="159" t="s">
        <v>14</v>
      </c>
      <c r="I127" s="166" t="s">
        <v>15</v>
      </c>
      <c r="J127" s="166"/>
      <c r="K127" s="162" t="s">
        <v>8</v>
      </c>
      <c r="L127" s="163">
        <v>889818.45</v>
      </c>
    </row>
    <row r="128" spans="1:12" ht="61.2" hidden="1" x14ac:dyDescent="0.3">
      <c r="A128" s="157" t="s">
        <v>19</v>
      </c>
      <c r="B128" s="158" t="s">
        <v>917</v>
      </c>
      <c r="C128" s="158" t="s">
        <v>918</v>
      </c>
      <c r="D128" s="158" t="s">
        <v>919</v>
      </c>
      <c r="E128" s="159" t="s">
        <v>283</v>
      </c>
      <c r="F128" s="165">
        <v>3550.4</v>
      </c>
      <c r="G128" s="165"/>
      <c r="H128" s="159" t="s">
        <v>14</v>
      </c>
      <c r="I128" s="166" t="s">
        <v>15</v>
      </c>
      <c r="J128" s="166"/>
      <c r="K128" s="162" t="s">
        <v>8</v>
      </c>
      <c r="L128" s="163">
        <v>156505.96</v>
      </c>
    </row>
    <row r="129" spans="1:12" ht="61.2" hidden="1" x14ac:dyDescent="0.3">
      <c r="A129" s="157" t="s">
        <v>19</v>
      </c>
      <c r="B129" s="158" t="s">
        <v>917</v>
      </c>
      <c r="C129" s="158" t="s">
        <v>920</v>
      </c>
      <c r="D129" s="158" t="s">
        <v>919</v>
      </c>
      <c r="E129" s="159" t="s">
        <v>283</v>
      </c>
      <c r="F129" s="165">
        <v>4307.8999999999996</v>
      </c>
      <c r="G129" s="165"/>
      <c r="H129" s="159" t="s">
        <v>14</v>
      </c>
      <c r="I129" s="166" t="s">
        <v>15</v>
      </c>
      <c r="J129" s="166"/>
      <c r="K129" s="162" t="s">
        <v>8</v>
      </c>
      <c r="L129" s="163">
        <v>160813.85999999999</v>
      </c>
    </row>
    <row r="130" spans="1:12" ht="61.2" hidden="1" x14ac:dyDescent="0.3">
      <c r="A130" s="157" t="s">
        <v>19</v>
      </c>
      <c r="B130" s="158" t="s">
        <v>917</v>
      </c>
      <c r="C130" s="158" t="s">
        <v>921</v>
      </c>
      <c r="D130" s="158" t="s">
        <v>919</v>
      </c>
      <c r="E130" s="159" t="s">
        <v>283</v>
      </c>
      <c r="F130" s="165">
        <v>4439.8999999999996</v>
      </c>
      <c r="G130" s="165"/>
      <c r="H130" s="159" t="s">
        <v>14</v>
      </c>
      <c r="I130" s="166" t="s">
        <v>15</v>
      </c>
      <c r="J130" s="166"/>
      <c r="K130" s="162" t="s">
        <v>8</v>
      </c>
      <c r="L130" s="163">
        <v>165253.76000000001</v>
      </c>
    </row>
    <row r="131" spans="1:12" ht="61.2" hidden="1" x14ac:dyDescent="0.3">
      <c r="A131" s="157" t="s">
        <v>19</v>
      </c>
      <c r="B131" s="158" t="s">
        <v>917</v>
      </c>
      <c r="C131" s="158" t="s">
        <v>922</v>
      </c>
      <c r="D131" s="158" t="s">
        <v>919</v>
      </c>
      <c r="E131" s="159" t="s">
        <v>283</v>
      </c>
      <c r="F131" s="165">
        <v>10358.799999999999</v>
      </c>
      <c r="G131" s="165"/>
      <c r="H131" s="159" t="s">
        <v>14</v>
      </c>
      <c r="I131" s="166" t="s">
        <v>15</v>
      </c>
      <c r="J131" s="166"/>
      <c r="K131" s="162" t="s">
        <v>8</v>
      </c>
      <c r="L131" s="163">
        <v>175612.56</v>
      </c>
    </row>
    <row r="132" spans="1:12" ht="61.2" hidden="1" x14ac:dyDescent="0.3">
      <c r="A132" s="157" t="s">
        <v>19</v>
      </c>
      <c r="B132" s="158" t="s">
        <v>923</v>
      </c>
      <c r="C132" s="158" t="s">
        <v>924</v>
      </c>
      <c r="D132" s="158" t="s">
        <v>919</v>
      </c>
      <c r="E132" s="159" t="s">
        <v>283</v>
      </c>
      <c r="F132" s="165">
        <v>27606.2</v>
      </c>
      <c r="G132" s="165"/>
      <c r="H132" s="159" t="s">
        <v>14</v>
      </c>
      <c r="I132" s="166" t="s">
        <v>15</v>
      </c>
      <c r="J132" s="166"/>
      <c r="K132" s="162" t="s">
        <v>8</v>
      </c>
      <c r="L132" s="163">
        <v>203218.76</v>
      </c>
    </row>
    <row r="133" spans="1:12" ht="61.2" hidden="1" x14ac:dyDescent="0.3">
      <c r="A133" s="157" t="s">
        <v>19</v>
      </c>
      <c r="B133" s="158" t="s">
        <v>917</v>
      </c>
      <c r="C133" s="158" t="s">
        <v>924</v>
      </c>
      <c r="D133" s="158" t="s">
        <v>919</v>
      </c>
      <c r="E133" s="159" t="s">
        <v>283</v>
      </c>
      <c r="F133" s="165">
        <v>55513.1</v>
      </c>
      <c r="G133" s="165"/>
      <c r="H133" s="159" t="s">
        <v>14</v>
      </c>
      <c r="I133" s="166" t="s">
        <v>15</v>
      </c>
      <c r="J133" s="166"/>
      <c r="K133" s="162" t="s">
        <v>8</v>
      </c>
      <c r="L133" s="163">
        <v>258731.86</v>
      </c>
    </row>
    <row r="134" spans="1:12" ht="61.2" hidden="1" x14ac:dyDescent="0.3">
      <c r="A134" s="157" t="s">
        <v>19</v>
      </c>
      <c r="B134" s="158" t="s">
        <v>923</v>
      </c>
      <c r="C134" s="158" t="s">
        <v>922</v>
      </c>
      <c r="D134" s="158" t="s">
        <v>919</v>
      </c>
      <c r="E134" s="159" t="s">
        <v>283</v>
      </c>
      <c r="F134" s="165">
        <v>11303.6</v>
      </c>
      <c r="G134" s="165"/>
      <c r="H134" s="159" t="s">
        <v>14</v>
      </c>
      <c r="I134" s="166" t="s">
        <v>15</v>
      </c>
      <c r="J134" s="166"/>
      <c r="K134" s="162" t="s">
        <v>8</v>
      </c>
      <c r="L134" s="163">
        <v>270035.46000000002</v>
      </c>
    </row>
    <row r="135" spans="1:12" ht="61.2" hidden="1" x14ac:dyDescent="0.3">
      <c r="A135" s="157" t="s">
        <v>19</v>
      </c>
      <c r="B135" s="158" t="s">
        <v>923</v>
      </c>
      <c r="C135" s="158" t="s">
        <v>922</v>
      </c>
      <c r="D135" s="158" t="s">
        <v>919</v>
      </c>
      <c r="E135" s="159" t="s">
        <v>283</v>
      </c>
      <c r="F135" s="165">
        <v>7688.1</v>
      </c>
      <c r="G135" s="165"/>
      <c r="H135" s="159" t="s">
        <v>14</v>
      </c>
      <c r="I135" s="166" t="s">
        <v>15</v>
      </c>
      <c r="J135" s="166"/>
      <c r="K135" s="162" t="s">
        <v>8</v>
      </c>
      <c r="L135" s="163">
        <v>277723.56</v>
      </c>
    </row>
    <row r="136" spans="1:12" ht="61.2" hidden="1" x14ac:dyDescent="0.3">
      <c r="A136" s="157" t="s">
        <v>19</v>
      </c>
      <c r="B136" s="158" t="s">
        <v>923</v>
      </c>
      <c r="C136" s="158" t="s">
        <v>925</v>
      </c>
      <c r="D136" s="158" t="s">
        <v>919</v>
      </c>
      <c r="E136" s="159" t="s">
        <v>283</v>
      </c>
      <c r="F136" s="165">
        <v>2787.7</v>
      </c>
      <c r="G136" s="165"/>
      <c r="H136" s="159" t="s">
        <v>14</v>
      </c>
      <c r="I136" s="166" t="s">
        <v>15</v>
      </c>
      <c r="J136" s="166"/>
      <c r="K136" s="162" t="s">
        <v>8</v>
      </c>
      <c r="L136" s="163">
        <v>280511.26</v>
      </c>
    </row>
    <row r="137" spans="1:12" ht="61.2" hidden="1" x14ac:dyDescent="0.3">
      <c r="A137" s="157" t="s">
        <v>19</v>
      </c>
      <c r="B137" s="158" t="s">
        <v>923</v>
      </c>
      <c r="C137" s="158" t="s">
        <v>926</v>
      </c>
      <c r="D137" s="158" t="s">
        <v>919</v>
      </c>
      <c r="E137" s="159" t="s">
        <v>283</v>
      </c>
      <c r="F137" s="165">
        <v>4337.8999999999996</v>
      </c>
      <c r="G137" s="165"/>
      <c r="H137" s="159" t="s">
        <v>14</v>
      </c>
      <c r="I137" s="166" t="s">
        <v>15</v>
      </c>
      <c r="J137" s="166"/>
      <c r="K137" s="162" t="s">
        <v>8</v>
      </c>
      <c r="L137" s="163">
        <v>284849.15999999997</v>
      </c>
    </row>
    <row r="138" spans="1:12" ht="61.2" hidden="1" x14ac:dyDescent="0.3">
      <c r="A138" s="157" t="s">
        <v>19</v>
      </c>
      <c r="B138" s="158" t="s">
        <v>923</v>
      </c>
      <c r="C138" s="158" t="s">
        <v>927</v>
      </c>
      <c r="D138" s="158" t="s">
        <v>919</v>
      </c>
      <c r="E138" s="159" t="s">
        <v>283</v>
      </c>
      <c r="F138" s="165">
        <v>2473.4</v>
      </c>
      <c r="G138" s="165"/>
      <c r="H138" s="159" t="s">
        <v>14</v>
      </c>
      <c r="I138" s="166" t="s">
        <v>15</v>
      </c>
      <c r="J138" s="166"/>
      <c r="K138" s="162" t="s">
        <v>8</v>
      </c>
      <c r="L138" s="163">
        <v>287322.56</v>
      </c>
    </row>
    <row r="139" spans="1:12" ht="61.2" hidden="1" x14ac:dyDescent="0.3">
      <c r="A139" s="157" t="s">
        <v>19</v>
      </c>
      <c r="B139" s="158" t="s">
        <v>923</v>
      </c>
      <c r="C139" s="158" t="s">
        <v>928</v>
      </c>
      <c r="D139" s="158" t="s">
        <v>919</v>
      </c>
      <c r="E139" s="159" t="s">
        <v>283</v>
      </c>
      <c r="F139" s="165">
        <v>8231.7999999999993</v>
      </c>
      <c r="G139" s="165"/>
      <c r="H139" s="159" t="s">
        <v>14</v>
      </c>
      <c r="I139" s="166" t="s">
        <v>15</v>
      </c>
      <c r="J139" s="166"/>
      <c r="K139" s="162" t="s">
        <v>8</v>
      </c>
      <c r="L139" s="163">
        <v>295554.36</v>
      </c>
    </row>
    <row r="140" spans="1:12" ht="61.2" hidden="1" x14ac:dyDescent="0.3">
      <c r="A140" s="157" t="s">
        <v>19</v>
      </c>
      <c r="B140" s="158" t="s">
        <v>923</v>
      </c>
      <c r="C140" s="158" t="s">
        <v>928</v>
      </c>
      <c r="D140" s="158" t="s">
        <v>919</v>
      </c>
      <c r="E140" s="159" t="s">
        <v>283</v>
      </c>
      <c r="F140" s="165">
        <v>3888.7</v>
      </c>
      <c r="G140" s="165"/>
      <c r="H140" s="159" t="s">
        <v>14</v>
      </c>
      <c r="I140" s="166" t="s">
        <v>15</v>
      </c>
      <c r="J140" s="166"/>
      <c r="K140" s="162" t="s">
        <v>8</v>
      </c>
      <c r="L140" s="163">
        <v>299443.06</v>
      </c>
    </row>
    <row r="141" spans="1:12" ht="61.2" hidden="1" x14ac:dyDescent="0.3">
      <c r="A141" s="157" t="s">
        <v>19</v>
      </c>
      <c r="B141" s="158" t="s">
        <v>923</v>
      </c>
      <c r="C141" s="158" t="s">
        <v>929</v>
      </c>
      <c r="D141" s="158" t="s">
        <v>919</v>
      </c>
      <c r="E141" s="159" t="s">
        <v>283</v>
      </c>
      <c r="F141" s="165">
        <v>4189.3999999999996</v>
      </c>
      <c r="G141" s="165"/>
      <c r="H141" s="159" t="s">
        <v>14</v>
      </c>
      <c r="I141" s="166" t="s">
        <v>15</v>
      </c>
      <c r="J141" s="166"/>
      <c r="K141" s="162" t="s">
        <v>8</v>
      </c>
      <c r="L141" s="163">
        <v>303632.46000000002</v>
      </c>
    </row>
    <row r="142" spans="1:12" ht="61.2" hidden="1" x14ac:dyDescent="0.3">
      <c r="A142" s="157" t="s">
        <v>19</v>
      </c>
      <c r="B142" s="158" t="s">
        <v>923</v>
      </c>
      <c r="C142" s="158" t="s">
        <v>930</v>
      </c>
      <c r="D142" s="158" t="s">
        <v>919</v>
      </c>
      <c r="E142" s="159" t="s">
        <v>283</v>
      </c>
      <c r="F142" s="165">
        <v>4559.2</v>
      </c>
      <c r="G142" s="165"/>
      <c r="H142" s="159" t="s">
        <v>14</v>
      </c>
      <c r="I142" s="166" t="s">
        <v>15</v>
      </c>
      <c r="J142" s="166"/>
      <c r="K142" s="162" t="s">
        <v>8</v>
      </c>
      <c r="L142" s="163">
        <v>308191.65999999997</v>
      </c>
    </row>
    <row r="143" spans="1:12" ht="61.2" hidden="1" x14ac:dyDescent="0.3">
      <c r="A143" s="157" t="s">
        <v>19</v>
      </c>
      <c r="B143" s="158" t="s">
        <v>923</v>
      </c>
      <c r="C143" s="158" t="s">
        <v>931</v>
      </c>
      <c r="D143" s="158" t="s">
        <v>919</v>
      </c>
      <c r="E143" s="159" t="s">
        <v>283</v>
      </c>
      <c r="F143" s="165">
        <v>4887.7</v>
      </c>
      <c r="G143" s="165"/>
      <c r="H143" s="159" t="s">
        <v>14</v>
      </c>
      <c r="I143" s="166" t="s">
        <v>15</v>
      </c>
      <c r="J143" s="166"/>
      <c r="K143" s="162" t="s">
        <v>8</v>
      </c>
      <c r="L143" s="163">
        <v>313079.36</v>
      </c>
    </row>
    <row r="144" spans="1:12" ht="61.2" hidden="1" x14ac:dyDescent="0.3">
      <c r="A144" s="157" t="s">
        <v>19</v>
      </c>
      <c r="B144" s="158" t="s">
        <v>923</v>
      </c>
      <c r="C144" s="158" t="s">
        <v>932</v>
      </c>
      <c r="D144" s="158" t="s">
        <v>919</v>
      </c>
      <c r="E144" s="159" t="s">
        <v>283</v>
      </c>
      <c r="F144" s="165">
        <v>3546.7</v>
      </c>
      <c r="G144" s="165"/>
      <c r="H144" s="159" t="s">
        <v>14</v>
      </c>
      <c r="I144" s="166" t="s">
        <v>15</v>
      </c>
      <c r="J144" s="166"/>
      <c r="K144" s="162" t="s">
        <v>8</v>
      </c>
      <c r="L144" s="163">
        <v>316626.06</v>
      </c>
    </row>
    <row r="145" spans="1:12" ht="61.2" hidden="1" x14ac:dyDescent="0.3">
      <c r="A145" s="157" t="s">
        <v>19</v>
      </c>
      <c r="B145" s="158" t="s">
        <v>923</v>
      </c>
      <c r="C145" s="158" t="s">
        <v>933</v>
      </c>
      <c r="D145" s="158" t="s">
        <v>919</v>
      </c>
      <c r="E145" s="159" t="s">
        <v>283</v>
      </c>
      <c r="F145" s="165">
        <v>4100.8999999999996</v>
      </c>
      <c r="G145" s="165"/>
      <c r="H145" s="159" t="s">
        <v>14</v>
      </c>
      <c r="I145" s="166" t="s">
        <v>15</v>
      </c>
      <c r="J145" s="166"/>
      <c r="K145" s="162" t="s">
        <v>8</v>
      </c>
      <c r="L145" s="163">
        <v>320726.96000000002</v>
      </c>
    </row>
    <row r="146" spans="1:12" ht="61.2" hidden="1" x14ac:dyDescent="0.3">
      <c r="A146" s="157" t="s">
        <v>19</v>
      </c>
      <c r="B146" s="158" t="s">
        <v>923</v>
      </c>
      <c r="C146" s="158" t="s">
        <v>934</v>
      </c>
      <c r="D146" s="158" t="s">
        <v>919</v>
      </c>
      <c r="E146" s="159" t="s">
        <v>283</v>
      </c>
      <c r="F146" s="165">
        <v>2945.2</v>
      </c>
      <c r="G146" s="165"/>
      <c r="H146" s="159" t="s">
        <v>14</v>
      </c>
      <c r="I146" s="166" t="s">
        <v>15</v>
      </c>
      <c r="J146" s="166"/>
      <c r="K146" s="162" t="s">
        <v>8</v>
      </c>
      <c r="L146" s="163">
        <v>323672.15999999997</v>
      </c>
    </row>
    <row r="147" spans="1:12" ht="61.2" hidden="1" x14ac:dyDescent="0.3">
      <c r="A147" s="157" t="s">
        <v>19</v>
      </c>
      <c r="B147" s="158" t="s">
        <v>923</v>
      </c>
      <c r="C147" s="158" t="s">
        <v>935</v>
      </c>
      <c r="D147" s="158" t="s">
        <v>919</v>
      </c>
      <c r="E147" s="159" t="s">
        <v>283</v>
      </c>
      <c r="F147" s="165">
        <v>11126.1</v>
      </c>
      <c r="G147" s="165"/>
      <c r="H147" s="159" t="s">
        <v>14</v>
      </c>
      <c r="I147" s="166" t="s">
        <v>15</v>
      </c>
      <c r="J147" s="166"/>
      <c r="K147" s="162" t="s">
        <v>8</v>
      </c>
      <c r="L147" s="163">
        <v>334798.26</v>
      </c>
    </row>
    <row r="148" spans="1:12" ht="61.2" hidden="1" x14ac:dyDescent="0.3">
      <c r="A148" s="157" t="s">
        <v>19</v>
      </c>
      <c r="B148" s="158" t="s">
        <v>923</v>
      </c>
      <c r="C148" s="158" t="s">
        <v>936</v>
      </c>
      <c r="D148" s="158" t="s">
        <v>919</v>
      </c>
      <c r="E148" s="159" t="s">
        <v>283</v>
      </c>
      <c r="F148" s="165">
        <v>11787.6</v>
      </c>
      <c r="G148" s="165"/>
      <c r="H148" s="159" t="s">
        <v>14</v>
      </c>
      <c r="I148" s="166" t="s">
        <v>15</v>
      </c>
      <c r="J148" s="166"/>
      <c r="K148" s="162" t="s">
        <v>8</v>
      </c>
      <c r="L148" s="163">
        <v>346585.86</v>
      </c>
    </row>
    <row r="149" spans="1:12" ht="61.2" hidden="1" x14ac:dyDescent="0.3">
      <c r="A149" s="157" t="s">
        <v>19</v>
      </c>
      <c r="B149" s="158" t="s">
        <v>923</v>
      </c>
      <c r="C149" s="158" t="s">
        <v>937</v>
      </c>
      <c r="D149" s="158" t="s">
        <v>919</v>
      </c>
      <c r="E149" s="159" t="s">
        <v>283</v>
      </c>
      <c r="F149" s="165">
        <v>7354.4</v>
      </c>
      <c r="G149" s="165"/>
      <c r="H149" s="159" t="s">
        <v>14</v>
      </c>
      <c r="I149" s="166" t="s">
        <v>15</v>
      </c>
      <c r="J149" s="166"/>
      <c r="K149" s="162" t="s">
        <v>8</v>
      </c>
      <c r="L149" s="163">
        <v>353940.26</v>
      </c>
    </row>
    <row r="150" spans="1:12" ht="61.2" hidden="1" x14ac:dyDescent="0.3">
      <c r="A150" s="157" t="s">
        <v>19</v>
      </c>
      <c r="B150" s="158" t="s">
        <v>923</v>
      </c>
      <c r="C150" s="158" t="s">
        <v>938</v>
      </c>
      <c r="D150" s="158" t="s">
        <v>919</v>
      </c>
      <c r="E150" s="159" t="s">
        <v>283</v>
      </c>
      <c r="F150" s="165">
        <v>4355.8999999999996</v>
      </c>
      <c r="G150" s="165"/>
      <c r="H150" s="159" t="s">
        <v>14</v>
      </c>
      <c r="I150" s="166" t="s">
        <v>15</v>
      </c>
      <c r="J150" s="166"/>
      <c r="K150" s="162" t="s">
        <v>8</v>
      </c>
      <c r="L150" s="163">
        <v>358296.16</v>
      </c>
    </row>
    <row r="151" spans="1:12" ht="61.2" hidden="1" x14ac:dyDescent="0.3">
      <c r="A151" s="157" t="s">
        <v>19</v>
      </c>
      <c r="B151" s="158" t="s">
        <v>923</v>
      </c>
      <c r="C151" s="158" t="s">
        <v>939</v>
      </c>
      <c r="D151" s="158" t="s">
        <v>919</v>
      </c>
      <c r="E151" s="159" t="s">
        <v>283</v>
      </c>
      <c r="F151" s="165">
        <v>3928.4</v>
      </c>
      <c r="G151" s="165"/>
      <c r="H151" s="159" t="s">
        <v>14</v>
      </c>
      <c r="I151" s="166" t="s">
        <v>15</v>
      </c>
      <c r="J151" s="166"/>
      <c r="K151" s="162" t="s">
        <v>8</v>
      </c>
      <c r="L151" s="163">
        <v>362224.56</v>
      </c>
    </row>
    <row r="152" spans="1:12" ht="61.2" hidden="1" x14ac:dyDescent="0.3">
      <c r="A152" s="157" t="s">
        <v>19</v>
      </c>
      <c r="B152" s="158" t="s">
        <v>923</v>
      </c>
      <c r="C152" s="158" t="s">
        <v>940</v>
      </c>
      <c r="D152" s="158" t="s">
        <v>919</v>
      </c>
      <c r="E152" s="159" t="s">
        <v>283</v>
      </c>
      <c r="F152" s="165">
        <v>5151.6000000000004</v>
      </c>
      <c r="G152" s="165"/>
      <c r="H152" s="159" t="s">
        <v>14</v>
      </c>
      <c r="I152" s="166" t="s">
        <v>15</v>
      </c>
      <c r="J152" s="166"/>
      <c r="K152" s="162" t="s">
        <v>8</v>
      </c>
      <c r="L152" s="163">
        <v>367376.16</v>
      </c>
    </row>
    <row r="153" spans="1:12" ht="51" hidden="1" x14ac:dyDescent="0.3">
      <c r="A153" s="157" t="s">
        <v>25</v>
      </c>
      <c r="B153" s="158" t="s">
        <v>941</v>
      </c>
      <c r="C153" s="158" t="s">
        <v>942</v>
      </c>
      <c r="D153" s="158" t="s">
        <v>943</v>
      </c>
      <c r="E153" s="159" t="s">
        <v>283</v>
      </c>
      <c r="F153" s="165">
        <v>9483.75</v>
      </c>
      <c r="G153" s="165"/>
      <c r="H153" s="159" t="s">
        <v>14</v>
      </c>
      <c r="I153" s="166" t="s">
        <v>15</v>
      </c>
      <c r="J153" s="166"/>
      <c r="K153" s="162" t="s">
        <v>8</v>
      </c>
      <c r="L153" s="163">
        <v>292221.13</v>
      </c>
    </row>
    <row r="154" spans="1:12" ht="61.2" hidden="1" x14ac:dyDescent="0.3">
      <c r="A154" s="157" t="s">
        <v>25</v>
      </c>
      <c r="B154" s="158" t="s">
        <v>944</v>
      </c>
      <c r="C154" s="158" t="s">
        <v>945</v>
      </c>
      <c r="D154" s="158" t="s">
        <v>946</v>
      </c>
      <c r="E154" s="159" t="s">
        <v>283</v>
      </c>
      <c r="F154" s="165">
        <v>4722.5</v>
      </c>
      <c r="G154" s="165"/>
      <c r="H154" s="159" t="s">
        <v>14</v>
      </c>
      <c r="I154" s="166" t="s">
        <v>15</v>
      </c>
      <c r="J154" s="166"/>
      <c r="K154" s="162" t="s">
        <v>8</v>
      </c>
      <c r="L154" s="163">
        <v>109756.72</v>
      </c>
    </row>
    <row r="155" spans="1:12" ht="51" hidden="1" x14ac:dyDescent="0.3">
      <c r="A155" s="157" t="s">
        <v>25</v>
      </c>
      <c r="B155" s="158" t="s">
        <v>944</v>
      </c>
      <c r="C155" s="158" t="s">
        <v>947</v>
      </c>
      <c r="D155" s="158" t="s">
        <v>946</v>
      </c>
      <c r="E155" s="159" t="s">
        <v>283</v>
      </c>
      <c r="F155" s="165">
        <v>11229.17</v>
      </c>
      <c r="G155" s="165"/>
      <c r="H155" s="159" t="s">
        <v>14</v>
      </c>
      <c r="I155" s="166" t="s">
        <v>15</v>
      </c>
      <c r="J155" s="166"/>
      <c r="K155" s="162" t="s">
        <v>8</v>
      </c>
      <c r="L155" s="163">
        <v>120985.89</v>
      </c>
    </row>
    <row r="156" spans="1:12" ht="51" hidden="1" x14ac:dyDescent="0.3">
      <c r="A156" s="157" t="s">
        <v>25</v>
      </c>
      <c r="B156" s="158" t="s">
        <v>948</v>
      </c>
      <c r="C156" s="158" t="s">
        <v>942</v>
      </c>
      <c r="D156" s="158" t="s">
        <v>949</v>
      </c>
      <c r="E156" s="159" t="s">
        <v>283</v>
      </c>
      <c r="F156" s="165">
        <v>8045</v>
      </c>
      <c r="G156" s="165"/>
      <c r="H156" s="159" t="s">
        <v>14</v>
      </c>
      <c r="I156" s="166" t="s">
        <v>15</v>
      </c>
      <c r="J156" s="166"/>
      <c r="K156" s="162" t="s">
        <v>8</v>
      </c>
      <c r="L156" s="163">
        <v>300266.13</v>
      </c>
    </row>
    <row r="157" spans="1:12" ht="61.2" hidden="1" x14ac:dyDescent="0.3">
      <c r="A157" s="157" t="s">
        <v>25</v>
      </c>
      <c r="B157" s="158" t="s">
        <v>950</v>
      </c>
      <c r="C157" s="158" t="s">
        <v>945</v>
      </c>
      <c r="D157" s="158" t="s">
        <v>946</v>
      </c>
      <c r="E157" s="159" t="s">
        <v>283</v>
      </c>
      <c r="F157" s="165">
        <v>4892.93</v>
      </c>
      <c r="G157" s="165"/>
      <c r="H157" s="159" t="s">
        <v>14</v>
      </c>
      <c r="I157" s="166" t="s">
        <v>15</v>
      </c>
      <c r="J157" s="166"/>
      <c r="K157" s="162" t="s">
        <v>8</v>
      </c>
      <c r="L157" s="163">
        <v>125878.82</v>
      </c>
    </row>
    <row r="158" spans="1:12" ht="51" hidden="1" x14ac:dyDescent="0.3">
      <c r="A158" s="157" t="s">
        <v>25</v>
      </c>
      <c r="B158" s="158" t="s">
        <v>950</v>
      </c>
      <c r="C158" s="158" t="s">
        <v>947</v>
      </c>
      <c r="D158" s="158" t="s">
        <v>946</v>
      </c>
      <c r="E158" s="159" t="s">
        <v>283</v>
      </c>
      <c r="F158" s="165">
        <v>11634.41</v>
      </c>
      <c r="G158" s="165"/>
      <c r="H158" s="159" t="s">
        <v>14</v>
      </c>
      <c r="I158" s="166" t="s">
        <v>15</v>
      </c>
      <c r="J158" s="166"/>
      <c r="K158" s="162" t="s">
        <v>8</v>
      </c>
      <c r="L158" s="163">
        <v>137513.23000000001</v>
      </c>
    </row>
    <row r="159" spans="1:12" ht="61.2" hidden="1" x14ac:dyDescent="0.3">
      <c r="A159" s="157" t="s">
        <v>25</v>
      </c>
      <c r="B159" s="158" t="s">
        <v>951</v>
      </c>
      <c r="C159" s="158" t="s">
        <v>952</v>
      </c>
      <c r="D159" s="158" t="s">
        <v>945</v>
      </c>
      <c r="E159" s="159" t="s">
        <v>283</v>
      </c>
      <c r="F159" s="160" t="s">
        <v>15</v>
      </c>
      <c r="G159" s="160"/>
      <c r="H159" s="159" t="s">
        <v>283</v>
      </c>
      <c r="I159" s="161">
        <v>9615.43</v>
      </c>
      <c r="J159" s="161"/>
      <c r="K159" s="162" t="s">
        <v>8</v>
      </c>
      <c r="L159" s="163">
        <v>127897.8</v>
      </c>
    </row>
    <row r="160" spans="1:12" ht="61.2" hidden="1" x14ac:dyDescent="0.3">
      <c r="A160" s="157" t="s">
        <v>25</v>
      </c>
      <c r="B160" s="158" t="s">
        <v>951</v>
      </c>
      <c r="C160" s="158" t="s">
        <v>952</v>
      </c>
      <c r="D160" s="158" t="s">
        <v>945</v>
      </c>
      <c r="E160" s="159" t="s">
        <v>283</v>
      </c>
      <c r="F160" s="165">
        <v>9615.43</v>
      </c>
      <c r="G160" s="165"/>
      <c r="H160" s="159" t="s">
        <v>283</v>
      </c>
      <c r="I160" s="166" t="s">
        <v>15</v>
      </c>
      <c r="J160" s="166"/>
      <c r="K160" s="162" t="s">
        <v>8</v>
      </c>
      <c r="L160" s="163">
        <v>6166364.4800000004</v>
      </c>
    </row>
    <row r="161" spans="1:12" ht="61.2" hidden="1" x14ac:dyDescent="0.3">
      <c r="A161" s="157" t="s">
        <v>25</v>
      </c>
      <c r="B161" s="158" t="s">
        <v>953</v>
      </c>
      <c r="C161" s="158" t="s">
        <v>954</v>
      </c>
      <c r="D161" s="158" t="s">
        <v>947</v>
      </c>
      <c r="E161" s="159" t="s">
        <v>283</v>
      </c>
      <c r="F161" s="160" t="s">
        <v>15</v>
      </c>
      <c r="G161" s="160"/>
      <c r="H161" s="159" t="s">
        <v>283</v>
      </c>
      <c r="I161" s="161">
        <v>22863.58</v>
      </c>
      <c r="J161" s="161"/>
      <c r="K161" s="162" t="s">
        <v>8</v>
      </c>
      <c r="L161" s="163">
        <v>105034.22</v>
      </c>
    </row>
    <row r="162" spans="1:12" ht="61.2" hidden="1" x14ac:dyDescent="0.3">
      <c r="A162" s="157" t="s">
        <v>25</v>
      </c>
      <c r="B162" s="158" t="s">
        <v>953</v>
      </c>
      <c r="C162" s="158" t="s">
        <v>954</v>
      </c>
      <c r="D162" s="158" t="s">
        <v>947</v>
      </c>
      <c r="E162" s="159" t="s">
        <v>283</v>
      </c>
      <c r="F162" s="165">
        <v>22863.58</v>
      </c>
      <c r="G162" s="165"/>
      <c r="H162" s="159" t="s">
        <v>283</v>
      </c>
      <c r="I162" s="166" t="s">
        <v>15</v>
      </c>
      <c r="J162" s="166"/>
      <c r="K162" s="162" t="s">
        <v>8</v>
      </c>
      <c r="L162" s="163">
        <v>188956.11</v>
      </c>
    </row>
    <row r="163" spans="1:12" ht="51" x14ac:dyDescent="0.3">
      <c r="A163" s="157" t="s">
        <v>30</v>
      </c>
      <c r="B163" s="158" t="s">
        <v>955</v>
      </c>
      <c r="C163" s="158" t="s">
        <v>741</v>
      </c>
      <c r="D163" s="158" t="s">
        <v>821</v>
      </c>
      <c r="E163" s="159" t="s">
        <v>42</v>
      </c>
      <c r="F163" s="160" t="s">
        <v>15</v>
      </c>
      <c r="G163" s="160"/>
      <c r="H163" s="159" t="s">
        <v>283</v>
      </c>
      <c r="I163" s="161">
        <v>16034.12</v>
      </c>
      <c r="J163" s="161"/>
      <c r="K163" s="162" t="s">
        <v>8</v>
      </c>
      <c r="L163" s="163">
        <v>284232.01</v>
      </c>
    </row>
    <row r="164" spans="1:12" ht="51" x14ac:dyDescent="0.3">
      <c r="A164" s="157" t="s">
        <v>30</v>
      </c>
      <c r="B164" s="158" t="s">
        <v>955</v>
      </c>
      <c r="C164" s="158" t="s">
        <v>741</v>
      </c>
      <c r="D164" s="158" t="s">
        <v>823</v>
      </c>
      <c r="E164" s="159" t="s">
        <v>42</v>
      </c>
      <c r="F164" s="160" t="s">
        <v>15</v>
      </c>
      <c r="G164" s="160"/>
      <c r="H164" s="159" t="s">
        <v>283</v>
      </c>
      <c r="I164" s="161">
        <v>13403.49</v>
      </c>
      <c r="J164" s="161"/>
      <c r="K164" s="162" t="s">
        <v>8</v>
      </c>
      <c r="L164" s="163">
        <v>270828.52</v>
      </c>
    </row>
    <row r="165" spans="1:12" ht="51" x14ac:dyDescent="0.3">
      <c r="A165" s="157" t="s">
        <v>30</v>
      </c>
      <c r="B165" s="158" t="s">
        <v>955</v>
      </c>
      <c r="C165" s="158" t="s">
        <v>741</v>
      </c>
      <c r="D165" s="158" t="s">
        <v>825</v>
      </c>
      <c r="E165" s="159" t="s">
        <v>42</v>
      </c>
      <c r="F165" s="160" t="s">
        <v>15</v>
      </c>
      <c r="G165" s="160"/>
      <c r="H165" s="159" t="s">
        <v>283</v>
      </c>
      <c r="I165" s="161">
        <v>4142.83</v>
      </c>
      <c r="J165" s="161"/>
      <c r="K165" s="162" t="s">
        <v>8</v>
      </c>
      <c r="L165" s="163">
        <v>266685.69</v>
      </c>
    </row>
    <row r="166" spans="1:12" ht="51" x14ac:dyDescent="0.3">
      <c r="A166" s="157" t="s">
        <v>30</v>
      </c>
      <c r="B166" s="158" t="s">
        <v>955</v>
      </c>
      <c r="C166" s="158" t="s">
        <v>741</v>
      </c>
      <c r="D166" s="158" t="s">
        <v>956</v>
      </c>
      <c r="E166" s="159" t="s">
        <v>42</v>
      </c>
      <c r="F166" s="160" t="s">
        <v>15</v>
      </c>
      <c r="G166" s="160"/>
      <c r="H166" s="159" t="s">
        <v>283</v>
      </c>
      <c r="I166" s="164">
        <v>939.4</v>
      </c>
      <c r="J166" s="164"/>
      <c r="K166" s="162" t="s">
        <v>8</v>
      </c>
      <c r="L166" s="163">
        <v>265746.28999999998</v>
      </c>
    </row>
    <row r="167" spans="1:12" ht="51" x14ac:dyDescent="0.3">
      <c r="A167" s="157" t="s">
        <v>30</v>
      </c>
      <c r="B167" s="158" t="s">
        <v>955</v>
      </c>
      <c r="C167" s="158" t="s">
        <v>741</v>
      </c>
      <c r="D167" s="158" t="s">
        <v>827</v>
      </c>
      <c r="E167" s="159" t="s">
        <v>42</v>
      </c>
      <c r="F167" s="160" t="s">
        <v>15</v>
      </c>
      <c r="G167" s="160"/>
      <c r="H167" s="159" t="s">
        <v>283</v>
      </c>
      <c r="I167" s="164">
        <v>226.4</v>
      </c>
      <c r="J167" s="164"/>
      <c r="K167" s="162" t="s">
        <v>8</v>
      </c>
      <c r="L167" s="163">
        <v>265519.89</v>
      </c>
    </row>
    <row r="168" spans="1:12" ht="51" x14ac:dyDescent="0.3">
      <c r="A168" s="157" t="s">
        <v>30</v>
      </c>
      <c r="B168" s="158" t="s">
        <v>955</v>
      </c>
      <c r="C168" s="158" t="s">
        <v>741</v>
      </c>
      <c r="D168" s="158" t="s">
        <v>957</v>
      </c>
      <c r="E168" s="159" t="s">
        <v>42</v>
      </c>
      <c r="F168" s="160" t="s">
        <v>15</v>
      </c>
      <c r="G168" s="160"/>
      <c r="H168" s="159" t="s">
        <v>283</v>
      </c>
      <c r="I168" s="164">
        <v>45.04</v>
      </c>
      <c r="J168" s="164"/>
      <c r="K168" s="162" t="s">
        <v>8</v>
      </c>
      <c r="L168" s="163">
        <v>265474.84999999998</v>
      </c>
    </row>
    <row r="169" spans="1:12" ht="61.2" x14ac:dyDescent="0.3">
      <c r="A169" s="157" t="s">
        <v>30</v>
      </c>
      <c r="B169" s="158" t="s">
        <v>955</v>
      </c>
      <c r="C169" s="158" t="s">
        <v>741</v>
      </c>
      <c r="D169" s="158" t="s">
        <v>958</v>
      </c>
      <c r="E169" s="159" t="s">
        <v>42</v>
      </c>
      <c r="F169" s="160" t="s">
        <v>15</v>
      </c>
      <c r="G169" s="160"/>
      <c r="H169" s="159" t="s">
        <v>283</v>
      </c>
      <c r="I169" s="161">
        <v>7290</v>
      </c>
      <c r="J169" s="161"/>
      <c r="K169" s="162" t="s">
        <v>8</v>
      </c>
      <c r="L169" s="163">
        <v>258184.85</v>
      </c>
    </row>
    <row r="170" spans="1:12" ht="51" x14ac:dyDescent="0.3">
      <c r="A170" s="157" t="s">
        <v>30</v>
      </c>
      <c r="B170" s="158" t="s">
        <v>955</v>
      </c>
      <c r="C170" s="158" t="s">
        <v>741</v>
      </c>
      <c r="D170" s="158" t="s">
        <v>959</v>
      </c>
      <c r="E170" s="159" t="s">
        <v>42</v>
      </c>
      <c r="F170" s="160" t="s">
        <v>15</v>
      </c>
      <c r="G170" s="160"/>
      <c r="H170" s="159" t="s">
        <v>283</v>
      </c>
      <c r="I170" s="161">
        <v>1040.04</v>
      </c>
      <c r="J170" s="161"/>
      <c r="K170" s="162" t="s">
        <v>8</v>
      </c>
      <c r="L170" s="163">
        <v>257144.81</v>
      </c>
    </row>
    <row r="171" spans="1:12" ht="51" x14ac:dyDescent="0.3">
      <c r="A171" s="157" t="s">
        <v>30</v>
      </c>
      <c r="B171" s="158" t="s">
        <v>955</v>
      </c>
      <c r="C171" s="158" t="s">
        <v>741</v>
      </c>
      <c r="D171" s="158" t="s">
        <v>960</v>
      </c>
      <c r="E171" s="159" t="s">
        <v>42</v>
      </c>
      <c r="F171" s="160" t="s">
        <v>15</v>
      </c>
      <c r="G171" s="160"/>
      <c r="H171" s="159" t="s">
        <v>283</v>
      </c>
      <c r="I171" s="161">
        <v>2251.5100000000002</v>
      </c>
      <c r="J171" s="161"/>
      <c r="K171" s="162" t="s">
        <v>8</v>
      </c>
      <c r="L171" s="163">
        <v>254893.3</v>
      </c>
    </row>
    <row r="172" spans="1:12" ht="51" x14ac:dyDescent="0.3">
      <c r="A172" s="157" t="s">
        <v>30</v>
      </c>
      <c r="B172" s="158" t="s">
        <v>955</v>
      </c>
      <c r="C172" s="158" t="s">
        <v>741</v>
      </c>
      <c r="D172" s="158" t="s">
        <v>961</v>
      </c>
      <c r="E172" s="159" t="s">
        <v>42</v>
      </c>
      <c r="F172" s="160" t="s">
        <v>15</v>
      </c>
      <c r="G172" s="160"/>
      <c r="H172" s="159" t="s">
        <v>283</v>
      </c>
      <c r="I172" s="161">
        <v>3163.12</v>
      </c>
      <c r="J172" s="161"/>
      <c r="K172" s="162" t="s">
        <v>8</v>
      </c>
      <c r="L172" s="163">
        <v>251730.18</v>
      </c>
    </row>
    <row r="173" spans="1:12" ht="51" x14ac:dyDescent="0.3">
      <c r="A173" s="157" t="s">
        <v>30</v>
      </c>
      <c r="B173" s="158" t="s">
        <v>955</v>
      </c>
      <c r="C173" s="158" t="s">
        <v>741</v>
      </c>
      <c r="D173" s="158" t="s">
        <v>962</v>
      </c>
      <c r="E173" s="159" t="s">
        <v>42</v>
      </c>
      <c r="F173" s="160" t="s">
        <v>15</v>
      </c>
      <c r="G173" s="160"/>
      <c r="H173" s="159" t="s">
        <v>283</v>
      </c>
      <c r="I173" s="161">
        <v>1633.56</v>
      </c>
      <c r="J173" s="161"/>
      <c r="K173" s="162" t="s">
        <v>8</v>
      </c>
      <c r="L173" s="163">
        <v>250096.62</v>
      </c>
    </row>
    <row r="174" spans="1:12" ht="51" x14ac:dyDescent="0.3">
      <c r="A174" s="157" t="s">
        <v>30</v>
      </c>
      <c r="B174" s="158" t="s">
        <v>955</v>
      </c>
      <c r="C174" s="158" t="s">
        <v>741</v>
      </c>
      <c r="D174" s="158" t="s">
        <v>963</v>
      </c>
      <c r="E174" s="159" t="s">
        <v>42</v>
      </c>
      <c r="F174" s="160" t="s">
        <v>15</v>
      </c>
      <c r="G174" s="160"/>
      <c r="H174" s="159" t="s">
        <v>283</v>
      </c>
      <c r="I174" s="161">
        <v>2789.91</v>
      </c>
      <c r="J174" s="161"/>
      <c r="K174" s="162" t="s">
        <v>8</v>
      </c>
      <c r="L174" s="163">
        <v>247306.71</v>
      </c>
    </row>
    <row r="175" spans="1:12" ht="51" x14ac:dyDescent="0.3">
      <c r="A175" s="157" t="s">
        <v>30</v>
      </c>
      <c r="B175" s="158" t="s">
        <v>955</v>
      </c>
      <c r="C175" s="158" t="s">
        <v>741</v>
      </c>
      <c r="D175" s="158" t="s">
        <v>964</v>
      </c>
      <c r="E175" s="159" t="s">
        <v>42</v>
      </c>
      <c r="F175" s="160" t="s">
        <v>15</v>
      </c>
      <c r="G175" s="160"/>
      <c r="H175" s="159" t="s">
        <v>283</v>
      </c>
      <c r="I175" s="161">
        <v>1095.1600000000001</v>
      </c>
      <c r="J175" s="161"/>
      <c r="K175" s="162" t="s">
        <v>8</v>
      </c>
      <c r="L175" s="163">
        <v>246211.55</v>
      </c>
    </row>
    <row r="176" spans="1:12" ht="51" x14ac:dyDescent="0.3">
      <c r="A176" s="157" t="s">
        <v>30</v>
      </c>
      <c r="B176" s="158" t="s">
        <v>955</v>
      </c>
      <c r="C176" s="158" t="s">
        <v>741</v>
      </c>
      <c r="D176" s="158" t="s">
        <v>965</v>
      </c>
      <c r="E176" s="159" t="s">
        <v>42</v>
      </c>
      <c r="F176" s="160" t="s">
        <v>15</v>
      </c>
      <c r="G176" s="160"/>
      <c r="H176" s="159" t="s">
        <v>283</v>
      </c>
      <c r="I176" s="161">
        <v>1575</v>
      </c>
      <c r="J176" s="161"/>
      <c r="K176" s="162" t="s">
        <v>8</v>
      </c>
      <c r="L176" s="163">
        <v>244636.55</v>
      </c>
    </row>
    <row r="177" spans="1:12" ht="51" x14ac:dyDescent="0.3">
      <c r="A177" s="157" t="s">
        <v>30</v>
      </c>
      <c r="B177" s="158" t="s">
        <v>955</v>
      </c>
      <c r="C177" s="158" t="s">
        <v>741</v>
      </c>
      <c r="D177" s="158" t="s">
        <v>966</v>
      </c>
      <c r="E177" s="159" t="s">
        <v>42</v>
      </c>
      <c r="F177" s="160" t="s">
        <v>15</v>
      </c>
      <c r="G177" s="160"/>
      <c r="H177" s="159" t="s">
        <v>283</v>
      </c>
      <c r="I177" s="161">
        <v>2536.63</v>
      </c>
      <c r="J177" s="161"/>
      <c r="K177" s="162" t="s">
        <v>8</v>
      </c>
      <c r="L177" s="163">
        <v>242099.92</v>
      </c>
    </row>
    <row r="178" spans="1:12" ht="51" x14ac:dyDescent="0.3">
      <c r="A178" s="157" t="s">
        <v>30</v>
      </c>
      <c r="B178" s="158" t="s">
        <v>955</v>
      </c>
      <c r="C178" s="158" t="s">
        <v>741</v>
      </c>
      <c r="D178" s="158" t="s">
        <v>960</v>
      </c>
      <c r="E178" s="159" t="s">
        <v>42</v>
      </c>
      <c r="F178" s="160" t="s">
        <v>15</v>
      </c>
      <c r="G178" s="160"/>
      <c r="H178" s="159" t="s">
        <v>283</v>
      </c>
      <c r="I178" s="161">
        <v>4503.01</v>
      </c>
      <c r="J178" s="161"/>
      <c r="K178" s="162" t="s">
        <v>8</v>
      </c>
      <c r="L178" s="163">
        <v>237596.91</v>
      </c>
    </row>
    <row r="179" spans="1:12" ht="51" x14ac:dyDescent="0.3">
      <c r="A179" s="157" t="s">
        <v>30</v>
      </c>
      <c r="B179" s="158" t="s">
        <v>955</v>
      </c>
      <c r="C179" s="158" t="s">
        <v>741</v>
      </c>
      <c r="D179" s="158" t="s">
        <v>961</v>
      </c>
      <c r="E179" s="159" t="s">
        <v>42</v>
      </c>
      <c r="F179" s="160" t="s">
        <v>15</v>
      </c>
      <c r="G179" s="160"/>
      <c r="H179" s="159" t="s">
        <v>283</v>
      </c>
      <c r="I179" s="161">
        <v>3163.12</v>
      </c>
      <c r="J179" s="161"/>
      <c r="K179" s="162" t="s">
        <v>8</v>
      </c>
      <c r="L179" s="163">
        <v>234433.79</v>
      </c>
    </row>
    <row r="180" spans="1:12" ht="51" x14ac:dyDescent="0.3">
      <c r="A180" s="157" t="s">
        <v>30</v>
      </c>
      <c r="B180" s="158" t="s">
        <v>955</v>
      </c>
      <c r="C180" s="158" t="s">
        <v>741</v>
      </c>
      <c r="D180" s="158" t="s">
        <v>962</v>
      </c>
      <c r="E180" s="159" t="s">
        <v>42</v>
      </c>
      <c r="F180" s="160" t="s">
        <v>15</v>
      </c>
      <c r="G180" s="160"/>
      <c r="H180" s="159" t="s">
        <v>283</v>
      </c>
      <c r="I180" s="161">
        <v>3267.13</v>
      </c>
      <c r="J180" s="161"/>
      <c r="K180" s="162" t="s">
        <v>8</v>
      </c>
      <c r="L180" s="163">
        <v>231166.66</v>
      </c>
    </row>
    <row r="181" spans="1:12" ht="51" x14ac:dyDescent="0.3">
      <c r="A181" s="157" t="s">
        <v>30</v>
      </c>
      <c r="B181" s="158" t="s">
        <v>955</v>
      </c>
      <c r="C181" s="158" t="s">
        <v>741</v>
      </c>
      <c r="D181" s="158" t="s">
        <v>963</v>
      </c>
      <c r="E181" s="159" t="s">
        <v>42</v>
      </c>
      <c r="F181" s="160" t="s">
        <v>15</v>
      </c>
      <c r="G181" s="160"/>
      <c r="H181" s="159" t="s">
        <v>283</v>
      </c>
      <c r="I181" s="161">
        <v>5579.83</v>
      </c>
      <c r="J181" s="161"/>
      <c r="K181" s="162" t="s">
        <v>8</v>
      </c>
      <c r="L181" s="163">
        <v>225586.83</v>
      </c>
    </row>
    <row r="182" spans="1:12" ht="51" x14ac:dyDescent="0.3">
      <c r="A182" s="157" t="s">
        <v>30</v>
      </c>
      <c r="B182" s="158" t="s">
        <v>955</v>
      </c>
      <c r="C182" s="158" t="s">
        <v>741</v>
      </c>
      <c r="D182" s="158" t="s">
        <v>964</v>
      </c>
      <c r="E182" s="159" t="s">
        <v>42</v>
      </c>
      <c r="F182" s="160" t="s">
        <v>15</v>
      </c>
      <c r="G182" s="160"/>
      <c r="H182" s="159" t="s">
        <v>283</v>
      </c>
      <c r="I182" s="161">
        <v>2190.3200000000002</v>
      </c>
      <c r="J182" s="161"/>
      <c r="K182" s="162" t="s">
        <v>8</v>
      </c>
      <c r="L182" s="163">
        <v>223396.51</v>
      </c>
    </row>
    <row r="183" spans="1:12" ht="51" x14ac:dyDescent="0.3">
      <c r="A183" s="157" t="s">
        <v>30</v>
      </c>
      <c r="B183" s="158" t="s">
        <v>955</v>
      </c>
      <c r="C183" s="158" t="s">
        <v>741</v>
      </c>
      <c r="D183" s="158" t="s">
        <v>965</v>
      </c>
      <c r="E183" s="159" t="s">
        <v>42</v>
      </c>
      <c r="F183" s="160" t="s">
        <v>15</v>
      </c>
      <c r="G183" s="160"/>
      <c r="H183" s="159" t="s">
        <v>283</v>
      </c>
      <c r="I183" s="161">
        <v>1050</v>
      </c>
      <c r="J183" s="161"/>
      <c r="K183" s="162" t="s">
        <v>8</v>
      </c>
      <c r="L183" s="163">
        <v>222346.51</v>
      </c>
    </row>
    <row r="184" spans="1:12" ht="51" x14ac:dyDescent="0.3">
      <c r="A184" s="157" t="s">
        <v>30</v>
      </c>
      <c r="B184" s="158" t="s">
        <v>955</v>
      </c>
      <c r="C184" s="158" t="s">
        <v>741</v>
      </c>
      <c r="D184" s="158" t="s">
        <v>967</v>
      </c>
      <c r="E184" s="159" t="s">
        <v>42</v>
      </c>
      <c r="F184" s="160" t="s">
        <v>15</v>
      </c>
      <c r="G184" s="160"/>
      <c r="H184" s="159" t="s">
        <v>283</v>
      </c>
      <c r="I184" s="161">
        <v>1608.33</v>
      </c>
      <c r="J184" s="161"/>
      <c r="K184" s="162" t="s">
        <v>8</v>
      </c>
      <c r="L184" s="163">
        <v>220738.18</v>
      </c>
    </row>
    <row r="185" spans="1:12" ht="61.2" x14ac:dyDescent="0.3">
      <c r="A185" s="157" t="s">
        <v>30</v>
      </c>
      <c r="B185" s="158" t="s">
        <v>955</v>
      </c>
      <c r="C185" s="158" t="s">
        <v>741</v>
      </c>
      <c r="D185" s="158" t="s">
        <v>968</v>
      </c>
      <c r="E185" s="159" t="s">
        <v>42</v>
      </c>
      <c r="F185" s="160" t="s">
        <v>15</v>
      </c>
      <c r="G185" s="160"/>
      <c r="H185" s="159" t="s">
        <v>283</v>
      </c>
      <c r="I185" s="161">
        <v>7371</v>
      </c>
      <c r="J185" s="161"/>
      <c r="K185" s="162" t="s">
        <v>8</v>
      </c>
      <c r="L185" s="163">
        <v>213367.18</v>
      </c>
    </row>
    <row r="186" spans="1:12" ht="61.2" x14ac:dyDescent="0.3">
      <c r="A186" s="157" t="s">
        <v>30</v>
      </c>
      <c r="B186" s="158" t="s">
        <v>955</v>
      </c>
      <c r="C186" s="158" t="s">
        <v>741</v>
      </c>
      <c r="D186" s="158" t="s">
        <v>969</v>
      </c>
      <c r="E186" s="159" t="s">
        <v>42</v>
      </c>
      <c r="F186" s="160" t="s">
        <v>15</v>
      </c>
      <c r="G186" s="160"/>
      <c r="H186" s="159" t="s">
        <v>283</v>
      </c>
      <c r="I186" s="161">
        <v>1100</v>
      </c>
      <c r="J186" s="161"/>
      <c r="K186" s="162" t="s">
        <v>8</v>
      </c>
      <c r="L186" s="163">
        <v>212267.18</v>
      </c>
    </row>
    <row r="187" spans="1:12" ht="61.2" x14ac:dyDescent="0.3">
      <c r="A187" s="157" t="s">
        <v>30</v>
      </c>
      <c r="B187" s="158" t="s">
        <v>955</v>
      </c>
      <c r="C187" s="158" t="s">
        <v>741</v>
      </c>
      <c r="D187" s="158" t="s">
        <v>969</v>
      </c>
      <c r="E187" s="159" t="s">
        <v>42</v>
      </c>
      <c r="F187" s="160" t="s">
        <v>15</v>
      </c>
      <c r="G187" s="160"/>
      <c r="H187" s="159" t="s">
        <v>283</v>
      </c>
      <c r="I187" s="161">
        <v>3300</v>
      </c>
      <c r="J187" s="161"/>
      <c r="K187" s="162" t="s">
        <v>8</v>
      </c>
      <c r="L187" s="163">
        <v>208967.18</v>
      </c>
    </row>
    <row r="188" spans="1:12" ht="51" x14ac:dyDescent="0.3">
      <c r="A188" s="157" t="s">
        <v>30</v>
      </c>
      <c r="B188" s="158" t="s">
        <v>955</v>
      </c>
      <c r="C188" s="158" t="s">
        <v>741</v>
      </c>
      <c r="D188" s="158" t="s">
        <v>970</v>
      </c>
      <c r="E188" s="159" t="s">
        <v>42</v>
      </c>
      <c r="F188" s="160" t="s">
        <v>15</v>
      </c>
      <c r="G188" s="160"/>
      <c r="H188" s="159" t="s">
        <v>283</v>
      </c>
      <c r="I188" s="164">
        <v>680</v>
      </c>
      <c r="J188" s="164"/>
      <c r="K188" s="162" t="s">
        <v>8</v>
      </c>
      <c r="L188" s="163">
        <v>208287.18</v>
      </c>
    </row>
    <row r="189" spans="1:12" ht="61.2" x14ac:dyDescent="0.3">
      <c r="A189" s="157" t="s">
        <v>30</v>
      </c>
      <c r="B189" s="158" t="s">
        <v>955</v>
      </c>
      <c r="C189" s="158" t="s">
        <v>741</v>
      </c>
      <c r="D189" s="158" t="s">
        <v>971</v>
      </c>
      <c r="E189" s="159" t="s">
        <v>42</v>
      </c>
      <c r="F189" s="160" t="s">
        <v>15</v>
      </c>
      <c r="G189" s="160"/>
      <c r="H189" s="159" t="s">
        <v>283</v>
      </c>
      <c r="I189" s="164">
        <v>348.68</v>
      </c>
      <c r="J189" s="164"/>
      <c r="K189" s="162" t="s">
        <v>8</v>
      </c>
      <c r="L189" s="163">
        <v>207938.5</v>
      </c>
    </row>
    <row r="190" spans="1:12" ht="61.2" x14ac:dyDescent="0.3">
      <c r="A190" s="157" t="s">
        <v>30</v>
      </c>
      <c r="B190" s="158" t="s">
        <v>955</v>
      </c>
      <c r="C190" s="158" t="s">
        <v>741</v>
      </c>
      <c r="D190" s="158" t="s">
        <v>830</v>
      </c>
      <c r="E190" s="159" t="s">
        <v>42</v>
      </c>
      <c r="F190" s="160" t="s">
        <v>15</v>
      </c>
      <c r="G190" s="160"/>
      <c r="H190" s="159" t="s">
        <v>283</v>
      </c>
      <c r="I190" s="164">
        <v>598</v>
      </c>
      <c r="J190" s="164"/>
      <c r="K190" s="162" t="s">
        <v>8</v>
      </c>
      <c r="L190" s="163">
        <v>207340.5</v>
      </c>
    </row>
    <row r="191" spans="1:12" ht="51" x14ac:dyDescent="0.3">
      <c r="A191" s="157" t="s">
        <v>30</v>
      </c>
      <c r="B191" s="158" t="s">
        <v>955</v>
      </c>
      <c r="C191" s="158" t="s">
        <v>741</v>
      </c>
      <c r="D191" s="158" t="s">
        <v>823</v>
      </c>
      <c r="E191" s="159" t="s">
        <v>42</v>
      </c>
      <c r="F191" s="160" t="s">
        <v>15</v>
      </c>
      <c r="G191" s="160"/>
      <c r="H191" s="159" t="s">
        <v>283</v>
      </c>
      <c r="I191" s="161">
        <v>2476.6799999999998</v>
      </c>
      <c r="J191" s="161"/>
      <c r="K191" s="162" t="s">
        <v>8</v>
      </c>
      <c r="L191" s="163">
        <v>204863.82</v>
      </c>
    </row>
    <row r="192" spans="1:12" ht="51" x14ac:dyDescent="0.3">
      <c r="A192" s="157" t="s">
        <v>30</v>
      </c>
      <c r="B192" s="158" t="s">
        <v>955</v>
      </c>
      <c r="C192" s="158" t="s">
        <v>741</v>
      </c>
      <c r="D192" s="158" t="s">
        <v>832</v>
      </c>
      <c r="E192" s="159" t="s">
        <v>42</v>
      </c>
      <c r="F192" s="160" t="s">
        <v>15</v>
      </c>
      <c r="G192" s="160"/>
      <c r="H192" s="159" t="s">
        <v>283</v>
      </c>
      <c r="I192" s="161">
        <v>2362.5</v>
      </c>
      <c r="J192" s="161"/>
      <c r="K192" s="162" t="s">
        <v>8</v>
      </c>
      <c r="L192" s="163">
        <v>202501.32</v>
      </c>
    </row>
    <row r="193" spans="1:12" ht="51" x14ac:dyDescent="0.3">
      <c r="A193" s="157" t="s">
        <v>30</v>
      </c>
      <c r="B193" s="158" t="s">
        <v>955</v>
      </c>
      <c r="C193" s="158" t="s">
        <v>741</v>
      </c>
      <c r="D193" s="158" t="s">
        <v>835</v>
      </c>
      <c r="E193" s="159" t="s">
        <v>42</v>
      </c>
      <c r="F193" s="160" t="s">
        <v>15</v>
      </c>
      <c r="G193" s="160"/>
      <c r="H193" s="159" t="s">
        <v>283</v>
      </c>
      <c r="I193" s="161">
        <v>1837.5</v>
      </c>
      <c r="J193" s="161"/>
      <c r="K193" s="162" t="s">
        <v>8</v>
      </c>
      <c r="L193" s="163">
        <v>200663.82</v>
      </c>
    </row>
    <row r="194" spans="1:12" ht="51" x14ac:dyDescent="0.3">
      <c r="A194" s="157" t="s">
        <v>30</v>
      </c>
      <c r="B194" s="158" t="s">
        <v>955</v>
      </c>
      <c r="C194" s="158" t="s">
        <v>741</v>
      </c>
      <c r="D194" s="158" t="s">
        <v>972</v>
      </c>
      <c r="E194" s="159" t="s">
        <v>42</v>
      </c>
      <c r="F194" s="160" t="s">
        <v>15</v>
      </c>
      <c r="G194" s="160"/>
      <c r="H194" s="159" t="s">
        <v>283</v>
      </c>
      <c r="I194" s="161">
        <v>1974.98</v>
      </c>
      <c r="J194" s="161"/>
      <c r="K194" s="162" t="s">
        <v>8</v>
      </c>
      <c r="L194" s="163">
        <v>198688.84</v>
      </c>
    </row>
    <row r="195" spans="1:12" ht="51" x14ac:dyDescent="0.3">
      <c r="A195" s="157" t="s">
        <v>30</v>
      </c>
      <c r="B195" s="158" t="s">
        <v>955</v>
      </c>
      <c r="C195" s="158" t="s">
        <v>741</v>
      </c>
      <c r="D195" s="158" t="s">
        <v>973</v>
      </c>
      <c r="E195" s="159" t="s">
        <v>42</v>
      </c>
      <c r="F195" s="160" t="s">
        <v>15</v>
      </c>
      <c r="G195" s="160"/>
      <c r="H195" s="159" t="s">
        <v>283</v>
      </c>
      <c r="I195" s="161">
        <v>17590</v>
      </c>
      <c r="J195" s="161"/>
      <c r="K195" s="162" t="s">
        <v>8</v>
      </c>
      <c r="L195" s="163">
        <v>181098.84</v>
      </c>
    </row>
    <row r="196" spans="1:12" ht="51" x14ac:dyDescent="0.3">
      <c r="A196" s="157" t="s">
        <v>30</v>
      </c>
      <c r="B196" s="158" t="s">
        <v>955</v>
      </c>
      <c r="C196" s="158" t="s">
        <v>741</v>
      </c>
      <c r="D196" s="158" t="s">
        <v>974</v>
      </c>
      <c r="E196" s="159" t="s">
        <v>42</v>
      </c>
      <c r="F196" s="160" t="s">
        <v>15</v>
      </c>
      <c r="G196" s="160"/>
      <c r="H196" s="159" t="s">
        <v>283</v>
      </c>
      <c r="I196" s="161">
        <v>1119.52</v>
      </c>
      <c r="J196" s="161"/>
      <c r="K196" s="162" t="s">
        <v>8</v>
      </c>
      <c r="L196" s="163">
        <v>179979.32</v>
      </c>
    </row>
    <row r="197" spans="1:12" ht="51" hidden="1" x14ac:dyDescent="0.3">
      <c r="A197" s="157" t="s">
        <v>30</v>
      </c>
      <c r="B197" s="158" t="s">
        <v>975</v>
      </c>
      <c r="C197" s="158" t="s">
        <v>976</v>
      </c>
      <c r="D197" s="158" t="s">
        <v>977</v>
      </c>
      <c r="E197" s="159" t="s">
        <v>283</v>
      </c>
      <c r="F197" s="165">
        <v>20440</v>
      </c>
      <c r="G197" s="165"/>
      <c r="H197" s="159" t="s">
        <v>14</v>
      </c>
      <c r="I197" s="166" t="s">
        <v>15</v>
      </c>
      <c r="J197" s="166"/>
      <c r="K197" s="162" t="s">
        <v>8</v>
      </c>
      <c r="L197" s="163">
        <v>125474.22</v>
      </c>
    </row>
    <row r="198" spans="1:12" ht="61.2" hidden="1" x14ac:dyDescent="0.3">
      <c r="A198" s="157" t="s">
        <v>30</v>
      </c>
      <c r="B198" s="158" t="s">
        <v>978</v>
      </c>
      <c r="C198" s="158" t="s">
        <v>979</v>
      </c>
      <c r="D198" s="158" t="s">
        <v>980</v>
      </c>
      <c r="E198" s="159" t="s">
        <v>283</v>
      </c>
      <c r="F198" s="165">
        <v>251549.67</v>
      </c>
      <c r="G198" s="165"/>
      <c r="H198" s="159" t="s">
        <v>14</v>
      </c>
      <c r="I198" s="166" t="s">
        <v>15</v>
      </c>
      <c r="J198" s="166"/>
      <c r="K198" s="162" t="s">
        <v>8</v>
      </c>
      <c r="L198" s="163">
        <v>1141368.1200000001</v>
      </c>
    </row>
    <row r="199" spans="1:12" ht="61.2" hidden="1" x14ac:dyDescent="0.3">
      <c r="A199" s="157" t="s">
        <v>30</v>
      </c>
      <c r="B199" s="158" t="s">
        <v>981</v>
      </c>
      <c r="C199" s="158" t="s">
        <v>982</v>
      </c>
      <c r="D199" s="158" t="s">
        <v>980</v>
      </c>
      <c r="E199" s="159" t="s">
        <v>283</v>
      </c>
      <c r="F199" s="165">
        <v>147901.64000000001</v>
      </c>
      <c r="G199" s="165"/>
      <c r="H199" s="159" t="s">
        <v>14</v>
      </c>
      <c r="I199" s="166" t="s">
        <v>15</v>
      </c>
      <c r="J199" s="166"/>
      <c r="K199" s="162" t="s">
        <v>8</v>
      </c>
      <c r="L199" s="163">
        <v>1289269.76</v>
      </c>
    </row>
    <row r="200" spans="1:12" ht="61.2" hidden="1" x14ac:dyDescent="0.3">
      <c r="A200" s="157" t="s">
        <v>30</v>
      </c>
      <c r="B200" s="158" t="s">
        <v>981</v>
      </c>
      <c r="C200" s="158" t="s">
        <v>983</v>
      </c>
      <c r="D200" s="158" t="s">
        <v>980</v>
      </c>
      <c r="E200" s="159" t="s">
        <v>283</v>
      </c>
      <c r="F200" s="165">
        <v>72948.03</v>
      </c>
      <c r="G200" s="165"/>
      <c r="H200" s="159" t="s">
        <v>14</v>
      </c>
      <c r="I200" s="166" t="s">
        <v>15</v>
      </c>
      <c r="J200" s="166"/>
      <c r="K200" s="162" t="s">
        <v>8</v>
      </c>
      <c r="L200" s="163">
        <v>1362217.79</v>
      </c>
    </row>
    <row r="201" spans="1:12" ht="51" hidden="1" x14ac:dyDescent="0.3">
      <c r="A201" s="157" t="s">
        <v>30</v>
      </c>
      <c r="B201" s="158" t="s">
        <v>984</v>
      </c>
      <c r="C201" s="158" t="s">
        <v>985</v>
      </c>
      <c r="D201" s="158" t="s">
        <v>986</v>
      </c>
      <c r="E201" s="159" t="s">
        <v>283</v>
      </c>
      <c r="F201" s="165">
        <v>37440</v>
      </c>
      <c r="G201" s="165"/>
      <c r="H201" s="159" t="s">
        <v>14</v>
      </c>
      <c r="I201" s="166" t="s">
        <v>15</v>
      </c>
      <c r="J201" s="166"/>
      <c r="K201" s="162" t="s">
        <v>8</v>
      </c>
      <c r="L201" s="163">
        <v>1399657.79</v>
      </c>
    </row>
    <row r="202" spans="1:12" ht="51" hidden="1" x14ac:dyDescent="0.3">
      <c r="A202" s="157" t="s">
        <v>30</v>
      </c>
      <c r="B202" s="158" t="s">
        <v>987</v>
      </c>
      <c r="C202" s="158" t="s">
        <v>976</v>
      </c>
      <c r="D202" s="158" t="s">
        <v>977</v>
      </c>
      <c r="E202" s="159" t="s">
        <v>283</v>
      </c>
      <c r="F202" s="165">
        <v>7937</v>
      </c>
      <c r="G202" s="165"/>
      <c r="H202" s="159" t="s">
        <v>14</v>
      </c>
      <c r="I202" s="166" t="s">
        <v>15</v>
      </c>
      <c r="J202" s="166"/>
      <c r="K202" s="162" t="s">
        <v>8</v>
      </c>
      <c r="L202" s="163">
        <v>133411.22</v>
      </c>
    </row>
    <row r="203" spans="1:12" ht="61.2" hidden="1" x14ac:dyDescent="0.3">
      <c r="A203" s="157" t="s">
        <v>30</v>
      </c>
      <c r="B203" s="158" t="s">
        <v>988</v>
      </c>
      <c r="C203" s="158" t="s">
        <v>989</v>
      </c>
      <c r="D203" s="158" t="s">
        <v>976</v>
      </c>
      <c r="E203" s="159" t="s">
        <v>283</v>
      </c>
      <c r="F203" s="160" t="s">
        <v>15</v>
      </c>
      <c r="G203" s="160"/>
      <c r="H203" s="159" t="s">
        <v>283</v>
      </c>
      <c r="I203" s="161">
        <v>19053.13</v>
      </c>
      <c r="J203" s="161"/>
      <c r="K203" s="162" t="s">
        <v>8</v>
      </c>
      <c r="L203" s="163">
        <v>114358.09</v>
      </c>
    </row>
    <row r="204" spans="1:12" ht="61.2" hidden="1" x14ac:dyDescent="0.3">
      <c r="A204" s="157" t="s">
        <v>30</v>
      </c>
      <c r="B204" s="158" t="s">
        <v>988</v>
      </c>
      <c r="C204" s="158" t="s">
        <v>989</v>
      </c>
      <c r="D204" s="158" t="s">
        <v>976</v>
      </c>
      <c r="E204" s="159" t="s">
        <v>283</v>
      </c>
      <c r="F204" s="165">
        <v>19053.13</v>
      </c>
      <c r="G204" s="165"/>
      <c r="H204" s="159" t="s">
        <v>283</v>
      </c>
      <c r="I204" s="166" t="s">
        <v>15</v>
      </c>
      <c r="J204" s="166"/>
      <c r="K204" s="162" t="s">
        <v>8</v>
      </c>
      <c r="L204" s="163">
        <v>433681.27</v>
      </c>
    </row>
    <row r="205" spans="1:12" ht="61.2" hidden="1" x14ac:dyDescent="0.3">
      <c r="A205" s="157" t="s">
        <v>30</v>
      </c>
      <c r="B205" s="158" t="s">
        <v>990</v>
      </c>
      <c r="C205" s="158" t="s">
        <v>991</v>
      </c>
      <c r="D205" s="158" t="s">
        <v>976</v>
      </c>
      <c r="E205" s="159" t="s">
        <v>283</v>
      </c>
      <c r="F205" s="160" t="s">
        <v>15</v>
      </c>
      <c r="G205" s="160"/>
      <c r="H205" s="159" t="s">
        <v>283</v>
      </c>
      <c r="I205" s="161">
        <v>9323.8700000000008</v>
      </c>
      <c r="J205" s="161"/>
      <c r="K205" s="162" t="s">
        <v>8</v>
      </c>
      <c r="L205" s="163">
        <v>105034.22</v>
      </c>
    </row>
    <row r="206" spans="1:12" ht="61.2" hidden="1" x14ac:dyDescent="0.3">
      <c r="A206" s="157" t="s">
        <v>30</v>
      </c>
      <c r="B206" s="158" t="s">
        <v>990</v>
      </c>
      <c r="C206" s="158" t="s">
        <v>991</v>
      </c>
      <c r="D206" s="158" t="s">
        <v>976</v>
      </c>
      <c r="E206" s="159" t="s">
        <v>283</v>
      </c>
      <c r="F206" s="165">
        <v>9323.8700000000008</v>
      </c>
      <c r="G206" s="165"/>
      <c r="H206" s="159" t="s">
        <v>283</v>
      </c>
      <c r="I206" s="166" t="s">
        <v>15</v>
      </c>
      <c r="J206" s="166"/>
      <c r="K206" s="162" t="s">
        <v>8</v>
      </c>
      <c r="L206" s="163">
        <v>198279.98</v>
      </c>
    </row>
    <row r="207" spans="1:12" ht="61.2" hidden="1" x14ac:dyDescent="0.3">
      <c r="A207" s="157" t="s">
        <v>992</v>
      </c>
      <c r="B207" s="158" t="s">
        <v>993</v>
      </c>
      <c r="C207" s="158" t="s">
        <v>994</v>
      </c>
      <c r="D207" s="158" t="s">
        <v>977</v>
      </c>
      <c r="E207" s="159" t="s">
        <v>283</v>
      </c>
      <c r="F207" s="165">
        <v>24820</v>
      </c>
      <c r="G207" s="165"/>
      <c r="H207" s="159" t="s">
        <v>14</v>
      </c>
      <c r="I207" s="166" t="s">
        <v>15</v>
      </c>
      <c r="J207" s="166"/>
      <c r="K207" s="162" t="s">
        <v>8</v>
      </c>
      <c r="L207" s="163">
        <v>223099.98</v>
      </c>
    </row>
    <row r="208" spans="1:12" ht="51" hidden="1" x14ac:dyDescent="0.3">
      <c r="A208" s="157" t="s">
        <v>992</v>
      </c>
      <c r="B208" s="158" t="s">
        <v>995</v>
      </c>
      <c r="C208" s="158" t="s">
        <v>996</v>
      </c>
      <c r="D208" s="158" t="s">
        <v>986</v>
      </c>
      <c r="E208" s="159" t="s">
        <v>283</v>
      </c>
      <c r="F208" s="165">
        <v>55868.4</v>
      </c>
      <c r="G208" s="165"/>
      <c r="H208" s="159" t="s">
        <v>14</v>
      </c>
      <c r="I208" s="166" t="s">
        <v>15</v>
      </c>
      <c r="J208" s="166"/>
      <c r="K208" s="162" t="s">
        <v>8</v>
      </c>
      <c r="L208" s="163">
        <v>1455526.19</v>
      </c>
    </row>
    <row r="209" spans="1:12" ht="51" hidden="1" x14ac:dyDescent="0.3">
      <c r="A209" s="157" t="s">
        <v>992</v>
      </c>
      <c r="B209" s="158" t="s">
        <v>997</v>
      </c>
      <c r="C209" s="158" t="s">
        <v>996</v>
      </c>
      <c r="D209" s="158" t="s">
        <v>986</v>
      </c>
      <c r="E209" s="159" t="s">
        <v>283</v>
      </c>
      <c r="F209" s="165">
        <v>27642.6</v>
      </c>
      <c r="G209" s="165"/>
      <c r="H209" s="159" t="s">
        <v>14</v>
      </c>
      <c r="I209" s="166" t="s">
        <v>15</v>
      </c>
      <c r="J209" s="166"/>
      <c r="K209" s="162" t="s">
        <v>8</v>
      </c>
      <c r="L209" s="163">
        <v>1483168.79</v>
      </c>
    </row>
    <row r="210" spans="1:12" ht="61.2" hidden="1" x14ac:dyDescent="0.3">
      <c r="A210" s="157" t="s">
        <v>992</v>
      </c>
      <c r="B210" s="158" t="s">
        <v>998</v>
      </c>
      <c r="C210" s="158" t="s">
        <v>994</v>
      </c>
      <c r="D210" s="158" t="s">
        <v>977</v>
      </c>
      <c r="E210" s="159" t="s">
        <v>283</v>
      </c>
      <c r="F210" s="165">
        <v>7370</v>
      </c>
      <c r="G210" s="165"/>
      <c r="H210" s="159" t="s">
        <v>14</v>
      </c>
      <c r="I210" s="166" t="s">
        <v>15</v>
      </c>
      <c r="J210" s="166"/>
      <c r="K210" s="162" t="s">
        <v>8</v>
      </c>
      <c r="L210" s="163">
        <v>230469.98</v>
      </c>
    </row>
    <row r="211" spans="1:12" ht="51" hidden="1" x14ac:dyDescent="0.3">
      <c r="A211" s="157" t="s">
        <v>999</v>
      </c>
      <c r="B211" s="158" t="s">
        <v>1000</v>
      </c>
      <c r="C211" s="158" t="s">
        <v>1001</v>
      </c>
      <c r="D211" s="158" t="s">
        <v>1002</v>
      </c>
      <c r="E211" s="159" t="s">
        <v>283</v>
      </c>
      <c r="F211" s="165">
        <v>17496.34</v>
      </c>
      <c r="G211" s="165"/>
      <c r="H211" s="159" t="s">
        <v>14</v>
      </c>
      <c r="I211" s="166" t="s">
        <v>15</v>
      </c>
      <c r="J211" s="166"/>
      <c r="K211" s="162" t="s">
        <v>8</v>
      </c>
      <c r="L211" s="163">
        <v>1500665.13</v>
      </c>
    </row>
    <row r="212" spans="1:12" ht="51" hidden="1" x14ac:dyDescent="0.3">
      <c r="A212" s="157" t="s">
        <v>999</v>
      </c>
      <c r="B212" s="158" t="s">
        <v>1003</v>
      </c>
      <c r="C212" s="158" t="s">
        <v>1001</v>
      </c>
      <c r="D212" s="158" t="s">
        <v>1002</v>
      </c>
      <c r="E212" s="159" t="s">
        <v>283</v>
      </c>
      <c r="F212" s="165">
        <v>419912.26</v>
      </c>
      <c r="G212" s="165"/>
      <c r="H212" s="159" t="s">
        <v>14</v>
      </c>
      <c r="I212" s="166" t="s">
        <v>15</v>
      </c>
      <c r="J212" s="166"/>
      <c r="K212" s="162" t="s">
        <v>8</v>
      </c>
      <c r="L212" s="163">
        <v>1920577.39</v>
      </c>
    </row>
    <row r="213" spans="1:12" ht="51" hidden="1" x14ac:dyDescent="0.3">
      <c r="A213" s="157" t="s">
        <v>999</v>
      </c>
      <c r="B213" s="158" t="s">
        <v>1004</v>
      </c>
      <c r="C213" s="158" t="s">
        <v>1005</v>
      </c>
      <c r="D213" s="158" t="s">
        <v>1006</v>
      </c>
      <c r="E213" s="159" t="s">
        <v>283</v>
      </c>
      <c r="F213" s="165">
        <v>68400</v>
      </c>
      <c r="G213" s="165"/>
      <c r="H213" s="159" t="s">
        <v>14</v>
      </c>
      <c r="I213" s="166" t="s">
        <v>15</v>
      </c>
      <c r="J213" s="166"/>
      <c r="K213" s="162" t="s">
        <v>8</v>
      </c>
      <c r="L213" s="163">
        <v>1988977.39</v>
      </c>
    </row>
    <row r="214" spans="1:12" ht="61.2" hidden="1" x14ac:dyDescent="0.3">
      <c r="A214" s="157" t="s">
        <v>999</v>
      </c>
      <c r="B214" s="158" t="s">
        <v>1004</v>
      </c>
      <c r="C214" s="158" t="s">
        <v>1007</v>
      </c>
      <c r="D214" s="158" t="s">
        <v>1006</v>
      </c>
      <c r="E214" s="159" t="s">
        <v>283</v>
      </c>
      <c r="F214" s="165">
        <v>4500</v>
      </c>
      <c r="G214" s="165"/>
      <c r="H214" s="159" t="s">
        <v>14</v>
      </c>
      <c r="I214" s="166" t="s">
        <v>15</v>
      </c>
      <c r="J214" s="166"/>
      <c r="K214" s="162" t="s">
        <v>8</v>
      </c>
      <c r="L214" s="163">
        <v>1993477.39</v>
      </c>
    </row>
    <row r="215" spans="1:12" ht="51" hidden="1" x14ac:dyDescent="0.3">
      <c r="A215" s="157" t="s">
        <v>999</v>
      </c>
      <c r="B215" s="158" t="s">
        <v>1008</v>
      </c>
      <c r="C215" s="158" t="s">
        <v>1009</v>
      </c>
      <c r="D215" s="158" t="s">
        <v>1010</v>
      </c>
      <c r="E215" s="159" t="s">
        <v>283</v>
      </c>
      <c r="F215" s="165">
        <v>30000</v>
      </c>
      <c r="G215" s="165"/>
      <c r="H215" s="159" t="s">
        <v>14</v>
      </c>
      <c r="I215" s="166" t="s">
        <v>15</v>
      </c>
      <c r="J215" s="166"/>
      <c r="K215" s="162" t="s">
        <v>8</v>
      </c>
      <c r="L215" s="163">
        <v>6196364.4800000004</v>
      </c>
    </row>
    <row r="216" spans="1:12" ht="61.2" hidden="1" x14ac:dyDescent="0.3">
      <c r="A216" s="157" t="s">
        <v>999</v>
      </c>
      <c r="B216" s="158" t="s">
        <v>1011</v>
      </c>
      <c r="C216" s="158" t="s">
        <v>1012</v>
      </c>
      <c r="D216" s="158" t="s">
        <v>919</v>
      </c>
      <c r="E216" s="159" t="s">
        <v>283</v>
      </c>
      <c r="F216" s="165">
        <v>9200</v>
      </c>
      <c r="G216" s="165"/>
      <c r="H216" s="159" t="s">
        <v>14</v>
      </c>
      <c r="I216" s="166" t="s">
        <v>15</v>
      </c>
      <c r="J216" s="166"/>
      <c r="K216" s="162" t="s">
        <v>8</v>
      </c>
      <c r="L216" s="163">
        <v>376576.16</v>
      </c>
    </row>
    <row r="217" spans="1:12" ht="61.2" hidden="1" x14ac:dyDescent="0.3">
      <c r="A217" s="157" t="s">
        <v>999</v>
      </c>
      <c r="B217" s="158" t="s">
        <v>1011</v>
      </c>
      <c r="C217" s="158" t="s">
        <v>1013</v>
      </c>
      <c r="D217" s="158" t="s">
        <v>919</v>
      </c>
      <c r="E217" s="159" t="s">
        <v>283</v>
      </c>
      <c r="F217" s="165">
        <v>2833.1</v>
      </c>
      <c r="G217" s="165"/>
      <c r="H217" s="159" t="s">
        <v>14</v>
      </c>
      <c r="I217" s="166" t="s">
        <v>15</v>
      </c>
      <c r="J217" s="166"/>
      <c r="K217" s="162" t="s">
        <v>8</v>
      </c>
      <c r="L217" s="163">
        <v>379409.26</v>
      </c>
    </row>
    <row r="218" spans="1:12" ht="61.2" hidden="1" x14ac:dyDescent="0.3">
      <c r="A218" s="157" t="s">
        <v>999</v>
      </c>
      <c r="B218" s="158" t="s">
        <v>1011</v>
      </c>
      <c r="C218" s="158" t="s">
        <v>1014</v>
      </c>
      <c r="D218" s="158" t="s">
        <v>919</v>
      </c>
      <c r="E218" s="159" t="s">
        <v>283</v>
      </c>
      <c r="F218" s="165">
        <v>2567.1</v>
      </c>
      <c r="G218" s="165"/>
      <c r="H218" s="159" t="s">
        <v>14</v>
      </c>
      <c r="I218" s="166" t="s">
        <v>15</v>
      </c>
      <c r="J218" s="166"/>
      <c r="K218" s="162" t="s">
        <v>8</v>
      </c>
      <c r="L218" s="163">
        <v>381976.36</v>
      </c>
    </row>
    <row r="219" spans="1:12" ht="61.2" hidden="1" x14ac:dyDescent="0.3">
      <c r="A219" s="157" t="s">
        <v>999</v>
      </c>
      <c r="B219" s="158" t="s">
        <v>1011</v>
      </c>
      <c r="C219" s="158" t="s">
        <v>1015</v>
      </c>
      <c r="D219" s="158" t="s">
        <v>919</v>
      </c>
      <c r="E219" s="159" t="s">
        <v>283</v>
      </c>
      <c r="F219" s="167">
        <v>705.6</v>
      </c>
      <c r="G219" s="167"/>
      <c r="H219" s="159" t="s">
        <v>14</v>
      </c>
      <c r="I219" s="166" t="s">
        <v>15</v>
      </c>
      <c r="J219" s="166"/>
      <c r="K219" s="162" t="s">
        <v>8</v>
      </c>
      <c r="L219" s="163">
        <v>382681.96</v>
      </c>
    </row>
    <row r="220" spans="1:12" ht="61.2" hidden="1" x14ac:dyDescent="0.3">
      <c r="A220" s="157" t="s">
        <v>999</v>
      </c>
      <c r="B220" s="158" t="s">
        <v>1016</v>
      </c>
      <c r="C220" s="158" t="s">
        <v>1017</v>
      </c>
      <c r="D220" s="158" t="s">
        <v>913</v>
      </c>
      <c r="E220" s="159" t="s">
        <v>283</v>
      </c>
      <c r="F220" s="167">
        <v>220.8</v>
      </c>
      <c r="G220" s="167"/>
      <c r="H220" s="159" t="s">
        <v>14</v>
      </c>
      <c r="I220" s="166" t="s">
        <v>15</v>
      </c>
      <c r="J220" s="166"/>
      <c r="K220" s="162" t="s">
        <v>8</v>
      </c>
      <c r="L220" s="163">
        <v>1993698.19</v>
      </c>
    </row>
    <row r="221" spans="1:12" ht="61.2" hidden="1" x14ac:dyDescent="0.3">
      <c r="A221" s="157" t="s">
        <v>999</v>
      </c>
      <c r="B221" s="158" t="s">
        <v>1016</v>
      </c>
      <c r="C221" s="158" t="s">
        <v>1018</v>
      </c>
      <c r="D221" s="158" t="s">
        <v>913</v>
      </c>
      <c r="E221" s="159" t="s">
        <v>283</v>
      </c>
      <c r="F221" s="167">
        <v>358.2</v>
      </c>
      <c r="G221" s="167"/>
      <c r="H221" s="159" t="s">
        <v>14</v>
      </c>
      <c r="I221" s="166" t="s">
        <v>15</v>
      </c>
      <c r="J221" s="166"/>
      <c r="K221" s="162" t="s">
        <v>8</v>
      </c>
      <c r="L221" s="163">
        <v>1994056.39</v>
      </c>
    </row>
    <row r="222" spans="1:12" ht="61.2" hidden="1" x14ac:dyDescent="0.3">
      <c r="A222" s="157" t="s">
        <v>999</v>
      </c>
      <c r="B222" s="158" t="s">
        <v>1016</v>
      </c>
      <c r="C222" s="158" t="s">
        <v>1019</v>
      </c>
      <c r="D222" s="158" t="s">
        <v>913</v>
      </c>
      <c r="E222" s="159" t="s">
        <v>283</v>
      </c>
      <c r="F222" s="167">
        <v>999.6</v>
      </c>
      <c r="G222" s="167"/>
      <c r="H222" s="159" t="s">
        <v>14</v>
      </c>
      <c r="I222" s="166" t="s">
        <v>15</v>
      </c>
      <c r="J222" s="166"/>
      <c r="K222" s="162" t="s">
        <v>8</v>
      </c>
      <c r="L222" s="163">
        <v>1995055.99</v>
      </c>
    </row>
    <row r="223" spans="1:12" ht="71.400000000000006" hidden="1" x14ac:dyDescent="0.3">
      <c r="A223" s="157" t="s">
        <v>369</v>
      </c>
      <c r="B223" s="158" t="s">
        <v>1020</v>
      </c>
      <c r="C223" s="158" t="s">
        <v>1021</v>
      </c>
      <c r="D223" s="158" t="s">
        <v>1022</v>
      </c>
      <c r="E223" s="159" t="s">
        <v>283</v>
      </c>
      <c r="F223" s="165">
        <v>24681</v>
      </c>
      <c r="G223" s="165"/>
      <c r="H223" s="159" t="s">
        <v>14</v>
      </c>
      <c r="I223" s="166" t="s">
        <v>15</v>
      </c>
      <c r="J223" s="166"/>
      <c r="K223" s="162" t="s">
        <v>8</v>
      </c>
      <c r="L223" s="163">
        <v>4550552.79</v>
      </c>
    </row>
    <row r="224" spans="1:12" ht="71.400000000000006" hidden="1" x14ac:dyDescent="0.3">
      <c r="A224" s="157" t="s">
        <v>369</v>
      </c>
      <c r="B224" s="158" t="s">
        <v>1020</v>
      </c>
      <c r="C224" s="158" t="s">
        <v>1023</v>
      </c>
      <c r="D224" s="158" t="s">
        <v>1022</v>
      </c>
      <c r="E224" s="159" t="s">
        <v>283</v>
      </c>
      <c r="F224" s="165">
        <v>109406</v>
      </c>
      <c r="G224" s="165"/>
      <c r="H224" s="159" t="s">
        <v>14</v>
      </c>
      <c r="I224" s="166" t="s">
        <v>15</v>
      </c>
      <c r="J224" s="166"/>
      <c r="K224" s="162" t="s">
        <v>8</v>
      </c>
      <c r="L224" s="163">
        <v>4659958.79</v>
      </c>
    </row>
    <row r="225" spans="1:12" ht="71.400000000000006" hidden="1" x14ac:dyDescent="0.3">
      <c r="A225" s="157" t="s">
        <v>369</v>
      </c>
      <c r="B225" s="158" t="s">
        <v>1020</v>
      </c>
      <c r="C225" s="158" t="s">
        <v>1024</v>
      </c>
      <c r="D225" s="158" t="s">
        <v>1022</v>
      </c>
      <c r="E225" s="159" t="s">
        <v>283</v>
      </c>
      <c r="F225" s="165">
        <v>106104</v>
      </c>
      <c r="G225" s="165"/>
      <c r="H225" s="159" t="s">
        <v>14</v>
      </c>
      <c r="I225" s="166" t="s">
        <v>15</v>
      </c>
      <c r="J225" s="166"/>
      <c r="K225" s="162" t="s">
        <v>8</v>
      </c>
      <c r="L225" s="163">
        <v>4766062.79</v>
      </c>
    </row>
    <row r="226" spans="1:12" ht="71.400000000000006" hidden="1" x14ac:dyDescent="0.3">
      <c r="A226" s="157" t="s">
        <v>369</v>
      </c>
      <c r="B226" s="158" t="s">
        <v>1020</v>
      </c>
      <c r="C226" s="158" t="s">
        <v>1025</v>
      </c>
      <c r="D226" s="158" t="s">
        <v>1022</v>
      </c>
      <c r="E226" s="159" t="s">
        <v>283</v>
      </c>
      <c r="F226" s="165">
        <v>154658</v>
      </c>
      <c r="G226" s="165"/>
      <c r="H226" s="159" t="s">
        <v>14</v>
      </c>
      <c r="I226" s="166" t="s">
        <v>15</v>
      </c>
      <c r="J226" s="166"/>
      <c r="K226" s="162" t="s">
        <v>8</v>
      </c>
      <c r="L226" s="163">
        <v>4920720.79</v>
      </c>
    </row>
    <row r="227" spans="1:12" ht="71.400000000000006" hidden="1" x14ac:dyDescent="0.3">
      <c r="A227" s="157" t="s">
        <v>369</v>
      </c>
      <c r="B227" s="158" t="s">
        <v>1020</v>
      </c>
      <c r="C227" s="158" t="s">
        <v>1026</v>
      </c>
      <c r="D227" s="158" t="s">
        <v>1022</v>
      </c>
      <c r="E227" s="159" t="s">
        <v>283</v>
      </c>
      <c r="F227" s="165">
        <v>36597</v>
      </c>
      <c r="G227" s="165"/>
      <c r="H227" s="159" t="s">
        <v>14</v>
      </c>
      <c r="I227" s="166" t="s">
        <v>15</v>
      </c>
      <c r="J227" s="166"/>
      <c r="K227" s="162" t="s">
        <v>8</v>
      </c>
      <c r="L227" s="163">
        <v>4957317.79</v>
      </c>
    </row>
    <row r="228" spans="1:12" ht="71.400000000000006" hidden="1" x14ac:dyDescent="0.3">
      <c r="A228" s="157" t="s">
        <v>369</v>
      </c>
      <c r="B228" s="158" t="s">
        <v>1020</v>
      </c>
      <c r="C228" s="158" t="s">
        <v>1027</v>
      </c>
      <c r="D228" s="158" t="s">
        <v>1022</v>
      </c>
      <c r="E228" s="159" t="s">
        <v>283</v>
      </c>
      <c r="F228" s="165">
        <v>9503</v>
      </c>
      <c r="G228" s="165"/>
      <c r="H228" s="159" t="s">
        <v>14</v>
      </c>
      <c r="I228" s="166" t="s">
        <v>15</v>
      </c>
      <c r="J228" s="166"/>
      <c r="K228" s="162" t="s">
        <v>8</v>
      </c>
      <c r="L228" s="163">
        <v>4966820.79</v>
      </c>
    </row>
    <row r="229" spans="1:12" ht="71.400000000000006" hidden="1" x14ac:dyDescent="0.3">
      <c r="A229" s="157" t="s">
        <v>369</v>
      </c>
      <c r="B229" s="158" t="s">
        <v>1020</v>
      </c>
      <c r="C229" s="158" t="s">
        <v>1028</v>
      </c>
      <c r="D229" s="158" t="s">
        <v>1022</v>
      </c>
      <c r="E229" s="159" t="s">
        <v>283</v>
      </c>
      <c r="F229" s="167">
        <v>640</v>
      </c>
      <c r="G229" s="167"/>
      <c r="H229" s="159" t="s">
        <v>14</v>
      </c>
      <c r="I229" s="166" t="s">
        <v>15</v>
      </c>
      <c r="J229" s="166"/>
      <c r="K229" s="162" t="s">
        <v>8</v>
      </c>
      <c r="L229" s="163">
        <v>4967460.79</v>
      </c>
    </row>
    <row r="230" spans="1:12" ht="71.400000000000006" hidden="1" x14ac:dyDescent="0.3">
      <c r="A230" s="157" t="s">
        <v>369</v>
      </c>
      <c r="B230" s="158" t="s">
        <v>1020</v>
      </c>
      <c r="C230" s="158" t="s">
        <v>1029</v>
      </c>
      <c r="D230" s="158" t="s">
        <v>1022</v>
      </c>
      <c r="E230" s="159" t="s">
        <v>283</v>
      </c>
      <c r="F230" s="165">
        <v>14292</v>
      </c>
      <c r="G230" s="165"/>
      <c r="H230" s="159" t="s">
        <v>14</v>
      </c>
      <c r="I230" s="166" t="s">
        <v>15</v>
      </c>
      <c r="J230" s="166"/>
      <c r="K230" s="162" t="s">
        <v>8</v>
      </c>
      <c r="L230" s="163">
        <v>4981752.79</v>
      </c>
    </row>
    <row r="231" spans="1:12" ht="71.400000000000006" hidden="1" x14ac:dyDescent="0.3">
      <c r="A231" s="157" t="s">
        <v>369</v>
      </c>
      <c r="B231" s="158" t="s">
        <v>1020</v>
      </c>
      <c r="C231" s="158" t="s">
        <v>1030</v>
      </c>
      <c r="D231" s="158" t="s">
        <v>1022</v>
      </c>
      <c r="E231" s="159" t="s">
        <v>283</v>
      </c>
      <c r="F231" s="165">
        <v>2087</v>
      </c>
      <c r="G231" s="165"/>
      <c r="H231" s="159" t="s">
        <v>14</v>
      </c>
      <c r="I231" s="166" t="s">
        <v>15</v>
      </c>
      <c r="J231" s="166"/>
      <c r="K231" s="162" t="s">
        <v>8</v>
      </c>
      <c r="L231" s="163">
        <v>4983839.79</v>
      </c>
    </row>
    <row r="232" spans="1:12" ht="71.400000000000006" hidden="1" x14ac:dyDescent="0.3">
      <c r="A232" s="157" t="s">
        <v>369</v>
      </c>
      <c r="B232" s="158" t="s">
        <v>1020</v>
      </c>
      <c r="C232" s="158" t="s">
        <v>1031</v>
      </c>
      <c r="D232" s="158" t="s">
        <v>1022</v>
      </c>
      <c r="E232" s="159" t="s">
        <v>283</v>
      </c>
      <c r="F232" s="165">
        <v>47196</v>
      </c>
      <c r="G232" s="165"/>
      <c r="H232" s="159" t="s">
        <v>14</v>
      </c>
      <c r="I232" s="166" t="s">
        <v>15</v>
      </c>
      <c r="J232" s="166"/>
      <c r="K232" s="162" t="s">
        <v>8</v>
      </c>
      <c r="L232" s="163">
        <v>5031035.79</v>
      </c>
    </row>
    <row r="233" spans="1:12" ht="71.400000000000006" hidden="1" x14ac:dyDescent="0.3">
      <c r="A233" s="157" t="s">
        <v>369</v>
      </c>
      <c r="B233" s="158" t="s">
        <v>1020</v>
      </c>
      <c r="C233" s="158" t="s">
        <v>1032</v>
      </c>
      <c r="D233" s="158" t="s">
        <v>1022</v>
      </c>
      <c r="E233" s="159" t="s">
        <v>283</v>
      </c>
      <c r="F233" s="165">
        <v>42183</v>
      </c>
      <c r="G233" s="165"/>
      <c r="H233" s="159" t="s">
        <v>14</v>
      </c>
      <c r="I233" s="166" t="s">
        <v>15</v>
      </c>
      <c r="J233" s="166"/>
      <c r="K233" s="162" t="s">
        <v>8</v>
      </c>
      <c r="L233" s="163">
        <v>5073218.79</v>
      </c>
    </row>
    <row r="234" spans="1:12" ht="71.400000000000006" hidden="1" x14ac:dyDescent="0.3">
      <c r="A234" s="157" t="s">
        <v>369</v>
      </c>
      <c r="B234" s="158" t="s">
        <v>1020</v>
      </c>
      <c r="C234" s="158" t="s">
        <v>1033</v>
      </c>
      <c r="D234" s="158" t="s">
        <v>1022</v>
      </c>
      <c r="E234" s="159" t="s">
        <v>283</v>
      </c>
      <c r="F234" s="165">
        <v>10230</v>
      </c>
      <c r="G234" s="165"/>
      <c r="H234" s="159" t="s">
        <v>14</v>
      </c>
      <c r="I234" s="166" t="s">
        <v>15</v>
      </c>
      <c r="J234" s="166"/>
      <c r="K234" s="162" t="s">
        <v>8</v>
      </c>
      <c r="L234" s="163">
        <v>5083448.79</v>
      </c>
    </row>
    <row r="235" spans="1:12" ht="71.400000000000006" hidden="1" x14ac:dyDescent="0.3">
      <c r="A235" s="157" t="s">
        <v>369</v>
      </c>
      <c r="B235" s="158" t="s">
        <v>1020</v>
      </c>
      <c r="C235" s="158" t="s">
        <v>1034</v>
      </c>
      <c r="D235" s="158" t="s">
        <v>1022</v>
      </c>
      <c r="E235" s="159" t="s">
        <v>283</v>
      </c>
      <c r="F235" s="165">
        <v>152880</v>
      </c>
      <c r="G235" s="165"/>
      <c r="H235" s="159" t="s">
        <v>14</v>
      </c>
      <c r="I235" s="166" t="s">
        <v>15</v>
      </c>
      <c r="J235" s="166"/>
      <c r="K235" s="162" t="s">
        <v>8</v>
      </c>
      <c r="L235" s="163">
        <v>5236328.79</v>
      </c>
    </row>
    <row r="236" spans="1:12" ht="71.400000000000006" hidden="1" x14ac:dyDescent="0.3">
      <c r="A236" s="157" t="s">
        <v>369</v>
      </c>
      <c r="B236" s="158" t="s">
        <v>1020</v>
      </c>
      <c r="C236" s="158" t="s">
        <v>1035</v>
      </c>
      <c r="D236" s="158" t="s">
        <v>1022</v>
      </c>
      <c r="E236" s="159" t="s">
        <v>283</v>
      </c>
      <c r="F236" s="165">
        <v>353562</v>
      </c>
      <c r="G236" s="165"/>
      <c r="H236" s="159" t="s">
        <v>14</v>
      </c>
      <c r="I236" s="166" t="s">
        <v>15</v>
      </c>
      <c r="J236" s="166"/>
      <c r="K236" s="162" t="s">
        <v>8</v>
      </c>
      <c r="L236" s="163">
        <v>5589890.79</v>
      </c>
    </row>
    <row r="237" spans="1:12" ht="71.400000000000006" hidden="1" x14ac:dyDescent="0.3">
      <c r="A237" s="157" t="s">
        <v>369</v>
      </c>
      <c r="B237" s="158" t="s">
        <v>1020</v>
      </c>
      <c r="C237" s="158" t="s">
        <v>1036</v>
      </c>
      <c r="D237" s="158" t="s">
        <v>1022</v>
      </c>
      <c r="E237" s="159" t="s">
        <v>283</v>
      </c>
      <c r="F237" s="165">
        <v>397980</v>
      </c>
      <c r="G237" s="165"/>
      <c r="H237" s="159" t="s">
        <v>14</v>
      </c>
      <c r="I237" s="166" t="s">
        <v>15</v>
      </c>
      <c r="J237" s="166"/>
      <c r="K237" s="162" t="s">
        <v>8</v>
      </c>
      <c r="L237" s="163">
        <v>5987870.79</v>
      </c>
    </row>
    <row r="238" spans="1:12" ht="71.400000000000006" hidden="1" x14ac:dyDescent="0.3">
      <c r="A238" s="157" t="s">
        <v>369</v>
      </c>
      <c r="B238" s="158" t="s">
        <v>1020</v>
      </c>
      <c r="C238" s="158" t="s">
        <v>1037</v>
      </c>
      <c r="D238" s="158" t="s">
        <v>1022</v>
      </c>
      <c r="E238" s="159" t="s">
        <v>283</v>
      </c>
      <c r="F238" s="165">
        <v>966735</v>
      </c>
      <c r="G238" s="165"/>
      <c r="H238" s="159" t="s">
        <v>14</v>
      </c>
      <c r="I238" s="166" t="s">
        <v>15</v>
      </c>
      <c r="J238" s="166"/>
      <c r="K238" s="162" t="s">
        <v>8</v>
      </c>
      <c r="L238" s="163">
        <v>6954605.79</v>
      </c>
    </row>
    <row r="239" spans="1:12" ht="71.400000000000006" hidden="1" x14ac:dyDescent="0.3">
      <c r="A239" s="157" t="s">
        <v>369</v>
      </c>
      <c r="B239" s="158" t="s">
        <v>1020</v>
      </c>
      <c r="C239" s="158" t="s">
        <v>1038</v>
      </c>
      <c r="D239" s="158" t="s">
        <v>1022</v>
      </c>
      <c r="E239" s="159" t="s">
        <v>283</v>
      </c>
      <c r="F239" s="165">
        <v>82170</v>
      </c>
      <c r="G239" s="165"/>
      <c r="H239" s="159" t="s">
        <v>14</v>
      </c>
      <c r="I239" s="166" t="s">
        <v>15</v>
      </c>
      <c r="J239" s="166"/>
      <c r="K239" s="162" t="s">
        <v>8</v>
      </c>
      <c r="L239" s="163">
        <v>7036775.79</v>
      </c>
    </row>
    <row r="240" spans="1:12" ht="71.400000000000006" hidden="1" x14ac:dyDescent="0.3">
      <c r="A240" s="157" t="s">
        <v>369</v>
      </c>
      <c r="B240" s="158" t="s">
        <v>1020</v>
      </c>
      <c r="C240" s="158" t="s">
        <v>1039</v>
      </c>
      <c r="D240" s="158" t="s">
        <v>1022</v>
      </c>
      <c r="E240" s="159" t="s">
        <v>283</v>
      </c>
      <c r="F240" s="165">
        <v>42837</v>
      </c>
      <c r="G240" s="165"/>
      <c r="H240" s="159" t="s">
        <v>14</v>
      </c>
      <c r="I240" s="166" t="s">
        <v>15</v>
      </c>
      <c r="J240" s="166"/>
      <c r="K240" s="162" t="s">
        <v>8</v>
      </c>
      <c r="L240" s="163">
        <v>7079612.79</v>
      </c>
    </row>
    <row r="241" spans="1:12" ht="71.400000000000006" hidden="1" x14ac:dyDescent="0.3">
      <c r="A241" s="157" t="s">
        <v>369</v>
      </c>
      <c r="B241" s="158" t="s">
        <v>1020</v>
      </c>
      <c r="C241" s="158" t="s">
        <v>1040</v>
      </c>
      <c r="D241" s="158" t="s">
        <v>1022</v>
      </c>
      <c r="E241" s="159" t="s">
        <v>283</v>
      </c>
      <c r="F241" s="165">
        <v>56628</v>
      </c>
      <c r="G241" s="165"/>
      <c r="H241" s="159" t="s">
        <v>14</v>
      </c>
      <c r="I241" s="166" t="s">
        <v>15</v>
      </c>
      <c r="J241" s="166"/>
      <c r="K241" s="162" t="s">
        <v>8</v>
      </c>
      <c r="L241" s="163">
        <v>7136240.79</v>
      </c>
    </row>
    <row r="242" spans="1:12" ht="71.400000000000006" hidden="1" x14ac:dyDescent="0.3">
      <c r="A242" s="157" t="s">
        <v>369</v>
      </c>
      <c r="B242" s="158" t="s">
        <v>1020</v>
      </c>
      <c r="C242" s="158" t="s">
        <v>1041</v>
      </c>
      <c r="D242" s="158" t="s">
        <v>1022</v>
      </c>
      <c r="E242" s="159" t="s">
        <v>283</v>
      </c>
      <c r="F242" s="165">
        <v>210078</v>
      </c>
      <c r="G242" s="165"/>
      <c r="H242" s="159" t="s">
        <v>14</v>
      </c>
      <c r="I242" s="166" t="s">
        <v>15</v>
      </c>
      <c r="J242" s="166"/>
      <c r="K242" s="162" t="s">
        <v>8</v>
      </c>
      <c r="L242" s="163">
        <v>7346318.79</v>
      </c>
    </row>
    <row r="243" spans="1:12" ht="71.400000000000006" hidden="1" x14ac:dyDescent="0.3">
      <c r="A243" s="157" t="s">
        <v>369</v>
      </c>
      <c r="B243" s="158" t="s">
        <v>1020</v>
      </c>
      <c r="C243" s="158" t="s">
        <v>1042</v>
      </c>
      <c r="D243" s="158" t="s">
        <v>1022</v>
      </c>
      <c r="E243" s="159" t="s">
        <v>283</v>
      </c>
      <c r="F243" s="165">
        <v>169488</v>
      </c>
      <c r="G243" s="165"/>
      <c r="H243" s="159" t="s">
        <v>14</v>
      </c>
      <c r="I243" s="166" t="s">
        <v>15</v>
      </c>
      <c r="J243" s="166"/>
      <c r="K243" s="162" t="s">
        <v>8</v>
      </c>
      <c r="L243" s="163">
        <v>7515806.79</v>
      </c>
    </row>
    <row r="244" spans="1:12" ht="71.400000000000006" hidden="1" x14ac:dyDescent="0.3">
      <c r="A244" s="157" t="s">
        <v>369</v>
      </c>
      <c r="B244" s="158" t="s">
        <v>1020</v>
      </c>
      <c r="C244" s="158" t="s">
        <v>1043</v>
      </c>
      <c r="D244" s="158" t="s">
        <v>1022</v>
      </c>
      <c r="E244" s="159" t="s">
        <v>283</v>
      </c>
      <c r="F244" s="165">
        <v>90364</v>
      </c>
      <c r="G244" s="165"/>
      <c r="H244" s="159" t="s">
        <v>14</v>
      </c>
      <c r="I244" s="166" t="s">
        <v>15</v>
      </c>
      <c r="J244" s="166"/>
      <c r="K244" s="162" t="s">
        <v>8</v>
      </c>
      <c r="L244" s="163">
        <v>7606170.79</v>
      </c>
    </row>
    <row r="245" spans="1:12" ht="71.400000000000006" hidden="1" x14ac:dyDescent="0.3">
      <c r="A245" s="157" t="s">
        <v>369</v>
      </c>
      <c r="B245" s="158" t="s">
        <v>1020</v>
      </c>
      <c r="C245" s="158" t="s">
        <v>1044</v>
      </c>
      <c r="D245" s="158" t="s">
        <v>1022</v>
      </c>
      <c r="E245" s="159" t="s">
        <v>283</v>
      </c>
      <c r="F245" s="165">
        <v>143276</v>
      </c>
      <c r="G245" s="165"/>
      <c r="H245" s="159" t="s">
        <v>14</v>
      </c>
      <c r="I245" s="166" t="s">
        <v>15</v>
      </c>
      <c r="J245" s="166"/>
      <c r="K245" s="162" t="s">
        <v>8</v>
      </c>
      <c r="L245" s="163">
        <v>7749446.79</v>
      </c>
    </row>
    <row r="246" spans="1:12" ht="71.400000000000006" hidden="1" x14ac:dyDescent="0.3">
      <c r="A246" s="157" t="s">
        <v>369</v>
      </c>
      <c r="B246" s="158" t="s">
        <v>1020</v>
      </c>
      <c r="C246" s="158" t="s">
        <v>1045</v>
      </c>
      <c r="D246" s="158" t="s">
        <v>1022</v>
      </c>
      <c r="E246" s="159" t="s">
        <v>283</v>
      </c>
      <c r="F246" s="165">
        <v>120562</v>
      </c>
      <c r="G246" s="165"/>
      <c r="H246" s="159" t="s">
        <v>14</v>
      </c>
      <c r="I246" s="166" t="s">
        <v>15</v>
      </c>
      <c r="J246" s="166"/>
      <c r="K246" s="162" t="s">
        <v>8</v>
      </c>
      <c r="L246" s="163">
        <v>7870008.79</v>
      </c>
    </row>
    <row r="247" spans="1:12" ht="71.400000000000006" hidden="1" x14ac:dyDescent="0.3">
      <c r="A247" s="157" t="s">
        <v>369</v>
      </c>
      <c r="B247" s="158" t="s">
        <v>1020</v>
      </c>
      <c r="C247" s="158" t="s">
        <v>1046</v>
      </c>
      <c r="D247" s="158" t="s">
        <v>1022</v>
      </c>
      <c r="E247" s="159" t="s">
        <v>283</v>
      </c>
      <c r="F247" s="165">
        <v>406259</v>
      </c>
      <c r="G247" s="165"/>
      <c r="H247" s="159" t="s">
        <v>14</v>
      </c>
      <c r="I247" s="166" t="s">
        <v>15</v>
      </c>
      <c r="J247" s="166"/>
      <c r="K247" s="162" t="s">
        <v>8</v>
      </c>
      <c r="L247" s="163">
        <v>8276267.79</v>
      </c>
    </row>
    <row r="248" spans="1:12" ht="71.400000000000006" hidden="1" x14ac:dyDescent="0.3">
      <c r="A248" s="157" t="s">
        <v>369</v>
      </c>
      <c r="B248" s="158" t="s">
        <v>1020</v>
      </c>
      <c r="C248" s="158" t="s">
        <v>1047</v>
      </c>
      <c r="D248" s="158" t="s">
        <v>1022</v>
      </c>
      <c r="E248" s="159" t="s">
        <v>283</v>
      </c>
      <c r="F248" s="167">
        <v>312</v>
      </c>
      <c r="G248" s="167"/>
      <c r="H248" s="159" t="s">
        <v>14</v>
      </c>
      <c r="I248" s="166" t="s">
        <v>15</v>
      </c>
      <c r="J248" s="166"/>
      <c r="K248" s="162" t="s">
        <v>8</v>
      </c>
      <c r="L248" s="163">
        <v>8276579.79</v>
      </c>
    </row>
    <row r="249" spans="1:12" ht="71.400000000000006" hidden="1" x14ac:dyDescent="0.3">
      <c r="A249" s="157" t="s">
        <v>369</v>
      </c>
      <c r="B249" s="158" t="s">
        <v>1020</v>
      </c>
      <c r="C249" s="158" t="s">
        <v>1048</v>
      </c>
      <c r="D249" s="158" t="s">
        <v>1022</v>
      </c>
      <c r="E249" s="159" t="s">
        <v>283</v>
      </c>
      <c r="F249" s="167">
        <v>784</v>
      </c>
      <c r="G249" s="167"/>
      <c r="H249" s="159" t="s">
        <v>14</v>
      </c>
      <c r="I249" s="166" t="s">
        <v>15</v>
      </c>
      <c r="J249" s="166"/>
      <c r="K249" s="162" t="s">
        <v>8</v>
      </c>
      <c r="L249" s="163">
        <v>8277363.79</v>
      </c>
    </row>
    <row r="250" spans="1:12" ht="71.400000000000006" hidden="1" x14ac:dyDescent="0.3">
      <c r="A250" s="157" t="s">
        <v>369</v>
      </c>
      <c r="B250" s="158" t="s">
        <v>1020</v>
      </c>
      <c r="C250" s="158" t="s">
        <v>1049</v>
      </c>
      <c r="D250" s="158" t="s">
        <v>1022</v>
      </c>
      <c r="E250" s="159" t="s">
        <v>283</v>
      </c>
      <c r="F250" s="165">
        <v>3128</v>
      </c>
      <c r="G250" s="165"/>
      <c r="H250" s="159" t="s">
        <v>14</v>
      </c>
      <c r="I250" s="166" t="s">
        <v>15</v>
      </c>
      <c r="J250" s="166"/>
      <c r="K250" s="162" t="s">
        <v>8</v>
      </c>
      <c r="L250" s="163">
        <v>8280491.79</v>
      </c>
    </row>
    <row r="251" spans="1:12" ht="71.400000000000006" hidden="1" x14ac:dyDescent="0.3">
      <c r="A251" s="157" t="s">
        <v>369</v>
      </c>
      <c r="B251" s="158" t="s">
        <v>1020</v>
      </c>
      <c r="C251" s="158" t="s">
        <v>1050</v>
      </c>
      <c r="D251" s="158" t="s">
        <v>1022</v>
      </c>
      <c r="E251" s="159" t="s">
        <v>283</v>
      </c>
      <c r="F251" s="165">
        <v>4918</v>
      </c>
      <c r="G251" s="165"/>
      <c r="H251" s="159" t="s">
        <v>14</v>
      </c>
      <c r="I251" s="166" t="s">
        <v>15</v>
      </c>
      <c r="J251" s="166"/>
      <c r="K251" s="162" t="s">
        <v>8</v>
      </c>
      <c r="L251" s="163">
        <v>8285409.79</v>
      </c>
    </row>
    <row r="252" spans="1:12" ht="71.400000000000006" hidden="1" x14ac:dyDescent="0.3">
      <c r="A252" s="157" t="s">
        <v>369</v>
      </c>
      <c r="B252" s="158" t="s">
        <v>1020</v>
      </c>
      <c r="C252" s="158" t="s">
        <v>1051</v>
      </c>
      <c r="D252" s="158" t="s">
        <v>1022</v>
      </c>
      <c r="E252" s="159" t="s">
        <v>283</v>
      </c>
      <c r="F252" s="165">
        <v>5145</v>
      </c>
      <c r="G252" s="165"/>
      <c r="H252" s="159" t="s">
        <v>14</v>
      </c>
      <c r="I252" s="166" t="s">
        <v>15</v>
      </c>
      <c r="J252" s="166"/>
      <c r="K252" s="162" t="s">
        <v>8</v>
      </c>
      <c r="L252" s="163">
        <v>8290554.79</v>
      </c>
    </row>
    <row r="253" spans="1:12" ht="71.400000000000006" hidden="1" x14ac:dyDescent="0.3">
      <c r="A253" s="157" t="s">
        <v>369</v>
      </c>
      <c r="B253" s="158" t="s">
        <v>1020</v>
      </c>
      <c r="C253" s="158" t="s">
        <v>1052</v>
      </c>
      <c r="D253" s="158" t="s">
        <v>1022</v>
      </c>
      <c r="E253" s="159" t="s">
        <v>283</v>
      </c>
      <c r="F253" s="165">
        <v>111540</v>
      </c>
      <c r="G253" s="165"/>
      <c r="H253" s="159" t="s">
        <v>14</v>
      </c>
      <c r="I253" s="166" t="s">
        <v>15</v>
      </c>
      <c r="J253" s="166"/>
      <c r="K253" s="162" t="s">
        <v>8</v>
      </c>
      <c r="L253" s="163">
        <v>8402094.7899999991</v>
      </c>
    </row>
    <row r="254" spans="1:12" ht="71.400000000000006" hidden="1" x14ac:dyDescent="0.3">
      <c r="A254" s="157" t="s">
        <v>369</v>
      </c>
      <c r="B254" s="158" t="s">
        <v>1020</v>
      </c>
      <c r="C254" s="158" t="s">
        <v>1053</v>
      </c>
      <c r="D254" s="158" t="s">
        <v>1022</v>
      </c>
      <c r="E254" s="159" t="s">
        <v>283</v>
      </c>
      <c r="F254" s="165">
        <v>62619</v>
      </c>
      <c r="G254" s="165"/>
      <c r="H254" s="159" t="s">
        <v>14</v>
      </c>
      <c r="I254" s="166" t="s">
        <v>15</v>
      </c>
      <c r="J254" s="166"/>
      <c r="K254" s="162" t="s">
        <v>8</v>
      </c>
      <c r="L254" s="163">
        <v>8464713.7899999991</v>
      </c>
    </row>
    <row r="255" spans="1:12" ht="71.400000000000006" hidden="1" x14ac:dyDescent="0.3">
      <c r="A255" s="157" t="s">
        <v>369</v>
      </c>
      <c r="B255" s="158" t="s">
        <v>1020</v>
      </c>
      <c r="C255" s="158" t="s">
        <v>1054</v>
      </c>
      <c r="D255" s="158" t="s">
        <v>1022</v>
      </c>
      <c r="E255" s="159" t="s">
        <v>283</v>
      </c>
      <c r="F255" s="165">
        <v>2541</v>
      </c>
      <c r="G255" s="165"/>
      <c r="H255" s="159" t="s">
        <v>14</v>
      </c>
      <c r="I255" s="166" t="s">
        <v>15</v>
      </c>
      <c r="J255" s="166"/>
      <c r="K255" s="162" t="s">
        <v>8</v>
      </c>
      <c r="L255" s="163">
        <v>8467254.7899999991</v>
      </c>
    </row>
    <row r="256" spans="1:12" ht="71.400000000000006" hidden="1" x14ac:dyDescent="0.3">
      <c r="A256" s="157" t="s">
        <v>369</v>
      </c>
      <c r="B256" s="158" t="s">
        <v>1020</v>
      </c>
      <c r="C256" s="158" t="s">
        <v>1055</v>
      </c>
      <c r="D256" s="158" t="s">
        <v>1022</v>
      </c>
      <c r="E256" s="159" t="s">
        <v>283</v>
      </c>
      <c r="F256" s="165">
        <v>140679</v>
      </c>
      <c r="G256" s="165"/>
      <c r="H256" s="159" t="s">
        <v>14</v>
      </c>
      <c r="I256" s="166" t="s">
        <v>15</v>
      </c>
      <c r="J256" s="166"/>
      <c r="K256" s="162" t="s">
        <v>8</v>
      </c>
      <c r="L256" s="163">
        <v>8607933.7899999991</v>
      </c>
    </row>
    <row r="257" spans="1:12" ht="71.400000000000006" hidden="1" x14ac:dyDescent="0.3">
      <c r="A257" s="157" t="s">
        <v>369</v>
      </c>
      <c r="B257" s="158" t="s">
        <v>1020</v>
      </c>
      <c r="C257" s="158" t="s">
        <v>1056</v>
      </c>
      <c r="D257" s="158" t="s">
        <v>1022</v>
      </c>
      <c r="E257" s="159" t="s">
        <v>283</v>
      </c>
      <c r="F257" s="165">
        <v>23760</v>
      </c>
      <c r="G257" s="165"/>
      <c r="H257" s="159" t="s">
        <v>14</v>
      </c>
      <c r="I257" s="166" t="s">
        <v>15</v>
      </c>
      <c r="J257" s="166"/>
      <c r="K257" s="162" t="s">
        <v>8</v>
      </c>
      <c r="L257" s="163">
        <v>8631693.7899999991</v>
      </c>
    </row>
    <row r="258" spans="1:12" ht="71.400000000000006" hidden="1" x14ac:dyDescent="0.3">
      <c r="A258" s="157" t="s">
        <v>369</v>
      </c>
      <c r="B258" s="158" t="s">
        <v>1020</v>
      </c>
      <c r="C258" s="158" t="s">
        <v>1057</v>
      </c>
      <c r="D258" s="158" t="s">
        <v>1022</v>
      </c>
      <c r="E258" s="159" t="s">
        <v>283</v>
      </c>
      <c r="F258" s="165">
        <v>11488</v>
      </c>
      <c r="G258" s="165"/>
      <c r="H258" s="159" t="s">
        <v>14</v>
      </c>
      <c r="I258" s="166" t="s">
        <v>15</v>
      </c>
      <c r="J258" s="166"/>
      <c r="K258" s="162" t="s">
        <v>8</v>
      </c>
      <c r="L258" s="163">
        <v>8643181.7899999991</v>
      </c>
    </row>
    <row r="259" spans="1:12" ht="71.400000000000006" hidden="1" x14ac:dyDescent="0.3">
      <c r="A259" s="157" t="s">
        <v>369</v>
      </c>
      <c r="B259" s="158" t="s">
        <v>1020</v>
      </c>
      <c r="C259" s="158" t="s">
        <v>1058</v>
      </c>
      <c r="D259" s="158" t="s">
        <v>1022</v>
      </c>
      <c r="E259" s="159" t="s">
        <v>283</v>
      </c>
      <c r="F259" s="165">
        <v>11137</v>
      </c>
      <c r="G259" s="165"/>
      <c r="H259" s="159" t="s">
        <v>14</v>
      </c>
      <c r="I259" s="166" t="s">
        <v>15</v>
      </c>
      <c r="J259" s="166"/>
      <c r="K259" s="162" t="s">
        <v>8</v>
      </c>
      <c r="L259" s="163">
        <v>8654318.7899999991</v>
      </c>
    </row>
    <row r="260" spans="1:12" ht="71.400000000000006" hidden="1" x14ac:dyDescent="0.3">
      <c r="A260" s="157" t="s">
        <v>369</v>
      </c>
      <c r="B260" s="158" t="s">
        <v>1020</v>
      </c>
      <c r="C260" s="158" t="s">
        <v>1059</v>
      </c>
      <c r="D260" s="158" t="s">
        <v>1022</v>
      </c>
      <c r="E260" s="159" t="s">
        <v>283</v>
      </c>
      <c r="F260" s="165">
        <v>30640</v>
      </c>
      <c r="G260" s="165"/>
      <c r="H260" s="159" t="s">
        <v>14</v>
      </c>
      <c r="I260" s="166" t="s">
        <v>15</v>
      </c>
      <c r="J260" s="166"/>
      <c r="K260" s="162" t="s">
        <v>8</v>
      </c>
      <c r="L260" s="163">
        <v>8684958.7899999991</v>
      </c>
    </row>
    <row r="261" spans="1:12" ht="71.400000000000006" hidden="1" x14ac:dyDescent="0.3">
      <c r="A261" s="157" t="s">
        <v>369</v>
      </c>
      <c r="B261" s="158" t="s">
        <v>1020</v>
      </c>
      <c r="C261" s="158" t="s">
        <v>1060</v>
      </c>
      <c r="D261" s="158" t="s">
        <v>1022</v>
      </c>
      <c r="E261" s="159" t="s">
        <v>283</v>
      </c>
      <c r="F261" s="165">
        <v>8370</v>
      </c>
      <c r="G261" s="165"/>
      <c r="H261" s="159" t="s">
        <v>14</v>
      </c>
      <c r="I261" s="166" t="s">
        <v>15</v>
      </c>
      <c r="J261" s="166"/>
      <c r="K261" s="162" t="s">
        <v>8</v>
      </c>
      <c r="L261" s="163">
        <v>8693328.7899999991</v>
      </c>
    </row>
    <row r="262" spans="1:12" ht="71.400000000000006" hidden="1" x14ac:dyDescent="0.3">
      <c r="A262" s="157" t="s">
        <v>369</v>
      </c>
      <c r="B262" s="158" t="s">
        <v>1020</v>
      </c>
      <c r="C262" s="158" t="s">
        <v>1061</v>
      </c>
      <c r="D262" s="158" t="s">
        <v>1022</v>
      </c>
      <c r="E262" s="159" t="s">
        <v>283</v>
      </c>
      <c r="F262" s="165">
        <v>4356</v>
      </c>
      <c r="G262" s="165"/>
      <c r="H262" s="159" t="s">
        <v>14</v>
      </c>
      <c r="I262" s="166" t="s">
        <v>15</v>
      </c>
      <c r="J262" s="166"/>
      <c r="K262" s="162" t="s">
        <v>8</v>
      </c>
      <c r="L262" s="163">
        <v>8697684.7899999991</v>
      </c>
    </row>
    <row r="263" spans="1:12" ht="71.400000000000006" hidden="1" x14ac:dyDescent="0.3">
      <c r="A263" s="157" t="s">
        <v>369</v>
      </c>
      <c r="B263" s="158" t="s">
        <v>1020</v>
      </c>
      <c r="C263" s="158" t="s">
        <v>1062</v>
      </c>
      <c r="D263" s="158" t="s">
        <v>1022</v>
      </c>
      <c r="E263" s="159" t="s">
        <v>283</v>
      </c>
      <c r="F263" s="165">
        <v>3234</v>
      </c>
      <c r="G263" s="165"/>
      <c r="H263" s="159" t="s">
        <v>14</v>
      </c>
      <c r="I263" s="166" t="s">
        <v>15</v>
      </c>
      <c r="J263" s="166"/>
      <c r="K263" s="162" t="s">
        <v>8</v>
      </c>
      <c r="L263" s="163">
        <v>8700918.7899999991</v>
      </c>
    </row>
    <row r="264" spans="1:12" ht="71.400000000000006" hidden="1" x14ac:dyDescent="0.3">
      <c r="A264" s="157" t="s">
        <v>369</v>
      </c>
      <c r="B264" s="158" t="s">
        <v>1020</v>
      </c>
      <c r="C264" s="158" t="s">
        <v>1063</v>
      </c>
      <c r="D264" s="158" t="s">
        <v>1022</v>
      </c>
      <c r="E264" s="159" t="s">
        <v>283</v>
      </c>
      <c r="F264" s="165">
        <v>9820</v>
      </c>
      <c r="G264" s="165"/>
      <c r="H264" s="159" t="s">
        <v>14</v>
      </c>
      <c r="I264" s="166" t="s">
        <v>15</v>
      </c>
      <c r="J264" s="166"/>
      <c r="K264" s="162" t="s">
        <v>8</v>
      </c>
      <c r="L264" s="163">
        <v>8710738.7899999991</v>
      </c>
    </row>
    <row r="265" spans="1:12" ht="71.400000000000006" hidden="1" x14ac:dyDescent="0.3">
      <c r="A265" s="157" t="s">
        <v>369</v>
      </c>
      <c r="B265" s="158" t="s">
        <v>1020</v>
      </c>
      <c r="C265" s="158" t="s">
        <v>1064</v>
      </c>
      <c r="D265" s="158" t="s">
        <v>1022</v>
      </c>
      <c r="E265" s="159" t="s">
        <v>283</v>
      </c>
      <c r="F265" s="165">
        <v>9332</v>
      </c>
      <c r="G265" s="165"/>
      <c r="H265" s="159" t="s">
        <v>14</v>
      </c>
      <c r="I265" s="166" t="s">
        <v>15</v>
      </c>
      <c r="J265" s="166"/>
      <c r="K265" s="162" t="s">
        <v>8</v>
      </c>
      <c r="L265" s="163">
        <v>8720070.7899999991</v>
      </c>
    </row>
    <row r="266" spans="1:12" ht="71.400000000000006" hidden="1" x14ac:dyDescent="0.3">
      <c r="A266" s="157" t="s">
        <v>369</v>
      </c>
      <c r="B266" s="158" t="s">
        <v>1020</v>
      </c>
      <c r="C266" s="158" t="s">
        <v>1065</v>
      </c>
      <c r="D266" s="158" t="s">
        <v>1022</v>
      </c>
      <c r="E266" s="159" t="s">
        <v>283</v>
      </c>
      <c r="F266" s="165">
        <v>14174</v>
      </c>
      <c r="G266" s="165"/>
      <c r="H266" s="159" t="s">
        <v>14</v>
      </c>
      <c r="I266" s="166" t="s">
        <v>15</v>
      </c>
      <c r="J266" s="166"/>
      <c r="K266" s="162" t="s">
        <v>8</v>
      </c>
      <c r="L266" s="163">
        <v>8734244.7899999991</v>
      </c>
    </row>
    <row r="267" spans="1:12" ht="71.400000000000006" hidden="1" x14ac:dyDescent="0.3">
      <c r="A267" s="157" t="s">
        <v>369</v>
      </c>
      <c r="B267" s="158" t="s">
        <v>1020</v>
      </c>
      <c r="C267" s="158" t="s">
        <v>1066</v>
      </c>
      <c r="D267" s="158" t="s">
        <v>1022</v>
      </c>
      <c r="E267" s="159" t="s">
        <v>283</v>
      </c>
      <c r="F267" s="165">
        <v>11517</v>
      </c>
      <c r="G267" s="165"/>
      <c r="H267" s="159" t="s">
        <v>14</v>
      </c>
      <c r="I267" s="166" t="s">
        <v>15</v>
      </c>
      <c r="J267" s="166"/>
      <c r="K267" s="162" t="s">
        <v>8</v>
      </c>
      <c r="L267" s="163">
        <v>8745761.7899999991</v>
      </c>
    </row>
    <row r="268" spans="1:12" ht="71.400000000000006" hidden="1" x14ac:dyDescent="0.3">
      <c r="A268" s="157" t="s">
        <v>369</v>
      </c>
      <c r="B268" s="158" t="s">
        <v>1020</v>
      </c>
      <c r="C268" s="158" t="s">
        <v>1067</v>
      </c>
      <c r="D268" s="158" t="s">
        <v>1022</v>
      </c>
      <c r="E268" s="159" t="s">
        <v>283</v>
      </c>
      <c r="F268" s="165">
        <v>41745</v>
      </c>
      <c r="G268" s="165"/>
      <c r="H268" s="159" t="s">
        <v>14</v>
      </c>
      <c r="I268" s="166" t="s">
        <v>15</v>
      </c>
      <c r="J268" s="166"/>
      <c r="K268" s="162" t="s">
        <v>8</v>
      </c>
      <c r="L268" s="163">
        <v>8787506.7899999991</v>
      </c>
    </row>
    <row r="269" spans="1:12" ht="71.400000000000006" hidden="1" x14ac:dyDescent="0.3">
      <c r="A269" s="157" t="s">
        <v>369</v>
      </c>
      <c r="B269" s="158" t="s">
        <v>1020</v>
      </c>
      <c r="C269" s="158" t="s">
        <v>1068</v>
      </c>
      <c r="D269" s="158" t="s">
        <v>1022</v>
      </c>
      <c r="E269" s="159" t="s">
        <v>283</v>
      </c>
      <c r="F269" s="165">
        <v>19701</v>
      </c>
      <c r="G269" s="165"/>
      <c r="H269" s="159" t="s">
        <v>14</v>
      </c>
      <c r="I269" s="166" t="s">
        <v>15</v>
      </c>
      <c r="J269" s="166"/>
      <c r="K269" s="162" t="s">
        <v>8</v>
      </c>
      <c r="L269" s="163">
        <v>8807207.7899999991</v>
      </c>
    </row>
    <row r="270" spans="1:12" ht="71.400000000000006" hidden="1" x14ac:dyDescent="0.3">
      <c r="A270" s="157" t="s">
        <v>369</v>
      </c>
      <c r="B270" s="158" t="s">
        <v>1020</v>
      </c>
      <c r="C270" s="158" t="s">
        <v>1069</v>
      </c>
      <c r="D270" s="158" t="s">
        <v>1022</v>
      </c>
      <c r="E270" s="159" t="s">
        <v>283</v>
      </c>
      <c r="F270" s="165">
        <v>38400</v>
      </c>
      <c r="G270" s="165"/>
      <c r="H270" s="159" t="s">
        <v>14</v>
      </c>
      <c r="I270" s="166" t="s">
        <v>15</v>
      </c>
      <c r="J270" s="166"/>
      <c r="K270" s="162" t="s">
        <v>8</v>
      </c>
      <c r="L270" s="163">
        <v>8845607.7899999991</v>
      </c>
    </row>
    <row r="271" spans="1:12" ht="71.400000000000006" hidden="1" x14ac:dyDescent="0.3">
      <c r="A271" s="157" t="s">
        <v>369</v>
      </c>
      <c r="B271" s="158" t="s">
        <v>1020</v>
      </c>
      <c r="C271" s="158" t="s">
        <v>1070</v>
      </c>
      <c r="D271" s="158" t="s">
        <v>1022</v>
      </c>
      <c r="E271" s="159" t="s">
        <v>283</v>
      </c>
      <c r="F271" s="165">
        <v>9048</v>
      </c>
      <c r="G271" s="165"/>
      <c r="H271" s="159" t="s">
        <v>14</v>
      </c>
      <c r="I271" s="166" t="s">
        <v>15</v>
      </c>
      <c r="J271" s="166"/>
      <c r="K271" s="162" t="s">
        <v>8</v>
      </c>
      <c r="L271" s="163">
        <v>8854655.7899999991</v>
      </c>
    </row>
    <row r="272" spans="1:12" ht="71.400000000000006" hidden="1" x14ac:dyDescent="0.3">
      <c r="A272" s="157" t="s">
        <v>369</v>
      </c>
      <c r="B272" s="158" t="s">
        <v>1020</v>
      </c>
      <c r="C272" s="158" t="s">
        <v>1071</v>
      </c>
      <c r="D272" s="158" t="s">
        <v>1022</v>
      </c>
      <c r="E272" s="159" t="s">
        <v>283</v>
      </c>
      <c r="F272" s="165">
        <v>5357</v>
      </c>
      <c r="G272" s="165"/>
      <c r="H272" s="159" t="s">
        <v>14</v>
      </c>
      <c r="I272" s="166" t="s">
        <v>15</v>
      </c>
      <c r="J272" s="166"/>
      <c r="K272" s="162" t="s">
        <v>8</v>
      </c>
      <c r="L272" s="163">
        <v>8860012.7899999991</v>
      </c>
    </row>
    <row r="273" spans="1:12" ht="71.400000000000006" hidden="1" x14ac:dyDescent="0.3">
      <c r="A273" s="157" t="s">
        <v>369</v>
      </c>
      <c r="B273" s="158" t="s">
        <v>1020</v>
      </c>
      <c r="C273" s="158" t="s">
        <v>1072</v>
      </c>
      <c r="D273" s="158" t="s">
        <v>1022</v>
      </c>
      <c r="E273" s="159" t="s">
        <v>283</v>
      </c>
      <c r="F273" s="167">
        <v>922</v>
      </c>
      <c r="G273" s="167"/>
      <c r="H273" s="159" t="s">
        <v>14</v>
      </c>
      <c r="I273" s="166" t="s">
        <v>15</v>
      </c>
      <c r="J273" s="166"/>
      <c r="K273" s="162" t="s">
        <v>8</v>
      </c>
      <c r="L273" s="163">
        <v>8860934.7899999991</v>
      </c>
    </row>
    <row r="274" spans="1:12" ht="71.400000000000006" hidden="1" x14ac:dyDescent="0.3">
      <c r="A274" s="157" t="s">
        <v>369</v>
      </c>
      <c r="B274" s="158" t="s">
        <v>1020</v>
      </c>
      <c r="C274" s="158" t="s">
        <v>1073</v>
      </c>
      <c r="D274" s="158" t="s">
        <v>1022</v>
      </c>
      <c r="E274" s="159" t="s">
        <v>283</v>
      </c>
      <c r="F274" s="165">
        <v>21200</v>
      </c>
      <c r="G274" s="165"/>
      <c r="H274" s="159" t="s">
        <v>14</v>
      </c>
      <c r="I274" s="166" t="s">
        <v>15</v>
      </c>
      <c r="J274" s="166"/>
      <c r="K274" s="162" t="s">
        <v>8</v>
      </c>
      <c r="L274" s="163">
        <v>8882134.7899999991</v>
      </c>
    </row>
    <row r="275" spans="1:12" ht="71.400000000000006" hidden="1" x14ac:dyDescent="0.3">
      <c r="A275" s="157" t="s">
        <v>369</v>
      </c>
      <c r="B275" s="158" t="s">
        <v>1020</v>
      </c>
      <c r="C275" s="158" t="s">
        <v>1074</v>
      </c>
      <c r="D275" s="158" t="s">
        <v>1022</v>
      </c>
      <c r="E275" s="159" t="s">
        <v>283</v>
      </c>
      <c r="F275" s="165">
        <v>40446</v>
      </c>
      <c r="G275" s="165"/>
      <c r="H275" s="159" t="s">
        <v>14</v>
      </c>
      <c r="I275" s="166" t="s">
        <v>15</v>
      </c>
      <c r="J275" s="166"/>
      <c r="K275" s="162" t="s">
        <v>8</v>
      </c>
      <c r="L275" s="163">
        <v>8922580.7899999991</v>
      </c>
    </row>
    <row r="276" spans="1:12" ht="71.400000000000006" hidden="1" x14ac:dyDescent="0.3">
      <c r="A276" s="157" t="s">
        <v>369</v>
      </c>
      <c r="B276" s="158" t="s">
        <v>1020</v>
      </c>
      <c r="C276" s="158" t="s">
        <v>1075</v>
      </c>
      <c r="D276" s="158" t="s">
        <v>1022</v>
      </c>
      <c r="E276" s="159" t="s">
        <v>283</v>
      </c>
      <c r="F276" s="165">
        <v>4392</v>
      </c>
      <c r="G276" s="165"/>
      <c r="H276" s="159" t="s">
        <v>14</v>
      </c>
      <c r="I276" s="166" t="s">
        <v>15</v>
      </c>
      <c r="J276" s="166"/>
      <c r="K276" s="162" t="s">
        <v>8</v>
      </c>
      <c r="L276" s="163">
        <v>8926972.7899999991</v>
      </c>
    </row>
    <row r="277" spans="1:12" ht="71.400000000000006" hidden="1" x14ac:dyDescent="0.3">
      <c r="A277" s="157" t="s">
        <v>369</v>
      </c>
      <c r="B277" s="158" t="s">
        <v>1020</v>
      </c>
      <c r="C277" s="158" t="s">
        <v>1076</v>
      </c>
      <c r="D277" s="158" t="s">
        <v>1022</v>
      </c>
      <c r="E277" s="159" t="s">
        <v>283</v>
      </c>
      <c r="F277" s="165">
        <v>5560</v>
      </c>
      <c r="G277" s="165"/>
      <c r="H277" s="159" t="s">
        <v>14</v>
      </c>
      <c r="I277" s="166" t="s">
        <v>15</v>
      </c>
      <c r="J277" s="166"/>
      <c r="K277" s="162" t="s">
        <v>8</v>
      </c>
      <c r="L277" s="163">
        <v>8932532.7899999991</v>
      </c>
    </row>
    <row r="278" spans="1:12" ht="71.400000000000006" hidden="1" x14ac:dyDescent="0.3">
      <c r="A278" s="157" t="s">
        <v>369</v>
      </c>
      <c r="B278" s="158" t="s">
        <v>1020</v>
      </c>
      <c r="C278" s="158" t="s">
        <v>1077</v>
      </c>
      <c r="D278" s="158" t="s">
        <v>1022</v>
      </c>
      <c r="E278" s="159" t="s">
        <v>283</v>
      </c>
      <c r="F278" s="165">
        <v>6468</v>
      </c>
      <c r="G278" s="165"/>
      <c r="H278" s="159" t="s">
        <v>14</v>
      </c>
      <c r="I278" s="166" t="s">
        <v>15</v>
      </c>
      <c r="J278" s="166"/>
      <c r="K278" s="162" t="s">
        <v>8</v>
      </c>
      <c r="L278" s="163">
        <v>8939000.7899999991</v>
      </c>
    </row>
    <row r="279" spans="1:12" ht="61.2" hidden="1" x14ac:dyDescent="0.3">
      <c r="A279" s="157" t="s">
        <v>369</v>
      </c>
      <c r="B279" s="158" t="s">
        <v>1020</v>
      </c>
      <c r="C279" s="158" t="s">
        <v>1078</v>
      </c>
      <c r="D279" s="158" t="s">
        <v>1022</v>
      </c>
      <c r="E279" s="159" t="s">
        <v>283</v>
      </c>
      <c r="F279" s="165">
        <v>12570</v>
      </c>
      <c r="G279" s="165"/>
      <c r="H279" s="159" t="s">
        <v>14</v>
      </c>
      <c r="I279" s="166" t="s">
        <v>15</v>
      </c>
      <c r="J279" s="166"/>
      <c r="K279" s="162" t="s">
        <v>8</v>
      </c>
      <c r="L279" s="163">
        <v>8951570.7899999991</v>
      </c>
    </row>
    <row r="280" spans="1:12" ht="71.400000000000006" hidden="1" x14ac:dyDescent="0.3">
      <c r="A280" s="157" t="s">
        <v>369</v>
      </c>
      <c r="B280" s="158" t="s">
        <v>1020</v>
      </c>
      <c r="C280" s="158" t="s">
        <v>1079</v>
      </c>
      <c r="D280" s="158" t="s">
        <v>1022</v>
      </c>
      <c r="E280" s="159" t="s">
        <v>283</v>
      </c>
      <c r="F280" s="165">
        <v>23257</v>
      </c>
      <c r="G280" s="165"/>
      <c r="H280" s="159" t="s">
        <v>14</v>
      </c>
      <c r="I280" s="166" t="s">
        <v>15</v>
      </c>
      <c r="J280" s="166"/>
      <c r="K280" s="162" t="s">
        <v>8</v>
      </c>
      <c r="L280" s="163">
        <v>8974827.7899999991</v>
      </c>
    </row>
    <row r="281" spans="1:12" ht="71.400000000000006" hidden="1" x14ac:dyDescent="0.3">
      <c r="A281" s="157" t="s">
        <v>369</v>
      </c>
      <c r="B281" s="158" t="s">
        <v>1020</v>
      </c>
      <c r="C281" s="158" t="s">
        <v>1080</v>
      </c>
      <c r="D281" s="158" t="s">
        <v>1022</v>
      </c>
      <c r="E281" s="159" t="s">
        <v>283</v>
      </c>
      <c r="F281" s="165">
        <v>4149</v>
      </c>
      <c r="G281" s="165"/>
      <c r="H281" s="159" t="s">
        <v>14</v>
      </c>
      <c r="I281" s="166" t="s">
        <v>15</v>
      </c>
      <c r="J281" s="166"/>
      <c r="K281" s="162" t="s">
        <v>8</v>
      </c>
      <c r="L281" s="163">
        <v>8978976.7899999991</v>
      </c>
    </row>
    <row r="282" spans="1:12" ht="71.400000000000006" hidden="1" x14ac:dyDescent="0.3">
      <c r="A282" s="157" t="s">
        <v>369</v>
      </c>
      <c r="B282" s="158" t="s">
        <v>1020</v>
      </c>
      <c r="C282" s="158" t="s">
        <v>1081</v>
      </c>
      <c r="D282" s="158" t="s">
        <v>1022</v>
      </c>
      <c r="E282" s="159" t="s">
        <v>283</v>
      </c>
      <c r="F282" s="165">
        <v>3220</v>
      </c>
      <c r="G282" s="165"/>
      <c r="H282" s="159" t="s">
        <v>14</v>
      </c>
      <c r="I282" s="166" t="s">
        <v>15</v>
      </c>
      <c r="J282" s="166"/>
      <c r="K282" s="162" t="s">
        <v>8</v>
      </c>
      <c r="L282" s="163">
        <v>8982196.7899999991</v>
      </c>
    </row>
    <row r="283" spans="1:12" ht="71.400000000000006" hidden="1" x14ac:dyDescent="0.3">
      <c r="A283" s="157" t="s">
        <v>369</v>
      </c>
      <c r="B283" s="158" t="s">
        <v>1020</v>
      </c>
      <c r="C283" s="158" t="s">
        <v>1082</v>
      </c>
      <c r="D283" s="158" t="s">
        <v>1022</v>
      </c>
      <c r="E283" s="159" t="s">
        <v>283</v>
      </c>
      <c r="F283" s="165">
        <v>12896</v>
      </c>
      <c r="G283" s="165"/>
      <c r="H283" s="159" t="s">
        <v>14</v>
      </c>
      <c r="I283" s="166" t="s">
        <v>15</v>
      </c>
      <c r="J283" s="166"/>
      <c r="K283" s="162" t="s">
        <v>8</v>
      </c>
      <c r="L283" s="163">
        <v>8995092.7899999991</v>
      </c>
    </row>
    <row r="284" spans="1:12" ht="71.400000000000006" hidden="1" x14ac:dyDescent="0.3">
      <c r="A284" s="157" t="s">
        <v>369</v>
      </c>
      <c r="B284" s="158" t="s">
        <v>1020</v>
      </c>
      <c r="C284" s="158" t="s">
        <v>1083</v>
      </c>
      <c r="D284" s="158" t="s">
        <v>1022</v>
      </c>
      <c r="E284" s="159" t="s">
        <v>283</v>
      </c>
      <c r="F284" s="165">
        <v>19352</v>
      </c>
      <c r="G284" s="165"/>
      <c r="H284" s="159" t="s">
        <v>14</v>
      </c>
      <c r="I284" s="166" t="s">
        <v>15</v>
      </c>
      <c r="J284" s="166"/>
      <c r="K284" s="162" t="s">
        <v>8</v>
      </c>
      <c r="L284" s="163">
        <v>9014444.7899999991</v>
      </c>
    </row>
    <row r="285" spans="1:12" ht="71.400000000000006" hidden="1" x14ac:dyDescent="0.3">
      <c r="A285" s="157" t="s">
        <v>369</v>
      </c>
      <c r="B285" s="158" t="s">
        <v>1020</v>
      </c>
      <c r="C285" s="158" t="s">
        <v>1084</v>
      </c>
      <c r="D285" s="158" t="s">
        <v>1022</v>
      </c>
      <c r="E285" s="159" t="s">
        <v>283</v>
      </c>
      <c r="F285" s="165">
        <v>6838</v>
      </c>
      <c r="G285" s="165"/>
      <c r="H285" s="159" t="s">
        <v>14</v>
      </c>
      <c r="I285" s="166" t="s">
        <v>15</v>
      </c>
      <c r="J285" s="166"/>
      <c r="K285" s="162" t="s">
        <v>8</v>
      </c>
      <c r="L285" s="163">
        <v>9021282.7899999991</v>
      </c>
    </row>
    <row r="286" spans="1:12" ht="71.400000000000006" hidden="1" x14ac:dyDescent="0.3">
      <c r="A286" s="157" t="s">
        <v>369</v>
      </c>
      <c r="B286" s="158" t="s">
        <v>1020</v>
      </c>
      <c r="C286" s="158" t="s">
        <v>1085</v>
      </c>
      <c r="D286" s="158" t="s">
        <v>1022</v>
      </c>
      <c r="E286" s="159" t="s">
        <v>283</v>
      </c>
      <c r="F286" s="165">
        <v>13260</v>
      </c>
      <c r="G286" s="165"/>
      <c r="H286" s="159" t="s">
        <v>14</v>
      </c>
      <c r="I286" s="166" t="s">
        <v>15</v>
      </c>
      <c r="J286" s="166"/>
      <c r="K286" s="162" t="s">
        <v>8</v>
      </c>
      <c r="L286" s="163">
        <v>9034542.7899999991</v>
      </c>
    </row>
    <row r="287" spans="1:12" ht="71.400000000000006" hidden="1" x14ac:dyDescent="0.3">
      <c r="A287" s="157" t="s">
        <v>369</v>
      </c>
      <c r="B287" s="158" t="s">
        <v>1020</v>
      </c>
      <c r="C287" s="158" t="s">
        <v>1086</v>
      </c>
      <c r="D287" s="158" t="s">
        <v>1022</v>
      </c>
      <c r="E287" s="159" t="s">
        <v>283</v>
      </c>
      <c r="F287" s="165">
        <v>16796</v>
      </c>
      <c r="G287" s="165"/>
      <c r="H287" s="159" t="s">
        <v>14</v>
      </c>
      <c r="I287" s="166" t="s">
        <v>15</v>
      </c>
      <c r="J287" s="166"/>
      <c r="K287" s="162" t="s">
        <v>8</v>
      </c>
      <c r="L287" s="163">
        <v>9051338.7899999991</v>
      </c>
    </row>
    <row r="288" spans="1:12" ht="71.400000000000006" hidden="1" x14ac:dyDescent="0.3">
      <c r="A288" s="157" t="s">
        <v>369</v>
      </c>
      <c r="B288" s="158" t="s">
        <v>1020</v>
      </c>
      <c r="C288" s="158" t="s">
        <v>1087</v>
      </c>
      <c r="D288" s="158" t="s">
        <v>1022</v>
      </c>
      <c r="E288" s="159" t="s">
        <v>283</v>
      </c>
      <c r="F288" s="165">
        <v>13668.2</v>
      </c>
      <c r="G288" s="165"/>
      <c r="H288" s="159" t="s">
        <v>14</v>
      </c>
      <c r="I288" s="166" t="s">
        <v>15</v>
      </c>
      <c r="J288" s="166"/>
      <c r="K288" s="162" t="s">
        <v>8</v>
      </c>
      <c r="L288" s="163">
        <v>9065006.9900000002</v>
      </c>
    </row>
    <row r="289" spans="1:12" ht="71.400000000000006" x14ac:dyDescent="0.3">
      <c r="A289" s="157" t="s">
        <v>369</v>
      </c>
      <c r="B289" s="158" t="s">
        <v>1088</v>
      </c>
      <c r="C289" s="158" t="s">
        <v>611</v>
      </c>
      <c r="D289" s="158" t="s">
        <v>1089</v>
      </c>
      <c r="E289" s="159" t="s">
        <v>613</v>
      </c>
      <c r="F289" s="160" t="s">
        <v>15</v>
      </c>
      <c r="G289" s="160"/>
      <c r="H289" s="159" t="s">
        <v>283</v>
      </c>
      <c r="I289" s="161">
        <v>8657.2000000000007</v>
      </c>
      <c r="J289" s="161"/>
      <c r="K289" s="162" t="s">
        <v>8</v>
      </c>
      <c r="L289" s="163">
        <v>9056349.7899999991</v>
      </c>
    </row>
    <row r="290" spans="1:12" ht="71.400000000000006" x14ac:dyDescent="0.3">
      <c r="A290" s="157" t="s">
        <v>369</v>
      </c>
      <c r="B290" s="158" t="s">
        <v>1088</v>
      </c>
      <c r="C290" s="158" t="s">
        <v>611</v>
      </c>
      <c r="D290" s="158" t="s">
        <v>1089</v>
      </c>
      <c r="E290" s="159" t="s">
        <v>613</v>
      </c>
      <c r="F290" s="160" t="s">
        <v>15</v>
      </c>
      <c r="G290" s="160"/>
      <c r="H290" s="159" t="s">
        <v>283</v>
      </c>
      <c r="I290" s="161">
        <v>6078.9</v>
      </c>
      <c r="J290" s="161"/>
      <c r="K290" s="162" t="s">
        <v>8</v>
      </c>
      <c r="L290" s="163">
        <v>9050270.8900000006</v>
      </c>
    </row>
    <row r="291" spans="1:12" ht="71.400000000000006" x14ac:dyDescent="0.3">
      <c r="A291" s="157" t="s">
        <v>369</v>
      </c>
      <c r="B291" s="158" t="s">
        <v>1088</v>
      </c>
      <c r="C291" s="158" t="s">
        <v>611</v>
      </c>
      <c r="D291" s="158" t="s">
        <v>1089</v>
      </c>
      <c r="E291" s="159" t="s">
        <v>613</v>
      </c>
      <c r="F291" s="160" t="s">
        <v>15</v>
      </c>
      <c r="G291" s="160"/>
      <c r="H291" s="159" t="s">
        <v>283</v>
      </c>
      <c r="I291" s="161">
        <v>6785</v>
      </c>
      <c r="J291" s="161"/>
      <c r="K291" s="162" t="s">
        <v>8</v>
      </c>
      <c r="L291" s="163">
        <v>9043485.8900000006</v>
      </c>
    </row>
    <row r="292" spans="1:12" ht="71.400000000000006" x14ac:dyDescent="0.3">
      <c r="A292" s="157" t="s">
        <v>369</v>
      </c>
      <c r="B292" s="158" t="s">
        <v>1088</v>
      </c>
      <c r="C292" s="158" t="s">
        <v>611</v>
      </c>
      <c r="D292" s="158" t="s">
        <v>1090</v>
      </c>
      <c r="E292" s="159" t="s">
        <v>613</v>
      </c>
      <c r="F292" s="160" t="s">
        <v>15</v>
      </c>
      <c r="G292" s="160"/>
      <c r="H292" s="159" t="s">
        <v>283</v>
      </c>
      <c r="I292" s="161">
        <v>56830.7</v>
      </c>
      <c r="J292" s="161"/>
      <c r="K292" s="162" t="s">
        <v>8</v>
      </c>
      <c r="L292" s="163">
        <v>8986655.1899999995</v>
      </c>
    </row>
    <row r="293" spans="1:12" ht="71.400000000000006" x14ac:dyDescent="0.3">
      <c r="A293" s="157" t="s">
        <v>369</v>
      </c>
      <c r="B293" s="158" t="s">
        <v>1088</v>
      </c>
      <c r="C293" s="158" t="s">
        <v>611</v>
      </c>
      <c r="D293" s="158" t="s">
        <v>1091</v>
      </c>
      <c r="E293" s="159" t="s">
        <v>613</v>
      </c>
      <c r="F293" s="160" t="s">
        <v>15</v>
      </c>
      <c r="G293" s="160"/>
      <c r="H293" s="159" t="s">
        <v>283</v>
      </c>
      <c r="I293" s="161">
        <v>56830.7</v>
      </c>
      <c r="J293" s="161"/>
      <c r="K293" s="162" t="s">
        <v>8</v>
      </c>
      <c r="L293" s="163">
        <v>8929824.4900000002</v>
      </c>
    </row>
    <row r="294" spans="1:12" ht="71.400000000000006" x14ac:dyDescent="0.3">
      <c r="A294" s="157" t="s">
        <v>369</v>
      </c>
      <c r="B294" s="158" t="s">
        <v>1088</v>
      </c>
      <c r="C294" s="158" t="s">
        <v>611</v>
      </c>
      <c r="D294" s="158" t="s">
        <v>1092</v>
      </c>
      <c r="E294" s="159" t="s">
        <v>613</v>
      </c>
      <c r="F294" s="160" t="s">
        <v>15</v>
      </c>
      <c r="G294" s="160"/>
      <c r="H294" s="159" t="s">
        <v>283</v>
      </c>
      <c r="I294" s="161">
        <v>18943.95</v>
      </c>
      <c r="J294" s="161"/>
      <c r="K294" s="162" t="s">
        <v>8</v>
      </c>
      <c r="L294" s="163">
        <v>8910880.5399999991</v>
      </c>
    </row>
    <row r="295" spans="1:12" ht="71.400000000000006" x14ac:dyDescent="0.3">
      <c r="A295" s="157" t="s">
        <v>369</v>
      </c>
      <c r="B295" s="158" t="s">
        <v>1088</v>
      </c>
      <c r="C295" s="158" t="s">
        <v>611</v>
      </c>
      <c r="D295" s="158" t="s">
        <v>1089</v>
      </c>
      <c r="E295" s="159" t="s">
        <v>613</v>
      </c>
      <c r="F295" s="160" t="s">
        <v>15</v>
      </c>
      <c r="G295" s="160"/>
      <c r="H295" s="159" t="s">
        <v>283</v>
      </c>
      <c r="I295" s="161">
        <v>66304.399999999994</v>
      </c>
      <c r="J295" s="161"/>
      <c r="K295" s="162" t="s">
        <v>8</v>
      </c>
      <c r="L295" s="163">
        <v>8844576.1400000006</v>
      </c>
    </row>
    <row r="296" spans="1:12" ht="71.400000000000006" x14ac:dyDescent="0.3">
      <c r="A296" s="157" t="s">
        <v>369</v>
      </c>
      <c r="B296" s="158" t="s">
        <v>1088</v>
      </c>
      <c r="C296" s="158" t="s">
        <v>611</v>
      </c>
      <c r="D296" s="158" t="s">
        <v>1089</v>
      </c>
      <c r="E296" s="159" t="s">
        <v>613</v>
      </c>
      <c r="F296" s="160" t="s">
        <v>15</v>
      </c>
      <c r="G296" s="160"/>
      <c r="H296" s="159" t="s">
        <v>283</v>
      </c>
      <c r="I296" s="161">
        <v>274682.09999999998</v>
      </c>
      <c r="J296" s="161"/>
      <c r="K296" s="162" t="s">
        <v>8</v>
      </c>
      <c r="L296" s="163">
        <v>8569894.0399999991</v>
      </c>
    </row>
    <row r="297" spans="1:12" ht="71.400000000000006" x14ac:dyDescent="0.3">
      <c r="A297" s="157" t="s">
        <v>369</v>
      </c>
      <c r="B297" s="158" t="s">
        <v>1088</v>
      </c>
      <c r="C297" s="158" t="s">
        <v>611</v>
      </c>
      <c r="D297" s="158" t="s">
        <v>1093</v>
      </c>
      <c r="E297" s="159" t="s">
        <v>613</v>
      </c>
      <c r="F297" s="160" t="s">
        <v>15</v>
      </c>
      <c r="G297" s="160"/>
      <c r="H297" s="159" t="s">
        <v>283</v>
      </c>
      <c r="I297" s="161">
        <v>66304.39</v>
      </c>
      <c r="J297" s="161"/>
      <c r="K297" s="162" t="s">
        <v>8</v>
      </c>
      <c r="L297" s="163">
        <v>8503589.6500000004</v>
      </c>
    </row>
    <row r="298" spans="1:12" ht="71.400000000000006" x14ac:dyDescent="0.3">
      <c r="A298" s="157" t="s">
        <v>369</v>
      </c>
      <c r="B298" s="158" t="s">
        <v>1088</v>
      </c>
      <c r="C298" s="158" t="s">
        <v>611</v>
      </c>
      <c r="D298" s="158" t="s">
        <v>1089</v>
      </c>
      <c r="E298" s="159" t="s">
        <v>613</v>
      </c>
      <c r="F298" s="160" t="s">
        <v>15</v>
      </c>
      <c r="G298" s="160"/>
      <c r="H298" s="159" t="s">
        <v>283</v>
      </c>
      <c r="I298" s="161">
        <v>68203.05</v>
      </c>
      <c r="J298" s="161"/>
      <c r="K298" s="162" t="s">
        <v>8</v>
      </c>
      <c r="L298" s="163">
        <v>8435386.5999999996</v>
      </c>
    </row>
    <row r="299" spans="1:12" ht="71.400000000000006" x14ac:dyDescent="0.3">
      <c r="A299" s="157" t="s">
        <v>369</v>
      </c>
      <c r="B299" s="158" t="s">
        <v>1088</v>
      </c>
      <c r="C299" s="158" t="s">
        <v>611</v>
      </c>
      <c r="D299" s="158" t="s">
        <v>1090</v>
      </c>
      <c r="E299" s="159" t="s">
        <v>613</v>
      </c>
      <c r="F299" s="160" t="s">
        <v>15</v>
      </c>
      <c r="G299" s="160"/>
      <c r="H299" s="159" t="s">
        <v>283</v>
      </c>
      <c r="I299" s="161">
        <v>19784.599999999999</v>
      </c>
      <c r="J299" s="161"/>
      <c r="K299" s="162" t="s">
        <v>8</v>
      </c>
      <c r="L299" s="163">
        <v>8415602</v>
      </c>
    </row>
    <row r="300" spans="1:12" ht="71.400000000000006" x14ac:dyDescent="0.3">
      <c r="A300" s="157" t="s">
        <v>369</v>
      </c>
      <c r="B300" s="158" t="s">
        <v>1088</v>
      </c>
      <c r="C300" s="158" t="s">
        <v>611</v>
      </c>
      <c r="D300" s="158" t="s">
        <v>1091</v>
      </c>
      <c r="E300" s="159" t="s">
        <v>613</v>
      </c>
      <c r="F300" s="160" t="s">
        <v>15</v>
      </c>
      <c r="G300" s="160"/>
      <c r="H300" s="159" t="s">
        <v>283</v>
      </c>
      <c r="I300" s="161">
        <v>19784.599999999999</v>
      </c>
      <c r="J300" s="161"/>
      <c r="K300" s="162" t="s">
        <v>8</v>
      </c>
      <c r="L300" s="163">
        <v>8395817.4000000004</v>
      </c>
    </row>
    <row r="301" spans="1:12" ht="71.400000000000006" x14ac:dyDescent="0.3">
      <c r="A301" s="157" t="s">
        <v>369</v>
      </c>
      <c r="B301" s="158" t="s">
        <v>1088</v>
      </c>
      <c r="C301" s="158" t="s">
        <v>611</v>
      </c>
      <c r="D301" s="158" t="s">
        <v>1092</v>
      </c>
      <c r="E301" s="159" t="s">
        <v>613</v>
      </c>
      <c r="F301" s="160" t="s">
        <v>15</v>
      </c>
      <c r="G301" s="160"/>
      <c r="H301" s="159" t="s">
        <v>283</v>
      </c>
      <c r="I301" s="161">
        <v>9894.6</v>
      </c>
      <c r="J301" s="161"/>
      <c r="K301" s="162" t="s">
        <v>8</v>
      </c>
      <c r="L301" s="163">
        <v>8385922.7999999998</v>
      </c>
    </row>
    <row r="302" spans="1:12" ht="71.400000000000006" x14ac:dyDescent="0.3">
      <c r="A302" s="157" t="s">
        <v>369</v>
      </c>
      <c r="B302" s="158" t="s">
        <v>1088</v>
      </c>
      <c r="C302" s="158" t="s">
        <v>611</v>
      </c>
      <c r="D302" s="158" t="s">
        <v>1092</v>
      </c>
      <c r="E302" s="159" t="s">
        <v>613</v>
      </c>
      <c r="F302" s="160" t="s">
        <v>15</v>
      </c>
      <c r="G302" s="160"/>
      <c r="H302" s="159" t="s">
        <v>283</v>
      </c>
      <c r="I302" s="161">
        <v>98920.7</v>
      </c>
      <c r="J302" s="161"/>
      <c r="K302" s="162" t="s">
        <v>8</v>
      </c>
      <c r="L302" s="163">
        <v>8287002.0999999996</v>
      </c>
    </row>
    <row r="303" spans="1:12" ht="71.400000000000006" x14ac:dyDescent="0.3">
      <c r="A303" s="157" t="s">
        <v>369</v>
      </c>
      <c r="B303" s="158" t="s">
        <v>1088</v>
      </c>
      <c r="C303" s="158" t="s">
        <v>611</v>
      </c>
      <c r="D303" s="158" t="s">
        <v>1089</v>
      </c>
      <c r="E303" s="159" t="s">
        <v>613</v>
      </c>
      <c r="F303" s="160" t="s">
        <v>15</v>
      </c>
      <c r="G303" s="160"/>
      <c r="H303" s="159" t="s">
        <v>283</v>
      </c>
      <c r="I303" s="161">
        <v>9894.6</v>
      </c>
      <c r="J303" s="161"/>
      <c r="K303" s="162" t="s">
        <v>8</v>
      </c>
      <c r="L303" s="163">
        <v>8277107.5</v>
      </c>
    </row>
    <row r="304" spans="1:12" ht="71.400000000000006" x14ac:dyDescent="0.3">
      <c r="A304" s="157" t="s">
        <v>369</v>
      </c>
      <c r="B304" s="158" t="s">
        <v>1088</v>
      </c>
      <c r="C304" s="158" t="s">
        <v>611</v>
      </c>
      <c r="D304" s="158" t="s">
        <v>1093</v>
      </c>
      <c r="E304" s="159" t="s">
        <v>613</v>
      </c>
      <c r="F304" s="160" t="s">
        <v>15</v>
      </c>
      <c r="G304" s="160"/>
      <c r="H304" s="159" t="s">
        <v>283</v>
      </c>
      <c r="I304" s="161">
        <v>108818.75</v>
      </c>
      <c r="J304" s="161"/>
      <c r="K304" s="162" t="s">
        <v>8</v>
      </c>
      <c r="L304" s="163">
        <v>8168288.75</v>
      </c>
    </row>
    <row r="305" spans="1:12" ht="71.400000000000006" x14ac:dyDescent="0.3">
      <c r="A305" s="157" t="s">
        <v>369</v>
      </c>
      <c r="B305" s="158" t="s">
        <v>1088</v>
      </c>
      <c r="C305" s="158" t="s">
        <v>611</v>
      </c>
      <c r="D305" s="158" t="s">
        <v>1093</v>
      </c>
      <c r="E305" s="159" t="s">
        <v>613</v>
      </c>
      <c r="F305" s="160" t="s">
        <v>15</v>
      </c>
      <c r="G305" s="160"/>
      <c r="H305" s="159" t="s">
        <v>283</v>
      </c>
      <c r="I305" s="161">
        <v>10041.799999999999</v>
      </c>
      <c r="J305" s="161"/>
      <c r="K305" s="162" t="s">
        <v>8</v>
      </c>
      <c r="L305" s="163">
        <v>8158246.9500000002</v>
      </c>
    </row>
    <row r="306" spans="1:12" ht="71.400000000000006" x14ac:dyDescent="0.3">
      <c r="A306" s="157" t="s">
        <v>369</v>
      </c>
      <c r="B306" s="158" t="s">
        <v>1088</v>
      </c>
      <c r="C306" s="158" t="s">
        <v>611</v>
      </c>
      <c r="D306" s="158" t="s">
        <v>1092</v>
      </c>
      <c r="E306" s="159" t="s">
        <v>613</v>
      </c>
      <c r="F306" s="160" t="s">
        <v>15</v>
      </c>
      <c r="G306" s="160"/>
      <c r="H306" s="159" t="s">
        <v>283</v>
      </c>
      <c r="I306" s="161">
        <v>10149.9</v>
      </c>
      <c r="J306" s="161"/>
      <c r="K306" s="162" t="s">
        <v>8</v>
      </c>
      <c r="L306" s="163">
        <v>8148097.0499999998</v>
      </c>
    </row>
    <row r="307" spans="1:12" ht="71.400000000000006" x14ac:dyDescent="0.3">
      <c r="A307" s="157" t="s">
        <v>369</v>
      </c>
      <c r="B307" s="158" t="s">
        <v>1088</v>
      </c>
      <c r="C307" s="158" t="s">
        <v>611</v>
      </c>
      <c r="D307" s="158" t="s">
        <v>1090</v>
      </c>
      <c r="E307" s="159" t="s">
        <v>613</v>
      </c>
      <c r="F307" s="160" t="s">
        <v>15</v>
      </c>
      <c r="G307" s="160"/>
      <c r="H307" s="159" t="s">
        <v>283</v>
      </c>
      <c r="I307" s="161">
        <v>22498.6</v>
      </c>
      <c r="J307" s="161"/>
      <c r="K307" s="162" t="s">
        <v>8</v>
      </c>
      <c r="L307" s="163">
        <v>8125598.4500000002</v>
      </c>
    </row>
    <row r="308" spans="1:12" ht="71.400000000000006" x14ac:dyDescent="0.3">
      <c r="A308" s="157" t="s">
        <v>369</v>
      </c>
      <c r="B308" s="158" t="s">
        <v>1088</v>
      </c>
      <c r="C308" s="158" t="s">
        <v>611</v>
      </c>
      <c r="D308" s="158" t="s">
        <v>1091</v>
      </c>
      <c r="E308" s="159" t="s">
        <v>613</v>
      </c>
      <c r="F308" s="160" t="s">
        <v>15</v>
      </c>
      <c r="G308" s="160"/>
      <c r="H308" s="159" t="s">
        <v>283</v>
      </c>
      <c r="I308" s="161">
        <v>22498.6</v>
      </c>
      <c r="J308" s="161"/>
      <c r="K308" s="162" t="s">
        <v>8</v>
      </c>
      <c r="L308" s="163">
        <v>8103099.8499999996</v>
      </c>
    </row>
    <row r="309" spans="1:12" ht="71.400000000000006" x14ac:dyDescent="0.3">
      <c r="A309" s="157" t="s">
        <v>369</v>
      </c>
      <c r="B309" s="158" t="s">
        <v>1088</v>
      </c>
      <c r="C309" s="158" t="s">
        <v>611</v>
      </c>
      <c r="D309" s="158" t="s">
        <v>1092</v>
      </c>
      <c r="E309" s="159" t="s">
        <v>613</v>
      </c>
      <c r="F309" s="160" t="s">
        <v>15</v>
      </c>
      <c r="G309" s="160"/>
      <c r="H309" s="159" t="s">
        <v>283</v>
      </c>
      <c r="I309" s="161">
        <v>146244.35</v>
      </c>
      <c r="J309" s="161"/>
      <c r="K309" s="162" t="s">
        <v>8</v>
      </c>
      <c r="L309" s="163">
        <v>7956855.5</v>
      </c>
    </row>
    <row r="310" spans="1:12" ht="71.400000000000006" x14ac:dyDescent="0.3">
      <c r="A310" s="157" t="s">
        <v>369</v>
      </c>
      <c r="B310" s="158" t="s">
        <v>1088</v>
      </c>
      <c r="C310" s="158" t="s">
        <v>611</v>
      </c>
      <c r="D310" s="158" t="s">
        <v>1092</v>
      </c>
      <c r="E310" s="159" t="s">
        <v>613</v>
      </c>
      <c r="F310" s="160" t="s">
        <v>15</v>
      </c>
      <c r="G310" s="160"/>
      <c r="H310" s="159" t="s">
        <v>283</v>
      </c>
      <c r="I310" s="161">
        <v>67496.95</v>
      </c>
      <c r="J310" s="161"/>
      <c r="K310" s="162" t="s">
        <v>8</v>
      </c>
      <c r="L310" s="163">
        <v>7889358.5499999998</v>
      </c>
    </row>
    <row r="311" spans="1:12" ht="71.400000000000006" x14ac:dyDescent="0.3">
      <c r="A311" s="157" t="s">
        <v>369</v>
      </c>
      <c r="B311" s="158" t="s">
        <v>1088</v>
      </c>
      <c r="C311" s="158" t="s">
        <v>611</v>
      </c>
      <c r="D311" s="158" t="s">
        <v>1093</v>
      </c>
      <c r="E311" s="159" t="s">
        <v>613</v>
      </c>
      <c r="F311" s="160" t="s">
        <v>15</v>
      </c>
      <c r="G311" s="160"/>
      <c r="H311" s="159" t="s">
        <v>283</v>
      </c>
      <c r="I311" s="161">
        <v>146244.35</v>
      </c>
      <c r="J311" s="161"/>
      <c r="K311" s="162" t="s">
        <v>8</v>
      </c>
      <c r="L311" s="163">
        <v>7743114.2000000002</v>
      </c>
    </row>
    <row r="312" spans="1:12" ht="71.400000000000006" x14ac:dyDescent="0.3">
      <c r="A312" s="157" t="s">
        <v>369</v>
      </c>
      <c r="B312" s="158" t="s">
        <v>1088</v>
      </c>
      <c r="C312" s="158" t="s">
        <v>611</v>
      </c>
      <c r="D312" s="158" t="s">
        <v>1094</v>
      </c>
      <c r="E312" s="159" t="s">
        <v>613</v>
      </c>
      <c r="F312" s="160" t="s">
        <v>15</v>
      </c>
      <c r="G312" s="160"/>
      <c r="H312" s="159" t="s">
        <v>283</v>
      </c>
      <c r="I312" s="161">
        <v>19540.8</v>
      </c>
      <c r="J312" s="161"/>
      <c r="K312" s="162" t="s">
        <v>8</v>
      </c>
      <c r="L312" s="163">
        <v>7723573.4000000004</v>
      </c>
    </row>
    <row r="313" spans="1:12" ht="71.400000000000006" x14ac:dyDescent="0.3">
      <c r="A313" s="157" t="s">
        <v>369</v>
      </c>
      <c r="B313" s="158" t="s">
        <v>1088</v>
      </c>
      <c r="C313" s="158" t="s">
        <v>611</v>
      </c>
      <c r="D313" s="158" t="s">
        <v>1094</v>
      </c>
      <c r="E313" s="159" t="s">
        <v>613</v>
      </c>
      <c r="F313" s="160" t="s">
        <v>15</v>
      </c>
      <c r="G313" s="160"/>
      <c r="H313" s="159" t="s">
        <v>283</v>
      </c>
      <c r="I313" s="161">
        <v>23611.8</v>
      </c>
      <c r="J313" s="161"/>
      <c r="K313" s="162" t="s">
        <v>8</v>
      </c>
      <c r="L313" s="163">
        <v>7699961.5999999996</v>
      </c>
    </row>
    <row r="314" spans="1:12" ht="71.400000000000006" x14ac:dyDescent="0.3">
      <c r="A314" s="157" t="s">
        <v>369</v>
      </c>
      <c r="B314" s="158" t="s">
        <v>1088</v>
      </c>
      <c r="C314" s="158" t="s">
        <v>611</v>
      </c>
      <c r="D314" s="158" t="s">
        <v>1094</v>
      </c>
      <c r="E314" s="159" t="s">
        <v>613</v>
      </c>
      <c r="F314" s="160" t="s">
        <v>15</v>
      </c>
      <c r="G314" s="160"/>
      <c r="H314" s="159" t="s">
        <v>283</v>
      </c>
      <c r="I314" s="161">
        <v>102589.2</v>
      </c>
      <c r="J314" s="161"/>
      <c r="K314" s="162" t="s">
        <v>8</v>
      </c>
      <c r="L314" s="163">
        <v>7597372.4000000004</v>
      </c>
    </row>
    <row r="315" spans="1:12" ht="71.400000000000006" x14ac:dyDescent="0.3">
      <c r="A315" s="157" t="s">
        <v>369</v>
      </c>
      <c r="B315" s="158" t="s">
        <v>1088</v>
      </c>
      <c r="C315" s="158" t="s">
        <v>611</v>
      </c>
      <c r="D315" s="158" t="s">
        <v>1094</v>
      </c>
      <c r="E315" s="159" t="s">
        <v>613</v>
      </c>
      <c r="F315" s="160" t="s">
        <v>15</v>
      </c>
      <c r="G315" s="160"/>
      <c r="H315" s="159" t="s">
        <v>283</v>
      </c>
      <c r="I315" s="161">
        <v>38267.4</v>
      </c>
      <c r="J315" s="161"/>
      <c r="K315" s="162" t="s">
        <v>8</v>
      </c>
      <c r="L315" s="163">
        <v>7559105</v>
      </c>
    </row>
    <row r="316" spans="1:12" ht="71.400000000000006" x14ac:dyDescent="0.3">
      <c r="A316" s="157" t="s">
        <v>369</v>
      </c>
      <c r="B316" s="158" t="s">
        <v>1088</v>
      </c>
      <c r="C316" s="158" t="s">
        <v>611</v>
      </c>
      <c r="D316" s="158" t="s">
        <v>1094</v>
      </c>
      <c r="E316" s="159" t="s">
        <v>613</v>
      </c>
      <c r="F316" s="160" t="s">
        <v>15</v>
      </c>
      <c r="G316" s="160"/>
      <c r="H316" s="159" t="s">
        <v>283</v>
      </c>
      <c r="I316" s="161">
        <v>6513.6</v>
      </c>
      <c r="J316" s="161"/>
      <c r="K316" s="162" t="s">
        <v>8</v>
      </c>
      <c r="L316" s="163">
        <v>7552591.4000000004</v>
      </c>
    </row>
    <row r="317" spans="1:12" ht="61.2" x14ac:dyDescent="0.3">
      <c r="A317" s="157" t="s">
        <v>369</v>
      </c>
      <c r="B317" s="158" t="s">
        <v>1088</v>
      </c>
      <c r="C317" s="158" t="s">
        <v>611</v>
      </c>
      <c r="D317" s="158" t="s">
        <v>1095</v>
      </c>
      <c r="E317" s="159" t="s">
        <v>613</v>
      </c>
      <c r="F317" s="160" t="s">
        <v>15</v>
      </c>
      <c r="G317" s="160"/>
      <c r="H317" s="159" t="s">
        <v>283</v>
      </c>
      <c r="I317" s="161">
        <v>2975</v>
      </c>
      <c r="J317" s="161"/>
      <c r="K317" s="162" t="s">
        <v>8</v>
      </c>
      <c r="L317" s="163">
        <v>7549616.4000000004</v>
      </c>
    </row>
    <row r="318" spans="1:12" ht="61.2" x14ac:dyDescent="0.3">
      <c r="A318" s="157" t="s">
        <v>369</v>
      </c>
      <c r="B318" s="158" t="s">
        <v>1088</v>
      </c>
      <c r="C318" s="158" t="s">
        <v>611</v>
      </c>
      <c r="D318" s="158" t="s">
        <v>1096</v>
      </c>
      <c r="E318" s="159" t="s">
        <v>613</v>
      </c>
      <c r="F318" s="160" t="s">
        <v>15</v>
      </c>
      <c r="G318" s="160"/>
      <c r="H318" s="159" t="s">
        <v>283</v>
      </c>
      <c r="I318" s="164">
        <v>875</v>
      </c>
      <c r="J318" s="164"/>
      <c r="K318" s="162" t="s">
        <v>8</v>
      </c>
      <c r="L318" s="163">
        <v>7548741.4000000004</v>
      </c>
    </row>
    <row r="319" spans="1:12" ht="71.400000000000006" x14ac:dyDescent="0.3">
      <c r="A319" s="157" t="s">
        <v>369</v>
      </c>
      <c r="B319" s="158" t="s">
        <v>1088</v>
      </c>
      <c r="C319" s="158" t="s">
        <v>611</v>
      </c>
      <c r="D319" s="158" t="s">
        <v>1097</v>
      </c>
      <c r="E319" s="159" t="s">
        <v>613</v>
      </c>
      <c r="F319" s="160" t="s">
        <v>15</v>
      </c>
      <c r="G319" s="160"/>
      <c r="H319" s="159" t="s">
        <v>283</v>
      </c>
      <c r="I319" s="161">
        <v>7475</v>
      </c>
      <c r="J319" s="161"/>
      <c r="K319" s="162" t="s">
        <v>8</v>
      </c>
      <c r="L319" s="163">
        <v>7541266.4000000004</v>
      </c>
    </row>
    <row r="320" spans="1:12" ht="71.400000000000006" x14ac:dyDescent="0.3">
      <c r="A320" s="157" t="s">
        <v>369</v>
      </c>
      <c r="B320" s="158" t="s">
        <v>1088</v>
      </c>
      <c r="C320" s="158" t="s">
        <v>611</v>
      </c>
      <c r="D320" s="158" t="s">
        <v>1098</v>
      </c>
      <c r="E320" s="159" t="s">
        <v>613</v>
      </c>
      <c r="F320" s="160" t="s">
        <v>15</v>
      </c>
      <c r="G320" s="160"/>
      <c r="H320" s="159" t="s">
        <v>283</v>
      </c>
      <c r="I320" s="164">
        <v>975</v>
      </c>
      <c r="J320" s="164"/>
      <c r="K320" s="162" t="s">
        <v>8</v>
      </c>
      <c r="L320" s="163">
        <v>7540291.4000000004</v>
      </c>
    </row>
    <row r="321" spans="1:12" ht="61.2" x14ac:dyDescent="0.3">
      <c r="A321" s="157" t="s">
        <v>369</v>
      </c>
      <c r="B321" s="158" t="s">
        <v>1088</v>
      </c>
      <c r="C321" s="158" t="s">
        <v>611</v>
      </c>
      <c r="D321" s="158" t="s">
        <v>1099</v>
      </c>
      <c r="E321" s="159" t="s">
        <v>613</v>
      </c>
      <c r="F321" s="160" t="s">
        <v>15</v>
      </c>
      <c r="G321" s="160"/>
      <c r="H321" s="159" t="s">
        <v>283</v>
      </c>
      <c r="I321" s="161">
        <v>1208</v>
      </c>
      <c r="J321" s="161"/>
      <c r="K321" s="162" t="s">
        <v>8</v>
      </c>
      <c r="L321" s="163">
        <v>7539083.4000000004</v>
      </c>
    </row>
    <row r="322" spans="1:12" ht="61.2" x14ac:dyDescent="0.3">
      <c r="A322" s="157" t="s">
        <v>369</v>
      </c>
      <c r="B322" s="158" t="s">
        <v>1088</v>
      </c>
      <c r="C322" s="158" t="s">
        <v>611</v>
      </c>
      <c r="D322" s="158" t="s">
        <v>1100</v>
      </c>
      <c r="E322" s="159" t="s">
        <v>613</v>
      </c>
      <c r="F322" s="160" t="s">
        <v>15</v>
      </c>
      <c r="G322" s="160"/>
      <c r="H322" s="159" t="s">
        <v>283</v>
      </c>
      <c r="I322" s="161">
        <v>8456</v>
      </c>
      <c r="J322" s="161"/>
      <c r="K322" s="162" t="s">
        <v>8</v>
      </c>
      <c r="L322" s="163">
        <v>7530627.4000000004</v>
      </c>
    </row>
    <row r="323" spans="1:12" ht="71.400000000000006" x14ac:dyDescent="0.3">
      <c r="A323" s="157" t="s">
        <v>369</v>
      </c>
      <c r="B323" s="158" t="s">
        <v>1088</v>
      </c>
      <c r="C323" s="158" t="s">
        <v>611</v>
      </c>
      <c r="D323" s="158" t="s">
        <v>1101</v>
      </c>
      <c r="E323" s="159" t="s">
        <v>613</v>
      </c>
      <c r="F323" s="160" t="s">
        <v>15</v>
      </c>
      <c r="G323" s="160"/>
      <c r="H323" s="159" t="s">
        <v>283</v>
      </c>
      <c r="I323" s="161">
        <v>23172.5</v>
      </c>
      <c r="J323" s="161"/>
      <c r="K323" s="162" t="s">
        <v>8</v>
      </c>
      <c r="L323" s="163">
        <v>7507454.9000000004</v>
      </c>
    </row>
    <row r="324" spans="1:12" ht="71.400000000000006" x14ac:dyDescent="0.3">
      <c r="A324" s="157" t="s">
        <v>369</v>
      </c>
      <c r="B324" s="158" t="s">
        <v>1088</v>
      </c>
      <c r="C324" s="158" t="s">
        <v>611</v>
      </c>
      <c r="D324" s="158" t="s">
        <v>1102</v>
      </c>
      <c r="E324" s="159" t="s">
        <v>613</v>
      </c>
      <c r="F324" s="160" t="s">
        <v>15</v>
      </c>
      <c r="G324" s="160"/>
      <c r="H324" s="159" t="s">
        <v>283</v>
      </c>
      <c r="I324" s="161">
        <v>359929.3</v>
      </c>
      <c r="J324" s="161"/>
      <c r="K324" s="162" t="s">
        <v>8</v>
      </c>
      <c r="L324" s="163">
        <v>7147525.5999999996</v>
      </c>
    </row>
    <row r="325" spans="1:12" ht="71.400000000000006" x14ac:dyDescent="0.3">
      <c r="A325" s="157" t="s">
        <v>369</v>
      </c>
      <c r="B325" s="158" t="s">
        <v>1088</v>
      </c>
      <c r="C325" s="158" t="s">
        <v>611</v>
      </c>
      <c r="D325" s="158" t="s">
        <v>1102</v>
      </c>
      <c r="E325" s="159" t="s">
        <v>613</v>
      </c>
      <c r="F325" s="160" t="s">
        <v>15</v>
      </c>
      <c r="G325" s="160"/>
      <c r="H325" s="159" t="s">
        <v>283</v>
      </c>
      <c r="I325" s="161">
        <v>59353.8</v>
      </c>
      <c r="J325" s="161"/>
      <c r="K325" s="162" t="s">
        <v>8</v>
      </c>
      <c r="L325" s="163">
        <v>7088171.7999999998</v>
      </c>
    </row>
    <row r="326" spans="1:12" ht="71.400000000000006" x14ac:dyDescent="0.3">
      <c r="A326" s="157" t="s">
        <v>369</v>
      </c>
      <c r="B326" s="158" t="s">
        <v>1088</v>
      </c>
      <c r="C326" s="158" t="s">
        <v>611</v>
      </c>
      <c r="D326" s="158" t="s">
        <v>868</v>
      </c>
      <c r="E326" s="159" t="s">
        <v>613</v>
      </c>
      <c r="F326" s="160" t="s">
        <v>15</v>
      </c>
      <c r="G326" s="160"/>
      <c r="H326" s="159" t="s">
        <v>283</v>
      </c>
      <c r="I326" s="161">
        <v>35257.18</v>
      </c>
      <c r="J326" s="161"/>
      <c r="K326" s="162" t="s">
        <v>8</v>
      </c>
      <c r="L326" s="163">
        <v>7052914.6200000001</v>
      </c>
    </row>
    <row r="327" spans="1:12" ht="71.400000000000006" x14ac:dyDescent="0.3">
      <c r="A327" s="157" t="s">
        <v>369</v>
      </c>
      <c r="B327" s="158" t="s">
        <v>1088</v>
      </c>
      <c r="C327" s="158" t="s">
        <v>611</v>
      </c>
      <c r="D327" s="158" t="s">
        <v>870</v>
      </c>
      <c r="E327" s="159" t="s">
        <v>613</v>
      </c>
      <c r="F327" s="160" t="s">
        <v>15</v>
      </c>
      <c r="G327" s="160"/>
      <c r="H327" s="159" t="s">
        <v>283</v>
      </c>
      <c r="I327" s="161">
        <v>6759.98</v>
      </c>
      <c r="J327" s="161"/>
      <c r="K327" s="162" t="s">
        <v>8</v>
      </c>
      <c r="L327" s="163">
        <v>7046154.6399999997</v>
      </c>
    </row>
    <row r="328" spans="1:12" ht="71.400000000000006" x14ac:dyDescent="0.3">
      <c r="A328" s="157" t="s">
        <v>369</v>
      </c>
      <c r="B328" s="158" t="s">
        <v>1088</v>
      </c>
      <c r="C328" s="158" t="s">
        <v>611</v>
      </c>
      <c r="D328" s="158" t="s">
        <v>868</v>
      </c>
      <c r="E328" s="159" t="s">
        <v>613</v>
      </c>
      <c r="F328" s="160" t="s">
        <v>15</v>
      </c>
      <c r="G328" s="160"/>
      <c r="H328" s="159" t="s">
        <v>283</v>
      </c>
      <c r="I328" s="161">
        <v>45348.19</v>
      </c>
      <c r="J328" s="161"/>
      <c r="K328" s="162" t="s">
        <v>8</v>
      </c>
      <c r="L328" s="163">
        <v>7000806.4500000002</v>
      </c>
    </row>
    <row r="329" spans="1:12" ht="61.2" hidden="1" x14ac:dyDescent="0.3">
      <c r="A329" s="157" t="s">
        <v>369</v>
      </c>
      <c r="B329" s="158" t="s">
        <v>1103</v>
      </c>
      <c r="C329" s="158" t="s">
        <v>1104</v>
      </c>
      <c r="D329" s="158" t="s">
        <v>1105</v>
      </c>
      <c r="E329" s="159" t="s">
        <v>283</v>
      </c>
      <c r="F329" s="165">
        <v>87590</v>
      </c>
      <c r="G329" s="165"/>
      <c r="H329" s="159" t="s">
        <v>14</v>
      </c>
      <c r="I329" s="166" t="s">
        <v>15</v>
      </c>
      <c r="J329" s="166"/>
      <c r="K329" s="162" t="s">
        <v>8</v>
      </c>
      <c r="L329" s="163">
        <v>7088396.4500000002</v>
      </c>
    </row>
    <row r="330" spans="1:12" ht="61.2" hidden="1" x14ac:dyDescent="0.3">
      <c r="A330" s="157" t="s">
        <v>369</v>
      </c>
      <c r="B330" s="158" t="s">
        <v>1103</v>
      </c>
      <c r="C330" s="158" t="s">
        <v>1106</v>
      </c>
      <c r="D330" s="158" t="s">
        <v>1105</v>
      </c>
      <c r="E330" s="159" t="s">
        <v>283</v>
      </c>
      <c r="F330" s="165">
        <v>5532</v>
      </c>
      <c r="G330" s="165"/>
      <c r="H330" s="159" t="s">
        <v>14</v>
      </c>
      <c r="I330" s="166" t="s">
        <v>15</v>
      </c>
      <c r="J330" s="166"/>
      <c r="K330" s="162" t="s">
        <v>8</v>
      </c>
      <c r="L330" s="163">
        <v>7093928.4500000002</v>
      </c>
    </row>
    <row r="331" spans="1:12" ht="61.2" hidden="1" x14ac:dyDescent="0.3">
      <c r="A331" s="157" t="s">
        <v>369</v>
      </c>
      <c r="B331" s="158" t="s">
        <v>1103</v>
      </c>
      <c r="C331" s="158" t="s">
        <v>1107</v>
      </c>
      <c r="D331" s="158" t="s">
        <v>1105</v>
      </c>
      <c r="E331" s="159" t="s">
        <v>283</v>
      </c>
      <c r="F331" s="165">
        <v>12825</v>
      </c>
      <c r="G331" s="165"/>
      <c r="H331" s="159" t="s">
        <v>14</v>
      </c>
      <c r="I331" s="166" t="s">
        <v>15</v>
      </c>
      <c r="J331" s="166"/>
      <c r="K331" s="162" t="s">
        <v>8</v>
      </c>
      <c r="L331" s="163">
        <v>7106753.4500000002</v>
      </c>
    </row>
    <row r="332" spans="1:12" ht="61.2" hidden="1" x14ac:dyDescent="0.3">
      <c r="A332" s="157" t="s">
        <v>369</v>
      </c>
      <c r="B332" s="158" t="s">
        <v>1108</v>
      </c>
      <c r="C332" s="158" t="s">
        <v>1109</v>
      </c>
      <c r="D332" s="158" t="s">
        <v>1105</v>
      </c>
      <c r="E332" s="159" t="s">
        <v>283</v>
      </c>
      <c r="F332" s="165">
        <v>85141.1</v>
      </c>
      <c r="G332" s="165"/>
      <c r="H332" s="159" t="s">
        <v>14</v>
      </c>
      <c r="I332" s="166" t="s">
        <v>15</v>
      </c>
      <c r="J332" s="166"/>
      <c r="K332" s="162" t="s">
        <v>8</v>
      </c>
      <c r="L332" s="163">
        <v>7191894.5499999998</v>
      </c>
    </row>
    <row r="333" spans="1:12" ht="61.2" hidden="1" x14ac:dyDescent="0.3">
      <c r="A333" s="157" t="s">
        <v>369</v>
      </c>
      <c r="B333" s="158" t="s">
        <v>1103</v>
      </c>
      <c r="C333" s="158" t="s">
        <v>1109</v>
      </c>
      <c r="D333" s="158" t="s">
        <v>1105</v>
      </c>
      <c r="E333" s="159" t="s">
        <v>283</v>
      </c>
      <c r="F333" s="165">
        <v>1737.9</v>
      </c>
      <c r="G333" s="165"/>
      <c r="H333" s="159" t="s">
        <v>14</v>
      </c>
      <c r="I333" s="166" t="s">
        <v>15</v>
      </c>
      <c r="J333" s="166"/>
      <c r="K333" s="162" t="s">
        <v>8</v>
      </c>
      <c r="L333" s="163">
        <v>7193632.4500000002</v>
      </c>
    </row>
    <row r="334" spans="1:12" ht="61.2" hidden="1" x14ac:dyDescent="0.3">
      <c r="A334" s="157" t="s">
        <v>369</v>
      </c>
      <c r="B334" s="158" t="s">
        <v>1108</v>
      </c>
      <c r="C334" s="158" t="s">
        <v>1110</v>
      </c>
      <c r="D334" s="158" t="s">
        <v>1105</v>
      </c>
      <c r="E334" s="159" t="s">
        <v>283</v>
      </c>
      <c r="F334" s="165">
        <v>4264</v>
      </c>
      <c r="G334" s="165"/>
      <c r="H334" s="159" t="s">
        <v>14</v>
      </c>
      <c r="I334" s="166" t="s">
        <v>15</v>
      </c>
      <c r="J334" s="166"/>
      <c r="K334" s="162" t="s">
        <v>8</v>
      </c>
      <c r="L334" s="163">
        <v>7197896.4500000002</v>
      </c>
    </row>
    <row r="335" spans="1:12" ht="61.2" hidden="1" x14ac:dyDescent="0.3">
      <c r="A335" s="157" t="s">
        <v>369</v>
      </c>
      <c r="B335" s="158" t="s">
        <v>1108</v>
      </c>
      <c r="C335" s="158" t="s">
        <v>1111</v>
      </c>
      <c r="D335" s="158" t="s">
        <v>1105</v>
      </c>
      <c r="E335" s="159" t="s">
        <v>283</v>
      </c>
      <c r="F335" s="165">
        <v>1230</v>
      </c>
      <c r="G335" s="165"/>
      <c r="H335" s="159" t="s">
        <v>14</v>
      </c>
      <c r="I335" s="166" t="s">
        <v>15</v>
      </c>
      <c r="J335" s="166"/>
      <c r="K335" s="162" t="s">
        <v>8</v>
      </c>
      <c r="L335" s="163">
        <v>7199126.4500000002</v>
      </c>
    </row>
    <row r="336" spans="1:12" ht="61.2" hidden="1" x14ac:dyDescent="0.3">
      <c r="A336" s="157" t="s">
        <v>369</v>
      </c>
      <c r="B336" s="158" t="s">
        <v>1108</v>
      </c>
      <c r="C336" s="158" t="s">
        <v>1112</v>
      </c>
      <c r="D336" s="158" t="s">
        <v>1105</v>
      </c>
      <c r="E336" s="159" t="s">
        <v>283</v>
      </c>
      <c r="F336" s="165">
        <v>1230</v>
      </c>
      <c r="G336" s="165"/>
      <c r="H336" s="159" t="s">
        <v>14</v>
      </c>
      <c r="I336" s="166" t="s">
        <v>15</v>
      </c>
      <c r="J336" s="166"/>
      <c r="K336" s="162" t="s">
        <v>8</v>
      </c>
      <c r="L336" s="163">
        <v>7200356.4500000002</v>
      </c>
    </row>
    <row r="337" spans="1:12" ht="61.2" hidden="1" x14ac:dyDescent="0.3">
      <c r="A337" s="157" t="s">
        <v>369</v>
      </c>
      <c r="B337" s="158" t="s">
        <v>1108</v>
      </c>
      <c r="C337" s="158" t="s">
        <v>1113</v>
      </c>
      <c r="D337" s="158" t="s">
        <v>1105</v>
      </c>
      <c r="E337" s="159" t="s">
        <v>283</v>
      </c>
      <c r="F337" s="165">
        <v>47403</v>
      </c>
      <c r="G337" s="165"/>
      <c r="H337" s="159" t="s">
        <v>14</v>
      </c>
      <c r="I337" s="166" t="s">
        <v>15</v>
      </c>
      <c r="J337" s="166"/>
      <c r="K337" s="162" t="s">
        <v>8</v>
      </c>
      <c r="L337" s="163">
        <v>7247759.4500000002</v>
      </c>
    </row>
    <row r="338" spans="1:12" ht="61.2" hidden="1" x14ac:dyDescent="0.3">
      <c r="A338" s="157" t="s">
        <v>369</v>
      </c>
      <c r="B338" s="158" t="s">
        <v>1108</v>
      </c>
      <c r="C338" s="158" t="s">
        <v>1114</v>
      </c>
      <c r="D338" s="158" t="s">
        <v>1105</v>
      </c>
      <c r="E338" s="159" t="s">
        <v>283</v>
      </c>
      <c r="F338" s="165">
        <v>9618</v>
      </c>
      <c r="G338" s="165"/>
      <c r="H338" s="159" t="s">
        <v>14</v>
      </c>
      <c r="I338" s="166" t="s">
        <v>15</v>
      </c>
      <c r="J338" s="166"/>
      <c r="K338" s="162" t="s">
        <v>8</v>
      </c>
      <c r="L338" s="163">
        <v>7257377.4500000002</v>
      </c>
    </row>
    <row r="339" spans="1:12" ht="61.2" hidden="1" x14ac:dyDescent="0.3">
      <c r="A339" s="157" t="s">
        <v>369</v>
      </c>
      <c r="B339" s="158" t="s">
        <v>1108</v>
      </c>
      <c r="C339" s="158" t="s">
        <v>1115</v>
      </c>
      <c r="D339" s="158" t="s">
        <v>1105</v>
      </c>
      <c r="E339" s="159" t="s">
        <v>283</v>
      </c>
      <c r="F339" s="165">
        <v>159556</v>
      </c>
      <c r="G339" s="165"/>
      <c r="H339" s="159" t="s">
        <v>14</v>
      </c>
      <c r="I339" s="166" t="s">
        <v>15</v>
      </c>
      <c r="J339" s="166"/>
      <c r="K339" s="162" t="s">
        <v>8</v>
      </c>
      <c r="L339" s="163">
        <v>7416933.4500000002</v>
      </c>
    </row>
    <row r="340" spans="1:12" ht="61.2" hidden="1" x14ac:dyDescent="0.3">
      <c r="A340" s="157" t="s">
        <v>369</v>
      </c>
      <c r="B340" s="158" t="s">
        <v>1108</v>
      </c>
      <c r="C340" s="158" t="s">
        <v>1116</v>
      </c>
      <c r="D340" s="158" t="s">
        <v>1105</v>
      </c>
      <c r="E340" s="159" t="s">
        <v>283</v>
      </c>
      <c r="F340" s="165">
        <v>4236</v>
      </c>
      <c r="G340" s="165"/>
      <c r="H340" s="159" t="s">
        <v>14</v>
      </c>
      <c r="I340" s="166" t="s">
        <v>15</v>
      </c>
      <c r="J340" s="166"/>
      <c r="K340" s="162" t="s">
        <v>8</v>
      </c>
      <c r="L340" s="163">
        <v>7421169.4500000002</v>
      </c>
    </row>
    <row r="341" spans="1:12" ht="61.2" hidden="1" x14ac:dyDescent="0.3">
      <c r="A341" s="157" t="s">
        <v>369</v>
      </c>
      <c r="B341" s="158" t="s">
        <v>1108</v>
      </c>
      <c r="C341" s="158" t="s">
        <v>1117</v>
      </c>
      <c r="D341" s="158" t="s">
        <v>1105</v>
      </c>
      <c r="E341" s="159" t="s">
        <v>283</v>
      </c>
      <c r="F341" s="165">
        <v>11480</v>
      </c>
      <c r="G341" s="165"/>
      <c r="H341" s="159" t="s">
        <v>14</v>
      </c>
      <c r="I341" s="166" t="s">
        <v>15</v>
      </c>
      <c r="J341" s="166"/>
      <c r="K341" s="162" t="s">
        <v>8</v>
      </c>
      <c r="L341" s="163">
        <v>7432649.4500000002</v>
      </c>
    </row>
    <row r="342" spans="1:12" ht="61.2" hidden="1" x14ac:dyDescent="0.3">
      <c r="A342" s="157" t="s">
        <v>369</v>
      </c>
      <c r="B342" s="158" t="s">
        <v>1108</v>
      </c>
      <c r="C342" s="158" t="s">
        <v>1118</v>
      </c>
      <c r="D342" s="158" t="s">
        <v>1105</v>
      </c>
      <c r="E342" s="159" t="s">
        <v>283</v>
      </c>
      <c r="F342" s="165">
        <v>497492</v>
      </c>
      <c r="G342" s="165"/>
      <c r="H342" s="159" t="s">
        <v>14</v>
      </c>
      <c r="I342" s="166" t="s">
        <v>15</v>
      </c>
      <c r="J342" s="166"/>
      <c r="K342" s="162" t="s">
        <v>8</v>
      </c>
      <c r="L342" s="163">
        <v>7930141.4500000002</v>
      </c>
    </row>
    <row r="343" spans="1:12" ht="61.2" hidden="1" x14ac:dyDescent="0.3">
      <c r="A343" s="157" t="s">
        <v>369</v>
      </c>
      <c r="B343" s="158" t="s">
        <v>1108</v>
      </c>
      <c r="C343" s="158" t="s">
        <v>1119</v>
      </c>
      <c r="D343" s="158" t="s">
        <v>1105</v>
      </c>
      <c r="E343" s="159" t="s">
        <v>283</v>
      </c>
      <c r="F343" s="165">
        <v>8980</v>
      </c>
      <c r="G343" s="165"/>
      <c r="H343" s="159" t="s">
        <v>14</v>
      </c>
      <c r="I343" s="166" t="s">
        <v>15</v>
      </c>
      <c r="J343" s="166"/>
      <c r="K343" s="162" t="s">
        <v>8</v>
      </c>
      <c r="L343" s="163">
        <v>7939121.4500000002</v>
      </c>
    </row>
    <row r="344" spans="1:12" ht="61.2" hidden="1" x14ac:dyDescent="0.3">
      <c r="A344" s="157" t="s">
        <v>369</v>
      </c>
      <c r="B344" s="158" t="s">
        <v>1108</v>
      </c>
      <c r="C344" s="158" t="s">
        <v>1120</v>
      </c>
      <c r="D344" s="158" t="s">
        <v>1105</v>
      </c>
      <c r="E344" s="159" t="s">
        <v>283</v>
      </c>
      <c r="F344" s="165">
        <v>366120</v>
      </c>
      <c r="G344" s="165"/>
      <c r="H344" s="159" t="s">
        <v>14</v>
      </c>
      <c r="I344" s="166" t="s">
        <v>15</v>
      </c>
      <c r="J344" s="166"/>
      <c r="K344" s="162" t="s">
        <v>8</v>
      </c>
      <c r="L344" s="163">
        <v>8305241.4500000002</v>
      </c>
    </row>
    <row r="345" spans="1:12" ht="61.2" hidden="1" x14ac:dyDescent="0.3">
      <c r="A345" s="157" t="s">
        <v>369</v>
      </c>
      <c r="B345" s="158" t="s">
        <v>1108</v>
      </c>
      <c r="C345" s="158" t="s">
        <v>1121</v>
      </c>
      <c r="D345" s="158" t="s">
        <v>1105</v>
      </c>
      <c r="E345" s="159" t="s">
        <v>283</v>
      </c>
      <c r="F345" s="165">
        <v>9555</v>
      </c>
      <c r="G345" s="165"/>
      <c r="H345" s="159" t="s">
        <v>14</v>
      </c>
      <c r="I345" s="166" t="s">
        <v>15</v>
      </c>
      <c r="J345" s="166"/>
      <c r="K345" s="162" t="s">
        <v>8</v>
      </c>
      <c r="L345" s="163">
        <v>8314796.4500000002</v>
      </c>
    </row>
    <row r="346" spans="1:12" ht="61.2" hidden="1" x14ac:dyDescent="0.3">
      <c r="A346" s="157" t="s">
        <v>369</v>
      </c>
      <c r="B346" s="158" t="s">
        <v>1108</v>
      </c>
      <c r="C346" s="158" t="s">
        <v>1122</v>
      </c>
      <c r="D346" s="158" t="s">
        <v>1105</v>
      </c>
      <c r="E346" s="159" t="s">
        <v>283</v>
      </c>
      <c r="F346" s="165">
        <v>551152</v>
      </c>
      <c r="G346" s="165"/>
      <c r="H346" s="159" t="s">
        <v>14</v>
      </c>
      <c r="I346" s="166" t="s">
        <v>15</v>
      </c>
      <c r="J346" s="166"/>
      <c r="K346" s="162" t="s">
        <v>8</v>
      </c>
      <c r="L346" s="163">
        <v>8865948.4499999993</v>
      </c>
    </row>
    <row r="347" spans="1:12" ht="61.2" hidden="1" x14ac:dyDescent="0.3">
      <c r="A347" s="157" t="s">
        <v>369</v>
      </c>
      <c r="B347" s="158" t="s">
        <v>1108</v>
      </c>
      <c r="C347" s="158" t="s">
        <v>1123</v>
      </c>
      <c r="D347" s="158" t="s">
        <v>1105</v>
      </c>
      <c r="E347" s="159" t="s">
        <v>283</v>
      </c>
      <c r="F347" s="165">
        <v>7784</v>
      </c>
      <c r="G347" s="165"/>
      <c r="H347" s="159" t="s">
        <v>14</v>
      </c>
      <c r="I347" s="166" t="s">
        <v>15</v>
      </c>
      <c r="J347" s="166"/>
      <c r="K347" s="162" t="s">
        <v>8</v>
      </c>
      <c r="L347" s="163">
        <v>8873732.4499999993</v>
      </c>
    </row>
    <row r="348" spans="1:12" ht="61.2" hidden="1" x14ac:dyDescent="0.3">
      <c r="A348" s="157" t="s">
        <v>369</v>
      </c>
      <c r="B348" s="158" t="s">
        <v>1108</v>
      </c>
      <c r="C348" s="158" t="s">
        <v>1124</v>
      </c>
      <c r="D348" s="158" t="s">
        <v>1105</v>
      </c>
      <c r="E348" s="159" t="s">
        <v>283</v>
      </c>
      <c r="F348" s="165">
        <v>3724</v>
      </c>
      <c r="G348" s="165"/>
      <c r="H348" s="159" t="s">
        <v>14</v>
      </c>
      <c r="I348" s="166" t="s">
        <v>15</v>
      </c>
      <c r="J348" s="166"/>
      <c r="K348" s="162" t="s">
        <v>8</v>
      </c>
      <c r="L348" s="163">
        <v>8877456.4499999993</v>
      </c>
    </row>
    <row r="349" spans="1:12" ht="61.2" hidden="1" x14ac:dyDescent="0.3">
      <c r="A349" s="157" t="s">
        <v>369</v>
      </c>
      <c r="B349" s="158" t="s">
        <v>1108</v>
      </c>
      <c r="C349" s="158" t="s">
        <v>1125</v>
      </c>
      <c r="D349" s="158" t="s">
        <v>1105</v>
      </c>
      <c r="E349" s="159" t="s">
        <v>283</v>
      </c>
      <c r="F349" s="165">
        <v>303144</v>
      </c>
      <c r="G349" s="165"/>
      <c r="H349" s="159" t="s">
        <v>14</v>
      </c>
      <c r="I349" s="166" t="s">
        <v>15</v>
      </c>
      <c r="J349" s="166"/>
      <c r="K349" s="162" t="s">
        <v>8</v>
      </c>
      <c r="L349" s="163">
        <v>9180600.4499999993</v>
      </c>
    </row>
    <row r="350" spans="1:12" ht="61.2" hidden="1" x14ac:dyDescent="0.3">
      <c r="A350" s="157" t="s">
        <v>369</v>
      </c>
      <c r="B350" s="158" t="s">
        <v>1108</v>
      </c>
      <c r="C350" s="158" t="s">
        <v>1126</v>
      </c>
      <c r="D350" s="158" t="s">
        <v>1105</v>
      </c>
      <c r="E350" s="159" t="s">
        <v>283</v>
      </c>
      <c r="F350" s="165">
        <v>15384</v>
      </c>
      <c r="G350" s="165"/>
      <c r="H350" s="159" t="s">
        <v>14</v>
      </c>
      <c r="I350" s="166" t="s">
        <v>15</v>
      </c>
      <c r="J350" s="166"/>
      <c r="K350" s="162" t="s">
        <v>8</v>
      </c>
      <c r="L350" s="163">
        <v>9195984.4499999993</v>
      </c>
    </row>
    <row r="351" spans="1:12" ht="61.2" hidden="1" x14ac:dyDescent="0.3">
      <c r="A351" s="157" t="s">
        <v>369</v>
      </c>
      <c r="B351" s="158" t="s">
        <v>1108</v>
      </c>
      <c r="C351" s="158" t="s">
        <v>1127</v>
      </c>
      <c r="D351" s="158" t="s">
        <v>1105</v>
      </c>
      <c r="E351" s="159" t="s">
        <v>283</v>
      </c>
      <c r="F351" s="165">
        <v>143469</v>
      </c>
      <c r="G351" s="165"/>
      <c r="H351" s="159" t="s">
        <v>14</v>
      </c>
      <c r="I351" s="166" t="s">
        <v>15</v>
      </c>
      <c r="J351" s="166"/>
      <c r="K351" s="162" t="s">
        <v>8</v>
      </c>
      <c r="L351" s="163">
        <v>9339453.4499999993</v>
      </c>
    </row>
    <row r="352" spans="1:12" ht="61.2" hidden="1" x14ac:dyDescent="0.3">
      <c r="A352" s="157" t="s">
        <v>369</v>
      </c>
      <c r="B352" s="158" t="s">
        <v>1108</v>
      </c>
      <c r="C352" s="158" t="s">
        <v>1128</v>
      </c>
      <c r="D352" s="158" t="s">
        <v>1105</v>
      </c>
      <c r="E352" s="159" t="s">
        <v>283</v>
      </c>
      <c r="F352" s="165">
        <v>7491</v>
      </c>
      <c r="G352" s="165"/>
      <c r="H352" s="159" t="s">
        <v>14</v>
      </c>
      <c r="I352" s="166" t="s">
        <v>15</v>
      </c>
      <c r="J352" s="166"/>
      <c r="K352" s="162" t="s">
        <v>8</v>
      </c>
      <c r="L352" s="163">
        <v>9346944.4499999993</v>
      </c>
    </row>
    <row r="353" spans="1:12" ht="61.2" hidden="1" x14ac:dyDescent="0.3">
      <c r="A353" s="157" t="s">
        <v>369</v>
      </c>
      <c r="B353" s="158" t="s">
        <v>1108</v>
      </c>
      <c r="C353" s="158" t="s">
        <v>1129</v>
      </c>
      <c r="D353" s="158" t="s">
        <v>1105</v>
      </c>
      <c r="E353" s="159" t="s">
        <v>283</v>
      </c>
      <c r="F353" s="165">
        <v>359261</v>
      </c>
      <c r="G353" s="165"/>
      <c r="H353" s="159" t="s">
        <v>14</v>
      </c>
      <c r="I353" s="166" t="s">
        <v>15</v>
      </c>
      <c r="J353" s="166"/>
      <c r="K353" s="162" t="s">
        <v>8</v>
      </c>
      <c r="L353" s="163">
        <v>9706205.4499999993</v>
      </c>
    </row>
    <row r="354" spans="1:12" ht="61.2" hidden="1" x14ac:dyDescent="0.3">
      <c r="A354" s="157" t="s">
        <v>369</v>
      </c>
      <c r="B354" s="158" t="s">
        <v>1108</v>
      </c>
      <c r="C354" s="158" t="s">
        <v>1130</v>
      </c>
      <c r="D354" s="158" t="s">
        <v>1105</v>
      </c>
      <c r="E354" s="159" t="s">
        <v>283</v>
      </c>
      <c r="F354" s="165">
        <v>6038</v>
      </c>
      <c r="G354" s="165"/>
      <c r="H354" s="159" t="s">
        <v>14</v>
      </c>
      <c r="I354" s="166" t="s">
        <v>15</v>
      </c>
      <c r="J354" s="166"/>
      <c r="K354" s="162" t="s">
        <v>8</v>
      </c>
      <c r="L354" s="163">
        <v>9712243.4499999993</v>
      </c>
    </row>
    <row r="355" spans="1:12" ht="61.2" hidden="1" x14ac:dyDescent="0.3">
      <c r="A355" s="157" t="s">
        <v>369</v>
      </c>
      <c r="B355" s="158" t="s">
        <v>1108</v>
      </c>
      <c r="C355" s="158" t="s">
        <v>1131</v>
      </c>
      <c r="D355" s="158" t="s">
        <v>1105</v>
      </c>
      <c r="E355" s="159" t="s">
        <v>283</v>
      </c>
      <c r="F355" s="165">
        <v>292488</v>
      </c>
      <c r="G355" s="165"/>
      <c r="H355" s="159" t="s">
        <v>14</v>
      </c>
      <c r="I355" s="166" t="s">
        <v>15</v>
      </c>
      <c r="J355" s="166"/>
      <c r="K355" s="162" t="s">
        <v>8</v>
      </c>
      <c r="L355" s="163">
        <v>10004731.449999999</v>
      </c>
    </row>
    <row r="356" spans="1:12" ht="61.2" hidden="1" x14ac:dyDescent="0.3">
      <c r="A356" s="157" t="s">
        <v>369</v>
      </c>
      <c r="B356" s="158" t="s">
        <v>1108</v>
      </c>
      <c r="C356" s="158" t="s">
        <v>1132</v>
      </c>
      <c r="D356" s="158" t="s">
        <v>1105</v>
      </c>
      <c r="E356" s="159" t="s">
        <v>283</v>
      </c>
      <c r="F356" s="165">
        <v>102784</v>
      </c>
      <c r="G356" s="165"/>
      <c r="H356" s="159" t="s">
        <v>14</v>
      </c>
      <c r="I356" s="166" t="s">
        <v>15</v>
      </c>
      <c r="J356" s="166"/>
      <c r="K356" s="162" t="s">
        <v>8</v>
      </c>
      <c r="L356" s="163">
        <v>10107515.449999999</v>
      </c>
    </row>
    <row r="357" spans="1:12" ht="61.2" hidden="1" x14ac:dyDescent="0.3">
      <c r="A357" s="157" t="s">
        <v>369</v>
      </c>
      <c r="B357" s="158" t="s">
        <v>1108</v>
      </c>
      <c r="C357" s="158" t="s">
        <v>1133</v>
      </c>
      <c r="D357" s="158" t="s">
        <v>1105</v>
      </c>
      <c r="E357" s="159" t="s">
        <v>283</v>
      </c>
      <c r="F357" s="165">
        <v>129129</v>
      </c>
      <c r="G357" s="165"/>
      <c r="H357" s="159" t="s">
        <v>14</v>
      </c>
      <c r="I357" s="166" t="s">
        <v>15</v>
      </c>
      <c r="J357" s="166"/>
      <c r="K357" s="162" t="s">
        <v>8</v>
      </c>
      <c r="L357" s="163">
        <v>10236644.449999999</v>
      </c>
    </row>
    <row r="358" spans="1:12" ht="61.2" hidden="1" x14ac:dyDescent="0.3">
      <c r="A358" s="157" t="s">
        <v>369</v>
      </c>
      <c r="B358" s="158" t="s">
        <v>1108</v>
      </c>
      <c r="C358" s="158" t="s">
        <v>1134</v>
      </c>
      <c r="D358" s="158" t="s">
        <v>1105</v>
      </c>
      <c r="E358" s="159" t="s">
        <v>283</v>
      </c>
      <c r="F358" s="165">
        <v>7097</v>
      </c>
      <c r="G358" s="165"/>
      <c r="H358" s="159" t="s">
        <v>14</v>
      </c>
      <c r="I358" s="166" t="s">
        <v>15</v>
      </c>
      <c r="J358" s="166"/>
      <c r="K358" s="162" t="s">
        <v>8</v>
      </c>
      <c r="L358" s="163">
        <v>10243741.449999999</v>
      </c>
    </row>
    <row r="359" spans="1:12" ht="61.2" hidden="1" x14ac:dyDescent="0.3">
      <c r="A359" s="157" t="s">
        <v>369</v>
      </c>
      <c r="B359" s="158" t="s">
        <v>1108</v>
      </c>
      <c r="C359" s="158" t="s">
        <v>1135</v>
      </c>
      <c r="D359" s="158" t="s">
        <v>1105</v>
      </c>
      <c r="E359" s="159" t="s">
        <v>283</v>
      </c>
      <c r="F359" s="165">
        <v>8282</v>
      </c>
      <c r="G359" s="165"/>
      <c r="H359" s="159" t="s">
        <v>14</v>
      </c>
      <c r="I359" s="166" t="s">
        <v>15</v>
      </c>
      <c r="J359" s="166"/>
      <c r="K359" s="162" t="s">
        <v>8</v>
      </c>
      <c r="L359" s="163">
        <v>10252023.449999999</v>
      </c>
    </row>
    <row r="360" spans="1:12" ht="61.2" hidden="1" x14ac:dyDescent="0.3">
      <c r="A360" s="157" t="s">
        <v>369</v>
      </c>
      <c r="B360" s="158" t="s">
        <v>1108</v>
      </c>
      <c r="C360" s="158" t="s">
        <v>1136</v>
      </c>
      <c r="D360" s="158" t="s">
        <v>1105</v>
      </c>
      <c r="E360" s="159" t="s">
        <v>283</v>
      </c>
      <c r="F360" s="165">
        <v>3333</v>
      </c>
      <c r="G360" s="165"/>
      <c r="H360" s="159" t="s">
        <v>14</v>
      </c>
      <c r="I360" s="166" t="s">
        <v>15</v>
      </c>
      <c r="J360" s="166"/>
      <c r="K360" s="162" t="s">
        <v>8</v>
      </c>
      <c r="L360" s="163">
        <v>10255356.449999999</v>
      </c>
    </row>
    <row r="361" spans="1:12" ht="61.2" x14ac:dyDescent="0.3">
      <c r="A361" s="157" t="s">
        <v>369</v>
      </c>
      <c r="B361" s="158" t="s">
        <v>1137</v>
      </c>
      <c r="C361" s="158" t="s">
        <v>611</v>
      </c>
      <c r="D361" s="158" t="s">
        <v>1104</v>
      </c>
      <c r="E361" s="159" t="s">
        <v>613</v>
      </c>
      <c r="F361" s="160" t="s">
        <v>15</v>
      </c>
      <c r="G361" s="160"/>
      <c r="H361" s="159" t="s">
        <v>283</v>
      </c>
      <c r="I361" s="161">
        <v>87590</v>
      </c>
      <c r="J361" s="161"/>
      <c r="K361" s="162" t="s">
        <v>8</v>
      </c>
      <c r="L361" s="163">
        <v>10167766.449999999</v>
      </c>
    </row>
    <row r="362" spans="1:12" ht="61.2" x14ac:dyDescent="0.3">
      <c r="A362" s="157" t="s">
        <v>369</v>
      </c>
      <c r="B362" s="158" t="s">
        <v>1137</v>
      </c>
      <c r="C362" s="158" t="s">
        <v>611</v>
      </c>
      <c r="D362" s="158" t="s">
        <v>1106</v>
      </c>
      <c r="E362" s="159" t="s">
        <v>613</v>
      </c>
      <c r="F362" s="160" t="s">
        <v>15</v>
      </c>
      <c r="G362" s="160"/>
      <c r="H362" s="159" t="s">
        <v>283</v>
      </c>
      <c r="I362" s="161">
        <v>5532</v>
      </c>
      <c r="J362" s="161"/>
      <c r="K362" s="162" t="s">
        <v>8</v>
      </c>
      <c r="L362" s="163">
        <v>10162234.449999999</v>
      </c>
    </row>
    <row r="363" spans="1:12" ht="61.2" x14ac:dyDescent="0.3">
      <c r="A363" s="157" t="s">
        <v>369</v>
      </c>
      <c r="B363" s="158" t="s">
        <v>1137</v>
      </c>
      <c r="C363" s="158" t="s">
        <v>611</v>
      </c>
      <c r="D363" s="158" t="s">
        <v>1107</v>
      </c>
      <c r="E363" s="159" t="s">
        <v>613</v>
      </c>
      <c r="F363" s="160" t="s">
        <v>15</v>
      </c>
      <c r="G363" s="160"/>
      <c r="H363" s="159" t="s">
        <v>283</v>
      </c>
      <c r="I363" s="161">
        <v>12825</v>
      </c>
      <c r="J363" s="161"/>
      <c r="K363" s="162" t="s">
        <v>8</v>
      </c>
      <c r="L363" s="163">
        <v>10149409.449999999</v>
      </c>
    </row>
    <row r="364" spans="1:12" ht="61.2" x14ac:dyDescent="0.3">
      <c r="A364" s="157" t="s">
        <v>369</v>
      </c>
      <c r="B364" s="158" t="s">
        <v>1137</v>
      </c>
      <c r="C364" s="158" t="s">
        <v>611</v>
      </c>
      <c r="D364" s="158" t="s">
        <v>1109</v>
      </c>
      <c r="E364" s="159" t="s">
        <v>613</v>
      </c>
      <c r="F364" s="160" t="s">
        <v>15</v>
      </c>
      <c r="G364" s="160"/>
      <c r="H364" s="159" t="s">
        <v>283</v>
      </c>
      <c r="I364" s="161">
        <v>86879</v>
      </c>
      <c r="J364" s="161"/>
      <c r="K364" s="162" t="s">
        <v>8</v>
      </c>
      <c r="L364" s="163">
        <v>10062530.449999999</v>
      </c>
    </row>
    <row r="365" spans="1:12" ht="61.2" x14ac:dyDescent="0.3">
      <c r="A365" s="157" t="s">
        <v>369</v>
      </c>
      <c r="B365" s="158" t="s">
        <v>1137</v>
      </c>
      <c r="C365" s="158" t="s">
        <v>611</v>
      </c>
      <c r="D365" s="158" t="s">
        <v>1110</v>
      </c>
      <c r="E365" s="159" t="s">
        <v>613</v>
      </c>
      <c r="F365" s="160" t="s">
        <v>15</v>
      </c>
      <c r="G365" s="160"/>
      <c r="H365" s="159" t="s">
        <v>283</v>
      </c>
      <c r="I365" s="161">
        <v>4264</v>
      </c>
      <c r="J365" s="161"/>
      <c r="K365" s="162" t="s">
        <v>8</v>
      </c>
      <c r="L365" s="163">
        <v>10058266.449999999</v>
      </c>
    </row>
    <row r="366" spans="1:12" ht="61.2" x14ac:dyDescent="0.3">
      <c r="A366" s="157" t="s">
        <v>369</v>
      </c>
      <c r="B366" s="158" t="s">
        <v>1137</v>
      </c>
      <c r="C366" s="158" t="s">
        <v>611</v>
      </c>
      <c r="D366" s="158" t="s">
        <v>1111</v>
      </c>
      <c r="E366" s="159" t="s">
        <v>613</v>
      </c>
      <c r="F366" s="160" t="s">
        <v>15</v>
      </c>
      <c r="G366" s="160"/>
      <c r="H366" s="159" t="s">
        <v>283</v>
      </c>
      <c r="I366" s="161">
        <v>1230</v>
      </c>
      <c r="J366" s="161"/>
      <c r="K366" s="162" t="s">
        <v>8</v>
      </c>
      <c r="L366" s="163">
        <v>10057036.449999999</v>
      </c>
    </row>
    <row r="367" spans="1:12" ht="61.2" x14ac:dyDescent="0.3">
      <c r="A367" s="157" t="s">
        <v>369</v>
      </c>
      <c r="B367" s="158" t="s">
        <v>1137</v>
      </c>
      <c r="C367" s="158" t="s">
        <v>611</v>
      </c>
      <c r="D367" s="158" t="s">
        <v>1112</v>
      </c>
      <c r="E367" s="159" t="s">
        <v>613</v>
      </c>
      <c r="F367" s="160" t="s">
        <v>15</v>
      </c>
      <c r="G367" s="160"/>
      <c r="H367" s="159" t="s">
        <v>283</v>
      </c>
      <c r="I367" s="161">
        <v>1230</v>
      </c>
      <c r="J367" s="161"/>
      <c r="K367" s="162" t="s">
        <v>8</v>
      </c>
      <c r="L367" s="163">
        <v>10055806.449999999</v>
      </c>
    </row>
    <row r="368" spans="1:12" ht="61.2" x14ac:dyDescent="0.3">
      <c r="A368" s="157" t="s">
        <v>369</v>
      </c>
      <c r="B368" s="158" t="s">
        <v>1137</v>
      </c>
      <c r="C368" s="158" t="s">
        <v>611</v>
      </c>
      <c r="D368" s="158" t="s">
        <v>1113</v>
      </c>
      <c r="E368" s="159" t="s">
        <v>613</v>
      </c>
      <c r="F368" s="160" t="s">
        <v>15</v>
      </c>
      <c r="G368" s="160"/>
      <c r="H368" s="159" t="s">
        <v>283</v>
      </c>
      <c r="I368" s="161">
        <v>47403</v>
      </c>
      <c r="J368" s="161"/>
      <c r="K368" s="162" t="s">
        <v>8</v>
      </c>
      <c r="L368" s="163">
        <v>10008403.449999999</v>
      </c>
    </row>
    <row r="369" spans="1:12" ht="61.2" x14ac:dyDescent="0.3">
      <c r="A369" s="157" t="s">
        <v>369</v>
      </c>
      <c r="B369" s="158" t="s">
        <v>1137</v>
      </c>
      <c r="C369" s="158" t="s">
        <v>611</v>
      </c>
      <c r="D369" s="158" t="s">
        <v>1114</v>
      </c>
      <c r="E369" s="159" t="s">
        <v>613</v>
      </c>
      <c r="F369" s="160" t="s">
        <v>15</v>
      </c>
      <c r="G369" s="160"/>
      <c r="H369" s="159" t="s">
        <v>283</v>
      </c>
      <c r="I369" s="161">
        <v>9618</v>
      </c>
      <c r="J369" s="161"/>
      <c r="K369" s="162" t="s">
        <v>8</v>
      </c>
      <c r="L369" s="163">
        <v>9998785.4499999993</v>
      </c>
    </row>
    <row r="370" spans="1:12" ht="61.2" x14ac:dyDescent="0.3">
      <c r="A370" s="157" t="s">
        <v>369</v>
      </c>
      <c r="B370" s="158" t="s">
        <v>1137</v>
      </c>
      <c r="C370" s="158" t="s">
        <v>611</v>
      </c>
      <c r="D370" s="158" t="s">
        <v>1115</v>
      </c>
      <c r="E370" s="159" t="s">
        <v>613</v>
      </c>
      <c r="F370" s="160" t="s">
        <v>15</v>
      </c>
      <c r="G370" s="160"/>
      <c r="H370" s="159" t="s">
        <v>283</v>
      </c>
      <c r="I370" s="161">
        <v>159556</v>
      </c>
      <c r="J370" s="161"/>
      <c r="K370" s="162" t="s">
        <v>8</v>
      </c>
      <c r="L370" s="163">
        <v>9839229.4499999993</v>
      </c>
    </row>
    <row r="371" spans="1:12" ht="61.2" x14ac:dyDescent="0.3">
      <c r="A371" s="157" t="s">
        <v>369</v>
      </c>
      <c r="B371" s="158" t="s">
        <v>1137</v>
      </c>
      <c r="C371" s="158" t="s">
        <v>611</v>
      </c>
      <c r="D371" s="158" t="s">
        <v>1116</v>
      </c>
      <c r="E371" s="159" t="s">
        <v>613</v>
      </c>
      <c r="F371" s="160" t="s">
        <v>15</v>
      </c>
      <c r="G371" s="160"/>
      <c r="H371" s="159" t="s">
        <v>283</v>
      </c>
      <c r="I371" s="161">
        <v>4236</v>
      </c>
      <c r="J371" s="161"/>
      <c r="K371" s="162" t="s">
        <v>8</v>
      </c>
      <c r="L371" s="163">
        <v>9834993.4499999993</v>
      </c>
    </row>
    <row r="372" spans="1:12" ht="61.2" x14ac:dyDescent="0.3">
      <c r="A372" s="157" t="s">
        <v>369</v>
      </c>
      <c r="B372" s="158" t="s">
        <v>1137</v>
      </c>
      <c r="C372" s="158" t="s">
        <v>611</v>
      </c>
      <c r="D372" s="158" t="s">
        <v>1117</v>
      </c>
      <c r="E372" s="159" t="s">
        <v>613</v>
      </c>
      <c r="F372" s="160" t="s">
        <v>15</v>
      </c>
      <c r="G372" s="160"/>
      <c r="H372" s="159" t="s">
        <v>283</v>
      </c>
      <c r="I372" s="161">
        <v>11480</v>
      </c>
      <c r="J372" s="161"/>
      <c r="K372" s="162" t="s">
        <v>8</v>
      </c>
      <c r="L372" s="163">
        <v>9823513.4499999993</v>
      </c>
    </row>
    <row r="373" spans="1:12" ht="61.2" x14ac:dyDescent="0.3">
      <c r="A373" s="157" t="s">
        <v>369</v>
      </c>
      <c r="B373" s="158" t="s">
        <v>1137</v>
      </c>
      <c r="C373" s="158" t="s">
        <v>611</v>
      </c>
      <c r="D373" s="158" t="s">
        <v>1118</v>
      </c>
      <c r="E373" s="159" t="s">
        <v>613</v>
      </c>
      <c r="F373" s="160" t="s">
        <v>15</v>
      </c>
      <c r="G373" s="160"/>
      <c r="H373" s="159" t="s">
        <v>283</v>
      </c>
      <c r="I373" s="161">
        <v>497492</v>
      </c>
      <c r="J373" s="161"/>
      <c r="K373" s="162" t="s">
        <v>8</v>
      </c>
      <c r="L373" s="163">
        <v>9326021.4499999993</v>
      </c>
    </row>
    <row r="374" spans="1:12" ht="61.2" x14ac:dyDescent="0.3">
      <c r="A374" s="157" t="s">
        <v>369</v>
      </c>
      <c r="B374" s="158" t="s">
        <v>1137</v>
      </c>
      <c r="C374" s="158" t="s">
        <v>611</v>
      </c>
      <c r="D374" s="158" t="s">
        <v>1119</v>
      </c>
      <c r="E374" s="159" t="s">
        <v>613</v>
      </c>
      <c r="F374" s="160" t="s">
        <v>15</v>
      </c>
      <c r="G374" s="160"/>
      <c r="H374" s="159" t="s">
        <v>283</v>
      </c>
      <c r="I374" s="161">
        <v>8980</v>
      </c>
      <c r="J374" s="161"/>
      <c r="K374" s="162" t="s">
        <v>8</v>
      </c>
      <c r="L374" s="163">
        <v>9317041.4499999993</v>
      </c>
    </row>
    <row r="375" spans="1:12" ht="61.2" x14ac:dyDescent="0.3">
      <c r="A375" s="157" t="s">
        <v>369</v>
      </c>
      <c r="B375" s="158" t="s">
        <v>1137</v>
      </c>
      <c r="C375" s="158" t="s">
        <v>611</v>
      </c>
      <c r="D375" s="158" t="s">
        <v>1120</v>
      </c>
      <c r="E375" s="159" t="s">
        <v>613</v>
      </c>
      <c r="F375" s="160" t="s">
        <v>15</v>
      </c>
      <c r="G375" s="160"/>
      <c r="H375" s="159" t="s">
        <v>283</v>
      </c>
      <c r="I375" s="161">
        <v>366120</v>
      </c>
      <c r="J375" s="161"/>
      <c r="K375" s="162" t="s">
        <v>8</v>
      </c>
      <c r="L375" s="163">
        <v>8950921.4499999993</v>
      </c>
    </row>
    <row r="376" spans="1:12" ht="61.2" x14ac:dyDescent="0.3">
      <c r="A376" s="157" t="s">
        <v>369</v>
      </c>
      <c r="B376" s="158" t="s">
        <v>1137</v>
      </c>
      <c r="C376" s="158" t="s">
        <v>611</v>
      </c>
      <c r="D376" s="158" t="s">
        <v>1121</v>
      </c>
      <c r="E376" s="159" t="s">
        <v>613</v>
      </c>
      <c r="F376" s="160" t="s">
        <v>15</v>
      </c>
      <c r="G376" s="160"/>
      <c r="H376" s="159" t="s">
        <v>283</v>
      </c>
      <c r="I376" s="161">
        <v>9555</v>
      </c>
      <c r="J376" s="161"/>
      <c r="K376" s="162" t="s">
        <v>8</v>
      </c>
      <c r="L376" s="163">
        <v>8941366.4499999993</v>
      </c>
    </row>
    <row r="377" spans="1:12" ht="61.2" x14ac:dyDescent="0.3">
      <c r="A377" s="157" t="s">
        <v>369</v>
      </c>
      <c r="B377" s="158" t="s">
        <v>1137</v>
      </c>
      <c r="C377" s="158" t="s">
        <v>611</v>
      </c>
      <c r="D377" s="158" t="s">
        <v>1122</v>
      </c>
      <c r="E377" s="159" t="s">
        <v>613</v>
      </c>
      <c r="F377" s="160" t="s">
        <v>15</v>
      </c>
      <c r="G377" s="160"/>
      <c r="H377" s="159" t="s">
        <v>283</v>
      </c>
      <c r="I377" s="161">
        <v>551152</v>
      </c>
      <c r="J377" s="161"/>
      <c r="K377" s="162" t="s">
        <v>8</v>
      </c>
      <c r="L377" s="163">
        <v>8390214.4499999993</v>
      </c>
    </row>
    <row r="378" spans="1:12" ht="61.2" x14ac:dyDescent="0.3">
      <c r="A378" s="157" t="s">
        <v>369</v>
      </c>
      <c r="B378" s="158" t="s">
        <v>1137</v>
      </c>
      <c r="C378" s="158" t="s">
        <v>611</v>
      </c>
      <c r="D378" s="158" t="s">
        <v>1123</v>
      </c>
      <c r="E378" s="159" t="s">
        <v>613</v>
      </c>
      <c r="F378" s="160" t="s">
        <v>15</v>
      </c>
      <c r="G378" s="160"/>
      <c r="H378" s="159" t="s">
        <v>283</v>
      </c>
      <c r="I378" s="161">
        <v>7784</v>
      </c>
      <c r="J378" s="161"/>
      <c r="K378" s="162" t="s">
        <v>8</v>
      </c>
      <c r="L378" s="163">
        <v>8382430.4500000002</v>
      </c>
    </row>
    <row r="379" spans="1:12" ht="61.2" x14ac:dyDescent="0.3">
      <c r="A379" s="157" t="s">
        <v>369</v>
      </c>
      <c r="B379" s="158" t="s">
        <v>1137</v>
      </c>
      <c r="C379" s="158" t="s">
        <v>611</v>
      </c>
      <c r="D379" s="158" t="s">
        <v>1124</v>
      </c>
      <c r="E379" s="159" t="s">
        <v>613</v>
      </c>
      <c r="F379" s="160" t="s">
        <v>15</v>
      </c>
      <c r="G379" s="160"/>
      <c r="H379" s="159" t="s">
        <v>283</v>
      </c>
      <c r="I379" s="161">
        <v>3724</v>
      </c>
      <c r="J379" s="161"/>
      <c r="K379" s="162" t="s">
        <v>8</v>
      </c>
      <c r="L379" s="163">
        <v>8378706.4500000002</v>
      </c>
    </row>
    <row r="380" spans="1:12" ht="61.2" x14ac:dyDescent="0.3">
      <c r="A380" s="157" t="s">
        <v>369</v>
      </c>
      <c r="B380" s="158" t="s">
        <v>1137</v>
      </c>
      <c r="C380" s="158" t="s">
        <v>611</v>
      </c>
      <c r="D380" s="158" t="s">
        <v>1125</v>
      </c>
      <c r="E380" s="159" t="s">
        <v>613</v>
      </c>
      <c r="F380" s="160" t="s">
        <v>15</v>
      </c>
      <c r="G380" s="160"/>
      <c r="H380" s="159" t="s">
        <v>283</v>
      </c>
      <c r="I380" s="161">
        <v>303144</v>
      </c>
      <c r="J380" s="161"/>
      <c r="K380" s="162" t="s">
        <v>8</v>
      </c>
      <c r="L380" s="163">
        <v>8075562.4500000002</v>
      </c>
    </row>
    <row r="381" spans="1:12" ht="61.2" x14ac:dyDescent="0.3">
      <c r="A381" s="157" t="s">
        <v>369</v>
      </c>
      <c r="B381" s="158" t="s">
        <v>1137</v>
      </c>
      <c r="C381" s="158" t="s">
        <v>611</v>
      </c>
      <c r="D381" s="158" t="s">
        <v>1126</v>
      </c>
      <c r="E381" s="159" t="s">
        <v>613</v>
      </c>
      <c r="F381" s="160" t="s">
        <v>15</v>
      </c>
      <c r="G381" s="160"/>
      <c r="H381" s="159" t="s">
        <v>283</v>
      </c>
      <c r="I381" s="161">
        <v>15384</v>
      </c>
      <c r="J381" s="161"/>
      <c r="K381" s="162" t="s">
        <v>8</v>
      </c>
      <c r="L381" s="163">
        <v>8060178.4500000002</v>
      </c>
    </row>
    <row r="382" spans="1:12" ht="61.2" x14ac:dyDescent="0.3">
      <c r="A382" s="157" t="s">
        <v>369</v>
      </c>
      <c r="B382" s="158" t="s">
        <v>1137</v>
      </c>
      <c r="C382" s="158" t="s">
        <v>611</v>
      </c>
      <c r="D382" s="158" t="s">
        <v>1127</v>
      </c>
      <c r="E382" s="159" t="s">
        <v>613</v>
      </c>
      <c r="F382" s="160" t="s">
        <v>15</v>
      </c>
      <c r="G382" s="160"/>
      <c r="H382" s="159" t="s">
        <v>283</v>
      </c>
      <c r="I382" s="161">
        <v>143469</v>
      </c>
      <c r="J382" s="161"/>
      <c r="K382" s="162" t="s">
        <v>8</v>
      </c>
      <c r="L382" s="163">
        <v>7916709.4500000002</v>
      </c>
    </row>
    <row r="383" spans="1:12" ht="61.2" x14ac:dyDescent="0.3">
      <c r="A383" s="157" t="s">
        <v>369</v>
      </c>
      <c r="B383" s="158" t="s">
        <v>1137</v>
      </c>
      <c r="C383" s="158" t="s">
        <v>611</v>
      </c>
      <c r="D383" s="158" t="s">
        <v>1128</v>
      </c>
      <c r="E383" s="159" t="s">
        <v>613</v>
      </c>
      <c r="F383" s="160" t="s">
        <v>15</v>
      </c>
      <c r="G383" s="160"/>
      <c r="H383" s="159" t="s">
        <v>283</v>
      </c>
      <c r="I383" s="161">
        <v>7491</v>
      </c>
      <c r="J383" s="161"/>
      <c r="K383" s="162" t="s">
        <v>8</v>
      </c>
      <c r="L383" s="163">
        <v>7909218.4500000002</v>
      </c>
    </row>
    <row r="384" spans="1:12" ht="61.2" x14ac:dyDescent="0.3">
      <c r="A384" s="157" t="s">
        <v>369</v>
      </c>
      <c r="B384" s="158" t="s">
        <v>1137</v>
      </c>
      <c r="C384" s="158" t="s">
        <v>611</v>
      </c>
      <c r="D384" s="158" t="s">
        <v>1129</v>
      </c>
      <c r="E384" s="159" t="s">
        <v>613</v>
      </c>
      <c r="F384" s="160" t="s">
        <v>15</v>
      </c>
      <c r="G384" s="160"/>
      <c r="H384" s="159" t="s">
        <v>283</v>
      </c>
      <c r="I384" s="161">
        <v>359261</v>
      </c>
      <c r="J384" s="161"/>
      <c r="K384" s="162" t="s">
        <v>8</v>
      </c>
      <c r="L384" s="163">
        <v>7549957.4500000002</v>
      </c>
    </row>
    <row r="385" spans="1:12" ht="61.2" x14ac:dyDescent="0.3">
      <c r="A385" s="157" t="s">
        <v>369</v>
      </c>
      <c r="B385" s="158" t="s">
        <v>1137</v>
      </c>
      <c r="C385" s="158" t="s">
        <v>611</v>
      </c>
      <c r="D385" s="158" t="s">
        <v>1130</v>
      </c>
      <c r="E385" s="159" t="s">
        <v>613</v>
      </c>
      <c r="F385" s="160" t="s">
        <v>15</v>
      </c>
      <c r="G385" s="160"/>
      <c r="H385" s="159" t="s">
        <v>283</v>
      </c>
      <c r="I385" s="161">
        <v>6038</v>
      </c>
      <c r="J385" s="161"/>
      <c r="K385" s="162" t="s">
        <v>8</v>
      </c>
      <c r="L385" s="163">
        <v>7543919.4500000002</v>
      </c>
    </row>
    <row r="386" spans="1:12" ht="61.2" x14ac:dyDescent="0.3">
      <c r="A386" s="157" t="s">
        <v>369</v>
      </c>
      <c r="B386" s="158" t="s">
        <v>1137</v>
      </c>
      <c r="C386" s="158" t="s">
        <v>611</v>
      </c>
      <c r="D386" s="158" t="s">
        <v>1131</v>
      </c>
      <c r="E386" s="159" t="s">
        <v>613</v>
      </c>
      <c r="F386" s="160" t="s">
        <v>15</v>
      </c>
      <c r="G386" s="160"/>
      <c r="H386" s="159" t="s">
        <v>283</v>
      </c>
      <c r="I386" s="161">
        <v>292488</v>
      </c>
      <c r="J386" s="161"/>
      <c r="K386" s="162" t="s">
        <v>8</v>
      </c>
      <c r="L386" s="163">
        <v>7251431.4500000002</v>
      </c>
    </row>
    <row r="387" spans="1:12" ht="61.2" x14ac:dyDescent="0.3">
      <c r="A387" s="157" t="s">
        <v>369</v>
      </c>
      <c r="B387" s="158" t="s">
        <v>1137</v>
      </c>
      <c r="C387" s="158" t="s">
        <v>611</v>
      </c>
      <c r="D387" s="158" t="s">
        <v>1132</v>
      </c>
      <c r="E387" s="159" t="s">
        <v>613</v>
      </c>
      <c r="F387" s="160" t="s">
        <v>15</v>
      </c>
      <c r="G387" s="160"/>
      <c r="H387" s="159" t="s">
        <v>283</v>
      </c>
      <c r="I387" s="161">
        <v>102784</v>
      </c>
      <c r="J387" s="161"/>
      <c r="K387" s="162" t="s">
        <v>8</v>
      </c>
      <c r="L387" s="163">
        <v>7148647.4500000002</v>
      </c>
    </row>
    <row r="388" spans="1:12" ht="61.2" x14ac:dyDescent="0.3">
      <c r="A388" s="157" t="s">
        <v>369</v>
      </c>
      <c r="B388" s="158" t="s">
        <v>1137</v>
      </c>
      <c r="C388" s="158" t="s">
        <v>611</v>
      </c>
      <c r="D388" s="158" t="s">
        <v>1133</v>
      </c>
      <c r="E388" s="159" t="s">
        <v>613</v>
      </c>
      <c r="F388" s="160" t="s">
        <v>15</v>
      </c>
      <c r="G388" s="160"/>
      <c r="H388" s="159" t="s">
        <v>283</v>
      </c>
      <c r="I388" s="161">
        <v>129129</v>
      </c>
      <c r="J388" s="161"/>
      <c r="K388" s="162" t="s">
        <v>8</v>
      </c>
      <c r="L388" s="163">
        <v>7019518.4500000002</v>
      </c>
    </row>
    <row r="389" spans="1:12" ht="61.2" x14ac:dyDescent="0.3">
      <c r="A389" s="157" t="s">
        <v>369</v>
      </c>
      <c r="B389" s="158" t="s">
        <v>1137</v>
      </c>
      <c r="C389" s="158" t="s">
        <v>611</v>
      </c>
      <c r="D389" s="158" t="s">
        <v>1134</v>
      </c>
      <c r="E389" s="159" t="s">
        <v>613</v>
      </c>
      <c r="F389" s="160" t="s">
        <v>15</v>
      </c>
      <c r="G389" s="160"/>
      <c r="H389" s="159" t="s">
        <v>283</v>
      </c>
      <c r="I389" s="161">
        <v>7097</v>
      </c>
      <c r="J389" s="161"/>
      <c r="K389" s="162" t="s">
        <v>8</v>
      </c>
      <c r="L389" s="163">
        <v>7012421.4500000002</v>
      </c>
    </row>
    <row r="390" spans="1:12" ht="61.2" x14ac:dyDescent="0.3">
      <c r="A390" s="157" t="s">
        <v>369</v>
      </c>
      <c r="B390" s="158" t="s">
        <v>1137</v>
      </c>
      <c r="C390" s="158" t="s">
        <v>611</v>
      </c>
      <c r="D390" s="158" t="s">
        <v>1135</v>
      </c>
      <c r="E390" s="159" t="s">
        <v>613</v>
      </c>
      <c r="F390" s="160" t="s">
        <v>15</v>
      </c>
      <c r="G390" s="160"/>
      <c r="H390" s="159" t="s">
        <v>283</v>
      </c>
      <c r="I390" s="161">
        <v>8282</v>
      </c>
      <c r="J390" s="161"/>
      <c r="K390" s="162" t="s">
        <v>8</v>
      </c>
      <c r="L390" s="163">
        <v>7004139.4500000002</v>
      </c>
    </row>
    <row r="391" spans="1:12" ht="61.2" x14ac:dyDescent="0.3">
      <c r="A391" s="157" t="s">
        <v>369</v>
      </c>
      <c r="B391" s="158" t="s">
        <v>1137</v>
      </c>
      <c r="C391" s="158" t="s">
        <v>611</v>
      </c>
      <c r="D391" s="158" t="s">
        <v>1136</v>
      </c>
      <c r="E391" s="159" t="s">
        <v>613</v>
      </c>
      <c r="F391" s="160" t="s">
        <v>15</v>
      </c>
      <c r="G391" s="160"/>
      <c r="H391" s="159" t="s">
        <v>283</v>
      </c>
      <c r="I391" s="161">
        <v>3333</v>
      </c>
      <c r="J391" s="161"/>
      <c r="K391" s="162" t="s">
        <v>8</v>
      </c>
      <c r="L391" s="163">
        <v>7000806.4500000002</v>
      </c>
    </row>
    <row r="392" spans="1:12" ht="51" hidden="1" x14ac:dyDescent="0.3">
      <c r="A392" s="157" t="s">
        <v>369</v>
      </c>
      <c r="B392" s="158" t="s">
        <v>1138</v>
      </c>
      <c r="C392" s="158" t="s">
        <v>1139</v>
      </c>
      <c r="D392" s="158" t="s">
        <v>977</v>
      </c>
      <c r="E392" s="159" t="s">
        <v>283</v>
      </c>
      <c r="F392" s="165">
        <v>40880</v>
      </c>
      <c r="G392" s="165"/>
      <c r="H392" s="159" t="s">
        <v>14</v>
      </c>
      <c r="I392" s="166" t="s">
        <v>15</v>
      </c>
      <c r="J392" s="166"/>
      <c r="K392" s="162" t="s">
        <v>8</v>
      </c>
      <c r="L392" s="163">
        <v>145914.22</v>
      </c>
    </row>
    <row r="393" spans="1:12" ht="61.2" hidden="1" x14ac:dyDescent="0.3">
      <c r="A393" s="157" t="s">
        <v>369</v>
      </c>
      <c r="B393" s="158" t="s">
        <v>1140</v>
      </c>
      <c r="C393" s="158" t="s">
        <v>1141</v>
      </c>
      <c r="D393" s="158" t="s">
        <v>1142</v>
      </c>
      <c r="E393" s="159" t="s">
        <v>283</v>
      </c>
      <c r="F393" s="165">
        <v>13845</v>
      </c>
      <c r="G393" s="165"/>
      <c r="H393" s="159" t="s">
        <v>14</v>
      </c>
      <c r="I393" s="166" t="s">
        <v>15</v>
      </c>
      <c r="J393" s="166"/>
      <c r="K393" s="162" t="s">
        <v>8</v>
      </c>
      <c r="L393" s="163">
        <v>1321286.53</v>
      </c>
    </row>
    <row r="394" spans="1:12" ht="71.400000000000006" hidden="1" x14ac:dyDescent="0.3">
      <c r="A394" s="157" t="s">
        <v>369</v>
      </c>
      <c r="B394" s="158" t="s">
        <v>1143</v>
      </c>
      <c r="C394" s="158" t="s">
        <v>1144</v>
      </c>
      <c r="D394" s="158" t="s">
        <v>1145</v>
      </c>
      <c r="E394" s="159" t="s">
        <v>283</v>
      </c>
      <c r="F394" s="165">
        <v>20344.439999999999</v>
      </c>
      <c r="G394" s="165"/>
      <c r="H394" s="159" t="s">
        <v>14</v>
      </c>
      <c r="I394" s="166" t="s">
        <v>15</v>
      </c>
      <c r="J394" s="166"/>
      <c r="K394" s="162" t="s">
        <v>8</v>
      </c>
      <c r="L394" s="163">
        <v>2427555.48</v>
      </c>
    </row>
    <row r="395" spans="1:12" ht="81.599999999999994" hidden="1" x14ac:dyDescent="0.3">
      <c r="A395" s="157" t="s">
        <v>369</v>
      </c>
      <c r="B395" s="158" t="s">
        <v>1146</v>
      </c>
      <c r="C395" s="158" t="s">
        <v>1147</v>
      </c>
      <c r="D395" s="158" t="s">
        <v>1148</v>
      </c>
      <c r="E395" s="159" t="s">
        <v>283</v>
      </c>
      <c r="F395" s="165">
        <v>6678.7</v>
      </c>
      <c r="G395" s="165"/>
      <c r="H395" s="159" t="s">
        <v>14</v>
      </c>
      <c r="I395" s="166" t="s">
        <v>15</v>
      </c>
      <c r="J395" s="166"/>
      <c r="K395" s="162" t="s">
        <v>8</v>
      </c>
      <c r="L395" s="163">
        <v>440359.97</v>
      </c>
    </row>
    <row r="396" spans="1:12" ht="81.599999999999994" hidden="1" x14ac:dyDescent="0.3">
      <c r="A396" s="157" t="s">
        <v>369</v>
      </c>
      <c r="B396" s="158" t="s">
        <v>1146</v>
      </c>
      <c r="C396" s="158" t="s">
        <v>1149</v>
      </c>
      <c r="D396" s="158" t="s">
        <v>1148</v>
      </c>
      <c r="E396" s="159" t="s">
        <v>283</v>
      </c>
      <c r="F396" s="165">
        <v>6995.98</v>
      </c>
      <c r="G396" s="165"/>
      <c r="H396" s="159" t="s">
        <v>14</v>
      </c>
      <c r="I396" s="166" t="s">
        <v>15</v>
      </c>
      <c r="J396" s="166"/>
      <c r="K396" s="162" t="s">
        <v>8</v>
      </c>
      <c r="L396" s="163">
        <v>447355.95</v>
      </c>
    </row>
    <row r="397" spans="1:12" ht="81.599999999999994" hidden="1" x14ac:dyDescent="0.3">
      <c r="A397" s="157" t="s">
        <v>369</v>
      </c>
      <c r="B397" s="158" t="s">
        <v>1146</v>
      </c>
      <c r="C397" s="158" t="s">
        <v>1150</v>
      </c>
      <c r="D397" s="158" t="s">
        <v>1148</v>
      </c>
      <c r="E397" s="159" t="s">
        <v>283</v>
      </c>
      <c r="F397" s="165">
        <v>38913.35</v>
      </c>
      <c r="G397" s="165"/>
      <c r="H397" s="159" t="s">
        <v>14</v>
      </c>
      <c r="I397" s="166" t="s">
        <v>15</v>
      </c>
      <c r="J397" s="166"/>
      <c r="K397" s="162" t="s">
        <v>8</v>
      </c>
      <c r="L397" s="163">
        <v>486269.3</v>
      </c>
    </row>
    <row r="398" spans="1:12" ht="81.599999999999994" hidden="1" x14ac:dyDescent="0.3">
      <c r="A398" s="157" t="s">
        <v>369</v>
      </c>
      <c r="B398" s="158" t="s">
        <v>1146</v>
      </c>
      <c r="C398" s="158" t="s">
        <v>1151</v>
      </c>
      <c r="D398" s="158" t="s">
        <v>1148</v>
      </c>
      <c r="E398" s="159" t="s">
        <v>283</v>
      </c>
      <c r="F398" s="165">
        <v>83434.75</v>
      </c>
      <c r="G398" s="165"/>
      <c r="H398" s="159" t="s">
        <v>14</v>
      </c>
      <c r="I398" s="166" t="s">
        <v>15</v>
      </c>
      <c r="J398" s="166"/>
      <c r="K398" s="162" t="s">
        <v>8</v>
      </c>
      <c r="L398" s="163">
        <v>569704.05000000005</v>
      </c>
    </row>
    <row r="399" spans="1:12" ht="81.599999999999994" hidden="1" x14ac:dyDescent="0.3">
      <c r="A399" s="157" t="s">
        <v>369</v>
      </c>
      <c r="B399" s="158" t="s">
        <v>1146</v>
      </c>
      <c r="C399" s="158" t="s">
        <v>1152</v>
      </c>
      <c r="D399" s="158" t="s">
        <v>1148</v>
      </c>
      <c r="E399" s="159" t="s">
        <v>283</v>
      </c>
      <c r="F399" s="165">
        <v>36830.410000000003</v>
      </c>
      <c r="G399" s="165"/>
      <c r="H399" s="159" t="s">
        <v>14</v>
      </c>
      <c r="I399" s="166" t="s">
        <v>15</v>
      </c>
      <c r="J399" s="166"/>
      <c r="K399" s="162" t="s">
        <v>8</v>
      </c>
      <c r="L399" s="163">
        <v>606534.46</v>
      </c>
    </row>
    <row r="400" spans="1:12" ht="81.599999999999994" hidden="1" x14ac:dyDescent="0.3">
      <c r="A400" s="157" t="s">
        <v>369</v>
      </c>
      <c r="B400" s="158" t="s">
        <v>1146</v>
      </c>
      <c r="C400" s="158" t="s">
        <v>1153</v>
      </c>
      <c r="D400" s="158" t="s">
        <v>1148</v>
      </c>
      <c r="E400" s="159" t="s">
        <v>283</v>
      </c>
      <c r="F400" s="165">
        <v>59626.7</v>
      </c>
      <c r="G400" s="165"/>
      <c r="H400" s="159" t="s">
        <v>14</v>
      </c>
      <c r="I400" s="166" t="s">
        <v>15</v>
      </c>
      <c r="J400" s="166"/>
      <c r="K400" s="162" t="s">
        <v>8</v>
      </c>
      <c r="L400" s="163">
        <v>666161.16</v>
      </c>
    </row>
    <row r="401" spans="1:12" ht="81.599999999999994" hidden="1" x14ac:dyDescent="0.3">
      <c r="A401" s="157" t="s">
        <v>369</v>
      </c>
      <c r="B401" s="158" t="s">
        <v>1146</v>
      </c>
      <c r="C401" s="158" t="s">
        <v>1154</v>
      </c>
      <c r="D401" s="158" t="s">
        <v>1148</v>
      </c>
      <c r="E401" s="159" t="s">
        <v>283</v>
      </c>
      <c r="F401" s="165">
        <v>72769.37</v>
      </c>
      <c r="G401" s="165"/>
      <c r="H401" s="159" t="s">
        <v>14</v>
      </c>
      <c r="I401" s="166" t="s">
        <v>15</v>
      </c>
      <c r="J401" s="166"/>
      <c r="K401" s="162" t="s">
        <v>8</v>
      </c>
      <c r="L401" s="163">
        <v>738930.53</v>
      </c>
    </row>
    <row r="402" spans="1:12" ht="81.599999999999994" hidden="1" x14ac:dyDescent="0.3">
      <c r="A402" s="157" t="s">
        <v>369</v>
      </c>
      <c r="B402" s="158" t="s">
        <v>1146</v>
      </c>
      <c r="C402" s="158" t="s">
        <v>1155</v>
      </c>
      <c r="D402" s="158" t="s">
        <v>1148</v>
      </c>
      <c r="E402" s="159" t="s">
        <v>283</v>
      </c>
      <c r="F402" s="165">
        <v>7666.75</v>
      </c>
      <c r="G402" s="165"/>
      <c r="H402" s="159" t="s">
        <v>14</v>
      </c>
      <c r="I402" s="166" t="s">
        <v>15</v>
      </c>
      <c r="J402" s="166"/>
      <c r="K402" s="162" t="s">
        <v>8</v>
      </c>
      <c r="L402" s="163">
        <v>746597.28</v>
      </c>
    </row>
    <row r="403" spans="1:12" ht="81.599999999999994" hidden="1" x14ac:dyDescent="0.3">
      <c r="A403" s="157" t="s">
        <v>369</v>
      </c>
      <c r="B403" s="158" t="s">
        <v>1146</v>
      </c>
      <c r="C403" s="158" t="s">
        <v>1156</v>
      </c>
      <c r="D403" s="158" t="s">
        <v>1148</v>
      </c>
      <c r="E403" s="159" t="s">
        <v>283</v>
      </c>
      <c r="F403" s="165">
        <v>20199.84</v>
      </c>
      <c r="G403" s="165"/>
      <c r="H403" s="159" t="s">
        <v>14</v>
      </c>
      <c r="I403" s="166" t="s">
        <v>15</v>
      </c>
      <c r="J403" s="166"/>
      <c r="K403" s="162" t="s">
        <v>8</v>
      </c>
      <c r="L403" s="163">
        <v>766797.12</v>
      </c>
    </row>
    <row r="404" spans="1:12" ht="81.599999999999994" hidden="1" x14ac:dyDescent="0.3">
      <c r="A404" s="157" t="s">
        <v>369</v>
      </c>
      <c r="B404" s="158" t="s">
        <v>1146</v>
      </c>
      <c r="C404" s="158" t="s">
        <v>1157</v>
      </c>
      <c r="D404" s="158" t="s">
        <v>1148</v>
      </c>
      <c r="E404" s="159" t="s">
        <v>283</v>
      </c>
      <c r="F404" s="165">
        <v>13358.09</v>
      </c>
      <c r="G404" s="165"/>
      <c r="H404" s="159" t="s">
        <v>14</v>
      </c>
      <c r="I404" s="166" t="s">
        <v>15</v>
      </c>
      <c r="J404" s="166"/>
      <c r="K404" s="162" t="s">
        <v>8</v>
      </c>
      <c r="L404" s="163">
        <v>780155.21</v>
      </c>
    </row>
    <row r="405" spans="1:12" ht="81.599999999999994" hidden="1" x14ac:dyDescent="0.3">
      <c r="A405" s="157" t="s">
        <v>369</v>
      </c>
      <c r="B405" s="158" t="s">
        <v>1146</v>
      </c>
      <c r="C405" s="158" t="s">
        <v>1158</v>
      </c>
      <c r="D405" s="158" t="s">
        <v>1148</v>
      </c>
      <c r="E405" s="159" t="s">
        <v>283</v>
      </c>
      <c r="F405" s="165">
        <v>46469.14</v>
      </c>
      <c r="G405" s="165"/>
      <c r="H405" s="159" t="s">
        <v>14</v>
      </c>
      <c r="I405" s="166" t="s">
        <v>15</v>
      </c>
      <c r="J405" s="166"/>
      <c r="K405" s="162" t="s">
        <v>8</v>
      </c>
      <c r="L405" s="163">
        <v>826624.35</v>
      </c>
    </row>
    <row r="406" spans="1:12" ht="81.599999999999994" hidden="1" x14ac:dyDescent="0.3">
      <c r="A406" s="157" t="s">
        <v>369</v>
      </c>
      <c r="B406" s="158" t="s">
        <v>1146</v>
      </c>
      <c r="C406" s="158" t="s">
        <v>1159</v>
      </c>
      <c r="D406" s="158" t="s">
        <v>1148</v>
      </c>
      <c r="E406" s="159" t="s">
        <v>283</v>
      </c>
      <c r="F406" s="165">
        <v>4597.07</v>
      </c>
      <c r="G406" s="165"/>
      <c r="H406" s="159" t="s">
        <v>14</v>
      </c>
      <c r="I406" s="166" t="s">
        <v>15</v>
      </c>
      <c r="J406" s="166"/>
      <c r="K406" s="162" t="s">
        <v>8</v>
      </c>
      <c r="L406" s="163">
        <v>831221.42</v>
      </c>
    </row>
    <row r="407" spans="1:12" ht="81.599999999999994" hidden="1" x14ac:dyDescent="0.3">
      <c r="A407" s="157" t="s">
        <v>369</v>
      </c>
      <c r="B407" s="158" t="s">
        <v>1146</v>
      </c>
      <c r="C407" s="158" t="s">
        <v>1160</v>
      </c>
      <c r="D407" s="158" t="s">
        <v>1148</v>
      </c>
      <c r="E407" s="159" t="s">
        <v>283</v>
      </c>
      <c r="F407" s="165">
        <v>8112.48</v>
      </c>
      <c r="G407" s="165"/>
      <c r="H407" s="159" t="s">
        <v>14</v>
      </c>
      <c r="I407" s="166" t="s">
        <v>15</v>
      </c>
      <c r="J407" s="166"/>
      <c r="K407" s="162" t="s">
        <v>8</v>
      </c>
      <c r="L407" s="163">
        <v>839333.9</v>
      </c>
    </row>
    <row r="408" spans="1:12" ht="81.599999999999994" hidden="1" x14ac:dyDescent="0.3">
      <c r="A408" s="157" t="s">
        <v>369</v>
      </c>
      <c r="B408" s="158" t="s">
        <v>1146</v>
      </c>
      <c r="C408" s="158" t="s">
        <v>1161</v>
      </c>
      <c r="D408" s="158" t="s">
        <v>1148</v>
      </c>
      <c r="E408" s="159" t="s">
        <v>283</v>
      </c>
      <c r="F408" s="165">
        <v>7273.73</v>
      </c>
      <c r="G408" s="165"/>
      <c r="H408" s="159" t="s">
        <v>14</v>
      </c>
      <c r="I408" s="166" t="s">
        <v>15</v>
      </c>
      <c r="J408" s="166"/>
      <c r="K408" s="162" t="s">
        <v>8</v>
      </c>
      <c r="L408" s="163">
        <v>846607.63</v>
      </c>
    </row>
    <row r="409" spans="1:12" ht="81.599999999999994" hidden="1" x14ac:dyDescent="0.3">
      <c r="A409" s="157" t="s">
        <v>369</v>
      </c>
      <c r="B409" s="158" t="s">
        <v>1146</v>
      </c>
      <c r="C409" s="158" t="s">
        <v>1162</v>
      </c>
      <c r="D409" s="158" t="s">
        <v>1148</v>
      </c>
      <c r="E409" s="159" t="s">
        <v>283</v>
      </c>
      <c r="F409" s="165">
        <v>3529.16</v>
      </c>
      <c r="G409" s="165"/>
      <c r="H409" s="159" t="s">
        <v>14</v>
      </c>
      <c r="I409" s="166" t="s">
        <v>15</v>
      </c>
      <c r="J409" s="166"/>
      <c r="K409" s="162" t="s">
        <v>8</v>
      </c>
      <c r="L409" s="163">
        <v>850136.79</v>
      </c>
    </row>
    <row r="410" spans="1:12" ht="81.599999999999994" hidden="1" x14ac:dyDescent="0.3">
      <c r="A410" s="157" t="s">
        <v>369</v>
      </c>
      <c r="B410" s="158" t="s">
        <v>1146</v>
      </c>
      <c r="C410" s="158" t="s">
        <v>1163</v>
      </c>
      <c r="D410" s="158" t="s">
        <v>1148</v>
      </c>
      <c r="E410" s="159" t="s">
        <v>283</v>
      </c>
      <c r="F410" s="165">
        <v>6571.34</v>
      </c>
      <c r="G410" s="165"/>
      <c r="H410" s="159" t="s">
        <v>14</v>
      </c>
      <c r="I410" s="166" t="s">
        <v>15</v>
      </c>
      <c r="J410" s="166"/>
      <c r="K410" s="162" t="s">
        <v>8</v>
      </c>
      <c r="L410" s="163">
        <v>856708.13</v>
      </c>
    </row>
    <row r="411" spans="1:12" ht="81.599999999999994" hidden="1" x14ac:dyDescent="0.3">
      <c r="A411" s="157" t="s">
        <v>369</v>
      </c>
      <c r="B411" s="158" t="s">
        <v>1146</v>
      </c>
      <c r="C411" s="158" t="s">
        <v>1164</v>
      </c>
      <c r="D411" s="158" t="s">
        <v>1148</v>
      </c>
      <c r="E411" s="159" t="s">
        <v>283</v>
      </c>
      <c r="F411" s="165">
        <v>3258.74</v>
      </c>
      <c r="G411" s="165"/>
      <c r="H411" s="159" t="s">
        <v>14</v>
      </c>
      <c r="I411" s="166" t="s">
        <v>15</v>
      </c>
      <c r="J411" s="166"/>
      <c r="K411" s="162" t="s">
        <v>8</v>
      </c>
      <c r="L411" s="163">
        <v>859966.87</v>
      </c>
    </row>
    <row r="412" spans="1:12" ht="81.599999999999994" hidden="1" x14ac:dyDescent="0.3">
      <c r="A412" s="157" t="s">
        <v>369</v>
      </c>
      <c r="B412" s="158" t="s">
        <v>1146</v>
      </c>
      <c r="C412" s="158" t="s">
        <v>1165</v>
      </c>
      <c r="D412" s="158" t="s">
        <v>1148</v>
      </c>
      <c r="E412" s="159" t="s">
        <v>283</v>
      </c>
      <c r="F412" s="165">
        <v>6003.01</v>
      </c>
      <c r="G412" s="165"/>
      <c r="H412" s="159" t="s">
        <v>14</v>
      </c>
      <c r="I412" s="166" t="s">
        <v>15</v>
      </c>
      <c r="J412" s="166"/>
      <c r="K412" s="162" t="s">
        <v>8</v>
      </c>
      <c r="L412" s="163">
        <v>865969.88</v>
      </c>
    </row>
    <row r="413" spans="1:12" ht="81.599999999999994" hidden="1" x14ac:dyDescent="0.3">
      <c r="A413" s="157" t="s">
        <v>369</v>
      </c>
      <c r="B413" s="158" t="s">
        <v>1146</v>
      </c>
      <c r="C413" s="158" t="s">
        <v>1166</v>
      </c>
      <c r="D413" s="158" t="s">
        <v>1148</v>
      </c>
      <c r="E413" s="159" t="s">
        <v>283</v>
      </c>
      <c r="F413" s="165">
        <v>79380</v>
      </c>
      <c r="G413" s="165"/>
      <c r="H413" s="159" t="s">
        <v>14</v>
      </c>
      <c r="I413" s="166" t="s">
        <v>15</v>
      </c>
      <c r="J413" s="166"/>
      <c r="K413" s="162" t="s">
        <v>8</v>
      </c>
      <c r="L413" s="163">
        <v>945349.88</v>
      </c>
    </row>
    <row r="414" spans="1:12" ht="81.599999999999994" hidden="1" x14ac:dyDescent="0.3">
      <c r="A414" s="157" t="s">
        <v>369</v>
      </c>
      <c r="B414" s="158" t="s">
        <v>1146</v>
      </c>
      <c r="C414" s="158" t="s">
        <v>1167</v>
      </c>
      <c r="D414" s="158" t="s">
        <v>1148</v>
      </c>
      <c r="E414" s="159" t="s">
        <v>283</v>
      </c>
      <c r="F414" s="165">
        <v>7774.2</v>
      </c>
      <c r="G414" s="165"/>
      <c r="H414" s="159" t="s">
        <v>14</v>
      </c>
      <c r="I414" s="166" t="s">
        <v>15</v>
      </c>
      <c r="J414" s="166"/>
      <c r="K414" s="162" t="s">
        <v>8</v>
      </c>
      <c r="L414" s="163">
        <v>953124.08</v>
      </c>
    </row>
    <row r="415" spans="1:12" ht="81.599999999999994" hidden="1" x14ac:dyDescent="0.3">
      <c r="A415" s="157" t="s">
        <v>369</v>
      </c>
      <c r="B415" s="158" t="s">
        <v>1146</v>
      </c>
      <c r="C415" s="158" t="s">
        <v>1168</v>
      </c>
      <c r="D415" s="158" t="s">
        <v>1148</v>
      </c>
      <c r="E415" s="159" t="s">
        <v>283</v>
      </c>
      <c r="F415" s="165">
        <v>82882.8</v>
      </c>
      <c r="G415" s="165"/>
      <c r="H415" s="159" t="s">
        <v>14</v>
      </c>
      <c r="I415" s="166" t="s">
        <v>15</v>
      </c>
      <c r="J415" s="166"/>
      <c r="K415" s="162" t="s">
        <v>8</v>
      </c>
      <c r="L415" s="163">
        <v>1036006.88</v>
      </c>
    </row>
    <row r="416" spans="1:12" ht="81.599999999999994" hidden="1" x14ac:dyDescent="0.3">
      <c r="A416" s="157" t="s">
        <v>369</v>
      </c>
      <c r="B416" s="158" t="s">
        <v>1146</v>
      </c>
      <c r="C416" s="158" t="s">
        <v>1169</v>
      </c>
      <c r="D416" s="158" t="s">
        <v>1148</v>
      </c>
      <c r="E416" s="159" t="s">
        <v>283</v>
      </c>
      <c r="F416" s="165">
        <v>6274.8</v>
      </c>
      <c r="G416" s="165"/>
      <c r="H416" s="159" t="s">
        <v>14</v>
      </c>
      <c r="I416" s="166" t="s">
        <v>15</v>
      </c>
      <c r="J416" s="166"/>
      <c r="K416" s="162" t="s">
        <v>8</v>
      </c>
      <c r="L416" s="163">
        <v>1042281.68</v>
      </c>
    </row>
    <row r="417" spans="1:12" ht="81.599999999999994" hidden="1" x14ac:dyDescent="0.3">
      <c r="A417" s="157" t="s">
        <v>369</v>
      </c>
      <c r="B417" s="158" t="s">
        <v>1146</v>
      </c>
      <c r="C417" s="158" t="s">
        <v>1170</v>
      </c>
      <c r="D417" s="158" t="s">
        <v>1148</v>
      </c>
      <c r="E417" s="159" t="s">
        <v>283</v>
      </c>
      <c r="F417" s="165">
        <v>43306.2</v>
      </c>
      <c r="G417" s="165"/>
      <c r="H417" s="159" t="s">
        <v>14</v>
      </c>
      <c r="I417" s="166" t="s">
        <v>15</v>
      </c>
      <c r="J417" s="166"/>
      <c r="K417" s="162" t="s">
        <v>8</v>
      </c>
      <c r="L417" s="163">
        <v>1085587.8799999999</v>
      </c>
    </row>
    <row r="418" spans="1:12" ht="81.599999999999994" hidden="1" x14ac:dyDescent="0.3">
      <c r="A418" s="157" t="s">
        <v>369</v>
      </c>
      <c r="B418" s="158" t="s">
        <v>1146</v>
      </c>
      <c r="C418" s="158" t="s">
        <v>1171</v>
      </c>
      <c r="D418" s="158" t="s">
        <v>1148</v>
      </c>
      <c r="E418" s="159" t="s">
        <v>283</v>
      </c>
      <c r="F418" s="165">
        <v>5783.4</v>
      </c>
      <c r="G418" s="165"/>
      <c r="H418" s="159" t="s">
        <v>14</v>
      </c>
      <c r="I418" s="166" t="s">
        <v>15</v>
      </c>
      <c r="J418" s="166"/>
      <c r="K418" s="162" t="s">
        <v>8</v>
      </c>
      <c r="L418" s="163">
        <v>1091371.28</v>
      </c>
    </row>
    <row r="419" spans="1:12" ht="81.599999999999994" hidden="1" x14ac:dyDescent="0.3">
      <c r="A419" s="157" t="s">
        <v>369</v>
      </c>
      <c r="B419" s="158" t="s">
        <v>1146</v>
      </c>
      <c r="C419" s="158" t="s">
        <v>1172</v>
      </c>
      <c r="D419" s="158" t="s">
        <v>1148</v>
      </c>
      <c r="E419" s="159" t="s">
        <v>283</v>
      </c>
      <c r="F419" s="165">
        <v>11289.6</v>
      </c>
      <c r="G419" s="165"/>
      <c r="H419" s="159" t="s">
        <v>14</v>
      </c>
      <c r="I419" s="166" t="s">
        <v>15</v>
      </c>
      <c r="J419" s="166"/>
      <c r="K419" s="162" t="s">
        <v>8</v>
      </c>
      <c r="L419" s="163">
        <v>1102660.8799999999</v>
      </c>
    </row>
    <row r="420" spans="1:12" ht="81.599999999999994" hidden="1" x14ac:dyDescent="0.3">
      <c r="A420" s="157" t="s">
        <v>369</v>
      </c>
      <c r="B420" s="158" t="s">
        <v>1173</v>
      </c>
      <c r="C420" s="158" t="s">
        <v>1174</v>
      </c>
      <c r="D420" s="158" t="s">
        <v>1148</v>
      </c>
      <c r="E420" s="159" t="s">
        <v>283</v>
      </c>
      <c r="F420" s="165">
        <v>2202.14</v>
      </c>
      <c r="G420" s="165"/>
      <c r="H420" s="159" t="s">
        <v>14</v>
      </c>
      <c r="I420" s="166" t="s">
        <v>15</v>
      </c>
      <c r="J420" s="166"/>
      <c r="K420" s="162" t="s">
        <v>8</v>
      </c>
      <c r="L420" s="163">
        <v>1104863.02</v>
      </c>
    </row>
    <row r="421" spans="1:12" ht="81.599999999999994" hidden="1" x14ac:dyDescent="0.3">
      <c r="A421" s="157" t="s">
        <v>369</v>
      </c>
      <c r="B421" s="158" t="s">
        <v>1146</v>
      </c>
      <c r="C421" s="158" t="s">
        <v>1174</v>
      </c>
      <c r="D421" s="158" t="s">
        <v>1148</v>
      </c>
      <c r="E421" s="159" t="s">
        <v>283</v>
      </c>
      <c r="F421" s="165">
        <v>6592.66</v>
      </c>
      <c r="G421" s="165"/>
      <c r="H421" s="159" t="s">
        <v>14</v>
      </c>
      <c r="I421" s="166" t="s">
        <v>15</v>
      </c>
      <c r="J421" s="166"/>
      <c r="K421" s="162" t="s">
        <v>8</v>
      </c>
      <c r="L421" s="163">
        <v>1111455.68</v>
      </c>
    </row>
    <row r="422" spans="1:12" ht="81.599999999999994" hidden="1" x14ac:dyDescent="0.3">
      <c r="A422" s="157" t="s">
        <v>369</v>
      </c>
      <c r="B422" s="158" t="s">
        <v>1173</v>
      </c>
      <c r="C422" s="158" t="s">
        <v>1175</v>
      </c>
      <c r="D422" s="158" t="s">
        <v>1148</v>
      </c>
      <c r="E422" s="159" t="s">
        <v>283</v>
      </c>
      <c r="F422" s="165">
        <v>4284</v>
      </c>
      <c r="G422" s="165"/>
      <c r="H422" s="159" t="s">
        <v>14</v>
      </c>
      <c r="I422" s="166" t="s">
        <v>15</v>
      </c>
      <c r="J422" s="166"/>
      <c r="K422" s="162" t="s">
        <v>8</v>
      </c>
      <c r="L422" s="163">
        <v>1115739.68</v>
      </c>
    </row>
    <row r="423" spans="1:12" ht="81.599999999999994" hidden="1" x14ac:dyDescent="0.3">
      <c r="A423" s="157" t="s">
        <v>369</v>
      </c>
      <c r="B423" s="158" t="s">
        <v>1173</v>
      </c>
      <c r="C423" s="158" t="s">
        <v>1176</v>
      </c>
      <c r="D423" s="158" t="s">
        <v>1148</v>
      </c>
      <c r="E423" s="159" t="s">
        <v>283</v>
      </c>
      <c r="F423" s="165">
        <v>3792.6</v>
      </c>
      <c r="G423" s="165"/>
      <c r="H423" s="159" t="s">
        <v>14</v>
      </c>
      <c r="I423" s="166" t="s">
        <v>15</v>
      </c>
      <c r="J423" s="166"/>
      <c r="K423" s="162" t="s">
        <v>8</v>
      </c>
      <c r="L423" s="163">
        <v>1119532.28</v>
      </c>
    </row>
    <row r="424" spans="1:12" ht="81.599999999999994" hidden="1" x14ac:dyDescent="0.3">
      <c r="A424" s="157" t="s">
        <v>369</v>
      </c>
      <c r="B424" s="158" t="s">
        <v>1173</v>
      </c>
      <c r="C424" s="158" t="s">
        <v>1177</v>
      </c>
      <c r="D424" s="158" t="s">
        <v>1148</v>
      </c>
      <c r="E424" s="159" t="s">
        <v>283</v>
      </c>
      <c r="F424" s="165">
        <v>3301.21</v>
      </c>
      <c r="G424" s="165"/>
      <c r="H424" s="159" t="s">
        <v>14</v>
      </c>
      <c r="I424" s="166" t="s">
        <v>15</v>
      </c>
      <c r="J424" s="166"/>
      <c r="K424" s="162" t="s">
        <v>8</v>
      </c>
      <c r="L424" s="163">
        <v>1122833.49</v>
      </c>
    </row>
    <row r="425" spans="1:12" ht="81.599999999999994" hidden="1" x14ac:dyDescent="0.3">
      <c r="A425" s="157" t="s">
        <v>369</v>
      </c>
      <c r="B425" s="158" t="s">
        <v>1173</v>
      </c>
      <c r="C425" s="158" t="s">
        <v>1178</v>
      </c>
      <c r="D425" s="158" t="s">
        <v>1148</v>
      </c>
      <c r="E425" s="159" t="s">
        <v>283</v>
      </c>
      <c r="F425" s="165">
        <v>6300</v>
      </c>
      <c r="G425" s="165"/>
      <c r="H425" s="159" t="s">
        <v>14</v>
      </c>
      <c r="I425" s="166" t="s">
        <v>15</v>
      </c>
      <c r="J425" s="166"/>
      <c r="K425" s="162" t="s">
        <v>8</v>
      </c>
      <c r="L425" s="163">
        <v>1129133.49</v>
      </c>
    </row>
    <row r="426" spans="1:12" ht="81.599999999999994" hidden="1" x14ac:dyDescent="0.3">
      <c r="A426" s="157" t="s">
        <v>369</v>
      </c>
      <c r="B426" s="158" t="s">
        <v>1173</v>
      </c>
      <c r="C426" s="158" t="s">
        <v>1179</v>
      </c>
      <c r="D426" s="158" t="s">
        <v>1148</v>
      </c>
      <c r="E426" s="159" t="s">
        <v>283</v>
      </c>
      <c r="F426" s="165">
        <v>6174</v>
      </c>
      <c r="G426" s="165"/>
      <c r="H426" s="159" t="s">
        <v>14</v>
      </c>
      <c r="I426" s="166" t="s">
        <v>15</v>
      </c>
      <c r="J426" s="166"/>
      <c r="K426" s="162" t="s">
        <v>8</v>
      </c>
      <c r="L426" s="163">
        <v>1135307.49</v>
      </c>
    </row>
    <row r="427" spans="1:12" ht="81.599999999999994" hidden="1" x14ac:dyDescent="0.3">
      <c r="A427" s="157" t="s">
        <v>369</v>
      </c>
      <c r="B427" s="158" t="s">
        <v>1173</v>
      </c>
      <c r="C427" s="158" t="s">
        <v>1180</v>
      </c>
      <c r="D427" s="158" t="s">
        <v>1148</v>
      </c>
      <c r="E427" s="159" t="s">
        <v>283</v>
      </c>
      <c r="F427" s="165">
        <v>5115.6000000000004</v>
      </c>
      <c r="G427" s="165"/>
      <c r="H427" s="159" t="s">
        <v>14</v>
      </c>
      <c r="I427" s="166" t="s">
        <v>15</v>
      </c>
      <c r="J427" s="166"/>
      <c r="K427" s="162" t="s">
        <v>8</v>
      </c>
      <c r="L427" s="163">
        <v>1140423.0900000001</v>
      </c>
    </row>
    <row r="428" spans="1:12" ht="71.400000000000006" hidden="1" x14ac:dyDescent="0.3">
      <c r="A428" s="157" t="s">
        <v>369</v>
      </c>
      <c r="B428" s="158" t="s">
        <v>1173</v>
      </c>
      <c r="C428" s="158" t="s">
        <v>1181</v>
      </c>
      <c r="D428" s="158" t="s">
        <v>1148</v>
      </c>
      <c r="E428" s="159" t="s">
        <v>283</v>
      </c>
      <c r="F428" s="165">
        <v>5250</v>
      </c>
      <c r="G428" s="165"/>
      <c r="H428" s="159" t="s">
        <v>14</v>
      </c>
      <c r="I428" s="166" t="s">
        <v>15</v>
      </c>
      <c r="J428" s="166"/>
      <c r="K428" s="162" t="s">
        <v>8</v>
      </c>
      <c r="L428" s="163">
        <v>1145673.0900000001</v>
      </c>
    </row>
    <row r="429" spans="1:12" ht="81.599999999999994" hidden="1" x14ac:dyDescent="0.3">
      <c r="A429" s="157" t="s">
        <v>369</v>
      </c>
      <c r="B429" s="158" t="s">
        <v>1173</v>
      </c>
      <c r="C429" s="158" t="s">
        <v>1182</v>
      </c>
      <c r="D429" s="158" t="s">
        <v>1148</v>
      </c>
      <c r="E429" s="159" t="s">
        <v>283</v>
      </c>
      <c r="F429" s="165">
        <v>22425</v>
      </c>
      <c r="G429" s="165"/>
      <c r="H429" s="159" t="s">
        <v>14</v>
      </c>
      <c r="I429" s="166" t="s">
        <v>15</v>
      </c>
      <c r="J429" s="166"/>
      <c r="K429" s="162" t="s">
        <v>8</v>
      </c>
      <c r="L429" s="163">
        <v>1168098.0900000001</v>
      </c>
    </row>
    <row r="430" spans="1:12" ht="71.400000000000006" hidden="1" x14ac:dyDescent="0.3">
      <c r="A430" s="157" t="s">
        <v>369</v>
      </c>
      <c r="B430" s="158" t="s">
        <v>1173</v>
      </c>
      <c r="C430" s="158" t="s">
        <v>1183</v>
      </c>
      <c r="D430" s="158" t="s">
        <v>1148</v>
      </c>
      <c r="E430" s="159" t="s">
        <v>283</v>
      </c>
      <c r="F430" s="165">
        <v>16912</v>
      </c>
      <c r="G430" s="165"/>
      <c r="H430" s="159" t="s">
        <v>14</v>
      </c>
      <c r="I430" s="166" t="s">
        <v>15</v>
      </c>
      <c r="J430" s="166"/>
      <c r="K430" s="162" t="s">
        <v>8</v>
      </c>
      <c r="L430" s="163">
        <v>1185010.0900000001</v>
      </c>
    </row>
    <row r="431" spans="1:12" ht="71.400000000000006" hidden="1" x14ac:dyDescent="0.3">
      <c r="A431" s="157" t="s">
        <v>369</v>
      </c>
      <c r="B431" s="158" t="s">
        <v>1173</v>
      </c>
      <c r="C431" s="158" t="s">
        <v>1184</v>
      </c>
      <c r="D431" s="158" t="s">
        <v>1148</v>
      </c>
      <c r="E431" s="159" t="s">
        <v>283</v>
      </c>
      <c r="F431" s="165">
        <v>3624</v>
      </c>
      <c r="G431" s="165"/>
      <c r="H431" s="159" t="s">
        <v>14</v>
      </c>
      <c r="I431" s="166" t="s">
        <v>15</v>
      </c>
      <c r="J431" s="166"/>
      <c r="K431" s="162" t="s">
        <v>8</v>
      </c>
      <c r="L431" s="163">
        <v>1188634.0900000001</v>
      </c>
    </row>
    <row r="432" spans="1:12" ht="71.400000000000006" hidden="1" x14ac:dyDescent="0.3">
      <c r="A432" s="157" t="s">
        <v>369</v>
      </c>
      <c r="B432" s="158" t="s">
        <v>1173</v>
      </c>
      <c r="C432" s="158" t="s">
        <v>1185</v>
      </c>
      <c r="D432" s="158" t="s">
        <v>1148</v>
      </c>
      <c r="E432" s="159" t="s">
        <v>283</v>
      </c>
      <c r="F432" s="165">
        <v>1208</v>
      </c>
      <c r="G432" s="165"/>
      <c r="H432" s="159" t="s">
        <v>14</v>
      </c>
      <c r="I432" s="166" t="s">
        <v>15</v>
      </c>
      <c r="J432" s="166"/>
      <c r="K432" s="162" t="s">
        <v>8</v>
      </c>
      <c r="L432" s="163">
        <v>1189842.0900000001</v>
      </c>
    </row>
    <row r="433" spans="1:12" ht="51" hidden="1" x14ac:dyDescent="0.3">
      <c r="A433" s="157" t="s">
        <v>369</v>
      </c>
      <c r="B433" s="158" t="s">
        <v>1186</v>
      </c>
      <c r="C433" s="158" t="s">
        <v>1187</v>
      </c>
      <c r="D433" s="158" t="s">
        <v>1188</v>
      </c>
      <c r="E433" s="159" t="s">
        <v>283</v>
      </c>
      <c r="F433" s="165">
        <v>19695</v>
      </c>
      <c r="G433" s="165"/>
      <c r="H433" s="159" t="s">
        <v>14</v>
      </c>
      <c r="I433" s="166" t="s">
        <v>15</v>
      </c>
      <c r="J433" s="166"/>
      <c r="K433" s="162" t="s">
        <v>8</v>
      </c>
      <c r="L433" s="163">
        <v>6216059.4800000004</v>
      </c>
    </row>
    <row r="434" spans="1:12" ht="61.2" hidden="1" x14ac:dyDescent="0.3">
      <c r="A434" s="157" t="s">
        <v>369</v>
      </c>
      <c r="B434" s="158" t="s">
        <v>1189</v>
      </c>
      <c r="C434" s="158" t="s">
        <v>1190</v>
      </c>
      <c r="D434" s="158" t="s">
        <v>1191</v>
      </c>
      <c r="E434" s="159" t="s">
        <v>283</v>
      </c>
      <c r="F434" s="165">
        <v>18739.919999999998</v>
      </c>
      <c r="G434" s="165"/>
      <c r="H434" s="159" t="s">
        <v>14</v>
      </c>
      <c r="I434" s="166" t="s">
        <v>15</v>
      </c>
      <c r="J434" s="166"/>
      <c r="K434" s="162" t="s">
        <v>8</v>
      </c>
      <c r="L434" s="163">
        <v>450475.93</v>
      </c>
    </row>
    <row r="435" spans="1:12" ht="51" hidden="1" x14ac:dyDescent="0.3">
      <c r="A435" s="157" t="s">
        <v>369</v>
      </c>
      <c r="B435" s="158" t="s">
        <v>1192</v>
      </c>
      <c r="C435" s="158" t="s">
        <v>1139</v>
      </c>
      <c r="D435" s="158" t="s">
        <v>1193</v>
      </c>
      <c r="E435" s="159" t="s">
        <v>283</v>
      </c>
      <c r="F435" s="165">
        <v>20032</v>
      </c>
      <c r="G435" s="165"/>
      <c r="H435" s="159" t="s">
        <v>14</v>
      </c>
      <c r="I435" s="166" t="s">
        <v>15</v>
      </c>
      <c r="J435" s="166"/>
      <c r="K435" s="162" t="s">
        <v>8</v>
      </c>
      <c r="L435" s="163">
        <v>165946.22</v>
      </c>
    </row>
    <row r="436" spans="1:12" ht="61.2" hidden="1" x14ac:dyDescent="0.3">
      <c r="A436" s="157" t="s">
        <v>369</v>
      </c>
      <c r="B436" s="158" t="s">
        <v>1194</v>
      </c>
      <c r="C436" s="158" t="s">
        <v>1195</v>
      </c>
      <c r="D436" s="158" t="s">
        <v>1139</v>
      </c>
      <c r="E436" s="159" t="s">
        <v>283</v>
      </c>
      <c r="F436" s="160" t="s">
        <v>15</v>
      </c>
      <c r="G436" s="160"/>
      <c r="H436" s="159" t="s">
        <v>283</v>
      </c>
      <c r="I436" s="161">
        <v>10877.14</v>
      </c>
      <c r="J436" s="161"/>
      <c r="K436" s="162" t="s">
        <v>8</v>
      </c>
      <c r="L436" s="163">
        <v>155069.07999999999</v>
      </c>
    </row>
    <row r="437" spans="1:12" ht="61.2" hidden="1" x14ac:dyDescent="0.3">
      <c r="A437" s="157" t="s">
        <v>369</v>
      </c>
      <c r="B437" s="158" t="s">
        <v>1194</v>
      </c>
      <c r="C437" s="158" t="s">
        <v>1195</v>
      </c>
      <c r="D437" s="158" t="s">
        <v>1139</v>
      </c>
      <c r="E437" s="159" t="s">
        <v>283</v>
      </c>
      <c r="F437" s="165">
        <v>10877.14</v>
      </c>
      <c r="G437" s="165"/>
      <c r="H437" s="159" t="s">
        <v>283</v>
      </c>
      <c r="I437" s="166" t="s">
        <v>15</v>
      </c>
      <c r="J437" s="166"/>
      <c r="K437" s="162" t="s">
        <v>8</v>
      </c>
      <c r="L437" s="163">
        <v>241347.12</v>
      </c>
    </row>
    <row r="438" spans="1:12" ht="51" hidden="1" x14ac:dyDescent="0.3">
      <c r="A438" s="157" t="s">
        <v>369</v>
      </c>
      <c r="B438" s="158" t="s">
        <v>1196</v>
      </c>
      <c r="C438" s="158" t="s">
        <v>1197</v>
      </c>
      <c r="D438" s="158" t="s">
        <v>1139</v>
      </c>
      <c r="E438" s="159" t="s">
        <v>283</v>
      </c>
      <c r="F438" s="160" t="s">
        <v>15</v>
      </c>
      <c r="G438" s="160"/>
      <c r="H438" s="159" t="s">
        <v>283</v>
      </c>
      <c r="I438" s="161">
        <v>10877.14</v>
      </c>
      <c r="J438" s="161"/>
      <c r="K438" s="162" t="s">
        <v>8</v>
      </c>
      <c r="L438" s="163">
        <v>144191.94</v>
      </c>
    </row>
    <row r="439" spans="1:12" ht="51" hidden="1" x14ac:dyDescent="0.3">
      <c r="A439" s="157" t="s">
        <v>369</v>
      </c>
      <c r="B439" s="158" t="s">
        <v>1196</v>
      </c>
      <c r="C439" s="158" t="s">
        <v>1197</v>
      </c>
      <c r="D439" s="158" t="s">
        <v>1139</v>
      </c>
      <c r="E439" s="159" t="s">
        <v>283</v>
      </c>
      <c r="F439" s="165">
        <v>10877.14</v>
      </c>
      <c r="G439" s="165"/>
      <c r="H439" s="159" t="s">
        <v>283</v>
      </c>
      <c r="I439" s="166" t="s">
        <v>15</v>
      </c>
      <c r="J439" s="166"/>
      <c r="K439" s="162" t="s">
        <v>8</v>
      </c>
      <c r="L439" s="163">
        <v>190856.46</v>
      </c>
    </row>
    <row r="440" spans="1:12" ht="61.2" hidden="1" x14ac:dyDescent="0.3">
      <c r="A440" s="157" t="s">
        <v>369</v>
      </c>
      <c r="B440" s="158" t="s">
        <v>1198</v>
      </c>
      <c r="C440" s="158" t="s">
        <v>1199</v>
      </c>
      <c r="D440" s="158" t="s">
        <v>1139</v>
      </c>
      <c r="E440" s="159" t="s">
        <v>283</v>
      </c>
      <c r="F440" s="160" t="s">
        <v>15</v>
      </c>
      <c r="G440" s="160"/>
      <c r="H440" s="159" t="s">
        <v>283</v>
      </c>
      <c r="I440" s="161">
        <v>39157.72</v>
      </c>
      <c r="J440" s="161"/>
      <c r="K440" s="162" t="s">
        <v>8</v>
      </c>
      <c r="L440" s="163">
        <v>105034.22</v>
      </c>
    </row>
    <row r="441" spans="1:12" ht="61.2" hidden="1" x14ac:dyDescent="0.3">
      <c r="A441" s="157" t="s">
        <v>369</v>
      </c>
      <c r="B441" s="158" t="s">
        <v>1198</v>
      </c>
      <c r="C441" s="158" t="s">
        <v>1199</v>
      </c>
      <c r="D441" s="158" t="s">
        <v>1139</v>
      </c>
      <c r="E441" s="159" t="s">
        <v>283</v>
      </c>
      <c r="F441" s="165">
        <v>39157.72</v>
      </c>
      <c r="G441" s="165"/>
      <c r="H441" s="159" t="s">
        <v>283</v>
      </c>
      <c r="I441" s="166" t="s">
        <v>15</v>
      </c>
      <c r="J441" s="166"/>
      <c r="K441" s="162" t="s">
        <v>8</v>
      </c>
      <c r="L441" s="163">
        <v>1228999.81</v>
      </c>
    </row>
    <row r="442" spans="1:12" ht="61.2" hidden="1" x14ac:dyDescent="0.3">
      <c r="A442" s="157" t="s">
        <v>1200</v>
      </c>
      <c r="B442" s="158" t="s">
        <v>1201</v>
      </c>
      <c r="C442" s="158" t="s">
        <v>1202</v>
      </c>
      <c r="D442" s="158" t="s">
        <v>1203</v>
      </c>
      <c r="E442" s="159" t="s">
        <v>283</v>
      </c>
      <c r="F442" s="165">
        <v>343468</v>
      </c>
      <c r="G442" s="165"/>
      <c r="H442" s="159" t="s">
        <v>14</v>
      </c>
      <c r="I442" s="166" t="s">
        <v>15</v>
      </c>
      <c r="J442" s="166"/>
      <c r="K442" s="162" t="s">
        <v>8</v>
      </c>
      <c r="L442" s="163">
        <v>2929687.37</v>
      </c>
    </row>
    <row r="443" spans="1:12" ht="81.599999999999994" hidden="1" x14ac:dyDescent="0.3">
      <c r="A443" s="157" t="s">
        <v>1200</v>
      </c>
      <c r="B443" s="158" t="s">
        <v>1204</v>
      </c>
      <c r="C443" s="158" t="s">
        <v>1205</v>
      </c>
      <c r="D443" s="158" t="s">
        <v>1148</v>
      </c>
      <c r="E443" s="159" t="s">
        <v>283</v>
      </c>
      <c r="F443" s="165">
        <v>17161.2</v>
      </c>
      <c r="G443" s="165"/>
      <c r="H443" s="159" t="s">
        <v>14</v>
      </c>
      <c r="I443" s="166" t="s">
        <v>15</v>
      </c>
      <c r="J443" s="166"/>
      <c r="K443" s="162" t="s">
        <v>8</v>
      </c>
      <c r="L443" s="163">
        <v>1246161.01</v>
      </c>
    </row>
    <row r="444" spans="1:12" ht="81.599999999999994" hidden="1" x14ac:dyDescent="0.3">
      <c r="A444" s="157" t="s">
        <v>1200</v>
      </c>
      <c r="B444" s="158" t="s">
        <v>1204</v>
      </c>
      <c r="C444" s="158" t="s">
        <v>1206</v>
      </c>
      <c r="D444" s="158" t="s">
        <v>1148</v>
      </c>
      <c r="E444" s="159" t="s">
        <v>283</v>
      </c>
      <c r="F444" s="165">
        <v>8177.4</v>
      </c>
      <c r="G444" s="165"/>
      <c r="H444" s="159" t="s">
        <v>14</v>
      </c>
      <c r="I444" s="166" t="s">
        <v>15</v>
      </c>
      <c r="J444" s="166"/>
      <c r="K444" s="162" t="s">
        <v>8</v>
      </c>
      <c r="L444" s="163">
        <v>1254338.4099999999</v>
      </c>
    </row>
    <row r="445" spans="1:12" ht="81.599999999999994" hidden="1" x14ac:dyDescent="0.3">
      <c r="A445" s="157" t="s">
        <v>1200</v>
      </c>
      <c r="B445" s="158" t="s">
        <v>1204</v>
      </c>
      <c r="C445" s="158" t="s">
        <v>1207</v>
      </c>
      <c r="D445" s="158" t="s">
        <v>1148</v>
      </c>
      <c r="E445" s="159" t="s">
        <v>283</v>
      </c>
      <c r="F445" s="165">
        <v>7534.8</v>
      </c>
      <c r="G445" s="165"/>
      <c r="H445" s="159" t="s">
        <v>14</v>
      </c>
      <c r="I445" s="166" t="s">
        <v>15</v>
      </c>
      <c r="J445" s="166"/>
      <c r="K445" s="162" t="s">
        <v>8</v>
      </c>
      <c r="L445" s="163">
        <v>1261873.21</v>
      </c>
    </row>
    <row r="446" spans="1:12" ht="81.599999999999994" hidden="1" x14ac:dyDescent="0.3">
      <c r="A446" s="157" t="s">
        <v>1200</v>
      </c>
      <c r="B446" s="158" t="s">
        <v>1204</v>
      </c>
      <c r="C446" s="158" t="s">
        <v>1208</v>
      </c>
      <c r="D446" s="158" t="s">
        <v>1148</v>
      </c>
      <c r="E446" s="159" t="s">
        <v>283</v>
      </c>
      <c r="F446" s="165">
        <v>13204.8</v>
      </c>
      <c r="G446" s="165"/>
      <c r="H446" s="159" t="s">
        <v>14</v>
      </c>
      <c r="I446" s="166" t="s">
        <v>15</v>
      </c>
      <c r="J446" s="166"/>
      <c r="K446" s="162" t="s">
        <v>8</v>
      </c>
      <c r="L446" s="163">
        <v>1275078.01</v>
      </c>
    </row>
    <row r="447" spans="1:12" ht="81.599999999999994" hidden="1" x14ac:dyDescent="0.3">
      <c r="A447" s="157" t="s">
        <v>1200</v>
      </c>
      <c r="B447" s="158" t="s">
        <v>1204</v>
      </c>
      <c r="C447" s="158" t="s">
        <v>1209</v>
      </c>
      <c r="D447" s="158" t="s">
        <v>1148</v>
      </c>
      <c r="E447" s="159" t="s">
        <v>283</v>
      </c>
      <c r="F447" s="165">
        <v>11289.6</v>
      </c>
      <c r="G447" s="165"/>
      <c r="H447" s="159" t="s">
        <v>14</v>
      </c>
      <c r="I447" s="166" t="s">
        <v>15</v>
      </c>
      <c r="J447" s="166"/>
      <c r="K447" s="162" t="s">
        <v>8</v>
      </c>
      <c r="L447" s="163">
        <v>1286367.6100000001</v>
      </c>
    </row>
    <row r="448" spans="1:12" ht="81.599999999999994" hidden="1" x14ac:dyDescent="0.3">
      <c r="A448" s="157" t="s">
        <v>1200</v>
      </c>
      <c r="B448" s="158" t="s">
        <v>1204</v>
      </c>
      <c r="C448" s="158" t="s">
        <v>1210</v>
      </c>
      <c r="D448" s="158" t="s">
        <v>1148</v>
      </c>
      <c r="E448" s="159" t="s">
        <v>283</v>
      </c>
      <c r="F448" s="165">
        <v>4410</v>
      </c>
      <c r="G448" s="165"/>
      <c r="H448" s="159" t="s">
        <v>14</v>
      </c>
      <c r="I448" s="166" t="s">
        <v>15</v>
      </c>
      <c r="J448" s="166"/>
      <c r="K448" s="162" t="s">
        <v>8</v>
      </c>
      <c r="L448" s="163">
        <v>1290777.6100000001</v>
      </c>
    </row>
    <row r="449" spans="1:12" ht="81.599999999999994" hidden="1" x14ac:dyDescent="0.3">
      <c r="A449" s="157" t="s">
        <v>1200</v>
      </c>
      <c r="B449" s="158" t="s">
        <v>1204</v>
      </c>
      <c r="C449" s="158" t="s">
        <v>1211</v>
      </c>
      <c r="D449" s="158" t="s">
        <v>1148</v>
      </c>
      <c r="E449" s="159" t="s">
        <v>283</v>
      </c>
      <c r="F449" s="165">
        <v>27720</v>
      </c>
      <c r="G449" s="165"/>
      <c r="H449" s="159" t="s">
        <v>14</v>
      </c>
      <c r="I449" s="166" t="s">
        <v>15</v>
      </c>
      <c r="J449" s="166"/>
      <c r="K449" s="162" t="s">
        <v>8</v>
      </c>
      <c r="L449" s="163">
        <v>1318497.6100000001</v>
      </c>
    </row>
    <row r="450" spans="1:12" ht="81.599999999999994" hidden="1" x14ac:dyDescent="0.3">
      <c r="A450" s="157" t="s">
        <v>1200</v>
      </c>
      <c r="B450" s="158" t="s">
        <v>1204</v>
      </c>
      <c r="C450" s="158" t="s">
        <v>1212</v>
      </c>
      <c r="D450" s="158" t="s">
        <v>1148</v>
      </c>
      <c r="E450" s="159" t="s">
        <v>283</v>
      </c>
      <c r="F450" s="165">
        <v>18170.57</v>
      </c>
      <c r="G450" s="165"/>
      <c r="H450" s="159" t="s">
        <v>14</v>
      </c>
      <c r="I450" s="166" t="s">
        <v>15</v>
      </c>
      <c r="J450" s="166"/>
      <c r="K450" s="162" t="s">
        <v>8</v>
      </c>
      <c r="L450" s="163">
        <v>1336668.18</v>
      </c>
    </row>
    <row r="451" spans="1:12" ht="81.599999999999994" hidden="1" x14ac:dyDescent="0.3">
      <c r="A451" s="157" t="s">
        <v>1200</v>
      </c>
      <c r="B451" s="158" t="s">
        <v>1204</v>
      </c>
      <c r="C451" s="158" t="s">
        <v>1213</v>
      </c>
      <c r="D451" s="158" t="s">
        <v>1148</v>
      </c>
      <c r="E451" s="159" t="s">
        <v>283</v>
      </c>
      <c r="F451" s="165">
        <v>5543.53</v>
      </c>
      <c r="G451" s="165"/>
      <c r="H451" s="159" t="s">
        <v>14</v>
      </c>
      <c r="I451" s="166" t="s">
        <v>15</v>
      </c>
      <c r="J451" s="166"/>
      <c r="K451" s="162" t="s">
        <v>8</v>
      </c>
      <c r="L451" s="163">
        <v>1342211.71</v>
      </c>
    </row>
    <row r="452" spans="1:12" ht="81.599999999999994" hidden="1" x14ac:dyDescent="0.3">
      <c r="A452" s="157" t="s">
        <v>1200</v>
      </c>
      <c r="B452" s="158" t="s">
        <v>1204</v>
      </c>
      <c r="C452" s="158" t="s">
        <v>1214</v>
      </c>
      <c r="D452" s="158" t="s">
        <v>1148</v>
      </c>
      <c r="E452" s="159" t="s">
        <v>283</v>
      </c>
      <c r="F452" s="165">
        <v>19903.07</v>
      </c>
      <c r="G452" s="165"/>
      <c r="H452" s="159" t="s">
        <v>14</v>
      </c>
      <c r="I452" s="166" t="s">
        <v>15</v>
      </c>
      <c r="J452" s="166"/>
      <c r="K452" s="162" t="s">
        <v>8</v>
      </c>
      <c r="L452" s="163">
        <v>1362114.78</v>
      </c>
    </row>
    <row r="453" spans="1:12" ht="81.599999999999994" hidden="1" x14ac:dyDescent="0.3">
      <c r="A453" s="157" t="s">
        <v>1200</v>
      </c>
      <c r="B453" s="158" t="s">
        <v>1204</v>
      </c>
      <c r="C453" s="158" t="s">
        <v>1215</v>
      </c>
      <c r="D453" s="158" t="s">
        <v>1148</v>
      </c>
      <c r="E453" s="159" t="s">
        <v>283</v>
      </c>
      <c r="F453" s="165">
        <v>4772.38</v>
      </c>
      <c r="G453" s="165"/>
      <c r="H453" s="159" t="s">
        <v>14</v>
      </c>
      <c r="I453" s="166" t="s">
        <v>15</v>
      </c>
      <c r="J453" s="166"/>
      <c r="K453" s="162" t="s">
        <v>8</v>
      </c>
      <c r="L453" s="163">
        <v>1366887.16</v>
      </c>
    </row>
    <row r="454" spans="1:12" ht="81.599999999999994" hidden="1" x14ac:dyDescent="0.3">
      <c r="A454" s="157" t="s">
        <v>1200</v>
      </c>
      <c r="B454" s="158" t="s">
        <v>1204</v>
      </c>
      <c r="C454" s="158" t="s">
        <v>1216</v>
      </c>
      <c r="D454" s="158" t="s">
        <v>1148</v>
      </c>
      <c r="E454" s="159" t="s">
        <v>283</v>
      </c>
      <c r="F454" s="165">
        <v>9194.14</v>
      </c>
      <c r="G454" s="165"/>
      <c r="H454" s="159" t="s">
        <v>14</v>
      </c>
      <c r="I454" s="166" t="s">
        <v>15</v>
      </c>
      <c r="J454" s="166"/>
      <c r="K454" s="162" t="s">
        <v>8</v>
      </c>
      <c r="L454" s="163">
        <v>1376081.3</v>
      </c>
    </row>
    <row r="455" spans="1:12" ht="81.599999999999994" hidden="1" x14ac:dyDescent="0.3">
      <c r="A455" s="157" t="s">
        <v>1200</v>
      </c>
      <c r="B455" s="158" t="s">
        <v>1204</v>
      </c>
      <c r="C455" s="158" t="s">
        <v>1217</v>
      </c>
      <c r="D455" s="158" t="s">
        <v>1148</v>
      </c>
      <c r="E455" s="159" t="s">
        <v>283</v>
      </c>
      <c r="F455" s="165">
        <v>3002.07</v>
      </c>
      <c r="G455" s="165"/>
      <c r="H455" s="159" t="s">
        <v>14</v>
      </c>
      <c r="I455" s="166" t="s">
        <v>15</v>
      </c>
      <c r="J455" s="166"/>
      <c r="K455" s="162" t="s">
        <v>8</v>
      </c>
      <c r="L455" s="163">
        <v>1379083.37</v>
      </c>
    </row>
    <row r="456" spans="1:12" ht="81.599999999999994" hidden="1" x14ac:dyDescent="0.3">
      <c r="A456" s="157" t="s">
        <v>1200</v>
      </c>
      <c r="B456" s="158" t="s">
        <v>1204</v>
      </c>
      <c r="C456" s="158" t="s">
        <v>1218</v>
      </c>
      <c r="D456" s="158" t="s">
        <v>1148</v>
      </c>
      <c r="E456" s="159" t="s">
        <v>283</v>
      </c>
      <c r="F456" s="165">
        <v>2717.91</v>
      </c>
      <c r="G456" s="165"/>
      <c r="H456" s="159" t="s">
        <v>14</v>
      </c>
      <c r="I456" s="166" t="s">
        <v>15</v>
      </c>
      <c r="J456" s="166"/>
      <c r="K456" s="162" t="s">
        <v>8</v>
      </c>
      <c r="L456" s="163">
        <v>1381801.28</v>
      </c>
    </row>
    <row r="457" spans="1:12" ht="81.599999999999994" hidden="1" x14ac:dyDescent="0.3">
      <c r="A457" s="157" t="s">
        <v>1200</v>
      </c>
      <c r="B457" s="158" t="s">
        <v>1204</v>
      </c>
      <c r="C457" s="158" t="s">
        <v>1219</v>
      </c>
      <c r="D457" s="158" t="s">
        <v>1148</v>
      </c>
      <c r="E457" s="159" t="s">
        <v>283</v>
      </c>
      <c r="F457" s="165">
        <v>16224.95</v>
      </c>
      <c r="G457" s="165"/>
      <c r="H457" s="159" t="s">
        <v>14</v>
      </c>
      <c r="I457" s="166" t="s">
        <v>15</v>
      </c>
      <c r="J457" s="166"/>
      <c r="K457" s="162" t="s">
        <v>8</v>
      </c>
      <c r="L457" s="163">
        <v>1398026.23</v>
      </c>
    </row>
    <row r="458" spans="1:12" ht="81.599999999999994" hidden="1" x14ac:dyDescent="0.3">
      <c r="A458" s="157" t="s">
        <v>1200</v>
      </c>
      <c r="B458" s="158" t="s">
        <v>1204</v>
      </c>
      <c r="C458" s="158" t="s">
        <v>1220</v>
      </c>
      <c r="D458" s="158" t="s">
        <v>1148</v>
      </c>
      <c r="E458" s="159" t="s">
        <v>283</v>
      </c>
      <c r="F458" s="165">
        <v>65520</v>
      </c>
      <c r="G458" s="165"/>
      <c r="H458" s="159" t="s">
        <v>14</v>
      </c>
      <c r="I458" s="166" t="s">
        <v>15</v>
      </c>
      <c r="J458" s="166"/>
      <c r="K458" s="162" t="s">
        <v>8</v>
      </c>
      <c r="L458" s="163">
        <v>1463546.23</v>
      </c>
    </row>
    <row r="459" spans="1:12" ht="81.599999999999994" hidden="1" x14ac:dyDescent="0.3">
      <c r="A459" s="157" t="s">
        <v>1200</v>
      </c>
      <c r="B459" s="158" t="s">
        <v>1204</v>
      </c>
      <c r="C459" s="158" t="s">
        <v>1221</v>
      </c>
      <c r="D459" s="158" t="s">
        <v>1148</v>
      </c>
      <c r="E459" s="159" t="s">
        <v>283</v>
      </c>
      <c r="F459" s="165">
        <v>93288</v>
      </c>
      <c r="G459" s="165"/>
      <c r="H459" s="159" t="s">
        <v>14</v>
      </c>
      <c r="I459" s="166" t="s">
        <v>15</v>
      </c>
      <c r="J459" s="166"/>
      <c r="K459" s="162" t="s">
        <v>8</v>
      </c>
      <c r="L459" s="163">
        <v>1556834.23</v>
      </c>
    </row>
    <row r="460" spans="1:12" ht="81.599999999999994" hidden="1" x14ac:dyDescent="0.3">
      <c r="A460" s="157" t="s">
        <v>1200</v>
      </c>
      <c r="B460" s="158" t="s">
        <v>1204</v>
      </c>
      <c r="C460" s="158" t="s">
        <v>1222</v>
      </c>
      <c r="D460" s="158" t="s">
        <v>1148</v>
      </c>
      <c r="E460" s="159" t="s">
        <v>283</v>
      </c>
      <c r="F460" s="165">
        <v>51064</v>
      </c>
      <c r="G460" s="165"/>
      <c r="H460" s="159" t="s">
        <v>14</v>
      </c>
      <c r="I460" s="166" t="s">
        <v>15</v>
      </c>
      <c r="J460" s="166"/>
      <c r="K460" s="162" t="s">
        <v>8</v>
      </c>
      <c r="L460" s="163">
        <v>1607898.23</v>
      </c>
    </row>
    <row r="461" spans="1:12" ht="81.599999999999994" hidden="1" x14ac:dyDescent="0.3">
      <c r="A461" s="157" t="s">
        <v>1200</v>
      </c>
      <c r="B461" s="158" t="s">
        <v>1204</v>
      </c>
      <c r="C461" s="158" t="s">
        <v>1223</v>
      </c>
      <c r="D461" s="158" t="s">
        <v>1148</v>
      </c>
      <c r="E461" s="159" t="s">
        <v>283</v>
      </c>
      <c r="F461" s="165">
        <v>46592</v>
      </c>
      <c r="G461" s="165"/>
      <c r="H461" s="159" t="s">
        <v>14</v>
      </c>
      <c r="I461" s="166" t="s">
        <v>15</v>
      </c>
      <c r="J461" s="166"/>
      <c r="K461" s="162" t="s">
        <v>8</v>
      </c>
      <c r="L461" s="163">
        <v>1654490.23</v>
      </c>
    </row>
    <row r="462" spans="1:12" ht="51" hidden="1" x14ac:dyDescent="0.3">
      <c r="A462" s="157" t="s">
        <v>1200</v>
      </c>
      <c r="B462" s="158" t="s">
        <v>1224</v>
      </c>
      <c r="C462" s="158" t="s">
        <v>1225</v>
      </c>
      <c r="D462" s="158" t="s">
        <v>1226</v>
      </c>
      <c r="E462" s="159" t="s">
        <v>283</v>
      </c>
      <c r="F462" s="165">
        <v>7200</v>
      </c>
      <c r="G462" s="165"/>
      <c r="H462" s="159" t="s">
        <v>14</v>
      </c>
      <c r="I462" s="166" t="s">
        <v>15</v>
      </c>
      <c r="J462" s="166"/>
      <c r="K462" s="162" t="s">
        <v>8</v>
      </c>
      <c r="L462" s="163">
        <v>457675.93</v>
      </c>
    </row>
    <row r="463" spans="1:12" ht="51" hidden="1" x14ac:dyDescent="0.3">
      <c r="A463" s="157" t="s">
        <v>1200</v>
      </c>
      <c r="B463" s="158" t="s">
        <v>1227</v>
      </c>
      <c r="C463" s="158" t="s">
        <v>1228</v>
      </c>
      <c r="D463" s="158" t="s">
        <v>1229</v>
      </c>
      <c r="E463" s="159" t="s">
        <v>283</v>
      </c>
      <c r="F463" s="167">
        <v>468</v>
      </c>
      <c r="G463" s="167"/>
      <c r="H463" s="159" t="s">
        <v>14</v>
      </c>
      <c r="I463" s="166" t="s">
        <v>15</v>
      </c>
      <c r="J463" s="166"/>
      <c r="K463" s="162" t="s">
        <v>8</v>
      </c>
      <c r="L463" s="163">
        <v>353824.56</v>
      </c>
    </row>
    <row r="464" spans="1:12" ht="61.2" hidden="1" x14ac:dyDescent="0.3">
      <c r="A464" s="157" t="s">
        <v>1200</v>
      </c>
      <c r="B464" s="158" t="s">
        <v>1230</v>
      </c>
      <c r="C464" s="158" t="s">
        <v>1231</v>
      </c>
      <c r="D464" s="158" t="s">
        <v>907</v>
      </c>
      <c r="E464" s="159" t="s">
        <v>283</v>
      </c>
      <c r="F464" s="165">
        <v>151482</v>
      </c>
      <c r="G464" s="165"/>
      <c r="H464" s="159" t="s">
        <v>14</v>
      </c>
      <c r="I464" s="166" t="s">
        <v>15</v>
      </c>
      <c r="J464" s="166"/>
      <c r="K464" s="162" t="s">
        <v>8</v>
      </c>
      <c r="L464" s="163">
        <v>2146537.9900000002</v>
      </c>
    </row>
    <row r="465" spans="1:12" ht="61.2" hidden="1" x14ac:dyDescent="0.3">
      <c r="A465" s="157" t="s">
        <v>1200</v>
      </c>
      <c r="B465" s="158" t="s">
        <v>1232</v>
      </c>
      <c r="C465" s="158" t="s">
        <v>1231</v>
      </c>
      <c r="D465" s="158" t="s">
        <v>907</v>
      </c>
      <c r="E465" s="159" t="s">
        <v>283</v>
      </c>
      <c r="F465" s="165">
        <v>27078</v>
      </c>
      <c r="G465" s="165"/>
      <c r="H465" s="159" t="s">
        <v>14</v>
      </c>
      <c r="I465" s="166" t="s">
        <v>15</v>
      </c>
      <c r="J465" s="166"/>
      <c r="K465" s="162" t="s">
        <v>8</v>
      </c>
      <c r="L465" s="163">
        <v>2173615.9900000002</v>
      </c>
    </row>
    <row r="466" spans="1:12" ht="61.2" hidden="1" x14ac:dyDescent="0.3">
      <c r="A466" s="157" t="s">
        <v>1200</v>
      </c>
      <c r="B466" s="158" t="s">
        <v>1230</v>
      </c>
      <c r="C466" s="158" t="s">
        <v>1233</v>
      </c>
      <c r="D466" s="158" t="s">
        <v>907</v>
      </c>
      <c r="E466" s="159" t="s">
        <v>283</v>
      </c>
      <c r="F466" s="165">
        <v>10725</v>
      </c>
      <c r="G466" s="165"/>
      <c r="H466" s="159" t="s">
        <v>14</v>
      </c>
      <c r="I466" s="166" t="s">
        <v>15</v>
      </c>
      <c r="J466" s="166"/>
      <c r="K466" s="162" t="s">
        <v>8</v>
      </c>
      <c r="L466" s="163">
        <v>2184340.9900000002</v>
      </c>
    </row>
    <row r="467" spans="1:12" ht="61.2" hidden="1" x14ac:dyDescent="0.3">
      <c r="A467" s="157" t="s">
        <v>1200</v>
      </c>
      <c r="B467" s="158" t="s">
        <v>1234</v>
      </c>
      <c r="C467" s="158" t="s">
        <v>1235</v>
      </c>
      <c r="D467" s="158" t="s">
        <v>1236</v>
      </c>
      <c r="E467" s="159" t="s">
        <v>283</v>
      </c>
      <c r="F467" s="165">
        <v>4320</v>
      </c>
      <c r="G467" s="165"/>
      <c r="H467" s="159" t="s">
        <v>14</v>
      </c>
      <c r="I467" s="166" t="s">
        <v>15</v>
      </c>
      <c r="J467" s="166"/>
      <c r="K467" s="162" t="s">
        <v>8</v>
      </c>
      <c r="L467" s="163">
        <v>2188660.9900000002</v>
      </c>
    </row>
    <row r="468" spans="1:12" ht="71.400000000000006" x14ac:dyDescent="0.3">
      <c r="A468" s="157" t="s">
        <v>1200</v>
      </c>
      <c r="B468" s="158" t="s">
        <v>1237</v>
      </c>
      <c r="C468" s="158" t="s">
        <v>611</v>
      </c>
      <c r="D468" s="158" t="s">
        <v>1021</v>
      </c>
      <c r="E468" s="159" t="s">
        <v>613</v>
      </c>
      <c r="F468" s="160" t="s">
        <v>15</v>
      </c>
      <c r="G468" s="160"/>
      <c r="H468" s="159" t="s">
        <v>283</v>
      </c>
      <c r="I468" s="161">
        <v>24681</v>
      </c>
      <c r="J468" s="161"/>
      <c r="K468" s="162" t="s">
        <v>8</v>
      </c>
      <c r="L468" s="163">
        <v>6976125.4500000002</v>
      </c>
    </row>
    <row r="469" spans="1:12" ht="71.400000000000006" x14ac:dyDescent="0.3">
      <c r="A469" s="157" t="s">
        <v>1200</v>
      </c>
      <c r="B469" s="158" t="s">
        <v>1237</v>
      </c>
      <c r="C469" s="158" t="s">
        <v>611</v>
      </c>
      <c r="D469" s="158" t="s">
        <v>1023</v>
      </c>
      <c r="E469" s="159" t="s">
        <v>613</v>
      </c>
      <c r="F469" s="160" t="s">
        <v>15</v>
      </c>
      <c r="G469" s="160"/>
      <c r="H469" s="159" t="s">
        <v>283</v>
      </c>
      <c r="I469" s="161">
        <v>109406</v>
      </c>
      <c r="J469" s="161"/>
      <c r="K469" s="162" t="s">
        <v>8</v>
      </c>
      <c r="L469" s="163">
        <v>6866719.4500000002</v>
      </c>
    </row>
    <row r="470" spans="1:12" ht="71.400000000000006" x14ac:dyDescent="0.3">
      <c r="A470" s="157" t="s">
        <v>1200</v>
      </c>
      <c r="B470" s="158" t="s">
        <v>1237</v>
      </c>
      <c r="C470" s="158" t="s">
        <v>611</v>
      </c>
      <c r="D470" s="158" t="s">
        <v>1024</v>
      </c>
      <c r="E470" s="159" t="s">
        <v>613</v>
      </c>
      <c r="F470" s="160" t="s">
        <v>15</v>
      </c>
      <c r="G470" s="160"/>
      <c r="H470" s="159" t="s">
        <v>283</v>
      </c>
      <c r="I470" s="161">
        <v>106104</v>
      </c>
      <c r="J470" s="161"/>
      <c r="K470" s="162" t="s">
        <v>8</v>
      </c>
      <c r="L470" s="163">
        <v>6760615.4500000002</v>
      </c>
    </row>
    <row r="471" spans="1:12" ht="71.400000000000006" x14ac:dyDescent="0.3">
      <c r="A471" s="157" t="s">
        <v>1200</v>
      </c>
      <c r="B471" s="158" t="s">
        <v>1237</v>
      </c>
      <c r="C471" s="158" t="s">
        <v>611</v>
      </c>
      <c r="D471" s="158" t="s">
        <v>1025</v>
      </c>
      <c r="E471" s="159" t="s">
        <v>613</v>
      </c>
      <c r="F471" s="160" t="s">
        <v>15</v>
      </c>
      <c r="G471" s="160"/>
      <c r="H471" s="159" t="s">
        <v>283</v>
      </c>
      <c r="I471" s="161">
        <v>154658</v>
      </c>
      <c r="J471" s="161"/>
      <c r="K471" s="162" t="s">
        <v>8</v>
      </c>
      <c r="L471" s="163">
        <v>6605957.4500000002</v>
      </c>
    </row>
    <row r="472" spans="1:12" ht="71.400000000000006" x14ac:dyDescent="0.3">
      <c r="A472" s="157" t="s">
        <v>1200</v>
      </c>
      <c r="B472" s="158" t="s">
        <v>1237</v>
      </c>
      <c r="C472" s="158" t="s">
        <v>611</v>
      </c>
      <c r="D472" s="158" t="s">
        <v>1026</v>
      </c>
      <c r="E472" s="159" t="s">
        <v>613</v>
      </c>
      <c r="F472" s="160" t="s">
        <v>15</v>
      </c>
      <c r="G472" s="160"/>
      <c r="H472" s="159" t="s">
        <v>283</v>
      </c>
      <c r="I472" s="161">
        <v>36597</v>
      </c>
      <c r="J472" s="161"/>
      <c r="K472" s="162" t="s">
        <v>8</v>
      </c>
      <c r="L472" s="163">
        <v>6569360.4500000002</v>
      </c>
    </row>
    <row r="473" spans="1:12" ht="71.400000000000006" x14ac:dyDescent="0.3">
      <c r="A473" s="157" t="s">
        <v>1200</v>
      </c>
      <c r="B473" s="158" t="s">
        <v>1237</v>
      </c>
      <c r="C473" s="158" t="s">
        <v>611</v>
      </c>
      <c r="D473" s="158" t="s">
        <v>1027</v>
      </c>
      <c r="E473" s="159" t="s">
        <v>613</v>
      </c>
      <c r="F473" s="160" t="s">
        <v>15</v>
      </c>
      <c r="G473" s="160"/>
      <c r="H473" s="159" t="s">
        <v>283</v>
      </c>
      <c r="I473" s="161">
        <v>9503</v>
      </c>
      <c r="J473" s="161"/>
      <c r="K473" s="162" t="s">
        <v>8</v>
      </c>
      <c r="L473" s="163">
        <v>6559857.4500000002</v>
      </c>
    </row>
    <row r="474" spans="1:12" ht="71.400000000000006" x14ac:dyDescent="0.3">
      <c r="A474" s="157" t="s">
        <v>1200</v>
      </c>
      <c r="B474" s="158" t="s">
        <v>1237</v>
      </c>
      <c r="C474" s="158" t="s">
        <v>611</v>
      </c>
      <c r="D474" s="158" t="s">
        <v>1028</v>
      </c>
      <c r="E474" s="159" t="s">
        <v>613</v>
      </c>
      <c r="F474" s="160" t="s">
        <v>15</v>
      </c>
      <c r="G474" s="160"/>
      <c r="H474" s="159" t="s">
        <v>283</v>
      </c>
      <c r="I474" s="164">
        <v>640</v>
      </c>
      <c r="J474" s="164"/>
      <c r="K474" s="162" t="s">
        <v>8</v>
      </c>
      <c r="L474" s="163">
        <v>6559217.4500000002</v>
      </c>
    </row>
    <row r="475" spans="1:12" ht="71.400000000000006" x14ac:dyDescent="0.3">
      <c r="A475" s="157" t="s">
        <v>1200</v>
      </c>
      <c r="B475" s="158" t="s">
        <v>1237</v>
      </c>
      <c r="C475" s="158" t="s">
        <v>611</v>
      </c>
      <c r="D475" s="158" t="s">
        <v>1029</v>
      </c>
      <c r="E475" s="159" t="s">
        <v>613</v>
      </c>
      <c r="F475" s="160" t="s">
        <v>15</v>
      </c>
      <c r="G475" s="160"/>
      <c r="H475" s="159" t="s">
        <v>283</v>
      </c>
      <c r="I475" s="161">
        <v>14292</v>
      </c>
      <c r="J475" s="161"/>
      <c r="K475" s="162" t="s">
        <v>8</v>
      </c>
      <c r="L475" s="163">
        <v>6544925.4500000002</v>
      </c>
    </row>
    <row r="476" spans="1:12" ht="71.400000000000006" x14ac:dyDescent="0.3">
      <c r="A476" s="157" t="s">
        <v>1200</v>
      </c>
      <c r="B476" s="158" t="s">
        <v>1237</v>
      </c>
      <c r="C476" s="158" t="s">
        <v>611</v>
      </c>
      <c r="D476" s="158" t="s">
        <v>1030</v>
      </c>
      <c r="E476" s="159" t="s">
        <v>613</v>
      </c>
      <c r="F476" s="160" t="s">
        <v>15</v>
      </c>
      <c r="G476" s="160"/>
      <c r="H476" s="159" t="s">
        <v>283</v>
      </c>
      <c r="I476" s="161">
        <v>2087</v>
      </c>
      <c r="J476" s="161"/>
      <c r="K476" s="162" t="s">
        <v>8</v>
      </c>
      <c r="L476" s="163">
        <v>6542838.4500000002</v>
      </c>
    </row>
    <row r="477" spans="1:12" ht="71.400000000000006" x14ac:dyDescent="0.3">
      <c r="A477" s="157" t="s">
        <v>1200</v>
      </c>
      <c r="B477" s="158" t="s">
        <v>1237</v>
      </c>
      <c r="C477" s="158" t="s">
        <v>611</v>
      </c>
      <c r="D477" s="158" t="s">
        <v>1031</v>
      </c>
      <c r="E477" s="159" t="s">
        <v>613</v>
      </c>
      <c r="F477" s="160" t="s">
        <v>15</v>
      </c>
      <c r="G477" s="160"/>
      <c r="H477" s="159" t="s">
        <v>283</v>
      </c>
      <c r="I477" s="161">
        <v>47196</v>
      </c>
      <c r="J477" s="161"/>
      <c r="K477" s="162" t="s">
        <v>8</v>
      </c>
      <c r="L477" s="163">
        <v>6495642.4500000002</v>
      </c>
    </row>
    <row r="478" spans="1:12" ht="71.400000000000006" x14ac:dyDescent="0.3">
      <c r="A478" s="157" t="s">
        <v>1200</v>
      </c>
      <c r="B478" s="158" t="s">
        <v>1237</v>
      </c>
      <c r="C478" s="158" t="s">
        <v>611</v>
      </c>
      <c r="D478" s="158" t="s">
        <v>1032</v>
      </c>
      <c r="E478" s="159" t="s">
        <v>613</v>
      </c>
      <c r="F478" s="160" t="s">
        <v>15</v>
      </c>
      <c r="G478" s="160"/>
      <c r="H478" s="159" t="s">
        <v>283</v>
      </c>
      <c r="I478" s="161">
        <v>42183</v>
      </c>
      <c r="J478" s="161"/>
      <c r="K478" s="162" t="s">
        <v>8</v>
      </c>
      <c r="L478" s="163">
        <v>6453459.4500000002</v>
      </c>
    </row>
    <row r="479" spans="1:12" ht="71.400000000000006" x14ac:dyDescent="0.3">
      <c r="A479" s="157" t="s">
        <v>1200</v>
      </c>
      <c r="B479" s="158" t="s">
        <v>1237</v>
      </c>
      <c r="C479" s="158" t="s">
        <v>611</v>
      </c>
      <c r="D479" s="158" t="s">
        <v>1033</v>
      </c>
      <c r="E479" s="159" t="s">
        <v>613</v>
      </c>
      <c r="F479" s="160" t="s">
        <v>15</v>
      </c>
      <c r="G479" s="160"/>
      <c r="H479" s="159" t="s">
        <v>283</v>
      </c>
      <c r="I479" s="161">
        <v>10230</v>
      </c>
      <c r="J479" s="161"/>
      <c r="K479" s="162" t="s">
        <v>8</v>
      </c>
      <c r="L479" s="163">
        <v>6443229.4500000002</v>
      </c>
    </row>
    <row r="480" spans="1:12" ht="71.400000000000006" x14ac:dyDescent="0.3">
      <c r="A480" s="157" t="s">
        <v>1200</v>
      </c>
      <c r="B480" s="158" t="s">
        <v>1237</v>
      </c>
      <c r="C480" s="158" t="s">
        <v>611</v>
      </c>
      <c r="D480" s="158" t="s">
        <v>1034</v>
      </c>
      <c r="E480" s="159" t="s">
        <v>613</v>
      </c>
      <c r="F480" s="160" t="s">
        <v>15</v>
      </c>
      <c r="G480" s="160"/>
      <c r="H480" s="159" t="s">
        <v>283</v>
      </c>
      <c r="I480" s="161">
        <v>152880</v>
      </c>
      <c r="J480" s="161"/>
      <c r="K480" s="162" t="s">
        <v>8</v>
      </c>
      <c r="L480" s="163">
        <v>6290349.4500000002</v>
      </c>
    </row>
    <row r="481" spans="1:12" ht="71.400000000000006" x14ac:dyDescent="0.3">
      <c r="A481" s="157" t="s">
        <v>1200</v>
      </c>
      <c r="B481" s="158" t="s">
        <v>1237</v>
      </c>
      <c r="C481" s="158" t="s">
        <v>611</v>
      </c>
      <c r="D481" s="158" t="s">
        <v>1035</v>
      </c>
      <c r="E481" s="159" t="s">
        <v>613</v>
      </c>
      <c r="F481" s="160" t="s">
        <v>15</v>
      </c>
      <c r="G481" s="160"/>
      <c r="H481" s="159" t="s">
        <v>283</v>
      </c>
      <c r="I481" s="161">
        <v>353562</v>
      </c>
      <c r="J481" s="161"/>
      <c r="K481" s="162" t="s">
        <v>8</v>
      </c>
      <c r="L481" s="163">
        <v>5936787.4500000002</v>
      </c>
    </row>
    <row r="482" spans="1:12" ht="71.400000000000006" x14ac:dyDescent="0.3">
      <c r="A482" s="157" t="s">
        <v>1200</v>
      </c>
      <c r="B482" s="158" t="s">
        <v>1237</v>
      </c>
      <c r="C482" s="158" t="s">
        <v>611</v>
      </c>
      <c r="D482" s="158" t="s">
        <v>1036</v>
      </c>
      <c r="E482" s="159" t="s">
        <v>613</v>
      </c>
      <c r="F482" s="160" t="s">
        <v>15</v>
      </c>
      <c r="G482" s="160"/>
      <c r="H482" s="159" t="s">
        <v>283</v>
      </c>
      <c r="I482" s="161">
        <v>397980</v>
      </c>
      <c r="J482" s="161"/>
      <c r="K482" s="162" t="s">
        <v>8</v>
      </c>
      <c r="L482" s="163">
        <v>5538807.4500000002</v>
      </c>
    </row>
    <row r="483" spans="1:12" ht="71.400000000000006" x14ac:dyDescent="0.3">
      <c r="A483" s="157" t="s">
        <v>1200</v>
      </c>
      <c r="B483" s="158" t="s">
        <v>1237</v>
      </c>
      <c r="C483" s="158" t="s">
        <v>611</v>
      </c>
      <c r="D483" s="158" t="s">
        <v>1037</v>
      </c>
      <c r="E483" s="159" t="s">
        <v>613</v>
      </c>
      <c r="F483" s="160" t="s">
        <v>15</v>
      </c>
      <c r="G483" s="160"/>
      <c r="H483" s="159" t="s">
        <v>283</v>
      </c>
      <c r="I483" s="161">
        <v>966735</v>
      </c>
      <c r="J483" s="161"/>
      <c r="K483" s="162" t="s">
        <v>8</v>
      </c>
      <c r="L483" s="163">
        <v>4572072.45</v>
      </c>
    </row>
    <row r="484" spans="1:12" ht="71.400000000000006" x14ac:dyDescent="0.3">
      <c r="A484" s="157" t="s">
        <v>1200</v>
      </c>
      <c r="B484" s="158" t="s">
        <v>1237</v>
      </c>
      <c r="C484" s="158" t="s">
        <v>611</v>
      </c>
      <c r="D484" s="158" t="s">
        <v>1038</v>
      </c>
      <c r="E484" s="159" t="s">
        <v>613</v>
      </c>
      <c r="F484" s="160" t="s">
        <v>15</v>
      </c>
      <c r="G484" s="160"/>
      <c r="H484" s="159" t="s">
        <v>283</v>
      </c>
      <c r="I484" s="161">
        <v>82170</v>
      </c>
      <c r="J484" s="161"/>
      <c r="K484" s="162" t="s">
        <v>8</v>
      </c>
      <c r="L484" s="163">
        <v>4489902.45</v>
      </c>
    </row>
    <row r="485" spans="1:12" ht="71.400000000000006" x14ac:dyDescent="0.3">
      <c r="A485" s="157" t="s">
        <v>1200</v>
      </c>
      <c r="B485" s="158" t="s">
        <v>1237</v>
      </c>
      <c r="C485" s="158" t="s">
        <v>611</v>
      </c>
      <c r="D485" s="158" t="s">
        <v>1039</v>
      </c>
      <c r="E485" s="159" t="s">
        <v>613</v>
      </c>
      <c r="F485" s="160" t="s">
        <v>15</v>
      </c>
      <c r="G485" s="160"/>
      <c r="H485" s="159" t="s">
        <v>283</v>
      </c>
      <c r="I485" s="161">
        <v>42837</v>
      </c>
      <c r="J485" s="161"/>
      <c r="K485" s="162" t="s">
        <v>8</v>
      </c>
      <c r="L485" s="163">
        <v>4447065.45</v>
      </c>
    </row>
    <row r="486" spans="1:12" ht="71.400000000000006" x14ac:dyDescent="0.3">
      <c r="A486" s="157" t="s">
        <v>1200</v>
      </c>
      <c r="B486" s="158" t="s">
        <v>1237</v>
      </c>
      <c r="C486" s="158" t="s">
        <v>611</v>
      </c>
      <c r="D486" s="158" t="s">
        <v>1040</v>
      </c>
      <c r="E486" s="159" t="s">
        <v>613</v>
      </c>
      <c r="F486" s="160" t="s">
        <v>15</v>
      </c>
      <c r="G486" s="160"/>
      <c r="H486" s="159" t="s">
        <v>283</v>
      </c>
      <c r="I486" s="161">
        <v>56628</v>
      </c>
      <c r="J486" s="161"/>
      <c r="K486" s="162" t="s">
        <v>8</v>
      </c>
      <c r="L486" s="163">
        <v>4390437.45</v>
      </c>
    </row>
    <row r="487" spans="1:12" ht="71.400000000000006" x14ac:dyDescent="0.3">
      <c r="A487" s="157" t="s">
        <v>1200</v>
      </c>
      <c r="B487" s="158" t="s">
        <v>1237</v>
      </c>
      <c r="C487" s="158" t="s">
        <v>611</v>
      </c>
      <c r="D487" s="158" t="s">
        <v>1041</v>
      </c>
      <c r="E487" s="159" t="s">
        <v>613</v>
      </c>
      <c r="F487" s="160" t="s">
        <v>15</v>
      </c>
      <c r="G487" s="160"/>
      <c r="H487" s="159" t="s">
        <v>283</v>
      </c>
      <c r="I487" s="161">
        <v>210078</v>
      </c>
      <c r="J487" s="161"/>
      <c r="K487" s="162" t="s">
        <v>8</v>
      </c>
      <c r="L487" s="163">
        <v>4180359.45</v>
      </c>
    </row>
    <row r="488" spans="1:12" ht="71.400000000000006" x14ac:dyDescent="0.3">
      <c r="A488" s="157" t="s">
        <v>1200</v>
      </c>
      <c r="B488" s="158" t="s">
        <v>1237</v>
      </c>
      <c r="C488" s="158" t="s">
        <v>611</v>
      </c>
      <c r="D488" s="158" t="s">
        <v>1042</v>
      </c>
      <c r="E488" s="159" t="s">
        <v>613</v>
      </c>
      <c r="F488" s="160" t="s">
        <v>15</v>
      </c>
      <c r="G488" s="160"/>
      <c r="H488" s="159" t="s">
        <v>283</v>
      </c>
      <c r="I488" s="161">
        <v>169488</v>
      </c>
      <c r="J488" s="161"/>
      <c r="K488" s="162" t="s">
        <v>8</v>
      </c>
      <c r="L488" s="163">
        <v>4010871.45</v>
      </c>
    </row>
    <row r="489" spans="1:12" ht="71.400000000000006" x14ac:dyDescent="0.3">
      <c r="A489" s="157" t="s">
        <v>1200</v>
      </c>
      <c r="B489" s="158" t="s">
        <v>1237</v>
      </c>
      <c r="C489" s="158" t="s">
        <v>611</v>
      </c>
      <c r="D489" s="158" t="s">
        <v>1043</v>
      </c>
      <c r="E489" s="159" t="s">
        <v>613</v>
      </c>
      <c r="F489" s="160" t="s">
        <v>15</v>
      </c>
      <c r="G489" s="160"/>
      <c r="H489" s="159" t="s">
        <v>283</v>
      </c>
      <c r="I489" s="161">
        <v>90364</v>
      </c>
      <c r="J489" s="161"/>
      <c r="K489" s="162" t="s">
        <v>8</v>
      </c>
      <c r="L489" s="163">
        <v>3920507.45</v>
      </c>
    </row>
    <row r="490" spans="1:12" ht="71.400000000000006" x14ac:dyDescent="0.3">
      <c r="A490" s="157" t="s">
        <v>1200</v>
      </c>
      <c r="B490" s="158" t="s">
        <v>1237</v>
      </c>
      <c r="C490" s="158" t="s">
        <v>611</v>
      </c>
      <c r="D490" s="158" t="s">
        <v>1044</v>
      </c>
      <c r="E490" s="159" t="s">
        <v>613</v>
      </c>
      <c r="F490" s="160" t="s">
        <v>15</v>
      </c>
      <c r="G490" s="160"/>
      <c r="H490" s="159" t="s">
        <v>283</v>
      </c>
      <c r="I490" s="161">
        <v>143276</v>
      </c>
      <c r="J490" s="161"/>
      <c r="K490" s="162" t="s">
        <v>8</v>
      </c>
      <c r="L490" s="163">
        <v>3777231.45</v>
      </c>
    </row>
    <row r="491" spans="1:12" ht="71.400000000000006" x14ac:dyDescent="0.3">
      <c r="A491" s="157" t="s">
        <v>1200</v>
      </c>
      <c r="B491" s="158" t="s">
        <v>1237</v>
      </c>
      <c r="C491" s="158" t="s">
        <v>611</v>
      </c>
      <c r="D491" s="158" t="s">
        <v>1045</v>
      </c>
      <c r="E491" s="159" t="s">
        <v>613</v>
      </c>
      <c r="F491" s="160" t="s">
        <v>15</v>
      </c>
      <c r="G491" s="160"/>
      <c r="H491" s="159" t="s">
        <v>283</v>
      </c>
      <c r="I491" s="161">
        <v>120562</v>
      </c>
      <c r="J491" s="161"/>
      <c r="K491" s="162" t="s">
        <v>8</v>
      </c>
      <c r="L491" s="163">
        <v>3656669.45</v>
      </c>
    </row>
    <row r="492" spans="1:12" ht="71.400000000000006" x14ac:dyDescent="0.3">
      <c r="A492" s="157" t="s">
        <v>1200</v>
      </c>
      <c r="B492" s="158" t="s">
        <v>1237</v>
      </c>
      <c r="C492" s="158" t="s">
        <v>611</v>
      </c>
      <c r="D492" s="158" t="s">
        <v>1046</v>
      </c>
      <c r="E492" s="159" t="s">
        <v>613</v>
      </c>
      <c r="F492" s="160" t="s">
        <v>15</v>
      </c>
      <c r="G492" s="160"/>
      <c r="H492" s="159" t="s">
        <v>283</v>
      </c>
      <c r="I492" s="161">
        <v>406259</v>
      </c>
      <c r="J492" s="161"/>
      <c r="K492" s="162" t="s">
        <v>8</v>
      </c>
      <c r="L492" s="163">
        <v>3250410.45</v>
      </c>
    </row>
    <row r="493" spans="1:12" ht="71.400000000000006" x14ac:dyDescent="0.3">
      <c r="A493" s="157" t="s">
        <v>1200</v>
      </c>
      <c r="B493" s="158" t="s">
        <v>1237</v>
      </c>
      <c r="C493" s="158" t="s">
        <v>611</v>
      </c>
      <c r="D493" s="158" t="s">
        <v>1047</v>
      </c>
      <c r="E493" s="159" t="s">
        <v>613</v>
      </c>
      <c r="F493" s="160" t="s">
        <v>15</v>
      </c>
      <c r="G493" s="160"/>
      <c r="H493" s="159" t="s">
        <v>283</v>
      </c>
      <c r="I493" s="164">
        <v>312</v>
      </c>
      <c r="J493" s="164"/>
      <c r="K493" s="162" t="s">
        <v>8</v>
      </c>
      <c r="L493" s="163">
        <v>3250098.45</v>
      </c>
    </row>
    <row r="494" spans="1:12" ht="71.400000000000006" x14ac:dyDescent="0.3">
      <c r="A494" s="157" t="s">
        <v>1200</v>
      </c>
      <c r="B494" s="158" t="s">
        <v>1237</v>
      </c>
      <c r="C494" s="158" t="s">
        <v>611</v>
      </c>
      <c r="D494" s="158" t="s">
        <v>1048</v>
      </c>
      <c r="E494" s="159" t="s">
        <v>613</v>
      </c>
      <c r="F494" s="160" t="s">
        <v>15</v>
      </c>
      <c r="G494" s="160"/>
      <c r="H494" s="159" t="s">
        <v>283</v>
      </c>
      <c r="I494" s="164">
        <v>784</v>
      </c>
      <c r="J494" s="164"/>
      <c r="K494" s="162" t="s">
        <v>8</v>
      </c>
      <c r="L494" s="163">
        <v>3249314.45</v>
      </c>
    </row>
    <row r="495" spans="1:12" ht="71.400000000000006" x14ac:dyDescent="0.3">
      <c r="A495" s="157" t="s">
        <v>1200</v>
      </c>
      <c r="B495" s="158" t="s">
        <v>1237</v>
      </c>
      <c r="C495" s="158" t="s">
        <v>611</v>
      </c>
      <c r="D495" s="158" t="s">
        <v>1049</v>
      </c>
      <c r="E495" s="159" t="s">
        <v>613</v>
      </c>
      <c r="F495" s="160" t="s">
        <v>15</v>
      </c>
      <c r="G495" s="160"/>
      <c r="H495" s="159" t="s">
        <v>283</v>
      </c>
      <c r="I495" s="161">
        <v>3128</v>
      </c>
      <c r="J495" s="161"/>
      <c r="K495" s="162" t="s">
        <v>8</v>
      </c>
      <c r="L495" s="163">
        <v>3246186.45</v>
      </c>
    </row>
    <row r="496" spans="1:12" ht="71.400000000000006" x14ac:dyDescent="0.3">
      <c r="A496" s="157" t="s">
        <v>1200</v>
      </c>
      <c r="B496" s="158" t="s">
        <v>1237</v>
      </c>
      <c r="C496" s="158" t="s">
        <v>611</v>
      </c>
      <c r="D496" s="158" t="s">
        <v>1050</v>
      </c>
      <c r="E496" s="159" t="s">
        <v>613</v>
      </c>
      <c r="F496" s="160" t="s">
        <v>15</v>
      </c>
      <c r="G496" s="160"/>
      <c r="H496" s="159" t="s">
        <v>283</v>
      </c>
      <c r="I496" s="161">
        <v>4918</v>
      </c>
      <c r="J496" s="161"/>
      <c r="K496" s="162" t="s">
        <v>8</v>
      </c>
      <c r="L496" s="163">
        <v>3241268.45</v>
      </c>
    </row>
    <row r="497" spans="1:12" ht="71.400000000000006" x14ac:dyDescent="0.3">
      <c r="A497" s="157" t="s">
        <v>1200</v>
      </c>
      <c r="B497" s="158" t="s">
        <v>1237</v>
      </c>
      <c r="C497" s="158" t="s">
        <v>611</v>
      </c>
      <c r="D497" s="158" t="s">
        <v>1051</v>
      </c>
      <c r="E497" s="159" t="s">
        <v>613</v>
      </c>
      <c r="F497" s="160" t="s">
        <v>15</v>
      </c>
      <c r="G497" s="160"/>
      <c r="H497" s="159" t="s">
        <v>283</v>
      </c>
      <c r="I497" s="161">
        <v>5145</v>
      </c>
      <c r="J497" s="161"/>
      <c r="K497" s="162" t="s">
        <v>8</v>
      </c>
      <c r="L497" s="163">
        <v>3236123.45</v>
      </c>
    </row>
    <row r="498" spans="1:12" ht="71.400000000000006" x14ac:dyDescent="0.3">
      <c r="A498" s="157" t="s">
        <v>1200</v>
      </c>
      <c r="B498" s="158" t="s">
        <v>1237</v>
      </c>
      <c r="C498" s="158" t="s">
        <v>611</v>
      </c>
      <c r="D498" s="158" t="s">
        <v>1052</v>
      </c>
      <c r="E498" s="159" t="s">
        <v>613</v>
      </c>
      <c r="F498" s="160" t="s">
        <v>15</v>
      </c>
      <c r="G498" s="160"/>
      <c r="H498" s="159" t="s">
        <v>283</v>
      </c>
      <c r="I498" s="161">
        <v>111540</v>
      </c>
      <c r="J498" s="161"/>
      <c r="K498" s="162" t="s">
        <v>8</v>
      </c>
      <c r="L498" s="163">
        <v>3124583.45</v>
      </c>
    </row>
    <row r="499" spans="1:12" ht="71.400000000000006" x14ac:dyDescent="0.3">
      <c r="A499" s="157" t="s">
        <v>1200</v>
      </c>
      <c r="B499" s="158" t="s">
        <v>1237</v>
      </c>
      <c r="C499" s="158" t="s">
        <v>611</v>
      </c>
      <c r="D499" s="158" t="s">
        <v>1053</v>
      </c>
      <c r="E499" s="159" t="s">
        <v>613</v>
      </c>
      <c r="F499" s="160" t="s">
        <v>15</v>
      </c>
      <c r="G499" s="160"/>
      <c r="H499" s="159" t="s">
        <v>283</v>
      </c>
      <c r="I499" s="161">
        <v>62619</v>
      </c>
      <c r="J499" s="161"/>
      <c r="K499" s="162" t="s">
        <v>8</v>
      </c>
      <c r="L499" s="163">
        <v>3061964.45</v>
      </c>
    </row>
    <row r="500" spans="1:12" ht="71.400000000000006" x14ac:dyDescent="0.3">
      <c r="A500" s="157" t="s">
        <v>1200</v>
      </c>
      <c r="B500" s="158" t="s">
        <v>1237</v>
      </c>
      <c r="C500" s="158" t="s">
        <v>611</v>
      </c>
      <c r="D500" s="158" t="s">
        <v>1054</v>
      </c>
      <c r="E500" s="159" t="s">
        <v>613</v>
      </c>
      <c r="F500" s="160" t="s">
        <v>15</v>
      </c>
      <c r="G500" s="160"/>
      <c r="H500" s="159" t="s">
        <v>283</v>
      </c>
      <c r="I500" s="161">
        <v>2541</v>
      </c>
      <c r="J500" s="161"/>
      <c r="K500" s="162" t="s">
        <v>8</v>
      </c>
      <c r="L500" s="163">
        <v>3059423.45</v>
      </c>
    </row>
    <row r="501" spans="1:12" ht="71.400000000000006" x14ac:dyDescent="0.3">
      <c r="A501" s="157" t="s">
        <v>1200</v>
      </c>
      <c r="B501" s="158" t="s">
        <v>1237</v>
      </c>
      <c r="C501" s="158" t="s">
        <v>611</v>
      </c>
      <c r="D501" s="158" t="s">
        <v>1055</v>
      </c>
      <c r="E501" s="159" t="s">
        <v>613</v>
      </c>
      <c r="F501" s="160" t="s">
        <v>15</v>
      </c>
      <c r="G501" s="160"/>
      <c r="H501" s="159" t="s">
        <v>283</v>
      </c>
      <c r="I501" s="161">
        <v>140679</v>
      </c>
      <c r="J501" s="161"/>
      <c r="K501" s="162" t="s">
        <v>8</v>
      </c>
      <c r="L501" s="163">
        <v>2918744.45</v>
      </c>
    </row>
    <row r="502" spans="1:12" ht="71.400000000000006" x14ac:dyDescent="0.3">
      <c r="A502" s="157" t="s">
        <v>1200</v>
      </c>
      <c r="B502" s="158" t="s">
        <v>1237</v>
      </c>
      <c r="C502" s="158" t="s">
        <v>611</v>
      </c>
      <c r="D502" s="158" t="s">
        <v>1056</v>
      </c>
      <c r="E502" s="159" t="s">
        <v>613</v>
      </c>
      <c r="F502" s="160" t="s">
        <v>15</v>
      </c>
      <c r="G502" s="160"/>
      <c r="H502" s="159" t="s">
        <v>283</v>
      </c>
      <c r="I502" s="161">
        <v>23760</v>
      </c>
      <c r="J502" s="161"/>
      <c r="K502" s="162" t="s">
        <v>8</v>
      </c>
      <c r="L502" s="163">
        <v>2894984.45</v>
      </c>
    </row>
    <row r="503" spans="1:12" ht="71.400000000000006" x14ac:dyDescent="0.3">
      <c r="A503" s="157" t="s">
        <v>1200</v>
      </c>
      <c r="B503" s="158" t="s">
        <v>1237</v>
      </c>
      <c r="C503" s="158" t="s">
        <v>611</v>
      </c>
      <c r="D503" s="158" t="s">
        <v>1057</v>
      </c>
      <c r="E503" s="159" t="s">
        <v>613</v>
      </c>
      <c r="F503" s="160" t="s">
        <v>15</v>
      </c>
      <c r="G503" s="160"/>
      <c r="H503" s="159" t="s">
        <v>283</v>
      </c>
      <c r="I503" s="161">
        <v>11488</v>
      </c>
      <c r="J503" s="161"/>
      <c r="K503" s="162" t="s">
        <v>8</v>
      </c>
      <c r="L503" s="163">
        <v>2883496.45</v>
      </c>
    </row>
    <row r="504" spans="1:12" ht="71.400000000000006" x14ac:dyDescent="0.3">
      <c r="A504" s="157" t="s">
        <v>1200</v>
      </c>
      <c r="B504" s="158" t="s">
        <v>1237</v>
      </c>
      <c r="C504" s="158" t="s">
        <v>611</v>
      </c>
      <c r="D504" s="158" t="s">
        <v>1058</v>
      </c>
      <c r="E504" s="159" t="s">
        <v>613</v>
      </c>
      <c r="F504" s="160" t="s">
        <v>15</v>
      </c>
      <c r="G504" s="160"/>
      <c r="H504" s="159" t="s">
        <v>283</v>
      </c>
      <c r="I504" s="161">
        <v>11137</v>
      </c>
      <c r="J504" s="161"/>
      <c r="K504" s="162" t="s">
        <v>8</v>
      </c>
      <c r="L504" s="163">
        <v>2872359.45</v>
      </c>
    </row>
    <row r="505" spans="1:12" ht="71.400000000000006" x14ac:dyDescent="0.3">
      <c r="A505" s="157" t="s">
        <v>1200</v>
      </c>
      <c r="B505" s="158" t="s">
        <v>1237</v>
      </c>
      <c r="C505" s="158" t="s">
        <v>611</v>
      </c>
      <c r="D505" s="158" t="s">
        <v>1059</v>
      </c>
      <c r="E505" s="159" t="s">
        <v>613</v>
      </c>
      <c r="F505" s="160" t="s">
        <v>15</v>
      </c>
      <c r="G505" s="160"/>
      <c r="H505" s="159" t="s">
        <v>283</v>
      </c>
      <c r="I505" s="161">
        <v>30640</v>
      </c>
      <c r="J505" s="161"/>
      <c r="K505" s="162" t="s">
        <v>8</v>
      </c>
      <c r="L505" s="163">
        <v>2841719.45</v>
      </c>
    </row>
    <row r="506" spans="1:12" ht="71.400000000000006" x14ac:dyDescent="0.3">
      <c r="A506" s="157" t="s">
        <v>1200</v>
      </c>
      <c r="B506" s="158" t="s">
        <v>1237</v>
      </c>
      <c r="C506" s="158" t="s">
        <v>611</v>
      </c>
      <c r="D506" s="158" t="s">
        <v>1060</v>
      </c>
      <c r="E506" s="159" t="s">
        <v>613</v>
      </c>
      <c r="F506" s="160" t="s">
        <v>15</v>
      </c>
      <c r="G506" s="160"/>
      <c r="H506" s="159" t="s">
        <v>283</v>
      </c>
      <c r="I506" s="161">
        <v>8370</v>
      </c>
      <c r="J506" s="161"/>
      <c r="K506" s="162" t="s">
        <v>8</v>
      </c>
      <c r="L506" s="163">
        <v>2833349.45</v>
      </c>
    </row>
    <row r="507" spans="1:12" ht="71.400000000000006" x14ac:dyDescent="0.3">
      <c r="A507" s="157" t="s">
        <v>1200</v>
      </c>
      <c r="B507" s="158" t="s">
        <v>1237</v>
      </c>
      <c r="C507" s="158" t="s">
        <v>611</v>
      </c>
      <c r="D507" s="158" t="s">
        <v>1061</v>
      </c>
      <c r="E507" s="159" t="s">
        <v>613</v>
      </c>
      <c r="F507" s="160" t="s">
        <v>15</v>
      </c>
      <c r="G507" s="160"/>
      <c r="H507" s="159" t="s">
        <v>283</v>
      </c>
      <c r="I507" s="161">
        <v>4356</v>
      </c>
      <c r="J507" s="161"/>
      <c r="K507" s="162" t="s">
        <v>8</v>
      </c>
      <c r="L507" s="163">
        <v>2828993.45</v>
      </c>
    </row>
    <row r="508" spans="1:12" ht="71.400000000000006" x14ac:dyDescent="0.3">
      <c r="A508" s="157" t="s">
        <v>1200</v>
      </c>
      <c r="B508" s="158" t="s">
        <v>1237</v>
      </c>
      <c r="C508" s="158" t="s">
        <v>611</v>
      </c>
      <c r="D508" s="158" t="s">
        <v>1062</v>
      </c>
      <c r="E508" s="159" t="s">
        <v>613</v>
      </c>
      <c r="F508" s="160" t="s">
        <v>15</v>
      </c>
      <c r="G508" s="160"/>
      <c r="H508" s="159" t="s">
        <v>283</v>
      </c>
      <c r="I508" s="161">
        <v>3234</v>
      </c>
      <c r="J508" s="161"/>
      <c r="K508" s="162" t="s">
        <v>8</v>
      </c>
      <c r="L508" s="163">
        <v>2825759.45</v>
      </c>
    </row>
    <row r="509" spans="1:12" ht="71.400000000000006" x14ac:dyDescent="0.3">
      <c r="A509" s="157" t="s">
        <v>1200</v>
      </c>
      <c r="B509" s="158" t="s">
        <v>1237</v>
      </c>
      <c r="C509" s="158" t="s">
        <v>611</v>
      </c>
      <c r="D509" s="158" t="s">
        <v>1063</v>
      </c>
      <c r="E509" s="159" t="s">
        <v>613</v>
      </c>
      <c r="F509" s="160" t="s">
        <v>15</v>
      </c>
      <c r="G509" s="160"/>
      <c r="H509" s="159" t="s">
        <v>283</v>
      </c>
      <c r="I509" s="161">
        <v>9820</v>
      </c>
      <c r="J509" s="161"/>
      <c r="K509" s="162" t="s">
        <v>8</v>
      </c>
      <c r="L509" s="163">
        <v>2815939.45</v>
      </c>
    </row>
    <row r="510" spans="1:12" ht="71.400000000000006" x14ac:dyDescent="0.3">
      <c r="A510" s="157" t="s">
        <v>1200</v>
      </c>
      <c r="B510" s="158" t="s">
        <v>1237</v>
      </c>
      <c r="C510" s="158" t="s">
        <v>611</v>
      </c>
      <c r="D510" s="158" t="s">
        <v>1064</v>
      </c>
      <c r="E510" s="159" t="s">
        <v>613</v>
      </c>
      <c r="F510" s="160" t="s">
        <v>15</v>
      </c>
      <c r="G510" s="160"/>
      <c r="H510" s="159" t="s">
        <v>283</v>
      </c>
      <c r="I510" s="161">
        <v>9332</v>
      </c>
      <c r="J510" s="161"/>
      <c r="K510" s="162" t="s">
        <v>8</v>
      </c>
      <c r="L510" s="163">
        <v>2806607.45</v>
      </c>
    </row>
    <row r="511" spans="1:12" ht="71.400000000000006" x14ac:dyDescent="0.3">
      <c r="A511" s="157" t="s">
        <v>1200</v>
      </c>
      <c r="B511" s="158" t="s">
        <v>1237</v>
      </c>
      <c r="C511" s="158" t="s">
        <v>611</v>
      </c>
      <c r="D511" s="158" t="s">
        <v>1065</v>
      </c>
      <c r="E511" s="159" t="s">
        <v>613</v>
      </c>
      <c r="F511" s="160" t="s">
        <v>15</v>
      </c>
      <c r="G511" s="160"/>
      <c r="H511" s="159" t="s">
        <v>283</v>
      </c>
      <c r="I511" s="161">
        <v>14174</v>
      </c>
      <c r="J511" s="161"/>
      <c r="K511" s="162" t="s">
        <v>8</v>
      </c>
      <c r="L511" s="163">
        <v>2792433.45</v>
      </c>
    </row>
    <row r="512" spans="1:12" ht="71.400000000000006" x14ac:dyDescent="0.3">
      <c r="A512" s="157" t="s">
        <v>1200</v>
      </c>
      <c r="B512" s="158" t="s">
        <v>1237</v>
      </c>
      <c r="C512" s="158" t="s">
        <v>611</v>
      </c>
      <c r="D512" s="158" t="s">
        <v>1066</v>
      </c>
      <c r="E512" s="159" t="s">
        <v>613</v>
      </c>
      <c r="F512" s="160" t="s">
        <v>15</v>
      </c>
      <c r="G512" s="160"/>
      <c r="H512" s="159" t="s">
        <v>283</v>
      </c>
      <c r="I512" s="161">
        <v>11517</v>
      </c>
      <c r="J512" s="161"/>
      <c r="K512" s="162" t="s">
        <v>8</v>
      </c>
      <c r="L512" s="163">
        <v>2780916.45</v>
      </c>
    </row>
    <row r="513" spans="1:12" ht="71.400000000000006" x14ac:dyDescent="0.3">
      <c r="A513" s="157" t="s">
        <v>1200</v>
      </c>
      <c r="B513" s="158" t="s">
        <v>1237</v>
      </c>
      <c r="C513" s="158" t="s">
        <v>611</v>
      </c>
      <c r="D513" s="158" t="s">
        <v>1067</v>
      </c>
      <c r="E513" s="159" t="s">
        <v>613</v>
      </c>
      <c r="F513" s="160" t="s">
        <v>15</v>
      </c>
      <c r="G513" s="160"/>
      <c r="H513" s="159" t="s">
        <v>283</v>
      </c>
      <c r="I513" s="161">
        <v>41745</v>
      </c>
      <c r="J513" s="161"/>
      <c r="K513" s="162" t="s">
        <v>8</v>
      </c>
      <c r="L513" s="163">
        <v>2739171.45</v>
      </c>
    </row>
    <row r="514" spans="1:12" ht="71.400000000000006" x14ac:dyDescent="0.3">
      <c r="A514" s="157" t="s">
        <v>1200</v>
      </c>
      <c r="B514" s="158" t="s">
        <v>1237</v>
      </c>
      <c r="C514" s="158" t="s">
        <v>611</v>
      </c>
      <c r="D514" s="158" t="s">
        <v>1068</v>
      </c>
      <c r="E514" s="159" t="s">
        <v>613</v>
      </c>
      <c r="F514" s="160" t="s">
        <v>15</v>
      </c>
      <c r="G514" s="160"/>
      <c r="H514" s="159" t="s">
        <v>283</v>
      </c>
      <c r="I514" s="161">
        <v>19701</v>
      </c>
      <c r="J514" s="161"/>
      <c r="K514" s="162" t="s">
        <v>8</v>
      </c>
      <c r="L514" s="163">
        <v>2719470.45</v>
      </c>
    </row>
    <row r="515" spans="1:12" ht="71.400000000000006" x14ac:dyDescent="0.3">
      <c r="A515" s="157" t="s">
        <v>1200</v>
      </c>
      <c r="B515" s="158" t="s">
        <v>1237</v>
      </c>
      <c r="C515" s="158" t="s">
        <v>611</v>
      </c>
      <c r="D515" s="158" t="s">
        <v>1069</v>
      </c>
      <c r="E515" s="159" t="s">
        <v>613</v>
      </c>
      <c r="F515" s="160" t="s">
        <v>15</v>
      </c>
      <c r="G515" s="160"/>
      <c r="H515" s="159" t="s">
        <v>283</v>
      </c>
      <c r="I515" s="161">
        <v>38400</v>
      </c>
      <c r="J515" s="161"/>
      <c r="K515" s="162" t="s">
        <v>8</v>
      </c>
      <c r="L515" s="163">
        <v>2681070.4500000002</v>
      </c>
    </row>
    <row r="516" spans="1:12" ht="71.400000000000006" x14ac:dyDescent="0.3">
      <c r="A516" s="157" t="s">
        <v>1200</v>
      </c>
      <c r="B516" s="158" t="s">
        <v>1237</v>
      </c>
      <c r="C516" s="158" t="s">
        <v>611</v>
      </c>
      <c r="D516" s="158" t="s">
        <v>1070</v>
      </c>
      <c r="E516" s="159" t="s">
        <v>613</v>
      </c>
      <c r="F516" s="160" t="s">
        <v>15</v>
      </c>
      <c r="G516" s="160"/>
      <c r="H516" s="159" t="s">
        <v>283</v>
      </c>
      <c r="I516" s="161">
        <v>9048</v>
      </c>
      <c r="J516" s="161"/>
      <c r="K516" s="162" t="s">
        <v>8</v>
      </c>
      <c r="L516" s="163">
        <v>2672022.4500000002</v>
      </c>
    </row>
    <row r="517" spans="1:12" ht="71.400000000000006" x14ac:dyDescent="0.3">
      <c r="A517" s="157" t="s">
        <v>1200</v>
      </c>
      <c r="B517" s="158" t="s">
        <v>1237</v>
      </c>
      <c r="C517" s="158" t="s">
        <v>611</v>
      </c>
      <c r="D517" s="158" t="s">
        <v>1071</v>
      </c>
      <c r="E517" s="159" t="s">
        <v>613</v>
      </c>
      <c r="F517" s="160" t="s">
        <v>15</v>
      </c>
      <c r="G517" s="160"/>
      <c r="H517" s="159" t="s">
        <v>283</v>
      </c>
      <c r="I517" s="161">
        <v>5357</v>
      </c>
      <c r="J517" s="161"/>
      <c r="K517" s="162" t="s">
        <v>8</v>
      </c>
      <c r="L517" s="163">
        <v>2666665.4500000002</v>
      </c>
    </row>
    <row r="518" spans="1:12" ht="71.400000000000006" x14ac:dyDescent="0.3">
      <c r="A518" s="157" t="s">
        <v>1200</v>
      </c>
      <c r="B518" s="158" t="s">
        <v>1237</v>
      </c>
      <c r="C518" s="158" t="s">
        <v>611</v>
      </c>
      <c r="D518" s="158" t="s">
        <v>1072</v>
      </c>
      <c r="E518" s="159" t="s">
        <v>613</v>
      </c>
      <c r="F518" s="160" t="s">
        <v>15</v>
      </c>
      <c r="G518" s="160"/>
      <c r="H518" s="159" t="s">
        <v>283</v>
      </c>
      <c r="I518" s="164">
        <v>922</v>
      </c>
      <c r="J518" s="164"/>
      <c r="K518" s="162" t="s">
        <v>8</v>
      </c>
      <c r="L518" s="163">
        <v>2665743.4500000002</v>
      </c>
    </row>
    <row r="519" spans="1:12" ht="71.400000000000006" x14ac:dyDescent="0.3">
      <c r="A519" s="157" t="s">
        <v>1200</v>
      </c>
      <c r="B519" s="158" t="s">
        <v>1237</v>
      </c>
      <c r="C519" s="158" t="s">
        <v>611</v>
      </c>
      <c r="D519" s="158" t="s">
        <v>1073</v>
      </c>
      <c r="E519" s="159" t="s">
        <v>613</v>
      </c>
      <c r="F519" s="160" t="s">
        <v>15</v>
      </c>
      <c r="G519" s="160"/>
      <c r="H519" s="159" t="s">
        <v>283</v>
      </c>
      <c r="I519" s="161">
        <v>21200</v>
      </c>
      <c r="J519" s="161"/>
      <c r="K519" s="162" t="s">
        <v>8</v>
      </c>
      <c r="L519" s="163">
        <v>2644543.4500000002</v>
      </c>
    </row>
    <row r="520" spans="1:12" ht="71.400000000000006" x14ac:dyDescent="0.3">
      <c r="A520" s="157" t="s">
        <v>1200</v>
      </c>
      <c r="B520" s="158" t="s">
        <v>1237</v>
      </c>
      <c r="C520" s="158" t="s">
        <v>611</v>
      </c>
      <c r="D520" s="158" t="s">
        <v>1074</v>
      </c>
      <c r="E520" s="159" t="s">
        <v>613</v>
      </c>
      <c r="F520" s="160" t="s">
        <v>15</v>
      </c>
      <c r="G520" s="160"/>
      <c r="H520" s="159" t="s">
        <v>283</v>
      </c>
      <c r="I520" s="161">
        <v>40446</v>
      </c>
      <c r="J520" s="161"/>
      <c r="K520" s="162" t="s">
        <v>8</v>
      </c>
      <c r="L520" s="163">
        <v>2604097.4500000002</v>
      </c>
    </row>
    <row r="521" spans="1:12" ht="71.400000000000006" x14ac:dyDescent="0.3">
      <c r="A521" s="157" t="s">
        <v>1200</v>
      </c>
      <c r="B521" s="158" t="s">
        <v>1237</v>
      </c>
      <c r="C521" s="158" t="s">
        <v>611</v>
      </c>
      <c r="D521" s="158" t="s">
        <v>1076</v>
      </c>
      <c r="E521" s="159" t="s">
        <v>613</v>
      </c>
      <c r="F521" s="160" t="s">
        <v>15</v>
      </c>
      <c r="G521" s="160"/>
      <c r="H521" s="159" t="s">
        <v>283</v>
      </c>
      <c r="I521" s="161">
        <v>5560</v>
      </c>
      <c r="J521" s="161"/>
      <c r="K521" s="162" t="s">
        <v>8</v>
      </c>
      <c r="L521" s="163">
        <v>2598537.4500000002</v>
      </c>
    </row>
    <row r="522" spans="1:12" ht="71.400000000000006" x14ac:dyDescent="0.3">
      <c r="A522" s="157" t="s">
        <v>1200</v>
      </c>
      <c r="B522" s="158" t="s">
        <v>1237</v>
      </c>
      <c r="C522" s="158" t="s">
        <v>611</v>
      </c>
      <c r="D522" s="158" t="s">
        <v>1077</v>
      </c>
      <c r="E522" s="159" t="s">
        <v>613</v>
      </c>
      <c r="F522" s="160" t="s">
        <v>15</v>
      </c>
      <c r="G522" s="160"/>
      <c r="H522" s="159" t="s">
        <v>283</v>
      </c>
      <c r="I522" s="161">
        <v>6468</v>
      </c>
      <c r="J522" s="161"/>
      <c r="K522" s="162" t="s">
        <v>8</v>
      </c>
      <c r="L522" s="163">
        <v>2592069.4500000002</v>
      </c>
    </row>
    <row r="523" spans="1:12" ht="61.2" x14ac:dyDescent="0.3">
      <c r="A523" s="157" t="s">
        <v>1200</v>
      </c>
      <c r="B523" s="158" t="s">
        <v>1237</v>
      </c>
      <c r="C523" s="158" t="s">
        <v>611</v>
      </c>
      <c r="D523" s="158" t="s">
        <v>1078</v>
      </c>
      <c r="E523" s="159" t="s">
        <v>613</v>
      </c>
      <c r="F523" s="160" t="s">
        <v>15</v>
      </c>
      <c r="G523" s="160"/>
      <c r="H523" s="159" t="s">
        <v>283</v>
      </c>
      <c r="I523" s="161">
        <v>12570</v>
      </c>
      <c r="J523" s="161"/>
      <c r="K523" s="162" t="s">
        <v>8</v>
      </c>
      <c r="L523" s="163">
        <v>2579499.4500000002</v>
      </c>
    </row>
    <row r="524" spans="1:12" ht="71.400000000000006" x14ac:dyDescent="0.3">
      <c r="A524" s="157" t="s">
        <v>1200</v>
      </c>
      <c r="B524" s="158" t="s">
        <v>1237</v>
      </c>
      <c r="C524" s="158" t="s">
        <v>611</v>
      </c>
      <c r="D524" s="158" t="s">
        <v>1079</v>
      </c>
      <c r="E524" s="159" t="s">
        <v>613</v>
      </c>
      <c r="F524" s="160" t="s">
        <v>15</v>
      </c>
      <c r="G524" s="160"/>
      <c r="H524" s="159" t="s">
        <v>283</v>
      </c>
      <c r="I524" s="161">
        <v>23257</v>
      </c>
      <c r="J524" s="161"/>
      <c r="K524" s="162" t="s">
        <v>8</v>
      </c>
      <c r="L524" s="163">
        <v>2556242.4500000002</v>
      </c>
    </row>
    <row r="525" spans="1:12" ht="71.400000000000006" x14ac:dyDescent="0.3">
      <c r="A525" s="157" t="s">
        <v>1200</v>
      </c>
      <c r="B525" s="158" t="s">
        <v>1237</v>
      </c>
      <c r="C525" s="158" t="s">
        <v>611</v>
      </c>
      <c r="D525" s="158" t="s">
        <v>1080</v>
      </c>
      <c r="E525" s="159" t="s">
        <v>613</v>
      </c>
      <c r="F525" s="160" t="s">
        <v>15</v>
      </c>
      <c r="G525" s="160"/>
      <c r="H525" s="159" t="s">
        <v>283</v>
      </c>
      <c r="I525" s="161">
        <v>4149</v>
      </c>
      <c r="J525" s="161"/>
      <c r="K525" s="162" t="s">
        <v>8</v>
      </c>
      <c r="L525" s="163">
        <v>2552093.4500000002</v>
      </c>
    </row>
    <row r="526" spans="1:12" ht="71.400000000000006" x14ac:dyDescent="0.3">
      <c r="A526" s="157" t="s">
        <v>1200</v>
      </c>
      <c r="B526" s="158" t="s">
        <v>1237</v>
      </c>
      <c r="C526" s="158" t="s">
        <v>611</v>
      </c>
      <c r="D526" s="158" t="s">
        <v>1081</v>
      </c>
      <c r="E526" s="159" t="s">
        <v>613</v>
      </c>
      <c r="F526" s="160" t="s">
        <v>15</v>
      </c>
      <c r="G526" s="160"/>
      <c r="H526" s="159" t="s">
        <v>283</v>
      </c>
      <c r="I526" s="161">
        <v>3220</v>
      </c>
      <c r="J526" s="161"/>
      <c r="K526" s="162" t="s">
        <v>8</v>
      </c>
      <c r="L526" s="163">
        <v>2548873.4500000002</v>
      </c>
    </row>
    <row r="527" spans="1:12" ht="71.400000000000006" x14ac:dyDescent="0.3">
      <c r="A527" s="157" t="s">
        <v>1200</v>
      </c>
      <c r="B527" s="158" t="s">
        <v>1237</v>
      </c>
      <c r="C527" s="158" t="s">
        <v>611</v>
      </c>
      <c r="D527" s="158" t="s">
        <v>1082</v>
      </c>
      <c r="E527" s="159" t="s">
        <v>613</v>
      </c>
      <c r="F527" s="160" t="s">
        <v>15</v>
      </c>
      <c r="G527" s="160"/>
      <c r="H527" s="159" t="s">
        <v>283</v>
      </c>
      <c r="I527" s="161">
        <v>12896</v>
      </c>
      <c r="J527" s="161"/>
      <c r="K527" s="162" t="s">
        <v>8</v>
      </c>
      <c r="L527" s="163">
        <v>2535977.4500000002</v>
      </c>
    </row>
    <row r="528" spans="1:12" ht="71.400000000000006" x14ac:dyDescent="0.3">
      <c r="A528" s="157" t="s">
        <v>1200</v>
      </c>
      <c r="B528" s="158" t="s">
        <v>1237</v>
      </c>
      <c r="C528" s="158" t="s">
        <v>611</v>
      </c>
      <c r="D528" s="158" t="s">
        <v>1083</v>
      </c>
      <c r="E528" s="159" t="s">
        <v>613</v>
      </c>
      <c r="F528" s="160" t="s">
        <v>15</v>
      </c>
      <c r="G528" s="160"/>
      <c r="H528" s="159" t="s">
        <v>283</v>
      </c>
      <c r="I528" s="161">
        <v>19352</v>
      </c>
      <c r="J528" s="161"/>
      <c r="K528" s="162" t="s">
        <v>8</v>
      </c>
      <c r="L528" s="163">
        <v>2516625.4500000002</v>
      </c>
    </row>
    <row r="529" spans="1:12" ht="71.400000000000006" x14ac:dyDescent="0.3">
      <c r="A529" s="157" t="s">
        <v>1200</v>
      </c>
      <c r="B529" s="158" t="s">
        <v>1237</v>
      </c>
      <c r="C529" s="158" t="s">
        <v>611</v>
      </c>
      <c r="D529" s="158" t="s">
        <v>1084</v>
      </c>
      <c r="E529" s="159" t="s">
        <v>613</v>
      </c>
      <c r="F529" s="160" t="s">
        <v>15</v>
      </c>
      <c r="G529" s="160"/>
      <c r="H529" s="159" t="s">
        <v>283</v>
      </c>
      <c r="I529" s="161">
        <v>6838</v>
      </c>
      <c r="J529" s="161"/>
      <c r="K529" s="162" t="s">
        <v>8</v>
      </c>
      <c r="L529" s="163">
        <v>2509787.4500000002</v>
      </c>
    </row>
    <row r="530" spans="1:12" ht="71.400000000000006" x14ac:dyDescent="0.3">
      <c r="A530" s="157" t="s">
        <v>1200</v>
      </c>
      <c r="B530" s="158" t="s">
        <v>1237</v>
      </c>
      <c r="C530" s="158" t="s">
        <v>611</v>
      </c>
      <c r="D530" s="158" t="s">
        <v>1085</v>
      </c>
      <c r="E530" s="159" t="s">
        <v>613</v>
      </c>
      <c r="F530" s="160" t="s">
        <v>15</v>
      </c>
      <c r="G530" s="160"/>
      <c r="H530" s="159" t="s">
        <v>283</v>
      </c>
      <c r="I530" s="161">
        <v>13260</v>
      </c>
      <c r="J530" s="161"/>
      <c r="K530" s="162" t="s">
        <v>8</v>
      </c>
      <c r="L530" s="163">
        <v>2496527.4500000002</v>
      </c>
    </row>
    <row r="531" spans="1:12" ht="71.400000000000006" x14ac:dyDescent="0.3">
      <c r="A531" s="157" t="s">
        <v>1200</v>
      </c>
      <c r="B531" s="158" t="s">
        <v>1237</v>
      </c>
      <c r="C531" s="158" t="s">
        <v>611</v>
      </c>
      <c r="D531" s="158" t="s">
        <v>1086</v>
      </c>
      <c r="E531" s="159" t="s">
        <v>613</v>
      </c>
      <c r="F531" s="160" t="s">
        <v>15</v>
      </c>
      <c r="G531" s="160"/>
      <c r="H531" s="159" t="s">
        <v>283</v>
      </c>
      <c r="I531" s="161">
        <v>16796</v>
      </c>
      <c r="J531" s="161"/>
      <c r="K531" s="162" t="s">
        <v>8</v>
      </c>
      <c r="L531" s="163">
        <v>2479731.4500000002</v>
      </c>
    </row>
    <row r="532" spans="1:12" ht="71.400000000000006" hidden="1" x14ac:dyDescent="0.3">
      <c r="A532" s="157" t="s">
        <v>1200</v>
      </c>
      <c r="B532" s="158" t="s">
        <v>1238</v>
      </c>
      <c r="C532" s="158" t="s">
        <v>1239</v>
      </c>
      <c r="D532" s="158" t="s">
        <v>1240</v>
      </c>
      <c r="E532" s="159" t="s">
        <v>283</v>
      </c>
      <c r="F532" s="165">
        <v>44976.25</v>
      </c>
      <c r="G532" s="165"/>
      <c r="H532" s="159" t="s">
        <v>14</v>
      </c>
      <c r="I532" s="166" t="s">
        <v>15</v>
      </c>
      <c r="J532" s="166"/>
      <c r="K532" s="162" t="s">
        <v>8</v>
      </c>
      <c r="L532" s="163">
        <v>105362.75</v>
      </c>
    </row>
    <row r="533" spans="1:12" ht="71.400000000000006" hidden="1" x14ac:dyDescent="0.3">
      <c r="A533" s="157" t="s">
        <v>1200</v>
      </c>
      <c r="B533" s="158" t="s">
        <v>1238</v>
      </c>
      <c r="C533" s="158" t="s">
        <v>1241</v>
      </c>
      <c r="D533" s="158" t="s">
        <v>1240</v>
      </c>
      <c r="E533" s="159" t="s">
        <v>283</v>
      </c>
      <c r="F533" s="165">
        <v>20054.38</v>
      </c>
      <c r="G533" s="165"/>
      <c r="H533" s="159" t="s">
        <v>14</v>
      </c>
      <c r="I533" s="166" t="s">
        <v>15</v>
      </c>
      <c r="J533" s="166"/>
      <c r="K533" s="162" t="s">
        <v>8</v>
      </c>
      <c r="L533" s="163">
        <v>125417.13</v>
      </c>
    </row>
    <row r="534" spans="1:12" ht="71.400000000000006" hidden="1" x14ac:dyDescent="0.3">
      <c r="A534" s="157" t="s">
        <v>1200</v>
      </c>
      <c r="B534" s="158" t="s">
        <v>1242</v>
      </c>
      <c r="C534" s="158" t="s">
        <v>1243</v>
      </c>
      <c r="D534" s="158" t="s">
        <v>1240</v>
      </c>
      <c r="E534" s="159" t="s">
        <v>283</v>
      </c>
      <c r="F534" s="165">
        <v>6781.5</v>
      </c>
      <c r="G534" s="165"/>
      <c r="H534" s="159" t="s">
        <v>14</v>
      </c>
      <c r="I534" s="166" t="s">
        <v>15</v>
      </c>
      <c r="J534" s="166"/>
      <c r="K534" s="162" t="s">
        <v>8</v>
      </c>
      <c r="L534" s="163">
        <v>132198.63</v>
      </c>
    </row>
    <row r="535" spans="1:12" ht="71.400000000000006" hidden="1" x14ac:dyDescent="0.3">
      <c r="A535" s="157" t="s">
        <v>1200</v>
      </c>
      <c r="B535" s="158" t="s">
        <v>1242</v>
      </c>
      <c r="C535" s="158" t="s">
        <v>1244</v>
      </c>
      <c r="D535" s="158" t="s">
        <v>1240</v>
      </c>
      <c r="E535" s="159" t="s">
        <v>283</v>
      </c>
      <c r="F535" s="165">
        <v>3374.25</v>
      </c>
      <c r="G535" s="165"/>
      <c r="H535" s="159" t="s">
        <v>14</v>
      </c>
      <c r="I535" s="166" t="s">
        <v>15</v>
      </c>
      <c r="J535" s="166"/>
      <c r="K535" s="162" t="s">
        <v>8</v>
      </c>
      <c r="L535" s="163">
        <v>135572.88</v>
      </c>
    </row>
    <row r="536" spans="1:12" ht="71.400000000000006" hidden="1" x14ac:dyDescent="0.3">
      <c r="A536" s="157" t="s">
        <v>1200</v>
      </c>
      <c r="B536" s="158" t="s">
        <v>1242</v>
      </c>
      <c r="C536" s="158" t="s">
        <v>1245</v>
      </c>
      <c r="D536" s="158" t="s">
        <v>1240</v>
      </c>
      <c r="E536" s="159" t="s">
        <v>283</v>
      </c>
      <c r="F536" s="165">
        <v>4705.25</v>
      </c>
      <c r="G536" s="165"/>
      <c r="H536" s="159" t="s">
        <v>14</v>
      </c>
      <c r="I536" s="166" t="s">
        <v>15</v>
      </c>
      <c r="J536" s="166"/>
      <c r="K536" s="162" t="s">
        <v>8</v>
      </c>
      <c r="L536" s="163">
        <v>140278.13</v>
      </c>
    </row>
    <row r="537" spans="1:12" ht="71.400000000000006" hidden="1" x14ac:dyDescent="0.3">
      <c r="A537" s="157" t="s">
        <v>1200</v>
      </c>
      <c r="B537" s="158" t="s">
        <v>1242</v>
      </c>
      <c r="C537" s="158" t="s">
        <v>1246</v>
      </c>
      <c r="D537" s="158" t="s">
        <v>1240</v>
      </c>
      <c r="E537" s="159" t="s">
        <v>283</v>
      </c>
      <c r="F537" s="165">
        <v>11963.43</v>
      </c>
      <c r="G537" s="165"/>
      <c r="H537" s="159" t="s">
        <v>14</v>
      </c>
      <c r="I537" s="166" t="s">
        <v>15</v>
      </c>
      <c r="J537" s="166"/>
      <c r="K537" s="162" t="s">
        <v>8</v>
      </c>
      <c r="L537" s="163">
        <v>152241.56</v>
      </c>
    </row>
    <row r="538" spans="1:12" ht="71.400000000000006" hidden="1" x14ac:dyDescent="0.3">
      <c r="A538" s="157" t="s">
        <v>1200</v>
      </c>
      <c r="B538" s="158" t="s">
        <v>1242</v>
      </c>
      <c r="C538" s="158" t="s">
        <v>1247</v>
      </c>
      <c r="D538" s="158" t="s">
        <v>1240</v>
      </c>
      <c r="E538" s="159" t="s">
        <v>283</v>
      </c>
      <c r="F538" s="165">
        <v>8111.97</v>
      </c>
      <c r="G538" s="165"/>
      <c r="H538" s="159" t="s">
        <v>14</v>
      </c>
      <c r="I538" s="166" t="s">
        <v>15</v>
      </c>
      <c r="J538" s="166"/>
      <c r="K538" s="162" t="s">
        <v>8</v>
      </c>
      <c r="L538" s="163">
        <v>160353.53</v>
      </c>
    </row>
    <row r="539" spans="1:12" ht="71.400000000000006" hidden="1" x14ac:dyDescent="0.3">
      <c r="A539" s="157" t="s">
        <v>1200</v>
      </c>
      <c r="B539" s="158" t="s">
        <v>1242</v>
      </c>
      <c r="C539" s="158" t="s">
        <v>1248</v>
      </c>
      <c r="D539" s="158" t="s">
        <v>1240</v>
      </c>
      <c r="E539" s="159" t="s">
        <v>283</v>
      </c>
      <c r="F539" s="165">
        <v>8091.77</v>
      </c>
      <c r="G539" s="165"/>
      <c r="H539" s="159" t="s">
        <v>14</v>
      </c>
      <c r="I539" s="166" t="s">
        <v>15</v>
      </c>
      <c r="J539" s="166"/>
      <c r="K539" s="162" t="s">
        <v>8</v>
      </c>
      <c r="L539" s="163">
        <v>168445.3</v>
      </c>
    </row>
    <row r="540" spans="1:12" ht="71.400000000000006" hidden="1" x14ac:dyDescent="0.3">
      <c r="A540" s="157" t="s">
        <v>1200</v>
      </c>
      <c r="B540" s="158" t="s">
        <v>1242</v>
      </c>
      <c r="C540" s="158" t="s">
        <v>1249</v>
      </c>
      <c r="D540" s="158" t="s">
        <v>1240</v>
      </c>
      <c r="E540" s="159" t="s">
        <v>283</v>
      </c>
      <c r="F540" s="165">
        <v>7936.9</v>
      </c>
      <c r="G540" s="165"/>
      <c r="H540" s="159" t="s">
        <v>14</v>
      </c>
      <c r="I540" s="166" t="s">
        <v>15</v>
      </c>
      <c r="J540" s="166"/>
      <c r="K540" s="162" t="s">
        <v>8</v>
      </c>
      <c r="L540" s="163">
        <v>176382.2</v>
      </c>
    </row>
    <row r="541" spans="1:12" ht="71.400000000000006" hidden="1" x14ac:dyDescent="0.3">
      <c r="A541" s="157" t="s">
        <v>1200</v>
      </c>
      <c r="B541" s="158" t="s">
        <v>1242</v>
      </c>
      <c r="C541" s="158" t="s">
        <v>1250</v>
      </c>
      <c r="D541" s="158" t="s">
        <v>1240</v>
      </c>
      <c r="E541" s="159" t="s">
        <v>283</v>
      </c>
      <c r="F541" s="165">
        <v>5169.51</v>
      </c>
      <c r="G541" s="165"/>
      <c r="H541" s="159" t="s">
        <v>14</v>
      </c>
      <c r="I541" s="166" t="s">
        <v>15</v>
      </c>
      <c r="J541" s="166"/>
      <c r="K541" s="162" t="s">
        <v>8</v>
      </c>
      <c r="L541" s="163">
        <v>181551.71</v>
      </c>
    </row>
    <row r="542" spans="1:12" ht="61.2" hidden="1" x14ac:dyDescent="0.3">
      <c r="A542" s="157" t="s">
        <v>1200</v>
      </c>
      <c r="B542" s="158" t="s">
        <v>1242</v>
      </c>
      <c r="C542" s="158" t="s">
        <v>1251</v>
      </c>
      <c r="D542" s="158" t="s">
        <v>1240</v>
      </c>
      <c r="E542" s="159" t="s">
        <v>283</v>
      </c>
      <c r="F542" s="167">
        <v>700</v>
      </c>
      <c r="G542" s="167"/>
      <c r="H542" s="159" t="s">
        <v>14</v>
      </c>
      <c r="I542" s="166" t="s">
        <v>15</v>
      </c>
      <c r="J542" s="166"/>
      <c r="K542" s="162" t="s">
        <v>8</v>
      </c>
      <c r="L542" s="163">
        <v>182251.71</v>
      </c>
    </row>
    <row r="543" spans="1:12" ht="71.400000000000006" hidden="1" x14ac:dyDescent="0.3">
      <c r="A543" s="157" t="s">
        <v>1200</v>
      </c>
      <c r="B543" s="158" t="s">
        <v>1242</v>
      </c>
      <c r="C543" s="158" t="s">
        <v>1252</v>
      </c>
      <c r="D543" s="158" t="s">
        <v>1240</v>
      </c>
      <c r="E543" s="159" t="s">
        <v>283</v>
      </c>
      <c r="F543" s="165">
        <v>1625</v>
      </c>
      <c r="G543" s="165"/>
      <c r="H543" s="159" t="s">
        <v>14</v>
      </c>
      <c r="I543" s="166" t="s">
        <v>15</v>
      </c>
      <c r="J543" s="166"/>
      <c r="K543" s="162" t="s">
        <v>8</v>
      </c>
      <c r="L543" s="163">
        <v>183876.71</v>
      </c>
    </row>
    <row r="544" spans="1:12" ht="61.2" hidden="1" x14ac:dyDescent="0.3">
      <c r="A544" s="157" t="s">
        <v>1200</v>
      </c>
      <c r="B544" s="158" t="s">
        <v>1242</v>
      </c>
      <c r="C544" s="158" t="s">
        <v>1253</v>
      </c>
      <c r="D544" s="158" t="s">
        <v>1240</v>
      </c>
      <c r="E544" s="159" t="s">
        <v>283</v>
      </c>
      <c r="F544" s="165">
        <v>1208</v>
      </c>
      <c r="G544" s="165"/>
      <c r="H544" s="159" t="s">
        <v>14</v>
      </c>
      <c r="I544" s="166" t="s">
        <v>15</v>
      </c>
      <c r="J544" s="166"/>
      <c r="K544" s="162" t="s">
        <v>8</v>
      </c>
      <c r="L544" s="163">
        <v>185084.71</v>
      </c>
    </row>
    <row r="545" spans="1:12" ht="61.2" hidden="1" x14ac:dyDescent="0.3">
      <c r="A545" s="157" t="s">
        <v>1200</v>
      </c>
      <c r="B545" s="158" t="s">
        <v>1242</v>
      </c>
      <c r="C545" s="158" t="s">
        <v>1254</v>
      </c>
      <c r="D545" s="158" t="s">
        <v>1240</v>
      </c>
      <c r="E545" s="159" t="s">
        <v>283</v>
      </c>
      <c r="F545" s="165">
        <v>1208</v>
      </c>
      <c r="G545" s="165"/>
      <c r="H545" s="159" t="s">
        <v>14</v>
      </c>
      <c r="I545" s="166" t="s">
        <v>15</v>
      </c>
      <c r="J545" s="166"/>
      <c r="K545" s="162" t="s">
        <v>8</v>
      </c>
      <c r="L545" s="163">
        <v>186292.71</v>
      </c>
    </row>
    <row r="546" spans="1:12" ht="71.400000000000006" hidden="1" x14ac:dyDescent="0.3">
      <c r="A546" s="157" t="s">
        <v>1200</v>
      </c>
      <c r="B546" s="158" t="s">
        <v>1255</v>
      </c>
      <c r="C546" s="158" t="s">
        <v>1256</v>
      </c>
      <c r="D546" s="158" t="s">
        <v>1257</v>
      </c>
      <c r="E546" s="159" t="s">
        <v>283</v>
      </c>
      <c r="F546" s="165">
        <v>4989.1899999999996</v>
      </c>
      <c r="G546" s="165"/>
      <c r="H546" s="159" t="s">
        <v>14</v>
      </c>
      <c r="I546" s="166" t="s">
        <v>15</v>
      </c>
      <c r="J546" s="166"/>
      <c r="K546" s="162" t="s">
        <v>8</v>
      </c>
      <c r="L546" s="163">
        <v>387671.15</v>
      </c>
    </row>
    <row r="547" spans="1:12" ht="71.400000000000006" hidden="1" x14ac:dyDescent="0.3">
      <c r="A547" s="157" t="s">
        <v>1200</v>
      </c>
      <c r="B547" s="158" t="s">
        <v>1255</v>
      </c>
      <c r="C547" s="158" t="s">
        <v>1258</v>
      </c>
      <c r="D547" s="158" t="s">
        <v>1257</v>
      </c>
      <c r="E547" s="159" t="s">
        <v>283</v>
      </c>
      <c r="F547" s="165">
        <v>24665.64</v>
      </c>
      <c r="G547" s="165"/>
      <c r="H547" s="159" t="s">
        <v>14</v>
      </c>
      <c r="I547" s="166" t="s">
        <v>15</v>
      </c>
      <c r="J547" s="166"/>
      <c r="K547" s="162" t="s">
        <v>8</v>
      </c>
      <c r="L547" s="163">
        <v>412336.79</v>
      </c>
    </row>
    <row r="548" spans="1:12" ht="71.400000000000006" hidden="1" x14ac:dyDescent="0.3">
      <c r="A548" s="157" t="s">
        <v>1200</v>
      </c>
      <c r="B548" s="158" t="s">
        <v>1255</v>
      </c>
      <c r="C548" s="158" t="s">
        <v>1259</v>
      </c>
      <c r="D548" s="158" t="s">
        <v>1257</v>
      </c>
      <c r="E548" s="159" t="s">
        <v>283</v>
      </c>
      <c r="F548" s="165">
        <v>7420.35</v>
      </c>
      <c r="G548" s="165"/>
      <c r="H548" s="159" t="s">
        <v>14</v>
      </c>
      <c r="I548" s="166" t="s">
        <v>15</v>
      </c>
      <c r="J548" s="166"/>
      <c r="K548" s="162" t="s">
        <v>8</v>
      </c>
      <c r="L548" s="163">
        <v>419757.14</v>
      </c>
    </row>
    <row r="549" spans="1:12" ht="71.400000000000006" hidden="1" x14ac:dyDescent="0.3">
      <c r="A549" s="157" t="s">
        <v>1200</v>
      </c>
      <c r="B549" s="158" t="s">
        <v>1255</v>
      </c>
      <c r="C549" s="158" t="s">
        <v>1260</v>
      </c>
      <c r="D549" s="158" t="s">
        <v>1257</v>
      </c>
      <c r="E549" s="159" t="s">
        <v>283</v>
      </c>
      <c r="F549" s="165">
        <v>6642.19</v>
      </c>
      <c r="G549" s="165"/>
      <c r="H549" s="159" t="s">
        <v>14</v>
      </c>
      <c r="I549" s="166" t="s">
        <v>15</v>
      </c>
      <c r="J549" s="166"/>
      <c r="K549" s="162" t="s">
        <v>8</v>
      </c>
      <c r="L549" s="163">
        <v>426399.33</v>
      </c>
    </row>
    <row r="550" spans="1:12" ht="71.400000000000006" hidden="1" x14ac:dyDescent="0.3">
      <c r="A550" s="157" t="s">
        <v>1200</v>
      </c>
      <c r="B550" s="158" t="s">
        <v>1255</v>
      </c>
      <c r="C550" s="158" t="s">
        <v>1261</v>
      </c>
      <c r="D550" s="158" t="s">
        <v>1257</v>
      </c>
      <c r="E550" s="159" t="s">
        <v>283</v>
      </c>
      <c r="F550" s="165">
        <v>3182.74</v>
      </c>
      <c r="G550" s="165"/>
      <c r="H550" s="159" t="s">
        <v>14</v>
      </c>
      <c r="I550" s="166" t="s">
        <v>15</v>
      </c>
      <c r="J550" s="166"/>
      <c r="K550" s="162" t="s">
        <v>8</v>
      </c>
      <c r="L550" s="163">
        <v>429582.07</v>
      </c>
    </row>
    <row r="551" spans="1:12" ht="71.400000000000006" hidden="1" x14ac:dyDescent="0.3">
      <c r="A551" s="157" t="s">
        <v>34</v>
      </c>
      <c r="B551" s="158" t="s">
        <v>1262</v>
      </c>
      <c r="C551" s="158" t="s">
        <v>1263</v>
      </c>
      <c r="D551" s="158" t="s">
        <v>1257</v>
      </c>
      <c r="E551" s="159" t="s">
        <v>283</v>
      </c>
      <c r="F551" s="165">
        <v>57945.47</v>
      </c>
      <c r="G551" s="165"/>
      <c r="H551" s="159" t="s">
        <v>14</v>
      </c>
      <c r="I551" s="166" t="s">
        <v>15</v>
      </c>
      <c r="J551" s="166"/>
      <c r="K551" s="162" t="s">
        <v>8</v>
      </c>
      <c r="L551" s="163">
        <v>487527.54</v>
      </c>
    </row>
    <row r="552" spans="1:12" ht="71.400000000000006" hidden="1" x14ac:dyDescent="0.3">
      <c r="A552" s="157" t="s">
        <v>34</v>
      </c>
      <c r="B552" s="158" t="s">
        <v>1262</v>
      </c>
      <c r="C552" s="158" t="s">
        <v>1264</v>
      </c>
      <c r="D552" s="158" t="s">
        <v>1257</v>
      </c>
      <c r="E552" s="159" t="s">
        <v>283</v>
      </c>
      <c r="F552" s="165">
        <v>29514.67</v>
      </c>
      <c r="G552" s="165"/>
      <c r="H552" s="159" t="s">
        <v>14</v>
      </c>
      <c r="I552" s="166" t="s">
        <v>15</v>
      </c>
      <c r="J552" s="166"/>
      <c r="K552" s="162" t="s">
        <v>8</v>
      </c>
      <c r="L552" s="163">
        <v>517042.21</v>
      </c>
    </row>
    <row r="553" spans="1:12" ht="71.400000000000006" hidden="1" x14ac:dyDescent="0.3">
      <c r="A553" s="157" t="s">
        <v>34</v>
      </c>
      <c r="B553" s="158" t="s">
        <v>1262</v>
      </c>
      <c r="C553" s="158" t="s">
        <v>1265</v>
      </c>
      <c r="D553" s="158" t="s">
        <v>1257</v>
      </c>
      <c r="E553" s="159" t="s">
        <v>283</v>
      </c>
      <c r="F553" s="165">
        <v>42035.38</v>
      </c>
      <c r="G553" s="165"/>
      <c r="H553" s="159" t="s">
        <v>14</v>
      </c>
      <c r="I553" s="166" t="s">
        <v>15</v>
      </c>
      <c r="J553" s="166"/>
      <c r="K553" s="162" t="s">
        <v>8</v>
      </c>
      <c r="L553" s="163">
        <v>559077.59</v>
      </c>
    </row>
    <row r="554" spans="1:12" ht="71.400000000000006" hidden="1" x14ac:dyDescent="0.3">
      <c r="A554" s="157" t="s">
        <v>34</v>
      </c>
      <c r="B554" s="158" t="s">
        <v>1266</v>
      </c>
      <c r="C554" s="158" t="s">
        <v>1267</v>
      </c>
      <c r="D554" s="158" t="s">
        <v>1257</v>
      </c>
      <c r="E554" s="159" t="s">
        <v>283</v>
      </c>
      <c r="F554" s="165">
        <v>64695.8</v>
      </c>
      <c r="G554" s="165"/>
      <c r="H554" s="159" t="s">
        <v>14</v>
      </c>
      <c r="I554" s="166" t="s">
        <v>15</v>
      </c>
      <c r="J554" s="166"/>
      <c r="K554" s="162" t="s">
        <v>8</v>
      </c>
      <c r="L554" s="163">
        <v>623773.39</v>
      </c>
    </row>
    <row r="555" spans="1:12" ht="71.400000000000006" hidden="1" x14ac:dyDescent="0.3">
      <c r="A555" s="157" t="s">
        <v>34</v>
      </c>
      <c r="B555" s="158" t="s">
        <v>1262</v>
      </c>
      <c r="C555" s="158" t="s">
        <v>1267</v>
      </c>
      <c r="D555" s="158" t="s">
        <v>1257</v>
      </c>
      <c r="E555" s="159" t="s">
        <v>283</v>
      </c>
      <c r="F555" s="165">
        <v>59949.48</v>
      </c>
      <c r="G555" s="165"/>
      <c r="H555" s="159" t="s">
        <v>14</v>
      </c>
      <c r="I555" s="166" t="s">
        <v>15</v>
      </c>
      <c r="J555" s="166"/>
      <c r="K555" s="162" t="s">
        <v>8</v>
      </c>
      <c r="L555" s="163">
        <v>683722.87</v>
      </c>
    </row>
    <row r="556" spans="1:12" ht="71.400000000000006" hidden="1" x14ac:dyDescent="0.3">
      <c r="A556" s="157" t="s">
        <v>34</v>
      </c>
      <c r="B556" s="158" t="s">
        <v>1266</v>
      </c>
      <c r="C556" s="158" t="s">
        <v>1268</v>
      </c>
      <c r="D556" s="158" t="s">
        <v>1257</v>
      </c>
      <c r="E556" s="159" t="s">
        <v>283</v>
      </c>
      <c r="F556" s="165">
        <v>24887.97</v>
      </c>
      <c r="G556" s="165"/>
      <c r="H556" s="159" t="s">
        <v>14</v>
      </c>
      <c r="I556" s="166" t="s">
        <v>15</v>
      </c>
      <c r="J556" s="166"/>
      <c r="K556" s="162" t="s">
        <v>8</v>
      </c>
      <c r="L556" s="163">
        <v>708610.84</v>
      </c>
    </row>
    <row r="557" spans="1:12" ht="71.400000000000006" hidden="1" x14ac:dyDescent="0.3">
      <c r="A557" s="157" t="s">
        <v>34</v>
      </c>
      <c r="B557" s="158" t="s">
        <v>1266</v>
      </c>
      <c r="C557" s="158" t="s">
        <v>1269</v>
      </c>
      <c r="D557" s="158" t="s">
        <v>1257</v>
      </c>
      <c r="E557" s="159" t="s">
        <v>283</v>
      </c>
      <c r="F557" s="165">
        <v>13027.74</v>
      </c>
      <c r="G557" s="165"/>
      <c r="H557" s="159" t="s">
        <v>14</v>
      </c>
      <c r="I557" s="166" t="s">
        <v>15</v>
      </c>
      <c r="J557" s="166"/>
      <c r="K557" s="162" t="s">
        <v>8</v>
      </c>
      <c r="L557" s="163">
        <v>721638.58</v>
      </c>
    </row>
    <row r="558" spans="1:12" ht="71.400000000000006" hidden="1" x14ac:dyDescent="0.3">
      <c r="A558" s="157" t="s">
        <v>34</v>
      </c>
      <c r="B558" s="158" t="s">
        <v>1266</v>
      </c>
      <c r="C558" s="158" t="s">
        <v>1270</v>
      </c>
      <c r="D558" s="158" t="s">
        <v>1257</v>
      </c>
      <c r="E558" s="159" t="s">
        <v>283</v>
      </c>
      <c r="F558" s="165">
        <v>11059.52</v>
      </c>
      <c r="G558" s="165"/>
      <c r="H558" s="159" t="s">
        <v>14</v>
      </c>
      <c r="I558" s="166" t="s">
        <v>15</v>
      </c>
      <c r="J558" s="166"/>
      <c r="K558" s="162" t="s">
        <v>8</v>
      </c>
      <c r="L558" s="163">
        <v>732698.1</v>
      </c>
    </row>
    <row r="559" spans="1:12" ht="71.400000000000006" hidden="1" x14ac:dyDescent="0.3">
      <c r="A559" s="157" t="s">
        <v>34</v>
      </c>
      <c r="B559" s="158" t="s">
        <v>1266</v>
      </c>
      <c r="C559" s="158" t="s">
        <v>1271</v>
      </c>
      <c r="D559" s="158" t="s">
        <v>1257</v>
      </c>
      <c r="E559" s="159" t="s">
        <v>283</v>
      </c>
      <c r="F559" s="165">
        <v>9326.2900000000009</v>
      </c>
      <c r="G559" s="165"/>
      <c r="H559" s="159" t="s">
        <v>14</v>
      </c>
      <c r="I559" s="166" t="s">
        <v>15</v>
      </c>
      <c r="J559" s="166"/>
      <c r="K559" s="162" t="s">
        <v>8</v>
      </c>
      <c r="L559" s="163">
        <v>742024.39</v>
      </c>
    </row>
    <row r="560" spans="1:12" ht="71.400000000000006" hidden="1" x14ac:dyDescent="0.3">
      <c r="A560" s="157" t="s">
        <v>34</v>
      </c>
      <c r="B560" s="158" t="s">
        <v>1266</v>
      </c>
      <c r="C560" s="158" t="s">
        <v>1272</v>
      </c>
      <c r="D560" s="158" t="s">
        <v>1257</v>
      </c>
      <c r="E560" s="159" t="s">
        <v>283</v>
      </c>
      <c r="F560" s="165">
        <v>8685.16</v>
      </c>
      <c r="G560" s="165"/>
      <c r="H560" s="159" t="s">
        <v>14</v>
      </c>
      <c r="I560" s="166" t="s">
        <v>15</v>
      </c>
      <c r="J560" s="166"/>
      <c r="K560" s="162" t="s">
        <v>8</v>
      </c>
      <c r="L560" s="163">
        <v>750709.55</v>
      </c>
    </row>
    <row r="561" spans="1:12" ht="71.400000000000006" hidden="1" x14ac:dyDescent="0.3">
      <c r="A561" s="157" t="s">
        <v>34</v>
      </c>
      <c r="B561" s="158" t="s">
        <v>1266</v>
      </c>
      <c r="C561" s="158" t="s">
        <v>1273</v>
      </c>
      <c r="D561" s="158" t="s">
        <v>1257</v>
      </c>
      <c r="E561" s="159" t="s">
        <v>283</v>
      </c>
      <c r="F561" s="165">
        <v>37489.910000000003</v>
      </c>
      <c r="G561" s="165"/>
      <c r="H561" s="159" t="s">
        <v>14</v>
      </c>
      <c r="I561" s="166" t="s">
        <v>15</v>
      </c>
      <c r="J561" s="166"/>
      <c r="K561" s="162" t="s">
        <v>8</v>
      </c>
      <c r="L561" s="163">
        <v>788199.46</v>
      </c>
    </row>
    <row r="562" spans="1:12" ht="71.400000000000006" hidden="1" x14ac:dyDescent="0.3">
      <c r="A562" s="157" t="s">
        <v>34</v>
      </c>
      <c r="B562" s="158" t="s">
        <v>1266</v>
      </c>
      <c r="C562" s="158" t="s">
        <v>1274</v>
      </c>
      <c r="D562" s="158" t="s">
        <v>1257</v>
      </c>
      <c r="E562" s="159" t="s">
        <v>283</v>
      </c>
      <c r="F562" s="165">
        <v>5561</v>
      </c>
      <c r="G562" s="165"/>
      <c r="H562" s="159" t="s">
        <v>14</v>
      </c>
      <c r="I562" s="166" t="s">
        <v>15</v>
      </c>
      <c r="J562" s="166"/>
      <c r="K562" s="162" t="s">
        <v>8</v>
      </c>
      <c r="L562" s="163">
        <v>793760.46</v>
      </c>
    </row>
    <row r="563" spans="1:12" ht="71.400000000000006" hidden="1" x14ac:dyDescent="0.3">
      <c r="A563" s="157" t="s">
        <v>34</v>
      </c>
      <c r="B563" s="158" t="s">
        <v>1266</v>
      </c>
      <c r="C563" s="158" t="s">
        <v>1275</v>
      </c>
      <c r="D563" s="158" t="s">
        <v>1257</v>
      </c>
      <c r="E563" s="159" t="s">
        <v>283</v>
      </c>
      <c r="F563" s="165">
        <v>8341.5</v>
      </c>
      <c r="G563" s="165"/>
      <c r="H563" s="159" t="s">
        <v>14</v>
      </c>
      <c r="I563" s="166" t="s">
        <v>15</v>
      </c>
      <c r="J563" s="166"/>
      <c r="K563" s="162" t="s">
        <v>8</v>
      </c>
      <c r="L563" s="163">
        <v>802101.96</v>
      </c>
    </row>
    <row r="564" spans="1:12" ht="71.400000000000006" hidden="1" x14ac:dyDescent="0.3">
      <c r="A564" s="157" t="s">
        <v>34</v>
      </c>
      <c r="B564" s="158" t="s">
        <v>1266</v>
      </c>
      <c r="C564" s="158" t="s">
        <v>1276</v>
      </c>
      <c r="D564" s="158" t="s">
        <v>1257</v>
      </c>
      <c r="E564" s="159" t="s">
        <v>283</v>
      </c>
      <c r="F564" s="165">
        <v>6435.77</v>
      </c>
      <c r="G564" s="165"/>
      <c r="H564" s="159" t="s">
        <v>14</v>
      </c>
      <c r="I564" s="166" t="s">
        <v>15</v>
      </c>
      <c r="J564" s="166"/>
      <c r="K564" s="162" t="s">
        <v>8</v>
      </c>
      <c r="L564" s="163">
        <v>808537.73</v>
      </c>
    </row>
    <row r="565" spans="1:12" ht="71.400000000000006" hidden="1" x14ac:dyDescent="0.3">
      <c r="A565" s="157" t="s">
        <v>34</v>
      </c>
      <c r="B565" s="158" t="s">
        <v>1266</v>
      </c>
      <c r="C565" s="158" t="s">
        <v>1277</v>
      </c>
      <c r="D565" s="158" t="s">
        <v>1257</v>
      </c>
      <c r="E565" s="159" t="s">
        <v>283</v>
      </c>
      <c r="F565" s="165">
        <v>6217.08</v>
      </c>
      <c r="G565" s="165"/>
      <c r="H565" s="159" t="s">
        <v>14</v>
      </c>
      <c r="I565" s="166" t="s">
        <v>15</v>
      </c>
      <c r="J565" s="166"/>
      <c r="K565" s="162" t="s">
        <v>8</v>
      </c>
      <c r="L565" s="163">
        <v>814754.81</v>
      </c>
    </row>
    <row r="566" spans="1:12" ht="71.400000000000006" hidden="1" x14ac:dyDescent="0.3">
      <c r="A566" s="157" t="s">
        <v>34</v>
      </c>
      <c r="B566" s="158" t="s">
        <v>1266</v>
      </c>
      <c r="C566" s="158" t="s">
        <v>1278</v>
      </c>
      <c r="D566" s="158" t="s">
        <v>1257</v>
      </c>
      <c r="E566" s="159" t="s">
        <v>283</v>
      </c>
      <c r="F566" s="165">
        <v>4811.2</v>
      </c>
      <c r="G566" s="165"/>
      <c r="H566" s="159" t="s">
        <v>14</v>
      </c>
      <c r="I566" s="166" t="s">
        <v>15</v>
      </c>
      <c r="J566" s="166"/>
      <c r="K566" s="162" t="s">
        <v>8</v>
      </c>
      <c r="L566" s="163">
        <v>819566.01</v>
      </c>
    </row>
    <row r="567" spans="1:12" ht="61.2" hidden="1" x14ac:dyDescent="0.3">
      <c r="A567" s="157" t="s">
        <v>34</v>
      </c>
      <c r="B567" s="158" t="s">
        <v>1266</v>
      </c>
      <c r="C567" s="158" t="s">
        <v>1279</v>
      </c>
      <c r="D567" s="158" t="s">
        <v>1257</v>
      </c>
      <c r="E567" s="159" t="s">
        <v>283</v>
      </c>
      <c r="F567" s="165">
        <v>1750</v>
      </c>
      <c r="G567" s="165"/>
      <c r="H567" s="159" t="s">
        <v>14</v>
      </c>
      <c r="I567" s="166" t="s">
        <v>15</v>
      </c>
      <c r="J567" s="166"/>
      <c r="K567" s="162" t="s">
        <v>8</v>
      </c>
      <c r="L567" s="163">
        <v>821316.01</v>
      </c>
    </row>
    <row r="568" spans="1:12" ht="71.400000000000006" hidden="1" x14ac:dyDescent="0.3">
      <c r="A568" s="157" t="s">
        <v>34</v>
      </c>
      <c r="B568" s="158" t="s">
        <v>1266</v>
      </c>
      <c r="C568" s="158" t="s">
        <v>1280</v>
      </c>
      <c r="D568" s="158" t="s">
        <v>1257</v>
      </c>
      <c r="E568" s="159" t="s">
        <v>283</v>
      </c>
      <c r="F568" s="165">
        <v>6825</v>
      </c>
      <c r="G568" s="165"/>
      <c r="H568" s="159" t="s">
        <v>14</v>
      </c>
      <c r="I568" s="166" t="s">
        <v>15</v>
      </c>
      <c r="J568" s="166"/>
      <c r="K568" s="162" t="s">
        <v>8</v>
      </c>
      <c r="L568" s="163">
        <v>828141.01</v>
      </c>
    </row>
    <row r="569" spans="1:12" ht="61.2" hidden="1" x14ac:dyDescent="0.3">
      <c r="A569" s="157" t="s">
        <v>34</v>
      </c>
      <c r="B569" s="158" t="s">
        <v>1266</v>
      </c>
      <c r="C569" s="158" t="s">
        <v>1281</v>
      </c>
      <c r="D569" s="158" t="s">
        <v>1257</v>
      </c>
      <c r="E569" s="159" t="s">
        <v>283</v>
      </c>
      <c r="F569" s="165">
        <v>4832</v>
      </c>
      <c r="G569" s="165"/>
      <c r="H569" s="159" t="s">
        <v>14</v>
      </c>
      <c r="I569" s="166" t="s">
        <v>15</v>
      </c>
      <c r="J569" s="166"/>
      <c r="K569" s="162" t="s">
        <v>8</v>
      </c>
      <c r="L569" s="163">
        <v>832973.01</v>
      </c>
    </row>
    <row r="570" spans="1:12" ht="61.2" hidden="1" x14ac:dyDescent="0.3">
      <c r="A570" s="157" t="s">
        <v>34</v>
      </c>
      <c r="B570" s="158" t="s">
        <v>1266</v>
      </c>
      <c r="C570" s="158" t="s">
        <v>1282</v>
      </c>
      <c r="D570" s="158" t="s">
        <v>1257</v>
      </c>
      <c r="E570" s="159" t="s">
        <v>283</v>
      </c>
      <c r="F570" s="165">
        <v>2416</v>
      </c>
      <c r="G570" s="165"/>
      <c r="H570" s="159" t="s">
        <v>14</v>
      </c>
      <c r="I570" s="166" t="s">
        <v>15</v>
      </c>
      <c r="J570" s="166"/>
      <c r="K570" s="162" t="s">
        <v>8</v>
      </c>
      <c r="L570" s="163">
        <v>835389.01</v>
      </c>
    </row>
    <row r="571" spans="1:12" ht="51" hidden="1" x14ac:dyDescent="0.3">
      <c r="A571" s="157" t="s">
        <v>34</v>
      </c>
      <c r="B571" s="158" t="s">
        <v>1283</v>
      </c>
      <c r="C571" s="158" t="s">
        <v>1284</v>
      </c>
      <c r="D571" s="158" t="s">
        <v>1285</v>
      </c>
      <c r="E571" s="159" t="s">
        <v>283</v>
      </c>
      <c r="F571" s="165">
        <v>7655.17</v>
      </c>
      <c r="G571" s="165"/>
      <c r="H571" s="159" t="s">
        <v>283</v>
      </c>
      <c r="I571" s="166" t="s">
        <v>15</v>
      </c>
      <c r="J571" s="166"/>
      <c r="K571" s="162" t="s">
        <v>8</v>
      </c>
      <c r="L571" s="163">
        <v>193947.88</v>
      </c>
    </row>
    <row r="572" spans="1:12" ht="51" hidden="1" x14ac:dyDescent="0.3">
      <c r="A572" s="157" t="s">
        <v>34</v>
      </c>
      <c r="B572" s="158" t="s">
        <v>1283</v>
      </c>
      <c r="C572" s="158" t="s">
        <v>1284</v>
      </c>
      <c r="D572" s="158" t="s">
        <v>1285</v>
      </c>
      <c r="E572" s="159" t="s">
        <v>283</v>
      </c>
      <c r="F572" s="160" t="s">
        <v>15</v>
      </c>
      <c r="G572" s="160"/>
      <c r="H572" s="159" t="s">
        <v>283</v>
      </c>
      <c r="I572" s="161">
        <v>7655.17</v>
      </c>
      <c r="J572" s="161"/>
      <c r="K572" s="162" t="s">
        <v>8</v>
      </c>
      <c r="L572" s="163">
        <v>2472076.2799999998</v>
      </c>
    </row>
    <row r="573" spans="1:12" ht="61.2" hidden="1" x14ac:dyDescent="0.3">
      <c r="A573" s="157" t="s">
        <v>34</v>
      </c>
      <c r="B573" s="158" t="s">
        <v>1286</v>
      </c>
      <c r="C573" s="158" t="s">
        <v>1287</v>
      </c>
      <c r="D573" s="158" t="s">
        <v>1288</v>
      </c>
      <c r="E573" s="159" t="s">
        <v>283</v>
      </c>
      <c r="F573" s="165">
        <v>338400</v>
      </c>
      <c r="G573" s="165"/>
      <c r="H573" s="159" t="s">
        <v>14</v>
      </c>
      <c r="I573" s="166" t="s">
        <v>15</v>
      </c>
      <c r="J573" s="166"/>
      <c r="K573" s="162" t="s">
        <v>8</v>
      </c>
      <c r="L573" s="163">
        <v>2810476.28</v>
      </c>
    </row>
    <row r="574" spans="1:12" ht="61.2" hidden="1" x14ac:dyDescent="0.3">
      <c r="A574" s="157" t="s">
        <v>34</v>
      </c>
      <c r="B574" s="158" t="s">
        <v>1286</v>
      </c>
      <c r="C574" s="158" t="s">
        <v>1289</v>
      </c>
      <c r="D574" s="158" t="s">
        <v>1288</v>
      </c>
      <c r="E574" s="159" t="s">
        <v>283</v>
      </c>
      <c r="F574" s="165">
        <v>210560</v>
      </c>
      <c r="G574" s="165"/>
      <c r="H574" s="159" t="s">
        <v>14</v>
      </c>
      <c r="I574" s="166" t="s">
        <v>15</v>
      </c>
      <c r="J574" s="166"/>
      <c r="K574" s="162" t="s">
        <v>8</v>
      </c>
      <c r="L574" s="163">
        <v>3021036.28</v>
      </c>
    </row>
    <row r="575" spans="1:12" ht="61.2" hidden="1" x14ac:dyDescent="0.3">
      <c r="A575" s="157" t="s">
        <v>34</v>
      </c>
      <c r="B575" s="158" t="s">
        <v>1286</v>
      </c>
      <c r="C575" s="158" t="s">
        <v>1290</v>
      </c>
      <c r="D575" s="158" t="s">
        <v>1288</v>
      </c>
      <c r="E575" s="159" t="s">
        <v>283</v>
      </c>
      <c r="F575" s="165">
        <v>142080</v>
      </c>
      <c r="G575" s="165"/>
      <c r="H575" s="159" t="s">
        <v>14</v>
      </c>
      <c r="I575" s="166" t="s">
        <v>15</v>
      </c>
      <c r="J575" s="166"/>
      <c r="K575" s="162" t="s">
        <v>8</v>
      </c>
      <c r="L575" s="163">
        <v>3163116.28</v>
      </c>
    </row>
    <row r="576" spans="1:12" ht="61.2" hidden="1" x14ac:dyDescent="0.3">
      <c r="A576" s="157" t="s">
        <v>34</v>
      </c>
      <c r="B576" s="158" t="s">
        <v>1286</v>
      </c>
      <c r="C576" s="158" t="s">
        <v>1291</v>
      </c>
      <c r="D576" s="158" t="s">
        <v>1288</v>
      </c>
      <c r="E576" s="159" t="s">
        <v>283</v>
      </c>
      <c r="F576" s="165">
        <v>5488</v>
      </c>
      <c r="G576" s="165"/>
      <c r="H576" s="159" t="s">
        <v>14</v>
      </c>
      <c r="I576" s="166" t="s">
        <v>15</v>
      </c>
      <c r="J576" s="166"/>
      <c r="K576" s="162" t="s">
        <v>8</v>
      </c>
      <c r="L576" s="163">
        <v>3168604.28</v>
      </c>
    </row>
    <row r="577" spans="1:12" ht="61.2" hidden="1" x14ac:dyDescent="0.3">
      <c r="A577" s="157" t="s">
        <v>34</v>
      </c>
      <c r="B577" s="158" t="s">
        <v>1286</v>
      </c>
      <c r="C577" s="158" t="s">
        <v>1292</v>
      </c>
      <c r="D577" s="158" t="s">
        <v>1288</v>
      </c>
      <c r="E577" s="159" t="s">
        <v>283</v>
      </c>
      <c r="F577" s="165">
        <v>732170</v>
      </c>
      <c r="G577" s="165"/>
      <c r="H577" s="159" t="s">
        <v>14</v>
      </c>
      <c r="I577" s="166" t="s">
        <v>15</v>
      </c>
      <c r="J577" s="166"/>
      <c r="K577" s="162" t="s">
        <v>8</v>
      </c>
      <c r="L577" s="163">
        <v>3900774.28</v>
      </c>
    </row>
    <row r="578" spans="1:12" ht="61.2" hidden="1" x14ac:dyDescent="0.3">
      <c r="A578" s="157" t="s">
        <v>34</v>
      </c>
      <c r="B578" s="158" t="s">
        <v>1286</v>
      </c>
      <c r="C578" s="158" t="s">
        <v>1293</v>
      </c>
      <c r="D578" s="158" t="s">
        <v>1288</v>
      </c>
      <c r="E578" s="159" t="s">
        <v>283</v>
      </c>
      <c r="F578" s="165">
        <v>318860</v>
      </c>
      <c r="G578" s="165"/>
      <c r="H578" s="159" t="s">
        <v>14</v>
      </c>
      <c r="I578" s="166" t="s">
        <v>15</v>
      </c>
      <c r="J578" s="166"/>
      <c r="K578" s="162" t="s">
        <v>8</v>
      </c>
      <c r="L578" s="163">
        <v>4219634.28</v>
      </c>
    </row>
    <row r="579" spans="1:12" ht="61.2" hidden="1" x14ac:dyDescent="0.3">
      <c r="A579" s="157" t="s">
        <v>34</v>
      </c>
      <c r="B579" s="158" t="s">
        <v>1294</v>
      </c>
      <c r="C579" s="158" t="s">
        <v>1295</v>
      </c>
      <c r="D579" s="158" t="s">
        <v>1288</v>
      </c>
      <c r="E579" s="159" t="s">
        <v>283</v>
      </c>
      <c r="F579" s="165">
        <v>114100.36</v>
      </c>
      <c r="G579" s="165"/>
      <c r="H579" s="159" t="s">
        <v>14</v>
      </c>
      <c r="I579" s="166" t="s">
        <v>15</v>
      </c>
      <c r="J579" s="166"/>
      <c r="K579" s="162" t="s">
        <v>8</v>
      </c>
      <c r="L579" s="163">
        <v>4333734.6399999997</v>
      </c>
    </row>
    <row r="580" spans="1:12" ht="61.2" hidden="1" x14ac:dyDescent="0.3">
      <c r="A580" s="157" t="s">
        <v>34</v>
      </c>
      <c r="B580" s="158" t="s">
        <v>1286</v>
      </c>
      <c r="C580" s="158" t="s">
        <v>1295</v>
      </c>
      <c r="D580" s="158" t="s">
        <v>1288</v>
      </c>
      <c r="E580" s="159" t="s">
        <v>283</v>
      </c>
      <c r="F580" s="165">
        <v>261599.64</v>
      </c>
      <c r="G580" s="165"/>
      <c r="H580" s="159" t="s">
        <v>14</v>
      </c>
      <c r="I580" s="166" t="s">
        <v>15</v>
      </c>
      <c r="J580" s="166"/>
      <c r="K580" s="162" t="s">
        <v>8</v>
      </c>
      <c r="L580" s="163">
        <v>4595334.28</v>
      </c>
    </row>
    <row r="581" spans="1:12" ht="61.2" hidden="1" x14ac:dyDescent="0.3">
      <c r="A581" s="157" t="s">
        <v>34</v>
      </c>
      <c r="B581" s="158" t="s">
        <v>1294</v>
      </c>
      <c r="C581" s="158" t="s">
        <v>1296</v>
      </c>
      <c r="D581" s="158" t="s">
        <v>1288</v>
      </c>
      <c r="E581" s="159" t="s">
        <v>283</v>
      </c>
      <c r="F581" s="165">
        <v>598500</v>
      </c>
      <c r="G581" s="165"/>
      <c r="H581" s="159" t="s">
        <v>14</v>
      </c>
      <c r="I581" s="166" t="s">
        <v>15</v>
      </c>
      <c r="J581" s="166"/>
      <c r="K581" s="162" t="s">
        <v>8</v>
      </c>
      <c r="L581" s="163">
        <v>5193834.28</v>
      </c>
    </row>
    <row r="582" spans="1:12" ht="61.2" hidden="1" x14ac:dyDescent="0.3">
      <c r="A582" s="157" t="s">
        <v>34</v>
      </c>
      <c r="B582" s="158" t="s">
        <v>1294</v>
      </c>
      <c r="C582" s="158" t="s">
        <v>1297</v>
      </c>
      <c r="D582" s="158" t="s">
        <v>1288</v>
      </c>
      <c r="E582" s="159" t="s">
        <v>283</v>
      </c>
      <c r="F582" s="165">
        <v>193500</v>
      </c>
      <c r="G582" s="165"/>
      <c r="H582" s="159" t="s">
        <v>14</v>
      </c>
      <c r="I582" s="166" t="s">
        <v>15</v>
      </c>
      <c r="J582" s="166"/>
      <c r="K582" s="162" t="s">
        <v>8</v>
      </c>
      <c r="L582" s="163">
        <v>5387334.2800000003</v>
      </c>
    </row>
    <row r="583" spans="1:12" ht="61.2" hidden="1" x14ac:dyDescent="0.3">
      <c r="A583" s="157" t="s">
        <v>34</v>
      </c>
      <c r="B583" s="158" t="s">
        <v>1294</v>
      </c>
      <c r="C583" s="158" t="s">
        <v>1298</v>
      </c>
      <c r="D583" s="158" t="s">
        <v>1288</v>
      </c>
      <c r="E583" s="159" t="s">
        <v>283</v>
      </c>
      <c r="F583" s="165">
        <v>1159150</v>
      </c>
      <c r="G583" s="165"/>
      <c r="H583" s="159" t="s">
        <v>14</v>
      </c>
      <c r="I583" s="166" t="s">
        <v>15</v>
      </c>
      <c r="J583" s="166"/>
      <c r="K583" s="162" t="s">
        <v>8</v>
      </c>
      <c r="L583" s="163">
        <v>6546484.2800000003</v>
      </c>
    </row>
    <row r="584" spans="1:12" ht="61.2" hidden="1" x14ac:dyDescent="0.3">
      <c r="A584" s="157" t="s">
        <v>34</v>
      </c>
      <c r="B584" s="158" t="s">
        <v>1294</v>
      </c>
      <c r="C584" s="158" t="s">
        <v>1299</v>
      </c>
      <c r="D584" s="158" t="s">
        <v>1288</v>
      </c>
      <c r="E584" s="159" t="s">
        <v>283</v>
      </c>
      <c r="F584" s="165">
        <v>1417500</v>
      </c>
      <c r="G584" s="165"/>
      <c r="H584" s="159" t="s">
        <v>14</v>
      </c>
      <c r="I584" s="166" t="s">
        <v>15</v>
      </c>
      <c r="J584" s="166"/>
      <c r="K584" s="162" t="s">
        <v>8</v>
      </c>
      <c r="L584" s="163">
        <v>7963984.2800000003</v>
      </c>
    </row>
    <row r="585" spans="1:12" ht="61.2" hidden="1" x14ac:dyDescent="0.3">
      <c r="A585" s="157" t="s">
        <v>34</v>
      </c>
      <c r="B585" s="158" t="s">
        <v>1294</v>
      </c>
      <c r="C585" s="158" t="s">
        <v>1300</v>
      </c>
      <c r="D585" s="158" t="s">
        <v>1288</v>
      </c>
      <c r="E585" s="159" t="s">
        <v>283</v>
      </c>
      <c r="F585" s="165">
        <v>7992</v>
      </c>
      <c r="G585" s="165"/>
      <c r="H585" s="159" t="s">
        <v>14</v>
      </c>
      <c r="I585" s="166" t="s">
        <v>15</v>
      </c>
      <c r="J585" s="166"/>
      <c r="K585" s="162" t="s">
        <v>8</v>
      </c>
      <c r="L585" s="163">
        <v>7971976.2800000003</v>
      </c>
    </row>
    <row r="586" spans="1:12" ht="61.2" hidden="1" x14ac:dyDescent="0.3">
      <c r="A586" s="157" t="s">
        <v>34</v>
      </c>
      <c r="B586" s="158" t="s">
        <v>1294</v>
      </c>
      <c r="C586" s="158" t="s">
        <v>1301</v>
      </c>
      <c r="D586" s="158" t="s">
        <v>1288</v>
      </c>
      <c r="E586" s="159" t="s">
        <v>283</v>
      </c>
      <c r="F586" s="165">
        <v>123120</v>
      </c>
      <c r="G586" s="165"/>
      <c r="H586" s="159" t="s">
        <v>14</v>
      </c>
      <c r="I586" s="166" t="s">
        <v>15</v>
      </c>
      <c r="J586" s="166"/>
      <c r="K586" s="162" t="s">
        <v>8</v>
      </c>
      <c r="L586" s="163">
        <v>8095096.2800000003</v>
      </c>
    </row>
    <row r="587" spans="1:12" ht="61.2" hidden="1" x14ac:dyDescent="0.3">
      <c r="A587" s="157" t="s">
        <v>34</v>
      </c>
      <c r="B587" s="158" t="s">
        <v>1294</v>
      </c>
      <c r="C587" s="158" t="s">
        <v>1302</v>
      </c>
      <c r="D587" s="158" t="s">
        <v>1288</v>
      </c>
      <c r="E587" s="159" t="s">
        <v>283</v>
      </c>
      <c r="F587" s="165">
        <v>20820</v>
      </c>
      <c r="G587" s="165"/>
      <c r="H587" s="159" t="s">
        <v>14</v>
      </c>
      <c r="I587" s="166" t="s">
        <v>15</v>
      </c>
      <c r="J587" s="166"/>
      <c r="K587" s="162" t="s">
        <v>8</v>
      </c>
      <c r="L587" s="163">
        <v>8115916.2800000003</v>
      </c>
    </row>
    <row r="588" spans="1:12" ht="61.2" hidden="1" x14ac:dyDescent="0.3">
      <c r="A588" s="157" t="s">
        <v>34</v>
      </c>
      <c r="B588" s="158" t="s">
        <v>1294</v>
      </c>
      <c r="C588" s="158" t="s">
        <v>1303</v>
      </c>
      <c r="D588" s="158" t="s">
        <v>1288</v>
      </c>
      <c r="E588" s="159" t="s">
        <v>283</v>
      </c>
      <c r="F588" s="165">
        <v>10680</v>
      </c>
      <c r="G588" s="165"/>
      <c r="H588" s="159" t="s">
        <v>14</v>
      </c>
      <c r="I588" s="166" t="s">
        <v>15</v>
      </c>
      <c r="J588" s="166"/>
      <c r="K588" s="162" t="s">
        <v>8</v>
      </c>
      <c r="L588" s="163">
        <v>8126596.2800000003</v>
      </c>
    </row>
    <row r="589" spans="1:12" ht="61.2" hidden="1" x14ac:dyDescent="0.3">
      <c r="A589" s="157" t="s">
        <v>34</v>
      </c>
      <c r="B589" s="158" t="s">
        <v>1294</v>
      </c>
      <c r="C589" s="158" t="s">
        <v>1304</v>
      </c>
      <c r="D589" s="158" t="s">
        <v>1288</v>
      </c>
      <c r="E589" s="159" t="s">
        <v>283</v>
      </c>
      <c r="F589" s="165">
        <v>298908</v>
      </c>
      <c r="G589" s="165"/>
      <c r="H589" s="159" t="s">
        <v>14</v>
      </c>
      <c r="I589" s="166" t="s">
        <v>15</v>
      </c>
      <c r="J589" s="166"/>
      <c r="K589" s="162" t="s">
        <v>8</v>
      </c>
      <c r="L589" s="163">
        <v>8425504.2799999993</v>
      </c>
    </row>
    <row r="590" spans="1:12" ht="61.2" hidden="1" x14ac:dyDescent="0.3">
      <c r="A590" s="157" t="s">
        <v>34</v>
      </c>
      <c r="B590" s="158" t="s">
        <v>1294</v>
      </c>
      <c r="C590" s="158" t="s">
        <v>1304</v>
      </c>
      <c r="D590" s="158" t="s">
        <v>1288</v>
      </c>
      <c r="E590" s="159" t="s">
        <v>283</v>
      </c>
      <c r="F590" s="165">
        <v>4332</v>
      </c>
      <c r="G590" s="165"/>
      <c r="H590" s="159" t="s">
        <v>14</v>
      </c>
      <c r="I590" s="166" t="s">
        <v>15</v>
      </c>
      <c r="J590" s="166"/>
      <c r="K590" s="162" t="s">
        <v>8</v>
      </c>
      <c r="L590" s="163">
        <v>8429836.2799999993</v>
      </c>
    </row>
    <row r="591" spans="1:12" ht="61.2" hidden="1" x14ac:dyDescent="0.3">
      <c r="A591" s="157" t="s">
        <v>34</v>
      </c>
      <c r="B591" s="158" t="s">
        <v>1294</v>
      </c>
      <c r="C591" s="158" t="s">
        <v>1305</v>
      </c>
      <c r="D591" s="158" t="s">
        <v>1288</v>
      </c>
      <c r="E591" s="159" t="s">
        <v>283</v>
      </c>
      <c r="F591" s="165">
        <v>54750</v>
      </c>
      <c r="G591" s="165"/>
      <c r="H591" s="159" t="s">
        <v>14</v>
      </c>
      <c r="I591" s="166" t="s">
        <v>15</v>
      </c>
      <c r="J591" s="166"/>
      <c r="K591" s="162" t="s">
        <v>8</v>
      </c>
      <c r="L591" s="163">
        <v>8484586.2799999993</v>
      </c>
    </row>
    <row r="592" spans="1:12" ht="61.2" hidden="1" x14ac:dyDescent="0.3">
      <c r="A592" s="157" t="s">
        <v>34</v>
      </c>
      <c r="B592" s="158" t="s">
        <v>1294</v>
      </c>
      <c r="C592" s="158" t="s">
        <v>1306</v>
      </c>
      <c r="D592" s="158" t="s">
        <v>1288</v>
      </c>
      <c r="E592" s="159" t="s">
        <v>283</v>
      </c>
      <c r="F592" s="165">
        <v>623000</v>
      </c>
      <c r="G592" s="165"/>
      <c r="H592" s="159" t="s">
        <v>14</v>
      </c>
      <c r="I592" s="166" t="s">
        <v>15</v>
      </c>
      <c r="J592" s="166"/>
      <c r="K592" s="162" t="s">
        <v>8</v>
      </c>
      <c r="L592" s="163">
        <v>9107586.2799999993</v>
      </c>
    </row>
    <row r="593" spans="1:12" ht="61.2" hidden="1" x14ac:dyDescent="0.3">
      <c r="A593" s="157" t="s">
        <v>34</v>
      </c>
      <c r="B593" s="158" t="s">
        <v>1294</v>
      </c>
      <c r="C593" s="158" t="s">
        <v>1307</v>
      </c>
      <c r="D593" s="158" t="s">
        <v>1288</v>
      </c>
      <c r="E593" s="159" t="s">
        <v>283</v>
      </c>
      <c r="F593" s="165">
        <v>634200</v>
      </c>
      <c r="G593" s="165"/>
      <c r="H593" s="159" t="s">
        <v>14</v>
      </c>
      <c r="I593" s="166" t="s">
        <v>15</v>
      </c>
      <c r="J593" s="166"/>
      <c r="K593" s="162" t="s">
        <v>8</v>
      </c>
      <c r="L593" s="163">
        <v>9741786.2799999993</v>
      </c>
    </row>
    <row r="594" spans="1:12" ht="61.2" hidden="1" x14ac:dyDescent="0.3">
      <c r="A594" s="157" t="s">
        <v>34</v>
      </c>
      <c r="B594" s="158" t="s">
        <v>1294</v>
      </c>
      <c r="C594" s="158" t="s">
        <v>1308</v>
      </c>
      <c r="D594" s="158" t="s">
        <v>1288</v>
      </c>
      <c r="E594" s="159" t="s">
        <v>283</v>
      </c>
      <c r="F594" s="165">
        <v>425700</v>
      </c>
      <c r="G594" s="165"/>
      <c r="H594" s="159" t="s">
        <v>14</v>
      </c>
      <c r="I594" s="166" t="s">
        <v>15</v>
      </c>
      <c r="J594" s="166"/>
      <c r="K594" s="162" t="s">
        <v>8</v>
      </c>
      <c r="L594" s="163">
        <v>10167486.279999999</v>
      </c>
    </row>
    <row r="595" spans="1:12" ht="61.2" hidden="1" x14ac:dyDescent="0.3">
      <c r="A595" s="157" t="s">
        <v>34</v>
      </c>
      <c r="B595" s="158" t="s">
        <v>1294</v>
      </c>
      <c r="C595" s="158" t="s">
        <v>1309</v>
      </c>
      <c r="D595" s="158" t="s">
        <v>1288</v>
      </c>
      <c r="E595" s="159" t="s">
        <v>283</v>
      </c>
      <c r="F595" s="165">
        <v>159000</v>
      </c>
      <c r="G595" s="165"/>
      <c r="H595" s="159" t="s">
        <v>14</v>
      </c>
      <c r="I595" s="166" t="s">
        <v>15</v>
      </c>
      <c r="J595" s="166"/>
      <c r="K595" s="162" t="s">
        <v>8</v>
      </c>
      <c r="L595" s="163">
        <v>10326486.279999999</v>
      </c>
    </row>
    <row r="596" spans="1:12" ht="61.2" hidden="1" x14ac:dyDescent="0.3">
      <c r="A596" s="157" t="s">
        <v>34</v>
      </c>
      <c r="B596" s="158" t="s">
        <v>1294</v>
      </c>
      <c r="C596" s="158" t="s">
        <v>1310</v>
      </c>
      <c r="D596" s="158" t="s">
        <v>1288</v>
      </c>
      <c r="E596" s="159" t="s">
        <v>283</v>
      </c>
      <c r="F596" s="165">
        <v>18540</v>
      </c>
      <c r="G596" s="165"/>
      <c r="H596" s="159" t="s">
        <v>14</v>
      </c>
      <c r="I596" s="166" t="s">
        <v>15</v>
      </c>
      <c r="J596" s="166"/>
      <c r="K596" s="162" t="s">
        <v>8</v>
      </c>
      <c r="L596" s="163">
        <v>10345026.279999999</v>
      </c>
    </row>
    <row r="597" spans="1:12" ht="61.2" hidden="1" x14ac:dyDescent="0.3">
      <c r="A597" s="157" t="s">
        <v>34</v>
      </c>
      <c r="B597" s="158" t="s">
        <v>1294</v>
      </c>
      <c r="C597" s="158" t="s">
        <v>1311</v>
      </c>
      <c r="D597" s="158" t="s">
        <v>1288</v>
      </c>
      <c r="E597" s="159" t="s">
        <v>283</v>
      </c>
      <c r="F597" s="165">
        <v>445380</v>
      </c>
      <c r="G597" s="165"/>
      <c r="H597" s="159" t="s">
        <v>14</v>
      </c>
      <c r="I597" s="166" t="s">
        <v>15</v>
      </c>
      <c r="J597" s="166"/>
      <c r="K597" s="162" t="s">
        <v>8</v>
      </c>
      <c r="L597" s="163">
        <v>10790406.279999999</v>
      </c>
    </row>
    <row r="598" spans="1:12" ht="61.2" hidden="1" x14ac:dyDescent="0.3">
      <c r="A598" s="157" t="s">
        <v>34</v>
      </c>
      <c r="B598" s="158" t="s">
        <v>1294</v>
      </c>
      <c r="C598" s="158" t="s">
        <v>1312</v>
      </c>
      <c r="D598" s="158" t="s">
        <v>1288</v>
      </c>
      <c r="E598" s="159" t="s">
        <v>283</v>
      </c>
      <c r="F598" s="165">
        <v>370800</v>
      </c>
      <c r="G598" s="165"/>
      <c r="H598" s="159" t="s">
        <v>14</v>
      </c>
      <c r="I598" s="166" t="s">
        <v>15</v>
      </c>
      <c r="J598" s="166"/>
      <c r="K598" s="162" t="s">
        <v>8</v>
      </c>
      <c r="L598" s="163">
        <v>11161206.279999999</v>
      </c>
    </row>
    <row r="599" spans="1:12" ht="61.2" hidden="1" x14ac:dyDescent="0.3">
      <c r="A599" s="157" t="s">
        <v>34</v>
      </c>
      <c r="B599" s="158" t="s">
        <v>1294</v>
      </c>
      <c r="C599" s="158" t="s">
        <v>1313</v>
      </c>
      <c r="D599" s="158" t="s">
        <v>1288</v>
      </c>
      <c r="E599" s="159" t="s">
        <v>283</v>
      </c>
      <c r="F599" s="165">
        <v>141200</v>
      </c>
      <c r="G599" s="165"/>
      <c r="H599" s="159" t="s">
        <v>14</v>
      </c>
      <c r="I599" s="166" t="s">
        <v>15</v>
      </c>
      <c r="J599" s="166"/>
      <c r="K599" s="162" t="s">
        <v>8</v>
      </c>
      <c r="L599" s="163">
        <v>11302406.279999999</v>
      </c>
    </row>
    <row r="600" spans="1:12" ht="61.2" hidden="1" x14ac:dyDescent="0.3">
      <c r="A600" s="157" t="s">
        <v>34</v>
      </c>
      <c r="B600" s="158" t="s">
        <v>1294</v>
      </c>
      <c r="C600" s="158" t="s">
        <v>1314</v>
      </c>
      <c r="D600" s="158" t="s">
        <v>1288</v>
      </c>
      <c r="E600" s="159" t="s">
        <v>283</v>
      </c>
      <c r="F600" s="165">
        <v>36050</v>
      </c>
      <c r="G600" s="165"/>
      <c r="H600" s="159" t="s">
        <v>14</v>
      </c>
      <c r="I600" s="166" t="s">
        <v>15</v>
      </c>
      <c r="J600" s="166"/>
      <c r="K600" s="162" t="s">
        <v>8</v>
      </c>
      <c r="L600" s="163">
        <v>11338456.279999999</v>
      </c>
    </row>
    <row r="601" spans="1:12" ht="61.2" hidden="1" x14ac:dyDescent="0.3">
      <c r="A601" s="157" t="s">
        <v>34</v>
      </c>
      <c r="B601" s="158" t="s">
        <v>1294</v>
      </c>
      <c r="C601" s="158" t="s">
        <v>1315</v>
      </c>
      <c r="D601" s="158" t="s">
        <v>1288</v>
      </c>
      <c r="E601" s="159" t="s">
        <v>283</v>
      </c>
      <c r="F601" s="165">
        <v>39300</v>
      </c>
      <c r="G601" s="165"/>
      <c r="H601" s="159" t="s">
        <v>14</v>
      </c>
      <c r="I601" s="166" t="s">
        <v>15</v>
      </c>
      <c r="J601" s="166"/>
      <c r="K601" s="162" t="s">
        <v>8</v>
      </c>
      <c r="L601" s="163">
        <v>11377756.279999999</v>
      </c>
    </row>
    <row r="602" spans="1:12" ht="61.2" hidden="1" x14ac:dyDescent="0.3">
      <c r="A602" s="157" t="s">
        <v>34</v>
      </c>
      <c r="B602" s="158" t="s">
        <v>1294</v>
      </c>
      <c r="C602" s="158" t="s">
        <v>1316</v>
      </c>
      <c r="D602" s="158" t="s">
        <v>1288</v>
      </c>
      <c r="E602" s="159" t="s">
        <v>283</v>
      </c>
      <c r="F602" s="165">
        <v>529920</v>
      </c>
      <c r="G602" s="165"/>
      <c r="H602" s="159" t="s">
        <v>14</v>
      </c>
      <c r="I602" s="166" t="s">
        <v>15</v>
      </c>
      <c r="J602" s="166"/>
      <c r="K602" s="162" t="s">
        <v>8</v>
      </c>
      <c r="L602" s="163">
        <v>11907676.279999999</v>
      </c>
    </row>
    <row r="603" spans="1:12" ht="61.2" hidden="1" x14ac:dyDescent="0.3">
      <c r="A603" s="157" t="s">
        <v>34</v>
      </c>
      <c r="B603" s="158" t="s">
        <v>1294</v>
      </c>
      <c r="C603" s="158" t="s">
        <v>1317</v>
      </c>
      <c r="D603" s="158" t="s">
        <v>1288</v>
      </c>
      <c r="E603" s="159" t="s">
        <v>283</v>
      </c>
      <c r="F603" s="165">
        <v>330000</v>
      </c>
      <c r="G603" s="165"/>
      <c r="H603" s="159" t="s">
        <v>14</v>
      </c>
      <c r="I603" s="166" t="s">
        <v>15</v>
      </c>
      <c r="J603" s="166"/>
      <c r="K603" s="162" t="s">
        <v>8</v>
      </c>
      <c r="L603" s="163">
        <v>12237676.279999999</v>
      </c>
    </row>
    <row r="604" spans="1:12" ht="61.2" hidden="1" x14ac:dyDescent="0.3">
      <c r="A604" s="157" t="s">
        <v>34</v>
      </c>
      <c r="B604" s="158" t="s">
        <v>1294</v>
      </c>
      <c r="C604" s="158" t="s">
        <v>1318</v>
      </c>
      <c r="D604" s="158" t="s">
        <v>1288</v>
      </c>
      <c r="E604" s="159" t="s">
        <v>283</v>
      </c>
      <c r="F604" s="165">
        <v>129220</v>
      </c>
      <c r="G604" s="165"/>
      <c r="H604" s="159" t="s">
        <v>14</v>
      </c>
      <c r="I604" s="166" t="s">
        <v>15</v>
      </c>
      <c r="J604" s="166"/>
      <c r="K604" s="162" t="s">
        <v>8</v>
      </c>
      <c r="L604" s="163">
        <v>12366896.279999999</v>
      </c>
    </row>
    <row r="605" spans="1:12" ht="61.2" hidden="1" x14ac:dyDescent="0.3">
      <c r="A605" s="157" t="s">
        <v>34</v>
      </c>
      <c r="B605" s="158" t="s">
        <v>1294</v>
      </c>
      <c r="C605" s="158" t="s">
        <v>1319</v>
      </c>
      <c r="D605" s="158" t="s">
        <v>1288</v>
      </c>
      <c r="E605" s="159" t="s">
        <v>283</v>
      </c>
      <c r="F605" s="165">
        <v>278070</v>
      </c>
      <c r="G605" s="165"/>
      <c r="H605" s="159" t="s">
        <v>14</v>
      </c>
      <c r="I605" s="166" t="s">
        <v>15</v>
      </c>
      <c r="J605" s="166"/>
      <c r="K605" s="162" t="s">
        <v>8</v>
      </c>
      <c r="L605" s="163">
        <v>12644966.279999999</v>
      </c>
    </row>
    <row r="606" spans="1:12" ht="61.2" hidden="1" x14ac:dyDescent="0.3">
      <c r="A606" s="157" t="s">
        <v>34</v>
      </c>
      <c r="B606" s="158" t="s">
        <v>1294</v>
      </c>
      <c r="C606" s="158" t="s">
        <v>1320</v>
      </c>
      <c r="D606" s="158" t="s">
        <v>1288</v>
      </c>
      <c r="E606" s="159" t="s">
        <v>283</v>
      </c>
      <c r="F606" s="165">
        <v>95888</v>
      </c>
      <c r="G606" s="165"/>
      <c r="H606" s="159" t="s">
        <v>14</v>
      </c>
      <c r="I606" s="166" t="s">
        <v>15</v>
      </c>
      <c r="J606" s="166"/>
      <c r="K606" s="162" t="s">
        <v>8</v>
      </c>
      <c r="L606" s="163">
        <v>12740854.279999999</v>
      </c>
    </row>
    <row r="607" spans="1:12" ht="61.2" hidden="1" x14ac:dyDescent="0.3">
      <c r="A607" s="157" t="s">
        <v>34</v>
      </c>
      <c r="B607" s="158" t="s">
        <v>1294</v>
      </c>
      <c r="C607" s="158" t="s">
        <v>1321</v>
      </c>
      <c r="D607" s="158" t="s">
        <v>1288</v>
      </c>
      <c r="E607" s="159" t="s">
        <v>283</v>
      </c>
      <c r="F607" s="165">
        <v>901800</v>
      </c>
      <c r="G607" s="165"/>
      <c r="H607" s="159" t="s">
        <v>14</v>
      </c>
      <c r="I607" s="166" t="s">
        <v>15</v>
      </c>
      <c r="J607" s="166"/>
      <c r="K607" s="162" t="s">
        <v>8</v>
      </c>
      <c r="L607" s="163">
        <v>13642654.279999999</v>
      </c>
    </row>
    <row r="608" spans="1:12" ht="61.2" hidden="1" x14ac:dyDescent="0.3">
      <c r="A608" s="157" t="s">
        <v>34</v>
      </c>
      <c r="B608" s="158" t="s">
        <v>1294</v>
      </c>
      <c r="C608" s="158" t="s">
        <v>1322</v>
      </c>
      <c r="D608" s="158" t="s">
        <v>1288</v>
      </c>
      <c r="E608" s="159" t="s">
        <v>283</v>
      </c>
      <c r="F608" s="165">
        <v>477120</v>
      </c>
      <c r="G608" s="165"/>
      <c r="H608" s="159" t="s">
        <v>14</v>
      </c>
      <c r="I608" s="166" t="s">
        <v>15</v>
      </c>
      <c r="J608" s="166"/>
      <c r="K608" s="162" t="s">
        <v>8</v>
      </c>
      <c r="L608" s="163">
        <v>14119774.279999999</v>
      </c>
    </row>
    <row r="609" spans="1:12" ht="61.2" hidden="1" x14ac:dyDescent="0.3">
      <c r="A609" s="157" t="s">
        <v>34</v>
      </c>
      <c r="B609" s="158" t="s">
        <v>1294</v>
      </c>
      <c r="C609" s="158" t="s">
        <v>1323</v>
      </c>
      <c r="D609" s="158" t="s">
        <v>1288</v>
      </c>
      <c r="E609" s="159" t="s">
        <v>283</v>
      </c>
      <c r="F609" s="165">
        <v>596440</v>
      </c>
      <c r="G609" s="165"/>
      <c r="H609" s="159" t="s">
        <v>14</v>
      </c>
      <c r="I609" s="166" t="s">
        <v>15</v>
      </c>
      <c r="J609" s="166"/>
      <c r="K609" s="162" t="s">
        <v>8</v>
      </c>
      <c r="L609" s="163">
        <v>14716214.279999999</v>
      </c>
    </row>
    <row r="610" spans="1:12" ht="61.2" hidden="1" x14ac:dyDescent="0.3">
      <c r="A610" s="157" t="s">
        <v>34</v>
      </c>
      <c r="B610" s="158" t="s">
        <v>1294</v>
      </c>
      <c r="C610" s="158" t="s">
        <v>1324</v>
      </c>
      <c r="D610" s="158" t="s">
        <v>1288</v>
      </c>
      <c r="E610" s="159" t="s">
        <v>283</v>
      </c>
      <c r="F610" s="165">
        <v>391200</v>
      </c>
      <c r="G610" s="165"/>
      <c r="H610" s="159" t="s">
        <v>14</v>
      </c>
      <c r="I610" s="166" t="s">
        <v>15</v>
      </c>
      <c r="J610" s="166"/>
      <c r="K610" s="162" t="s">
        <v>8</v>
      </c>
      <c r="L610" s="163">
        <v>15107414.279999999</v>
      </c>
    </row>
    <row r="611" spans="1:12" ht="61.2" hidden="1" x14ac:dyDescent="0.3">
      <c r="A611" s="157" t="s">
        <v>34</v>
      </c>
      <c r="B611" s="158" t="s">
        <v>1294</v>
      </c>
      <c r="C611" s="158" t="s">
        <v>1325</v>
      </c>
      <c r="D611" s="158" t="s">
        <v>1288</v>
      </c>
      <c r="E611" s="159" t="s">
        <v>283</v>
      </c>
      <c r="F611" s="165">
        <v>361200</v>
      </c>
      <c r="G611" s="165"/>
      <c r="H611" s="159" t="s">
        <v>14</v>
      </c>
      <c r="I611" s="166" t="s">
        <v>15</v>
      </c>
      <c r="J611" s="166"/>
      <c r="K611" s="162" t="s">
        <v>8</v>
      </c>
      <c r="L611" s="163">
        <v>15468614.279999999</v>
      </c>
    </row>
    <row r="612" spans="1:12" ht="61.2" hidden="1" x14ac:dyDescent="0.3">
      <c r="A612" s="157" t="s">
        <v>34</v>
      </c>
      <c r="B612" s="158" t="s">
        <v>1294</v>
      </c>
      <c r="C612" s="158" t="s">
        <v>1326</v>
      </c>
      <c r="D612" s="158" t="s">
        <v>1288</v>
      </c>
      <c r="E612" s="159" t="s">
        <v>283</v>
      </c>
      <c r="F612" s="165">
        <v>107180</v>
      </c>
      <c r="G612" s="165"/>
      <c r="H612" s="159" t="s">
        <v>14</v>
      </c>
      <c r="I612" s="166" t="s">
        <v>15</v>
      </c>
      <c r="J612" s="166"/>
      <c r="K612" s="162" t="s">
        <v>8</v>
      </c>
      <c r="L612" s="163">
        <v>15575794.279999999</v>
      </c>
    </row>
    <row r="613" spans="1:12" ht="71.400000000000006" hidden="1" x14ac:dyDescent="0.3">
      <c r="A613" s="157" t="s">
        <v>34</v>
      </c>
      <c r="B613" s="158" t="s">
        <v>1327</v>
      </c>
      <c r="C613" s="158" t="s">
        <v>1328</v>
      </c>
      <c r="D613" s="158" t="s">
        <v>1329</v>
      </c>
      <c r="E613" s="159" t="s">
        <v>283</v>
      </c>
      <c r="F613" s="160" t="s">
        <v>15</v>
      </c>
      <c r="G613" s="160"/>
      <c r="H613" s="159" t="s">
        <v>283</v>
      </c>
      <c r="I613" s="161">
        <v>2741.67</v>
      </c>
      <c r="J613" s="161"/>
      <c r="K613" s="162" t="s">
        <v>8</v>
      </c>
      <c r="L613" s="163">
        <v>188114.79</v>
      </c>
    </row>
    <row r="614" spans="1:12" ht="71.400000000000006" hidden="1" x14ac:dyDescent="0.3">
      <c r="A614" s="157" t="s">
        <v>34</v>
      </c>
      <c r="B614" s="158" t="s">
        <v>1327</v>
      </c>
      <c r="C614" s="158" t="s">
        <v>1328</v>
      </c>
      <c r="D614" s="158" t="s">
        <v>1329</v>
      </c>
      <c r="E614" s="159" t="s">
        <v>283</v>
      </c>
      <c r="F614" s="165">
        <v>2741.67</v>
      </c>
      <c r="G614" s="165"/>
      <c r="H614" s="159" t="s">
        <v>283</v>
      </c>
      <c r="I614" s="166" t="s">
        <v>15</v>
      </c>
      <c r="J614" s="166"/>
      <c r="K614" s="162" t="s">
        <v>8</v>
      </c>
      <c r="L614" s="163">
        <v>244088.79</v>
      </c>
    </row>
    <row r="615" spans="1:12" ht="61.2" hidden="1" x14ac:dyDescent="0.3">
      <c r="A615" s="157" t="s">
        <v>34</v>
      </c>
      <c r="B615" s="158" t="s">
        <v>1330</v>
      </c>
      <c r="C615" s="158" t="s">
        <v>1331</v>
      </c>
      <c r="D615" s="158" t="s">
        <v>1332</v>
      </c>
      <c r="E615" s="159" t="s">
        <v>283</v>
      </c>
      <c r="F615" s="160" t="s">
        <v>15</v>
      </c>
      <c r="G615" s="160"/>
      <c r="H615" s="159" t="s">
        <v>283</v>
      </c>
      <c r="I615" s="161">
        <v>1086.6500000000001</v>
      </c>
      <c r="J615" s="161"/>
      <c r="K615" s="162" t="s">
        <v>8</v>
      </c>
      <c r="L615" s="163">
        <v>103947.57</v>
      </c>
    </row>
    <row r="616" spans="1:12" ht="61.2" hidden="1" x14ac:dyDescent="0.3">
      <c r="A616" s="157" t="s">
        <v>34</v>
      </c>
      <c r="B616" s="158" t="s">
        <v>1330</v>
      </c>
      <c r="C616" s="158" t="s">
        <v>1331</v>
      </c>
      <c r="D616" s="158" t="s">
        <v>1332</v>
      </c>
      <c r="E616" s="159" t="s">
        <v>283</v>
      </c>
      <c r="F616" s="165">
        <v>1086.6500000000001</v>
      </c>
      <c r="G616" s="165"/>
      <c r="H616" s="159" t="s">
        <v>283</v>
      </c>
      <c r="I616" s="166" t="s">
        <v>15</v>
      </c>
      <c r="J616" s="166"/>
      <c r="K616" s="162" t="s">
        <v>8</v>
      </c>
      <c r="L616" s="163">
        <v>245175.44</v>
      </c>
    </row>
    <row r="617" spans="1:12" ht="61.2" x14ac:dyDescent="0.3">
      <c r="A617" s="157" t="s">
        <v>34</v>
      </c>
      <c r="B617" s="158" t="s">
        <v>1333</v>
      </c>
      <c r="C617" s="158" t="s">
        <v>611</v>
      </c>
      <c r="D617" s="158" t="s">
        <v>1287</v>
      </c>
      <c r="E617" s="159" t="s">
        <v>613</v>
      </c>
      <c r="F617" s="160" t="s">
        <v>15</v>
      </c>
      <c r="G617" s="160"/>
      <c r="H617" s="159" t="s">
        <v>283</v>
      </c>
      <c r="I617" s="161">
        <v>338400</v>
      </c>
      <c r="J617" s="161"/>
      <c r="K617" s="162" t="s">
        <v>8</v>
      </c>
      <c r="L617" s="163">
        <v>15237394.279999999</v>
      </c>
    </row>
    <row r="618" spans="1:12" ht="61.2" x14ac:dyDescent="0.3">
      <c r="A618" s="157" t="s">
        <v>34</v>
      </c>
      <c r="B618" s="158" t="s">
        <v>1333</v>
      </c>
      <c r="C618" s="158" t="s">
        <v>611</v>
      </c>
      <c r="D618" s="158" t="s">
        <v>1289</v>
      </c>
      <c r="E618" s="159" t="s">
        <v>613</v>
      </c>
      <c r="F618" s="160" t="s">
        <v>15</v>
      </c>
      <c r="G618" s="160"/>
      <c r="H618" s="159" t="s">
        <v>283</v>
      </c>
      <c r="I618" s="161">
        <v>210560</v>
      </c>
      <c r="J618" s="161"/>
      <c r="K618" s="162" t="s">
        <v>8</v>
      </c>
      <c r="L618" s="163">
        <v>15026834.279999999</v>
      </c>
    </row>
    <row r="619" spans="1:12" ht="61.2" x14ac:dyDescent="0.3">
      <c r="A619" s="157" t="s">
        <v>34</v>
      </c>
      <c r="B619" s="158" t="s">
        <v>1333</v>
      </c>
      <c r="C619" s="158" t="s">
        <v>611</v>
      </c>
      <c r="D619" s="158" t="s">
        <v>1290</v>
      </c>
      <c r="E619" s="159" t="s">
        <v>613</v>
      </c>
      <c r="F619" s="160" t="s">
        <v>15</v>
      </c>
      <c r="G619" s="160"/>
      <c r="H619" s="159" t="s">
        <v>283</v>
      </c>
      <c r="I619" s="161">
        <v>142080</v>
      </c>
      <c r="J619" s="161"/>
      <c r="K619" s="162" t="s">
        <v>8</v>
      </c>
      <c r="L619" s="163">
        <v>14884754.279999999</v>
      </c>
    </row>
    <row r="620" spans="1:12" ht="61.2" x14ac:dyDescent="0.3">
      <c r="A620" s="157" t="s">
        <v>34</v>
      </c>
      <c r="B620" s="158" t="s">
        <v>1333</v>
      </c>
      <c r="C620" s="158" t="s">
        <v>611</v>
      </c>
      <c r="D620" s="158" t="s">
        <v>1291</v>
      </c>
      <c r="E620" s="159" t="s">
        <v>613</v>
      </c>
      <c r="F620" s="160" t="s">
        <v>15</v>
      </c>
      <c r="G620" s="160"/>
      <c r="H620" s="159" t="s">
        <v>283</v>
      </c>
      <c r="I620" s="161">
        <v>5488</v>
      </c>
      <c r="J620" s="161"/>
      <c r="K620" s="162" t="s">
        <v>8</v>
      </c>
      <c r="L620" s="163">
        <v>14879266.279999999</v>
      </c>
    </row>
    <row r="621" spans="1:12" ht="61.2" x14ac:dyDescent="0.3">
      <c r="A621" s="157" t="s">
        <v>34</v>
      </c>
      <c r="B621" s="158" t="s">
        <v>1333</v>
      </c>
      <c r="C621" s="158" t="s">
        <v>611</v>
      </c>
      <c r="D621" s="158" t="s">
        <v>1292</v>
      </c>
      <c r="E621" s="159" t="s">
        <v>613</v>
      </c>
      <c r="F621" s="160" t="s">
        <v>15</v>
      </c>
      <c r="G621" s="160"/>
      <c r="H621" s="159" t="s">
        <v>283</v>
      </c>
      <c r="I621" s="161">
        <v>732170</v>
      </c>
      <c r="J621" s="161"/>
      <c r="K621" s="162" t="s">
        <v>8</v>
      </c>
      <c r="L621" s="163">
        <v>14147096.279999999</v>
      </c>
    </row>
    <row r="622" spans="1:12" ht="61.2" x14ac:dyDescent="0.3">
      <c r="A622" s="157" t="s">
        <v>34</v>
      </c>
      <c r="B622" s="158" t="s">
        <v>1333</v>
      </c>
      <c r="C622" s="158" t="s">
        <v>611</v>
      </c>
      <c r="D622" s="158" t="s">
        <v>1293</v>
      </c>
      <c r="E622" s="159" t="s">
        <v>613</v>
      </c>
      <c r="F622" s="160" t="s">
        <v>15</v>
      </c>
      <c r="G622" s="160"/>
      <c r="H622" s="159" t="s">
        <v>283</v>
      </c>
      <c r="I622" s="161">
        <v>318860</v>
      </c>
      <c r="J622" s="161"/>
      <c r="K622" s="162" t="s">
        <v>8</v>
      </c>
      <c r="L622" s="163">
        <v>13828236.279999999</v>
      </c>
    </row>
    <row r="623" spans="1:12" ht="61.2" x14ac:dyDescent="0.3">
      <c r="A623" s="157" t="s">
        <v>34</v>
      </c>
      <c r="B623" s="158" t="s">
        <v>1333</v>
      </c>
      <c r="C623" s="158" t="s">
        <v>611</v>
      </c>
      <c r="D623" s="158" t="s">
        <v>1295</v>
      </c>
      <c r="E623" s="159" t="s">
        <v>613</v>
      </c>
      <c r="F623" s="160" t="s">
        <v>15</v>
      </c>
      <c r="G623" s="160"/>
      <c r="H623" s="159" t="s">
        <v>283</v>
      </c>
      <c r="I623" s="161">
        <v>375700</v>
      </c>
      <c r="J623" s="161"/>
      <c r="K623" s="162" t="s">
        <v>8</v>
      </c>
      <c r="L623" s="163">
        <v>13452536.279999999</v>
      </c>
    </row>
    <row r="624" spans="1:12" ht="61.2" x14ac:dyDescent="0.3">
      <c r="A624" s="157" t="s">
        <v>34</v>
      </c>
      <c r="B624" s="158" t="s">
        <v>1333</v>
      </c>
      <c r="C624" s="158" t="s">
        <v>611</v>
      </c>
      <c r="D624" s="158" t="s">
        <v>1296</v>
      </c>
      <c r="E624" s="159" t="s">
        <v>613</v>
      </c>
      <c r="F624" s="160" t="s">
        <v>15</v>
      </c>
      <c r="G624" s="160"/>
      <c r="H624" s="159" t="s">
        <v>283</v>
      </c>
      <c r="I624" s="161">
        <v>598500</v>
      </c>
      <c r="J624" s="161"/>
      <c r="K624" s="162" t="s">
        <v>8</v>
      </c>
      <c r="L624" s="163">
        <v>12854036.279999999</v>
      </c>
    </row>
    <row r="625" spans="1:12" ht="61.2" x14ac:dyDescent="0.3">
      <c r="A625" s="157" t="s">
        <v>34</v>
      </c>
      <c r="B625" s="158" t="s">
        <v>1333</v>
      </c>
      <c r="C625" s="158" t="s">
        <v>611</v>
      </c>
      <c r="D625" s="158" t="s">
        <v>1297</v>
      </c>
      <c r="E625" s="159" t="s">
        <v>613</v>
      </c>
      <c r="F625" s="160" t="s">
        <v>15</v>
      </c>
      <c r="G625" s="160"/>
      <c r="H625" s="159" t="s">
        <v>283</v>
      </c>
      <c r="I625" s="161">
        <v>193500</v>
      </c>
      <c r="J625" s="161"/>
      <c r="K625" s="162" t="s">
        <v>8</v>
      </c>
      <c r="L625" s="163">
        <v>12660536.279999999</v>
      </c>
    </row>
    <row r="626" spans="1:12" ht="61.2" x14ac:dyDescent="0.3">
      <c r="A626" s="157" t="s">
        <v>34</v>
      </c>
      <c r="B626" s="158" t="s">
        <v>1333</v>
      </c>
      <c r="C626" s="158" t="s">
        <v>611</v>
      </c>
      <c r="D626" s="158" t="s">
        <v>1298</v>
      </c>
      <c r="E626" s="159" t="s">
        <v>613</v>
      </c>
      <c r="F626" s="160" t="s">
        <v>15</v>
      </c>
      <c r="G626" s="160"/>
      <c r="H626" s="159" t="s">
        <v>283</v>
      </c>
      <c r="I626" s="161">
        <v>1159150</v>
      </c>
      <c r="J626" s="161"/>
      <c r="K626" s="162" t="s">
        <v>8</v>
      </c>
      <c r="L626" s="163">
        <v>11501386.279999999</v>
      </c>
    </row>
    <row r="627" spans="1:12" ht="61.2" x14ac:dyDescent="0.3">
      <c r="A627" s="157" t="s">
        <v>34</v>
      </c>
      <c r="B627" s="158" t="s">
        <v>1333</v>
      </c>
      <c r="C627" s="158" t="s">
        <v>611</v>
      </c>
      <c r="D627" s="158" t="s">
        <v>1299</v>
      </c>
      <c r="E627" s="159" t="s">
        <v>613</v>
      </c>
      <c r="F627" s="160" t="s">
        <v>15</v>
      </c>
      <c r="G627" s="160"/>
      <c r="H627" s="159" t="s">
        <v>283</v>
      </c>
      <c r="I627" s="161">
        <v>1417500</v>
      </c>
      <c r="J627" s="161"/>
      <c r="K627" s="162" t="s">
        <v>8</v>
      </c>
      <c r="L627" s="163">
        <v>10083886.279999999</v>
      </c>
    </row>
    <row r="628" spans="1:12" ht="61.2" x14ac:dyDescent="0.3">
      <c r="A628" s="157" t="s">
        <v>34</v>
      </c>
      <c r="B628" s="158" t="s">
        <v>1333</v>
      </c>
      <c r="C628" s="158" t="s">
        <v>611</v>
      </c>
      <c r="D628" s="158" t="s">
        <v>1300</v>
      </c>
      <c r="E628" s="159" t="s">
        <v>613</v>
      </c>
      <c r="F628" s="160" t="s">
        <v>15</v>
      </c>
      <c r="G628" s="160"/>
      <c r="H628" s="159" t="s">
        <v>283</v>
      </c>
      <c r="I628" s="161">
        <v>7992</v>
      </c>
      <c r="J628" s="161"/>
      <c r="K628" s="162" t="s">
        <v>8</v>
      </c>
      <c r="L628" s="163">
        <v>10075894.279999999</v>
      </c>
    </row>
    <row r="629" spans="1:12" ht="61.2" x14ac:dyDescent="0.3">
      <c r="A629" s="157" t="s">
        <v>34</v>
      </c>
      <c r="B629" s="158" t="s">
        <v>1333</v>
      </c>
      <c r="C629" s="158" t="s">
        <v>611</v>
      </c>
      <c r="D629" s="158" t="s">
        <v>1301</v>
      </c>
      <c r="E629" s="159" t="s">
        <v>613</v>
      </c>
      <c r="F629" s="160" t="s">
        <v>15</v>
      </c>
      <c r="G629" s="160"/>
      <c r="H629" s="159" t="s">
        <v>283</v>
      </c>
      <c r="I629" s="161">
        <v>123120</v>
      </c>
      <c r="J629" s="161"/>
      <c r="K629" s="162" t="s">
        <v>8</v>
      </c>
      <c r="L629" s="163">
        <v>9952774.2799999993</v>
      </c>
    </row>
    <row r="630" spans="1:12" ht="61.2" x14ac:dyDescent="0.3">
      <c r="A630" s="157" t="s">
        <v>34</v>
      </c>
      <c r="B630" s="158" t="s">
        <v>1333</v>
      </c>
      <c r="C630" s="158" t="s">
        <v>611</v>
      </c>
      <c r="D630" s="158" t="s">
        <v>1302</v>
      </c>
      <c r="E630" s="159" t="s">
        <v>613</v>
      </c>
      <c r="F630" s="160" t="s">
        <v>15</v>
      </c>
      <c r="G630" s="160"/>
      <c r="H630" s="159" t="s">
        <v>283</v>
      </c>
      <c r="I630" s="161">
        <v>20820</v>
      </c>
      <c r="J630" s="161"/>
      <c r="K630" s="162" t="s">
        <v>8</v>
      </c>
      <c r="L630" s="163">
        <v>9931954.2799999993</v>
      </c>
    </row>
    <row r="631" spans="1:12" ht="61.2" x14ac:dyDescent="0.3">
      <c r="A631" s="157" t="s">
        <v>34</v>
      </c>
      <c r="B631" s="158" t="s">
        <v>1333</v>
      </c>
      <c r="C631" s="158" t="s">
        <v>611</v>
      </c>
      <c r="D631" s="158" t="s">
        <v>1303</v>
      </c>
      <c r="E631" s="159" t="s">
        <v>613</v>
      </c>
      <c r="F631" s="160" t="s">
        <v>15</v>
      </c>
      <c r="G631" s="160"/>
      <c r="H631" s="159" t="s">
        <v>283</v>
      </c>
      <c r="I631" s="161">
        <v>10680</v>
      </c>
      <c r="J631" s="161"/>
      <c r="K631" s="162" t="s">
        <v>8</v>
      </c>
      <c r="L631" s="163">
        <v>9921274.2799999993</v>
      </c>
    </row>
    <row r="632" spans="1:12" ht="61.2" x14ac:dyDescent="0.3">
      <c r="A632" s="157" t="s">
        <v>34</v>
      </c>
      <c r="B632" s="158" t="s">
        <v>1333</v>
      </c>
      <c r="C632" s="158" t="s">
        <v>611</v>
      </c>
      <c r="D632" s="158" t="s">
        <v>1304</v>
      </c>
      <c r="E632" s="159" t="s">
        <v>613</v>
      </c>
      <c r="F632" s="160" t="s">
        <v>15</v>
      </c>
      <c r="G632" s="160"/>
      <c r="H632" s="159" t="s">
        <v>283</v>
      </c>
      <c r="I632" s="161">
        <v>298908</v>
      </c>
      <c r="J632" s="161"/>
      <c r="K632" s="162" t="s">
        <v>8</v>
      </c>
      <c r="L632" s="163">
        <v>9622366.2799999993</v>
      </c>
    </row>
    <row r="633" spans="1:12" ht="61.2" x14ac:dyDescent="0.3">
      <c r="A633" s="157" t="s">
        <v>34</v>
      </c>
      <c r="B633" s="158" t="s">
        <v>1333</v>
      </c>
      <c r="C633" s="158" t="s">
        <v>611</v>
      </c>
      <c r="D633" s="158" t="s">
        <v>1304</v>
      </c>
      <c r="E633" s="159" t="s">
        <v>613</v>
      </c>
      <c r="F633" s="160" t="s">
        <v>15</v>
      </c>
      <c r="G633" s="160"/>
      <c r="H633" s="159" t="s">
        <v>283</v>
      </c>
      <c r="I633" s="161">
        <v>4332</v>
      </c>
      <c r="J633" s="161"/>
      <c r="K633" s="162" t="s">
        <v>8</v>
      </c>
      <c r="L633" s="163">
        <v>9618034.2799999993</v>
      </c>
    </row>
    <row r="634" spans="1:12" ht="61.2" x14ac:dyDescent="0.3">
      <c r="A634" s="157" t="s">
        <v>34</v>
      </c>
      <c r="B634" s="158" t="s">
        <v>1333</v>
      </c>
      <c r="C634" s="158" t="s">
        <v>611</v>
      </c>
      <c r="D634" s="158" t="s">
        <v>1305</v>
      </c>
      <c r="E634" s="159" t="s">
        <v>613</v>
      </c>
      <c r="F634" s="160" t="s">
        <v>15</v>
      </c>
      <c r="G634" s="160"/>
      <c r="H634" s="159" t="s">
        <v>283</v>
      </c>
      <c r="I634" s="161">
        <v>54750</v>
      </c>
      <c r="J634" s="161"/>
      <c r="K634" s="162" t="s">
        <v>8</v>
      </c>
      <c r="L634" s="163">
        <v>9563284.2799999993</v>
      </c>
    </row>
    <row r="635" spans="1:12" ht="61.2" x14ac:dyDescent="0.3">
      <c r="A635" s="157" t="s">
        <v>34</v>
      </c>
      <c r="B635" s="158" t="s">
        <v>1333</v>
      </c>
      <c r="C635" s="158" t="s">
        <v>611</v>
      </c>
      <c r="D635" s="158" t="s">
        <v>1306</v>
      </c>
      <c r="E635" s="159" t="s">
        <v>613</v>
      </c>
      <c r="F635" s="160" t="s">
        <v>15</v>
      </c>
      <c r="G635" s="160"/>
      <c r="H635" s="159" t="s">
        <v>283</v>
      </c>
      <c r="I635" s="161">
        <v>623000</v>
      </c>
      <c r="J635" s="161"/>
      <c r="K635" s="162" t="s">
        <v>8</v>
      </c>
      <c r="L635" s="163">
        <v>8940284.2799999993</v>
      </c>
    </row>
    <row r="636" spans="1:12" ht="61.2" x14ac:dyDescent="0.3">
      <c r="A636" s="157" t="s">
        <v>34</v>
      </c>
      <c r="B636" s="158" t="s">
        <v>1333</v>
      </c>
      <c r="C636" s="158" t="s">
        <v>611</v>
      </c>
      <c r="D636" s="158" t="s">
        <v>1307</v>
      </c>
      <c r="E636" s="159" t="s">
        <v>613</v>
      </c>
      <c r="F636" s="160" t="s">
        <v>15</v>
      </c>
      <c r="G636" s="160"/>
      <c r="H636" s="159" t="s">
        <v>283</v>
      </c>
      <c r="I636" s="161">
        <v>634200</v>
      </c>
      <c r="J636" s="161"/>
      <c r="K636" s="162" t="s">
        <v>8</v>
      </c>
      <c r="L636" s="163">
        <v>8306084.2800000003</v>
      </c>
    </row>
    <row r="637" spans="1:12" ht="61.2" x14ac:dyDescent="0.3">
      <c r="A637" s="157" t="s">
        <v>34</v>
      </c>
      <c r="B637" s="158" t="s">
        <v>1333</v>
      </c>
      <c r="C637" s="158" t="s">
        <v>611</v>
      </c>
      <c r="D637" s="158" t="s">
        <v>1308</v>
      </c>
      <c r="E637" s="159" t="s">
        <v>613</v>
      </c>
      <c r="F637" s="160" t="s">
        <v>15</v>
      </c>
      <c r="G637" s="160"/>
      <c r="H637" s="159" t="s">
        <v>283</v>
      </c>
      <c r="I637" s="161">
        <v>425700</v>
      </c>
      <c r="J637" s="161"/>
      <c r="K637" s="162" t="s">
        <v>8</v>
      </c>
      <c r="L637" s="163">
        <v>7880384.2800000003</v>
      </c>
    </row>
    <row r="638" spans="1:12" ht="61.2" x14ac:dyDescent="0.3">
      <c r="A638" s="157" t="s">
        <v>34</v>
      </c>
      <c r="B638" s="158" t="s">
        <v>1333</v>
      </c>
      <c r="C638" s="158" t="s">
        <v>611</v>
      </c>
      <c r="D638" s="158" t="s">
        <v>1309</v>
      </c>
      <c r="E638" s="159" t="s">
        <v>613</v>
      </c>
      <c r="F638" s="160" t="s">
        <v>15</v>
      </c>
      <c r="G638" s="160"/>
      <c r="H638" s="159" t="s">
        <v>283</v>
      </c>
      <c r="I638" s="161">
        <v>159000</v>
      </c>
      <c r="J638" s="161"/>
      <c r="K638" s="162" t="s">
        <v>8</v>
      </c>
      <c r="L638" s="163">
        <v>7721384.2800000003</v>
      </c>
    </row>
    <row r="639" spans="1:12" ht="61.2" x14ac:dyDescent="0.3">
      <c r="A639" s="157" t="s">
        <v>34</v>
      </c>
      <c r="B639" s="158" t="s">
        <v>1333</v>
      </c>
      <c r="C639" s="158" t="s">
        <v>611</v>
      </c>
      <c r="D639" s="158" t="s">
        <v>1310</v>
      </c>
      <c r="E639" s="159" t="s">
        <v>613</v>
      </c>
      <c r="F639" s="160" t="s">
        <v>15</v>
      </c>
      <c r="G639" s="160"/>
      <c r="H639" s="159" t="s">
        <v>283</v>
      </c>
      <c r="I639" s="161">
        <v>18540</v>
      </c>
      <c r="J639" s="161"/>
      <c r="K639" s="162" t="s">
        <v>8</v>
      </c>
      <c r="L639" s="163">
        <v>7702844.2800000003</v>
      </c>
    </row>
    <row r="640" spans="1:12" ht="61.2" x14ac:dyDescent="0.3">
      <c r="A640" s="157" t="s">
        <v>34</v>
      </c>
      <c r="B640" s="158" t="s">
        <v>1333</v>
      </c>
      <c r="C640" s="158" t="s">
        <v>611</v>
      </c>
      <c r="D640" s="158" t="s">
        <v>1311</v>
      </c>
      <c r="E640" s="159" t="s">
        <v>613</v>
      </c>
      <c r="F640" s="160" t="s">
        <v>15</v>
      </c>
      <c r="G640" s="160"/>
      <c r="H640" s="159" t="s">
        <v>283</v>
      </c>
      <c r="I640" s="161">
        <v>445380</v>
      </c>
      <c r="J640" s="161"/>
      <c r="K640" s="162" t="s">
        <v>8</v>
      </c>
      <c r="L640" s="163">
        <v>7257464.2800000003</v>
      </c>
    </row>
    <row r="641" spans="1:12" ht="61.2" x14ac:dyDescent="0.3">
      <c r="A641" s="157" t="s">
        <v>34</v>
      </c>
      <c r="B641" s="158" t="s">
        <v>1333</v>
      </c>
      <c r="C641" s="158" t="s">
        <v>611</v>
      </c>
      <c r="D641" s="158" t="s">
        <v>1312</v>
      </c>
      <c r="E641" s="159" t="s">
        <v>613</v>
      </c>
      <c r="F641" s="160" t="s">
        <v>15</v>
      </c>
      <c r="G641" s="160"/>
      <c r="H641" s="159" t="s">
        <v>283</v>
      </c>
      <c r="I641" s="161">
        <v>370800</v>
      </c>
      <c r="J641" s="161"/>
      <c r="K641" s="162" t="s">
        <v>8</v>
      </c>
      <c r="L641" s="163">
        <v>6886664.2800000003</v>
      </c>
    </row>
    <row r="642" spans="1:12" ht="61.2" x14ac:dyDescent="0.3">
      <c r="A642" s="157" t="s">
        <v>34</v>
      </c>
      <c r="B642" s="158" t="s">
        <v>1333</v>
      </c>
      <c r="C642" s="158" t="s">
        <v>611</v>
      </c>
      <c r="D642" s="158" t="s">
        <v>1313</v>
      </c>
      <c r="E642" s="159" t="s">
        <v>613</v>
      </c>
      <c r="F642" s="160" t="s">
        <v>15</v>
      </c>
      <c r="G642" s="160"/>
      <c r="H642" s="159" t="s">
        <v>283</v>
      </c>
      <c r="I642" s="161">
        <v>141200</v>
      </c>
      <c r="J642" s="161"/>
      <c r="K642" s="162" t="s">
        <v>8</v>
      </c>
      <c r="L642" s="163">
        <v>6745464.2800000003</v>
      </c>
    </row>
    <row r="643" spans="1:12" ht="61.2" x14ac:dyDescent="0.3">
      <c r="A643" s="157" t="s">
        <v>34</v>
      </c>
      <c r="B643" s="158" t="s">
        <v>1333</v>
      </c>
      <c r="C643" s="158" t="s">
        <v>611</v>
      </c>
      <c r="D643" s="158" t="s">
        <v>1314</v>
      </c>
      <c r="E643" s="159" t="s">
        <v>613</v>
      </c>
      <c r="F643" s="160" t="s">
        <v>15</v>
      </c>
      <c r="G643" s="160"/>
      <c r="H643" s="159" t="s">
        <v>283</v>
      </c>
      <c r="I643" s="161">
        <v>36050</v>
      </c>
      <c r="J643" s="161"/>
      <c r="K643" s="162" t="s">
        <v>8</v>
      </c>
      <c r="L643" s="163">
        <v>6709414.2800000003</v>
      </c>
    </row>
    <row r="644" spans="1:12" ht="61.2" x14ac:dyDescent="0.3">
      <c r="A644" s="157" t="s">
        <v>34</v>
      </c>
      <c r="B644" s="158" t="s">
        <v>1333</v>
      </c>
      <c r="C644" s="158" t="s">
        <v>611</v>
      </c>
      <c r="D644" s="158" t="s">
        <v>1315</v>
      </c>
      <c r="E644" s="159" t="s">
        <v>613</v>
      </c>
      <c r="F644" s="160" t="s">
        <v>15</v>
      </c>
      <c r="G644" s="160"/>
      <c r="H644" s="159" t="s">
        <v>283</v>
      </c>
      <c r="I644" s="161">
        <v>39300</v>
      </c>
      <c r="J644" s="161"/>
      <c r="K644" s="162" t="s">
        <v>8</v>
      </c>
      <c r="L644" s="163">
        <v>6670114.2800000003</v>
      </c>
    </row>
    <row r="645" spans="1:12" ht="61.2" x14ac:dyDescent="0.3">
      <c r="A645" s="157" t="s">
        <v>34</v>
      </c>
      <c r="B645" s="158" t="s">
        <v>1333</v>
      </c>
      <c r="C645" s="158" t="s">
        <v>611</v>
      </c>
      <c r="D645" s="158" t="s">
        <v>1316</v>
      </c>
      <c r="E645" s="159" t="s">
        <v>613</v>
      </c>
      <c r="F645" s="160" t="s">
        <v>15</v>
      </c>
      <c r="G645" s="160"/>
      <c r="H645" s="159" t="s">
        <v>283</v>
      </c>
      <c r="I645" s="161">
        <v>529920</v>
      </c>
      <c r="J645" s="161"/>
      <c r="K645" s="162" t="s">
        <v>8</v>
      </c>
      <c r="L645" s="163">
        <v>6140194.2800000003</v>
      </c>
    </row>
    <row r="646" spans="1:12" ht="61.2" x14ac:dyDescent="0.3">
      <c r="A646" s="157" t="s">
        <v>34</v>
      </c>
      <c r="B646" s="158" t="s">
        <v>1333</v>
      </c>
      <c r="C646" s="158" t="s">
        <v>611</v>
      </c>
      <c r="D646" s="158" t="s">
        <v>1317</v>
      </c>
      <c r="E646" s="159" t="s">
        <v>613</v>
      </c>
      <c r="F646" s="160" t="s">
        <v>15</v>
      </c>
      <c r="G646" s="160"/>
      <c r="H646" s="159" t="s">
        <v>283</v>
      </c>
      <c r="I646" s="161">
        <v>330000</v>
      </c>
      <c r="J646" s="161"/>
      <c r="K646" s="162" t="s">
        <v>8</v>
      </c>
      <c r="L646" s="163">
        <v>5810194.2800000003</v>
      </c>
    </row>
    <row r="647" spans="1:12" ht="61.2" x14ac:dyDescent="0.3">
      <c r="A647" s="157" t="s">
        <v>34</v>
      </c>
      <c r="B647" s="158" t="s">
        <v>1333</v>
      </c>
      <c r="C647" s="158" t="s">
        <v>611</v>
      </c>
      <c r="D647" s="158" t="s">
        <v>1318</v>
      </c>
      <c r="E647" s="159" t="s">
        <v>613</v>
      </c>
      <c r="F647" s="160" t="s">
        <v>15</v>
      </c>
      <c r="G647" s="160"/>
      <c r="H647" s="159" t="s">
        <v>283</v>
      </c>
      <c r="I647" s="161">
        <v>129220</v>
      </c>
      <c r="J647" s="161"/>
      <c r="K647" s="162" t="s">
        <v>8</v>
      </c>
      <c r="L647" s="163">
        <v>5680974.2800000003</v>
      </c>
    </row>
    <row r="648" spans="1:12" ht="61.2" x14ac:dyDescent="0.3">
      <c r="A648" s="157" t="s">
        <v>34</v>
      </c>
      <c r="B648" s="158" t="s">
        <v>1333</v>
      </c>
      <c r="C648" s="158" t="s">
        <v>611</v>
      </c>
      <c r="D648" s="158" t="s">
        <v>1319</v>
      </c>
      <c r="E648" s="159" t="s">
        <v>613</v>
      </c>
      <c r="F648" s="160" t="s">
        <v>15</v>
      </c>
      <c r="G648" s="160"/>
      <c r="H648" s="159" t="s">
        <v>283</v>
      </c>
      <c r="I648" s="161">
        <v>278070</v>
      </c>
      <c r="J648" s="161"/>
      <c r="K648" s="162" t="s">
        <v>8</v>
      </c>
      <c r="L648" s="163">
        <v>5402904.2800000003</v>
      </c>
    </row>
    <row r="649" spans="1:12" ht="61.2" x14ac:dyDescent="0.3">
      <c r="A649" s="157" t="s">
        <v>34</v>
      </c>
      <c r="B649" s="158" t="s">
        <v>1333</v>
      </c>
      <c r="C649" s="158" t="s">
        <v>611</v>
      </c>
      <c r="D649" s="158" t="s">
        <v>1320</v>
      </c>
      <c r="E649" s="159" t="s">
        <v>613</v>
      </c>
      <c r="F649" s="160" t="s">
        <v>15</v>
      </c>
      <c r="G649" s="160"/>
      <c r="H649" s="159" t="s">
        <v>283</v>
      </c>
      <c r="I649" s="161">
        <v>95888</v>
      </c>
      <c r="J649" s="161"/>
      <c r="K649" s="162" t="s">
        <v>8</v>
      </c>
      <c r="L649" s="163">
        <v>5307016.28</v>
      </c>
    </row>
    <row r="650" spans="1:12" ht="61.2" x14ac:dyDescent="0.3">
      <c r="A650" s="157" t="s">
        <v>34</v>
      </c>
      <c r="B650" s="158" t="s">
        <v>1333</v>
      </c>
      <c r="C650" s="158" t="s">
        <v>611</v>
      </c>
      <c r="D650" s="158" t="s">
        <v>1321</v>
      </c>
      <c r="E650" s="159" t="s">
        <v>613</v>
      </c>
      <c r="F650" s="160" t="s">
        <v>15</v>
      </c>
      <c r="G650" s="160"/>
      <c r="H650" s="159" t="s">
        <v>283</v>
      </c>
      <c r="I650" s="161">
        <v>901800</v>
      </c>
      <c r="J650" s="161"/>
      <c r="K650" s="162" t="s">
        <v>8</v>
      </c>
      <c r="L650" s="163">
        <v>4405216.28</v>
      </c>
    </row>
    <row r="651" spans="1:12" ht="61.2" x14ac:dyDescent="0.3">
      <c r="A651" s="157" t="s">
        <v>34</v>
      </c>
      <c r="B651" s="158" t="s">
        <v>1333</v>
      </c>
      <c r="C651" s="158" t="s">
        <v>611</v>
      </c>
      <c r="D651" s="158" t="s">
        <v>1322</v>
      </c>
      <c r="E651" s="159" t="s">
        <v>613</v>
      </c>
      <c r="F651" s="160" t="s">
        <v>15</v>
      </c>
      <c r="G651" s="160"/>
      <c r="H651" s="159" t="s">
        <v>283</v>
      </c>
      <c r="I651" s="161">
        <v>477120</v>
      </c>
      <c r="J651" s="161"/>
      <c r="K651" s="162" t="s">
        <v>8</v>
      </c>
      <c r="L651" s="163">
        <v>3928096.28</v>
      </c>
    </row>
    <row r="652" spans="1:12" ht="61.2" x14ac:dyDescent="0.3">
      <c r="A652" s="157" t="s">
        <v>34</v>
      </c>
      <c r="B652" s="158" t="s">
        <v>1333</v>
      </c>
      <c r="C652" s="158" t="s">
        <v>611</v>
      </c>
      <c r="D652" s="158" t="s">
        <v>1323</v>
      </c>
      <c r="E652" s="159" t="s">
        <v>613</v>
      </c>
      <c r="F652" s="160" t="s">
        <v>15</v>
      </c>
      <c r="G652" s="160"/>
      <c r="H652" s="159" t="s">
        <v>283</v>
      </c>
      <c r="I652" s="161">
        <v>596440</v>
      </c>
      <c r="J652" s="161"/>
      <c r="K652" s="162" t="s">
        <v>8</v>
      </c>
      <c r="L652" s="163">
        <v>3331656.28</v>
      </c>
    </row>
    <row r="653" spans="1:12" ht="61.2" x14ac:dyDescent="0.3">
      <c r="A653" s="157" t="s">
        <v>34</v>
      </c>
      <c r="B653" s="158" t="s">
        <v>1333</v>
      </c>
      <c r="C653" s="158" t="s">
        <v>611</v>
      </c>
      <c r="D653" s="158" t="s">
        <v>1324</v>
      </c>
      <c r="E653" s="159" t="s">
        <v>613</v>
      </c>
      <c r="F653" s="160" t="s">
        <v>15</v>
      </c>
      <c r="G653" s="160"/>
      <c r="H653" s="159" t="s">
        <v>283</v>
      </c>
      <c r="I653" s="161">
        <v>391200</v>
      </c>
      <c r="J653" s="161"/>
      <c r="K653" s="162" t="s">
        <v>8</v>
      </c>
      <c r="L653" s="163">
        <v>2940456.28</v>
      </c>
    </row>
    <row r="654" spans="1:12" ht="61.2" x14ac:dyDescent="0.3">
      <c r="A654" s="157" t="s">
        <v>34</v>
      </c>
      <c r="B654" s="158" t="s">
        <v>1333</v>
      </c>
      <c r="C654" s="158" t="s">
        <v>611</v>
      </c>
      <c r="D654" s="158" t="s">
        <v>1325</v>
      </c>
      <c r="E654" s="159" t="s">
        <v>613</v>
      </c>
      <c r="F654" s="160" t="s">
        <v>15</v>
      </c>
      <c r="G654" s="160"/>
      <c r="H654" s="159" t="s">
        <v>283</v>
      </c>
      <c r="I654" s="161">
        <v>361200</v>
      </c>
      <c r="J654" s="161"/>
      <c r="K654" s="162" t="s">
        <v>8</v>
      </c>
      <c r="L654" s="163">
        <v>2579256.2799999998</v>
      </c>
    </row>
    <row r="655" spans="1:12" ht="61.2" x14ac:dyDescent="0.3">
      <c r="A655" s="157" t="s">
        <v>34</v>
      </c>
      <c r="B655" s="158" t="s">
        <v>1333</v>
      </c>
      <c r="C655" s="158" t="s">
        <v>611</v>
      </c>
      <c r="D655" s="158" t="s">
        <v>1326</v>
      </c>
      <c r="E655" s="159" t="s">
        <v>613</v>
      </c>
      <c r="F655" s="160" t="s">
        <v>15</v>
      </c>
      <c r="G655" s="160"/>
      <c r="H655" s="159" t="s">
        <v>283</v>
      </c>
      <c r="I655" s="161">
        <v>107180</v>
      </c>
      <c r="J655" s="161"/>
      <c r="K655" s="162" t="s">
        <v>8</v>
      </c>
      <c r="L655" s="163">
        <v>2472076.2799999998</v>
      </c>
    </row>
    <row r="656" spans="1:12" ht="81.599999999999994" hidden="1" x14ac:dyDescent="0.3">
      <c r="A656" s="157" t="s">
        <v>34</v>
      </c>
      <c r="B656" s="158" t="s">
        <v>1334</v>
      </c>
      <c r="C656" s="158" t="s">
        <v>1335</v>
      </c>
      <c r="D656" s="158" t="s">
        <v>1148</v>
      </c>
      <c r="E656" s="159" t="s">
        <v>283</v>
      </c>
      <c r="F656" s="165">
        <v>11357.47</v>
      </c>
      <c r="G656" s="165"/>
      <c r="H656" s="159" t="s">
        <v>14</v>
      </c>
      <c r="I656" s="166" t="s">
        <v>15</v>
      </c>
      <c r="J656" s="166"/>
      <c r="K656" s="162" t="s">
        <v>8</v>
      </c>
      <c r="L656" s="163">
        <v>1665847.7</v>
      </c>
    </row>
    <row r="657" spans="1:12" ht="81.599999999999994" hidden="1" x14ac:dyDescent="0.3">
      <c r="A657" s="157" t="s">
        <v>34</v>
      </c>
      <c r="B657" s="158" t="s">
        <v>1334</v>
      </c>
      <c r="C657" s="158" t="s">
        <v>1336</v>
      </c>
      <c r="D657" s="158" t="s">
        <v>1148</v>
      </c>
      <c r="E657" s="159" t="s">
        <v>283</v>
      </c>
      <c r="F657" s="165">
        <v>9721.2199999999993</v>
      </c>
      <c r="G657" s="165"/>
      <c r="H657" s="159" t="s">
        <v>14</v>
      </c>
      <c r="I657" s="166" t="s">
        <v>15</v>
      </c>
      <c r="J657" s="166"/>
      <c r="K657" s="162" t="s">
        <v>8</v>
      </c>
      <c r="L657" s="163">
        <v>1675568.92</v>
      </c>
    </row>
    <row r="658" spans="1:12" ht="81.599999999999994" hidden="1" x14ac:dyDescent="0.3">
      <c r="A658" s="157" t="s">
        <v>34</v>
      </c>
      <c r="B658" s="158" t="s">
        <v>1334</v>
      </c>
      <c r="C658" s="158" t="s">
        <v>1337</v>
      </c>
      <c r="D658" s="158" t="s">
        <v>1148</v>
      </c>
      <c r="E658" s="159" t="s">
        <v>283</v>
      </c>
      <c r="F658" s="165">
        <v>9464.56</v>
      </c>
      <c r="G658" s="165"/>
      <c r="H658" s="159" t="s">
        <v>14</v>
      </c>
      <c r="I658" s="166" t="s">
        <v>15</v>
      </c>
      <c r="J658" s="166"/>
      <c r="K658" s="162" t="s">
        <v>8</v>
      </c>
      <c r="L658" s="163">
        <v>1685033.48</v>
      </c>
    </row>
    <row r="659" spans="1:12" ht="81.599999999999994" hidden="1" x14ac:dyDescent="0.3">
      <c r="A659" s="157" t="s">
        <v>34</v>
      </c>
      <c r="B659" s="158" t="s">
        <v>1334</v>
      </c>
      <c r="C659" s="158" t="s">
        <v>1338</v>
      </c>
      <c r="D659" s="158" t="s">
        <v>1148</v>
      </c>
      <c r="E659" s="159" t="s">
        <v>283</v>
      </c>
      <c r="F659" s="165">
        <v>39833.629999999997</v>
      </c>
      <c r="G659" s="165"/>
      <c r="H659" s="159" t="s">
        <v>14</v>
      </c>
      <c r="I659" s="166" t="s">
        <v>15</v>
      </c>
      <c r="J659" s="166"/>
      <c r="K659" s="162" t="s">
        <v>8</v>
      </c>
      <c r="L659" s="163">
        <v>1724867.11</v>
      </c>
    </row>
    <row r="660" spans="1:12" ht="81.599999999999994" hidden="1" x14ac:dyDescent="0.3">
      <c r="A660" s="157" t="s">
        <v>34</v>
      </c>
      <c r="B660" s="158" t="s">
        <v>1334</v>
      </c>
      <c r="C660" s="158" t="s">
        <v>1339</v>
      </c>
      <c r="D660" s="158" t="s">
        <v>1148</v>
      </c>
      <c r="E660" s="159" t="s">
        <v>283</v>
      </c>
      <c r="F660" s="165">
        <v>96918.89</v>
      </c>
      <c r="G660" s="165"/>
      <c r="H660" s="159" t="s">
        <v>14</v>
      </c>
      <c r="I660" s="166" t="s">
        <v>15</v>
      </c>
      <c r="J660" s="166"/>
      <c r="K660" s="162" t="s">
        <v>8</v>
      </c>
      <c r="L660" s="163">
        <v>1821786</v>
      </c>
    </row>
    <row r="661" spans="1:12" ht="61.2" hidden="1" x14ac:dyDescent="0.3">
      <c r="A661" s="157" t="s">
        <v>34</v>
      </c>
      <c r="B661" s="158" t="s">
        <v>1340</v>
      </c>
      <c r="C661" s="158" t="s">
        <v>1341</v>
      </c>
      <c r="D661" s="158" t="s">
        <v>1342</v>
      </c>
      <c r="E661" s="159" t="s">
        <v>283</v>
      </c>
      <c r="F661" s="165">
        <v>1367.04</v>
      </c>
      <c r="G661" s="165"/>
      <c r="H661" s="159" t="s">
        <v>14</v>
      </c>
      <c r="I661" s="166" t="s">
        <v>15</v>
      </c>
      <c r="J661" s="166"/>
      <c r="K661" s="162" t="s">
        <v>8</v>
      </c>
      <c r="L661" s="163">
        <v>1823153.04</v>
      </c>
    </row>
    <row r="662" spans="1:12" ht="61.2" hidden="1" x14ac:dyDescent="0.3">
      <c r="A662" s="157" t="s">
        <v>34</v>
      </c>
      <c r="B662" s="158" t="s">
        <v>1340</v>
      </c>
      <c r="C662" s="158" t="s">
        <v>1343</v>
      </c>
      <c r="D662" s="158" t="s">
        <v>1342</v>
      </c>
      <c r="E662" s="159" t="s">
        <v>283</v>
      </c>
      <c r="F662" s="167">
        <v>797.72</v>
      </c>
      <c r="G662" s="167"/>
      <c r="H662" s="159" t="s">
        <v>14</v>
      </c>
      <c r="I662" s="166" t="s">
        <v>15</v>
      </c>
      <c r="J662" s="166"/>
      <c r="K662" s="162" t="s">
        <v>8</v>
      </c>
      <c r="L662" s="163">
        <v>1823950.76</v>
      </c>
    </row>
    <row r="663" spans="1:12" ht="61.2" hidden="1" x14ac:dyDescent="0.3">
      <c r="A663" s="157" t="s">
        <v>34</v>
      </c>
      <c r="B663" s="158" t="s">
        <v>1340</v>
      </c>
      <c r="C663" s="158" t="s">
        <v>1344</v>
      </c>
      <c r="D663" s="158" t="s">
        <v>1342</v>
      </c>
      <c r="E663" s="159" t="s">
        <v>283</v>
      </c>
      <c r="F663" s="165">
        <v>17901.439999999999</v>
      </c>
      <c r="G663" s="165"/>
      <c r="H663" s="159" t="s">
        <v>14</v>
      </c>
      <c r="I663" s="166" t="s">
        <v>15</v>
      </c>
      <c r="J663" s="166"/>
      <c r="K663" s="162" t="s">
        <v>8</v>
      </c>
      <c r="L663" s="163">
        <v>1841852.2</v>
      </c>
    </row>
    <row r="664" spans="1:12" ht="61.2" hidden="1" x14ac:dyDescent="0.3">
      <c r="A664" s="157" t="s">
        <v>34</v>
      </c>
      <c r="B664" s="158" t="s">
        <v>1340</v>
      </c>
      <c r="C664" s="158" t="s">
        <v>1345</v>
      </c>
      <c r="D664" s="158" t="s">
        <v>1342</v>
      </c>
      <c r="E664" s="159" t="s">
        <v>283</v>
      </c>
      <c r="F664" s="167">
        <v>634.88</v>
      </c>
      <c r="G664" s="167"/>
      <c r="H664" s="159" t="s">
        <v>14</v>
      </c>
      <c r="I664" s="166" t="s">
        <v>15</v>
      </c>
      <c r="J664" s="166"/>
      <c r="K664" s="162" t="s">
        <v>8</v>
      </c>
      <c r="L664" s="163">
        <v>1842487.08</v>
      </c>
    </row>
    <row r="665" spans="1:12" ht="61.2" hidden="1" x14ac:dyDescent="0.3">
      <c r="A665" s="157" t="s">
        <v>34</v>
      </c>
      <c r="B665" s="158" t="s">
        <v>1340</v>
      </c>
      <c r="C665" s="158" t="s">
        <v>1346</v>
      </c>
      <c r="D665" s="158" t="s">
        <v>1342</v>
      </c>
      <c r="E665" s="159" t="s">
        <v>283</v>
      </c>
      <c r="F665" s="167">
        <v>446.6</v>
      </c>
      <c r="G665" s="167"/>
      <c r="H665" s="159" t="s">
        <v>14</v>
      </c>
      <c r="I665" s="166" t="s">
        <v>15</v>
      </c>
      <c r="J665" s="166"/>
      <c r="K665" s="162" t="s">
        <v>8</v>
      </c>
      <c r="L665" s="163">
        <v>1842933.68</v>
      </c>
    </row>
    <row r="666" spans="1:12" ht="61.2" hidden="1" x14ac:dyDescent="0.3">
      <c r="A666" s="157" t="s">
        <v>34</v>
      </c>
      <c r="B666" s="158" t="s">
        <v>1340</v>
      </c>
      <c r="C666" s="158" t="s">
        <v>1347</v>
      </c>
      <c r="D666" s="158" t="s">
        <v>1342</v>
      </c>
      <c r="E666" s="159" t="s">
        <v>283</v>
      </c>
      <c r="F666" s="165">
        <v>7891.04</v>
      </c>
      <c r="G666" s="165"/>
      <c r="H666" s="159" t="s">
        <v>14</v>
      </c>
      <c r="I666" s="166" t="s">
        <v>15</v>
      </c>
      <c r="J666" s="166"/>
      <c r="K666" s="162" t="s">
        <v>8</v>
      </c>
      <c r="L666" s="163">
        <v>1850824.72</v>
      </c>
    </row>
    <row r="667" spans="1:12" ht="61.2" hidden="1" x14ac:dyDescent="0.3">
      <c r="A667" s="157" t="s">
        <v>34</v>
      </c>
      <c r="B667" s="158" t="s">
        <v>1340</v>
      </c>
      <c r="C667" s="158" t="s">
        <v>1348</v>
      </c>
      <c r="D667" s="158" t="s">
        <v>1342</v>
      </c>
      <c r="E667" s="159" t="s">
        <v>283</v>
      </c>
      <c r="F667" s="167">
        <v>112.64</v>
      </c>
      <c r="G667" s="167"/>
      <c r="H667" s="159" t="s">
        <v>14</v>
      </c>
      <c r="I667" s="166" t="s">
        <v>15</v>
      </c>
      <c r="J667" s="166"/>
      <c r="K667" s="162" t="s">
        <v>8</v>
      </c>
      <c r="L667" s="163">
        <v>1850937.36</v>
      </c>
    </row>
    <row r="668" spans="1:12" ht="61.2" hidden="1" x14ac:dyDescent="0.3">
      <c r="A668" s="157" t="s">
        <v>34</v>
      </c>
      <c r="B668" s="158" t="s">
        <v>1340</v>
      </c>
      <c r="C668" s="158" t="s">
        <v>1349</v>
      </c>
      <c r="D668" s="158" t="s">
        <v>1342</v>
      </c>
      <c r="E668" s="159" t="s">
        <v>283</v>
      </c>
      <c r="F668" s="167">
        <v>220.22</v>
      </c>
      <c r="G668" s="167"/>
      <c r="H668" s="159" t="s">
        <v>14</v>
      </c>
      <c r="I668" s="166" t="s">
        <v>15</v>
      </c>
      <c r="J668" s="166"/>
      <c r="K668" s="162" t="s">
        <v>8</v>
      </c>
      <c r="L668" s="163">
        <v>1851157.58</v>
      </c>
    </row>
    <row r="669" spans="1:12" ht="61.2" hidden="1" x14ac:dyDescent="0.3">
      <c r="A669" s="157" t="s">
        <v>34</v>
      </c>
      <c r="B669" s="158" t="s">
        <v>1340</v>
      </c>
      <c r="C669" s="158" t="s">
        <v>1350</v>
      </c>
      <c r="D669" s="158" t="s">
        <v>1342</v>
      </c>
      <c r="E669" s="159" t="s">
        <v>283</v>
      </c>
      <c r="F669" s="165">
        <v>2012.48</v>
      </c>
      <c r="G669" s="165"/>
      <c r="H669" s="159" t="s">
        <v>14</v>
      </c>
      <c r="I669" s="166" t="s">
        <v>15</v>
      </c>
      <c r="J669" s="166"/>
      <c r="K669" s="162" t="s">
        <v>8</v>
      </c>
      <c r="L669" s="163">
        <v>1853170.06</v>
      </c>
    </row>
    <row r="670" spans="1:12" ht="51" hidden="1" x14ac:dyDescent="0.3">
      <c r="A670" s="157" t="s">
        <v>34</v>
      </c>
      <c r="B670" s="158" t="s">
        <v>1351</v>
      </c>
      <c r="C670" s="158" t="s">
        <v>1352</v>
      </c>
      <c r="D670" s="158" t="s">
        <v>1353</v>
      </c>
      <c r="E670" s="159" t="s">
        <v>283</v>
      </c>
      <c r="F670" s="165">
        <v>2334.9</v>
      </c>
      <c r="G670" s="165"/>
      <c r="H670" s="159" t="s">
        <v>14</v>
      </c>
      <c r="I670" s="166" t="s">
        <v>15</v>
      </c>
      <c r="J670" s="166"/>
      <c r="K670" s="162" t="s">
        <v>8</v>
      </c>
      <c r="L670" s="163">
        <v>106282.47</v>
      </c>
    </row>
    <row r="671" spans="1:12" ht="51" hidden="1" x14ac:dyDescent="0.3">
      <c r="A671" s="157" t="s">
        <v>34</v>
      </c>
      <c r="B671" s="158" t="s">
        <v>1351</v>
      </c>
      <c r="C671" s="158" t="s">
        <v>1354</v>
      </c>
      <c r="D671" s="158" t="s">
        <v>1353</v>
      </c>
      <c r="E671" s="159" t="s">
        <v>283</v>
      </c>
      <c r="F671" s="165">
        <v>2245.1</v>
      </c>
      <c r="G671" s="165"/>
      <c r="H671" s="159" t="s">
        <v>14</v>
      </c>
      <c r="I671" s="166" t="s">
        <v>15</v>
      </c>
      <c r="J671" s="166"/>
      <c r="K671" s="162" t="s">
        <v>8</v>
      </c>
      <c r="L671" s="163">
        <v>108527.57</v>
      </c>
    </row>
    <row r="672" spans="1:12" ht="51" hidden="1" x14ac:dyDescent="0.3">
      <c r="A672" s="157" t="s">
        <v>34</v>
      </c>
      <c r="B672" s="158" t="s">
        <v>1355</v>
      </c>
      <c r="C672" s="158" t="s">
        <v>1356</v>
      </c>
      <c r="D672" s="158" t="s">
        <v>1357</v>
      </c>
      <c r="E672" s="159" t="s">
        <v>283</v>
      </c>
      <c r="F672" s="165">
        <v>21900</v>
      </c>
      <c r="G672" s="165"/>
      <c r="H672" s="159" t="s">
        <v>14</v>
      </c>
      <c r="I672" s="166" t="s">
        <v>15</v>
      </c>
      <c r="J672" s="166"/>
      <c r="K672" s="162" t="s">
        <v>8</v>
      </c>
      <c r="L672" s="163">
        <v>210014.79</v>
      </c>
    </row>
    <row r="673" spans="1:12" ht="51" hidden="1" x14ac:dyDescent="0.3">
      <c r="A673" s="157" t="s">
        <v>34</v>
      </c>
      <c r="B673" s="158" t="s">
        <v>1358</v>
      </c>
      <c r="C673" s="158" t="s">
        <v>1356</v>
      </c>
      <c r="D673" s="158" t="s">
        <v>1359</v>
      </c>
      <c r="E673" s="159" t="s">
        <v>283</v>
      </c>
      <c r="F673" s="165">
        <v>8612</v>
      </c>
      <c r="G673" s="165"/>
      <c r="H673" s="159" t="s">
        <v>14</v>
      </c>
      <c r="I673" s="166" t="s">
        <v>15</v>
      </c>
      <c r="J673" s="166"/>
      <c r="K673" s="162" t="s">
        <v>8</v>
      </c>
      <c r="L673" s="163">
        <v>218626.79</v>
      </c>
    </row>
    <row r="674" spans="1:12" ht="51" x14ac:dyDescent="0.3">
      <c r="A674" s="157" t="s">
        <v>34</v>
      </c>
      <c r="B674" s="158" t="s">
        <v>1360</v>
      </c>
      <c r="C674" s="158" t="s">
        <v>741</v>
      </c>
      <c r="D674" s="158" t="s">
        <v>1361</v>
      </c>
      <c r="E674" s="159" t="s">
        <v>42</v>
      </c>
      <c r="F674" s="160" t="s">
        <v>15</v>
      </c>
      <c r="G674" s="160"/>
      <c r="H674" s="159" t="s">
        <v>283</v>
      </c>
      <c r="I674" s="161">
        <v>17860</v>
      </c>
      <c r="J674" s="161"/>
      <c r="K674" s="162" t="s">
        <v>8</v>
      </c>
      <c r="L674" s="163">
        <v>2170800.9900000002</v>
      </c>
    </row>
    <row r="675" spans="1:12" ht="51" x14ac:dyDescent="0.3">
      <c r="A675" s="157" t="s">
        <v>34</v>
      </c>
      <c r="B675" s="158" t="s">
        <v>1360</v>
      </c>
      <c r="C675" s="158" t="s">
        <v>741</v>
      </c>
      <c r="D675" s="158" t="s">
        <v>1362</v>
      </c>
      <c r="E675" s="159" t="s">
        <v>42</v>
      </c>
      <c r="F675" s="160" t="s">
        <v>15</v>
      </c>
      <c r="G675" s="160"/>
      <c r="H675" s="159" t="s">
        <v>283</v>
      </c>
      <c r="I675" s="161">
        <v>9306</v>
      </c>
      <c r="J675" s="161"/>
      <c r="K675" s="162" t="s">
        <v>8</v>
      </c>
      <c r="L675" s="163">
        <v>2161494.9900000002</v>
      </c>
    </row>
    <row r="676" spans="1:12" ht="51" x14ac:dyDescent="0.3">
      <c r="A676" s="157" t="s">
        <v>34</v>
      </c>
      <c r="B676" s="158" t="s">
        <v>1360</v>
      </c>
      <c r="C676" s="158" t="s">
        <v>741</v>
      </c>
      <c r="D676" s="158" t="s">
        <v>1363</v>
      </c>
      <c r="E676" s="159" t="s">
        <v>42</v>
      </c>
      <c r="F676" s="160" t="s">
        <v>15</v>
      </c>
      <c r="G676" s="160"/>
      <c r="H676" s="159" t="s">
        <v>283</v>
      </c>
      <c r="I676" s="164">
        <v>38.5</v>
      </c>
      <c r="J676" s="164"/>
      <c r="K676" s="162" t="s">
        <v>8</v>
      </c>
      <c r="L676" s="163">
        <v>2161456.4900000002</v>
      </c>
    </row>
    <row r="677" spans="1:12" ht="61.2" x14ac:dyDescent="0.3">
      <c r="A677" s="157" t="s">
        <v>34</v>
      </c>
      <c r="B677" s="158" t="s">
        <v>1360</v>
      </c>
      <c r="C677" s="158" t="s">
        <v>741</v>
      </c>
      <c r="D677" s="158" t="s">
        <v>1364</v>
      </c>
      <c r="E677" s="159" t="s">
        <v>42</v>
      </c>
      <c r="F677" s="160" t="s">
        <v>15</v>
      </c>
      <c r="G677" s="160"/>
      <c r="H677" s="159" t="s">
        <v>283</v>
      </c>
      <c r="I677" s="161">
        <v>2106.31</v>
      </c>
      <c r="J677" s="161"/>
      <c r="K677" s="162" t="s">
        <v>8</v>
      </c>
      <c r="L677" s="163">
        <v>2159350.1800000002</v>
      </c>
    </row>
    <row r="678" spans="1:12" ht="51" x14ac:dyDescent="0.3">
      <c r="A678" s="157" t="s">
        <v>34</v>
      </c>
      <c r="B678" s="158" t="s">
        <v>1365</v>
      </c>
      <c r="C678" s="158" t="s">
        <v>741</v>
      </c>
      <c r="D678" s="158" t="s">
        <v>1366</v>
      </c>
      <c r="E678" s="159" t="s">
        <v>42</v>
      </c>
      <c r="F678" s="160" t="s">
        <v>15</v>
      </c>
      <c r="G678" s="160"/>
      <c r="H678" s="159" t="s">
        <v>283</v>
      </c>
      <c r="I678" s="161">
        <v>7790.77</v>
      </c>
      <c r="J678" s="161"/>
      <c r="K678" s="162" t="s">
        <v>8</v>
      </c>
      <c r="L678" s="163">
        <v>2464285.5099999998</v>
      </c>
    </row>
    <row r="679" spans="1:12" ht="61.2" x14ac:dyDescent="0.3">
      <c r="A679" s="157" t="s">
        <v>34</v>
      </c>
      <c r="B679" s="158" t="s">
        <v>1367</v>
      </c>
      <c r="C679" s="158" t="s">
        <v>741</v>
      </c>
      <c r="D679" s="158" t="s">
        <v>1368</v>
      </c>
      <c r="E679" s="159" t="s">
        <v>42</v>
      </c>
      <c r="F679" s="160" t="s">
        <v>15</v>
      </c>
      <c r="G679" s="160"/>
      <c r="H679" s="159" t="s">
        <v>283</v>
      </c>
      <c r="I679" s="164">
        <v>273</v>
      </c>
      <c r="J679" s="164"/>
      <c r="K679" s="162" t="s">
        <v>8</v>
      </c>
      <c r="L679" s="163">
        <v>108254.57</v>
      </c>
    </row>
    <row r="680" spans="1:12" ht="51" x14ac:dyDescent="0.3">
      <c r="A680" s="157" t="s">
        <v>34</v>
      </c>
      <c r="B680" s="158" t="s">
        <v>1369</v>
      </c>
      <c r="C680" s="158" t="s">
        <v>741</v>
      </c>
      <c r="D680" s="158" t="s">
        <v>1370</v>
      </c>
      <c r="E680" s="159" t="s">
        <v>42</v>
      </c>
      <c r="F680" s="160" t="s">
        <v>15</v>
      </c>
      <c r="G680" s="160"/>
      <c r="H680" s="159" t="s">
        <v>283</v>
      </c>
      <c r="I680" s="161">
        <v>1000</v>
      </c>
      <c r="J680" s="161"/>
      <c r="K680" s="162" t="s">
        <v>8</v>
      </c>
      <c r="L680" s="163">
        <v>107254.57</v>
      </c>
    </row>
    <row r="681" spans="1:12" ht="51" x14ac:dyDescent="0.3">
      <c r="A681" s="157" t="s">
        <v>34</v>
      </c>
      <c r="B681" s="158" t="s">
        <v>1369</v>
      </c>
      <c r="C681" s="158" t="s">
        <v>741</v>
      </c>
      <c r="D681" s="158" t="s">
        <v>1370</v>
      </c>
      <c r="E681" s="159" t="s">
        <v>42</v>
      </c>
      <c r="F681" s="160" t="s">
        <v>15</v>
      </c>
      <c r="G681" s="160"/>
      <c r="H681" s="159" t="s">
        <v>283</v>
      </c>
      <c r="I681" s="164">
        <v>500</v>
      </c>
      <c r="J681" s="164"/>
      <c r="K681" s="162" t="s">
        <v>8</v>
      </c>
      <c r="L681" s="163">
        <v>106754.57</v>
      </c>
    </row>
    <row r="682" spans="1:12" ht="51" x14ac:dyDescent="0.3">
      <c r="A682" s="157" t="s">
        <v>34</v>
      </c>
      <c r="B682" s="158" t="s">
        <v>1369</v>
      </c>
      <c r="C682" s="158" t="s">
        <v>741</v>
      </c>
      <c r="D682" s="158" t="s">
        <v>1371</v>
      </c>
      <c r="E682" s="159" t="s">
        <v>42</v>
      </c>
      <c r="F682" s="160" t="s">
        <v>15</v>
      </c>
      <c r="G682" s="160"/>
      <c r="H682" s="159" t="s">
        <v>283</v>
      </c>
      <c r="I682" s="161">
        <v>1500</v>
      </c>
      <c r="J682" s="161"/>
      <c r="K682" s="162" t="s">
        <v>8</v>
      </c>
      <c r="L682" s="163">
        <v>105254.57</v>
      </c>
    </row>
    <row r="683" spans="1:12" ht="51" x14ac:dyDescent="0.3">
      <c r="A683" s="157" t="s">
        <v>34</v>
      </c>
      <c r="B683" s="158" t="s">
        <v>1372</v>
      </c>
      <c r="C683" s="158" t="s">
        <v>741</v>
      </c>
      <c r="D683" s="158" t="s">
        <v>1284</v>
      </c>
      <c r="E683" s="159" t="s">
        <v>42</v>
      </c>
      <c r="F683" s="160" t="s">
        <v>15</v>
      </c>
      <c r="G683" s="160"/>
      <c r="H683" s="159" t="s">
        <v>283</v>
      </c>
      <c r="I683" s="161">
        <v>7655.17</v>
      </c>
      <c r="J683" s="161"/>
      <c r="K683" s="162" t="s">
        <v>8</v>
      </c>
      <c r="L683" s="163">
        <v>186292.71</v>
      </c>
    </row>
    <row r="684" spans="1:12" ht="71.400000000000006" x14ac:dyDescent="0.3">
      <c r="A684" s="157" t="s">
        <v>34</v>
      </c>
      <c r="B684" s="158" t="s">
        <v>1373</v>
      </c>
      <c r="C684" s="158" t="s">
        <v>741</v>
      </c>
      <c r="D684" s="158" t="s">
        <v>864</v>
      </c>
      <c r="E684" s="159" t="s">
        <v>42</v>
      </c>
      <c r="F684" s="160" t="s">
        <v>15</v>
      </c>
      <c r="G684" s="160"/>
      <c r="H684" s="159" t="s">
        <v>283</v>
      </c>
      <c r="I684" s="161">
        <v>9148.7800000000007</v>
      </c>
      <c r="J684" s="161"/>
      <c r="K684" s="162" t="s">
        <v>8</v>
      </c>
      <c r="L684" s="163">
        <v>32761.119999999999</v>
      </c>
    </row>
    <row r="685" spans="1:12" ht="71.400000000000006" x14ac:dyDescent="0.3">
      <c r="A685" s="157" t="s">
        <v>34</v>
      </c>
      <c r="B685" s="158" t="s">
        <v>1373</v>
      </c>
      <c r="C685" s="158" t="s">
        <v>741</v>
      </c>
      <c r="D685" s="158" t="s">
        <v>876</v>
      </c>
      <c r="E685" s="159" t="s">
        <v>42</v>
      </c>
      <c r="F685" s="160" t="s">
        <v>15</v>
      </c>
      <c r="G685" s="160"/>
      <c r="H685" s="159" t="s">
        <v>283</v>
      </c>
      <c r="I685" s="164">
        <v>905.67</v>
      </c>
      <c r="J685" s="164"/>
      <c r="K685" s="162" t="s">
        <v>8</v>
      </c>
      <c r="L685" s="163">
        <v>31855.45</v>
      </c>
    </row>
    <row r="686" spans="1:12" ht="71.400000000000006" x14ac:dyDescent="0.3">
      <c r="A686" s="157" t="s">
        <v>34</v>
      </c>
      <c r="B686" s="158" t="s">
        <v>1373</v>
      </c>
      <c r="C686" s="158" t="s">
        <v>741</v>
      </c>
      <c r="D686" s="158" t="s">
        <v>876</v>
      </c>
      <c r="E686" s="159" t="s">
        <v>42</v>
      </c>
      <c r="F686" s="160" t="s">
        <v>15</v>
      </c>
      <c r="G686" s="160"/>
      <c r="H686" s="159" t="s">
        <v>283</v>
      </c>
      <c r="I686" s="164">
        <v>907.5</v>
      </c>
      <c r="J686" s="164"/>
      <c r="K686" s="162" t="s">
        <v>8</v>
      </c>
      <c r="L686" s="163">
        <v>30947.95</v>
      </c>
    </row>
    <row r="687" spans="1:12" ht="71.400000000000006" x14ac:dyDescent="0.3">
      <c r="A687" s="157" t="s">
        <v>34</v>
      </c>
      <c r="B687" s="158" t="s">
        <v>1373</v>
      </c>
      <c r="C687" s="158" t="s">
        <v>741</v>
      </c>
      <c r="D687" s="158" t="s">
        <v>876</v>
      </c>
      <c r="E687" s="159" t="s">
        <v>42</v>
      </c>
      <c r="F687" s="160" t="s">
        <v>15</v>
      </c>
      <c r="G687" s="160"/>
      <c r="H687" s="159" t="s">
        <v>283</v>
      </c>
      <c r="I687" s="161">
        <v>1818.67</v>
      </c>
      <c r="J687" s="161"/>
      <c r="K687" s="162" t="s">
        <v>8</v>
      </c>
      <c r="L687" s="163">
        <v>29129.279999999999</v>
      </c>
    </row>
    <row r="688" spans="1:12" ht="71.400000000000006" x14ac:dyDescent="0.3">
      <c r="A688" s="157" t="s">
        <v>34</v>
      </c>
      <c r="B688" s="158" t="s">
        <v>1373</v>
      </c>
      <c r="C688" s="158" t="s">
        <v>741</v>
      </c>
      <c r="D688" s="158" t="s">
        <v>876</v>
      </c>
      <c r="E688" s="159" t="s">
        <v>42</v>
      </c>
      <c r="F688" s="160" t="s">
        <v>15</v>
      </c>
      <c r="G688" s="160"/>
      <c r="H688" s="159" t="s">
        <v>283</v>
      </c>
      <c r="I688" s="161">
        <v>1662.83</v>
      </c>
      <c r="J688" s="161"/>
      <c r="K688" s="162" t="s">
        <v>8</v>
      </c>
      <c r="L688" s="163">
        <v>27466.45</v>
      </c>
    </row>
    <row r="689" spans="1:12" ht="71.400000000000006" x14ac:dyDescent="0.3">
      <c r="A689" s="157" t="s">
        <v>34</v>
      </c>
      <c r="B689" s="158" t="s">
        <v>1373</v>
      </c>
      <c r="C689" s="158" t="s">
        <v>741</v>
      </c>
      <c r="D689" s="158" t="s">
        <v>880</v>
      </c>
      <c r="E689" s="159" t="s">
        <v>42</v>
      </c>
      <c r="F689" s="160" t="s">
        <v>15</v>
      </c>
      <c r="G689" s="160"/>
      <c r="H689" s="159" t="s">
        <v>283</v>
      </c>
      <c r="I689" s="161">
        <v>5187.24</v>
      </c>
      <c r="J689" s="161"/>
      <c r="K689" s="162" t="s">
        <v>8</v>
      </c>
      <c r="L689" s="163">
        <v>22279.21</v>
      </c>
    </row>
    <row r="690" spans="1:12" ht="71.400000000000006" x14ac:dyDescent="0.3">
      <c r="A690" s="157" t="s">
        <v>34</v>
      </c>
      <c r="B690" s="158" t="s">
        <v>1373</v>
      </c>
      <c r="C690" s="158" t="s">
        <v>741</v>
      </c>
      <c r="D690" s="158" t="s">
        <v>880</v>
      </c>
      <c r="E690" s="159" t="s">
        <v>42</v>
      </c>
      <c r="F690" s="160" t="s">
        <v>15</v>
      </c>
      <c r="G690" s="160"/>
      <c r="H690" s="159" t="s">
        <v>283</v>
      </c>
      <c r="I690" s="161">
        <v>9031.9699999999993</v>
      </c>
      <c r="J690" s="161"/>
      <c r="K690" s="162" t="s">
        <v>8</v>
      </c>
      <c r="L690" s="163">
        <v>13247.24</v>
      </c>
    </row>
    <row r="691" spans="1:12" ht="71.400000000000006" x14ac:dyDescent="0.3">
      <c r="A691" s="157" t="s">
        <v>34</v>
      </c>
      <c r="B691" s="158" t="s">
        <v>1373</v>
      </c>
      <c r="C691" s="158" t="s">
        <v>741</v>
      </c>
      <c r="D691" s="158" t="s">
        <v>880</v>
      </c>
      <c r="E691" s="159" t="s">
        <v>42</v>
      </c>
      <c r="F691" s="160" t="s">
        <v>15</v>
      </c>
      <c r="G691" s="160"/>
      <c r="H691" s="159" t="s">
        <v>283</v>
      </c>
      <c r="I691" s="161">
        <v>3306.67</v>
      </c>
      <c r="J691" s="161"/>
      <c r="K691" s="162" t="s">
        <v>8</v>
      </c>
      <c r="L691" s="163">
        <v>9940.57</v>
      </c>
    </row>
    <row r="692" spans="1:12" ht="51" x14ac:dyDescent="0.3">
      <c r="A692" s="157" t="s">
        <v>34</v>
      </c>
      <c r="B692" s="158" t="s">
        <v>1374</v>
      </c>
      <c r="C692" s="158" t="s">
        <v>611</v>
      </c>
      <c r="D692" s="158" t="s">
        <v>1375</v>
      </c>
      <c r="E692" s="159" t="s">
        <v>613</v>
      </c>
      <c r="F692" s="160" t="s">
        <v>15</v>
      </c>
      <c r="G692" s="160"/>
      <c r="H692" s="159" t="s">
        <v>283</v>
      </c>
      <c r="I692" s="164">
        <v>85.93</v>
      </c>
      <c r="J692" s="164"/>
      <c r="K692" s="162" t="s">
        <v>8</v>
      </c>
      <c r="L692" s="163">
        <v>2929601.44</v>
      </c>
    </row>
    <row r="693" spans="1:12" ht="61.2" x14ac:dyDescent="0.3">
      <c r="A693" s="157" t="s">
        <v>34</v>
      </c>
      <c r="B693" s="158" t="s">
        <v>1374</v>
      </c>
      <c r="C693" s="158" t="s">
        <v>611</v>
      </c>
      <c r="D693" s="158" t="s">
        <v>1376</v>
      </c>
      <c r="E693" s="159" t="s">
        <v>613</v>
      </c>
      <c r="F693" s="160" t="s">
        <v>15</v>
      </c>
      <c r="G693" s="160"/>
      <c r="H693" s="159" t="s">
        <v>283</v>
      </c>
      <c r="I693" s="161">
        <v>24800</v>
      </c>
      <c r="J693" s="161"/>
      <c r="K693" s="162" t="s">
        <v>8</v>
      </c>
      <c r="L693" s="163">
        <v>2904801.44</v>
      </c>
    </row>
    <row r="694" spans="1:12" ht="61.2" x14ac:dyDescent="0.3">
      <c r="A694" s="157" t="s">
        <v>34</v>
      </c>
      <c r="B694" s="158" t="s">
        <v>1374</v>
      </c>
      <c r="C694" s="158" t="s">
        <v>611</v>
      </c>
      <c r="D694" s="158" t="s">
        <v>1377</v>
      </c>
      <c r="E694" s="159" t="s">
        <v>613</v>
      </c>
      <c r="F694" s="160" t="s">
        <v>15</v>
      </c>
      <c r="G694" s="160"/>
      <c r="H694" s="159" t="s">
        <v>283</v>
      </c>
      <c r="I694" s="161">
        <v>6200</v>
      </c>
      <c r="J694" s="161"/>
      <c r="K694" s="162" t="s">
        <v>8</v>
      </c>
      <c r="L694" s="163">
        <v>2898601.44</v>
      </c>
    </row>
    <row r="695" spans="1:12" ht="61.2" x14ac:dyDescent="0.3">
      <c r="A695" s="157" t="s">
        <v>34</v>
      </c>
      <c r="B695" s="158" t="s">
        <v>1374</v>
      </c>
      <c r="C695" s="158" t="s">
        <v>611</v>
      </c>
      <c r="D695" s="158" t="s">
        <v>1378</v>
      </c>
      <c r="E695" s="159" t="s">
        <v>613</v>
      </c>
      <c r="F695" s="160" t="s">
        <v>15</v>
      </c>
      <c r="G695" s="160"/>
      <c r="H695" s="159" t="s">
        <v>283</v>
      </c>
      <c r="I695" s="161">
        <v>712277.98</v>
      </c>
      <c r="J695" s="161"/>
      <c r="K695" s="162" t="s">
        <v>8</v>
      </c>
      <c r="L695" s="163">
        <v>2186323.46</v>
      </c>
    </row>
    <row r="696" spans="1:12" ht="61.2" x14ac:dyDescent="0.3">
      <c r="A696" s="157" t="s">
        <v>34</v>
      </c>
      <c r="B696" s="158" t="s">
        <v>1374</v>
      </c>
      <c r="C696" s="158" t="s">
        <v>611</v>
      </c>
      <c r="D696" s="158" t="s">
        <v>1379</v>
      </c>
      <c r="E696" s="159" t="s">
        <v>613</v>
      </c>
      <c r="F696" s="160" t="s">
        <v>15</v>
      </c>
      <c r="G696" s="160"/>
      <c r="H696" s="159" t="s">
        <v>283</v>
      </c>
      <c r="I696" s="161">
        <v>1013076.92</v>
      </c>
      <c r="J696" s="161"/>
      <c r="K696" s="162" t="s">
        <v>8</v>
      </c>
      <c r="L696" s="163">
        <v>1173246.54</v>
      </c>
    </row>
    <row r="697" spans="1:12" ht="61.2" x14ac:dyDescent="0.3">
      <c r="A697" s="157" t="s">
        <v>34</v>
      </c>
      <c r="B697" s="158" t="s">
        <v>1374</v>
      </c>
      <c r="C697" s="158" t="s">
        <v>611</v>
      </c>
      <c r="D697" s="158" t="s">
        <v>1380</v>
      </c>
      <c r="E697" s="159" t="s">
        <v>613</v>
      </c>
      <c r="F697" s="160" t="s">
        <v>15</v>
      </c>
      <c r="G697" s="160"/>
      <c r="H697" s="159" t="s">
        <v>283</v>
      </c>
      <c r="I697" s="161">
        <v>18100</v>
      </c>
      <c r="J697" s="161"/>
      <c r="K697" s="162" t="s">
        <v>8</v>
      </c>
      <c r="L697" s="163">
        <v>1155146.54</v>
      </c>
    </row>
    <row r="698" spans="1:12" ht="61.2" x14ac:dyDescent="0.3">
      <c r="A698" s="157" t="s">
        <v>34</v>
      </c>
      <c r="B698" s="158" t="s">
        <v>1374</v>
      </c>
      <c r="C698" s="158" t="s">
        <v>611</v>
      </c>
      <c r="D698" s="158" t="s">
        <v>1381</v>
      </c>
      <c r="E698" s="159" t="s">
        <v>613</v>
      </c>
      <c r="F698" s="160" t="s">
        <v>15</v>
      </c>
      <c r="G698" s="160"/>
      <c r="H698" s="159" t="s">
        <v>283</v>
      </c>
      <c r="I698" s="161">
        <v>243900</v>
      </c>
      <c r="J698" s="161"/>
      <c r="K698" s="162" t="s">
        <v>8</v>
      </c>
      <c r="L698" s="163">
        <v>911246.54</v>
      </c>
    </row>
    <row r="699" spans="1:12" ht="61.2" x14ac:dyDescent="0.3">
      <c r="A699" s="157" t="s">
        <v>34</v>
      </c>
      <c r="B699" s="158" t="s">
        <v>1374</v>
      </c>
      <c r="C699" s="158" t="s">
        <v>611</v>
      </c>
      <c r="D699" s="158" t="s">
        <v>1382</v>
      </c>
      <c r="E699" s="159" t="s">
        <v>613</v>
      </c>
      <c r="F699" s="160" t="s">
        <v>15</v>
      </c>
      <c r="G699" s="160"/>
      <c r="H699" s="159" t="s">
        <v>283</v>
      </c>
      <c r="I699" s="161">
        <v>54200</v>
      </c>
      <c r="J699" s="161"/>
      <c r="K699" s="162" t="s">
        <v>8</v>
      </c>
      <c r="L699" s="163">
        <v>857046.54</v>
      </c>
    </row>
    <row r="700" spans="1:12" ht="51" x14ac:dyDescent="0.3">
      <c r="A700" s="157" t="s">
        <v>34</v>
      </c>
      <c r="B700" s="158" t="s">
        <v>1374</v>
      </c>
      <c r="C700" s="158" t="s">
        <v>611</v>
      </c>
      <c r="D700" s="158" t="s">
        <v>1383</v>
      </c>
      <c r="E700" s="159" t="s">
        <v>613</v>
      </c>
      <c r="F700" s="160" t="s">
        <v>15</v>
      </c>
      <c r="G700" s="160"/>
      <c r="H700" s="159" t="s">
        <v>283</v>
      </c>
      <c r="I700" s="164">
        <v>920.66</v>
      </c>
      <c r="J700" s="164"/>
      <c r="K700" s="162" t="s">
        <v>8</v>
      </c>
      <c r="L700" s="163">
        <v>856125.88</v>
      </c>
    </row>
    <row r="701" spans="1:12" ht="51" x14ac:dyDescent="0.3">
      <c r="A701" s="157" t="s">
        <v>34</v>
      </c>
      <c r="B701" s="158" t="s">
        <v>1374</v>
      </c>
      <c r="C701" s="158" t="s">
        <v>611</v>
      </c>
      <c r="D701" s="158" t="s">
        <v>1384</v>
      </c>
      <c r="E701" s="159" t="s">
        <v>613</v>
      </c>
      <c r="F701" s="160" t="s">
        <v>15</v>
      </c>
      <c r="G701" s="160"/>
      <c r="H701" s="159" t="s">
        <v>283</v>
      </c>
      <c r="I701" s="161">
        <v>43452</v>
      </c>
      <c r="J701" s="161"/>
      <c r="K701" s="162" t="s">
        <v>8</v>
      </c>
      <c r="L701" s="163">
        <v>812673.88</v>
      </c>
    </row>
    <row r="702" spans="1:12" ht="61.2" x14ac:dyDescent="0.3">
      <c r="A702" s="157" t="s">
        <v>34</v>
      </c>
      <c r="B702" s="158" t="s">
        <v>1374</v>
      </c>
      <c r="C702" s="158" t="s">
        <v>611</v>
      </c>
      <c r="D702" s="158" t="s">
        <v>1385</v>
      </c>
      <c r="E702" s="159" t="s">
        <v>613</v>
      </c>
      <c r="F702" s="160" t="s">
        <v>15</v>
      </c>
      <c r="G702" s="160"/>
      <c r="H702" s="159" t="s">
        <v>283</v>
      </c>
      <c r="I702" s="161">
        <v>2004.16</v>
      </c>
      <c r="J702" s="161"/>
      <c r="K702" s="162" t="s">
        <v>8</v>
      </c>
      <c r="L702" s="163">
        <v>810669.72</v>
      </c>
    </row>
    <row r="703" spans="1:12" ht="51" x14ac:dyDescent="0.3">
      <c r="A703" s="157" t="s">
        <v>34</v>
      </c>
      <c r="B703" s="158" t="s">
        <v>1374</v>
      </c>
      <c r="C703" s="158" t="s">
        <v>611</v>
      </c>
      <c r="D703" s="158" t="s">
        <v>1386</v>
      </c>
      <c r="E703" s="159" t="s">
        <v>613</v>
      </c>
      <c r="F703" s="160" t="s">
        <v>15</v>
      </c>
      <c r="G703" s="160"/>
      <c r="H703" s="159" t="s">
        <v>283</v>
      </c>
      <c r="I703" s="161">
        <v>1707.05</v>
      </c>
      <c r="J703" s="161"/>
      <c r="K703" s="162" t="s">
        <v>8</v>
      </c>
      <c r="L703" s="163">
        <v>808962.67</v>
      </c>
    </row>
    <row r="704" spans="1:12" ht="51" x14ac:dyDescent="0.3">
      <c r="A704" s="157" t="s">
        <v>34</v>
      </c>
      <c r="B704" s="158" t="s">
        <v>1374</v>
      </c>
      <c r="C704" s="158" t="s">
        <v>611</v>
      </c>
      <c r="D704" s="158" t="s">
        <v>1387</v>
      </c>
      <c r="E704" s="159" t="s">
        <v>613</v>
      </c>
      <c r="F704" s="160" t="s">
        <v>15</v>
      </c>
      <c r="G704" s="160"/>
      <c r="H704" s="159" t="s">
        <v>283</v>
      </c>
      <c r="I704" s="164">
        <v>697.2</v>
      </c>
      <c r="J704" s="164"/>
      <c r="K704" s="162" t="s">
        <v>8</v>
      </c>
      <c r="L704" s="163">
        <v>808265.47</v>
      </c>
    </row>
    <row r="705" spans="1:12" ht="51" x14ac:dyDescent="0.3">
      <c r="A705" s="157" t="s">
        <v>34</v>
      </c>
      <c r="B705" s="158" t="s">
        <v>1374</v>
      </c>
      <c r="C705" s="158" t="s">
        <v>611</v>
      </c>
      <c r="D705" s="158" t="s">
        <v>1388</v>
      </c>
      <c r="E705" s="159" t="s">
        <v>613</v>
      </c>
      <c r="F705" s="160" t="s">
        <v>15</v>
      </c>
      <c r="G705" s="160"/>
      <c r="H705" s="159" t="s">
        <v>283</v>
      </c>
      <c r="I705" s="164">
        <v>477.97</v>
      </c>
      <c r="J705" s="164"/>
      <c r="K705" s="162" t="s">
        <v>8</v>
      </c>
      <c r="L705" s="163">
        <v>807787.5</v>
      </c>
    </row>
    <row r="706" spans="1:12" ht="51" x14ac:dyDescent="0.3">
      <c r="A706" s="157" t="s">
        <v>34</v>
      </c>
      <c r="B706" s="158" t="s">
        <v>1374</v>
      </c>
      <c r="C706" s="158" t="s">
        <v>611</v>
      </c>
      <c r="D706" s="158" t="s">
        <v>1389</v>
      </c>
      <c r="E706" s="159" t="s">
        <v>613</v>
      </c>
      <c r="F706" s="160" t="s">
        <v>15</v>
      </c>
      <c r="G706" s="160"/>
      <c r="H706" s="159" t="s">
        <v>283</v>
      </c>
      <c r="I706" s="161">
        <v>2199.39</v>
      </c>
      <c r="J706" s="161"/>
      <c r="K706" s="162" t="s">
        <v>8</v>
      </c>
      <c r="L706" s="163">
        <v>805588.11</v>
      </c>
    </row>
    <row r="707" spans="1:12" ht="51" x14ac:dyDescent="0.3">
      <c r="A707" s="157" t="s">
        <v>34</v>
      </c>
      <c r="B707" s="158" t="s">
        <v>1374</v>
      </c>
      <c r="C707" s="158" t="s">
        <v>611</v>
      </c>
      <c r="D707" s="158" t="s">
        <v>1390</v>
      </c>
      <c r="E707" s="159" t="s">
        <v>613</v>
      </c>
      <c r="F707" s="160" t="s">
        <v>15</v>
      </c>
      <c r="G707" s="160"/>
      <c r="H707" s="159" t="s">
        <v>283</v>
      </c>
      <c r="I707" s="161">
        <v>1362.04</v>
      </c>
      <c r="J707" s="161"/>
      <c r="K707" s="162" t="s">
        <v>8</v>
      </c>
      <c r="L707" s="163">
        <v>804226.07</v>
      </c>
    </row>
    <row r="708" spans="1:12" ht="51" x14ac:dyDescent="0.3">
      <c r="A708" s="157" t="s">
        <v>34</v>
      </c>
      <c r="B708" s="158" t="s">
        <v>1374</v>
      </c>
      <c r="C708" s="158" t="s">
        <v>611</v>
      </c>
      <c r="D708" s="158" t="s">
        <v>1391</v>
      </c>
      <c r="E708" s="159" t="s">
        <v>613</v>
      </c>
      <c r="F708" s="160" t="s">
        <v>15</v>
      </c>
      <c r="G708" s="160"/>
      <c r="H708" s="159" t="s">
        <v>283</v>
      </c>
      <c r="I708" s="161">
        <v>21346.93</v>
      </c>
      <c r="J708" s="161"/>
      <c r="K708" s="162" t="s">
        <v>8</v>
      </c>
      <c r="L708" s="163">
        <v>782879.14</v>
      </c>
    </row>
    <row r="709" spans="1:12" ht="51" x14ac:dyDescent="0.3">
      <c r="A709" s="157" t="s">
        <v>34</v>
      </c>
      <c r="B709" s="158" t="s">
        <v>1374</v>
      </c>
      <c r="C709" s="158" t="s">
        <v>611</v>
      </c>
      <c r="D709" s="158" t="s">
        <v>1392</v>
      </c>
      <c r="E709" s="159" t="s">
        <v>613</v>
      </c>
      <c r="F709" s="160" t="s">
        <v>15</v>
      </c>
      <c r="G709" s="160"/>
      <c r="H709" s="159" t="s">
        <v>283</v>
      </c>
      <c r="I709" s="161">
        <v>41888.800000000003</v>
      </c>
      <c r="J709" s="161"/>
      <c r="K709" s="162" t="s">
        <v>8</v>
      </c>
      <c r="L709" s="163">
        <v>740990.34</v>
      </c>
    </row>
    <row r="710" spans="1:12" ht="61.2" x14ac:dyDescent="0.3">
      <c r="A710" s="157" t="s">
        <v>34</v>
      </c>
      <c r="B710" s="158" t="s">
        <v>1374</v>
      </c>
      <c r="C710" s="158" t="s">
        <v>611</v>
      </c>
      <c r="D710" s="158" t="s">
        <v>1393</v>
      </c>
      <c r="E710" s="159" t="s">
        <v>613</v>
      </c>
      <c r="F710" s="160" t="s">
        <v>15</v>
      </c>
      <c r="G710" s="160"/>
      <c r="H710" s="159" t="s">
        <v>283</v>
      </c>
      <c r="I710" s="161">
        <v>73441.86</v>
      </c>
      <c r="J710" s="161"/>
      <c r="K710" s="162" t="s">
        <v>8</v>
      </c>
      <c r="L710" s="163">
        <v>667548.48</v>
      </c>
    </row>
    <row r="711" spans="1:12" ht="61.2" x14ac:dyDescent="0.3">
      <c r="A711" s="157" t="s">
        <v>34</v>
      </c>
      <c r="B711" s="158" t="s">
        <v>1374</v>
      </c>
      <c r="C711" s="158" t="s">
        <v>611</v>
      </c>
      <c r="D711" s="158" t="s">
        <v>1394</v>
      </c>
      <c r="E711" s="159" t="s">
        <v>613</v>
      </c>
      <c r="F711" s="160" t="s">
        <v>15</v>
      </c>
      <c r="G711" s="160"/>
      <c r="H711" s="159" t="s">
        <v>283</v>
      </c>
      <c r="I711" s="161">
        <v>324012.5</v>
      </c>
      <c r="J711" s="161"/>
      <c r="K711" s="162" t="s">
        <v>8</v>
      </c>
      <c r="L711" s="163">
        <v>343535.98</v>
      </c>
    </row>
    <row r="712" spans="1:12" ht="51" x14ac:dyDescent="0.3">
      <c r="A712" s="157" t="s">
        <v>34</v>
      </c>
      <c r="B712" s="158" t="s">
        <v>1374</v>
      </c>
      <c r="C712" s="158" t="s">
        <v>611</v>
      </c>
      <c r="D712" s="158" t="s">
        <v>1395</v>
      </c>
      <c r="E712" s="159" t="s">
        <v>613</v>
      </c>
      <c r="F712" s="160" t="s">
        <v>15</v>
      </c>
      <c r="G712" s="160"/>
      <c r="H712" s="159" t="s">
        <v>283</v>
      </c>
      <c r="I712" s="164">
        <v>67.98</v>
      </c>
      <c r="J712" s="164"/>
      <c r="K712" s="162" t="s">
        <v>8</v>
      </c>
      <c r="L712" s="163">
        <v>343468</v>
      </c>
    </row>
    <row r="713" spans="1:12" ht="51" x14ac:dyDescent="0.3">
      <c r="A713" s="157" t="s">
        <v>34</v>
      </c>
      <c r="B713" s="158" t="s">
        <v>1396</v>
      </c>
      <c r="C713" s="158" t="s">
        <v>741</v>
      </c>
      <c r="D713" s="158" t="s">
        <v>888</v>
      </c>
      <c r="E713" s="159" t="s">
        <v>42</v>
      </c>
      <c r="F713" s="160" t="s">
        <v>15</v>
      </c>
      <c r="G713" s="160"/>
      <c r="H713" s="159" t="s">
        <v>283</v>
      </c>
      <c r="I713" s="164">
        <v>3.91</v>
      </c>
      <c r="J713" s="164"/>
      <c r="K713" s="162" t="s">
        <v>8</v>
      </c>
      <c r="L713" s="163">
        <v>2427551.5699999998</v>
      </c>
    </row>
    <row r="714" spans="1:12" ht="51" x14ac:dyDescent="0.3">
      <c r="A714" s="157" t="s">
        <v>34</v>
      </c>
      <c r="B714" s="158" t="s">
        <v>1397</v>
      </c>
      <c r="C714" s="158" t="s">
        <v>741</v>
      </c>
      <c r="D714" s="158" t="s">
        <v>1398</v>
      </c>
      <c r="E714" s="159" t="s">
        <v>42</v>
      </c>
      <c r="F714" s="160" t="s">
        <v>15</v>
      </c>
      <c r="G714" s="160"/>
      <c r="H714" s="159" t="s">
        <v>283</v>
      </c>
      <c r="I714" s="161">
        <v>79291.100000000006</v>
      </c>
      <c r="J714" s="161"/>
      <c r="K714" s="162" t="s">
        <v>8</v>
      </c>
      <c r="L714" s="163">
        <v>6136768.3799999999</v>
      </c>
    </row>
    <row r="715" spans="1:12" ht="51" x14ac:dyDescent="0.3">
      <c r="A715" s="157" t="s">
        <v>34</v>
      </c>
      <c r="B715" s="158" t="s">
        <v>1397</v>
      </c>
      <c r="C715" s="158" t="s">
        <v>741</v>
      </c>
      <c r="D715" s="158" t="s">
        <v>1399</v>
      </c>
      <c r="E715" s="159" t="s">
        <v>42</v>
      </c>
      <c r="F715" s="160" t="s">
        <v>15</v>
      </c>
      <c r="G715" s="160"/>
      <c r="H715" s="159" t="s">
        <v>283</v>
      </c>
      <c r="I715" s="161">
        <v>10687.5</v>
      </c>
      <c r="J715" s="161"/>
      <c r="K715" s="162" t="s">
        <v>8</v>
      </c>
      <c r="L715" s="163">
        <v>6126080.8799999999</v>
      </c>
    </row>
    <row r="716" spans="1:12" ht="51" x14ac:dyDescent="0.3">
      <c r="A716" s="157" t="s">
        <v>34</v>
      </c>
      <c r="B716" s="158" t="s">
        <v>1397</v>
      </c>
      <c r="C716" s="158" t="s">
        <v>741</v>
      </c>
      <c r="D716" s="158" t="s">
        <v>1400</v>
      </c>
      <c r="E716" s="159" t="s">
        <v>42</v>
      </c>
      <c r="F716" s="160" t="s">
        <v>15</v>
      </c>
      <c r="G716" s="160"/>
      <c r="H716" s="159" t="s">
        <v>283</v>
      </c>
      <c r="I716" s="161">
        <v>81035.429999999993</v>
      </c>
      <c r="J716" s="161"/>
      <c r="K716" s="162" t="s">
        <v>8</v>
      </c>
      <c r="L716" s="163">
        <v>6045045.4500000002</v>
      </c>
    </row>
    <row r="717" spans="1:12" ht="51" x14ac:dyDescent="0.3">
      <c r="A717" s="157" t="s">
        <v>34</v>
      </c>
      <c r="B717" s="158" t="s">
        <v>1397</v>
      </c>
      <c r="C717" s="158" t="s">
        <v>741</v>
      </c>
      <c r="D717" s="158" t="s">
        <v>1401</v>
      </c>
      <c r="E717" s="159" t="s">
        <v>42</v>
      </c>
      <c r="F717" s="160" t="s">
        <v>15</v>
      </c>
      <c r="G717" s="160"/>
      <c r="H717" s="159" t="s">
        <v>283</v>
      </c>
      <c r="I717" s="161">
        <v>34357.61</v>
      </c>
      <c r="J717" s="161"/>
      <c r="K717" s="162" t="s">
        <v>8</v>
      </c>
      <c r="L717" s="163">
        <v>6010687.8399999999</v>
      </c>
    </row>
    <row r="718" spans="1:12" ht="61.2" x14ac:dyDescent="0.3">
      <c r="A718" s="157" t="s">
        <v>34</v>
      </c>
      <c r="B718" s="158" t="s">
        <v>1397</v>
      </c>
      <c r="C718" s="158" t="s">
        <v>741</v>
      </c>
      <c r="D718" s="158" t="s">
        <v>1402</v>
      </c>
      <c r="E718" s="159" t="s">
        <v>42</v>
      </c>
      <c r="F718" s="160" t="s">
        <v>15</v>
      </c>
      <c r="G718" s="160"/>
      <c r="H718" s="159" t="s">
        <v>283</v>
      </c>
      <c r="I718" s="161">
        <v>8607</v>
      </c>
      <c r="J718" s="161"/>
      <c r="K718" s="162" t="s">
        <v>8</v>
      </c>
      <c r="L718" s="163">
        <v>6002080.8399999999</v>
      </c>
    </row>
    <row r="719" spans="1:12" ht="51" x14ac:dyDescent="0.3">
      <c r="A719" s="157" t="s">
        <v>34</v>
      </c>
      <c r="B719" s="158" t="s">
        <v>1397</v>
      </c>
      <c r="C719" s="158" t="s">
        <v>741</v>
      </c>
      <c r="D719" s="158" t="s">
        <v>1403</v>
      </c>
      <c r="E719" s="159" t="s">
        <v>42</v>
      </c>
      <c r="F719" s="160" t="s">
        <v>15</v>
      </c>
      <c r="G719" s="160"/>
      <c r="H719" s="159" t="s">
        <v>283</v>
      </c>
      <c r="I719" s="161">
        <v>2259</v>
      </c>
      <c r="J719" s="161"/>
      <c r="K719" s="162" t="s">
        <v>8</v>
      </c>
      <c r="L719" s="163">
        <v>5999821.8399999999</v>
      </c>
    </row>
    <row r="720" spans="1:12" ht="51" x14ac:dyDescent="0.3">
      <c r="A720" s="157" t="s">
        <v>34</v>
      </c>
      <c r="B720" s="158" t="s">
        <v>1397</v>
      </c>
      <c r="C720" s="158" t="s">
        <v>741</v>
      </c>
      <c r="D720" s="158" t="s">
        <v>1404</v>
      </c>
      <c r="E720" s="159" t="s">
        <v>42</v>
      </c>
      <c r="F720" s="160" t="s">
        <v>15</v>
      </c>
      <c r="G720" s="160"/>
      <c r="H720" s="159" t="s">
        <v>283</v>
      </c>
      <c r="I720" s="161">
        <v>8533.75</v>
      </c>
      <c r="J720" s="161"/>
      <c r="K720" s="162" t="s">
        <v>8</v>
      </c>
      <c r="L720" s="163">
        <v>5991288.0899999999</v>
      </c>
    </row>
    <row r="721" spans="1:12" ht="51" x14ac:dyDescent="0.3">
      <c r="A721" s="157" t="s">
        <v>34</v>
      </c>
      <c r="B721" s="158" t="s">
        <v>1397</v>
      </c>
      <c r="C721" s="158" t="s">
        <v>741</v>
      </c>
      <c r="D721" s="158" t="s">
        <v>891</v>
      </c>
      <c r="E721" s="159" t="s">
        <v>42</v>
      </c>
      <c r="F721" s="160" t="s">
        <v>15</v>
      </c>
      <c r="G721" s="160"/>
      <c r="H721" s="159" t="s">
        <v>283</v>
      </c>
      <c r="I721" s="164">
        <v>630.52</v>
      </c>
      <c r="J721" s="164"/>
      <c r="K721" s="162" t="s">
        <v>8</v>
      </c>
      <c r="L721" s="163">
        <v>5990657.5700000003</v>
      </c>
    </row>
    <row r="722" spans="1:12" ht="61.2" x14ac:dyDescent="0.3">
      <c r="A722" s="157" t="s">
        <v>34</v>
      </c>
      <c r="B722" s="158" t="s">
        <v>1397</v>
      </c>
      <c r="C722" s="158" t="s">
        <v>741</v>
      </c>
      <c r="D722" s="158" t="s">
        <v>1405</v>
      </c>
      <c r="E722" s="159" t="s">
        <v>42</v>
      </c>
      <c r="F722" s="160" t="s">
        <v>15</v>
      </c>
      <c r="G722" s="160"/>
      <c r="H722" s="159" t="s">
        <v>283</v>
      </c>
      <c r="I722" s="161">
        <v>1470</v>
      </c>
      <c r="J722" s="161"/>
      <c r="K722" s="162" t="s">
        <v>8</v>
      </c>
      <c r="L722" s="163">
        <v>5989187.5700000003</v>
      </c>
    </row>
    <row r="723" spans="1:12" ht="51" x14ac:dyDescent="0.3">
      <c r="A723" s="157" t="s">
        <v>34</v>
      </c>
      <c r="B723" s="158" t="s">
        <v>1406</v>
      </c>
      <c r="C723" s="158" t="s">
        <v>741</v>
      </c>
      <c r="D723" s="158" t="s">
        <v>1407</v>
      </c>
      <c r="E723" s="159" t="s">
        <v>42</v>
      </c>
      <c r="F723" s="160" t="s">
        <v>15</v>
      </c>
      <c r="G723" s="160"/>
      <c r="H723" s="159" t="s">
        <v>283</v>
      </c>
      <c r="I723" s="161">
        <v>2607.5</v>
      </c>
      <c r="J723" s="161"/>
      <c r="K723" s="162" t="s">
        <v>8</v>
      </c>
      <c r="L723" s="163">
        <v>5986580.0700000003</v>
      </c>
    </row>
    <row r="724" spans="1:12" ht="71.400000000000006" x14ac:dyDescent="0.3">
      <c r="A724" s="157" t="s">
        <v>34</v>
      </c>
      <c r="B724" s="158" t="s">
        <v>1408</v>
      </c>
      <c r="C724" s="158" t="s">
        <v>741</v>
      </c>
      <c r="D724" s="158" t="s">
        <v>1328</v>
      </c>
      <c r="E724" s="159" t="s">
        <v>42</v>
      </c>
      <c r="F724" s="160" t="s">
        <v>15</v>
      </c>
      <c r="G724" s="160"/>
      <c r="H724" s="159" t="s">
        <v>283</v>
      </c>
      <c r="I724" s="161">
        <v>2741.67</v>
      </c>
      <c r="J724" s="161"/>
      <c r="K724" s="162" t="s">
        <v>8</v>
      </c>
      <c r="L724" s="163">
        <v>242433.77</v>
      </c>
    </row>
    <row r="725" spans="1:12" ht="61.2" x14ac:dyDescent="0.3">
      <c r="A725" s="157" t="s">
        <v>34</v>
      </c>
      <c r="B725" s="158" t="s">
        <v>1408</v>
      </c>
      <c r="C725" s="158" t="s">
        <v>741</v>
      </c>
      <c r="D725" s="158" t="s">
        <v>1409</v>
      </c>
      <c r="E725" s="159" t="s">
        <v>42</v>
      </c>
      <c r="F725" s="160" t="s">
        <v>15</v>
      </c>
      <c r="G725" s="160"/>
      <c r="H725" s="159" t="s">
        <v>283</v>
      </c>
      <c r="I725" s="161">
        <v>31147.759999999998</v>
      </c>
      <c r="J725" s="161"/>
      <c r="K725" s="162" t="s">
        <v>8</v>
      </c>
      <c r="L725" s="163">
        <v>211286.01</v>
      </c>
    </row>
    <row r="726" spans="1:12" ht="61.2" x14ac:dyDescent="0.3">
      <c r="A726" s="157" t="s">
        <v>34</v>
      </c>
      <c r="B726" s="158" t="s">
        <v>1408</v>
      </c>
      <c r="C726" s="158" t="s">
        <v>741</v>
      </c>
      <c r="D726" s="158" t="s">
        <v>1410</v>
      </c>
      <c r="E726" s="159" t="s">
        <v>42</v>
      </c>
      <c r="F726" s="160" t="s">
        <v>15</v>
      </c>
      <c r="G726" s="160"/>
      <c r="H726" s="159" t="s">
        <v>283</v>
      </c>
      <c r="I726" s="161">
        <v>6491.44</v>
      </c>
      <c r="J726" s="161"/>
      <c r="K726" s="162" t="s">
        <v>8</v>
      </c>
      <c r="L726" s="163">
        <v>204794.57</v>
      </c>
    </row>
    <row r="727" spans="1:12" ht="61.2" x14ac:dyDescent="0.3">
      <c r="A727" s="157" t="s">
        <v>34</v>
      </c>
      <c r="B727" s="158" t="s">
        <v>1408</v>
      </c>
      <c r="C727" s="158" t="s">
        <v>741</v>
      </c>
      <c r="D727" s="158" t="s">
        <v>1411</v>
      </c>
      <c r="E727" s="159" t="s">
        <v>42</v>
      </c>
      <c r="F727" s="160" t="s">
        <v>15</v>
      </c>
      <c r="G727" s="160"/>
      <c r="H727" s="159" t="s">
        <v>283</v>
      </c>
      <c r="I727" s="161">
        <v>26125</v>
      </c>
      <c r="J727" s="161"/>
      <c r="K727" s="162" t="s">
        <v>8</v>
      </c>
      <c r="L727" s="163">
        <v>178669.57</v>
      </c>
    </row>
    <row r="728" spans="1:12" ht="61.2" x14ac:dyDescent="0.3">
      <c r="A728" s="157" t="s">
        <v>34</v>
      </c>
      <c r="B728" s="158" t="s">
        <v>1408</v>
      </c>
      <c r="C728" s="158" t="s">
        <v>741</v>
      </c>
      <c r="D728" s="158" t="s">
        <v>1331</v>
      </c>
      <c r="E728" s="159" t="s">
        <v>42</v>
      </c>
      <c r="F728" s="160" t="s">
        <v>15</v>
      </c>
      <c r="G728" s="160"/>
      <c r="H728" s="159" t="s">
        <v>283</v>
      </c>
      <c r="I728" s="161">
        <v>1086.6500000000001</v>
      </c>
      <c r="J728" s="161"/>
      <c r="K728" s="162" t="s">
        <v>8</v>
      </c>
      <c r="L728" s="163">
        <v>177582.92</v>
      </c>
    </row>
    <row r="729" spans="1:12" ht="51" hidden="1" x14ac:dyDescent="0.3">
      <c r="A729" s="157" t="s">
        <v>1412</v>
      </c>
      <c r="B729" s="158" t="s">
        <v>1413</v>
      </c>
      <c r="C729" s="158" t="s">
        <v>1414</v>
      </c>
      <c r="D729" s="158" t="s">
        <v>1415</v>
      </c>
      <c r="E729" s="159" t="s">
        <v>283</v>
      </c>
      <c r="F729" s="165">
        <v>1378.4</v>
      </c>
      <c r="G729" s="165"/>
      <c r="H729" s="159" t="s">
        <v>14</v>
      </c>
      <c r="I729" s="166" t="s">
        <v>15</v>
      </c>
      <c r="J729" s="166"/>
      <c r="K729" s="162" t="s">
        <v>8</v>
      </c>
      <c r="L729" s="163">
        <v>2160728.58</v>
      </c>
    </row>
    <row r="730" spans="1:12" ht="51" hidden="1" x14ac:dyDescent="0.3">
      <c r="A730" s="157" t="s">
        <v>1412</v>
      </c>
      <c r="B730" s="158" t="s">
        <v>1413</v>
      </c>
      <c r="C730" s="158" t="s">
        <v>1416</v>
      </c>
      <c r="D730" s="158" t="s">
        <v>1415</v>
      </c>
      <c r="E730" s="159" t="s">
        <v>283</v>
      </c>
      <c r="F730" s="167">
        <v>856.32</v>
      </c>
      <c r="G730" s="167"/>
      <c r="H730" s="159" t="s">
        <v>14</v>
      </c>
      <c r="I730" s="166" t="s">
        <v>15</v>
      </c>
      <c r="J730" s="166"/>
      <c r="K730" s="162" t="s">
        <v>8</v>
      </c>
      <c r="L730" s="163">
        <v>2161584.9</v>
      </c>
    </row>
    <row r="731" spans="1:12" ht="51" hidden="1" x14ac:dyDescent="0.3">
      <c r="A731" s="157" t="s">
        <v>74</v>
      </c>
      <c r="B731" s="158" t="s">
        <v>1417</v>
      </c>
      <c r="C731" s="158" t="s">
        <v>1418</v>
      </c>
      <c r="D731" s="158" t="s">
        <v>1419</v>
      </c>
      <c r="E731" s="159" t="s">
        <v>283</v>
      </c>
      <c r="F731" s="165">
        <v>7243.32</v>
      </c>
      <c r="G731" s="165"/>
      <c r="H731" s="159" t="s">
        <v>14</v>
      </c>
      <c r="I731" s="166" t="s">
        <v>15</v>
      </c>
      <c r="J731" s="166"/>
      <c r="K731" s="162" t="s">
        <v>8</v>
      </c>
      <c r="L731" s="163">
        <v>2168828.2200000002</v>
      </c>
    </row>
    <row r="732" spans="1:12" ht="51" hidden="1" x14ac:dyDescent="0.3">
      <c r="A732" s="157" t="s">
        <v>74</v>
      </c>
      <c r="B732" s="158" t="s">
        <v>1420</v>
      </c>
      <c r="C732" s="158" t="s">
        <v>1418</v>
      </c>
      <c r="D732" s="158" t="s">
        <v>1419</v>
      </c>
      <c r="E732" s="159" t="s">
        <v>283</v>
      </c>
      <c r="F732" s="165">
        <v>119602.68</v>
      </c>
      <c r="G732" s="165"/>
      <c r="H732" s="159" t="s">
        <v>14</v>
      </c>
      <c r="I732" s="166" t="s">
        <v>15</v>
      </c>
      <c r="J732" s="166"/>
      <c r="K732" s="162" t="s">
        <v>8</v>
      </c>
      <c r="L732" s="163">
        <v>2288430.9</v>
      </c>
    </row>
    <row r="733" spans="1:12" ht="51" hidden="1" x14ac:dyDescent="0.3">
      <c r="A733" s="157" t="s">
        <v>74</v>
      </c>
      <c r="B733" s="158" t="s">
        <v>1421</v>
      </c>
      <c r="C733" s="158" t="s">
        <v>1422</v>
      </c>
      <c r="D733" s="158" t="s">
        <v>1423</v>
      </c>
      <c r="E733" s="159" t="s">
        <v>283</v>
      </c>
      <c r="F733" s="167">
        <v>318.39999999999998</v>
      </c>
      <c r="G733" s="167"/>
      <c r="H733" s="159" t="s">
        <v>14</v>
      </c>
      <c r="I733" s="166" t="s">
        <v>15</v>
      </c>
      <c r="J733" s="166"/>
      <c r="K733" s="162" t="s">
        <v>8</v>
      </c>
      <c r="L733" s="163">
        <v>2288749.2999999998</v>
      </c>
    </row>
    <row r="734" spans="1:12" ht="71.400000000000006" hidden="1" x14ac:dyDescent="0.3">
      <c r="A734" s="157" t="s">
        <v>74</v>
      </c>
      <c r="B734" s="158" t="s">
        <v>1421</v>
      </c>
      <c r="C734" s="158" t="s">
        <v>1424</v>
      </c>
      <c r="D734" s="158" t="s">
        <v>1423</v>
      </c>
      <c r="E734" s="159" t="s">
        <v>283</v>
      </c>
      <c r="F734" s="167">
        <v>359.2</v>
      </c>
      <c r="G734" s="167"/>
      <c r="H734" s="159" t="s">
        <v>14</v>
      </c>
      <c r="I734" s="166" t="s">
        <v>15</v>
      </c>
      <c r="J734" s="166"/>
      <c r="K734" s="162" t="s">
        <v>8</v>
      </c>
      <c r="L734" s="163">
        <v>2289108.5</v>
      </c>
    </row>
    <row r="735" spans="1:12" ht="61.2" hidden="1" x14ac:dyDescent="0.3">
      <c r="A735" s="157" t="s">
        <v>74</v>
      </c>
      <c r="B735" s="158" t="s">
        <v>1421</v>
      </c>
      <c r="C735" s="158" t="s">
        <v>1425</v>
      </c>
      <c r="D735" s="158" t="s">
        <v>1423</v>
      </c>
      <c r="E735" s="159" t="s">
        <v>283</v>
      </c>
      <c r="F735" s="167">
        <v>265</v>
      </c>
      <c r="G735" s="167"/>
      <c r="H735" s="159" t="s">
        <v>14</v>
      </c>
      <c r="I735" s="166" t="s">
        <v>15</v>
      </c>
      <c r="J735" s="166"/>
      <c r="K735" s="162" t="s">
        <v>8</v>
      </c>
      <c r="L735" s="163">
        <v>2289373.5</v>
      </c>
    </row>
    <row r="736" spans="1:12" ht="61.2" hidden="1" x14ac:dyDescent="0.3">
      <c r="A736" s="157" t="s">
        <v>74</v>
      </c>
      <c r="B736" s="158" t="s">
        <v>1421</v>
      </c>
      <c r="C736" s="158" t="s">
        <v>1426</v>
      </c>
      <c r="D736" s="158" t="s">
        <v>1423</v>
      </c>
      <c r="E736" s="159" t="s">
        <v>283</v>
      </c>
      <c r="F736" s="165">
        <v>2030.4</v>
      </c>
      <c r="G736" s="165"/>
      <c r="H736" s="159" t="s">
        <v>14</v>
      </c>
      <c r="I736" s="166" t="s">
        <v>15</v>
      </c>
      <c r="J736" s="166"/>
      <c r="K736" s="162" t="s">
        <v>8</v>
      </c>
      <c r="L736" s="163">
        <v>2291403.9</v>
      </c>
    </row>
    <row r="737" spans="1:12" ht="61.2" hidden="1" x14ac:dyDescent="0.3">
      <c r="A737" s="157" t="s">
        <v>74</v>
      </c>
      <c r="B737" s="158" t="s">
        <v>1421</v>
      </c>
      <c r="C737" s="158" t="s">
        <v>1427</v>
      </c>
      <c r="D737" s="158" t="s">
        <v>1423</v>
      </c>
      <c r="E737" s="159" t="s">
        <v>283</v>
      </c>
      <c r="F737" s="165">
        <v>1869</v>
      </c>
      <c r="G737" s="165"/>
      <c r="H737" s="159" t="s">
        <v>14</v>
      </c>
      <c r="I737" s="166" t="s">
        <v>15</v>
      </c>
      <c r="J737" s="166"/>
      <c r="K737" s="162" t="s">
        <v>8</v>
      </c>
      <c r="L737" s="163">
        <v>2293272.9</v>
      </c>
    </row>
    <row r="738" spans="1:12" ht="61.2" hidden="1" x14ac:dyDescent="0.3">
      <c r="A738" s="157" t="s">
        <v>74</v>
      </c>
      <c r="B738" s="158" t="s">
        <v>1421</v>
      </c>
      <c r="C738" s="158" t="s">
        <v>1428</v>
      </c>
      <c r="D738" s="158" t="s">
        <v>1423</v>
      </c>
      <c r="E738" s="159" t="s">
        <v>283</v>
      </c>
      <c r="F738" s="165">
        <v>1701</v>
      </c>
      <c r="G738" s="165"/>
      <c r="H738" s="159" t="s">
        <v>14</v>
      </c>
      <c r="I738" s="166" t="s">
        <v>15</v>
      </c>
      <c r="J738" s="166"/>
      <c r="K738" s="162" t="s">
        <v>8</v>
      </c>
      <c r="L738" s="163">
        <v>2294973.9</v>
      </c>
    </row>
    <row r="739" spans="1:12" ht="61.2" hidden="1" x14ac:dyDescent="0.3">
      <c r="A739" s="157" t="s">
        <v>74</v>
      </c>
      <c r="B739" s="158" t="s">
        <v>1421</v>
      </c>
      <c r="C739" s="158" t="s">
        <v>1429</v>
      </c>
      <c r="D739" s="158" t="s">
        <v>1423</v>
      </c>
      <c r="E739" s="159" t="s">
        <v>283</v>
      </c>
      <c r="F739" s="165">
        <v>7417.2</v>
      </c>
      <c r="G739" s="165"/>
      <c r="H739" s="159" t="s">
        <v>14</v>
      </c>
      <c r="I739" s="166" t="s">
        <v>15</v>
      </c>
      <c r="J739" s="166"/>
      <c r="K739" s="162" t="s">
        <v>8</v>
      </c>
      <c r="L739" s="163">
        <v>2302391.1</v>
      </c>
    </row>
    <row r="740" spans="1:12" ht="51" hidden="1" x14ac:dyDescent="0.3">
      <c r="A740" s="157" t="s">
        <v>74</v>
      </c>
      <c r="B740" s="158" t="s">
        <v>1421</v>
      </c>
      <c r="C740" s="158" t="s">
        <v>1430</v>
      </c>
      <c r="D740" s="158" t="s">
        <v>1423</v>
      </c>
      <c r="E740" s="159" t="s">
        <v>283</v>
      </c>
      <c r="F740" s="167">
        <v>302.39999999999998</v>
      </c>
      <c r="G740" s="167"/>
      <c r="H740" s="159" t="s">
        <v>14</v>
      </c>
      <c r="I740" s="166" t="s">
        <v>15</v>
      </c>
      <c r="J740" s="166"/>
      <c r="K740" s="162" t="s">
        <v>8</v>
      </c>
      <c r="L740" s="163">
        <v>2302693.5</v>
      </c>
    </row>
    <row r="741" spans="1:12" ht="51" hidden="1" x14ac:dyDescent="0.3">
      <c r="A741" s="157" t="s">
        <v>74</v>
      </c>
      <c r="B741" s="158" t="s">
        <v>1421</v>
      </c>
      <c r="C741" s="158" t="s">
        <v>1431</v>
      </c>
      <c r="D741" s="158" t="s">
        <v>1423</v>
      </c>
      <c r="E741" s="159" t="s">
        <v>283</v>
      </c>
      <c r="F741" s="167">
        <v>369</v>
      </c>
      <c r="G741" s="167"/>
      <c r="H741" s="159" t="s">
        <v>14</v>
      </c>
      <c r="I741" s="166" t="s">
        <v>15</v>
      </c>
      <c r="J741" s="166"/>
      <c r="K741" s="162" t="s">
        <v>8</v>
      </c>
      <c r="L741" s="163">
        <v>2303062.5</v>
      </c>
    </row>
    <row r="742" spans="1:12" ht="51" hidden="1" x14ac:dyDescent="0.3">
      <c r="A742" s="157" t="s">
        <v>74</v>
      </c>
      <c r="B742" s="158" t="s">
        <v>1421</v>
      </c>
      <c r="C742" s="158" t="s">
        <v>1432</v>
      </c>
      <c r="D742" s="158" t="s">
        <v>1423</v>
      </c>
      <c r="E742" s="159" t="s">
        <v>283</v>
      </c>
      <c r="F742" s="167">
        <v>113.7</v>
      </c>
      <c r="G742" s="167"/>
      <c r="H742" s="159" t="s">
        <v>14</v>
      </c>
      <c r="I742" s="166" t="s">
        <v>15</v>
      </c>
      <c r="J742" s="166"/>
      <c r="K742" s="162" t="s">
        <v>8</v>
      </c>
      <c r="L742" s="163">
        <v>2303176.2000000002</v>
      </c>
    </row>
    <row r="743" spans="1:12" ht="51" hidden="1" x14ac:dyDescent="0.3">
      <c r="A743" s="157" t="s">
        <v>74</v>
      </c>
      <c r="B743" s="158" t="s">
        <v>1421</v>
      </c>
      <c r="C743" s="158" t="s">
        <v>1433</v>
      </c>
      <c r="D743" s="158" t="s">
        <v>1423</v>
      </c>
      <c r="E743" s="159" t="s">
        <v>283</v>
      </c>
      <c r="F743" s="167">
        <v>894.4</v>
      </c>
      <c r="G743" s="167"/>
      <c r="H743" s="159" t="s">
        <v>14</v>
      </c>
      <c r="I743" s="166" t="s">
        <v>15</v>
      </c>
      <c r="J743" s="166"/>
      <c r="K743" s="162" t="s">
        <v>8</v>
      </c>
      <c r="L743" s="163">
        <v>2304070.6</v>
      </c>
    </row>
    <row r="744" spans="1:12" ht="61.2" hidden="1" x14ac:dyDescent="0.3">
      <c r="A744" s="157" t="s">
        <v>74</v>
      </c>
      <c r="B744" s="158" t="s">
        <v>1421</v>
      </c>
      <c r="C744" s="158" t="s">
        <v>1434</v>
      </c>
      <c r="D744" s="158" t="s">
        <v>1423</v>
      </c>
      <c r="E744" s="159" t="s">
        <v>283</v>
      </c>
      <c r="F744" s="167">
        <v>369.5</v>
      </c>
      <c r="G744" s="167"/>
      <c r="H744" s="159" t="s">
        <v>14</v>
      </c>
      <c r="I744" s="166" t="s">
        <v>15</v>
      </c>
      <c r="J744" s="166"/>
      <c r="K744" s="162" t="s">
        <v>8</v>
      </c>
      <c r="L744" s="163">
        <v>2304440.1</v>
      </c>
    </row>
    <row r="745" spans="1:12" ht="51" hidden="1" x14ac:dyDescent="0.3">
      <c r="A745" s="157" t="s">
        <v>74</v>
      </c>
      <c r="B745" s="158" t="s">
        <v>1421</v>
      </c>
      <c r="C745" s="158" t="s">
        <v>1435</v>
      </c>
      <c r="D745" s="158" t="s">
        <v>1423</v>
      </c>
      <c r="E745" s="159" t="s">
        <v>283</v>
      </c>
      <c r="F745" s="167">
        <v>228</v>
      </c>
      <c r="G745" s="167"/>
      <c r="H745" s="159" t="s">
        <v>14</v>
      </c>
      <c r="I745" s="166" t="s">
        <v>15</v>
      </c>
      <c r="J745" s="166"/>
      <c r="K745" s="162" t="s">
        <v>8</v>
      </c>
      <c r="L745" s="163">
        <v>2304668.1</v>
      </c>
    </row>
    <row r="746" spans="1:12" ht="51" hidden="1" x14ac:dyDescent="0.3">
      <c r="A746" s="157" t="s">
        <v>74</v>
      </c>
      <c r="B746" s="158" t="s">
        <v>1421</v>
      </c>
      <c r="C746" s="158" t="s">
        <v>1436</v>
      </c>
      <c r="D746" s="158" t="s">
        <v>1423</v>
      </c>
      <c r="E746" s="159" t="s">
        <v>283</v>
      </c>
      <c r="F746" s="167">
        <v>82.2</v>
      </c>
      <c r="G746" s="167"/>
      <c r="H746" s="159" t="s">
        <v>14</v>
      </c>
      <c r="I746" s="166" t="s">
        <v>15</v>
      </c>
      <c r="J746" s="166"/>
      <c r="K746" s="162" t="s">
        <v>8</v>
      </c>
      <c r="L746" s="163">
        <v>2304750.2999999998</v>
      </c>
    </row>
    <row r="747" spans="1:12" ht="61.2" hidden="1" x14ac:dyDescent="0.3">
      <c r="A747" s="157" t="s">
        <v>74</v>
      </c>
      <c r="B747" s="158" t="s">
        <v>1421</v>
      </c>
      <c r="C747" s="158" t="s">
        <v>1437</v>
      </c>
      <c r="D747" s="158" t="s">
        <v>1423</v>
      </c>
      <c r="E747" s="159" t="s">
        <v>283</v>
      </c>
      <c r="F747" s="167">
        <v>385</v>
      </c>
      <c r="G747" s="167"/>
      <c r="H747" s="159" t="s">
        <v>14</v>
      </c>
      <c r="I747" s="166" t="s">
        <v>15</v>
      </c>
      <c r="J747" s="166"/>
      <c r="K747" s="162" t="s">
        <v>8</v>
      </c>
      <c r="L747" s="163">
        <v>2305135.2999999998</v>
      </c>
    </row>
    <row r="748" spans="1:12" ht="51" hidden="1" x14ac:dyDescent="0.3">
      <c r="A748" s="157" t="s">
        <v>74</v>
      </c>
      <c r="B748" s="158" t="s">
        <v>1438</v>
      </c>
      <c r="C748" s="158" t="s">
        <v>1439</v>
      </c>
      <c r="D748" s="158" t="s">
        <v>1440</v>
      </c>
      <c r="E748" s="159" t="s">
        <v>283</v>
      </c>
      <c r="F748" s="165">
        <v>36500</v>
      </c>
      <c r="G748" s="165"/>
      <c r="H748" s="159" t="s">
        <v>14</v>
      </c>
      <c r="I748" s="166" t="s">
        <v>15</v>
      </c>
      <c r="J748" s="166"/>
      <c r="K748" s="162" t="s">
        <v>8</v>
      </c>
      <c r="L748" s="163">
        <v>255126.79</v>
      </c>
    </row>
    <row r="749" spans="1:12" ht="51" hidden="1" x14ac:dyDescent="0.3">
      <c r="A749" s="157" t="s">
        <v>74</v>
      </c>
      <c r="B749" s="158" t="s">
        <v>1441</v>
      </c>
      <c r="C749" s="158" t="s">
        <v>1439</v>
      </c>
      <c r="D749" s="158" t="s">
        <v>1442</v>
      </c>
      <c r="E749" s="159" t="s">
        <v>283</v>
      </c>
      <c r="F749" s="165">
        <v>14740</v>
      </c>
      <c r="G749" s="165"/>
      <c r="H749" s="159" t="s">
        <v>14</v>
      </c>
      <c r="I749" s="166" t="s">
        <v>15</v>
      </c>
      <c r="J749" s="166"/>
      <c r="K749" s="162" t="s">
        <v>8</v>
      </c>
      <c r="L749" s="163">
        <v>269866.78999999998</v>
      </c>
    </row>
    <row r="750" spans="1:12" ht="51" hidden="1" x14ac:dyDescent="0.3">
      <c r="A750" s="157" t="s">
        <v>74</v>
      </c>
      <c r="B750" s="158" t="s">
        <v>1443</v>
      </c>
      <c r="C750" s="158" t="s">
        <v>1444</v>
      </c>
      <c r="D750" s="158" t="s">
        <v>1445</v>
      </c>
      <c r="E750" s="159" t="s">
        <v>283</v>
      </c>
      <c r="F750" s="165">
        <v>7955.5</v>
      </c>
      <c r="G750" s="165"/>
      <c r="H750" s="159" t="s">
        <v>14</v>
      </c>
      <c r="I750" s="166" t="s">
        <v>15</v>
      </c>
      <c r="J750" s="166"/>
      <c r="K750" s="162" t="s">
        <v>8</v>
      </c>
      <c r="L750" s="163">
        <v>351423.5</v>
      </c>
    </row>
    <row r="751" spans="1:12" ht="51" hidden="1" x14ac:dyDescent="0.3">
      <c r="A751" s="157" t="s">
        <v>74</v>
      </c>
      <c r="B751" s="158" t="s">
        <v>1443</v>
      </c>
      <c r="C751" s="158" t="s">
        <v>1446</v>
      </c>
      <c r="D751" s="158" t="s">
        <v>1445</v>
      </c>
      <c r="E751" s="159" t="s">
        <v>283</v>
      </c>
      <c r="F751" s="165">
        <v>4650.45</v>
      </c>
      <c r="G751" s="165"/>
      <c r="H751" s="159" t="s">
        <v>14</v>
      </c>
      <c r="I751" s="166" t="s">
        <v>15</v>
      </c>
      <c r="J751" s="166"/>
      <c r="K751" s="162" t="s">
        <v>8</v>
      </c>
      <c r="L751" s="163">
        <v>356073.95</v>
      </c>
    </row>
    <row r="752" spans="1:12" ht="51" hidden="1" x14ac:dyDescent="0.3">
      <c r="A752" s="157" t="s">
        <v>74</v>
      </c>
      <c r="B752" s="158" t="s">
        <v>1443</v>
      </c>
      <c r="C752" s="158" t="s">
        <v>1447</v>
      </c>
      <c r="D752" s="158" t="s">
        <v>1445</v>
      </c>
      <c r="E752" s="159" t="s">
        <v>283</v>
      </c>
      <c r="F752" s="165">
        <v>20214.900000000001</v>
      </c>
      <c r="G752" s="165"/>
      <c r="H752" s="159" t="s">
        <v>14</v>
      </c>
      <c r="I752" s="166" t="s">
        <v>15</v>
      </c>
      <c r="J752" s="166"/>
      <c r="K752" s="162" t="s">
        <v>8</v>
      </c>
      <c r="L752" s="163">
        <v>376288.85</v>
      </c>
    </row>
    <row r="753" spans="1:12" ht="51" hidden="1" x14ac:dyDescent="0.3">
      <c r="A753" s="157" t="s">
        <v>74</v>
      </c>
      <c r="B753" s="158" t="s">
        <v>1443</v>
      </c>
      <c r="C753" s="158" t="s">
        <v>1448</v>
      </c>
      <c r="D753" s="158" t="s">
        <v>1445</v>
      </c>
      <c r="E753" s="159" t="s">
        <v>283</v>
      </c>
      <c r="F753" s="165">
        <v>2805.9</v>
      </c>
      <c r="G753" s="165"/>
      <c r="H753" s="159" t="s">
        <v>14</v>
      </c>
      <c r="I753" s="166" t="s">
        <v>15</v>
      </c>
      <c r="J753" s="166"/>
      <c r="K753" s="162" t="s">
        <v>8</v>
      </c>
      <c r="L753" s="163">
        <v>379094.75</v>
      </c>
    </row>
    <row r="754" spans="1:12" ht="51" hidden="1" x14ac:dyDescent="0.3">
      <c r="A754" s="157" t="s">
        <v>74</v>
      </c>
      <c r="B754" s="158" t="s">
        <v>1443</v>
      </c>
      <c r="C754" s="158" t="s">
        <v>1449</v>
      </c>
      <c r="D754" s="158" t="s">
        <v>1445</v>
      </c>
      <c r="E754" s="159" t="s">
        <v>283</v>
      </c>
      <c r="F754" s="165">
        <v>3483.05</v>
      </c>
      <c r="G754" s="165"/>
      <c r="H754" s="159" t="s">
        <v>14</v>
      </c>
      <c r="I754" s="166" t="s">
        <v>15</v>
      </c>
      <c r="J754" s="166"/>
      <c r="K754" s="162" t="s">
        <v>8</v>
      </c>
      <c r="L754" s="163">
        <v>382577.8</v>
      </c>
    </row>
    <row r="755" spans="1:12" ht="51" hidden="1" x14ac:dyDescent="0.3">
      <c r="A755" s="157" t="s">
        <v>74</v>
      </c>
      <c r="B755" s="158" t="s">
        <v>1443</v>
      </c>
      <c r="C755" s="158" t="s">
        <v>1450</v>
      </c>
      <c r="D755" s="158" t="s">
        <v>1445</v>
      </c>
      <c r="E755" s="159" t="s">
        <v>283</v>
      </c>
      <c r="F755" s="165">
        <v>49879.8</v>
      </c>
      <c r="G755" s="165"/>
      <c r="H755" s="159" t="s">
        <v>14</v>
      </c>
      <c r="I755" s="166" t="s">
        <v>15</v>
      </c>
      <c r="J755" s="166"/>
      <c r="K755" s="162" t="s">
        <v>8</v>
      </c>
      <c r="L755" s="163">
        <v>432457.6</v>
      </c>
    </row>
    <row r="756" spans="1:12" ht="51" hidden="1" x14ac:dyDescent="0.3">
      <c r="A756" s="157" t="s">
        <v>74</v>
      </c>
      <c r="B756" s="158" t="s">
        <v>1443</v>
      </c>
      <c r="C756" s="158" t="s">
        <v>1451</v>
      </c>
      <c r="D756" s="158" t="s">
        <v>1445</v>
      </c>
      <c r="E756" s="159" t="s">
        <v>283</v>
      </c>
      <c r="F756" s="165">
        <v>11604</v>
      </c>
      <c r="G756" s="165"/>
      <c r="H756" s="159" t="s">
        <v>14</v>
      </c>
      <c r="I756" s="166" t="s">
        <v>15</v>
      </c>
      <c r="J756" s="166"/>
      <c r="K756" s="162" t="s">
        <v>8</v>
      </c>
      <c r="L756" s="163">
        <v>444061.6</v>
      </c>
    </row>
    <row r="757" spans="1:12" ht="51" hidden="1" x14ac:dyDescent="0.3">
      <c r="A757" s="157" t="s">
        <v>74</v>
      </c>
      <c r="B757" s="158" t="s">
        <v>1452</v>
      </c>
      <c r="C757" s="158" t="s">
        <v>1453</v>
      </c>
      <c r="D757" s="158" t="s">
        <v>1445</v>
      </c>
      <c r="E757" s="159" t="s">
        <v>283</v>
      </c>
      <c r="F757" s="165">
        <v>10236.84</v>
      </c>
      <c r="G757" s="165"/>
      <c r="H757" s="159" t="s">
        <v>14</v>
      </c>
      <c r="I757" s="166" t="s">
        <v>15</v>
      </c>
      <c r="J757" s="166"/>
      <c r="K757" s="162" t="s">
        <v>8</v>
      </c>
      <c r="L757" s="163">
        <v>454298.44</v>
      </c>
    </row>
    <row r="758" spans="1:12" ht="51" hidden="1" x14ac:dyDescent="0.3">
      <c r="A758" s="157" t="s">
        <v>74</v>
      </c>
      <c r="B758" s="158" t="s">
        <v>1452</v>
      </c>
      <c r="C758" s="158" t="s">
        <v>1454</v>
      </c>
      <c r="D758" s="158" t="s">
        <v>1445</v>
      </c>
      <c r="E758" s="159" t="s">
        <v>283</v>
      </c>
      <c r="F758" s="165">
        <v>3858.15</v>
      </c>
      <c r="G758" s="165"/>
      <c r="H758" s="159" t="s">
        <v>14</v>
      </c>
      <c r="I758" s="166" t="s">
        <v>15</v>
      </c>
      <c r="J758" s="166"/>
      <c r="K758" s="162" t="s">
        <v>8</v>
      </c>
      <c r="L758" s="163">
        <v>458156.59</v>
      </c>
    </row>
    <row r="759" spans="1:12" ht="51" hidden="1" x14ac:dyDescent="0.3">
      <c r="A759" s="157" t="s">
        <v>74</v>
      </c>
      <c r="B759" s="158" t="s">
        <v>1452</v>
      </c>
      <c r="C759" s="158" t="s">
        <v>1455</v>
      </c>
      <c r="D759" s="158" t="s">
        <v>1445</v>
      </c>
      <c r="E759" s="159" t="s">
        <v>283</v>
      </c>
      <c r="F759" s="165">
        <v>17357.7</v>
      </c>
      <c r="G759" s="165"/>
      <c r="H759" s="159" t="s">
        <v>14</v>
      </c>
      <c r="I759" s="166" t="s">
        <v>15</v>
      </c>
      <c r="J759" s="166"/>
      <c r="K759" s="162" t="s">
        <v>8</v>
      </c>
      <c r="L759" s="163">
        <v>475514.29</v>
      </c>
    </row>
    <row r="760" spans="1:12" ht="51" hidden="1" x14ac:dyDescent="0.3">
      <c r="A760" s="157" t="s">
        <v>74</v>
      </c>
      <c r="B760" s="158" t="s">
        <v>1452</v>
      </c>
      <c r="C760" s="158" t="s">
        <v>1456</v>
      </c>
      <c r="D760" s="158" t="s">
        <v>1445</v>
      </c>
      <c r="E760" s="159" t="s">
        <v>283</v>
      </c>
      <c r="F760" s="165">
        <v>9860.2199999999993</v>
      </c>
      <c r="G760" s="165"/>
      <c r="H760" s="159" t="s">
        <v>14</v>
      </c>
      <c r="I760" s="166" t="s">
        <v>15</v>
      </c>
      <c r="J760" s="166"/>
      <c r="K760" s="162" t="s">
        <v>8</v>
      </c>
      <c r="L760" s="163">
        <v>485374.51</v>
      </c>
    </row>
    <row r="761" spans="1:12" ht="51" hidden="1" x14ac:dyDescent="0.3">
      <c r="A761" s="157" t="s">
        <v>74</v>
      </c>
      <c r="B761" s="158" t="s">
        <v>1452</v>
      </c>
      <c r="C761" s="158" t="s">
        <v>1457</v>
      </c>
      <c r="D761" s="158" t="s">
        <v>1445</v>
      </c>
      <c r="E761" s="159" t="s">
        <v>283</v>
      </c>
      <c r="F761" s="165">
        <v>3848.25</v>
      </c>
      <c r="G761" s="165"/>
      <c r="H761" s="159" t="s">
        <v>14</v>
      </c>
      <c r="I761" s="166" t="s">
        <v>15</v>
      </c>
      <c r="J761" s="166"/>
      <c r="K761" s="162" t="s">
        <v>8</v>
      </c>
      <c r="L761" s="163">
        <v>489222.76</v>
      </c>
    </row>
    <row r="762" spans="1:12" ht="51" hidden="1" x14ac:dyDescent="0.3">
      <c r="A762" s="157" t="s">
        <v>74</v>
      </c>
      <c r="B762" s="158" t="s">
        <v>1452</v>
      </c>
      <c r="C762" s="158" t="s">
        <v>1458</v>
      </c>
      <c r="D762" s="158" t="s">
        <v>1445</v>
      </c>
      <c r="E762" s="159" t="s">
        <v>283</v>
      </c>
      <c r="F762" s="165">
        <v>18479.099999999999</v>
      </c>
      <c r="G762" s="165"/>
      <c r="H762" s="159" t="s">
        <v>14</v>
      </c>
      <c r="I762" s="166" t="s">
        <v>15</v>
      </c>
      <c r="J762" s="166"/>
      <c r="K762" s="162" t="s">
        <v>8</v>
      </c>
      <c r="L762" s="163">
        <v>507701.86</v>
      </c>
    </row>
    <row r="763" spans="1:12" ht="81.599999999999994" hidden="1" x14ac:dyDescent="0.3">
      <c r="A763" s="157" t="s">
        <v>89</v>
      </c>
      <c r="B763" s="158" t="s">
        <v>1459</v>
      </c>
      <c r="C763" s="158" t="s">
        <v>1460</v>
      </c>
      <c r="D763" s="158" t="s">
        <v>1461</v>
      </c>
      <c r="E763" s="159" t="s">
        <v>283</v>
      </c>
      <c r="F763" s="165">
        <v>389780.3</v>
      </c>
      <c r="G763" s="165"/>
      <c r="H763" s="159" t="s">
        <v>14</v>
      </c>
      <c r="I763" s="166" t="s">
        <v>15</v>
      </c>
      <c r="J763" s="166"/>
      <c r="K763" s="162" t="s">
        <v>8</v>
      </c>
      <c r="L763" s="163">
        <v>2242950.36</v>
      </c>
    </row>
    <row r="764" spans="1:12" ht="71.400000000000006" hidden="1" x14ac:dyDescent="0.3">
      <c r="A764" s="157" t="s">
        <v>89</v>
      </c>
      <c r="B764" s="158" t="s">
        <v>1459</v>
      </c>
      <c r="C764" s="158" t="s">
        <v>1462</v>
      </c>
      <c r="D764" s="158" t="s">
        <v>1461</v>
      </c>
      <c r="E764" s="159" t="s">
        <v>283</v>
      </c>
      <c r="F764" s="165">
        <v>3850</v>
      </c>
      <c r="G764" s="165"/>
      <c r="H764" s="159" t="s">
        <v>14</v>
      </c>
      <c r="I764" s="166" t="s">
        <v>15</v>
      </c>
      <c r="J764" s="166"/>
      <c r="K764" s="162" t="s">
        <v>8</v>
      </c>
      <c r="L764" s="163">
        <v>2246800.36</v>
      </c>
    </row>
    <row r="765" spans="1:12" ht="71.400000000000006" hidden="1" x14ac:dyDescent="0.3">
      <c r="A765" s="157" t="s">
        <v>89</v>
      </c>
      <c r="B765" s="158" t="s">
        <v>1459</v>
      </c>
      <c r="C765" s="158" t="s">
        <v>1463</v>
      </c>
      <c r="D765" s="158" t="s">
        <v>1461</v>
      </c>
      <c r="E765" s="159" t="s">
        <v>283</v>
      </c>
      <c r="F765" s="165">
        <v>2250</v>
      </c>
      <c r="G765" s="165"/>
      <c r="H765" s="159" t="s">
        <v>14</v>
      </c>
      <c r="I765" s="166" t="s">
        <v>15</v>
      </c>
      <c r="J765" s="166"/>
      <c r="K765" s="162" t="s">
        <v>8</v>
      </c>
      <c r="L765" s="163">
        <v>2249050.36</v>
      </c>
    </row>
    <row r="766" spans="1:12" ht="81.599999999999994" hidden="1" x14ac:dyDescent="0.3">
      <c r="A766" s="157" t="s">
        <v>89</v>
      </c>
      <c r="B766" s="158" t="s">
        <v>1464</v>
      </c>
      <c r="C766" s="158" t="s">
        <v>1465</v>
      </c>
      <c r="D766" s="158" t="s">
        <v>1461</v>
      </c>
      <c r="E766" s="159" t="s">
        <v>283</v>
      </c>
      <c r="F766" s="165">
        <v>5938.36</v>
      </c>
      <c r="G766" s="165"/>
      <c r="H766" s="159" t="s">
        <v>14</v>
      </c>
      <c r="I766" s="166" t="s">
        <v>15</v>
      </c>
      <c r="J766" s="166"/>
      <c r="K766" s="162" t="s">
        <v>8</v>
      </c>
      <c r="L766" s="163">
        <v>2254988.7200000002</v>
      </c>
    </row>
    <row r="767" spans="1:12" ht="81.599999999999994" hidden="1" x14ac:dyDescent="0.3">
      <c r="A767" s="157" t="s">
        <v>89</v>
      </c>
      <c r="B767" s="158" t="s">
        <v>1459</v>
      </c>
      <c r="C767" s="158" t="s">
        <v>1465</v>
      </c>
      <c r="D767" s="158" t="s">
        <v>1461</v>
      </c>
      <c r="E767" s="159" t="s">
        <v>283</v>
      </c>
      <c r="F767" s="167">
        <v>886.64</v>
      </c>
      <c r="G767" s="167"/>
      <c r="H767" s="159" t="s">
        <v>14</v>
      </c>
      <c r="I767" s="166" t="s">
        <v>15</v>
      </c>
      <c r="J767" s="166"/>
      <c r="K767" s="162" t="s">
        <v>8</v>
      </c>
      <c r="L767" s="163">
        <v>2255875.36</v>
      </c>
    </row>
    <row r="768" spans="1:12" ht="61.2" hidden="1" x14ac:dyDescent="0.3">
      <c r="A768" s="157" t="s">
        <v>89</v>
      </c>
      <c r="B768" s="158" t="s">
        <v>1464</v>
      </c>
      <c r="C768" s="158" t="s">
        <v>1466</v>
      </c>
      <c r="D768" s="158" t="s">
        <v>1461</v>
      </c>
      <c r="E768" s="159" t="s">
        <v>283</v>
      </c>
      <c r="F768" s="165">
        <v>1860</v>
      </c>
      <c r="G768" s="165"/>
      <c r="H768" s="159" t="s">
        <v>14</v>
      </c>
      <c r="I768" s="166" t="s">
        <v>15</v>
      </c>
      <c r="J768" s="166"/>
      <c r="K768" s="162" t="s">
        <v>8</v>
      </c>
      <c r="L768" s="163">
        <v>2257735.36</v>
      </c>
    </row>
    <row r="769" spans="1:12" ht="71.400000000000006" hidden="1" x14ac:dyDescent="0.3">
      <c r="A769" s="157" t="s">
        <v>89</v>
      </c>
      <c r="B769" s="158" t="s">
        <v>1464</v>
      </c>
      <c r="C769" s="158" t="s">
        <v>1467</v>
      </c>
      <c r="D769" s="158" t="s">
        <v>1461</v>
      </c>
      <c r="E769" s="159" t="s">
        <v>283</v>
      </c>
      <c r="F769" s="165">
        <v>21504</v>
      </c>
      <c r="G769" s="165"/>
      <c r="H769" s="159" t="s">
        <v>14</v>
      </c>
      <c r="I769" s="166" t="s">
        <v>15</v>
      </c>
      <c r="J769" s="166"/>
      <c r="K769" s="162" t="s">
        <v>8</v>
      </c>
      <c r="L769" s="163">
        <v>2279239.36</v>
      </c>
    </row>
    <row r="770" spans="1:12" ht="71.400000000000006" hidden="1" x14ac:dyDescent="0.3">
      <c r="A770" s="157" t="s">
        <v>89</v>
      </c>
      <c r="B770" s="158" t="s">
        <v>1464</v>
      </c>
      <c r="C770" s="158" t="s">
        <v>1468</v>
      </c>
      <c r="D770" s="158" t="s">
        <v>1461</v>
      </c>
      <c r="E770" s="159" t="s">
        <v>283</v>
      </c>
      <c r="F770" s="165">
        <v>1750</v>
      </c>
      <c r="G770" s="165"/>
      <c r="H770" s="159" t="s">
        <v>14</v>
      </c>
      <c r="I770" s="166" t="s">
        <v>15</v>
      </c>
      <c r="J770" s="166"/>
      <c r="K770" s="162" t="s">
        <v>8</v>
      </c>
      <c r="L770" s="163">
        <v>2280989.36</v>
      </c>
    </row>
    <row r="771" spans="1:12" ht="61.2" hidden="1" x14ac:dyDescent="0.3">
      <c r="A771" s="157" t="s">
        <v>89</v>
      </c>
      <c r="B771" s="158" t="s">
        <v>1469</v>
      </c>
      <c r="C771" s="158" t="s">
        <v>1470</v>
      </c>
      <c r="D771" s="158" t="s">
        <v>1471</v>
      </c>
      <c r="E771" s="159" t="s">
        <v>283</v>
      </c>
      <c r="F771" s="165">
        <v>1261.4000000000001</v>
      </c>
      <c r="G771" s="165"/>
      <c r="H771" s="159" t="s">
        <v>14</v>
      </c>
      <c r="I771" s="166" t="s">
        <v>15</v>
      </c>
      <c r="J771" s="166"/>
      <c r="K771" s="162" t="s">
        <v>8</v>
      </c>
      <c r="L771" s="163">
        <v>11201.97</v>
      </c>
    </row>
    <row r="772" spans="1:12" ht="61.2" hidden="1" x14ac:dyDescent="0.3">
      <c r="A772" s="157" t="s">
        <v>89</v>
      </c>
      <c r="B772" s="158" t="s">
        <v>1469</v>
      </c>
      <c r="C772" s="158" t="s">
        <v>1472</v>
      </c>
      <c r="D772" s="158" t="s">
        <v>1471</v>
      </c>
      <c r="E772" s="159" t="s">
        <v>283</v>
      </c>
      <c r="F772" s="167">
        <v>178.4</v>
      </c>
      <c r="G772" s="167"/>
      <c r="H772" s="159" t="s">
        <v>14</v>
      </c>
      <c r="I772" s="166" t="s">
        <v>15</v>
      </c>
      <c r="J772" s="166"/>
      <c r="K772" s="162" t="s">
        <v>8</v>
      </c>
      <c r="L772" s="163">
        <v>11380.37</v>
      </c>
    </row>
    <row r="773" spans="1:12" ht="61.2" hidden="1" x14ac:dyDescent="0.3">
      <c r="A773" s="157" t="s">
        <v>89</v>
      </c>
      <c r="B773" s="158" t="s">
        <v>1469</v>
      </c>
      <c r="C773" s="158" t="s">
        <v>1473</v>
      </c>
      <c r="D773" s="158" t="s">
        <v>1471</v>
      </c>
      <c r="E773" s="159" t="s">
        <v>283</v>
      </c>
      <c r="F773" s="165">
        <v>3678.48</v>
      </c>
      <c r="G773" s="165"/>
      <c r="H773" s="159" t="s">
        <v>14</v>
      </c>
      <c r="I773" s="166" t="s">
        <v>15</v>
      </c>
      <c r="J773" s="166"/>
      <c r="K773" s="162" t="s">
        <v>8</v>
      </c>
      <c r="L773" s="163">
        <v>15058.85</v>
      </c>
    </row>
    <row r="774" spans="1:12" ht="61.2" hidden="1" x14ac:dyDescent="0.3">
      <c r="A774" s="157" t="s">
        <v>89</v>
      </c>
      <c r="B774" s="158" t="s">
        <v>1469</v>
      </c>
      <c r="C774" s="158" t="s">
        <v>1474</v>
      </c>
      <c r="D774" s="158" t="s">
        <v>1471</v>
      </c>
      <c r="E774" s="159" t="s">
        <v>283</v>
      </c>
      <c r="F774" s="165">
        <v>6453.28</v>
      </c>
      <c r="G774" s="165"/>
      <c r="H774" s="159" t="s">
        <v>14</v>
      </c>
      <c r="I774" s="166" t="s">
        <v>15</v>
      </c>
      <c r="J774" s="166"/>
      <c r="K774" s="162" t="s">
        <v>8</v>
      </c>
      <c r="L774" s="163">
        <v>21512.13</v>
      </c>
    </row>
    <row r="775" spans="1:12" ht="61.2" hidden="1" x14ac:dyDescent="0.3">
      <c r="A775" s="157" t="s">
        <v>89</v>
      </c>
      <c r="B775" s="158" t="s">
        <v>1469</v>
      </c>
      <c r="C775" s="158" t="s">
        <v>1475</v>
      </c>
      <c r="D775" s="158" t="s">
        <v>1471</v>
      </c>
      <c r="E775" s="159" t="s">
        <v>283</v>
      </c>
      <c r="F775" s="167">
        <v>437.12</v>
      </c>
      <c r="G775" s="167"/>
      <c r="H775" s="159" t="s">
        <v>14</v>
      </c>
      <c r="I775" s="166" t="s">
        <v>15</v>
      </c>
      <c r="J775" s="166"/>
      <c r="K775" s="162" t="s">
        <v>8</v>
      </c>
      <c r="L775" s="163">
        <v>21949.25</v>
      </c>
    </row>
    <row r="776" spans="1:12" ht="61.2" hidden="1" x14ac:dyDescent="0.3">
      <c r="A776" s="157" t="s">
        <v>89</v>
      </c>
      <c r="B776" s="158" t="s">
        <v>1469</v>
      </c>
      <c r="C776" s="158" t="s">
        <v>1476</v>
      </c>
      <c r="D776" s="158" t="s">
        <v>1471</v>
      </c>
      <c r="E776" s="159" t="s">
        <v>283</v>
      </c>
      <c r="F776" s="167">
        <v>422.4</v>
      </c>
      <c r="G776" s="167"/>
      <c r="H776" s="159" t="s">
        <v>14</v>
      </c>
      <c r="I776" s="166" t="s">
        <v>15</v>
      </c>
      <c r="J776" s="166"/>
      <c r="K776" s="162" t="s">
        <v>8</v>
      </c>
      <c r="L776" s="163">
        <v>22371.65</v>
      </c>
    </row>
    <row r="777" spans="1:12" ht="61.2" hidden="1" x14ac:dyDescent="0.3">
      <c r="A777" s="157" t="s">
        <v>89</v>
      </c>
      <c r="B777" s="158" t="s">
        <v>1469</v>
      </c>
      <c r="C777" s="158" t="s">
        <v>1477</v>
      </c>
      <c r="D777" s="158" t="s">
        <v>1471</v>
      </c>
      <c r="E777" s="159" t="s">
        <v>283</v>
      </c>
      <c r="F777" s="165">
        <v>2764.8</v>
      </c>
      <c r="G777" s="165"/>
      <c r="H777" s="159" t="s">
        <v>14</v>
      </c>
      <c r="I777" s="166" t="s">
        <v>15</v>
      </c>
      <c r="J777" s="166"/>
      <c r="K777" s="162" t="s">
        <v>8</v>
      </c>
      <c r="L777" s="163">
        <v>25136.45</v>
      </c>
    </row>
    <row r="778" spans="1:12" ht="61.2" hidden="1" x14ac:dyDescent="0.3">
      <c r="A778" s="157" t="s">
        <v>89</v>
      </c>
      <c r="B778" s="158" t="s">
        <v>1469</v>
      </c>
      <c r="C778" s="158" t="s">
        <v>1478</v>
      </c>
      <c r="D778" s="158" t="s">
        <v>1471</v>
      </c>
      <c r="E778" s="159" t="s">
        <v>283</v>
      </c>
      <c r="F778" s="167">
        <v>837.76</v>
      </c>
      <c r="G778" s="167"/>
      <c r="H778" s="159" t="s">
        <v>14</v>
      </c>
      <c r="I778" s="166" t="s">
        <v>15</v>
      </c>
      <c r="J778" s="166"/>
      <c r="K778" s="162" t="s">
        <v>8</v>
      </c>
      <c r="L778" s="163">
        <v>25974.21</v>
      </c>
    </row>
    <row r="779" spans="1:12" ht="61.2" hidden="1" x14ac:dyDescent="0.3">
      <c r="A779" s="157" t="s">
        <v>89</v>
      </c>
      <c r="B779" s="158" t="s">
        <v>1469</v>
      </c>
      <c r="C779" s="158" t="s">
        <v>1479</v>
      </c>
      <c r="D779" s="158" t="s">
        <v>1471</v>
      </c>
      <c r="E779" s="159" t="s">
        <v>283</v>
      </c>
      <c r="F779" s="167">
        <v>70.400000000000006</v>
      </c>
      <c r="G779" s="167"/>
      <c r="H779" s="159" t="s">
        <v>14</v>
      </c>
      <c r="I779" s="166" t="s">
        <v>15</v>
      </c>
      <c r="J779" s="166"/>
      <c r="K779" s="162" t="s">
        <v>8</v>
      </c>
      <c r="L779" s="163">
        <v>26044.61</v>
      </c>
    </row>
    <row r="780" spans="1:12" ht="61.2" hidden="1" x14ac:dyDescent="0.3">
      <c r="A780" s="157" t="s">
        <v>89</v>
      </c>
      <c r="B780" s="158" t="s">
        <v>1469</v>
      </c>
      <c r="C780" s="158" t="s">
        <v>1480</v>
      </c>
      <c r="D780" s="158" t="s">
        <v>1471</v>
      </c>
      <c r="E780" s="159" t="s">
        <v>283</v>
      </c>
      <c r="F780" s="165">
        <v>4279.28</v>
      </c>
      <c r="G780" s="165"/>
      <c r="H780" s="159" t="s">
        <v>14</v>
      </c>
      <c r="I780" s="166" t="s">
        <v>15</v>
      </c>
      <c r="J780" s="166"/>
      <c r="K780" s="162" t="s">
        <v>8</v>
      </c>
      <c r="L780" s="163">
        <v>30323.89</v>
      </c>
    </row>
    <row r="781" spans="1:12" ht="61.2" hidden="1" x14ac:dyDescent="0.3">
      <c r="A781" s="157" t="s">
        <v>89</v>
      </c>
      <c r="B781" s="158" t="s">
        <v>1469</v>
      </c>
      <c r="C781" s="158" t="s">
        <v>1481</v>
      </c>
      <c r="D781" s="158" t="s">
        <v>1471</v>
      </c>
      <c r="E781" s="159" t="s">
        <v>283</v>
      </c>
      <c r="F781" s="165">
        <v>1645.28</v>
      </c>
      <c r="G781" s="165"/>
      <c r="H781" s="159" t="s">
        <v>14</v>
      </c>
      <c r="I781" s="166" t="s">
        <v>15</v>
      </c>
      <c r="J781" s="166"/>
      <c r="K781" s="162" t="s">
        <v>8</v>
      </c>
      <c r="L781" s="163">
        <v>31969.17</v>
      </c>
    </row>
    <row r="782" spans="1:12" ht="61.2" hidden="1" x14ac:dyDescent="0.3">
      <c r="A782" s="157" t="s">
        <v>89</v>
      </c>
      <c r="B782" s="158" t="s">
        <v>1469</v>
      </c>
      <c r="C782" s="158" t="s">
        <v>1482</v>
      </c>
      <c r="D782" s="158" t="s">
        <v>1471</v>
      </c>
      <c r="E782" s="159" t="s">
        <v>283</v>
      </c>
      <c r="F782" s="167">
        <v>340.34</v>
      </c>
      <c r="G782" s="167"/>
      <c r="H782" s="159" t="s">
        <v>14</v>
      </c>
      <c r="I782" s="166" t="s">
        <v>15</v>
      </c>
      <c r="J782" s="166"/>
      <c r="K782" s="162" t="s">
        <v>8</v>
      </c>
      <c r="L782" s="163">
        <v>32309.51</v>
      </c>
    </row>
    <row r="783" spans="1:12" ht="61.2" hidden="1" x14ac:dyDescent="0.3">
      <c r="A783" s="157" t="s">
        <v>89</v>
      </c>
      <c r="B783" s="158" t="s">
        <v>1469</v>
      </c>
      <c r="C783" s="158" t="s">
        <v>1483</v>
      </c>
      <c r="D783" s="158" t="s">
        <v>1471</v>
      </c>
      <c r="E783" s="159" t="s">
        <v>283</v>
      </c>
      <c r="F783" s="167">
        <v>22.4</v>
      </c>
      <c r="G783" s="167"/>
      <c r="H783" s="159" t="s">
        <v>14</v>
      </c>
      <c r="I783" s="166" t="s">
        <v>15</v>
      </c>
      <c r="J783" s="166"/>
      <c r="K783" s="162" t="s">
        <v>8</v>
      </c>
      <c r="L783" s="163">
        <v>32331.91</v>
      </c>
    </row>
    <row r="784" spans="1:12" ht="61.2" hidden="1" x14ac:dyDescent="0.3">
      <c r="A784" s="157" t="s">
        <v>89</v>
      </c>
      <c r="B784" s="158" t="s">
        <v>1469</v>
      </c>
      <c r="C784" s="158" t="s">
        <v>1484</v>
      </c>
      <c r="D784" s="158" t="s">
        <v>1471</v>
      </c>
      <c r="E784" s="159" t="s">
        <v>283</v>
      </c>
      <c r="F784" s="165">
        <v>1091.3599999999999</v>
      </c>
      <c r="G784" s="165"/>
      <c r="H784" s="159" t="s">
        <v>14</v>
      </c>
      <c r="I784" s="166" t="s">
        <v>15</v>
      </c>
      <c r="J784" s="166"/>
      <c r="K784" s="162" t="s">
        <v>8</v>
      </c>
      <c r="L784" s="163">
        <v>33423.269999999997</v>
      </c>
    </row>
    <row r="785" spans="1:12" ht="61.2" hidden="1" x14ac:dyDescent="0.3">
      <c r="A785" s="157" t="s">
        <v>89</v>
      </c>
      <c r="B785" s="158" t="s">
        <v>1469</v>
      </c>
      <c r="C785" s="158" t="s">
        <v>1485</v>
      </c>
      <c r="D785" s="158" t="s">
        <v>1471</v>
      </c>
      <c r="E785" s="159" t="s">
        <v>283</v>
      </c>
      <c r="F785" s="167">
        <v>220.48</v>
      </c>
      <c r="G785" s="167"/>
      <c r="H785" s="159" t="s">
        <v>14</v>
      </c>
      <c r="I785" s="166" t="s">
        <v>15</v>
      </c>
      <c r="J785" s="166"/>
      <c r="K785" s="162" t="s">
        <v>8</v>
      </c>
      <c r="L785" s="163">
        <v>33643.75</v>
      </c>
    </row>
    <row r="786" spans="1:12" ht="61.2" hidden="1" x14ac:dyDescent="0.3">
      <c r="A786" s="157" t="s">
        <v>89</v>
      </c>
      <c r="B786" s="158" t="s">
        <v>1486</v>
      </c>
      <c r="C786" s="158" t="s">
        <v>1487</v>
      </c>
      <c r="D786" s="158" t="s">
        <v>1488</v>
      </c>
      <c r="E786" s="159" t="s">
        <v>283</v>
      </c>
      <c r="F786" s="165">
        <v>2610.48</v>
      </c>
      <c r="G786" s="165"/>
      <c r="H786" s="159" t="s">
        <v>14</v>
      </c>
      <c r="I786" s="166" t="s">
        <v>15</v>
      </c>
      <c r="J786" s="166"/>
      <c r="K786" s="162" t="s">
        <v>8</v>
      </c>
      <c r="L786" s="163">
        <v>69584.89</v>
      </c>
    </row>
    <row r="787" spans="1:12" ht="61.2" hidden="1" x14ac:dyDescent="0.3">
      <c r="A787" s="157" t="s">
        <v>89</v>
      </c>
      <c r="B787" s="158" t="s">
        <v>1486</v>
      </c>
      <c r="C787" s="158" t="s">
        <v>1489</v>
      </c>
      <c r="D787" s="158" t="s">
        <v>1488</v>
      </c>
      <c r="E787" s="159" t="s">
        <v>283</v>
      </c>
      <c r="F787" s="165">
        <v>2842.8</v>
      </c>
      <c r="G787" s="165"/>
      <c r="H787" s="159" t="s">
        <v>14</v>
      </c>
      <c r="I787" s="166" t="s">
        <v>15</v>
      </c>
      <c r="J787" s="166"/>
      <c r="K787" s="162" t="s">
        <v>8</v>
      </c>
      <c r="L787" s="163">
        <v>72427.69</v>
      </c>
    </row>
    <row r="788" spans="1:12" ht="61.2" hidden="1" x14ac:dyDescent="0.3">
      <c r="A788" s="157" t="s">
        <v>89</v>
      </c>
      <c r="B788" s="158" t="s">
        <v>1486</v>
      </c>
      <c r="C788" s="158" t="s">
        <v>1490</v>
      </c>
      <c r="D788" s="158" t="s">
        <v>1488</v>
      </c>
      <c r="E788" s="159" t="s">
        <v>283</v>
      </c>
      <c r="F788" s="165">
        <v>5533.2</v>
      </c>
      <c r="G788" s="165"/>
      <c r="H788" s="159" t="s">
        <v>14</v>
      </c>
      <c r="I788" s="166" t="s">
        <v>15</v>
      </c>
      <c r="J788" s="166"/>
      <c r="K788" s="162" t="s">
        <v>8</v>
      </c>
      <c r="L788" s="163">
        <v>77960.89</v>
      </c>
    </row>
    <row r="789" spans="1:12" ht="61.2" hidden="1" x14ac:dyDescent="0.3">
      <c r="A789" s="157" t="s">
        <v>89</v>
      </c>
      <c r="B789" s="158" t="s">
        <v>1491</v>
      </c>
      <c r="C789" s="158" t="s">
        <v>1492</v>
      </c>
      <c r="D789" s="158" t="s">
        <v>1488</v>
      </c>
      <c r="E789" s="159" t="s">
        <v>283</v>
      </c>
      <c r="F789" s="165">
        <v>3089.24</v>
      </c>
      <c r="G789" s="165"/>
      <c r="H789" s="159" t="s">
        <v>14</v>
      </c>
      <c r="I789" s="166" t="s">
        <v>15</v>
      </c>
      <c r="J789" s="166"/>
      <c r="K789" s="162" t="s">
        <v>8</v>
      </c>
      <c r="L789" s="163">
        <v>81050.13</v>
      </c>
    </row>
    <row r="790" spans="1:12" ht="61.2" hidden="1" x14ac:dyDescent="0.3">
      <c r="A790" s="157" t="s">
        <v>89</v>
      </c>
      <c r="B790" s="158" t="s">
        <v>1486</v>
      </c>
      <c r="C790" s="158" t="s">
        <v>1492</v>
      </c>
      <c r="D790" s="158" t="s">
        <v>1488</v>
      </c>
      <c r="E790" s="159" t="s">
        <v>283</v>
      </c>
      <c r="F790" s="165">
        <v>8222.76</v>
      </c>
      <c r="G790" s="165"/>
      <c r="H790" s="159" t="s">
        <v>14</v>
      </c>
      <c r="I790" s="166" t="s">
        <v>15</v>
      </c>
      <c r="J790" s="166"/>
      <c r="K790" s="162" t="s">
        <v>8</v>
      </c>
      <c r="L790" s="163">
        <v>89272.89</v>
      </c>
    </row>
    <row r="791" spans="1:12" ht="51" hidden="1" x14ac:dyDescent="0.3">
      <c r="A791" s="157" t="s">
        <v>89</v>
      </c>
      <c r="B791" s="158" t="s">
        <v>1493</v>
      </c>
      <c r="C791" s="158" t="s">
        <v>1494</v>
      </c>
      <c r="D791" s="158" t="s">
        <v>1495</v>
      </c>
      <c r="E791" s="159" t="s">
        <v>283</v>
      </c>
      <c r="F791" s="165">
        <v>13398.6</v>
      </c>
      <c r="G791" s="165"/>
      <c r="H791" s="159" t="s">
        <v>14</v>
      </c>
      <c r="I791" s="166" t="s">
        <v>15</v>
      </c>
      <c r="J791" s="166"/>
      <c r="K791" s="162" t="s">
        <v>8</v>
      </c>
      <c r="L791" s="163">
        <v>471074.53</v>
      </c>
    </row>
    <row r="792" spans="1:12" ht="51" hidden="1" x14ac:dyDescent="0.3">
      <c r="A792" s="157" t="s">
        <v>89</v>
      </c>
      <c r="B792" s="158" t="s">
        <v>1496</v>
      </c>
      <c r="C792" s="158" t="s">
        <v>1497</v>
      </c>
      <c r="D792" s="158" t="s">
        <v>1498</v>
      </c>
      <c r="E792" s="159" t="s">
        <v>283</v>
      </c>
      <c r="F792" s="167">
        <v>379.8</v>
      </c>
      <c r="G792" s="167"/>
      <c r="H792" s="159" t="s">
        <v>14</v>
      </c>
      <c r="I792" s="166" t="s">
        <v>15</v>
      </c>
      <c r="J792" s="166"/>
      <c r="K792" s="162" t="s">
        <v>8</v>
      </c>
      <c r="L792" s="163">
        <v>2305515.1</v>
      </c>
    </row>
    <row r="793" spans="1:12" ht="51" hidden="1" x14ac:dyDescent="0.3">
      <c r="A793" s="157" t="s">
        <v>89</v>
      </c>
      <c r="B793" s="158" t="s">
        <v>1496</v>
      </c>
      <c r="C793" s="158" t="s">
        <v>1499</v>
      </c>
      <c r="D793" s="158" t="s">
        <v>1498</v>
      </c>
      <c r="E793" s="159" t="s">
        <v>283</v>
      </c>
      <c r="F793" s="167">
        <v>927</v>
      </c>
      <c r="G793" s="167"/>
      <c r="H793" s="159" t="s">
        <v>14</v>
      </c>
      <c r="I793" s="166" t="s">
        <v>15</v>
      </c>
      <c r="J793" s="166"/>
      <c r="K793" s="162" t="s">
        <v>8</v>
      </c>
      <c r="L793" s="163">
        <v>2306442.1</v>
      </c>
    </row>
    <row r="794" spans="1:12" ht="51" hidden="1" x14ac:dyDescent="0.3">
      <c r="A794" s="157" t="s">
        <v>89</v>
      </c>
      <c r="B794" s="158" t="s">
        <v>1500</v>
      </c>
      <c r="C794" s="158" t="s">
        <v>1501</v>
      </c>
      <c r="D794" s="158" t="s">
        <v>1502</v>
      </c>
      <c r="E794" s="159" t="s">
        <v>283</v>
      </c>
      <c r="F794" s="165">
        <v>8672.25</v>
      </c>
      <c r="G794" s="165"/>
      <c r="H794" s="159" t="s">
        <v>14</v>
      </c>
      <c r="I794" s="166" t="s">
        <v>15</v>
      </c>
      <c r="J794" s="166"/>
      <c r="K794" s="162" t="s">
        <v>8</v>
      </c>
      <c r="L794" s="163">
        <v>194964.96</v>
      </c>
    </row>
    <row r="795" spans="1:12" ht="51" hidden="1" x14ac:dyDescent="0.3">
      <c r="A795" s="157" t="s">
        <v>89</v>
      </c>
      <c r="B795" s="158" t="s">
        <v>1503</v>
      </c>
      <c r="C795" s="158" t="s">
        <v>1504</v>
      </c>
      <c r="D795" s="158" t="s">
        <v>907</v>
      </c>
      <c r="E795" s="159" t="s">
        <v>283</v>
      </c>
      <c r="F795" s="165">
        <v>16744</v>
      </c>
      <c r="G795" s="165"/>
      <c r="H795" s="159" t="s">
        <v>14</v>
      </c>
      <c r="I795" s="166" t="s">
        <v>15</v>
      </c>
      <c r="J795" s="166"/>
      <c r="K795" s="162" t="s">
        <v>8</v>
      </c>
      <c r="L795" s="163">
        <v>2323186.1</v>
      </c>
    </row>
    <row r="796" spans="1:12" ht="51" hidden="1" x14ac:dyDescent="0.3">
      <c r="A796" s="157" t="s">
        <v>89</v>
      </c>
      <c r="B796" s="158" t="s">
        <v>1505</v>
      </c>
      <c r="C796" s="158" t="s">
        <v>1501</v>
      </c>
      <c r="D796" s="158" t="s">
        <v>1502</v>
      </c>
      <c r="E796" s="159" t="s">
        <v>283</v>
      </c>
      <c r="F796" s="165">
        <v>7770.83</v>
      </c>
      <c r="G796" s="165"/>
      <c r="H796" s="159" t="s">
        <v>14</v>
      </c>
      <c r="I796" s="166" t="s">
        <v>15</v>
      </c>
      <c r="J796" s="166"/>
      <c r="K796" s="162" t="s">
        <v>8</v>
      </c>
      <c r="L796" s="163">
        <v>202735.79</v>
      </c>
    </row>
    <row r="797" spans="1:12" ht="51" hidden="1" x14ac:dyDescent="0.3">
      <c r="A797" s="157" t="s">
        <v>99</v>
      </c>
      <c r="B797" s="158" t="s">
        <v>679</v>
      </c>
      <c r="C797" s="158" t="s">
        <v>680</v>
      </c>
      <c r="D797" s="158" t="s">
        <v>681</v>
      </c>
      <c r="E797" s="159" t="s">
        <v>682</v>
      </c>
      <c r="F797" s="160" t="s">
        <v>15</v>
      </c>
      <c r="G797" s="160"/>
      <c r="H797" s="159" t="s">
        <v>283</v>
      </c>
      <c r="I797" s="161">
        <v>1052.3399999999999</v>
      </c>
      <c r="J797" s="161"/>
      <c r="K797" s="162" t="s">
        <v>8</v>
      </c>
      <c r="L797" s="163">
        <v>2526961.91</v>
      </c>
    </row>
    <row r="798" spans="1:12" ht="51" hidden="1" x14ac:dyDescent="0.3">
      <c r="A798" s="157" t="s">
        <v>99</v>
      </c>
      <c r="B798" s="158" t="s">
        <v>679</v>
      </c>
      <c r="C798" s="158" t="s">
        <v>680</v>
      </c>
      <c r="D798" s="158" t="s">
        <v>683</v>
      </c>
      <c r="E798" s="159" t="s">
        <v>682</v>
      </c>
      <c r="F798" s="160" t="s">
        <v>15</v>
      </c>
      <c r="G798" s="160"/>
      <c r="H798" s="159" t="s">
        <v>283</v>
      </c>
      <c r="I798" s="161">
        <v>50290</v>
      </c>
      <c r="J798" s="161"/>
      <c r="K798" s="162" t="s">
        <v>8</v>
      </c>
      <c r="L798" s="163">
        <v>2476671.91</v>
      </c>
    </row>
    <row r="799" spans="1:12" ht="51" hidden="1" x14ac:dyDescent="0.3">
      <c r="A799" s="157" t="s">
        <v>99</v>
      </c>
      <c r="B799" s="158" t="s">
        <v>679</v>
      </c>
      <c r="C799" s="158" t="s">
        <v>680</v>
      </c>
      <c r="D799" s="158" t="s">
        <v>684</v>
      </c>
      <c r="E799" s="159" t="s">
        <v>682</v>
      </c>
      <c r="F799" s="160" t="s">
        <v>15</v>
      </c>
      <c r="G799" s="160"/>
      <c r="H799" s="159" t="s">
        <v>283</v>
      </c>
      <c r="I799" s="161">
        <v>30179.43</v>
      </c>
      <c r="J799" s="161"/>
      <c r="K799" s="162" t="s">
        <v>8</v>
      </c>
      <c r="L799" s="163">
        <v>2446492.48</v>
      </c>
    </row>
    <row r="800" spans="1:12" ht="51" hidden="1" x14ac:dyDescent="0.3">
      <c r="A800" s="157" t="s">
        <v>99</v>
      </c>
      <c r="B800" s="158" t="s">
        <v>679</v>
      </c>
      <c r="C800" s="158" t="s">
        <v>685</v>
      </c>
      <c r="D800" s="158" t="s">
        <v>686</v>
      </c>
      <c r="E800" s="159" t="s">
        <v>682</v>
      </c>
      <c r="F800" s="160" t="s">
        <v>15</v>
      </c>
      <c r="G800" s="160"/>
      <c r="H800" s="159" t="s">
        <v>283</v>
      </c>
      <c r="I800" s="161">
        <v>27930</v>
      </c>
      <c r="J800" s="161"/>
      <c r="K800" s="162" t="s">
        <v>8</v>
      </c>
      <c r="L800" s="163">
        <v>2418562.48</v>
      </c>
    </row>
    <row r="801" spans="1:12" ht="51" hidden="1" x14ac:dyDescent="0.3">
      <c r="A801" s="157" t="s">
        <v>99</v>
      </c>
      <c r="B801" s="158" t="s">
        <v>679</v>
      </c>
      <c r="C801" s="158" t="s">
        <v>687</v>
      </c>
      <c r="D801" s="158" t="s">
        <v>688</v>
      </c>
      <c r="E801" s="159" t="s">
        <v>682</v>
      </c>
      <c r="F801" s="160" t="s">
        <v>15</v>
      </c>
      <c r="G801" s="160"/>
      <c r="H801" s="159" t="s">
        <v>283</v>
      </c>
      <c r="I801" s="161">
        <v>31341.29</v>
      </c>
      <c r="J801" s="161"/>
      <c r="K801" s="162" t="s">
        <v>8</v>
      </c>
      <c r="L801" s="163">
        <v>2387221.19</v>
      </c>
    </row>
    <row r="802" spans="1:12" ht="51" hidden="1" x14ac:dyDescent="0.3">
      <c r="A802" s="157" t="s">
        <v>99</v>
      </c>
      <c r="B802" s="158" t="s">
        <v>679</v>
      </c>
      <c r="C802" s="158" t="s">
        <v>689</v>
      </c>
      <c r="D802" s="158" t="s">
        <v>690</v>
      </c>
      <c r="E802" s="159" t="s">
        <v>682</v>
      </c>
      <c r="F802" s="160" t="s">
        <v>15</v>
      </c>
      <c r="G802" s="160"/>
      <c r="H802" s="159" t="s">
        <v>283</v>
      </c>
      <c r="I802" s="161">
        <v>12899.25</v>
      </c>
      <c r="J802" s="161"/>
      <c r="K802" s="162" t="s">
        <v>8</v>
      </c>
      <c r="L802" s="163">
        <v>2374321.94</v>
      </c>
    </row>
    <row r="803" spans="1:12" ht="51" hidden="1" x14ac:dyDescent="0.3">
      <c r="A803" s="157" t="s">
        <v>99</v>
      </c>
      <c r="B803" s="158" t="s">
        <v>679</v>
      </c>
      <c r="C803" s="158" t="s">
        <v>689</v>
      </c>
      <c r="D803" s="158" t="s">
        <v>691</v>
      </c>
      <c r="E803" s="159" t="s">
        <v>682</v>
      </c>
      <c r="F803" s="160" t="s">
        <v>15</v>
      </c>
      <c r="G803" s="160"/>
      <c r="H803" s="159" t="s">
        <v>283</v>
      </c>
      <c r="I803" s="161">
        <v>9627.11</v>
      </c>
      <c r="J803" s="161"/>
      <c r="K803" s="162" t="s">
        <v>8</v>
      </c>
      <c r="L803" s="163">
        <v>2364694.83</v>
      </c>
    </row>
    <row r="804" spans="1:12" ht="51" hidden="1" x14ac:dyDescent="0.3">
      <c r="A804" s="157" t="s">
        <v>99</v>
      </c>
      <c r="B804" s="158" t="s">
        <v>679</v>
      </c>
      <c r="C804" s="158" t="s">
        <v>692</v>
      </c>
      <c r="D804" s="158" t="s">
        <v>693</v>
      </c>
      <c r="E804" s="159" t="s">
        <v>682</v>
      </c>
      <c r="F804" s="160" t="s">
        <v>15</v>
      </c>
      <c r="G804" s="160"/>
      <c r="H804" s="159" t="s">
        <v>283</v>
      </c>
      <c r="I804" s="164">
        <v>196.58</v>
      </c>
      <c r="J804" s="164"/>
      <c r="K804" s="162" t="s">
        <v>8</v>
      </c>
      <c r="L804" s="163">
        <v>2364498.25</v>
      </c>
    </row>
    <row r="805" spans="1:12" ht="51" hidden="1" x14ac:dyDescent="0.3">
      <c r="A805" s="157" t="s">
        <v>99</v>
      </c>
      <c r="B805" s="158" t="s">
        <v>679</v>
      </c>
      <c r="C805" s="158" t="s">
        <v>694</v>
      </c>
      <c r="D805" s="158" t="s">
        <v>695</v>
      </c>
      <c r="E805" s="159" t="s">
        <v>682</v>
      </c>
      <c r="F805" s="160" t="s">
        <v>15</v>
      </c>
      <c r="G805" s="160"/>
      <c r="H805" s="159" t="s">
        <v>283</v>
      </c>
      <c r="I805" s="161">
        <v>120201.29</v>
      </c>
      <c r="J805" s="161"/>
      <c r="K805" s="162" t="s">
        <v>8</v>
      </c>
      <c r="L805" s="163">
        <v>2244296.96</v>
      </c>
    </row>
    <row r="806" spans="1:12" ht="51" hidden="1" x14ac:dyDescent="0.3">
      <c r="A806" s="157" t="s">
        <v>99</v>
      </c>
      <c r="B806" s="158" t="s">
        <v>679</v>
      </c>
      <c r="C806" s="158" t="s">
        <v>696</v>
      </c>
      <c r="D806" s="158" t="s">
        <v>697</v>
      </c>
      <c r="E806" s="159" t="s">
        <v>682</v>
      </c>
      <c r="F806" s="160" t="s">
        <v>15</v>
      </c>
      <c r="G806" s="160"/>
      <c r="H806" s="159" t="s">
        <v>283</v>
      </c>
      <c r="I806" s="161">
        <v>1988.93</v>
      </c>
      <c r="J806" s="161"/>
      <c r="K806" s="162" t="s">
        <v>8</v>
      </c>
      <c r="L806" s="163">
        <v>2242308.0299999998</v>
      </c>
    </row>
    <row r="807" spans="1:12" ht="51" hidden="1" x14ac:dyDescent="0.3">
      <c r="A807" s="157" t="s">
        <v>99</v>
      </c>
      <c r="B807" s="158" t="s">
        <v>679</v>
      </c>
      <c r="C807" s="158" t="s">
        <v>698</v>
      </c>
      <c r="D807" s="158" t="s">
        <v>699</v>
      </c>
      <c r="E807" s="159" t="s">
        <v>682</v>
      </c>
      <c r="F807" s="160" t="s">
        <v>15</v>
      </c>
      <c r="G807" s="160"/>
      <c r="H807" s="159" t="s">
        <v>283</v>
      </c>
      <c r="I807" s="161">
        <v>18137.12</v>
      </c>
      <c r="J807" s="161"/>
      <c r="K807" s="162" t="s">
        <v>8</v>
      </c>
      <c r="L807" s="163">
        <v>2224170.91</v>
      </c>
    </row>
    <row r="808" spans="1:12" ht="51" hidden="1" x14ac:dyDescent="0.3">
      <c r="A808" s="157" t="s">
        <v>99</v>
      </c>
      <c r="B808" s="158" t="s">
        <v>679</v>
      </c>
      <c r="C808" s="158" t="s">
        <v>698</v>
      </c>
      <c r="D808" s="158" t="s">
        <v>700</v>
      </c>
      <c r="E808" s="159" t="s">
        <v>682</v>
      </c>
      <c r="F808" s="160" t="s">
        <v>15</v>
      </c>
      <c r="G808" s="160"/>
      <c r="H808" s="159" t="s">
        <v>283</v>
      </c>
      <c r="I808" s="161">
        <v>20408.57</v>
      </c>
      <c r="J808" s="161"/>
      <c r="K808" s="162" t="s">
        <v>8</v>
      </c>
      <c r="L808" s="163">
        <v>2203762.34</v>
      </c>
    </row>
    <row r="809" spans="1:12" ht="51" hidden="1" x14ac:dyDescent="0.3">
      <c r="A809" s="157" t="s">
        <v>99</v>
      </c>
      <c r="B809" s="158" t="s">
        <v>679</v>
      </c>
      <c r="C809" s="158" t="s">
        <v>698</v>
      </c>
      <c r="D809" s="158" t="s">
        <v>701</v>
      </c>
      <c r="E809" s="159" t="s">
        <v>682</v>
      </c>
      <c r="F809" s="160" t="s">
        <v>15</v>
      </c>
      <c r="G809" s="160"/>
      <c r="H809" s="159" t="s">
        <v>283</v>
      </c>
      <c r="I809" s="161">
        <v>6683.06</v>
      </c>
      <c r="J809" s="161"/>
      <c r="K809" s="162" t="s">
        <v>8</v>
      </c>
      <c r="L809" s="163">
        <v>2197079.2799999998</v>
      </c>
    </row>
    <row r="810" spans="1:12" ht="61.2" hidden="1" x14ac:dyDescent="0.3">
      <c r="A810" s="157" t="s">
        <v>99</v>
      </c>
      <c r="B810" s="158" t="s">
        <v>679</v>
      </c>
      <c r="C810" s="158" t="s">
        <v>702</v>
      </c>
      <c r="D810" s="158" t="s">
        <v>703</v>
      </c>
      <c r="E810" s="159" t="s">
        <v>682</v>
      </c>
      <c r="F810" s="160" t="s">
        <v>15</v>
      </c>
      <c r="G810" s="160"/>
      <c r="H810" s="159" t="s">
        <v>283</v>
      </c>
      <c r="I810" s="161">
        <v>27235.85</v>
      </c>
      <c r="J810" s="161"/>
      <c r="K810" s="162" t="s">
        <v>8</v>
      </c>
      <c r="L810" s="163">
        <v>2169843.4300000002</v>
      </c>
    </row>
    <row r="811" spans="1:12" ht="51" hidden="1" x14ac:dyDescent="0.3">
      <c r="A811" s="157" t="s">
        <v>99</v>
      </c>
      <c r="B811" s="158" t="s">
        <v>679</v>
      </c>
      <c r="C811" s="158" t="s">
        <v>704</v>
      </c>
      <c r="D811" s="158" t="s">
        <v>705</v>
      </c>
      <c r="E811" s="159" t="s">
        <v>682</v>
      </c>
      <c r="F811" s="160" t="s">
        <v>15</v>
      </c>
      <c r="G811" s="160"/>
      <c r="H811" s="159" t="s">
        <v>283</v>
      </c>
      <c r="I811" s="161">
        <v>15480</v>
      </c>
      <c r="J811" s="161"/>
      <c r="K811" s="162" t="s">
        <v>8</v>
      </c>
      <c r="L811" s="163">
        <v>2154363.4300000002</v>
      </c>
    </row>
    <row r="812" spans="1:12" ht="51" hidden="1" x14ac:dyDescent="0.3">
      <c r="A812" s="157" t="s">
        <v>99</v>
      </c>
      <c r="B812" s="158" t="s">
        <v>679</v>
      </c>
      <c r="C812" s="158" t="s">
        <v>706</v>
      </c>
      <c r="D812" s="158" t="s">
        <v>707</v>
      </c>
      <c r="E812" s="159" t="s">
        <v>682</v>
      </c>
      <c r="F812" s="160" t="s">
        <v>15</v>
      </c>
      <c r="G812" s="160"/>
      <c r="H812" s="159" t="s">
        <v>283</v>
      </c>
      <c r="I812" s="164">
        <v>444.32</v>
      </c>
      <c r="J812" s="164"/>
      <c r="K812" s="162" t="s">
        <v>8</v>
      </c>
      <c r="L812" s="163">
        <v>2153919.11</v>
      </c>
    </row>
    <row r="813" spans="1:12" ht="51" hidden="1" x14ac:dyDescent="0.3">
      <c r="A813" s="157" t="s">
        <v>99</v>
      </c>
      <c r="B813" s="158" t="s">
        <v>679</v>
      </c>
      <c r="C813" s="158" t="s">
        <v>706</v>
      </c>
      <c r="D813" s="158" t="s">
        <v>708</v>
      </c>
      <c r="E813" s="159" t="s">
        <v>682</v>
      </c>
      <c r="F813" s="160" t="s">
        <v>15</v>
      </c>
      <c r="G813" s="160"/>
      <c r="H813" s="159" t="s">
        <v>283</v>
      </c>
      <c r="I813" s="161">
        <v>3790.95</v>
      </c>
      <c r="J813" s="161"/>
      <c r="K813" s="162" t="s">
        <v>8</v>
      </c>
      <c r="L813" s="163">
        <v>2150128.16</v>
      </c>
    </row>
    <row r="814" spans="1:12" ht="51" hidden="1" x14ac:dyDescent="0.3">
      <c r="A814" s="157" t="s">
        <v>99</v>
      </c>
      <c r="B814" s="158" t="s">
        <v>1506</v>
      </c>
      <c r="C814" s="158" t="s">
        <v>1507</v>
      </c>
      <c r="D814" s="158" t="s">
        <v>1508</v>
      </c>
      <c r="E814" s="159" t="s">
        <v>283</v>
      </c>
      <c r="F814" s="165">
        <v>1772.36</v>
      </c>
      <c r="G814" s="165"/>
      <c r="H814" s="159" t="s">
        <v>14</v>
      </c>
      <c r="I814" s="166" t="s">
        <v>15</v>
      </c>
      <c r="J814" s="166"/>
      <c r="K814" s="162" t="s">
        <v>8</v>
      </c>
      <c r="L814" s="163">
        <v>2429323.9300000002</v>
      </c>
    </row>
    <row r="815" spans="1:12" ht="61.2" hidden="1" x14ac:dyDescent="0.3">
      <c r="A815" s="157" t="s">
        <v>99</v>
      </c>
      <c r="B815" s="158" t="s">
        <v>1506</v>
      </c>
      <c r="C815" s="158" t="s">
        <v>1509</v>
      </c>
      <c r="D815" s="158" t="s">
        <v>1508</v>
      </c>
      <c r="E815" s="159" t="s">
        <v>283</v>
      </c>
      <c r="F815" s="167">
        <v>911.15</v>
      </c>
      <c r="G815" s="167"/>
      <c r="H815" s="159" t="s">
        <v>14</v>
      </c>
      <c r="I815" s="166" t="s">
        <v>15</v>
      </c>
      <c r="J815" s="166"/>
      <c r="K815" s="162" t="s">
        <v>8</v>
      </c>
      <c r="L815" s="163">
        <v>2430235.08</v>
      </c>
    </row>
    <row r="816" spans="1:12" ht="61.2" hidden="1" x14ac:dyDescent="0.3">
      <c r="A816" s="157" t="s">
        <v>99</v>
      </c>
      <c r="B816" s="158" t="s">
        <v>1506</v>
      </c>
      <c r="C816" s="158" t="s">
        <v>1510</v>
      </c>
      <c r="D816" s="158" t="s">
        <v>1508</v>
      </c>
      <c r="E816" s="159" t="s">
        <v>283</v>
      </c>
      <c r="F816" s="167">
        <v>766.85</v>
      </c>
      <c r="G816" s="167"/>
      <c r="H816" s="159" t="s">
        <v>14</v>
      </c>
      <c r="I816" s="166" t="s">
        <v>15</v>
      </c>
      <c r="J816" s="166"/>
      <c r="K816" s="162" t="s">
        <v>8</v>
      </c>
      <c r="L816" s="163">
        <v>2431001.9300000002</v>
      </c>
    </row>
    <row r="817" spans="1:12" ht="61.2" hidden="1" x14ac:dyDescent="0.3">
      <c r="A817" s="157" t="s">
        <v>99</v>
      </c>
      <c r="B817" s="158" t="s">
        <v>1506</v>
      </c>
      <c r="C817" s="158" t="s">
        <v>1511</v>
      </c>
      <c r="D817" s="158" t="s">
        <v>1508</v>
      </c>
      <c r="E817" s="159" t="s">
        <v>283</v>
      </c>
      <c r="F817" s="165">
        <v>1112.02</v>
      </c>
      <c r="G817" s="165"/>
      <c r="H817" s="159" t="s">
        <v>14</v>
      </c>
      <c r="I817" s="166" t="s">
        <v>15</v>
      </c>
      <c r="J817" s="166"/>
      <c r="K817" s="162" t="s">
        <v>8</v>
      </c>
      <c r="L817" s="163">
        <v>2432113.9500000002</v>
      </c>
    </row>
    <row r="818" spans="1:12" ht="61.2" hidden="1" x14ac:dyDescent="0.3">
      <c r="A818" s="157" t="s">
        <v>99</v>
      </c>
      <c r="B818" s="158" t="s">
        <v>1512</v>
      </c>
      <c r="C818" s="158" t="s">
        <v>1513</v>
      </c>
      <c r="D818" s="158" t="s">
        <v>1514</v>
      </c>
      <c r="E818" s="159" t="s">
        <v>283</v>
      </c>
      <c r="F818" s="167">
        <v>848.64</v>
      </c>
      <c r="G818" s="167"/>
      <c r="H818" s="159" t="s">
        <v>14</v>
      </c>
      <c r="I818" s="166" t="s">
        <v>15</v>
      </c>
      <c r="J818" s="166"/>
      <c r="K818" s="162" t="s">
        <v>8</v>
      </c>
      <c r="L818" s="163">
        <v>1322135.17</v>
      </c>
    </row>
    <row r="819" spans="1:12" ht="61.2" hidden="1" x14ac:dyDescent="0.3">
      <c r="A819" s="157" t="s">
        <v>99</v>
      </c>
      <c r="B819" s="158" t="s">
        <v>1515</v>
      </c>
      <c r="C819" s="158" t="s">
        <v>1513</v>
      </c>
      <c r="D819" s="158" t="s">
        <v>1514</v>
      </c>
      <c r="E819" s="159" t="s">
        <v>283</v>
      </c>
      <c r="F819" s="165">
        <v>20367.36</v>
      </c>
      <c r="G819" s="165"/>
      <c r="H819" s="159" t="s">
        <v>14</v>
      </c>
      <c r="I819" s="166" t="s">
        <v>15</v>
      </c>
      <c r="J819" s="166"/>
      <c r="K819" s="162" t="s">
        <v>8</v>
      </c>
      <c r="L819" s="163">
        <v>1342502.53</v>
      </c>
    </row>
    <row r="820" spans="1:12" ht="51" hidden="1" x14ac:dyDescent="0.3">
      <c r="A820" s="157" t="s">
        <v>99</v>
      </c>
      <c r="B820" s="158" t="s">
        <v>1516</v>
      </c>
      <c r="C820" s="158" t="s">
        <v>1517</v>
      </c>
      <c r="D820" s="158" t="s">
        <v>1518</v>
      </c>
      <c r="E820" s="159" t="s">
        <v>283</v>
      </c>
      <c r="F820" s="165">
        <v>17960</v>
      </c>
      <c r="G820" s="165"/>
      <c r="H820" s="159" t="s">
        <v>14</v>
      </c>
      <c r="I820" s="166" t="s">
        <v>15</v>
      </c>
      <c r="J820" s="166"/>
      <c r="K820" s="162" t="s">
        <v>8</v>
      </c>
      <c r="L820" s="163">
        <v>220695.79</v>
      </c>
    </row>
    <row r="821" spans="1:12" ht="51" hidden="1" x14ac:dyDescent="0.3">
      <c r="A821" s="157" t="s">
        <v>99</v>
      </c>
      <c r="B821" s="158" t="s">
        <v>1519</v>
      </c>
      <c r="C821" s="158" t="s">
        <v>1517</v>
      </c>
      <c r="D821" s="158" t="s">
        <v>1518</v>
      </c>
      <c r="E821" s="159" t="s">
        <v>283</v>
      </c>
      <c r="F821" s="165">
        <v>7483.33</v>
      </c>
      <c r="G821" s="165"/>
      <c r="H821" s="159" t="s">
        <v>14</v>
      </c>
      <c r="I821" s="166" t="s">
        <v>15</v>
      </c>
      <c r="J821" s="166"/>
      <c r="K821" s="162" t="s">
        <v>8</v>
      </c>
      <c r="L821" s="163">
        <v>228179.12</v>
      </c>
    </row>
    <row r="822" spans="1:12" ht="51" hidden="1" x14ac:dyDescent="0.3">
      <c r="A822" s="157" t="s">
        <v>99</v>
      </c>
      <c r="B822" s="158" t="s">
        <v>709</v>
      </c>
      <c r="C822" s="158" t="s">
        <v>710</v>
      </c>
      <c r="D822" s="158" t="s">
        <v>711</v>
      </c>
      <c r="E822" s="159" t="s">
        <v>682</v>
      </c>
      <c r="F822" s="160" t="s">
        <v>15</v>
      </c>
      <c r="G822" s="160"/>
      <c r="H822" s="159" t="s">
        <v>283</v>
      </c>
      <c r="I822" s="161">
        <v>85368.31</v>
      </c>
      <c r="J822" s="161"/>
      <c r="K822" s="162" t="s">
        <v>8</v>
      </c>
      <c r="L822" s="163">
        <v>2064759.85</v>
      </c>
    </row>
    <row r="823" spans="1:12" ht="51" hidden="1" x14ac:dyDescent="0.3">
      <c r="A823" s="157" t="s">
        <v>99</v>
      </c>
      <c r="B823" s="158" t="s">
        <v>709</v>
      </c>
      <c r="C823" s="158" t="s">
        <v>712</v>
      </c>
      <c r="D823" s="158" t="s">
        <v>693</v>
      </c>
      <c r="E823" s="159" t="s">
        <v>682</v>
      </c>
      <c r="F823" s="160" t="s">
        <v>15</v>
      </c>
      <c r="G823" s="160"/>
      <c r="H823" s="159" t="s">
        <v>283</v>
      </c>
      <c r="I823" s="164">
        <v>56.17</v>
      </c>
      <c r="J823" s="164"/>
      <c r="K823" s="162" t="s">
        <v>8</v>
      </c>
      <c r="L823" s="163">
        <v>2064703.68</v>
      </c>
    </row>
    <row r="824" spans="1:12" ht="51" hidden="1" x14ac:dyDescent="0.3">
      <c r="A824" s="157" t="s">
        <v>99</v>
      </c>
      <c r="B824" s="158" t="s">
        <v>709</v>
      </c>
      <c r="C824" s="158" t="s">
        <v>713</v>
      </c>
      <c r="D824" s="158" t="s">
        <v>714</v>
      </c>
      <c r="E824" s="159" t="s">
        <v>682</v>
      </c>
      <c r="F824" s="160" t="s">
        <v>15</v>
      </c>
      <c r="G824" s="160"/>
      <c r="H824" s="159" t="s">
        <v>283</v>
      </c>
      <c r="I824" s="161">
        <v>10275.07</v>
      </c>
      <c r="J824" s="161"/>
      <c r="K824" s="162" t="s">
        <v>8</v>
      </c>
      <c r="L824" s="163">
        <v>2054428.61</v>
      </c>
    </row>
    <row r="825" spans="1:12" ht="51" hidden="1" x14ac:dyDescent="0.3">
      <c r="A825" s="157" t="s">
        <v>99</v>
      </c>
      <c r="B825" s="158" t="s">
        <v>709</v>
      </c>
      <c r="C825" s="158" t="s">
        <v>715</v>
      </c>
      <c r="D825" s="158" t="s">
        <v>688</v>
      </c>
      <c r="E825" s="159" t="s">
        <v>682</v>
      </c>
      <c r="F825" s="160" t="s">
        <v>15</v>
      </c>
      <c r="G825" s="160"/>
      <c r="H825" s="159" t="s">
        <v>283</v>
      </c>
      <c r="I825" s="161">
        <v>10167.67</v>
      </c>
      <c r="J825" s="161"/>
      <c r="K825" s="162" t="s">
        <v>8</v>
      </c>
      <c r="L825" s="163">
        <v>2044260.94</v>
      </c>
    </row>
    <row r="826" spans="1:12" ht="51" hidden="1" x14ac:dyDescent="0.3">
      <c r="A826" s="157" t="s">
        <v>99</v>
      </c>
      <c r="B826" s="158" t="s">
        <v>709</v>
      </c>
      <c r="C826" s="158" t="s">
        <v>716</v>
      </c>
      <c r="D826" s="158" t="s">
        <v>686</v>
      </c>
      <c r="E826" s="159" t="s">
        <v>682</v>
      </c>
      <c r="F826" s="160" t="s">
        <v>15</v>
      </c>
      <c r="G826" s="160"/>
      <c r="H826" s="159" t="s">
        <v>283</v>
      </c>
      <c r="I826" s="161">
        <v>19790.400000000001</v>
      </c>
      <c r="J826" s="161"/>
      <c r="K826" s="162" t="s">
        <v>8</v>
      </c>
      <c r="L826" s="163">
        <v>2024470.54</v>
      </c>
    </row>
    <row r="827" spans="1:12" ht="51" hidden="1" x14ac:dyDescent="0.3">
      <c r="A827" s="157" t="s">
        <v>99</v>
      </c>
      <c r="B827" s="158" t="s">
        <v>709</v>
      </c>
      <c r="C827" s="158" t="s">
        <v>717</v>
      </c>
      <c r="D827" s="158" t="s">
        <v>718</v>
      </c>
      <c r="E827" s="159" t="s">
        <v>682</v>
      </c>
      <c r="F827" s="160" t="s">
        <v>15</v>
      </c>
      <c r="G827" s="160"/>
      <c r="H827" s="159" t="s">
        <v>283</v>
      </c>
      <c r="I827" s="161">
        <v>67466.03</v>
      </c>
      <c r="J827" s="161"/>
      <c r="K827" s="162" t="s">
        <v>8</v>
      </c>
      <c r="L827" s="163">
        <v>1957004.51</v>
      </c>
    </row>
    <row r="828" spans="1:12" ht="51" hidden="1" x14ac:dyDescent="0.3">
      <c r="A828" s="157" t="s">
        <v>99</v>
      </c>
      <c r="B828" s="158" t="s">
        <v>709</v>
      </c>
      <c r="C828" s="158" t="s">
        <v>719</v>
      </c>
      <c r="D828" s="158" t="s">
        <v>691</v>
      </c>
      <c r="E828" s="159" t="s">
        <v>682</v>
      </c>
      <c r="F828" s="160" t="s">
        <v>15</v>
      </c>
      <c r="G828" s="160"/>
      <c r="H828" s="159" t="s">
        <v>283</v>
      </c>
      <c r="I828" s="161">
        <v>5832.48</v>
      </c>
      <c r="J828" s="161"/>
      <c r="K828" s="162" t="s">
        <v>8</v>
      </c>
      <c r="L828" s="163">
        <v>1951172.03</v>
      </c>
    </row>
    <row r="829" spans="1:12" ht="51" hidden="1" x14ac:dyDescent="0.3">
      <c r="A829" s="157" t="s">
        <v>99</v>
      </c>
      <c r="B829" s="158" t="s">
        <v>709</v>
      </c>
      <c r="C829" s="158" t="s">
        <v>719</v>
      </c>
      <c r="D829" s="158" t="s">
        <v>720</v>
      </c>
      <c r="E829" s="159" t="s">
        <v>682</v>
      </c>
      <c r="F829" s="160" t="s">
        <v>15</v>
      </c>
      <c r="G829" s="160"/>
      <c r="H829" s="159" t="s">
        <v>283</v>
      </c>
      <c r="I829" s="161">
        <v>70080.39</v>
      </c>
      <c r="J829" s="161"/>
      <c r="K829" s="162" t="s">
        <v>8</v>
      </c>
      <c r="L829" s="163">
        <v>1881091.64</v>
      </c>
    </row>
    <row r="830" spans="1:12" ht="51" hidden="1" x14ac:dyDescent="0.3">
      <c r="A830" s="157" t="s">
        <v>99</v>
      </c>
      <c r="B830" s="158" t="s">
        <v>709</v>
      </c>
      <c r="C830" s="158" t="s">
        <v>721</v>
      </c>
      <c r="D830" s="158" t="s">
        <v>705</v>
      </c>
      <c r="E830" s="159" t="s">
        <v>682</v>
      </c>
      <c r="F830" s="160" t="s">
        <v>15</v>
      </c>
      <c r="G830" s="160"/>
      <c r="H830" s="159" t="s">
        <v>283</v>
      </c>
      <c r="I830" s="161">
        <v>62808.67</v>
      </c>
      <c r="J830" s="161"/>
      <c r="K830" s="162" t="s">
        <v>8</v>
      </c>
      <c r="L830" s="163">
        <v>1818282.97</v>
      </c>
    </row>
    <row r="831" spans="1:12" ht="51" hidden="1" x14ac:dyDescent="0.3">
      <c r="A831" s="157" t="s">
        <v>99</v>
      </c>
      <c r="B831" s="158" t="s">
        <v>709</v>
      </c>
      <c r="C831" s="158" t="s">
        <v>716</v>
      </c>
      <c r="D831" s="158" t="s">
        <v>686</v>
      </c>
      <c r="E831" s="159" t="s">
        <v>682</v>
      </c>
      <c r="F831" s="160" t="s">
        <v>15</v>
      </c>
      <c r="G831" s="160"/>
      <c r="H831" s="159" t="s">
        <v>283</v>
      </c>
      <c r="I831" s="161">
        <v>2021.6</v>
      </c>
      <c r="J831" s="161"/>
      <c r="K831" s="162" t="s">
        <v>8</v>
      </c>
      <c r="L831" s="163">
        <v>1816261.37</v>
      </c>
    </row>
    <row r="832" spans="1:12" ht="51" hidden="1" x14ac:dyDescent="0.3">
      <c r="A832" s="157" t="s">
        <v>99</v>
      </c>
      <c r="B832" s="158" t="s">
        <v>709</v>
      </c>
      <c r="C832" s="158" t="s">
        <v>722</v>
      </c>
      <c r="D832" s="158" t="s">
        <v>723</v>
      </c>
      <c r="E832" s="159" t="s">
        <v>682</v>
      </c>
      <c r="F832" s="160" t="s">
        <v>15</v>
      </c>
      <c r="G832" s="160"/>
      <c r="H832" s="159" t="s">
        <v>283</v>
      </c>
      <c r="I832" s="161">
        <v>1147.5</v>
      </c>
      <c r="J832" s="161"/>
      <c r="K832" s="162" t="s">
        <v>8</v>
      </c>
      <c r="L832" s="163">
        <v>1815113.87</v>
      </c>
    </row>
    <row r="833" spans="1:12" ht="51" hidden="1" x14ac:dyDescent="0.3">
      <c r="A833" s="157" t="s">
        <v>99</v>
      </c>
      <c r="B833" s="158" t="s">
        <v>709</v>
      </c>
      <c r="C833" s="158" t="s">
        <v>722</v>
      </c>
      <c r="D833" s="158" t="s">
        <v>724</v>
      </c>
      <c r="E833" s="159" t="s">
        <v>682</v>
      </c>
      <c r="F833" s="160" t="s">
        <v>15</v>
      </c>
      <c r="G833" s="160"/>
      <c r="H833" s="159" t="s">
        <v>283</v>
      </c>
      <c r="I833" s="161">
        <v>1389.03</v>
      </c>
      <c r="J833" s="161"/>
      <c r="K833" s="162" t="s">
        <v>8</v>
      </c>
      <c r="L833" s="163">
        <v>1813724.84</v>
      </c>
    </row>
    <row r="834" spans="1:12" ht="51" hidden="1" x14ac:dyDescent="0.3">
      <c r="A834" s="157" t="s">
        <v>99</v>
      </c>
      <c r="B834" s="158" t="s">
        <v>709</v>
      </c>
      <c r="C834" s="158" t="s">
        <v>725</v>
      </c>
      <c r="D834" s="158" t="s">
        <v>701</v>
      </c>
      <c r="E834" s="159" t="s">
        <v>682</v>
      </c>
      <c r="F834" s="160" t="s">
        <v>15</v>
      </c>
      <c r="G834" s="160"/>
      <c r="H834" s="159" t="s">
        <v>283</v>
      </c>
      <c r="I834" s="161">
        <v>84155.92</v>
      </c>
      <c r="J834" s="161"/>
      <c r="K834" s="162" t="s">
        <v>8</v>
      </c>
      <c r="L834" s="163">
        <v>1729568.92</v>
      </c>
    </row>
    <row r="835" spans="1:12" ht="61.2" hidden="1" x14ac:dyDescent="0.3">
      <c r="A835" s="157" t="s">
        <v>99</v>
      </c>
      <c r="B835" s="158" t="s">
        <v>709</v>
      </c>
      <c r="C835" s="158" t="s">
        <v>726</v>
      </c>
      <c r="D835" s="158" t="s">
        <v>703</v>
      </c>
      <c r="E835" s="159" t="s">
        <v>682</v>
      </c>
      <c r="F835" s="160" t="s">
        <v>15</v>
      </c>
      <c r="G835" s="160"/>
      <c r="H835" s="159" t="s">
        <v>283</v>
      </c>
      <c r="I835" s="161">
        <v>69505.64</v>
      </c>
      <c r="J835" s="161"/>
      <c r="K835" s="162" t="s">
        <v>8</v>
      </c>
      <c r="L835" s="163">
        <v>1660063.28</v>
      </c>
    </row>
    <row r="836" spans="1:12" ht="51" hidden="1" x14ac:dyDescent="0.3">
      <c r="A836" s="157" t="s">
        <v>99</v>
      </c>
      <c r="B836" s="158" t="s">
        <v>709</v>
      </c>
      <c r="C836" s="158" t="s">
        <v>727</v>
      </c>
      <c r="D836" s="158" t="s">
        <v>708</v>
      </c>
      <c r="E836" s="159" t="s">
        <v>682</v>
      </c>
      <c r="F836" s="160" t="s">
        <v>15</v>
      </c>
      <c r="G836" s="160"/>
      <c r="H836" s="159" t="s">
        <v>283</v>
      </c>
      <c r="I836" s="161">
        <v>1096.55</v>
      </c>
      <c r="J836" s="161"/>
      <c r="K836" s="162" t="s">
        <v>8</v>
      </c>
      <c r="L836" s="163">
        <v>1658966.73</v>
      </c>
    </row>
    <row r="837" spans="1:12" ht="51" hidden="1" x14ac:dyDescent="0.3">
      <c r="A837" s="157" t="s">
        <v>99</v>
      </c>
      <c r="B837" s="158" t="s">
        <v>709</v>
      </c>
      <c r="C837" s="158" t="s">
        <v>727</v>
      </c>
      <c r="D837" s="158" t="s">
        <v>728</v>
      </c>
      <c r="E837" s="159" t="s">
        <v>682</v>
      </c>
      <c r="F837" s="160" t="s">
        <v>15</v>
      </c>
      <c r="G837" s="160"/>
      <c r="H837" s="159" t="s">
        <v>283</v>
      </c>
      <c r="I837" s="161">
        <v>9480.9699999999993</v>
      </c>
      <c r="J837" s="161"/>
      <c r="K837" s="162" t="s">
        <v>8</v>
      </c>
      <c r="L837" s="163">
        <v>1649485.76</v>
      </c>
    </row>
    <row r="838" spans="1:12" ht="51" hidden="1" x14ac:dyDescent="0.3">
      <c r="A838" s="157" t="s">
        <v>113</v>
      </c>
      <c r="B838" s="158" t="s">
        <v>1520</v>
      </c>
      <c r="C838" s="158" t="s">
        <v>1521</v>
      </c>
      <c r="D838" s="158" t="s">
        <v>1522</v>
      </c>
      <c r="E838" s="159" t="s">
        <v>283</v>
      </c>
      <c r="F838" s="165">
        <v>6327.3</v>
      </c>
      <c r="G838" s="165"/>
      <c r="H838" s="159" t="s">
        <v>14</v>
      </c>
      <c r="I838" s="166" t="s">
        <v>15</v>
      </c>
      <c r="J838" s="166"/>
      <c r="K838" s="162" t="s">
        <v>8</v>
      </c>
      <c r="L838" s="163">
        <v>2329513.4</v>
      </c>
    </row>
    <row r="839" spans="1:12" ht="51" hidden="1" x14ac:dyDescent="0.3">
      <c r="A839" s="157" t="s">
        <v>113</v>
      </c>
      <c r="B839" s="158" t="s">
        <v>1523</v>
      </c>
      <c r="C839" s="158" t="s">
        <v>1521</v>
      </c>
      <c r="D839" s="158" t="s">
        <v>1522</v>
      </c>
      <c r="E839" s="159" t="s">
        <v>283</v>
      </c>
      <c r="F839" s="165">
        <v>151855.20000000001</v>
      </c>
      <c r="G839" s="165"/>
      <c r="H839" s="159" t="s">
        <v>14</v>
      </c>
      <c r="I839" s="166" t="s">
        <v>15</v>
      </c>
      <c r="J839" s="166"/>
      <c r="K839" s="162" t="s">
        <v>8</v>
      </c>
      <c r="L839" s="163">
        <v>2481368.6</v>
      </c>
    </row>
    <row r="840" spans="1:12" ht="61.2" hidden="1" x14ac:dyDescent="0.3">
      <c r="A840" s="157" t="s">
        <v>113</v>
      </c>
      <c r="B840" s="158" t="s">
        <v>1524</v>
      </c>
      <c r="C840" s="158" t="s">
        <v>1525</v>
      </c>
      <c r="D840" s="158" t="s">
        <v>1526</v>
      </c>
      <c r="E840" s="159" t="s">
        <v>283</v>
      </c>
      <c r="F840" s="165">
        <v>2633.4</v>
      </c>
      <c r="G840" s="165"/>
      <c r="H840" s="159" t="s">
        <v>14</v>
      </c>
      <c r="I840" s="166" t="s">
        <v>15</v>
      </c>
      <c r="J840" s="166"/>
      <c r="K840" s="162" t="s">
        <v>8</v>
      </c>
      <c r="L840" s="163">
        <v>5989213.4699999997</v>
      </c>
    </row>
    <row r="841" spans="1:12" ht="51" hidden="1" x14ac:dyDescent="0.3">
      <c r="A841" s="157" t="s">
        <v>113</v>
      </c>
      <c r="B841" s="158" t="s">
        <v>1524</v>
      </c>
      <c r="C841" s="158" t="s">
        <v>1527</v>
      </c>
      <c r="D841" s="158" t="s">
        <v>1526</v>
      </c>
      <c r="E841" s="159" t="s">
        <v>283</v>
      </c>
      <c r="F841" s="167">
        <v>600</v>
      </c>
      <c r="G841" s="167"/>
      <c r="H841" s="159" t="s">
        <v>14</v>
      </c>
      <c r="I841" s="166" t="s">
        <v>15</v>
      </c>
      <c r="J841" s="166"/>
      <c r="K841" s="162" t="s">
        <v>8</v>
      </c>
      <c r="L841" s="163">
        <v>5989813.4699999997</v>
      </c>
    </row>
    <row r="842" spans="1:12" ht="51" hidden="1" x14ac:dyDescent="0.3">
      <c r="A842" s="157" t="s">
        <v>113</v>
      </c>
      <c r="B842" s="158" t="s">
        <v>1524</v>
      </c>
      <c r="C842" s="158" t="s">
        <v>1528</v>
      </c>
      <c r="D842" s="158" t="s">
        <v>1526</v>
      </c>
      <c r="E842" s="159" t="s">
        <v>283</v>
      </c>
      <c r="F842" s="167">
        <v>57.6</v>
      </c>
      <c r="G842" s="167"/>
      <c r="H842" s="159" t="s">
        <v>14</v>
      </c>
      <c r="I842" s="166" t="s">
        <v>15</v>
      </c>
      <c r="J842" s="166"/>
      <c r="K842" s="162" t="s">
        <v>8</v>
      </c>
      <c r="L842" s="163">
        <v>5989871.0700000003</v>
      </c>
    </row>
    <row r="843" spans="1:12" ht="51" hidden="1" x14ac:dyDescent="0.3">
      <c r="A843" s="157" t="s">
        <v>113</v>
      </c>
      <c r="B843" s="158" t="s">
        <v>1529</v>
      </c>
      <c r="C843" s="158" t="s">
        <v>1530</v>
      </c>
      <c r="D843" s="158" t="s">
        <v>1531</v>
      </c>
      <c r="E843" s="159" t="s">
        <v>283</v>
      </c>
      <c r="F843" s="165">
        <v>53340</v>
      </c>
      <c r="G843" s="165"/>
      <c r="H843" s="159" t="s">
        <v>14</v>
      </c>
      <c r="I843" s="166" t="s">
        <v>15</v>
      </c>
      <c r="J843" s="166"/>
      <c r="K843" s="162" t="s">
        <v>8</v>
      </c>
      <c r="L843" s="163">
        <v>281519.12</v>
      </c>
    </row>
    <row r="844" spans="1:12" ht="51" hidden="1" x14ac:dyDescent="0.3">
      <c r="A844" s="157" t="s">
        <v>113</v>
      </c>
      <c r="B844" s="158" t="s">
        <v>1532</v>
      </c>
      <c r="C844" s="158" t="s">
        <v>1533</v>
      </c>
      <c r="D844" s="158" t="s">
        <v>1534</v>
      </c>
      <c r="E844" s="159" t="s">
        <v>283</v>
      </c>
      <c r="F844" s="165">
        <v>14600</v>
      </c>
      <c r="G844" s="165"/>
      <c r="H844" s="159" t="s">
        <v>14</v>
      </c>
      <c r="I844" s="166" t="s">
        <v>15</v>
      </c>
      <c r="J844" s="166"/>
      <c r="K844" s="162" t="s">
        <v>8</v>
      </c>
      <c r="L844" s="163">
        <v>36320.61</v>
      </c>
    </row>
    <row r="845" spans="1:12" ht="51" hidden="1" x14ac:dyDescent="0.3">
      <c r="A845" s="157" t="s">
        <v>113</v>
      </c>
      <c r="B845" s="158" t="s">
        <v>1535</v>
      </c>
      <c r="C845" s="158" t="s">
        <v>1533</v>
      </c>
      <c r="D845" s="158" t="s">
        <v>1536</v>
      </c>
      <c r="E845" s="159" t="s">
        <v>283</v>
      </c>
      <c r="F845" s="165">
        <v>8382.5</v>
      </c>
      <c r="G845" s="165"/>
      <c r="H845" s="159" t="s">
        <v>14</v>
      </c>
      <c r="I845" s="166" t="s">
        <v>15</v>
      </c>
      <c r="J845" s="166"/>
      <c r="K845" s="162" t="s">
        <v>8</v>
      </c>
      <c r="L845" s="163">
        <v>44703.11</v>
      </c>
    </row>
    <row r="846" spans="1:12" ht="51" hidden="1" x14ac:dyDescent="0.3">
      <c r="A846" s="157" t="s">
        <v>113</v>
      </c>
      <c r="B846" s="158" t="s">
        <v>1537</v>
      </c>
      <c r="C846" s="158" t="s">
        <v>1530</v>
      </c>
      <c r="D846" s="158" t="s">
        <v>1531</v>
      </c>
      <c r="E846" s="159" t="s">
        <v>283</v>
      </c>
      <c r="F846" s="165">
        <v>22225</v>
      </c>
      <c r="G846" s="165"/>
      <c r="H846" s="159" t="s">
        <v>14</v>
      </c>
      <c r="I846" s="166" t="s">
        <v>15</v>
      </c>
      <c r="J846" s="166"/>
      <c r="K846" s="162" t="s">
        <v>8</v>
      </c>
      <c r="L846" s="163">
        <v>303744.12</v>
      </c>
    </row>
    <row r="847" spans="1:12" ht="51" hidden="1" x14ac:dyDescent="0.3">
      <c r="A847" s="157" t="s">
        <v>113</v>
      </c>
      <c r="B847" s="158" t="s">
        <v>1538</v>
      </c>
      <c r="C847" s="158" t="s">
        <v>1539</v>
      </c>
      <c r="D847" s="158" t="s">
        <v>1445</v>
      </c>
      <c r="E847" s="159" t="s">
        <v>283</v>
      </c>
      <c r="F847" s="165">
        <v>7955.5</v>
      </c>
      <c r="G847" s="165"/>
      <c r="H847" s="159" t="s">
        <v>14</v>
      </c>
      <c r="I847" s="166" t="s">
        <v>15</v>
      </c>
      <c r="J847" s="166"/>
      <c r="K847" s="162" t="s">
        <v>8</v>
      </c>
      <c r="L847" s="163">
        <v>515657.36</v>
      </c>
    </row>
    <row r="848" spans="1:12" ht="51" hidden="1" x14ac:dyDescent="0.3">
      <c r="A848" s="157" t="s">
        <v>113</v>
      </c>
      <c r="B848" s="158" t="s">
        <v>1538</v>
      </c>
      <c r="C848" s="158" t="s">
        <v>1540</v>
      </c>
      <c r="D848" s="158" t="s">
        <v>1445</v>
      </c>
      <c r="E848" s="159" t="s">
        <v>283</v>
      </c>
      <c r="F848" s="165">
        <v>17968.8</v>
      </c>
      <c r="G848" s="165"/>
      <c r="H848" s="159" t="s">
        <v>14</v>
      </c>
      <c r="I848" s="166" t="s">
        <v>15</v>
      </c>
      <c r="J848" s="166"/>
      <c r="K848" s="162" t="s">
        <v>8</v>
      </c>
      <c r="L848" s="163">
        <v>533626.16</v>
      </c>
    </row>
    <row r="849" spans="1:12" ht="51" hidden="1" x14ac:dyDescent="0.3">
      <c r="A849" s="157" t="s">
        <v>113</v>
      </c>
      <c r="B849" s="158" t="s">
        <v>1538</v>
      </c>
      <c r="C849" s="158" t="s">
        <v>1541</v>
      </c>
      <c r="D849" s="158" t="s">
        <v>1445</v>
      </c>
      <c r="E849" s="159" t="s">
        <v>283</v>
      </c>
      <c r="F849" s="165">
        <v>27864.400000000001</v>
      </c>
      <c r="G849" s="165"/>
      <c r="H849" s="159" t="s">
        <v>14</v>
      </c>
      <c r="I849" s="166" t="s">
        <v>15</v>
      </c>
      <c r="J849" s="166"/>
      <c r="K849" s="162" t="s">
        <v>8</v>
      </c>
      <c r="L849" s="163">
        <v>561490.56000000006</v>
      </c>
    </row>
    <row r="850" spans="1:12" ht="51" hidden="1" x14ac:dyDescent="0.3">
      <c r="A850" s="157" t="s">
        <v>113</v>
      </c>
      <c r="B850" s="158" t="s">
        <v>1542</v>
      </c>
      <c r="C850" s="158" t="s">
        <v>1543</v>
      </c>
      <c r="D850" s="158" t="s">
        <v>1445</v>
      </c>
      <c r="E850" s="159" t="s">
        <v>283</v>
      </c>
      <c r="F850" s="165">
        <v>9670</v>
      </c>
      <c r="G850" s="165"/>
      <c r="H850" s="159" t="s">
        <v>14</v>
      </c>
      <c r="I850" s="166" t="s">
        <v>15</v>
      </c>
      <c r="J850" s="166"/>
      <c r="K850" s="162" t="s">
        <v>8</v>
      </c>
      <c r="L850" s="163">
        <v>571160.56000000006</v>
      </c>
    </row>
    <row r="851" spans="1:12" ht="51" hidden="1" x14ac:dyDescent="0.3">
      <c r="A851" s="157" t="s">
        <v>113</v>
      </c>
      <c r="B851" s="158" t="s">
        <v>1542</v>
      </c>
      <c r="C851" s="158" t="s">
        <v>1544</v>
      </c>
      <c r="D851" s="158" t="s">
        <v>1445</v>
      </c>
      <c r="E851" s="159" t="s">
        <v>283</v>
      </c>
      <c r="F851" s="165">
        <v>13649.12</v>
      </c>
      <c r="G851" s="165"/>
      <c r="H851" s="159" t="s">
        <v>14</v>
      </c>
      <c r="I851" s="166" t="s">
        <v>15</v>
      </c>
      <c r="J851" s="166"/>
      <c r="K851" s="162" t="s">
        <v>8</v>
      </c>
      <c r="L851" s="163">
        <v>584809.68000000005</v>
      </c>
    </row>
    <row r="852" spans="1:12" ht="51" hidden="1" x14ac:dyDescent="0.3">
      <c r="A852" s="157" t="s">
        <v>113</v>
      </c>
      <c r="B852" s="158" t="s">
        <v>1542</v>
      </c>
      <c r="C852" s="158" t="s">
        <v>1545</v>
      </c>
      <c r="D852" s="158" t="s">
        <v>1445</v>
      </c>
      <c r="E852" s="159" t="s">
        <v>283</v>
      </c>
      <c r="F852" s="165">
        <v>15432.6</v>
      </c>
      <c r="G852" s="165"/>
      <c r="H852" s="159" t="s">
        <v>14</v>
      </c>
      <c r="I852" s="166" t="s">
        <v>15</v>
      </c>
      <c r="J852" s="166"/>
      <c r="K852" s="162" t="s">
        <v>8</v>
      </c>
      <c r="L852" s="163">
        <v>600242.28</v>
      </c>
    </row>
    <row r="853" spans="1:12" ht="51" hidden="1" x14ac:dyDescent="0.3">
      <c r="A853" s="157" t="s">
        <v>113</v>
      </c>
      <c r="B853" s="158" t="s">
        <v>1542</v>
      </c>
      <c r="C853" s="158" t="s">
        <v>1546</v>
      </c>
      <c r="D853" s="158" t="s">
        <v>1445</v>
      </c>
      <c r="E853" s="159" t="s">
        <v>283</v>
      </c>
      <c r="F853" s="165">
        <v>15393</v>
      </c>
      <c r="G853" s="165"/>
      <c r="H853" s="159" t="s">
        <v>14</v>
      </c>
      <c r="I853" s="166" t="s">
        <v>15</v>
      </c>
      <c r="J853" s="166"/>
      <c r="K853" s="162" t="s">
        <v>8</v>
      </c>
      <c r="L853" s="163">
        <v>615635.28</v>
      </c>
    </row>
    <row r="854" spans="1:12" ht="51" hidden="1" x14ac:dyDescent="0.3">
      <c r="A854" s="157" t="s">
        <v>113</v>
      </c>
      <c r="B854" s="158" t="s">
        <v>1547</v>
      </c>
      <c r="C854" s="158" t="s">
        <v>1548</v>
      </c>
      <c r="D854" s="158" t="s">
        <v>1445</v>
      </c>
      <c r="E854" s="159" t="s">
        <v>283</v>
      </c>
      <c r="F854" s="165">
        <v>4492.2</v>
      </c>
      <c r="G854" s="165"/>
      <c r="H854" s="159" t="s">
        <v>14</v>
      </c>
      <c r="I854" s="166" t="s">
        <v>15</v>
      </c>
      <c r="J854" s="166"/>
      <c r="K854" s="162" t="s">
        <v>8</v>
      </c>
      <c r="L854" s="163">
        <v>620127.48</v>
      </c>
    </row>
    <row r="855" spans="1:12" ht="51" hidden="1" x14ac:dyDescent="0.3">
      <c r="A855" s="157" t="s">
        <v>113</v>
      </c>
      <c r="B855" s="158" t="s">
        <v>1547</v>
      </c>
      <c r="C855" s="158" t="s">
        <v>1549</v>
      </c>
      <c r="D855" s="158" t="s">
        <v>1445</v>
      </c>
      <c r="E855" s="159" t="s">
        <v>283</v>
      </c>
      <c r="F855" s="165">
        <v>17415.25</v>
      </c>
      <c r="G855" s="165"/>
      <c r="H855" s="159" t="s">
        <v>14</v>
      </c>
      <c r="I855" s="166" t="s">
        <v>15</v>
      </c>
      <c r="J855" s="166"/>
      <c r="K855" s="162" t="s">
        <v>8</v>
      </c>
      <c r="L855" s="163">
        <v>637542.73</v>
      </c>
    </row>
    <row r="856" spans="1:12" ht="51" hidden="1" x14ac:dyDescent="0.3">
      <c r="A856" s="157" t="s">
        <v>113</v>
      </c>
      <c r="B856" s="158" t="s">
        <v>1547</v>
      </c>
      <c r="C856" s="158" t="s">
        <v>1550</v>
      </c>
      <c r="D856" s="158" t="s">
        <v>1445</v>
      </c>
      <c r="E856" s="159" t="s">
        <v>283</v>
      </c>
      <c r="F856" s="165">
        <v>27711</v>
      </c>
      <c r="G856" s="165"/>
      <c r="H856" s="159" t="s">
        <v>14</v>
      </c>
      <c r="I856" s="166" t="s">
        <v>15</v>
      </c>
      <c r="J856" s="166"/>
      <c r="K856" s="162" t="s">
        <v>8</v>
      </c>
      <c r="L856" s="163">
        <v>665253.73</v>
      </c>
    </row>
    <row r="857" spans="1:12" ht="51" hidden="1" x14ac:dyDescent="0.3">
      <c r="A857" s="157" t="s">
        <v>113</v>
      </c>
      <c r="B857" s="158" t="s">
        <v>1547</v>
      </c>
      <c r="C857" s="158" t="s">
        <v>1551</v>
      </c>
      <c r="D857" s="158" t="s">
        <v>1445</v>
      </c>
      <c r="E857" s="159" t="s">
        <v>283</v>
      </c>
      <c r="F857" s="165">
        <v>17357.7</v>
      </c>
      <c r="G857" s="165"/>
      <c r="H857" s="159" t="s">
        <v>14</v>
      </c>
      <c r="I857" s="166" t="s">
        <v>15</v>
      </c>
      <c r="J857" s="166"/>
      <c r="K857" s="162" t="s">
        <v>8</v>
      </c>
      <c r="L857" s="163">
        <v>682611.43</v>
      </c>
    </row>
    <row r="858" spans="1:12" ht="51" hidden="1" x14ac:dyDescent="0.3">
      <c r="A858" s="157" t="s">
        <v>113</v>
      </c>
      <c r="B858" s="158" t="s">
        <v>1547</v>
      </c>
      <c r="C858" s="158" t="s">
        <v>1552</v>
      </c>
      <c r="D858" s="158" t="s">
        <v>1445</v>
      </c>
      <c r="E858" s="159" t="s">
        <v>283</v>
      </c>
      <c r="F858" s="165">
        <v>12319.4</v>
      </c>
      <c r="G858" s="165"/>
      <c r="H858" s="159" t="s">
        <v>14</v>
      </c>
      <c r="I858" s="166" t="s">
        <v>15</v>
      </c>
      <c r="J858" s="166"/>
      <c r="K858" s="162" t="s">
        <v>8</v>
      </c>
      <c r="L858" s="163">
        <v>694930.83</v>
      </c>
    </row>
    <row r="859" spans="1:12" ht="61.2" x14ac:dyDescent="0.3">
      <c r="A859" s="157" t="s">
        <v>167</v>
      </c>
      <c r="B859" s="158" t="s">
        <v>1553</v>
      </c>
      <c r="C859" s="158" t="s">
        <v>741</v>
      </c>
      <c r="D859" s="158" t="s">
        <v>1554</v>
      </c>
      <c r="E859" s="159" t="s">
        <v>42</v>
      </c>
      <c r="F859" s="160" t="s">
        <v>15</v>
      </c>
      <c r="G859" s="160"/>
      <c r="H859" s="159" t="s">
        <v>283</v>
      </c>
      <c r="I859" s="164">
        <v>946.82</v>
      </c>
      <c r="J859" s="164"/>
      <c r="K859" s="162" t="s">
        <v>8</v>
      </c>
      <c r="L859" s="163">
        <v>176636.1</v>
      </c>
    </row>
    <row r="860" spans="1:12" ht="61.2" x14ac:dyDescent="0.3">
      <c r="A860" s="157" t="s">
        <v>167</v>
      </c>
      <c r="B860" s="158" t="s">
        <v>1553</v>
      </c>
      <c r="C860" s="158" t="s">
        <v>741</v>
      </c>
      <c r="D860" s="158" t="s">
        <v>1555</v>
      </c>
      <c r="E860" s="159" t="s">
        <v>42</v>
      </c>
      <c r="F860" s="160" t="s">
        <v>15</v>
      </c>
      <c r="G860" s="160"/>
      <c r="H860" s="159" t="s">
        <v>283</v>
      </c>
      <c r="I860" s="161">
        <v>6538.69</v>
      </c>
      <c r="J860" s="161"/>
      <c r="K860" s="162" t="s">
        <v>8</v>
      </c>
      <c r="L860" s="163">
        <v>170097.41</v>
      </c>
    </row>
    <row r="861" spans="1:12" ht="61.2" hidden="1" x14ac:dyDescent="0.3">
      <c r="A861" s="157" t="s">
        <v>167</v>
      </c>
      <c r="B861" s="158" t="s">
        <v>1556</v>
      </c>
      <c r="C861" s="158" t="s">
        <v>1557</v>
      </c>
      <c r="D861" s="158" t="s">
        <v>1558</v>
      </c>
      <c r="E861" s="159" t="s">
        <v>283</v>
      </c>
      <c r="F861" s="167">
        <v>907.73</v>
      </c>
      <c r="G861" s="167"/>
      <c r="H861" s="159" t="s">
        <v>283</v>
      </c>
      <c r="I861" s="166" t="s">
        <v>15</v>
      </c>
      <c r="J861" s="166"/>
      <c r="K861" s="162" t="s">
        <v>8</v>
      </c>
      <c r="L861" s="163">
        <v>304651.84999999998</v>
      </c>
    </row>
    <row r="862" spans="1:12" ht="61.2" hidden="1" x14ac:dyDescent="0.3">
      <c r="A862" s="157" t="s">
        <v>167</v>
      </c>
      <c r="B862" s="158" t="s">
        <v>1556</v>
      </c>
      <c r="C862" s="158" t="s">
        <v>1557</v>
      </c>
      <c r="D862" s="158" t="s">
        <v>1558</v>
      </c>
      <c r="E862" s="159" t="s">
        <v>283</v>
      </c>
      <c r="F862" s="160" t="s">
        <v>15</v>
      </c>
      <c r="G862" s="160"/>
      <c r="H862" s="159" t="s">
        <v>283</v>
      </c>
      <c r="I862" s="164">
        <v>907.73</v>
      </c>
      <c r="J862" s="164"/>
      <c r="K862" s="162" t="s">
        <v>8</v>
      </c>
      <c r="L862" s="163">
        <v>169189.68</v>
      </c>
    </row>
    <row r="863" spans="1:12" ht="51" hidden="1" x14ac:dyDescent="0.3">
      <c r="A863" s="157" t="s">
        <v>167</v>
      </c>
      <c r="B863" s="158" t="s">
        <v>1559</v>
      </c>
      <c r="C863" s="158" t="s">
        <v>1560</v>
      </c>
      <c r="D863" s="158" t="s">
        <v>1561</v>
      </c>
      <c r="E863" s="159" t="s">
        <v>283</v>
      </c>
      <c r="F863" s="160" t="s">
        <v>15</v>
      </c>
      <c r="G863" s="160"/>
      <c r="H863" s="159" t="s">
        <v>283</v>
      </c>
      <c r="I863" s="164">
        <v>72.540000000000006</v>
      </c>
      <c r="J863" s="164"/>
      <c r="K863" s="162" t="s">
        <v>8</v>
      </c>
      <c r="L863" s="163">
        <v>835316.47</v>
      </c>
    </row>
    <row r="864" spans="1:12" ht="51" hidden="1" x14ac:dyDescent="0.3">
      <c r="A864" s="157" t="s">
        <v>167</v>
      </c>
      <c r="B864" s="158" t="s">
        <v>1559</v>
      </c>
      <c r="C864" s="158" t="s">
        <v>1560</v>
      </c>
      <c r="D864" s="158" t="s">
        <v>1561</v>
      </c>
      <c r="E864" s="159" t="s">
        <v>283</v>
      </c>
      <c r="F864" s="167">
        <v>72.540000000000006</v>
      </c>
      <c r="G864" s="167"/>
      <c r="H864" s="159" t="s">
        <v>283</v>
      </c>
      <c r="I864" s="166" t="s">
        <v>15</v>
      </c>
      <c r="J864" s="166"/>
      <c r="K864" s="162" t="s">
        <v>8</v>
      </c>
      <c r="L864" s="163">
        <v>304724.39</v>
      </c>
    </row>
    <row r="865" spans="1:12" ht="61.2" hidden="1" x14ac:dyDescent="0.3">
      <c r="A865" s="157" t="s">
        <v>167</v>
      </c>
      <c r="B865" s="158" t="s">
        <v>1562</v>
      </c>
      <c r="C865" s="158" t="s">
        <v>1563</v>
      </c>
      <c r="D865" s="158" t="s">
        <v>866</v>
      </c>
      <c r="E865" s="159" t="s">
        <v>283</v>
      </c>
      <c r="F865" s="165">
        <v>16181.8</v>
      </c>
      <c r="G865" s="165"/>
      <c r="H865" s="159" t="s">
        <v>283</v>
      </c>
      <c r="I865" s="166" t="s">
        <v>15</v>
      </c>
      <c r="J865" s="166"/>
      <c r="K865" s="162" t="s">
        <v>8</v>
      </c>
      <c r="L865" s="163">
        <v>185371.48</v>
      </c>
    </row>
    <row r="866" spans="1:12" ht="61.2" hidden="1" x14ac:dyDescent="0.3">
      <c r="A866" s="157" t="s">
        <v>167</v>
      </c>
      <c r="B866" s="158" t="s">
        <v>1562</v>
      </c>
      <c r="C866" s="158" t="s">
        <v>1563</v>
      </c>
      <c r="D866" s="158" t="s">
        <v>866</v>
      </c>
      <c r="E866" s="159" t="s">
        <v>283</v>
      </c>
      <c r="F866" s="160" t="s">
        <v>15</v>
      </c>
      <c r="G866" s="160"/>
      <c r="H866" s="159" t="s">
        <v>283</v>
      </c>
      <c r="I866" s="161">
        <v>16181.8</v>
      </c>
      <c r="J866" s="161"/>
      <c r="K866" s="162" t="s">
        <v>8</v>
      </c>
      <c r="L866" s="163">
        <v>253684.99</v>
      </c>
    </row>
    <row r="867" spans="1:12" ht="51" hidden="1" x14ac:dyDescent="0.3">
      <c r="A867" s="157" t="s">
        <v>167</v>
      </c>
      <c r="B867" s="158" t="s">
        <v>1564</v>
      </c>
      <c r="C867" s="158" t="s">
        <v>1565</v>
      </c>
      <c r="D867" s="158" t="s">
        <v>826</v>
      </c>
      <c r="E867" s="159" t="s">
        <v>283</v>
      </c>
      <c r="F867" s="160" t="s">
        <v>15</v>
      </c>
      <c r="G867" s="160"/>
      <c r="H867" s="159" t="s">
        <v>283</v>
      </c>
      <c r="I867" s="164">
        <v>511.99</v>
      </c>
      <c r="J867" s="164"/>
      <c r="K867" s="162" t="s">
        <v>8</v>
      </c>
      <c r="L867" s="163">
        <v>44191.12</v>
      </c>
    </row>
    <row r="868" spans="1:12" ht="51" hidden="1" x14ac:dyDescent="0.3">
      <c r="A868" s="157" t="s">
        <v>167</v>
      </c>
      <c r="B868" s="158" t="s">
        <v>1564</v>
      </c>
      <c r="C868" s="158" t="s">
        <v>1565</v>
      </c>
      <c r="D868" s="158" t="s">
        <v>826</v>
      </c>
      <c r="E868" s="159" t="s">
        <v>283</v>
      </c>
      <c r="F868" s="167">
        <v>511.99</v>
      </c>
      <c r="G868" s="167"/>
      <c r="H868" s="159" t="s">
        <v>283</v>
      </c>
      <c r="I868" s="166" t="s">
        <v>15</v>
      </c>
      <c r="J868" s="166"/>
      <c r="K868" s="162" t="s">
        <v>8</v>
      </c>
      <c r="L868" s="163">
        <v>2481880.59</v>
      </c>
    </row>
    <row r="869" spans="1:12" ht="71.400000000000006" hidden="1" x14ac:dyDescent="0.3">
      <c r="A869" s="157" t="s">
        <v>167</v>
      </c>
      <c r="B869" s="158" t="s">
        <v>1566</v>
      </c>
      <c r="C869" s="158" t="s">
        <v>1567</v>
      </c>
      <c r="D869" s="158" t="s">
        <v>1568</v>
      </c>
      <c r="E869" s="159" t="s">
        <v>283</v>
      </c>
      <c r="F869" s="160" t="s">
        <v>15</v>
      </c>
      <c r="G869" s="160"/>
      <c r="H869" s="159" t="s">
        <v>283</v>
      </c>
      <c r="I869" s="164">
        <v>416.47</v>
      </c>
      <c r="J869" s="164"/>
      <c r="K869" s="162" t="s">
        <v>8</v>
      </c>
      <c r="L869" s="163">
        <v>253268.52</v>
      </c>
    </row>
    <row r="870" spans="1:12" ht="71.400000000000006" hidden="1" x14ac:dyDescent="0.3">
      <c r="A870" s="157" t="s">
        <v>167</v>
      </c>
      <c r="B870" s="158" t="s">
        <v>1566</v>
      </c>
      <c r="C870" s="158" t="s">
        <v>1567</v>
      </c>
      <c r="D870" s="158" t="s">
        <v>1568</v>
      </c>
      <c r="E870" s="159" t="s">
        <v>283</v>
      </c>
      <c r="F870" s="167">
        <v>416.47</v>
      </c>
      <c r="G870" s="167"/>
      <c r="H870" s="159" t="s">
        <v>283</v>
      </c>
      <c r="I870" s="166" t="s">
        <v>15</v>
      </c>
      <c r="J870" s="166"/>
      <c r="K870" s="162" t="s">
        <v>8</v>
      </c>
      <c r="L870" s="163">
        <v>2482297.06</v>
      </c>
    </row>
    <row r="871" spans="1:12" ht="61.2" hidden="1" x14ac:dyDescent="0.3">
      <c r="A871" s="157" t="s">
        <v>167</v>
      </c>
      <c r="B871" s="158" t="s">
        <v>1569</v>
      </c>
      <c r="C871" s="158" t="s">
        <v>1570</v>
      </c>
      <c r="D871" s="158" t="s">
        <v>1571</v>
      </c>
      <c r="E871" s="159" t="s">
        <v>283</v>
      </c>
      <c r="F871" s="160" t="s">
        <v>15</v>
      </c>
      <c r="G871" s="160"/>
      <c r="H871" s="159" t="s">
        <v>283</v>
      </c>
      <c r="I871" s="161">
        <v>1313.2</v>
      </c>
      <c r="J871" s="161"/>
      <c r="K871" s="162" t="s">
        <v>8</v>
      </c>
      <c r="L871" s="163">
        <v>20949.5</v>
      </c>
    </row>
    <row r="872" spans="1:12" ht="61.2" hidden="1" x14ac:dyDescent="0.3">
      <c r="A872" s="157" t="s">
        <v>167</v>
      </c>
      <c r="B872" s="158" t="s">
        <v>1569</v>
      </c>
      <c r="C872" s="158" t="s">
        <v>1570</v>
      </c>
      <c r="D872" s="158" t="s">
        <v>1571</v>
      </c>
      <c r="E872" s="159" t="s">
        <v>283</v>
      </c>
      <c r="F872" s="165">
        <v>1313.2</v>
      </c>
      <c r="G872" s="165"/>
      <c r="H872" s="159" t="s">
        <v>283</v>
      </c>
      <c r="I872" s="166" t="s">
        <v>15</v>
      </c>
      <c r="J872" s="166"/>
      <c r="K872" s="162" t="s">
        <v>8</v>
      </c>
      <c r="L872" s="163">
        <v>2282302.56</v>
      </c>
    </row>
    <row r="873" spans="1:12" ht="61.2" hidden="1" x14ac:dyDescent="0.3">
      <c r="A873" s="157" t="s">
        <v>167</v>
      </c>
      <c r="B873" s="158" t="s">
        <v>1569</v>
      </c>
      <c r="C873" s="158" t="s">
        <v>1570</v>
      </c>
      <c r="D873" s="158" t="s">
        <v>1572</v>
      </c>
      <c r="E873" s="159" t="s">
        <v>283</v>
      </c>
      <c r="F873" s="160" t="s">
        <v>15</v>
      </c>
      <c r="G873" s="160"/>
      <c r="H873" s="159" t="s">
        <v>283</v>
      </c>
      <c r="I873" s="161">
        <v>1969.8</v>
      </c>
      <c r="J873" s="161"/>
      <c r="K873" s="162" t="s">
        <v>8</v>
      </c>
      <c r="L873" s="163">
        <v>18979.7</v>
      </c>
    </row>
    <row r="874" spans="1:12" ht="61.2" hidden="1" x14ac:dyDescent="0.3">
      <c r="A874" s="157" t="s">
        <v>167</v>
      </c>
      <c r="B874" s="158" t="s">
        <v>1569</v>
      </c>
      <c r="C874" s="158" t="s">
        <v>1570</v>
      </c>
      <c r="D874" s="158" t="s">
        <v>1572</v>
      </c>
      <c r="E874" s="159" t="s">
        <v>283</v>
      </c>
      <c r="F874" s="165">
        <v>1969.8</v>
      </c>
      <c r="G874" s="165"/>
      <c r="H874" s="159" t="s">
        <v>283</v>
      </c>
      <c r="I874" s="166" t="s">
        <v>15</v>
      </c>
      <c r="J874" s="166"/>
      <c r="K874" s="162" t="s">
        <v>8</v>
      </c>
      <c r="L874" s="163">
        <v>2284272.36</v>
      </c>
    </row>
    <row r="875" spans="1:12" ht="61.2" hidden="1" x14ac:dyDescent="0.3">
      <c r="A875" s="157" t="s">
        <v>167</v>
      </c>
      <c r="B875" s="158" t="s">
        <v>1569</v>
      </c>
      <c r="C875" s="158" t="s">
        <v>1573</v>
      </c>
      <c r="D875" s="158" t="s">
        <v>1574</v>
      </c>
      <c r="E875" s="159" t="s">
        <v>283</v>
      </c>
      <c r="F875" s="165">
        <v>5666.5</v>
      </c>
      <c r="G875" s="165"/>
      <c r="H875" s="159" t="s">
        <v>283</v>
      </c>
      <c r="I875" s="166" t="s">
        <v>15</v>
      </c>
      <c r="J875" s="166"/>
      <c r="K875" s="162" t="s">
        <v>8</v>
      </c>
      <c r="L875" s="163">
        <v>2289938.86</v>
      </c>
    </row>
    <row r="876" spans="1:12" ht="61.2" hidden="1" x14ac:dyDescent="0.3">
      <c r="A876" s="157" t="s">
        <v>167</v>
      </c>
      <c r="B876" s="158" t="s">
        <v>1569</v>
      </c>
      <c r="C876" s="158" t="s">
        <v>1573</v>
      </c>
      <c r="D876" s="158" t="s">
        <v>1574</v>
      </c>
      <c r="E876" s="159" t="s">
        <v>283</v>
      </c>
      <c r="F876" s="160" t="s">
        <v>15</v>
      </c>
      <c r="G876" s="160"/>
      <c r="H876" s="159" t="s">
        <v>283</v>
      </c>
      <c r="I876" s="161">
        <v>5666.5</v>
      </c>
      <c r="J876" s="161"/>
      <c r="K876" s="162" t="s">
        <v>8</v>
      </c>
      <c r="L876" s="163">
        <v>13313.2</v>
      </c>
    </row>
    <row r="877" spans="1:12" ht="61.2" hidden="1" x14ac:dyDescent="0.3">
      <c r="A877" s="157" t="s">
        <v>167</v>
      </c>
      <c r="B877" s="158" t="s">
        <v>1575</v>
      </c>
      <c r="C877" s="158" t="s">
        <v>1576</v>
      </c>
      <c r="D877" s="158" t="s">
        <v>1577</v>
      </c>
      <c r="E877" s="159" t="s">
        <v>283</v>
      </c>
      <c r="F877" s="160" t="s">
        <v>15</v>
      </c>
      <c r="G877" s="160"/>
      <c r="H877" s="159" t="s">
        <v>283</v>
      </c>
      <c r="I877" s="161">
        <v>17857.97</v>
      </c>
      <c r="J877" s="161"/>
      <c r="K877" s="162" t="s">
        <v>8</v>
      </c>
      <c r="L877" s="163">
        <v>1324644.56</v>
      </c>
    </row>
    <row r="878" spans="1:12" ht="61.2" hidden="1" x14ac:dyDescent="0.3">
      <c r="A878" s="157" t="s">
        <v>167</v>
      </c>
      <c r="B878" s="158" t="s">
        <v>1575</v>
      </c>
      <c r="C878" s="158" t="s">
        <v>1576</v>
      </c>
      <c r="D878" s="158" t="s">
        <v>1577</v>
      </c>
      <c r="E878" s="159" t="s">
        <v>283</v>
      </c>
      <c r="F878" s="165">
        <v>17857.97</v>
      </c>
      <c r="G878" s="165"/>
      <c r="H878" s="159" t="s">
        <v>283</v>
      </c>
      <c r="I878" s="166" t="s">
        <v>15</v>
      </c>
      <c r="J878" s="166"/>
      <c r="K878" s="162" t="s">
        <v>8</v>
      </c>
      <c r="L878" s="163">
        <v>2307796.83</v>
      </c>
    </row>
    <row r="879" spans="1:12" ht="61.2" hidden="1" x14ac:dyDescent="0.3">
      <c r="A879" s="157" t="s">
        <v>167</v>
      </c>
      <c r="B879" s="158" t="s">
        <v>1578</v>
      </c>
      <c r="C879" s="158" t="s">
        <v>1579</v>
      </c>
      <c r="D879" s="158" t="s">
        <v>1364</v>
      </c>
      <c r="E879" s="159" t="s">
        <v>283</v>
      </c>
      <c r="F879" s="165">
        <v>2515</v>
      </c>
      <c r="G879" s="165"/>
      <c r="H879" s="159" t="s">
        <v>283</v>
      </c>
      <c r="I879" s="166" t="s">
        <v>15</v>
      </c>
      <c r="J879" s="166"/>
      <c r="K879" s="162" t="s">
        <v>8</v>
      </c>
      <c r="L879" s="163">
        <v>2466800.5099999998</v>
      </c>
    </row>
    <row r="880" spans="1:12" ht="61.2" hidden="1" x14ac:dyDescent="0.3">
      <c r="A880" s="157" t="s">
        <v>167</v>
      </c>
      <c r="B880" s="158" t="s">
        <v>1578</v>
      </c>
      <c r="C880" s="158" t="s">
        <v>1579</v>
      </c>
      <c r="D880" s="158" t="s">
        <v>1364</v>
      </c>
      <c r="E880" s="159" t="s">
        <v>283</v>
      </c>
      <c r="F880" s="160" t="s">
        <v>15</v>
      </c>
      <c r="G880" s="160"/>
      <c r="H880" s="159" t="s">
        <v>283</v>
      </c>
      <c r="I880" s="161">
        <v>2515</v>
      </c>
      <c r="J880" s="161"/>
      <c r="K880" s="162" t="s">
        <v>8</v>
      </c>
      <c r="L880" s="163">
        <v>2479782.06</v>
      </c>
    </row>
    <row r="881" spans="1:12" ht="61.2" hidden="1" x14ac:dyDescent="0.3">
      <c r="A881" s="157" t="s">
        <v>167</v>
      </c>
      <c r="B881" s="158" t="s">
        <v>1580</v>
      </c>
      <c r="C881" s="158" t="s">
        <v>1581</v>
      </c>
      <c r="D881" s="158" t="s">
        <v>1582</v>
      </c>
      <c r="E881" s="159" t="s">
        <v>283</v>
      </c>
      <c r="F881" s="160" t="s">
        <v>15</v>
      </c>
      <c r="G881" s="160"/>
      <c r="H881" s="159" t="s">
        <v>283</v>
      </c>
      <c r="I881" s="161">
        <v>41660.5</v>
      </c>
      <c r="J881" s="161"/>
      <c r="K881" s="162" t="s">
        <v>8</v>
      </c>
      <c r="L881" s="163">
        <v>2266136.33</v>
      </c>
    </row>
    <row r="882" spans="1:12" ht="61.2" hidden="1" x14ac:dyDescent="0.3">
      <c r="A882" s="157" t="s">
        <v>167</v>
      </c>
      <c r="B882" s="158" t="s">
        <v>1580</v>
      </c>
      <c r="C882" s="158" t="s">
        <v>1581</v>
      </c>
      <c r="D882" s="158" t="s">
        <v>1582</v>
      </c>
      <c r="E882" s="159" t="s">
        <v>283</v>
      </c>
      <c r="F882" s="165">
        <v>41660.5</v>
      </c>
      <c r="G882" s="165"/>
      <c r="H882" s="159" t="s">
        <v>283</v>
      </c>
      <c r="I882" s="166" t="s">
        <v>15</v>
      </c>
      <c r="J882" s="166"/>
      <c r="K882" s="162" t="s">
        <v>8</v>
      </c>
      <c r="L882" s="163">
        <v>294929.02</v>
      </c>
    </row>
    <row r="883" spans="1:12" ht="61.2" hidden="1" x14ac:dyDescent="0.3">
      <c r="A883" s="157" t="s">
        <v>167</v>
      </c>
      <c r="B883" s="158" t="s">
        <v>1583</v>
      </c>
      <c r="C883" s="158" t="s">
        <v>1584</v>
      </c>
      <c r="D883" s="158" t="s">
        <v>1558</v>
      </c>
      <c r="E883" s="159" t="s">
        <v>283</v>
      </c>
      <c r="F883" s="165">
        <v>14199.91</v>
      </c>
      <c r="G883" s="165"/>
      <c r="H883" s="159" t="s">
        <v>283</v>
      </c>
      <c r="I883" s="166" t="s">
        <v>15</v>
      </c>
      <c r="J883" s="166"/>
      <c r="K883" s="162" t="s">
        <v>8</v>
      </c>
      <c r="L883" s="163">
        <v>309128.93</v>
      </c>
    </row>
    <row r="884" spans="1:12" ht="61.2" hidden="1" x14ac:dyDescent="0.3">
      <c r="A884" s="157" t="s">
        <v>167</v>
      </c>
      <c r="B884" s="158" t="s">
        <v>1583</v>
      </c>
      <c r="C884" s="158" t="s">
        <v>1584</v>
      </c>
      <c r="D884" s="158" t="s">
        <v>1558</v>
      </c>
      <c r="E884" s="159" t="s">
        <v>283</v>
      </c>
      <c r="F884" s="160" t="s">
        <v>15</v>
      </c>
      <c r="G884" s="160"/>
      <c r="H884" s="159" t="s">
        <v>283</v>
      </c>
      <c r="I884" s="161">
        <v>14199.91</v>
      </c>
      <c r="J884" s="161"/>
      <c r="K884" s="162" t="s">
        <v>8</v>
      </c>
      <c r="L884" s="163">
        <v>171171.57</v>
      </c>
    </row>
    <row r="885" spans="1:12" ht="61.2" hidden="1" x14ac:dyDescent="0.3">
      <c r="A885" s="157" t="s">
        <v>167</v>
      </c>
      <c r="B885" s="158" t="s">
        <v>1585</v>
      </c>
      <c r="C885" s="158" t="s">
        <v>1586</v>
      </c>
      <c r="D885" s="158" t="s">
        <v>1587</v>
      </c>
      <c r="E885" s="159" t="s">
        <v>283</v>
      </c>
      <c r="F885" s="165">
        <v>30592.62</v>
      </c>
      <c r="G885" s="165"/>
      <c r="H885" s="159" t="s">
        <v>283</v>
      </c>
      <c r="I885" s="166" t="s">
        <v>15</v>
      </c>
      <c r="J885" s="166"/>
      <c r="K885" s="162" t="s">
        <v>8</v>
      </c>
      <c r="L885" s="163">
        <v>2462706.5699999998</v>
      </c>
    </row>
    <row r="886" spans="1:12" ht="61.2" hidden="1" x14ac:dyDescent="0.3">
      <c r="A886" s="157" t="s">
        <v>167</v>
      </c>
      <c r="B886" s="158" t="s">
        <v>1585</v>
      </c>
      <c r="C886" s="158" t="s">
        <v>1586</v>
      </c>
      <c r="D886" s="158" t="s">
        <v>1587</v>
      </c>
      <c r="E886" s="159" t="s">
        <v>283</v>
      </c>
      <c r="F886" s="160" t="s">
        <v>15</v>
      </c>
      <c r="G886" s="160"/>
      <c r="H886" s="159" t="s">
        <v>283</v>
      </c>
      <c r="I886" s="161">
        <v>30592.62</v>
      </c>
      <c r="J886" s="161"/>
      <c r="K886" s="162" t="s">
        <v>8</v>
      </c>
      <c r="L886" s="163">
        <v>2449189.44</v>
      </c>
    </row>
    <row r="887" spans="1:12" ht="51" hidden="1" x14ac:dyDescent="0.3">
      <c r="A887" s="157" t="s">
        <v>167</v>
      </c>
      <c r="B887" s="158" t="s">
        <v>1585</v>
      </c>
      <c r="C887" s="158" t="s">
        <v>1588</v>
      </c>
      <c r="D887" s="158" t="s">
        <v>1589</v>
      </c>
      <c r="E887" s="159" t="s">
        <v>283</v>
      </c>
      <c r="F887" s="160" t="s">
        <v>15</v>
      </c>
      <c r="G887" s="160"/>
      <c r="H887" s="159" t="s">
        <v>283</v>
      </c>
      <c r="I887" s="164">
        <v>795.5</v>
      </c>
      <c r="J887" s="164"/>
      <c r="K887" s="162" t="s">
        <v>8</v>
      </c>
      <c r="L887" s="163">
        <v>2448393.94</v>
      </c>
    </row>
    <row r="888" spans="1:12" ht="51" hidden="1" x14ac:dyDescent="0.3">
      <c r="A888" s="157" t="s">
        <v>167</v>
      </c>
      <c r="B888" s="158" t="s">
        <v>1585</v>
      </c>
      <c r="C888" s="158" t="s">
        <v>1588</v>
      </c>
      <c r="D888" s="158" t="s">
        <v>1589</v>
      </c>
      <c r="E888" s="159" t="s">
        <v>283</v>
      </c>
      <c r="F888" s="167">
        <v>795.5</v>
      </c>
      <c r="G888" s="167"/>
      <c r="H888" s="159" t="s">
        <v>283</v>
      </c>
      <c r="I888" s="166" t="s">
        <v>15</v>
      </c>
      <c r="J888" s="166"/>
      <c r="K888" s="162" t="s">
        <v>8</v>
      </c>
      <c r="L888" s="163">
        <v>2463502.0699999998</v>
      </c>
    </row>
    <row r="889" spans="1:12" ht="61.2" hidden="1" x14ac:dyDescent="0.3">
      <c r="A889" s="157" t="s">
        <v>167</v>
      </c>
      <c r="B889" s="158" t="s">
        <v>1585</v>
      </c>
      <c r="C889" s="158" t="s">
        <v>1590</v>
      </c>
      <c r="D889" s="158" t="s">
        <v>1591</v>
      </c>
      <c r="E889" s="159" t="s">
        <v>283</v>
      </c>
      <c r="F889" s="160" t="s">
        <v>15</v>
      </c>
      <c r="G889" s="160"/>
      <c r="H889" s="159" t="s">
        <v>283</v>
      </c>
      <c r="I889" s="161">
        <v>5232.74</v>
      </c>
      <c r="J889" s="161"/>
      <c r="K889" s="162" t="s">
        <v>8</v>
      </c>
      <c r="L889" s="163">
        <v>2443161.2000000002</v>
      </c>
    </row>
    <row r="890" spans="1:12" ht="61.2" hidden="1" x14ac:dyDescent="0.3">
      <c r="A890" s="157" t="s">
        <v>167</v>
      </c>
      <c r="B890" s="158" t="s">
        <v>1585</v>
      </c>
      <c r="C890" s="158" t="s">
        <v>1590</v>
      </c>
      <c r="D890" s="158" t="s">
        <v>1591</v>
      </c>
      <c r="E890" s="159" t="s">
        <v>283</v>
      </c>
      <c r="F890" s="165">
        <v>5232.74</v>
      </c>
      <c r="G890" s="165"/>
      <c r="H890" s="159" t="s">
        <v>283</v>
      </c>
      <c r="I890" s="166" t="s">
        <v>15</v>
      </c>
      <c r="J890" s="166"/>
      <c r="K890" s="162" t="s">
        <v>8</v>
      </c>
      <c r="L890" s="163">
        <v>2468734.81</v>
      </c>
    </row>
    <row r="891" spans="1:12" ht="51" hidden="1" x14ac:dyDescent="0.3">
      <c r="A891" s="157" t="s">
        <v>167</v>
      </c>
      <c r="B891" s="158" t="s">
        <v>1592</v>
      </c>
      <c r="C891" s="158" t="s">
        <v>1593</v>
      </c>
      <c r="D891" s="158" t="s">
        <v>1589</v>
      </c>
      <c r="E891" s="159" t="s">
        <v>283</v>
      </c>
      <c r="F891" s="160" t="s">
        <v>15</v>
      </c>
      <c r="G891" s="160"/>
      <c r="H891" s="159" t="s">
        <v>283</v>
      </c>
      <c r="I891" s="164">
        <v>441.95</v>
      </c>
      <c r="J891" s="164"/>
      <c r="K891" s="162" t="s">
        <v>8</v>
      </c>
      <c r="L891" s="163">
        <v>2442719.25</v>
      </c>
    </row>
    <row r="892" spans="1:12" ht="51" hidden="1" x14ac:dyDescent="0.3">
      <c r="A892" s="157" t="s">
        <v>167</v>
      </c>
      <c r="B892" s="158" t="s">
        <v>1592</v>
      </c>
      <c r="C892" s="158" t="s">
        <v>1593</v>
      </c>
      <c r="D892" s="158" t="s">
        <v>1589</v>
      </c>
      <c r="E892" s="159" t="s">
        <v>283</v>
      </c>
      <c r="F892" s="167">
        <v>441.95</v>
      </c>
      <c r="G892" s="167"/>
      <c r="H892" s="159" t="s">
        <v>283</v>
      </c>
      <c r="I892" s="166" t="s">
        <v>15</v>
      </c>
      <c r="J892" s="166"/>
      <c r="K892" s="162" t="s">
        <v>8</v>
      </c>
      <c r="L892" s="163">
        <v>2469176.7599999998</v>
      </c>
    </row>
    <row r="893" spans="1:12" ht="51" hidden="1" x14ac:dyDescent="0.3">
      <c r="A893" s="157" t="s">
        <v>167</v>
      </c>
      <c r="B893" s="158" t="s">
        <v>1592</v>
      </c>
      <c r="C893" s="158" t="s">
        <v>1593</v>
      </c>
      <c r="D893" s="158" t="s">
        <v>1589</v>
      </c>
      <c r="E893" s="159" t="s">
        <v>283</v>
      </c>
      <c r="F893" s="160" t="s">
        <v>15</v>
      </c>
      <c r="G893" s="160"/>
      <c r="H893" s="159" t="s">
        <v>283</v>
      </c>
      <c r="I893" s="164">
        <v>210.45</v>
      </c>
      <c r="J893" s="164"/>
      <c r="K893" s="162" t="s">
        <v>8</v>
      </c>
      <c r="L893" s="163">
        <v>2442508.7999999998</v>
      </c>
    </row>
    <row r="894" spans="1:12" ht="51" hidden="1" x14ac:dyDescent="0.3">
      <c r="A894" s="157" t="s">
        <v>167</v>
      </c>
      <c r="B894" s="158" t="s">
        <v>1592</v>
      </c>
      <c r="C894" s="158" t="s">
        <v>1593</v>
      </c>
      <c r="D894" s="158" t="s">
        <v>1589</v>
      </c>
      <c r="E894" s="159" t="s">
        <v>283</v>
      </c>
      <c r="F894" s="167">
        <v>210.45</v>
      </c>
      <c r="G894" s="167"/>
      <c r="H894" s="159" t="s">
        <v>283</v>
      </c>
      <c r="I894" s="166" t="s">
        <v>15</v>
      </c>
      <c r="J894" s="166"/>
      <c r="K894" s="162" t="s">
        <v>8</v>
      </c>
      <c r="L894" s="163">
        <v>2469387.21</v>
      </c>
    </row>
    <row r="895" spans="1:12" ht="51" hidden="1" x14ac:dyDescent="0.3">
      <c r="A895" s="157" t="s">
        <v>167</v>
      </c>
      <c r="B895" s="158" t="s">
        <v>1592</v>
      </c>
      <c r="C895" s="158" t="s">
        <v>1594</v>
      </c>
      <c r="D895" s="158" t="s">
        <v>1595</v>
      </c>
      <c r="E895" s="159" t="s">
        <v>283</v>
      </c>
      <c r="F895" s="160" t="s">
        <v>15</v>
      </c>
      <c r="G895" s="160"/>
      <c r="H895" s="159" t="s">
        <v>283</v>
      </c>
      <c r="I895" s="161">
        <v>1346.4</v>
      </c>
      <c r="J895" s="161"/>
      <c r="K895" s="162" t="s">
        <v>8</v>
      </c>
      <c r="L895" s="163">
        <v>2441162.4</v>
      </c>
    </row>
    <row r="896" spans="1:12" ht="51" hidden="1" x14ac:dyDescent="0.3">
      <c r="A896" s="157" t="s">
        <v>167</v>
      </c>
      <c r="B896" s="158" t="s">
        <v>1592</v>
      </c>
      <c r="C896" s="158" t="s">
        <v>1594</v>
      </c>
      <c r="D896" s="158" t="s">
        <v>1595</v>
      </c>
      <c r="E896" s="159" t="s">
        <v>283</v>
      </c>
      <c r="F896" s="165">
        <v>1346.4</v>
      </c>
      <c r="G896" s="165"/>
      <c r="H896" s="159" t="s">
        <v>283</v>
      </c>
      <c r="I896" s="166" t="s">
        <v>15</v>
      </c>
      <c r="J896" s="166"/>
      <c r="K896" s="162" t="s">
        <v>8</v>
      </c>
      <c r="L896" s="163">
        <v>2470733.61</v>
      </c>
    </row>
    <row r="897" spans="1:12" ht="51" hidden="1" x14ac:dyDescent="0.3">
      <c r="A897" s="157" t="s">
        <v>167</v>
      </c>
      <c r="B897" s="158" t="s">
        <v>1592</v>
      </c>
      <c r="C897" s="158" t="s">
        <v>1596</v>
      </c>
      <c r="D897" s="158" t="s">
        <v>1597</v>
      </c>
      <c r="E897" s="159" t="s">
        <v>283</v>
      </c>
      <c r="F897" s="160" t="s">
        <v>15</v>
      </c>
      <c r="G897" s="160"/>
      <c r="H897" s="159" t="s">
        <v>283</v>
      </c>
      <c r="I897" s="164">
        <v>267.70999999999998</v>
      </c>
      <c r="J897" s="164"/>
      <c r="K897" s="162" t="s">
        <v>8</v>
      </c>
      <c r="L897" s="163">
        <v>2440894.69</v>
      </c>
    </row>
    <row r="898" spans="1:12" ht="51" hidden="1" x14ac:dyDescent="0.3">
      <c r="A898" s="157" t="s">
        <v>167</v>
      </c>
      <c r="B898" s="158" t="s">
        <v>1592</v>
      </c>
      <c r="C898" s="158" t="s">
        <v>1596</v>
      </c>
      <c r="D898" s="158" t="s">
        <v>1597</v>
      </c>
      <c r="E898" s="159" t="s">
        <v>283</v>
      </c>
      <c r="F898" s="167">
        <v>267.70999999999998</v>
      </c>
      <c r="G898" s="167"/>
      <c r="H898" s="159" t="s">
        <v>283</v>
      </c>
      <c r="I898" s="166" t="s">
        <v>15</v>
      </c>
      <c r="J898" s="166"/>
      <c r="K898" s="162" t="s">
        <v>8</v>
      </c>
      <c r="L898" s="163">
        <v>2471001.3199999998</v>
      </c>
    </row>
    <row r="899" spans="1:12" ht="51" hidden="1" x14ac:dyDescent="0.3">
      <c r="A899" s="157" t="s">
        <v>167</v>
      </c>
      <c r="B899" s="158" t="s">
        <v>189</v>
      </c>
      <c r="C899" s="158" t="s">
        <v>1598</v>
      </c>
      <c r="D899" s="158" t="s">
        <v>1398</v>
      </c>
      <c r="E899" s="159" t="s">
        <v>283</v>
      </c>
      <c r="F899" s="160" t="s">
        <v>15</v>
      </c>
      <c r="G899" s="160"/>
      <c r="H899" s="159" t="s">
        <v>283</v>
      </c>
      <c r="I899" s="161">
        <v>9868.11</v>
      </c>
      <c r="J899" s="161"/>
      <c r="K899" s="162" t="s">
        <v>8</v>
      </c>
      <c r="L899" s="163">
        <v>5980002.96</v>
      </c>
    </row>
    <row r="900" spans="1:12" ht="51" hidden="1" x14ac:dyDescent="0.3">
      <c r="A900" s="157" t="s">
        <v>167</v>
      </c>
      <c r="B900" s="158" t="s">
        <v>189</v>
      </c>
      <c r="C900" s="158" t="s">
        <v>1598</v>
      </c>
      <c r="D900" s="158" t="s">
        <v>1398</v>
      </c>
      <c r="E900" s="159" t="s">
        <v>283</v>
      </c>
      <c r="F900" s="165">
        <v>9868.11</v>
      </c>
      <c r="G900" s="165"/>
      <c r="H900" s="159" t="s">
        <v>283</v>
      </c>
      <c r="I900" s="166" t="s">
        <v>15</v>
      </c>
      <c r="J900" s="166"/>
      <c r="K900" s="162" t="s">
        <v>8</v>
      </c>
      <c r="L900" s="163">
        <v>2476668.62</v>
      </c>
    </row>
    <row r="901" spans="1:12" ht="51" hidden="1" x14ac:dyDescent="0.3">
      <c r="A901" s="157" t="s">
        <v>167</v>
      </c>
      <c r="B901" s="158" t="s">
        <v>189</v>
      </c>
      <c r="C901" s="158" t="s">
        <v>1599</v>
      </c>
      <c r="D901" s="158" t="s">
        <v>1399</v>
      </c>
      <c r="E901" s="159" t="s">
        <v>283</v>
      </c>
      <c r="F901" s="160" t="s">
        <v>15</v>
      </c>
      <c r="G901" s="160"/>
      <c r="H901" s="159" t="s">
        <v>283</v>
      </c>
      <c r="I901" s="161">
        <v>86568.75</v>
      </c>
      <c r="J901" s="161"/>
      <c r="K901" s="162" t="s">
        <v>8</v>
      </c>
      <c r="L901" s="163">
        <v>5893434.21</v>
      </c>
    </row>
    <row r="902" spans="1:12" ht="51" hidden="1" x14ac:dyDescent="0.3">
      <c r="A902" s="157" t="s">
        <v>167</v>
      </c>
      <c r="B902" s="158" t="s">
        <v>189</v>
      </c>
      <c r="C902" s="158" t="s">
        <v>1599</v>
      </c>
      <c r="D902" s="158" t="s">
        <v>1399</v>
      </c>
      <c r="E902" s="159" t="s">
        <v>283</v>
      </c>
      <c r="F902" s="165">
        <v>86568.75</v>
      </c>
      <c r="G902" s="165"/>
      <c r="H902" s="159" t="s">
        <v>283</v>
      </c>
      <c r="I902" s="166" t="s">
        <v>15</v>
      </c>
      <c r="J902" s="166"/>
      <c r="K902" s="162" t="s">
        <v>8</v>
      </c>
      <c r="L902" s="163">
        <v>2563237.37</v>
      </c>
    </row>
    <row r="903" spans="1:12" ht="51" hidden="1" x14ac:dyDescent="0.3">
      <c r="A903" s="157" t="s">
        <v>167</v>
      </c>
      <c r="B903" s="158" t="s">
        <v>189</v>
      </c>
      <c r="C903" s="158" t="s">
        <v>1600</v>
      </c>
      <c r="D903" s="158" t="s">
        <v>1601</v>
      </c>
      <c r="E903" s="159" t="s">
        <v>283</v>
      </c>
      <c r="F903" s="160" t="s">
        <v>15</v>
      </c>
      <c r="G903" s="160"/>
      <c r="H903" s="159" t="s">
        <v>283</v>
      </c>
      <c r="I903" s="161">
        <v>73137.440000000002</v>
      </c>
      <c r="J903" s="161"/>
      <c r="K903" s="162" t="s">
        <v>8</v>
      </c>
      <c r="L903" s="163">
        <v>5820296.7699999996</v>
      </c>
    </row>
    <row r="904" spans="1:12" ht="51" hidden="1" x14ac:dyDescent="0.3">
      <c r="A904" s="157" t="s">
        <v>167</v>
      </c>
      <c r="B904" s="158" t="s">
        <v>189</v>
      </c>
      <c r="C904" s="158" t="s">
        <v>1600</v>
      </c>
      <c r="D904" s="158" t="s">
        <v>1601</v>
      </c>
      <c r="E904" s="159" t="s">
        <v>283</v>
      </c>
      <c r="F904" s="165">
        <v>73137.440000000002</v>
      </c>
      <c r="G904" s="165"/>
      <c r="H904" s="159" t="s">
        <v>283</v>
      </c>
      <c r="I904" s="166" t="s">
        <v>15</v>
      </c>
      <c r="J904" s="166"/>
      <c r="K904" s="162" t="s">
        <v>8</v>
      </c>
      <c r="L904" s="163">
        <v>2636374.81</v>
      </c>
    </row>
    <row r="905" spans="1:12" ht="51" hidden="1" x14ac:dyDescent="0.3">
      <c r="A905" s="157" t="s">
        <v>167</v>
      </c>
      <c r="B905" s="158" t="s">
        <v>189</v>
      </c>
      <c r="C905" s="158" t="s">
        <v>1602</v>
      </c>
      <c r="D905" s="158" t="s">
        <v>1403</v>
      </c>
      <c r="E905" s="159" t="s">
        <v>283</v>
      </c>
      <c r="F905" s="160" t="s">
        <v>15</v>
      </c>
      <c r="G905" s="160"/>
      <c r="H905" s="159" t="s">
        <v>283</v>
      </c>
      <c r="I905" s="161">
        <v>2351.16</v>
      </c>
      <c r="J905" s="161"/>
      <c r="K905" s="162" t="s">
        <v>8</v>
      </c>
      <c r="L905" s="163">
        <v>5817945.6100000003</v>
      </c>
    </row>
    <row r="906" spans="1:12" ht="51" hidden="1" x14ac:dyDescent="0.3">
      <c r="A906" s="157" t="s">
        <v>167</v>
      </c>
      <c r="B906" s="158" t="s">
        <v>189</v>
      </c>
      <c r="C906" s="158" t="s">
        <v>1602</v>
      </c>
      <c r="D906" s="158" t="s">
        <v>1403</v>
      </c>
      <c r="E906" s="159" t="s">
        <v>283</v>
      </c>
      <c r="F906" s="165">
        <v>2351.16</v>
      </c>
      <c r="G906" s="165"/>
      <c r="H906" s="159" t="s">
        <v>283</v>
      </c>
      <c r="I906" s="166" t="s">
        <v>15</v>
      </c>
      <c r="J906" s="166"/>
      <c r="K906" s="162" t="s">
        <v>8</v>
      </c>
      <c r="L906" s="163">
        <v>2638725.9700000002</v>
      </c>
    </row>
    <row r="907" spans="1:12" ht="61.2" hidden="1" x14ac:dyDescent="0.3">
      <c r="A907" s="157" t="s">
        <v>167</v>
      </c>
      <c r="B907" s="158" t="s">
        <v>189</v>
      </c>
      <c r="C907" s="158" t="s">
        <v>1603</v>
      </c>
      <c r="D907" s="158" t="s">
        <v>1604</v>
      </c>
      <c r="E907" s="159" t="s">
        <v>283</v>
      </c>
      <c r="F907" s="160" t="s">
        <v>15</v>
      </c>
      <c r="G907" s="160"/>
      <c r="H907" s="159" t="s">
        <v>283</v>
      </c>
      <c r="I907" s="164">
        <v>190.44</v>
      </c>
      <c r="J907" s="164"/>
      <c r="K907" s="162" t="s">
        <v>8</v>
      </c>
      <c r="L907" s="163">
        <v>5817755.1699999999</v>
      </c>
    </row>
    <row r="908" spans="1:12" ht="61.2" hidden="1" x14ac:dyDescent="0.3">
      <c r="A908" s="157" t="s">
        <v>167</v>
      </c>
      <c r="B908" s="158" t="s">
        <v>189</v>
      </c>
      <c r="C908" s="158" t="s">
        <v>1603</v>
      </c>
      <c r="D908" s="158" t="s">
        <v>1604</v>
      </c>
      <c r="E908" s="159" t="s">
        <v>283</v>
      </c>
      <c r="F908" s="167">
        <v>190.44</v>
      </c>
      <c r="G908" s="167"/>
      <c r="H908" s="159" t="s">
        <v>283</v>
      </c>
      <c r="I908" s="166" t="s">
        <v>15</v>
      </c>
      <c r="J908" s="166"/>
      <c r="K908" s="162" t="s">
        <v>8</v>
      </c>
      <c r="L908" s="163">
        <v>2638916.41</v>
      </c>
    </row>
    <row r="909" spans="1:12" ht="51" hidden="1" x14ac:dyDescent="0.3">
      <c r="A909" s="157" t="s">
        <v>167</v>
      </c>
      <c r="B909" s="158" t="s">
        <v>189</v>
      </c>
      <c r="C909" s="158" t="s">
        <v>1605</v>
      </c>
      <c r="D909" s="158" t="s">
        <v>1404</v>
      </c>
      <c r="E909" s="159" t="s">
        <v>283</v>
      </c>
      <c r="F909" s="160" t="s">
        <v>15</v>
      </c>
      <c r="G909" s="160"/>
      <c r="H909" s="159" t="s">
        <v>283</v>
      </c>
      <c r="I909" s="161">
        <v>3821.49</v>
      </c>
      <c r="J909" s="161"/>
      <c r="K909" s="162" t="s">
        <v>8</v>
      </c>
      <c r="L909" s="163">
        <v>5813933.6799999997</v>
      </c>
    </row>
    <row r="910" spans="1:12" ht="51" hidden="1" x14ac:dyDescent="0.3">
      <c r="A910" s="157" t="s">
        <v>167</v>
      </c>
      <c r="B910" s="158" t="s">
        <v>189</v>
      </c>
      <c r="C910" s="158" t="s">
        <v>1605</v>
      </c>
      <c r="D910" s="158" t="s">
        <v>1404</v>
      </c>
      <c r="E910" s="159" t="s">
        <v>283</v>
      </c>
      <c r="F910" s="165">
        <v>3821.49</v>
      </c>
      <c r="G910" s="165"/>
      <c r="H910" s="159" t="s">
        <v>283</v>
      </c>
      <c r="I910" s="166" t="s">
        <v>15</v>
      </c>
      <c r="J910" s="166"/>
      <c r="K910" s="162" t="s">
        <v>8</v>
      </c>
      <c r="L910" s="163">
        <v>2642737.9</v>
      </c>
    </row>
    <row r="911" spans="1:12" ht="51" hidden="1" x14ac:dyDescent="0.3">
      <c r="A911" s="157" t="s">
        <v>167</v>
      </c>
      <c r="B911" s="158" t="s">
        <v>189</v>
      </c>
      <c r="C911" s="158" t="s">
        <v>1606</v>
      </c>
      <c r="D911" s="158" t="s">
        <v>1607</v>
      </c>
      <c r="E911" s="159" t="s">
        <v>283</v>
      </c>
      <c r="F911" s="160" t="s">
        <v>15</v>
      </c>
      <c r="G911" s="160"/>
      <c r="H911" s="159" t="s">
        <v>283</v>
      </c>
      <c r="I911" s="161">
        <v>1287.1300000000001</v>
      </c>
      <c r="J911" s="161"/>
      <c r="K911" s="162" t="s">
        <v>8</v>
      </c>
      <c r="L911" s="163">
        <v>5812646.5499999998</v>
      </c>
    </row>
    <row r="912" spans="1:12" ht="51" hidden="1" x14ac:dyDescent="0.3">
      <c r="A912" s="157" t="s">
        <v>167</v>
      </c>
      <c r="B912" s="158" t="s">
        <v>189</v>
      </c>
      <c r="C912" s="158" t="s">
        <v>1606</v>
      </c>
      <c r="D912" s="158" t="s">
        <v>1607</v>
      </c>
      <c r="E912" s="159" t="s">
        <v>283</v>
      </c>
      <c r="F912" s="165">
        <v>1287.1300000000001</v>
      </c>
      <c r="G912" s="165"/>
      <c r="H912" s="159" t="s">
        <v>283</v>
      </c>
      <c r="I912" s="166" t="s">
        <v>15</v>
      </c>
      <c r="J912" s="166"/>
      <c r="K912" s="162" t="s">
        <v>8</v>
      </c>
      <c r="L912" s="163">
        <v>2644025.0299999998</v>
      </c>
    </row>
    <row r="913" spans="1:12" ht="61.2" hidden="1" x14ac:dyDescent="0.3">
      <c r="A913" s="157" t="s">
        <v>167</v>
      </c>
      <c r="B913" s="158" t="s">
        <v>1608</v>
      </c>
      <c r="C913" s="158" t="s">
        <v>1609</v>
      </c>
      <c r="D913" s="158" t="s">
        <v>1610</v>
      </c>
      <c r="E913" s="159" t="s">
        <v>283</v>
      </c>
      <c r="F913" s="160" t="s">
        <v>15</v>
      </c>
      <c r="G913" s="160"/>
      <c r="H913" s="159" t="s">
        <v>283</v>
      </c>
      <c r="I913" s="161">
        <v>4904.0200000000004</v>
      </c>
      <c r="J913" s="161"/>
      <c r="K913" s="162" t="s">
        <v>8</v>
      </c>
      <c r="L913" s="163">
        <v>1319740.54</v>
      </c>
    </row>
    <row r="914" spans="1:12" ht="61.2" hidden="1" x14ac:dyDescent="0.3">
      <c r="A914" s="157" t="s">
        <v>167</v>
      </c>
      <c r="B914" s="158" t="s">
        <v>1608</v>
      </c>
      <c r="C914" s="158" t="s">
        <v>1609</v>
      </c>
      <c r="D914" s="158" t="s">
        <v>1610</v>
      </c>
      <c r="E914" s="159" t="s">
        <v>283</v>
      </c>
      <c r="F914" s="165">
        <v>4904.0200000000004</v>
      </c>
      <c r="G914" s="165"/>
      <c r="H914" s="159" t="s">
        <v>283</v>
      </c>
      <c r="I914" s="166" t="s">
        <v>15</v>
      </c>
      <c r="J914" s="166"/>
      <c r="K914" s="162" t="s">
        <v>8</v>
      </c>
      <c r="L914" s="163">
        <v>2648929.0499999998</v>
      </c>
    </row>
    <row r="915" spans="1:12" ht="61.2" hidden="1" x14ac:dyDescent="0.3">
      <c r="A915" s="157" t="s">
        <v>167</v>
      </c>
      <c r="B915" s="158" t="s">
        <v>1611</v>
      </c>
      <c r="C915" s="158" t="s">
        <v>1612</v>
      </c>
      <c r="D915" s="158" t="s">
        <v>1285</v>
      </c>
      <c r="E915" s="159" t="s">
        <v>283</v>
      </c>
      <c r="F915" s="160" t="s">
        <v>15</v>
      </c>
      <c r="G915" s="160"/>
      <c r="H915" s="159" t="s">
        <v>283</v>
      </c>
      <c r="I915" s="161">
        <v>3879.33</v>
      </c>
      <c r="J915" s="161"/>
      <c r="K915" s="162" t="s">
        <v>8</v>
      </c>
      <c r="L915" s="163">
        <v>2645049.7200000002</v>
      </c>
    </row>
    <row r="916" spans="1:12" ht="61.2" hidden="1" x14ac:dyDescent="0.3">
      <c r="A916" s="157" t="s">
        <v>167</v>
      </c>
      <c r="B916" s="158" t="s">
        <v>1611</v>
      </c>
      <c r="C916" s="158" t="s">
        <v>1612</v>
      </c>
      <c r="D916" s="158" t="s">
        <v>1285</v>
      </c>
      <c r="E916" s="159" t="s">
        <v>283</v>
      </c>
      <c r="F916" s="165">
        <v>3879.33</v>
      </c>
      <c r="G916" s="165"/>
      <c r="H916" s="159" t="s">
        <v>283</v>
      </c>
      <c r="I916" s="166" t="s">
        <v>15</v>
      </c>
      <c r="J916" s="166"/>
      <c r="K916" s="162" t="s">
        <v>8</v>
      </c>
      <c r="L916" s="163">
        <v>175050.9</v>
      </c>
    </row>
    <row r="917" spans="1:12" ht="61.2" x14ac:dyDescent="0.3">
      <c r="A917" s="157" t="s">
        <v>167</v>
      </c>
      <c r="B917" s="158" t="s">
        <v>1613</v>
      </c>
      <c r="C917" s="158" t="s">
        <v>741</v>
      </c>
      <c r="D917" s="158" t="s">
        <v>1579</v>
      </c>
      <c r="E917" s="159" t="s">
        <v>42</v>
      </c>
      <c r="F917" s="160" t="s">
        <v>15</v>
      </c>
      <c r="G917" s="160"/>
      <c r="H917" s="159" t="s">
        <v>283</v>
      </c>
      <c r="I917" s="161">
        <v>2515</v>
      </c>
      <c r="J917" s="161"/>
      <c r="K917" s="162" t="s">
        <v>8</v>
      </c>
      <c r="L917" s="163">
        <v>2642534.7200000002</v>
      </c>
    </row>
    <row r="918" spans="1:12" ht="51" x14ac:dyDescent="0.3">
      <c r="A918" s="157" t="s">
        <v>167</v>
      </c>
      <c r="B918" s="158" t="s">
        <v>1614</v>
      </c>
      <c r="C918" s="158" t="s">
        <v>741</v>
      </c>
      <c r="D918" s="158" t="s">
        <v>866</v>
      </c>
      <c r="E918" s="159" t="s">
        <v>42</v>
      </c>
      <c r="F918" s="160" t="s">
        <v>15</v>
      </c>
      <c r="G918" s="160"/>
      <c r="H918" s="159" t="s">
        <v>283</v>
      </c>
      <c r="I918" s="161">
        <v>23859.58</v>
      </c>
      <c r="J918" s="161"/>
      <c r="K918" s="162" t="s">
        <v>8</v>
      </c>
      <c r="L918" s="163">
        <v>285269.34999999998</v>
      </c>
    </row>
    <row r="919" spans="1:12" ht="51" x14ac:dyDescent="0.3">
      <c r="A919" s="157" t="s">
        <v>167</v>
      </c>
      <c r="B919" s="158" t="s">
        <v>1614</v>
      </c>
      <c r="C919" s="158" t="s">
        <v>741</v>
      </c>
      <c r="D919" s="158" t="s">
        <v>1581</v>
      </c>
      <c r="E919" s="159" t="s">
        <v>42</v>
      </c>
      <c r="F919" s="160" t="s">
        <v>15</v>
      </c>
      <c r="G919" s="160"/>
      <c r="H919" s="159" t="s">
        <v>283</v>
      </c>
      <c r="I919" s="161">
        <v>26803</v>
      </c>
      <c r="J919" s="161"/>
      <c r="K919" s="162" t="s">
        <v>8</v>
      </c>
      <c r="L919" s="163">
        <v>258466.35</v>
      </c>
    </row>
    <row r="920" spans="1:12" ht="51" x14ac:dyDescent="0.3">
      <c r="A920" s="157" t="s">
        <v>167</v>
      </c>
      <c r="B920" s="158" t="s">
        <v>1614</v>
      </c>
      <c r="C920" s="158" t="s">
        <v>741</v>
      </c>
      <c r="D920" s="158" t="s">
        <v>1581</v>
      </c>
      <c r="E920" s="159" t="s">
        <v>42</v>
      </c>
      <c r="F920" s="160" t="s">
        <v>15</v>
      </c>
      <c r="G920" s="160"/>
      <c r="H920" s="159" t="s">
        <v>283</v>
      </c>
      <c r="I920" s="161">
        <v>10129</v>
      </c>
      <c r="J920" s="161"/>
      <c r="K920" s="162" t="s">
        <v>8</v>
      </c>
      <c r="L920" s="163">
        <v>248337.35</v>
      </c>
    </row>
    <row r="921" spans="1:12" ht="51" x14ac:dyDescent="0.3">
      <c r="A921" s="157" t="s">
        <v>167</v>
      </c>
      <c r="B921" s="158" t="s">
        <v>1614</v>
      </c>
      <c r="C921" s="158" t="s">
        <v>741</v>
      </c>
      <c r="D921" s="158" t="s">
        <v>942</v>
      </c>
      <c r="E921" s="159" t="s">
        <v>42</v>
      </c>
      <c r="F921" s="160" t="s">
        <v>15</v>
      </c>
      <c r="G921" s="160"/>
      <c r="H921" s="159" t="s">
        <v>283</v>
      </c>
      <c r="I921" s="161">
        <v>14490.43</v>
      </c>
      <c r="J921" s="161"/>
      <c r="K921" s="162" t="s">
        <v>8</v>
      </c>
      <c r="L921" s="163">
        <v>233846.92</v>
      </c>
    </row>
    <row r="922" spans="1:12" ht="51" x14ac:dyDescent="0.3">
      <c r="A922" s="157" t="s">
        <v>167</v>
      </c>
      <c r="B922" s="158" t="s">
        <v>1615</v>
      </c>
      <c r="C922" s="158" t="s">
        <v>741</v>
      </c>
      <c r="D922" s="158" t="s">
        <v>1616</v>
      </c>
      <c r="E922" s="159" t="s">
        <v>42</v>
      </c>
      <c r="F922" s="160" t="s">
        <v>15</v>
      </c>
      <c r="G922" s="160"/>
      <c r="H922" s="159" t="s">
        <v>283</v>
      </c>
      <c r="I922" s="161">
        <v>12395.72</v>
      </c>
      <c r="J922" s="161"/>
      <c r="K922" s="162" t="s">
        <v>8</v>
      </c>
      <c r="L922" s="163">
        <v>2458605.6</v>
      </c>
    </row>
    <row r="923" spans="1:12" ht="61.2" x14ac:dyDescent="0.3">
      <c r="A923" s="157" t="s">
        <v>167</v>
      </c>
      <c r="B923" s="158" t="s">
        <v>1615</v>
      </c>
      <c r="C923" s="158" t="s">
        <v>741</v>
      </c>
      <c r="D923" s="158" t="s">
        <v>1617</v>
      </c>
      <c r="E923" s="159" t="s">
        <v>42</v>
      </c>
      <c r="F923" s="160" t="s">
        <v>15</v>
      </c>
      <c r="G923" s="160"/>
      <c r="H923" s="159" t="s">
        <v>283</v>
      </c>
      <c r="I923" s="161">
        <v>6425.72</v>
      </c>
      <c r="J923" s="161"/>
      <c r="K923" s="162" t="s">
        <v>8</v>
      </c>
      <c r="L923" s="163">
        <v>2452179.88</v>
      </c>
    </row>
    <row r="924" spans="1:12" ht="61.2" x14ac:dyDescent="0.3">
      <c r="A924" s="157" t="s">
        <v>167</v>
      </c>
      <c r="B924" s="158" t="s">
        <v>1615</v>
      </c>
      <c r="C924" s="158" t="s">
        <v>741</v>
      </c>
      <c r="D924" s="158" t="s">
        <v>1618</v>
      </c>
      <c r="E924" s="159" t="s">
        <v>42</v>
      </c>
      <c r="F924" s="160" t="s">
        <v>15</v>
      </c>
      <c r="G924" s="160"/>
      <c r="H924" s="159" t="s">
        <v>283</v>
      </c>
      <c r="I924" s="161">
        <v>1319.94</v>
      </c>
      <c r="J924" s="161"/>
      <c r="K924" s="162" t="s">
        <v>8</v>
      </c>
      <c r="L924" s="163">
        <v>2450859.94</v>
      </c>
    </row>
    <row r="925" spans="1:12" ht="51" x14ac:dyDescent="0.3">
      <c r="A925" s="157" t="s">
        <v>167</v>
      </c>
      <c r="B925" s="158" t="s">
        <v>1615</v>
      </c>
      <c r="C925" s="158" t="s">
        <v>741</v>
      </c>
      <c r="D925" s="158" t="s">
        <v>1619</v>
      </c>
      <c r="E925" s="159" t="s">
        <v>42</v>
      </c>
      <c r="F925" s="160" t="s">
        <v>15</v>
      </c>
      <c r="G925" s="160"/>
      <c r="H925" s="159" t="s">
        <v>283</v>
      </c>
      <c r="I925" s="161">
        <v>11374.74</v>
      </c>
      <c r="J925" s="161"/>
      <c r="K925" s="162" t="s">
        <v>8</v>
      </c>
      <c r="L925" s="163">
        <v>2439485.2000000002</v>
      </c>
    </row>
    <row r="926" spans="1:12" ht="51" x14ac:dyDescent="0.3">
      <c r="A926" s="157" t="s">
        <v>167</v>
      </c>
      <c r="B926" s="158" t="s">
        <v>1615</v>
      </c>
      <c r="C926" s="158" t="s">
        <v>741</v>
      </c>
      <c r="D926" s="158" t="s">
        <v>1620</v>
      </c>
      <c r="E926" s="159" t="s">
        <v>42</v>
      </c>
      <c r="F926" s="160" t="s">
        <v>15</v>
      </c>
      <c r="G926" s="160"/>
      <c r="H926" s="159" t="s">
        <v>283</v>
      </c>
      <c r="I926" s="161">
        <v>5333.44</v>
      </c>
      <c r="J926" s="161"/>
      <c r="K926" s="162" t="s">
        <v>8</v>
      </c>
      <c r="L926" s="163">
        <v>2434151.7599999998</v>
      </c>
    </row>
    <row r="927" spans="1:12" ht="61.2" x14ac:dyDescent="0.3">
      <c r="A927" s="157" t="s">
        <v>167</v>
      </c>
      <c r="B927" s="158" t="s">
        <v>1615</v>
      </c>
      <c r="C927" s="158" t="s">
        <v>741</v>
      </c>
      <c r="D927" s="158" t="s">
        <v>1621</v>
      </c>
      <c r="E927" s="159" t="s">
        <v>42</v>
      </c>
      <c r="F927" s="160" t="s">
        <v>15</v>
      </c>
      <c r="G927" s="160"/>
      <c r="H927" s="159" t="s">
        <v>283</v>
      </c>
      <c r="I927" s="161">
        <v>1260</v>
      </c>
      <c r="J927" s="161"/>
      <c r="K927" s="162" t="s">
        <v>8</v>
      </c>
      <c r="L927" s="163">
        <v>2432891.7599999998</v>
      </c>
    </row>
    <row r="928" spans="1:12" ht="51" x14ac:dyDescent="0.3">
      <c r="A928" s="157" t="s">
        <v>167</v>
      </c>
      <c r="B928" s="158" t="s">
        <v>1615</v>
      </c>
      <c r="C928" s="158" t="s">
        <v>741</v>
      </c>
      <c r="D928" s="158" t="s">
        <v>1622</v>
      </c>
      <c r="E928" s="159" t="s">
        <v>42</v>
      </c>
      <c r="F928" s="160" t="s">
        <v>15</v>
      </c>
      <c r="G928" s="160"/>
      <c r="H928" s="159" t="s">
        <v>283</v>
      </c>
      <c r="I928" s="161">
        <v>3208.32</v>
      </c>
      <c r="J928" s="161"/>
      <c r="K928" s="162" t="s">
        <v>8</v>
      </c>
      <c r="L928" s="163">
        <v>2429683.44</v>
      </c>
    </row>
    <row r="929" spans="1:12" ht="51" x14ac:dyDescent="0.3">
      <c r="A929" s="157" t="s">
        <v>167</v>
      </c>
      <c r="B929" s="158" t="s">
        <v>1615</v>
      </c>
      <c r="C929" s="158" t="s">
        <v>741</v>
      </c>
      <c r="D929" s="158" t="s">
        <v>1623</v>
      </c>
      <c r="E929" s="159" t="s">
        <v>42</v>
      </c>
      <c r="F929" s="160" t="s">
        <v>15</v>
      </c>
      <c r="G929" s="160"/>
      <c r="H929" s="159" t="s">
        <v>283</v>
      </c>
      <c r="I929" s="164">
        <v>770.56</v>
      </c>
      <c r="J929" s="164"/>
      <c r="K929" s="162" t="s">
        <v>8</v>
      </c>
      <c r="L929" s="163">
        <v>2428912.88</v>
      </c>
    </row>
    <row r="930" spans="1:12" ht="51" x14ac:dyDescent="0.3">
      <c r="A930" s="157" t="s">
        <v>167</v>
      </c>
      <c r="B930" s="158" t="s">
        <v>1615</v>
      </c>
      <c r="C930" s="158" t="s">
        <v>741</v>
      </c>
      <c r="D930" s="158" t="s">
        <v>1624</v>
      </c>
      <c r="E930" s="159" t="s">
        <v>42</v>
      </c>
      <c r="F930" s="160" t="s">
        <v>15</v>
      </c>
      <c r="G930" s="160"/>
      <c r="H930" s="159" t="s">
        <v>283</v>
      </c>
      <c r="I930" s="164">
        <v>385.28</v>
      </c>
      <c r="J930" s="164"/>
      <c r="K930" s="162" t="s">
        <v>8</v>
      </c>
      <c r="L930" s="163">
        <v>2428527.6</v>
      </c>
    </row>
    <row r="931" spans="1:12" ht="51" x14ac:dyDescent="0.3">
      <c r="A931" s="157" t="s">
        <v>167</v>
      </c>
      <c r="B931" s="158" t="s">
        <v>1615</v>
      </c>
      <c r="C931" s="158" t="s">
        <v>741</v>
      </c>
      <c r="D931" s="158" t="s">
        <v>1624</v>
      </c>
      <c r="E931" s="159" t="s">
        <v>42</v>
      </c>
      <c r="F931" s="160" t="s">
        <v>15</v>
      </c>
      <c r="G931" s="160"/>
      <c r="H931" s="159" t="s">
        <v>283</v>
      </c>
      <c r="I931" s="164">
        <v>385.28</v>
      </c>
      <c r="J931" s="164"/>
      <c r="K931" s="162" t="s">
        <v>8</v>
      </c>
      <c r="L931" s="163">
        <v>2428142.3199999998</v>
      </c>
    </row>
    <row r="932" spans="1:12" ht="51" x14ac:dyDescent="0.3">
      <c r="A932" s="157" t="s">
        <v>167</v>
      </c>
      <c r="B932" s="158" t="s">
        <v>1615</v>
      </c>
      <c r="C932" s="158" t="s">
        <v>741</v>
      </c>
      <c r="D932" s="158" t="s">
        <v>1625</v>
      </c>
      <c r="E932" s="159" t="s">
        <v>42</v>
      </c>
      <c r="F932" s="160" t="s">
        <v>15</v>
      </c>
      <c r="G932" s="160"/>
      <c r="H932" s="159" t="s">
        <v>283</v>
      </c>
      <c r="I932" s="161">
        <v>180750</v>
      </c>
      <c r="J932" s="161"/>
      <c r="K932" s="162" t="s">
        <v>8</v>
      </c>
      <c r="L932" s="163">
        <v>2247392.3199999998</v>
      </c>
    </row>
    <row r="933" spans="1:12" ht="51" x14ac:dyDescent="0.3">
      <c r="A933" s="157" t="s">
        <v>167</v>
      </c>
      <c r="B933" s="158" t="s">
        <v>1615</v>
      </c>
      <c r="C933" s="158" t="s">
        <v>741</v>
      </c>
      <c r="D933" s="158" t="s">
        <v>1626</v>
      </c>
      <c r="E933" s="159" t="s">
        <v>42</v>
      </c>
      <c r="F933" s="160" t="s">
        <v>15</v>
      </c>
      <c r="G933" s="160"/>
      <c r="H933" s="159" t="s">
        <v>283</v>
      </c>
      <c r="I933" s="161">
        <v>107075</v>
      </c>
      <c r="J933" s="161"/>
      <c r="K933" s="162" t="s">
        <v>8</v>
      </c>
      <c r="L933" s="163">
        <v>2140317.3199999998</v>
      </c>
    </row>
    <row r="934" spans="1:12" ht="61.2" x14ac:dyDescent="0.3">
      <c r="A934" s="157" t="s">
        <v>167</v>
      </c>
      <c r="B934" s="158" t="s">
        <v>1615</v>
      </c>
      <c r="C934" s="158" t="s">
        <v>741</v>
      </c>
      <c r="D934" s="158" t="s">
        <v>1586</v>
      </c>
      <c r="E934" s="159" t="s">
        <v>42</v>
      </c>
      <c r="F934" s="160" t="s">
        <v>15</v>
      </c>
      <c r="G934" s="160"/>
      <c r="H934" s="159" t="s">
        <v>283</v>
      </c>
      <c r="I934" s="161">
        <v>30592.62</v>
      </c>
      <c r="J934" s="161"/>
      <c r="K934" s="162" t="s">
        <v>8</v>
      </c>
      <c r="L934" s="163">
        <v>2109724.7000000002</v>
      </c>
    </row>
    <row r="935" spans="1:12" ht="51" x14ac:dyDescent="0.3">
      <c r="A935" s="157" t="s">
        <v>167</v>
      </c>
      <c r="B935" s="158" t="s">
        <v>1615</v>
      </c>
      <c r="C935" s="158" t="s">
        <v>741</v>
      </c>
      <c r="D935" s="158" t="s">
        <v>1588</v>
      </c>
      <c r="E935" s="159" t="s">
        <v>42</v>
      </c>
      <c r="F935" s="160" t="s">
        <v>15</v>
      </c>
      <c r="G935" s="160"/>
      <c r="H935" s="159" t="s">
        <v>283</v>
      </c>
      <c r="I935" s="164">
        <v>795.5</v>
      </c>
      <c r="J935" s="164"/>
      <c r="K935" s="162" t="s">
        <v>8</v>
      </c>
      <c r="L935" s="163">
        <v>2108929.2000000002</v>
      </c>
    </row>
    <row r="936" spans="1:12" ht="61.2" x14ac:dyDescent="0.3">
      <c r="A936" s="157" t="s">
        <v>167</v>
      </c>
      <c r="B936" s="158" t="s">
        <v>1615</v>
      </c>
      <c r="C936" s="158" t="s">
        <v>741</v>
      </c>
      <c r="D936" s="158" t="s">
        <v>1627</v>
      </c>
      <c r="E936" s="159" t="s">
        <v>42</v>
      </c>
      <c r="F936" s="160" t="s">
        <v>15</v>
      </c>
      <c r="G936" s="160"/>
      <c r="H936" s="159" t="s">
        <v>283</v>
      </c>
      <c r="I936" s="161">
        <v>5587.18</v>
      </c>
      <c r="J936" s="161"/>
      <c r="K936" s="162" t="s">
        <v>8</v>
      </c>
      <c r="L936" s="163">
        <v>2103342.02</v>
      </c>
    </row>
    <row r="937" spans="1:12" ht="61.2" x14ac:dyDescent="0.3">
      <c r="A937" s="157" t="s">
        <v>167</v>
      </c>
      <c r="B937" s="158" t="s">
        <v>1615</v>
      </c>
      <c r="C937" s="158" t="s">
        <v>741</v>
      </c>
      <c r="D937" s="158" t="s">
        <v>1590</v>
      </c>
      <c r="E937" s="159" t="s">
        <v>42</v>
      </c>
      <c r="F937" s="160" t="s">
        <v>15</v>
      </c>
      <c r="G937" s="160"/>
      <c r="H937" s="159" t="s">
        <v>283</v>
      </c>
      <c r="I937" s="161">
        <v>5232.74</v>
      </c>
      <c r="J937" s="161"/>
      <c r="K937" s="162" t="s">
        <v>8</v>
      </c>
      <c r="L937" s="163">
        <v>2098109.2799999998</v>
      </c>
    </row>
    <row r="938" spans="1:12" ht="61.2" x14ac:dyDescent="0.3">
      <c r="A938" s="157" t="s">
        <v>167</v>
      </c>
      <c r="B938" s="158" t="s">
        <v>1628</v>
      </c>
      <c r="C938" s="158" t="s">
        <v>741</v>
      </c>
      <c r="D938" s="158" t="s">
        <v>1629</v>
      </c>
      <c r="E938" s="159" t="s">
        <v>42</v>
      </c>
      <c r="F938" s="160" t="s">
        <v>15</v>
      </c>
      <c r="G938" s="160"/>
      <c r="H938" s="159" t="s">
        <v>283</v>
      </c>
      <c r="I938" s="161">
        <v>2236.92</v>
      </c>
      <c r="J938" s="161"/>
      <c r="K938" s="162" t="s">
        <v>8</v>
      </c>
      <c r="L938" s="163">
        <v>2095872.36</v>
      </c>
    </row>
    <row r="939" spans="1:12" ht="61.2" x14ac:dyDescent="0.3">
      <c r="A939" s="157" t="s">
        <v>167</v>
      </c>
      <c r="B939" s="158" t="s">
        <v>1628</v>
      </c>
      <c r="C939" s="158" t="s">
        <v>741</v>
      </c>
      <c r="D939" s="158" t="s">
        <v>1618</v>
      </c>
      <c r="E939" s="159" t="s">
        <v>42</v>
      </c>
      <c r="F939" s="160" t="s">
        <v>15</v>
      </c>
      <c r="G939" s="160"/>
      <c r="H939" s="159" t="s">
        <v>283</v>
      </c>
      <c r="I939" s="161">
        <v>1026.6199999999999</v>
      </c>
      <c r="J939" s="161"/>
      <c r="K939" s="162" t="s">
        <v>8</v>
      </c>
      <c r="L939" s="163">
        <v>2094845.74</v>
      </c>
    </row>
    <row r="940" spans="1:12" ht="51" x14ac:dyDescent="0.3">
      <c r="A940" s="157" t="s">
        <v>167</v>
      </c>
      <c r="B940" s="158" t="s">
        <v>1628</v>
      </c>
      <c r="C940" s="158" t="s">
        <v>741</v>
      </c>
      <c r="D940" s="158" t="s">
        <v>1620</v>
      </c>
      <c r="E940" s="159" t="s">
        <v>42</v>
      </c>
      <c r="F940" s="160" t="s">
        <v>15</v>
      </c>
      <c r="G940" s="160"/>
      <c r="H940" s="159" t="s">
        <v>283</v>
      </c>
      <c r="I940" s="161">
        <v>1166.69</v>
      </c>
      <c r="J940" s="161"/>
      <c r="K940" s="162" t="s">
        <v>8</v>
      </c>
      <c r="L940" s="163">
        <v>2093679.05</v>
      </c>
    </row>
    <row r="941" spans="1:12" ht="61.2" x14ac:dyDescent="0.3">
      <c r="A941" s="157" t="s">
        <v>167</v>
      </c>
      <c r="B941" s="158" t="s">
        <v>1628</v>
      </c>
      <c r="C941" s="158" t="s">
        <v>741</v>
      </c>
      <c r="D941" s="158" t="s">
        <v>1621</v>
      </c>
      <c r="E941" s="159" t="s">
        <v>42</v>
      </c>
      <c r="F941" s="160" t="s">
        <v>15</v>
      </c>
      <c r="G941" s="160"/>
      <c r="H941" s="159" t="s">
        <v>283</v>
      </c>
      <c r="I941" s="164">
        <v>630</v>
      </c>
      <c r="J941" s="164"/>
      <c r="K941" s="162" t="s">
        <v>8</v>
      </c>
      <c r="L941" s="163">
        <v>2093049.05</v>
      </c>
    </row>
    <row r="942" spans="1:12" ht="51" x14ac:dyDescent="0.3">
      <c r="A942" s="157" t="s">
        <v>167</v>
      </c>
      <c r="B942" s="158" t="s">
        <v>1628</v>
      </c>
      <c r="C942" s="158" t="s">
        <v>741</v>
      </c>
      <c r="D942" s="158" t="s">
        <v>1623</v>
      </c>
      <c r="E942" s="159" t="s">
        <v>42</v>
      </c>
      <c r="F942" s="160" t="s">
        <v>15</v>
      </c>
      <c r="G942" s="160"/>
      <c r="H942" s="159" t="s">
        <v>283</v>
      </c>
      <c r="I942" s="164">
        <v>288.95999999999998</v>
      </c>
      <c r="J942" s="164"/>
      <c r="K942" s="162" t="s">
        <v>8</v>
      </c>
      <c r="L942" s="163">
        <v>2092760.09</v>
      </c>
    </row>
    <row r="943" spans="1:12" ht="51" x14ac:dyDescent="0.3">
      <c r="A943" s="157" t="s">
        <v>167</v>
      </c>
      <c r="B943" s="158" t="s">
        <v>1628</v>
      </c>
      <c r="C943" s="158" t="s">
        <v>741</v>
      </c>
      <c r="D943" s="158" t="s">
        <v>1624</v>
      </c>
      <c r="E943" s="159" t="s">
        <v>42</v>
      </c>
      <c r="F943" s="160" t="s">
        <v>15</v>
      </c>
      <c r="G943" s="160"/>
      <c r="H943" s="159" t="s">
        <v>283</v>
      </c>
      <c r="I943" s="164">
        <v>144.47999999999999</v>
      </c>
      <c r="J943" s="164"/>
      <c r="K943" s="162" t="s">
        <v>8</v>
      </c>
      <c r="L943" s="163">
        <v>2092615.61</v>
      </c>
    </row>
    <row r="944" spans="1:12" ht="51" x14ac:dyDescent="0.3">
      <c r="A944" s="157" t="s">
        <v>167</v>
      </c>
      <c r="B944" s="158" t="s">
        <v>1628</v>
      </c>
      <c r="C944" s="158" t="s">
        <v>741</v>
      </c>
      <c r="D944" s="158" t="s">
        <v>1630</v>
      </c>
      <c r="E944" s="159" t="s">
        <v>42</v>
      </c>
      <c r="F944" s="160" t="s">
        <v>15</v>
      </c>
      <c r="G944" s="160"/>
      <c r="H944" s="159" t="s">
        <v>283</v>
      </c>
      <c r="I944" s="161">
        <v>7409.4</v>
      </c>
      <c r="J944" s="161"/>
      <c r="K944" s="162" t="s">
        <v>8</v>
      </c>
      <c r="L944" s="163">
        <v>2085206.21</v>
      </c>
    </row>
    <row r="945" spans="1:12" ht="51" x14ac:dyDescent="0.3">
      <c r="A945" s="157" t="s">
        <v>167</v>
      </c>
      <c r="B945" s="158" t="s">
        <v>1628</v>
      </c>
      <c r="C945" s="158" t="s">
        <v>741</v>
      </c>
      <c r="D945" s="158" t="s">
        <v>1593</v>
      </c>
      <c r="E945" s="159" t="s">
        <v>42</v>
      </c>
      <c r="F945" s="160" t="s">
        <v>15</v>
      </c>
      <c r="G945" s="160"/>
      <c r="H945" s="159" t="s">
        <v>283</v>
      </c>
      <c r="I945" s="164">
        <v>441.95</v>
      </c>
      <c r="J945" s="164"/>
      <c r="K945" s="162" t="s">
        <v>8</v>
      </c>
      <c r="L945" s="163">
        <v>2084764.26</v>
      </c>
    </row>
    <row r="946" spans="1:12" ht="51" x14ac:dyDescent="0.3">
      <c r="A946" s="157" t="s">
        <v>167</v>
      </c>
      <c r="B946" s="158" t="s">
        <v>1628</v>
      </c>
      <c r="C946" s="158" t="s">
        <v>741</v>
      </c>
      <c r="D946" s="158" t="s">
        <v>1593</v>
      </c>
      <c r="E946" s="159" t="s">
        <v>42</v>
      </c>
      <c r="F946" s="160" t="s">
        <v>15</v>
      </c>
      <c r="G946" s="160"/>
      <c r="H946" s="159" t="s">
        <v>283</v>
      </c>
      <c r="I946" s="164">
        <v>210.45</v>
      </c>
      <c r="J946" s="164"/>
      <c r="K946" s="162" t="s">
        <v>8</v>
      </c>
      <c r="L946" s="163">
        <v>2084553.81</v>
      </c>
    </row>
    <row r="947" spans="1:12" ht="51" x14ac:dyDescent="0.3">
      <c r="A947" s="157" t="s">
        <v>167</v>
      </c>
      <c r="B947" s="158" t="s">
        <v>1628</v>
      </c>
      <c r="C947" s="158" t="s">
        <v>741</v>
      </c>
      <c r="D947" s="158" t="s">
        <v>1594</v>
      </c>
      <c r="E947" s="159" t="s">
        <v>42</v>
      </c>
      <c r="F947" s="160" t="s">
        <v>15</v>
      </c>
      <c r="G947" s="160"/>
      <c r="H947" s="159" t="s">
        <v>283</v>
      </c>
      <c r="I947" s="161">
        <v>1346.4</v>
      </c>
      <c r="J947" s="161"/>
      <c r="K947" s="162" t="s">
        <v>8</v>
      </c>
      <c r="L947" s="163">
        <v>2083207.41</v>
      </c>
    </row>
    <row r="948" spans="1:12" ht="51" x14ac:dyDescent="0.3">
      <c r="A948" s="157" t="s">
        <v>167</v>
      </c>
      <c r="B948" s="158" t="s">
        <v>1628</v>
      </c>
      <c r="C948" s="158" t="s">
        <v>741</v>
      </c>
      <c r="D948" s="158" t="s">
        <v>1596</v>
      </c>
      <c r="E948" s="159" t="s">
        <v>42</v>
      </c>
      <c r="F948" s="160" t="s">
        <v>15</v>
      </c>
      <c r="G948" s="160"/>
      <c r="H948" s="159" t="s">
        <v>283</v>
      </c>
      <c r="I948" s="164">
        <v>267.70999999999998</v>
      </c>
      <c r="J948" s="164"/>
      <c r="K948" s="162" t="s">
        <v>8</v>
      </c>
      <c r="L948" s="163">
        <v>2082939.7</v>
      </c>
    </row>
    <row r="949" spans="1:12" ht="61.2" x14ac:dyDescent="0.3">
      <c r="A949" s="157" t="s">
        <v>167</v>
      </c>
      <c r="B949" s="158" t="s">
        <v>1631</v>
      </c>
      <c r="C949" s="158" t="s">
        <v>741</v>
      </c>
      <c r="D949" s="158" t="s">
        <v>1632</v>
      </c>
      <c r="E949" s="159" t="s">
        <v>42</v>
      </c>
      <c r="F949" s="160" t="s">
        <v>15</v>
      </c>
      <c r="G949" s="160"/>
      <c r="H949" s="159" t="s">
        <v>283</v>
      </c>
      <c r="I949" s="161">
        <v>42330.02</v>
      </c>
      <c r="J949" s="161"/>
      <c r="K949" s="162" t="s">
        <v>8</v>
      </c>
      <c r="L949" s="163">
        <v>2040609.68</v>
      </c>
    </row>
    <row r="950" spans="1:12" ht="61.2" x14ac:dyDescent="0.3">
      <c r="A950" s="157" t="s">
        <v>167</v>
      </c>
      <c r="B950" s="158" t="s">
        <v>1631</v>
      </c>
      <c r="C950" s="158" t="s">
        <v>741</v>
      </c>
      <c r="D950" s="158" t="s">
        <v>1627</v>
      </c>
      <c r="E950" s="159" t="s">
        <v>42</v>
      </c>
      <c r="F950" s="160" t="s">
        <v>15</v>
      </c>
      <c r="G950" s="160"/>
      <c r="H950" s="159" t="s">
        <v>283</v>
      </c>
      <c r="I950" s="161">
        <v>10217.5</v>
      </c>
      <c r="J950" s="161"/>
      <c r="K950" s="162" t="s">
        <v>8</v>
      </c>
      <c r="L950" s="163">
        <v>2030392.18</v>
      </c>
    </row>
    <row r="951" spans="1:12" ht="61.2" x14ac:dyDescent="0.3">
      <c r="A951" s="157" t="s">
        <v>167</v>
      </c>
      <c r="B951" s="158" t="s">
        <v>1631</v>
      </c>
      <c r="C951" s="158" t="s">
        <v>741</v>
      </c>
      <c r="D951" s="158" t="s">
        <v>1633</v>
      </c>
      <c r="E951" s="159" t="s">
        <v>42</v>
      </c>
      <c r="F951" s="160" t="s">
        <v>15</v>
      </c>
      <c r="G951" s="160"/>
      <c r="H951" s="159" t="s">
        <v>283</v>
      </c>
      <c r="I951" s="161">
        <v>1812.6</v>
      </c>
      <c r="J951" s="161"/>
      <c r="K951" s="162" t="s">
        <v>8</v>
      </c>
      <c r="L951" s="163">
        <v>2028579.58</v>
      </c>
    </row>
    <row r="952" spans="1:12" ht="61.2" x14ac:dyDescent="0.3">
      <c r="A952" s="157" t="s">
        <v>167</v>
      </c>
      <c r="B952" s="158" t="s">
        <v>1631</v>
      </c>
      <c r="C952" s="158" t="s">
        <v>741</v>
      </c>
      <c r="D952" s="158" t="s">
        <v>1634</v>
      </c>
      <c r="E952" s="159" t="s">
        <v>42</v>
      </c>
      <c r="F952" s="160" t="s">
        <v>15</v>
      </c>
      <c r="G952" s="160"/>
      <c r="H952" s="159" t="s">
        <v>283</v>
      </c>
      <c r="I952" s="161">
        <v>2712.44</v>
      </c>
      <c r="J952" s="161"/>
      <c r="K952" s="162" t="s">
        <v>8</v>
      </c>
      <c r="L952" s="163">
        <v>2025867.14</v>
      </c>
    </row>
    <row r="953" spans="1:12" ht="51" x14ac:dyDescent="0.3">
      <c r="A953" s="157" t="s">
        <v>167</v>
      </c>
      <c r="B953" s="158" t="s">
        <v>1631</v>
      </c>
      <c r="C953" s="158" t="s">
        <v>741</v>
      </c>
      <c r="D953" s="158" t="s">
        <v>1619</v>
      </c>
      <c r="E953" s="159" t="s">
        <v>42</v>
      </c>
      <c r="F953" s="160" t="s">
        <v>15</v>
      </c>
      <c r="G953" s="160"/>
      <c r="H953" s="159" t="s">
        <v>283</v>
      </c>
      <c r="I953" s="161">
        <v>2624.94</v>
      </c>
      <c r="J953" s="161"/>
      <c r="K953" s="162" t="s">
        <v>8</v>
      </c>
      <c r="L953" s="163">
        <v>2023242.2</v>
      </c>
    </row>
    <row r="954" spans="1:12" ht="61.2" x14ac:dyDescent="0.3">
      <c r="A954" s="157" t="s">
        <v>167</v>
      </c>
      <c r="B954" s="158" t="s">
        <v>1631</v>
      </c>
      <c r="C954" s="158" t="s">
        <v>741</v>
      </c>
      <c r="D954" s="158" t="s">
        <v>1635</v>
      </c>
      <c r="E954" s="159" t="s">
        <v>42</v>
      </c>
      <c r="F954" s="160" t="s">
        <v>15</v>
      </c>
      <c r="G954" s="160"/>
      <c r="H954" s="159" t="s">
        <v>283</v>
      </c>
      <c r="I954" s="161">
        <v>3263.04</v>
      </c>
      <c r="J954" s="161"/>
      <c r="K954" s="162" t="s">
        <v>8</v>
      </c>
      <c r="L954" s="163">
        <v>2019979.16</v>
      </c>
    </row>
    <row r="955" spans="1:12" ht="51" x14ac:dyDescent="0.3">
      <c r="A955" s="157" t="s">
        <v>167</v>
      </c>
      <c r="B955" s="158" t="s">
        <v>1631</v>
      </c>
      <c r="C955" s="158" t="s">
        <v>741</v>
      </c>
      <c r="D955" s="158" t="s">
        <v>1620</v>
      </c>
      <c r="E955" s="159" t="s">
        <v>42</v>
      </c>
      <c r="F955" s="160" t="s">
        <v>15</v>
      </c>
      <c r="G955" s="160"/>
      <c r="H955" s="159" t="s">
        <v>283</v>
      </c>
      <c r="I955" s="161">
        <v>12170.24</v>
      </c>
      <c r="J955" s="161"/>
      <c r="K955" s="162" t="s">
        <v>8</v>
      </c>
      <c r="L955" s="163">
        <v>2007808.92</v>
      </c>
    </row>
    <row r="956" spans="1:12" ht="51" x14ac:dyDescent="0.3">
      <c r="A956" s="157" t="s">
        <v>167</v>
      </c>
      <c r="B956" s="158" t="s">
        <v>1631</v>
      </c>
      <c r="C956" s="158" t="s">
        <v>741</v>
      </c>
      <c r="D956" s="158" t="s">
        <v>1622</v>
      </c>
      <c r="E956" s="159" t="s">
        <v>42</v>
      </c>
      <c r="F956" s="160" t="s">
        <v>15</v>
      </c>
      <c r="G956" s="160"/>
      <c r="H956" s="159" t="s">
        <v>283</v>
      </c>
      <c r="I956" s="164">
        <v>645.66999999999996</v>
      </c>
      <c r="J956" s="164"/>
      <c r="K956" s="162" t="s">
        <v>8</v>
      </c>
      <c r="L956" s="163">
        <v>2007163.25</v>
      </c>
    </row>
    <row r="957" spans="1:12" ht="51" x14ac:dyDescent="0.3">
      <c r="A957" s="157" t="s">
        <v>167</v>
      </c>
      <c r="B957" s="158" t="s">
        <v>1636</v>
      </c>
      <c r="C957" s="158" t="s">
        <v>741</v>
      </c>
      <c r="D957" s="158" t="s">
        <v>1371</v>
      </c>
      <c r="E957" s="159" t="s">
        <v>42</v>
      </c>
      <c r="F957" s="160" t="s">
        <v>15</v>
      </c>
      <c r="G957" s="160"/>
      <c r="H957" s="159" t="s">
        <v>283</v>
      </c>
      <c r="I957" s="164">
        <v>500</v>
      </c>
      <c r="J957" s="164"/>
      <c r="K957" s="162" t="s">
        <v>8</v>
      </c>
      <c r="L957" s="163">
        <v>104754.57</v>
      </c>
    </row>
    <row r="958" spans="1:12" ht="51" x14ac:dyDescent="0.3">
      <c r="A958" s="157" t="s">
        <v>167</v>
      </c>
      <c r="B958" s="158" t="s">
        <v>1636</v>
      </c>
      <c r="C958" s="158" t="s">
        <v>741</v>
      </c>
      <c r="D958" s="158" t="s">
        <v>1637</v>
      </c>
      <c r="E958" s="159" t="s">
        <v>42</v>
      </c>
      <c r="F958" s="160" t="s">
        <v>15</v>
      </c>
      <c r="G958" s="160"/>
      <c r="H958" s="159" t="s">
        <v>283</v>
      </c>
      <c r="I958" s="161">
        <v>1000</v>
      </c>
      <c r="J958" s="161"/>
      <c r="K958" s="162" t="s">
        <v>8</v>
      </c>
      <c r="L958" s="163">
        <v>103754.57</v>
      </c>
    </row>
    <row r="959" spans="1:12" ht="51" x14ac:dyDescent="0.3">
      <c r="A959" s="157" t="s">
        <v>167</v>
      </c>
      <c r="B959" s="158" t="s">
        <v>1636</v>
      </c>
      <c r="C959" s="158" t="s">
        <v>741</v>
      </c>
      <c r="D959" s="158" t="s">
        <v>1638</v>
      </c>
      <c r="E959" s="159" t="s">
        <v>42</v>
      </c>
      <c r="F959" s="160" t="s">
        <v>15</v>
      </c>
      <c r="G959" s="160"/>
      <c r="H959" s="159" t="s">
        <v>283</v>
      </c>
      <c r="I959" s="161">
        <v>1000</v>
      </c>
      <c r="J959" s="161"/>
      <c r="K959" s="162" t="s">
        <v>8</v>
      </c>
      <c r="L959" s="163">
        <v>102754.57</v>
      </c>
    </row>
    <row r="960" spans="1:12" ht="51" x14ac:dyDescent="0.3">
      <c r="A960" s="157" t="s">
        <v>167</v>
      </c>
      <c r="B960" s="158" t="s">
        <v>1639</v>
      </c>
      <c r="C960" s="158" t="s">
        <v>741</v>
      </c>
      <c r="D960" s="158" t="s">
        <v>1557</v>
      </c>
      <c r="E960" s="159" t="s">
        <v>42</v>
      </c>
      <c r="F960" s="160" t="s">
        <v>15</v>
      </c>
      <c r="G960" s="160"/>
      <c r="H960" s="159" t="s">
        <v>283</v>
      </c>
      <c r="I960" s="164">
        <v>907.73</v>
      </c>
      <c r="J960" s="164"/>
      <c r="K960" s="162" t="s">
        <v>8</v>
      </c>
      <c r="L960" s="163">
        <v>303816.65999999997</v>
      </c>
    </row>
    <row r="961" spans="1:12" ht="51" x14ac:dyDescent="0.3">
      <c r="A961" s="157" t="s">
        <v>167</v>
      </c>
      <c r="B961" s="158" t="s">
        <v>1639</v>
      </c>
      <c r="C961" s="158" t="s">
        <v>741</v>
      </c>
      <c r="D961" s="158" t="s">
        <v>1640</v>
      </c>
      <c r="E961" s="159" t="s">
        <v>42</v>
      </c>
      <c r="F961" s="160" t="s">
        <v>15</v>
      </c>
      <c r="G961" s="160"/>
      <c r="H961" s="159" t="s">
        <v>283</v>
      </c>
      <c r="I961" s="161">
        <v>1051.33</v>
      </c>
      <c r="J961" s="161"/>
      <c r="K961" s="162" t="s">
        <v>8</v>
      </c>
      <c r="L961" s="163">
        <v>302765.33</v>
      </c>
    </row>
    <row r="962" spans="1:12" ht="51" x14ac:dyDescent="0.3">
      <c r="A962" s="157" t="s">
        <v>167</v>
      </c>
      <c r="B962" s="158" t="s">
        <v>1639</v>
      </c>
      <c r="C962" s="158" t="s">
        <v>741</v>
      </c>
      <c r="D962" s="158" t="s">
        <v>1641</v>
      </c>
      <c r="E962" s="159" t="s">
        <v>42</v>
      </c>
      <c r="F962" s="160" t="s">
        <v>15</v>
      </c>
      <c r="G962" s="160"/>
      <c r="H962" s="159" t="s">
        <v>283</v>
      </c>
      <c r="I962" s="161">
        <v>7682.1</v>
      </c>
      <c r="J962" s="161"/>
      <c r="K962" s="162" t="s">
        <v>8</v>
      </c>
      <c r="L962" s="163">
        <v>295083.23</v>
      </c>
    </row>
    <row r="963" spans="1:12" ht="51" x14ac:dyDescent="0.3">
      <c r="A963" s="157" t="s">
        <v>167</v>
      </c>
      <c r="B963" s="158" t="s">
        <v>1639</v>
      </c>
      <c r="C963" s="158" t="s">
        <v>741</v>
      </c>
      <c r="D963" s="158" t="s">
        <v>1560</v>
      </c>
      <c r="E963" s="159" t="s">
        <v>42</v>
      </c>
      <c r="F963" s="160" t="s">
        <v>15</v>
      </c>
      <c r="G963" s="160"/>
      <c r="H963" s="159" t="s">
        <v>283</v>
      </c>
      <c r="I963" s="164">
        <v>72.540000000000006</v>
      </c>
      <c r="J963" s="164"/>
      <c r="K963" s="162" t="s">
        <v>8</v>
      </c>
      <c r="L963" s="163">
        <v>295010.69</v>
      </c>
    </row>
    <row r="964" spans="1:12" ht="51" x14ac:dyDescent="0.3">
      <c r="A964" s="157" t="s">
        <v>167</v>
      </c>
      <c r="B964" s="158" t="s">
        <v>1642</v>
      </c>
      <c r="C964" s="158" t="s">
        <v>741</v>
      </c>
      <c r="D964" s="158" t="s">
        <v>1643</v>
      </c>
      <c r="E964" s="159" t="s">
        <v>42</v>
      </c>
      <c r="F964" s="160" t="s">
        <v>15</v>
      </c>
      <c r="G964" s="160"/>
      <c r="H964" s="159" t="s">
        <v>283</v>
      </c>
      <c r="I964" s="161">
        <v>1000</v>
      </c>
      <c r="J964" s="161"/>
      <c r="K964" s="162" t="s">
        <v>8</v>
      </c>
      <c r="L964" s="163">
        <v>101754.57</v>
      </c>
    </row>
    <row r="965" spans="1:12" ht="51" x14ac:dyDescent="0.3">
      <c r="A965" s="157" t="s">
        <v>167</v>
      </c>
      <c r="B965" s="158" t="s">
        <v>1642</v>
      </c>
      <c r="C965" s="158" t="s">
        <v>741</v>
      </c>
      <c r="D965" s="158" t="s">
        <v>1644</v>
      </c>
      <c r="E965" s="159" t="s">
        <v>42</v>
      </c>
      <c r="F965" s="160" t="s">
        <v>15</v>
      </c>
      <c r="G965" s="160"/>
      <c r="H965" s="159" t="s">
        <v>283</v>
      </c>
      <c r="I965" s="164">
        <v>500</v>
      </c>
      <c r="J965" s="164"/>
      <c r="K965" s="162" t="s">
        <v>8</v>
      </c>
      <c r="L965" s="163">
        <v>101254.57</v>
      </c>
    </row>
    <row r="966" spans="1:12" ht="51" x14ac:dyDescent="0.3">
      <c r="A966" s="157" t="s">
        <v>167</v>
      </c>
      <c r="B966" s="158" t="s">
        <v>1642</v>
      </c>
      <c r="C966" s="158" t="s">
        <v>741</v>
      </c>
      <c r="D966" s="158" t="s">
        <v>1645</v>
      </c>
      <c r="E966" s="159" t="s">
        <v>42</v>
      </c>
      <c r="F966" s="160" t="s">
        <v>15</v>
      </c>
      <c r="G966" s="160"/>
      <c r="H966" s="159" t="s">
        <v>283</v>
      </c>
      <c r="I966" s="164">
        <v>900</v>
      </c>
      <c r="J966" s="164"/>
      <c r="K966" s="162" t="s">
        <v>8</v>
      </c>
      <c r="L966" s="163">
        <v>100354.57</v>
      </c>
    </row>
    <row r="967" spans="1:12" ht="61.2" x14ac:dyDescent="0.3">
      <c r="A967" s="157" t="s">
        <v>167</v>
      </c>
      <c r="B967" s="158" t="s">
        <v>1646</v>
      </c>
      <c r="C967" s="158" t="s">
        <v>741</v>
      </c>
      <c r="D967" s="158" t="s">
        <v>1558</v>
      </c>
      <c r="E967" s="159" t="s">
        <v>42</v>
      </c>
      <c r="F967" s="160" t="s">
        <v>15</v>
      </c>
      <c r="G967" s="160"/>
      <c r="H967" s="159" t="s">
        <v>283</v>
      </c>
      <c r="I967" s="161">
        <v>8719.16</v>
      </c>
      <c r="J967" s="161"/>
      <c r="K967" s="162" t="s">
        <v>8</v>
      </c>
      <c r="L967" s="163">
        <v>166331.74</v>
      </c>
    </row>
    <row r="968" spans="1:12" ht="61.2" x14ac:dyDescent="0.3">
      <c r="A968" s="157" t="s">
        <v>167</v>
      </c>
      <c r="B968" s="158" t="s">
        <v>1646</v>
      </c>
      <c r="C968" s="158" t="s">
        <v>741</v>
      </c>
      <c r="D968" s="158" t="s">
        <v>1563</v>
      </c>
      <c r="E968" s="159" t="s">
        <v>42</v>
      </c>
      <c r="F968" s="160" t="s">
        <v>15</v>
      </c>
      <c r="G968" s="160"/>
      <c r="H968" s="159" t="s">
        <v>283</v>
      </c>
      <c r="I968" s="161">
        <v>1388.3</v>
      </c>
      <c r="J968" s="161"/>
      <c r="K968" s="162" t="s">
        <v>8</v>
      </c>
      <c r="L968" s="163">
        <v>164943.44</v>
      </c>
    </row>
    <row r="969" spans="1:12" ht="61.2" x14ac:dyDescent="0.3">
      <c r="A969" s="157" t="s">
        <v>167</v>
      </c>
      <c r="B969" s="158" t="s">
        <v>1646</v>
      </c>
      <c r="C969" s="158" t="s">
        <v>741</v>
      </c>
      <c r="D969" s="158" t="s">
        <v>1563</v>
      </c>
      <c r="E969" s="159" t="s">
        <v>42</v>
      </c>
      <c r="F969" s="160" t="s">
        <v>15</v>
      </c>
      <c r="G969" s="160"/>
      <c r="H969" s="159" t="s">
        <v>283</v>
      </c>
      <c r="I969" s="161">
        <v>9987.86</v>
      </c>
      <c r="J969" s="161"/>
      <c r="K969" s="162" t="s">
        <v>8</v>
      </c>
      <c r="L969" s="163">
        <v>154955.57999999999</v>
      </c>
    </row>
    <row r="970" spans="1:12" ht="61.2" x14ac:dyDescent="0.3">
      <c r="A970" s="157" t="s">
        <v>167</v>
      </c>
      <c r="B970" s="158" t="s">
        <v>1646</v>
      </c>
      <c r="C970" s="158" t="s">
        <v>741</v>
      </c>
      <c r="D970" s="158" t="s">
        <v>1563</v>
      </c>
      <c r="E970" s="159" t="s">
        <v>42</v>
      </c>
      <c r="F970" s="160" t="s">
        <v>15</v>
      </c>
      <c r="G970" s="160"/>
      <c r="H970" s="159" t="s">
        <v>283</v>
      </c>
      <c r="I970" s="161">
        <v>4805.6400000000003</v>
      </c>
      <c r="J970" s="161"/>
      <c r="K970" s="162" t="s">
        <v>8</v>
      </c>
      <c r="L970" s="163">
        <v>150149.94</v>
      </c>
    </row>
    <row r="971" spans="1:12" ht="61.2" x14ac:dyDescent="0.3">
      <c r="A971" s="157" t="s">
        <v>167</v>
      </c>
      <c r="B971" s="158" t="s">
        <v>1646</v>
      </c>
      <c r="C971" s="158" t="s">
        <v>741</v>
      </c>
      <c r="D971" s="158" t="s">
        <v>1612</v>
      </c>
      <c r="E971" s="159" t="s">
        <v>42</v>
      </c>
      <c r="F971" s="160" t="s">
        <v>15</v>
      </c>
      <c r="G971" s="160"/>
      <c r="H971" s="159" t="s">
        <v>283</v>
      </c>
      <c r="I971" s="161">
        <v>3879.33</v>
      </c>
      <c r="J971" s="161"/>
      <c r="K971" s="162" t="s">
        <v>8</v>
      </c>
      <c r="L971" s="163">
        <v>146270.60999999999</v>
      </c>
    </row>
    <row r="972" spans="1:12" ht="51" x14ac:dyDescent="0.3">
      <c r="A972" s="157" t="s">
        <v>167</v>
      </c>
      <c r="B972" s="158" t="s">
        <v>1647</v>
      </c>
      <c r="C972" s="158" t="s">
        <v>741</v>
      </c>
      <c r="D972" s="158" t="s">
        <v>1362</v>
      </c>
      <c r="E972" s="159" t="s">
        <v>42</v>
      </c>
      <c r="F972" s="160" t="s">
        <v>15</v>
      </c>
      <c r="G972" s="160"/>
      <c r="H972" s="159" t="s">
        <v>283</v>
      </c>
      <c r="I972" s="161">
        <v>34717.33</v>
      </c>
      <c r="J972" s="161"/>
      <c r="K972" s="162" t="s">
        <v>8</v>
      </c>
      <c r="L972" s="163">
        <v>2406177.36</v>
      </c>
    </row>
    <row r="973" spans="1:12" ht="61.2" x14ac:dyDescent="0.3">
      <c r="A973" s="157" t="s">
        <v>167</v>
      </c>
      <c r="B973" s="158" t="s">
        <v>1647</v>
      </c>
      <c r="C973" s="158" t="s">
        <v>741</v>
      </c>
      <c r="D973" s="158" t="s">
        <v>1364</v>
      </c>
      <c r="E973" s="159" t="s">
        <v>42</v>
      </c>
      <c r="F973" s="160" t="s">
        <v>15</v>
      </c>
      <c r="G973" s="160"/>
      <c r="H973" s="159" t="s">
        <v>283</v>
      </c>
      <c r="I973" s="161">
        <v>2787.46</v>
      </c>
      <c r="J973" s="161"/>
      <c r="K973" s="162" t="s">
        <v>8</v>
      </c>
      <c r="L973" s="163">
        <v>2403389.9</v>
      </c>
    </row>
    <row r="974" spans="1:12" ht="51" x14ac:dyDescent="0.3">
      <c r="A974" s="157" t="s">
        <v>167</v>
      </c>
      <c r="B974" s="158" t="s">
        <v>1647</v>
      </c>
      <c r="C974" s="158" t="s">
        <v>741</v>
      </c>
      <c r="D974" s="158" t="s">
        <v>1648</v>
      </c>
      <c r="E974" s="159" t="s">
        <v>42</v>
      </c>
      <c r="F974" s="160" t="s">
        <v>15</v>
      </c>
      <c r="G974" s="160"/>
      <c r="H974" s="159" t="s">
        <v>283</v>
      </c>
      <c r="I974" s="164">
        <v>520.4</v>
      </c>
      <c r="J974" s="164"/>
      <c r="K974" s="162" t="s">
        <v>8</v>
      </c>
      <c r="L974" s="163">
        <v>2402869.5</v>
      </c>
    </row>
    <row r="975" spans="1:12" ht="51" x14ac:dyDescent="0.3">
      <c r="A975" s="157" t="s">
        <v>167</v>
      </c>
      <c r="B975" s="158" t="s">
        <v>1647</v>
      </c>
      <c r="C975" s="158" t="s">
        <v>741</v>
      </c>
      <c r="D975" s="158" t="s">
        <v>1595</v>
      </c>
      <c r="E975" s="159" t="s">
        <v>42</v>
      </c>
      <c r="F975" s="160" t="s">
        <v>15</v>
      </c>
      <c r="G975" s="160"/>
      <c r="H975" s="159" t="s">
        <v>283</v>
      </c>
      <c r="I975" s="161">
        <v>1086.0899999999999</v>
      </c>
      <c r="J975" s="161"/>
      <c r="K975" s="162" t="s">
        <v>8</v>
      </c>
      <c r="L975" s="163">
        <v>2401783.41</v>
      </c>
    </row>
    <row r="976" spans="1:12" ht="51" x14ac:dyDescent="0.3">
      <c r="A976" s="157" t="s">
        <v>167</v>
      </c>
      <c r="B976" s="158" t="s">
        <v>1647</v>
      </c>
      <c r="C976" s="158" t="s">
        <v>741</v>
      </c>
      <c r="D976" s="158" t="s">
        <v>889</v>
      </c>
      <c r="E976" s="159" t="s">
        <v>42</v>
      </c>
      <c r="F976" s="160" t="s">
        <v>15</v>
      </c>
      <c r="G976" s="160"/>
      <c r="H976" s="159" t="s">
        <v>283</v>
      </c>
      <c r="I976" s="164">
        <v>132.88</v>
      </c>
      <c r="J976" s="164"/>
      <c r="K976" s="162" t="s">
        <v>8</v>
      </c>
      <c r="L976" s="163">
        <v>2401650.5299999998</v>
      </c>
    </row>
    <row r="977" spans="1:12" ht="51" x14ac:dyDescent="0.3">
      <c r="A977" s="157" t="s">
        <v>167</v>
      </c>
      <c r="B977" s="158" t="s">
        <v>1647</v>
      </c>
      <c r="C977" s="158" t="s">
        <v>741</v>
      </c>
      <c r="D977" s="158" t="s">
        <v>1565</v>
      </c>
      <c r="E977" s="159" t="s">
        <v>42</v>
      </c>
      <c r="F977" s="160" t="s">
        <v>15</v>
      </c>
      <c r="G977" s="160"/>
      <c r="H977" s="159" t="s">
        <v>283</v>
      </c>
      <c r="I977" s="164">
        <v>511.99</v>
      </c>
      <c r="J977" s="164"/>
      <c r="K977" s="162" t="s">
        <v>8</v>
      </c>
      <c r="L977" s="163">
        <v>2401138.54</v>
      </c>
    </row>
    <row r="978" spans="1:12" ht="71.400000000000006" x14ac:dyDescent="0.3">
      <c r="A978" s="157" t="s">
        <v>167</v>
      </c>
      <c r="B978" s="158" t="s">
        <v>1647</v>
      </c>
      <c r="C978" s="158" t="s">
        <v>741</v>
      </c>
      <c r="D978" s="158" t="s">
        <v>1567</v>
      </c>
      <c r="E978" s="159" t="s">
        <v>42</v>
      </c>
      <c r="F978" s="160" t="s">
        <v>15</v>
      </c>
      <c r="G978" s="160"/>
      <c r="H978" s="159" t="s">
        <v>283</v>
      </c>
      <c r="I978" s="164">
        <v>416.47</v>
      </c>
      <c r="J978" s="164"/>
      <c r="K978" s="162" t="s">
        <v>8</v>
      </c>
      <c r="L978" s="163">
        <v>2400722.0699999998</v>
      </c>
    </row>
    <row r="979" spans="1:12" ht="61.2" x14ac:dyDescent="0.3">
      <c r="A979" s="157" t="s">
        <v>167</v>
      </c>
      <c r="B979" s="158" t="s">
        <v>1649</v>
      </c>
      <c r="C979" s="158" t="s">
        <v>741</v>
      </c>
      <c r="D979" s="158" t="s">
        <v>989</v>
      </c>
      <c r="E979" s="159" t="s">
        <v>42</v>
      </c>
      <c r="F979" s="160" t="s">
        <v>15</v>
      </c>
      <c r="G979" s="160"/>
      <c r="H979" s="159" t="s">
        <v>283</v>
      </c>
      <c r="I979" s="161">
        <v>6080.79</v>
      </c>
      <c r="J979" s="161"/>
      <c r="K979" s="162" t="s">
        <v>8</v>
      </c>
      <c r="L979" s="163">
        <v>2260055.54</v>
      </c>
    </row>
    <row r="980" spans="1:12" ht="61.2" x14ac:dyDescent="0.3">
      <c r="A980" s="157" t="s">
        <v>167</v>
      </c>
      <c r="B980" s="158" t="s">
        <v>1650</v>
      </c>
      <c r="C980" s="158" t="s">
        <v>741</v>
      </c>
      <c r="D980" s="158" t="s">
        <v>1570</v>
      </c>
      <c r="E980" s="159" t="s">
        <v>42</v>
      </c>
      <c r="F980" s="160" t="s">
        <v>15</v>
      </c>
      <c r="G980" s="160"/>
      <c r="H980" s="159" t="s">
        <v>283</v>
      </c>
      <c r="I980" s="161">
        <v>3283</v>
      </c>
      <c r="J980" s="161"/>
      <c r="K980" s="162" t="s">
        <v>8</v>
      </c>
      <c r="L980" s="163">
        <v>2256772.54</v>
      </c>
    </row>
    <row r="981" spans="1:12" ht="61.2" x14ac:dyDescent="0.3">
      <c r="A981" s="157" t="s">
        <v>167</v>
      </c>
      <c r="B981" s="158" t="s">
        <v>1650</v>
      </c>
      <c r="C981" s="158" t="s">
        <v>741</v>
      </c>
      <c r="D981" s="158" t="s">
        <v>1573</v>
      </c>
      <c r="E981" s="159" t="s">
        <v>42</v>
      </c>
      <c r="F981" s="160" t="s">
        <v>15</v>
      </c>
      <c r="G981" s="160"/>
      <c r="H981" s="159" t="s">
        <v>283</v>
      </c>
      <c r="I981" s="161">
        <v>5666.5</v>
      </c>
      <c r="J981" s="161"/>
      <c r="K981" s="162" t="s">
        <v>8</v>
      </c>
      <c r="L981" s="163">
        <v>2251106.04</v>
      </c>
    </row>
    <row r="982" spans="1:12" ht="61.2" x14ac:dyDescent="0.3">
      <c r="A982" s="157" t="s">
        <v>167</v>
      </c>
      <c r="B982" s="158" t="s">
        <v>1650</v>
      </c>
      <c r="C982" s="158" t="s">
        <v>741</v>
      </c>
      <c r="D982" s="158" t="s">
        <v>1576</v>
      </c>
      <c r="E982" s="159" t="s">
        <v>42</v>
      </c>
      <c r="F982" s="160" t="s">
        <v>15</v>
      </c>
      <c r="G982" s="160"/>
      <c r="H982" s="159" t="s">
        <v>283</v>
      </c>
      <c r="I982" s="161">
        <v>17857.97</v>
      </c>
      <c r="J982" s="161"/>
      <c r="K982" s="162" t="s">
        <v>8</v>
      </c>
      <c r="L982" s="163">
        <v>2233248.0699999998</v>
      </c>
    </row>
    <row r="983" spans="1:12" ht="51" x14ac:dyDescent="0.3">
      <c r="A983" s="157" t="s">
        <v>167</v>
      </c>
      <c r="B983" s="158" t="s">
        <v>1651</v>
      </c>
      <c r="C983" s="158" t="s">
        <v>741</v>
      </c>
      <c r="D983" s="158" t="s">
        <v>1598</v>
      </c>
      <c r="E983" s="159" t="s">
        <v>42</v>
      </c>
      <c r="F983" s="160" t="s">
        <v>15</v>
      </c>
      <c r="G983" s="160"/>
      <c r="H983" s="159" t="s">
        <v>283</v>
      </c>
      <c r="I983" s="161">
        <v>9868.11</v>
      </c>
      <c r="J983" s="161"/>
      <c r="K983" s="162" t="s">
        <v>8</v>
      </c>
      <c r="L983" s="163">
        <v>2632666.61</v>
      </c>
    </row>
    <row r="984" spans="1:12" ht="51" x14ac:dyDescent="0.3">
      <c r="A984" s="157" t="s">
        <v>167</v>
      </c>
      <c r="B984" s="158" t="s">
        <v>1651</v>
      </c>
      <c r="C984" s="158" t="s">
        <v>741</v>
      </c>
      <c r="D984" s="158" t="s">
        <v>1599</v>
      </c>
      <c r="E984" s="159" t="s">
        <v>42</v>
      </c>
      <c r="F984" s="160" t="s">
        <v>15</v>
      </c>
      <c r="G984" s="160"/>
      <c r="H984" s="159" t="s">
        <v>283</v>
      </c>
      <c r="I984" s="161">
        <v>86568.75</v>
      </c>
      <c r="J984" s="161"/>
      <c r="K984" s="162" t="s">
        <v>8</v>
      </c>
      <c r="L984" s="163">
        <v>2546097.86</v>
      </c>
    </row>
    <row r="985" spans="1:12" ht="51" x14ac:dyDescent="0.3">
      <c r="A985" s="157" t="s">
        <v>167</v>
      </c>
      <c r="B985" s="158" t="s">
        <v>1651</v>
      </c>
      <c r="C985" s="158" t="s">
        <v>741</v>
      </c>
      <c r="D985" s="158" t="s">
        <v>1600</v>
      </c>
      <c r="E985" s="159" t="s">
        <v>42</v>
      </c>
      <c r="F985" s="160" t="s">
        <v>15</v>
      </c>
      <c r="G985" s="160"/>
      <c r="H985" s="159" t="s">
        <v>283</v>
      </c>
      <c r="I985" s="161">
        <v>73137.440000000002</v>
      </c>
      <c r="J985" s="161"/>
      <c r="K985" s="162" t="s">
        <v>8</v>
      </c>
      <c r="L985" s="163">
        <v>2472960.42</v>
      </c>
    </row>
    <row r="986" spans="1:12" ht="51" x14ac:dyDescent="0.3">
      <c r="A986" s="157" t="s">
        <v>167</v>
      </c>
      <c r="B986" s="158" t="s">
        <v>1651</v>
      </c>
      <c r="C986" s="158" t="s">
        <v>741</v>
      </c>
      <c r="D986" s="158" t="s">
        <v>1602</v>
      </c>
      <c r="E986" s="159" t="s">
        <v>42</v>
      </c>
      <c r="F986" s="160" t="s">
        <v>15</v>
      </c>
      <c r="G986" s="160"/>
      <c r="H986" s="159" t="s">
        <v>283</v>
      </c>
      <c r="I986" s="161">
        <v>2351.16</v>
      </c>
      <c r="J986" s="161"/>
      <c r="K986" s="162" t="s">
        <v>8</v>
      </c>
      <c r="L986" s="163">
        <v>2470609.2599999998</v>
      </c>
    </row>
    <row r="987" spans="1:12" ht="61.2" x14ac:dyDescent="0.3">
      <c r="A987" s="157" t="s">
        <v>167</v>
      </c>
      <c r="B987" s="158" t="s">
        <v>1651</v>
      </c>
      <c r="C987" s="158" t="s">
        <v>741</v>
      </c>
      <c r="D987" s="158" t="s">
        <v>1603</v>
      </c>
      <c r="E987" s="159" t="s">
        <v>42</v>
      </c>
      <c r="F987" s="160" t="s">
        <v>15</v>
      </c>
      <c r="G987" s="160"/>
      <c r="H987" s="159" t="s">
        <v>283</v>
      </c>
      <c r="I987" s="164">
        <v>190.44</v>
      </c>
      <c r="J987" s="164"/>
      <c r="K987" s="162" t="s">
        <v>8</v>
      </c>
      <c r="L987" s="163">
        <v>2470418.8199999998</v>
      </c>
    </row>
    <row r="988" spans="1:12" ht="51" x14ac:dyDescent="0.3">
      <c r="A988" s="157" t="s">
        <v>167</v>
      </c>
      <c r="B988" s="158" t="s">
        <v>1651</v>
      </c>
      <c r="C988" s="158" t="s">
        <v>741</v>
      </c>
      <c r="D988" s="158" t="s">
        <v>1605</v>
      </c>
      <c r="E988" s="159" t="s">
        <v>42</v>
      </c>
      <c r="F988" s="160" t="s">
        <v>15</v>
      </c>
      <c r="G988" s="160"/>
      <c r="H988" s="159" t="s">
        <v>283</v>
      </c>
      <c r="I988" s="161">
        <v>3821.49</v>
      </c>
      <c r="J988" s="161"/>
      <c r="K988" s="162" t="s">
        <v>8</v>
      </c>
      <c r="L988" s="163">
        <v>2466597.33</v>
      </c>
    </row>
    <row r="989" spans="1:12" ht="51" x14ac:dyDescent="0.3">
      <c r="A989" s="157" t="s">
        <v>167</v>
      </c>
      <c r="B989" s="158" t="s">
        <v>1651</v>
      </c>
      <c r="C989" s="158" t="s">
        <v>741</v>
      </c>
      <c r="D989" s="158" t="s">
        <v>1609</v>
      </c>
      <c r="E989" s="159" t="s">
        <v>42</v>
      </c>
      <c r="F989" s="160" t="s">
        <v>15</v>
      </c>
      <c r="G989" s="160"/>
      <c r="H989" s="159" t="s">
        <v>283</v>
      </c>
      <c r="I989" s="161">
        <v>4904.0200000000004</v>
      </c>
      <c r="J989" s="161"/>
      <c r="K989" s="162" t="s">
        <v>8</v>
      </c>
      <c r="L989" s="163">
        <v>2461693.31</v>
      </c>
    </row>
    <row r="990" spans="1:12" ht="51" x14ac:dyDescent="0.3">
      <c r="A990" s="157" t="s">
        <v>167</v>
      </c>
      <c r="B990" s="158" t="s">
        <v>1651</v>
      </c>
      <c r="C990" s="158" t="s">
        <v>741</v>
      </c>
      <c r="D990" s="158" t="s">
        <v>1606</v>
      </c>
      <c r="E990" s="159" t="s">
        <v>42</v>
      </c>
      <c r="F990" s="160" t="s">
        <v>15</v>
      </c>
      <c r="G990" s="160"/>
      <c r="H990" s="159" t="s">
        <v>283</v>
      </c>
      <c r="I990" s="161">
        <v>1287.1300000000001</v>
      </c>
      <c r="J990" s="161"/>
      <c r="K990" s="162" t="s">
        <v>8</v>
      </c>
      <c r="L990" s="163">
        <v>2460406.1800000002</v>
      </c>
    </row>
    <row r="991" spans="1:12" ht="51" hidden="1" x14ac:dyDescent="0.3">
      <c r="A991" s="157" t="s">
        <v>429</v>
      </c>
      <c r="B991" s="158" t="s">
        <v>1652</v>
      </c>
      <c r="C991" s="158" t="s">
        <v>1653</v>
      </c>
      <c r="D991" s="158" t="s">
        <v>1445</v>
      </c>
      <c r="E991" s="159" t="s">
        <v>283</v>
      </c>
      <c r="F991" s="165">
        <v>15722.7</v>
      </c>
      <c r="G991" s="165"/>
      <c r="H991" s="159" t="s">
        <v>14</v>
      </c>
      <c r="I991" s="166" t="s">
        <v>15</v>
      </c>
      <c r="J991" s="166"/>
      <c r="K991" s="162" t="s">
        <v>8</v>
      </c>
      <c r="L991" s="163">
        <v>710653.53</v>
      </c>
    </row>
    <row r="992" spans="1:12" ht="51" hidden="1" x14ac:dyDescent="0.3">
      <c r="A992" s="157" t="s">
        <v>429</v>
      </c>
      <c r="B992" s="158" t="s">
        <v>1652</v>
      </c>
      <c r="C992" s="158" t="s">
        <v>1654</v>
      </c>
      <c r="D992" s="158" t="s">
        <v>1445</v>
      </c>
      <c r="E992" s="159" t="s">
        <v>283</v>
      </c>
      <c r="F992" s="165">
        <v>24381.35</v>
      </c>
      <c r="G992" s="165"/>
      <c r="H992" s="159" t="s">
        <v>14</v>
      </c>
      <c r="I992" s="166" t="s">
        <v>15</v>
      </c>
      <c r="J992" s="166"/>
      <c r="K992" s="162" t="s">
        <v>8</v>
      </c>
      <c r="L992" s="163">
        <v>735034.88</v>
      </c>
    </row>
    <row r="993" spans="1:12" ht="51" hidden="1" x14ac:dyDescent="0.3">
      <c r="A993" s="157" t="s">
        <v>429</v>
      </c>
      <c r="B993" s="158" t="s">
        <v>1652</v>
      </c>
      <c r="C993" s="158" t="s">
        <v>1655</v>
      </c>
      <c r="D993" s="158" t="s">
        <v>1445</v>
      </c>
      <c r="E993" s="159" t="s">
        <v>283</v>
      </c>
      <c r="F993" s="165">
        <v>15432.6</v>
      </c>
      <c r="G993" s="165"/>
      <c r="H993" s="159" t="s">
        <v>14</v>
      </c>
      <c r="I993" s="166" t="s">
        <v>15</v>
      </c>
      <c r="J993" s="166"/>
      <c r="K993" s="162" t="s">
        <v>8</v>
      </c>
      <c r="L993" s="163">
        <v>750467.48</v>
      </c>
    </row>
    <row r="994" spans="1:12" ht="51" hidden="1" x14ac:dyDescent="0.3">
      <c r="A994" s="157" t="s">
        <v>429</v>
      </c>
      <c r="B994" s="158" t="s">
        <v>1652</v>
      </c>
      <c r="C994" s="158" t="s">
        <v>1656</v>
      </c>
      <c r="D994" s="158" t="s">
        <v>1445</v>
      </c>
      <c r="E994" s="159" t="s">
        <v>283</v>
      </c>
      <c r="F994" s="165">
        <v>13146.96</v>
      </c>
      <c r="G994" s="165"/>
      <c r="H994" s="159" t="s">
        <v>14</v>
      </c>
      <c r="I994" s="166" t="s">
        <v>15</v>
      </c>
      <c r="J994" s="166"/>
      <c r="K994" s="162" t="s">
        <v>8</v>
      </c>
      <c r="L994" s="163">
        <v>763614.44</v>
      </c>
    </row>
    <row r="995" spans="1:12" ht="51" hidden="1" x14ac:dyDescent="0.3">
      <c r="A995" s="157" t="s">
        <v>429</v>
      </c>
      <c r="B995" s="158" t="s">
        <v>1652</v>
      </c>
      <c r="C995" s="158" t="s">
        <v>1657</v>
      </c>
      <c r="D995" s="158" t="s">
        <v>1445</v>
      </c>
      <c r="E995" s="159" t="s">
        <v>283</v>
      </c>
      <c r="F995" s="165">
        <v>15393</v>
      </c>
      <c r="G995" s="165"/>
      <c r="H995" s="159" t="s">
        <v>14</v>
      </c>
      <c r="I995" s="166" t="s">
        <v>15</v>
      </c>
      <c r="J995" s="166"/>
      <c r="K995" s="162" t="s">
        <v>8</v>
      </c>
      <c r="L995" s="163">
        <v>779007.44</v>
      </c>
    </row>
    <row r="996" spans="1:12" ht="51" hidden="1" x14ac:dyDescent="0.3">
      <c r="A996" s="157" t="s">
        <v>429</v>
      </c>
      <c r="B996" s="158" t="s">
        <v>1658</v>
      </c>
      <c r="C996" s="158" t="s">
        <v>1659</v>
      </c>
      <c r="D996" s="158" t="s">
        <v>1445</v>
      </c>
      <c r="E996" s="159" t="s">
        <v>283</v>
      </c>
      <c r="F996" s="165">
        <v>7955.5</v>
      </c>
      <c r="G996" s="165"/>
      <c r="H996" s="159" t="s">
        <v>14</v>
      </c>
      <c r="I996" s="166" t="s">
        <v>15</v>
      </c>
      <c r="J996" s="166"/>
      <c r="K996" s="162" t="s">
        <v>8</v>
      </c>
      <c r="L996" s="163">
        <v>786962.94</v>
      </c>
    </row>
    <row r="997" spans="1:12" ht="51" hidden="1" x14ac:dyDescent="0.3">
      <c r="A997" s="157" t="s">
        <v>429</v>
      </c>
      <c r="B997" s="158" t="s">
        <v>1658</v>
      </c>
      <c r="C997" s="158" t="s">
        <v>1660</v>
      </c>
      <c r="D997" s="158" t="s">
        <v>1445</v>
      </c>
      <c r="E997" s="159" t="s">
        <v>283</v>
      </c>
      <c r="F997" s="165">
        <v>13476.6</v>
      </c>
      <c r="G997" s="165"/>
      <c r="H997" s="159" t="s">
        <v>14</v>
      </c>
      <c r="I997" s="166" t="s">
        <v>15</v>
      </c>
      <c r="J997" s="166"/>
      <c r="K997" s="162" t="s">
        <v>8</v>
      </c>
      <c r="L997" s="163">
        <v>800439.54</v>
      </c>
    </row>
    <row r="998" spans="1:12" ht="51" hidden="1" x14ac:dyDescent="0.3">
      <c r="A998" s="157" t="s">
        <v>429</v>
      </c>
      <c r="B998" s="158" t="s">
        <v>1658</v>
      </c>
      <c r="C998" s="158" t="s">
        <v>1661</v>
      </c>
      <c r="D998" s="158" t="s">
        <v>1445</v>
      </c>
      <c r="E998" s="159" t="s">
        <v>283</v>
      </c>
      <c r="F998" s="165">
        <v>20898.3</v>
      </c>
      <c r="G998" s="165"/>
      <c r="H998" s="159" t="s">
        <v>14</v>
      </c>
      <c r="I998" s="166" t="s">
        <v>15</v>
      </c>
      <c r="J998" s="166"/>
      <c r="K998" s="162" t="s">
        <v>8</v>
      </c>
      <c r="L998" s="163">
        <v>821337.84</v>
      </c>
    </row>
    <row r="999" spans="1:12" ht="51" hidden="1" x14ac:dyDescent="0.3">
      <c r="A999" s="157" t="s">
        <v>429</v>
      </c>
      <c r="B999" s="158" t="s">
        <v>1658</v>
      </c>
      <c r="C999" s="158" t="s">
        <v>1662</v>
      </c>
      <c r="D999" s="158" t="s">
        <v>1445</v>
      </c>
      <c r="E999" s="159" t="s">
        <v>283</v>
      </c>
      <c r="F999" s="165">
        <v>3976.55</v>
      </c>
      <c r="G999" s="165"/>
      <c r="H999" s="159" t="s">
        <v>14</v>
      </c>
      <c r="I999" s="166" t="s">
        <v>15</v>
      </c>
      <c r="J999" s="166"/>
      <c r="K999" s="162" t="s">
        <v>8</v>
      </c>
      <c r="L999" s="163">
        <v>825314.39</v>
      </c>
    </row>
    <row r="1000" spans="1:12" ht="51" hidden="1" x14ac:dyDescent="0.3">
      <c r="A1000" s="157" t="s">
        <v>429</v>
      </c>
      <c r="B1000" s="158" t="s">
        <v>1658</v>
      </c>
      <c r="C1000" s="158" t="s">
        <v>1663</v>
      </c>
      <c r="D1000" s="158" t="s">
        <v>1445</v>
      </c>
      <c r="E1000" s="159" t="s">
        <v>283</v>
      </c>
      <c r="F1000" s="165">
        <v>16626.599999999999</v>
      </c>
      <c r="G1000" s="165"/>
      <c r="H1000" s="159" t="s">
        <v>14</v>
      </c>
      <c r="I1000" s="166" t="s">
        <v>15</v>
      </c>
      <c r="J1000" s="166"/>
      <c r="K1000" s="162" t="s">
        <v>8</v>
      </c>
      <c r="L1000" s="163">
        <v>841940.99</v>
      </c>
    </row>
    <row r="1001" spans="1:12" ht="51" hidden="1" x14ac:dyDescent="0.3">
      <c r="A1001" s="157" t="s">
        <v>429</v>
      </c>
      <c r="B1001" s="158" t="s">
        <v>1658</v>
      </c>
      <c r="C1001" s="158" t="s">
        <v>1664</v>
      </c>
      <c r="D1001" s="158" t="s">
        <v>1445</v>
      </c>
      <c r="E1001" s="159" t="s">
        <v>283</v>
      </c>
      <c r="F1001" s="165">
        <v>8530.7000000000007</v>
      </c>
      <c r="G1001" s="165"/>
      <c r="H1001" s="159" t="s">
        <v>14</v>
      </c>
      <c r="I1001" s="166" t="s">
        <v>15</v>
      </c>
      <c r="J1001" s="166"/>
      <c r="K1001" s="162" t="s">
        <v>8</v>
      </c>
      <c r="L1001" s="163">
        <v>850471.69</v>
      </c>
    </row>
    <row r="1002" spans="1:12" ht="51" hidden="1" x14ac:dyDescent="0.3">
      <c r="A1002" s="157" t="s">
        <v>429</v>
      </c>
      <c r="B1002" s="158" t="s">
        <v>1658</v>
      </c>
      <c r="C1002" s="158" t="s">
        <v>1665</v>
      </c>
      <c r="D1002" s="158" t="s">
        <v>1445</v>
      </c>
      <c r="E1002" s="159" t="s">
        <v>283</v>
      </c>
      <c r="F1002" s="165">
        <v>23148.9</v>
      </c>
      <c r="G1002" s="165"/>
      <c r="H1002" s="159" t="s">
        <v>14</v>
      </c>
      <c r="I1002" s="166" t="s">
        <v>15</v>
      </c>
      <c r="J1002" s="166"/>
      <c r="K1002" s="162" t="s">
        <v>8</v>
      </c>
      <c r="L1002" s="163">
        <v>873620.59</v>
      </c>
    </row>
    <row r="1003" spans="1:12" ht="51" hidden="1" x14ac:dyDescent="0.3">
      <c r="A1003" s="157" t="s">
        <v>1666</v>
      </c>
      <c r="B1003" s="158" t="s">
        <v>1667</v>
      </c>
      <c r="C1003" s="158" t="s">
        <v>1668</v>
      </c>
      <c r="D1003" s="158" t="s">
        <v>1669</v>
      </c>
      <c r="E1003" s="159" t="s">
        <v>283</v>
      </c>
      <c r="F1003" s="165">
        <v>6334.9</v>
      </c>
      <c r="G1003" s="165"/>
      <c r="H1003" s="159" t="s">
        <v>14</v>
      </c>
      <c r="I1003" s="166" t="s">
        <v>15</v>
      </c>
      <c r="J1003" s="166"/>
      <c r="K1003" s="162" t="s">
        <v>8</v>
      </c>
      <c r="L1003" s="163">
        <v>841651.37</v>
      </c>
    </row>
    <row r="1004" spans="1:12" ht="51" hidden="1" x14ac:dyDescent="0.3">
      <c r="A1004" s="157" t="s">
        <v>1666</v>
      </c>
      <c r="B1004" s="158" t="s">
        <v>1670</v>
      </c>
      <c r="C1004" s="158" t="s">
        <v>1668</v>
      </c>
      <c r="D1004" s="158" t="s">
        <v>1669</v>
      </c>
      <c r="E1004" s="159" t="s">
        <v>283</v>
      </c>
      <c r="F1004" s="165">
        <v>152037.57999999999</v>
      </c>
      <c r="G1004" s="165"/>
      <c r="H1004" s="159" t="s">
        <v>14</v>
      </c>
      <c r="I1004" s="166" t="s">
        <v>15</v>
      </c>
      <c r="J1004" s="166"/>
      <c r="K1004" s="162" t="s">
        <v>8</v>
      </c>
      <c r="L1004" s="163">
        <v>993688.95</v>
      </c>
    </row>
    <row r="1005" spans="1:12" ht="51" hidden="1" x14ac:dyDescent="0.3">
      <c r="A1005" s="157" t="s">
        <v>239</v>
      </c>
      <c r="B1005" s="158" t="s">
        <v>1671</v>
      </c>
      <c r="C1005" s="158" t="s">
        <v>1672</v>
      </c>
      <c r="D1005" s="158" t="s">
        <v>1445</v>
      </c>
      <c r="E1005" s="159" t="s">
        <v>283</v>
      </c>
      <c r="F1005" s="165">
        <v>7750.75</v>
      </c>
      <c r="G1005" s="165"/>
      <c r="H1005" s="159" t="s">
        <v>14</v>
      </c>
      <c r="I1005" s="166" t="s">
        <v>15</v>
      </c>
      <c r="J1005" s="166"/>
      <c r="K1005" s="162" t="s">
        <v>8</v>
      </c>
      <c r="L1005" s="163">
        <v>881371.34</v>
      </c>
    </row>
    <row r="1006" spans="1:12" ht="51" hidden="1" x14ac:dyDescent="0.3">
      <c r="A1006" s="157" t="s">
        <v>239</v>
      </c>
      <c r="B1006" s="158" t="s">
        <v>1671</v>
      </c>
      <c r="C1006" s="158" t="s">
        <v>1673</v>
      </c>
      <c r="D1006" s="158" t="s">
        <v>1445</v>
      </c>
      <c r="E1006" s="159" t="s">
        <v>283</v>
      </c>
      <c r="F1006" s="165">
        <v>4492.2</v>
      </c>
      <c r="G1006" s="165"/>
      <c r="H1006" s="159" t="s">
        <v>14</v>
      </c>
      <c r="I1006" s="166" t="s">
        <v>15</v>
      </c>
      <c r="J1006" s="166"/>
      <c r="K1006" s="162" t="s">
        <v>8</v>
      </c>
      <c r="L1006" s="163">
        <v>885863.54</v>
      </c>
    </row>
    <row r="1007" spans="1:12" ht="51" hidden="1" x14ac:dyDescent="0.3">
      <c r="A1007" s="157" t="s">
        <v>239</v>
      </c>
      <c r="B1007" s="158" t="s">
        <v>1671</v>
      </c>
      <c r="C1007" s="158" t="s">
        <v>1674</v>
      </c>
      <c r="D1007" s="158" t="s">
        <v>1445</v>
      </c>
      <c r="E1007" s="159" t="s">
        <v>283</v>
      </c>
      <c r="F1007" s="165">
        <v>14029.5</v>
      </c>
      <c r="G1007" s="165"/>
      <c r="H1007" s="159" t="s">
        <v>14</v>
      </c>
      <c r="I1007" s="166" t="s">
        <v>15</v>
      </c>
      <c r="J1007" s="166"/>
      <c r="K1007" s="162" t="s">
        <v>8</v>
      </c>
      <c r="L1007" s="163">
        <v>899893.04</v>
      </c>
    </row>
    <row r="1008" spans="1:12" ht="51" hidden="1" x14ac:dyDescent="0.3">
      <c r="A1008" s="157" t="s">
        <v>239</v>
      </c>
      <c r="B1008" s="158" t="s">
        <v>1671</v>
      </c>
      <c r="C1008" s="158" t="s">
        <v>1675</v>
      </c>
      <c r="D1008" s="158" t="s">
        <v>1445</v>
      </c>
      <c r="E1008" s="159" t="s">
        <v>283</v>
      </c>
      <c r="F1008" s="165">
        <v>6966.1</v>
      </c>
      <c r="G1008" s="165"/>
      <c r="H1008" s="159" t="s">
        <v>14</v>
      </c>
      <c r="I1008" s="166" t="s">
        <v>15</v>
      </c>
      <c r="J1008" s="166"/>
      <c r="K1008" s="162" t="s">
        <v>8</v>
      </c>
      <c r="L1008" s="163">
        <v>906859.14</v>
      </c>
    </row>
    <row r="1009" spans="1:12" ht="51" hidden="1" x14ac:dyDescent="0.3">
      <c r="A1009" s="157" t="s">
        <v>239</v>
      </c>
      <c r="B1009" s="158" t="s">
        <v>1671</v>
      </c>
      <c r="C1009" s="158" t="s">
        <v>1676</v>
      </c>
      <c r="D1009" s="158" t="s">
        <v>1445</v>
      </c>
      <c r="E1009" s="159" t="s">
        <v>283</v>
      </c>
      <c r="F1009" s="165">
        <v>13538</v>
      </c>
      <c r="G1009" s="165"/>
      <c r="H1009" s="159" t="s">
        <v>14</v>
      </c>
      <c r="I1009" s="166" t="s">
        <v>15</v>
      </c>
      <c r="J1009" s="166"/>
      <c r="K1009" s="162" t="s">
        <v>8</v>
      </c>
      <c r="L1009" s="163">
        <v>920397.14</v>
      </c>
    </row>
    <row r="1010" spans="1:12" ht="51" hidden="1" x14ac:dyDescent="0.3">
      <c r="A1010" s="157" t="s">
        <v>239</v>
      </c>
      <c r="B1010" s="158" t="s">
        <v>1671</v>
      </c>
      <c r="C1010" s="158" t="s">
        <v>1677</v>
      </c>
      <c r="D1010" s="158" t="s">
        <v>1445</v>
      </c>
      <c r="E1010" s="159" t="s">
        <v>283</v>
      </c>
      <c r="F1010" s="165">
        <v>11942.98</v>
      </c>
      <c r="G1010" s="165"/>
      <c r="H1010" s="159" t="s">
        <v>14</v>
      </c>
      <c r="I1010" s="166" t="s">
        <v>15</v>
      </c>
      <c r="J1010" s="166"/>
      <c r="K1010" s="162" t="s">
        <v>8</v>
      </c>
      <c r="L1010" s="163">
        <v>932340.12</v>
      </c>
    </row>
    <row r="1011" spans="1:12" ht="51" hidden="1" x14ac:dyDescent="0.3">
      <c r="A1011" s="157" t="s">
        <v>239</v>
      </c>
      <c r="B1011" s="158" t="s">
        <v>1671</v>
      </c>
      <c r="C1011" s="158" t="s">
        <v>1678</v>
      </c>
      <c r="D1011" s="158" t="s">
        <v>1445</v>
      </c>
      <c r="E1011" s="159" t="s">
        <v>283</v>
      </c>
      <c r="F1011" s="165">
        <v>3858.15</v>
      </c>
      <c r="G1011" s="165"/>
      <c r="H1011" s="159" t="s">
        <v>14</v>
      </c>
      <c r="I1011" s="166" t="s">
        <v>15</v>
      </c>
      <c r="J1011" s="166"/>
      <c r="K1011" s="162" t="s">
        <v>8</v>
      </c>
      <c r="L1011" s="163">
        <v>936198.27</v>
      </c>
    </row>
    <row r="1012" spans="1:12" ht="51" hidden="1" x14ac:dyDescent="0.3">
      <c r="A1012" s="157" t="s">
        <v>239</v>
      </c>
      <c r="B1012" s="158" t="s">
        <v>1671</v>
      </c>
      <c r="C1012" s="158" t="s">
        <v>1679</v>
      </c>
      <c r="D1012" s="158" t="s">
        <v>1445</v>
      </c>
      <c r="E1012" s="159" t="s">
        <v>283</v>
      </c>
      <c r="F1012" s="165">
        <v>23089.5</v>
      </c>
      <c r="G1012" s="165"/>
      <c r="H1012" s="159" t="s">
        <v>14</v>
      </c>
      <c r="I1012" s="166" t="s">
        <v>15</v>
      </c>
      <c r="J1012" s="166"/>
      <c r="K1012" s="162" t="s">
        <v>8</v>
      </c>
      <c r="L1012" s="163">
        <v>959287.77</v>
      </c>
    </row>
    <row r="1013" spans="1:12" ht="81.599999999999994" hidden="1" x14ac:dyDescent="0.3">
      <c r="A1013" s="157" t="s">
        <v>239</v>
      </c>
      <c r="B1013" s="158" t="s">
        <v>1680</v>
      </c>
      <c r="C1013" s="158" t="s">
        <v>1681</v>
      </c>
      <c r="D1013" s="158" t="s">
        <v>1461</v>
      </c>
      <c r="E1013" s="159" t="s">
        <v>283</v>
      </c>
      <c r="F1013" s="165">
        <v>365419.03</v>
      </c>
      <c r="G1013" s="165"/>
      <c r="H1013" s="159" t="s">
        <v>14</v>
      </c>
      <c r="I1013" s="166" t="s">
        <v>15</v>
      </c>
      <c r="J1013" s="166"/>
      <c r="K1013" s="162" t="s">
        <v>8</v>
      </c>
      <c r="L1013" s="163">
        <v>2598667.1</v>
      </c>
    </row>
    <row r="1014" spans="1:12" ht="51" hidden="1" x14ac:dyDescent="0.3">
      <c r="A1014" s="157" t="s">
        <v>239</v>
      </c>
      <c r="B1014" s="158" t="s">
        <v>1682</v>
      </c>
      <c r="C1014" s="158" t="s">
        <v>1683</v>
      </c>
      <c r="D1014" s="158" t="s">
        <v>1684</v>
      </c>
      <c r="E1014" s="159" t="s">
        <v>283</v>
      </c>
      <c r="F1014" s="165">
        <v>16472.5</v>
      </c>
      <c r="G1014" s="165"/>
      <c r="H1014" s="159" t="s">
        <v>14</v>
      </c>
      <c r="I1014" s="166" t="s">
        <v>15</v>
      </c>
      <c r="J1014" s="166"/>
      <c r="K1014" s="162" t="s">
        <v>8</v>
      </c>
      <c r="L1014" s="163">
        <v>116827.07</v>
      </c>
    </row>
    <row r="1015" spans="1:12" ht="61.2" hidden="1" x14ac:dyDescent="0.3">
      <c r="A1015" s="157" t="s">
        <v>239</v>
      </c>
      <c r="B1015" s="158" t="s">
        <v>1685</v>
      </c>
      <c r="C1015" s="158" t="s">
        <v>1686</v>
      </c>
      <c r="D1015" s="158" t="s">
        <v>1687</v>
      </c>
      <c r="E1015" s="159" t="s">
        <v>283</v>
      </c>
      <c r="F1015" s="165">
        <v>4957.5</v>
      </c>
      <c r="G1015" s="165"/>
      <c r="H1015" s="159" t="s">
        <v>14</v>
      </c>
      <c r="I1015" s="166" t="s">
        <v>15</v>
      </c>
      <c r="J1015" s="166"/>
      <c r="K1015" s="162" t="s">
        <v>8</v>
      </c>
      <c r="L1015" s="163">
        <v>238804.42</v>
      </c>
    </row>
    <row r="1016" spans="1:12" ht="61.2" hidden="1" x14ac:dyDescent="0.3">
      <c r="A1016" s="157" t="s">
        <v>239</v>
      </c>
      <c r="B1016" s="158" t="s">
        <v>1688</v>
      </c>
      <c r="C1016" s="158" t="s">
        <v>1689</v>
      </c>
      <c r="D1016" s="158" t="s">
        <v>1690</v>
      </c>
      <c r="E1016" s="159" t="s">
        <v>283</v>
      </c>
      <c r="F1016" s="165">
        <v>40600</v>
      </c>
      <c r="G1016" s="165"/>
      <c r="H1016" s="159" t="s">
        <v>14</v>
      </c>
      <c r="I1016" s="166" t="s">
        <v>15</v>
      </c>
      <c r="J1016" s="166"/>
      <c r="K1016" s="162" t="s">
        <v>8</v>
      </c>
      <c r="L1016" s="163">
        <v>40600</v>
      </c>
    </row>
    <row r="1017" spans="1:12" ht="51" hidden="1" x14ac:dyDescent="0.3">
      <c r="A1017" s="157" t="s">
        <v>239</v>
      </c>
      <c r="B1017" s="158" t="s">
        <v>1691</v>
      </c>
      <c r="C1017" s="158" t="s">
        <v>1683</v>
      </c>
      <c r="D1017" s="158" t="s">
        <v>1692</v>
      </c>
      <c r="E1017" s="159" t="s">
        <v>283</v>
      </c>
      <c r="F1017" s="165">
        <v>10637</v>
      </c>
      <c r="G1017" s="165"/>
      <c r="H1017" s="159" t="s">
        <v>14</v>
      </c>
      <c r="I1017" s="166" t="s">
        <v>15</v>
      </c>
      <c r="J1017" s="166"/>
      <c r="K1017" s="162" t="s">
        <v>8</v>
      </c>
      <c r="L1017" s="163">
        <v>127464.07</v>
      </c>
    </row>
    <row r="1018" spans="1:12" ht="51" hidden="1" x14ac:dyDescent="0.3">
      <c r="A1018" s="157" t="s">
        <v>239</v>
      </c>
      <c r="B1018" s="158" t="s">
        <v>1693</v>
      </c>
      <c r="C1018" s="158" t="s">
        <v>1694</v>
      </c>
      <c r="D1018" s="158" t="s">
        <v>1683</v>
      </c>
      <c r="E1018" s="159" t="s">
        <v>283</v>
      </c>
      <c r="F1018" s="165">
        <v>22180.5</v>
      </c>
      <c r="G1018" s="165"/>
      <c r="H1018" s="159" t="s">
        <v>283</v>
      </c>
      <c r="I1018" s="166" t="s">
        <v>15</v>
      </c>
      <c r="J1018" s="166"/>
      <c r="K1018" s="162" t="s">
        <v>8</v>
      </c>
      <c r="L1018" s="163">
        <v>260984.92</v>
      </c>
    </row>
    <row r="1019" spans="1:12" ht="51" hidden="1" x14ac:dyDescent="0.3">
      <c r="A1019" s="157" t="s">
        <v>239</v>
      </c>
      <c r="B1019" s="158" t="s">
        <v>1693</v>
      </c>
      <c r="C1019" s="158" t="s">
        <v>1694</v>
      </c>
      <c r="D1019" s="158" t="s">
        <v>1683</v>
      </c>
      <c r="E1019" s="159" t="s">
        <v>283</v>
      </c>
      <c r="F1019" s="160" t="s">
        <v>15</v>
      </c>
      <c r="G1019" s="160"/>
      <c r="H1019" s="159" t="s">
        <v>283</v>
      </c>
      <c r="I1019" s="161">
        <v>22180.5</v>
      </c>
      <c r="J1019" s="161"/>
      <c r="K1019" s="162" t="s">
        <v>8</v>
      </c>
      <c r="L1019" s="163">
        <v>105283.57</v>
      </c>
    </row>
    <row r="1020" spans="1:12" ht="61.2" hidden="1" x14ac:dyDescent="0.3">
      <c r="A1020" s="157" t="s">
        <v>239</v>
      </c>
      <c r="B1020" s="158" t="s">
        <v>1695</v>
      </c>
      <c r="C1020" s="158" t="s">
        <v>1696</v>
      </c>
      <c r="D1020" s="158" t="s">
        <v>1683</v>
      </c>
      <c r="E1020" s="159" t="s">
        <v>283</v>
      </c>
      <c r="F1020" s="165">
        <v>4929</v>
      </c>
      <c r="G1020" s="165"/>
      <c r="H1020" s="159" t="s">
        <v>283</v>
      </c>
      <c r="I1020" s="166" t="s">
        <v>15</v>
      </c>
      <c r="J1020" s="166"/>
      <c r="K1020" s="162" t="s">
        <v>8</v>
      </c>
      <c r="L1020" s="163">
        <v>2603596.1</v>
      </c>
    </row>
    <row r="1021" spans="1:12" ht="61.2" hidden="1" x14ac:dyDescent="0.3">
      <c r="A1021" s="157" t="s">
        <v>239</v>
      </c>
      <c r="B1021" s="158" t="s">
        <v>1695</v>
      </c>
      <c r="C1021" s="158" t="s">
        <v>1696</v>
      </c>
      <c r="D1021" s="158" t="s">
        <v>1683</v>
      </c>
      <c r="E1021" s="159" t="s">
        <v>283</v>
      </c>
      <c r="F1021" s="160" t="s">
        <v>15</v>
      </c>
      <c r="G1021" s="160"/>
      <c r="H1021" s="159" t="s">
        <v>283</v>
      </c>
      <c r="I1021" s="161">
        <v>4929</v>
      </c>
      <c r="J1021" s="161"/>
      <c r="K1021" s="162" t="s">
        <v>8</v>
      </c>
      <c r="L1021" s="163">
        <v>100354.57</v>
      </c>
    </row>
    <row r="1022" spans="1:12" ht="51" hidden="1" x14ac:dyDescent="0.3">
      <c r="A1022" s="157" t="s">
        <v>239</v>
      </c>
      <c r="B1022" s="158" t="s">
        <v>240</v>
      </c>
      <c r="C1022" s="158" t="s">
        <v>1697</v>
      </c>
      <c r="D1022" s="158" t="s">
        <v>242</v>
      </c>
      <c r="E1022" s="159" t="s">
        <v>283</v>
      </c>
      <c r="F1022" s="167">
        <v>40</v>
      </c>
      <c r="G1022" s="167"/>
      <c r="H1022" s="159" t="s">
        <v>243</v>
      </c>
      <c r="I1022" s="166" t="s">
        <v>15</v>
      </c>
      <c r="J1022" s="166"/>
      <c r="K1022" s="162" t="s">
        <v>8</v>
      </c>
      <c r="L1022" s="163">
        <v>100394.57</v>
      </c>
    </row>
    <row r="1023" spans="1:12" ht="51" hidden="1" x14ac:dyDescent="0.3">
      <c r="A1023" s="157" t="s">
        <v>239</v>
      </c>
      <c r="B1023" s="158" t="s">
        <v>240</v>
      </c>
      <c r="C1023" s="158" t="s">
        <v>1698</v>
      </c>
      <c r="D1023" s="158" t="s">
        <v>242</v>
      </c>
      <c r="E1023" s="159" t="s">
        <v>283</v>
      </c>
      <c r="F1023" s="167">
        <v>39</v>
      </c>
      <c r="G1023" s="167"/>
      <c r="H1023" s="159" t="s">
        <v>243</v>
      </c>
      <c r="I1023" s="166" t="s">
        <v>15</v>
      </c>
      <c r="J1023" s="166"/>
      <c r="K1023" s="162" t="s">
        <v>8</v>
      </c>
      <c r="L1023" s="163">
        <v>100433.57</v>
      </c>
    </row>
    <row r="1024" spans="1:12" ht="51" hidden="1" x14ac:dyDescent="0.3">
      <c r="A1024" s="157" t="s">
        <v>239</v>
      </c>
      <c r="B1024" s="158" t="s">
        <v>240</v>
      </c>
      <c r="C1024" s="158" t="s">
        <v>1699</v>
      </c>
      <c r="D1024" s="158" t="s">
        <v>242</v>
      </c>
      <c r="E1024" s="159" t="s">
        <v>283</v>
      </c>
      <c r="F1024" s="167">
        <v>45</v>
      </c>
      <c r="G1024" s="167"/>
      <c r="H1024" s="159" t="s">
        <v>243</v>
      </c>
      <c r="I1024" s="166" t="s">
        <v>15</v>
      </c>
      <c r="J1024" s="166"/>
      <c r="K1024" s="162" t="s">
        <v>8</v>
      </c>
      <c r="L1024" s="163">
        <v>100478.57</v>
      </c>
    </row>
    <row r="1025" spans="1:12" ht="61.2" hidden="1" x14ac:dyDescent="0.3">
      <c r="A1025" s="157" t="s">
        <v>239</v>
      </c>
      <c r="B1025" s="158" t="s">
        <v>240</v>
      </c>
      <c r="C1025" s="158" t="s">
        <v>1700</v>
      </c>
      <c r="D1025" s="158" t="s">
        <v>242</v>
      </c>
      <c r="E1025" s="159" t="s">
        <v>283</v>
      </c>
      <c r="F1025" s="167">
        <v>994</v>
      </c>
      <c r="G1025" s="167"/>
      <c r="H1025" s="159" t="s">
        <v>243</v>
      </c>
      <c r="I1025" s="166" t="s">
        <v>15</v>
      </c>
      <c r="J1025" s="166"/>
      <c r="K1025" s="162" t="s">
        <v>8</v>
      </c>
      <c r="L1025" s="163">
        <v>101472.57</v>
      </c>
    </row>
    <row r="1026" spans="1:12" ht="51" hidden="1" x14ac:dyDescent="0.3">
      <c r="A1026" s="157" t="s">
        <v>239</v>
      </c>
      <c r="B1026" s="158" t="s">
        <v>240</v>
      </c>
      <c r="C1026" s="158" t="s">
        <v>1701</v>
      </c>
      <c r="D1026" s="158" t="s">
        <v>242</v>
      </c>
      <c r="E1026" s="159" t="s">
        <v>283</v>
      </c>
      <c r="F1026" s="167">
        <v>250</v>
      </c>
      <c r="G1026" s="167"/>
      <c r="H1026" s="159" t="s">
        <v>243</v>
      </c>
      <c r="I1026" s="166" t="s">
        <v>15</v>
      </c>
      <c r="J1026" s="166"/>
      <c r="K1026" s="162" t="s">
        <v>8</v>
      </c>
      <c r="L1026" s="163">
        <v>101722.57</v>
      </c>
    </row>
    <row r="1027" spans="1:12" ht="51" hidden="1" x14ac:dyDescent="0.3">
      <c r="A1027" s="157" t="s">
        <v>239</v>
      </c>
      <c r="B1027" s="158" t="s">
        <v>240</v>
      </c>
      <c r="C1027" s="158" t="s">
        <v>1699</v>
      </c>
      <c r="D1027" s="158" t="s">
        <v>242</v>
      </c>
      <c r="E1027" s="159" t="s">
        <v>283</v>
      </c>
      <c r="F1027" s="167">
        <v>305</v>
      </c>
      <c r="G1027" s="167"/>
      <c r="H1027" s="159" t="s">
        <v>243</v>
      </c>
      <c r="I1027" s="166" t="s">
        <v>15</v>
      </c>
      <c r="J1027" s="166"/>
      <c r="K1027" s="162" t="s">
        <v>8</v>
      </c>
      <c r="L1027" s="163">
        <v>102027.57</v>
      </c>
    </row>
    <row r="1028" spans="1:12" ht="51" hidden="1" x14ac:dyDescent="0.3">
      <c r="A1028" s="157" t="s">
        <v>239</v>
      </c>
      <c r="B1028" s="158" t="s">
        <v>240</v>
      </c>
      <c r="C1028" s="158" t="s">
        <v>1701</v>
      </c>
      <c r="D1028" s="158" t="s">
        <v>242</v>
      </c>
      <c r="E1028" s="159" t="s">
        <v>283</v>
      </c>
      <c r="F1028" s="167">
        <v>600</v>
      </c>
      <c r="G1028" s="167"/>
      <c r="H1028" s="159" t="s">
        <v>243</v>
      </c>
      <c r="I1028" s="166" t="s">
        <v>15</v>
      </c>
      <c r="J1028" s="166"/>
      <c r="K1028" s="162" t="s">
        <v>8</v>
      </c>
      <c r="L1028" s="163">
        <v>102627.57</v>
      </c>
    </row>
    <row r="1029" spans="1:12" ht="51" hidden="1" x14ac:dyDescent="0.3">
      <c r="A1029" s="157" t="s">
        <v>239</v>
      </c>
      <c r="B1029" s="158" t="s">
        <v>240</v>
      </c>
      <c r="C1029" s="158" t="s">
        <v>1701</v>
      </c>
      <c r="D1029" s="158" t="s">
        <v>242</v>
      </c>
      <c r="E1029" s="159" t="s">
        <v>283</v>
      </c>
      <c r="F1029" s="167">
        <v>500</v>
      </c>
      <c r="G1029" s="167"/>
      <c r="H1029" s="159" t="s">
        <v>243</v>
      </c>
      <c r="I1029" s="166" t="s">
        <v>15</v>
      </c>
      <c r="J1029" s="166"/>
      <c r="K1029" s="162" t="s">
        <v>8</v>
      </c>
      <c r="L1029" s="163">
        <v>103127.57</v>
      </c>
    </row>
    <row r="1030" spans="1:12" ht="51" hidden="1" x14ac:dyDescent="0.3">
      <c r="A1030" s="157" t="s">
        <v>239</v>
      </c>
      <c r="B1030" s="158" t="s">
        <v>240</v>
      </c>
      <c r="C1030" s="158" t="s">
        <v>1702</v>
      </c>
      <c r="D1030" s="158" t="s">
        <v>242</v>
      </c>
      <c r="E1030" s="159" t="s">
        <v>283</v>
      </c>
      <c r="F1030" s="167">
        <v>318</v>
      </c>
      <c r="G1030" s="167"/>
      <c r="H1030" s="159" t="s">
        <v>243</v>
      </c>
      <c r="I1030" s="166" t="s">
        <v>15</v>
      </c>
      <c r="J1030" s="166"/>
      <c r="K1030" s="162" t="s">
        <v>8</v>
      </c>
      <c r="L1030" s="163">
        <v>103445.57</v>
      </c>
    </row>
    <row r="1031" spans="1:12" ht="51" hidden="1" x14ac:dyDescent="0.3">
      <c r="A1031" s="157" t="s">
        <v>239</v>
      </c>
      <c r="B1031" s="158" t="s">
        <v>240</v>
      </c>
      <c r="C1031" s="158" t="s">
        <v>1701</v>
      </c>
      <c r="D1031" s="158" t="s">
        <v>242</v>
      </c>
      <c r="E1031" s="159" t="s">
        <v>283</v>
      </c>
      <c r="F1031" s="165">
        <v>1000</v>
      </c>
      <c r="G1031" s="165"/>
      <c r="H1031" s="159" t="s">
        <v>243</v>
      </c>
      <c r="I1031" s="166" t="s">
        <v>15</v>
      </c>
      <c r="J1031" s="166"/>
      <c r="K1031" s="162" t="s">
        <v>8</v>
      </c>
      <c r="L1031" s="163">
        <v>104445.57</v>
      </c>
    </row>
    <row r="1032" spans="1:12" ht="51" hidden="1" x14ac:dyDescent="0.3">
      <c r="A1032" s="157" t="s">
        <v>239</v>
      </c>
      <c r="B1032" s="158" t="s">
        <v>240</v>
      </c>
      <c r="C1032" s="158" t="s">
        <v>1703</v>
      </c>
      <c r="D1032" s="158" t="s">
        <v>242</v>
      </c>
      <c r="E1032" s="159" t="s">
        <v>283</v>
      </c>
      <c r="F1032" s="167">
        <v>165</v>
      </c>
      <c r="G1032" s="167"/>
      <c r="H1032" s="159" t="s">
        <v>243</v>
      </c>
      <c r="I1032" s="166" t="s">
        <v>15</v>
      </c>
      <c r="J1032" s="166"/>
      <c r="K1032" s="162" t="s">
        <v>8</v>
      </c>
      <c r="L1032" s="163">
        <v>104610.57</v>
      </c>
    </row>
    <row r="1033" spans="1:12" ht="51" hidden="1" x14ac:dyDescent="0.3">
      <c r="A1033" s="157" t="s">
        <v>239</v>
      </c>
      <c r="B1033" s="158" t="s">
        <v>240</v>
      </c>
      <c r="C1033" s="158" t="s">
        <v>1704</v>
      </c>
      <c r="D1033" s="158" t="s">
        <v>242</v>
      </c>
      <c r="E1033" s="159" t="s">
        <v>283</v>
      </c>
      <c r="F1033" s="167">
        <v>160</v>
      </c>
      <c r="G1033" s="167"/>
      <c r="H1033" s="159" t="s">
        <v>243</v>
      </c>
      <c r="I1033" s="166" t="s">
        <v>15</v>
      </c>
      <c r="J1033" s="166"/>
      <c r="K1033" s="162" t="s">
        <v>8</v>
      </c>
      <c r="L1033" s="163">
        <v>104770.57</v>
      </c>
    </row>
    <row r="1034" spans="1:12" ht="51" hidden="1" x14ac:dyDescent="0.3">
      <c r="A1034" s="157" t="s">
        <v>239</v>
      </c>
      <c r="B1034" s="158" t="s">
        <v>240</v>
      </c>
      <c r="C1034" s="158" t="s">
        <v>1701</v>
      </c>
      <c r="D1034" s="158" t="s">
        <v>242</v>
      </c>
      <c r="E1034" s="159" t="s">
        <v>283</v>
      </c>
      <c r="F1034" s="167">
        <v>350</v>
      </c>
      <c r="G1034" s="167"/>
      <c r="H1034" s="159" t="s">
        <v>243</v>
      </c>
      <c r="I1034" s="166" t="s">
        <v>15</v>
      </c>
      <c r="J1034" s="166"/>
      <c r="K1034" s="162" t="s">
        <v>8</v>
      </c>
      <c r="L1034" s="163">
        <v>105120.57</v>
      </c>
    </row>
    <row r="1035" spans="1:12" ht="51" hidden="1" x14ac:dyDescent="0.3">
      <c r="A1035" s="157" t="s">
        <v>239</v>
      </c>
      <c r="B1035" s="158" t="s">
        <v>240</v>
      </c>
      <c r="C1035" s="158" t="s">
        <v>1705</v>
      </c>
      <c r="D1035" s="158" t="s">
        <v>242</v>
      </c>
      <c r="E1035" s="159" t="s">
        <v>283</v>
      </c>
      <c r="F1035" s="165">
        <v>1620</v>
      </c>
      <c r="G1035" s="165"/>
      <c r="H1035" s="159" t="s">
        <v>243</v>
      </c>
      <c r="I1035" s="166" t="s">
        <v>15</v>
      </c>
      <c r="J1035" s="166"/>
      <c r="K1035" s="162" t="s">
        <v>8</v>
      </c>
      <c r="L1035" s="163">
        <v>106740.57</v>
      </c>
    </row>
    <row r="1036" spans="1:12" ht="51" hidden="1" x14ac:dyDescent="0.3">
      <c r="A1036" s="157" t="s">
        <v>239</v>
      </c>
      <c r="B1036" s="158" t="s">
        <v>240</v>
      </c>
      <c r="C1036" s="158" t="s">
        <v>1706</v>
      </c>
      <c r="D1036" s="158" t="s">
        <v>242</v>
      </c>
      <c r="E1036" s="159" t="s">
        <v>283</v>
      </c>
      <c r="F1036" s="167">
        <v>40</v>
      </c>
      <c r="G1036" s="167"/>
      <c r="H1036" s="159" t="s">
        <v>243</v>
      </c>
      <c r="I1036" s="166" t="s">
        <v>15</v>
      </c>
      <c r="J1036" s="166"/>
      <c r="K1036" s="162" t="s">
        <v>8</v>
      </c>
      <c r="L1036" s="163">
        <v>106780.57</v>
      </c>
    </row>
    <row r="1037" spans="1:12" ht="51" hidden="1" x14ac:dyDescent="0.3">
      <c r="A1037" s="157" t="s">
        <v>239</v>
      </c>
      <c r="B1037" s="158" t="s">
        <v>240</v>
      </c>
      <c r="C1037" s="158" t="s">
        <v>1703</v>
      </c>
      <c r="D1037" s="158" t="s">
        <v>242</v>
      </c>
      <c r="E1037" s="159" t="s">
        <v>283</v>
      </c>
      <c r="F1037" s="167">
        <v>170</v>
      </c>
      <c r="G1037" s="167"/>
      <c r="H1037" s="159" t="s">
        <v>243</v>
      </c>
      <c r="I1037" s="166" t="s">
        <v>15</v>
      </c>
      <c r="J1037" s="166"/>
      <c r="K1037" s="162" t="s">
        <v>8</v>
      </c>
      <c r="L1037" s="163">
        <v>106950.57</v>
      </c>
    </row>
    <row r="1038" spans="1:12" ht="51" hidden="1" x14ac:dyDescent="0.3">
      <c r="A1038" s="157" t="s">
        <v>239</v>
      </c>
      <c r="B1038" s="158" t="s">
        <v>240</v>
      </c>
      <c r="C1038" s="158" t="s">
        <v>1707</v>
      </c>
      <c r="D1038" s="158" t="s">
        <v>242</v>
      </c>
      <c r="E1038" s="159" t="s">
        <v>283</v>
      </c>
      <c r="F1038" s="165">
        <v>1068</v>
      </c>
      <c r="G1038" s="165"/>
      <c r="H1038" s="159" t="s">
        <v>243</v>
      </c>
      <c r="I1038" s="166" t="s">
        <v>15</v>
      </c>
      <c r="J1038" s="166"/>
      <c r="K1038" s="162" t="s">
        <v>8</v>
      </c>
      <c r="L1038" s="163">
        <v>108018.57</v>
      </c>
    </row>
    <row r="1039" spans="1:12" ht="51" hidden="1" x14ac:dyDescent="0.3">
      <c r="A1039" s="157" t="s">
        <v>239</v>
      </c>
      <c r="B1039" s="158" t="s">
        <v>240</v>
      </c>
      <c r="C1039" s="158" t="s">
        <v>1699</v>
      </c>
      <c r="D1039" s="158" t="s">
        <v>242</v>
      </c>
      <c r="E1039" s="159" t="s">
        <v>283</v>
      </c>
      <c r="F1039" s="167">
        <v>160</v>
      </c>
      <c r="G1039" s="167"/>
      <c r="H1039" s="159" t="s">
        <v>243</v>
      </c>
      <c r="I1039" s="166" t="s">
        <v>15</v>
      </c>
      <c r="J1039" s="166"/>
      <c r="K1039" s="162" t="s">
        <v>8</v>
      </c>
      <c r="L1039" s="163">
        <v>108178.57</v>
      </c>
    </row>
    <row r="1040" spans="1:12" ht="51" hidden="1" x14ac:dyDescent="0.3">
      <c r="A1040" s="157" t="s">
        <v>239</v>
      </c>
      <c r="B1040" s="158" t="s">
        <v>240</v>
      </c>
      <c r="C1040" s="158" t="s">
        <v>1708</v>
      </c>
      <c r="D1040" s="158" t="s">
        <v>242</v>
      </c>
      <c r="E1040" s="159" t="s">
        <v>283</v>
      </c>
      <c r="F1040" s="167">
        <v>480</v>
      </c>
      <c r="G1040" s="167"/>
      <c r="H1040" s="159" t="s">
        <v>243</v>
      </c>
      <c r="I1040" s="166" t="s">
        <v>15</v>
      </c>
      <c r="J1040" s="166"/>
      <c r="K1040" s="162" t="s">
        <v>8</v>
      </c>
      <c r="L1040" s="163">
        <v>108658.57</v>
      </c>
    </row>
    <row r="1041" spans="1:12" ht="51" hidden="1" x14ac:dyDescent="0.3">
      <c r="A1041" s="157" t="s">
        <v>239</v>
      </c>
      <c r="B1041" s="158" t="s">
        <v>240</v>
      </c>
      <c r="C1041" s="158" t="s">
        <v>1709</v>
      </c>
      <c r="D1041" s="158" t="s">
        <v>242</v>
      </c>
      <c r="E1041" s="159" t="s">
        <v>283</v>
      </c>
      <c r="F1041" s="167">
        <v>400</v>
      </c>
      <c r="G1041" s="167"/>
      <c r="H1041" s="159" t="s">
        <v>243</v>
      </c>
      <c r="I1041" s="166" t="s">
        <v>15</v>
      </c>
      <c r="J1041" s="166"/>
      <c r="K1041" s="162" t="s">
        <v>8</v>
      </c>
      <c r="L1041" s="163">
        <v>109058.57</v>
      </c>
    </row>
    <row r="1042" spans="1:12" ht="51" hidden="1" x14ac:dyDescent="0.3">
      <c r="A1042" s="157" t="s">
        <v>239</v>
      </c>
      <c r="B1042" s="158" t="s">
        <v>240</v>
      </c>
      <c r="C1042" s="158" t="s">
        <v>1710</v>
      </c>
      <c r="D1042" s="158" t="s">
        <v>242</v>
      </c>
      <c r="E1042" s="159" t="s">
        <v>283</v>
      </c>
      <c r="F1042" s="167">
        <v>120</v>
      </c>
      <c r="G1042" s="167"/>
      <c r="H1042" s="159" t="s">
        <v>243</v>
      </c>
      <c r="I1042" s="166" t="s">
        <v>15</v>
      </c>
      <c r="J1042" s="166"/>
      <c r="K1042" s="162" t="s">
        <v>8</v>
      </c>
      <c r="L1042" s="163">
        <v>109178.57</v>
      </c>
    </row>
    <row r="1043" spans="1:12" ht="51" hidden="1" x14ac:dyDescent="0.3">
      <c r="A1043" s="157" t="s">
        <v>239</v>
      </c>
      <c r="B1043" s="158" t="s">
        <v>1711</v>
      </c>
      <c r="C1043" s="158" t="s">
        <v>1712</v>
      </c>
      <c r="D1043" s="158" t="s">
        <v>1713</v>
      </c>
      <c r="E1043" s="159" t="s">
        <v>283</v>
      </c>
      <c r="F1043" s="167">
        <v>695.7</v>
      </c>
      <c r="G1043" s="167"/>
      <c r="H1043" s="159" t="s">
        <v>243</v>
      </c>
      <c r="I1043" s="166" t="s">
        <v>15</v>
      </c>
      <c r="J1043" s="166"/>
      <c r="K1043" s="162" t="s">
        <v>8</v>
      </c>
      <c r="L1043" s="163">
        <v>109874.27</v>
      </c>
    </row>
    <row r="1044" spans="1:12" ht="61.2" hidden="1" x14ac:dyDescent="0.3">
      <c r="A1044" s="157" t="s">
        <v>245</v>
      </c>
      <c r="B1044" s="158" t="s">
        <v>1714</v>
      </c>
      <c r="C1044" s="158" t="s">
        <v>1715</v>
      </c>
      <c r="D1044" s="158" t="s">
        <v>1716</v>
      </c>
      <c r="E1044" s="159" t="s">
        <v>283</v>
      </c>
      <c r="F1044" s="165">
        <v>2522.5</v>
      </c>
      <c r="G1044" s="165"/>
      <c r="H1044" s="159" t="s">
        <v>14</v>
      </c>
      <c r="I1044" s="166" t="s">
        <v>15</v>
      </c>
      <c r="J1044" s="166"/>
      <c r="K1044" s="162" t="s">
        <v>8</v>
      </c>
      <c r="L1044" s="163">
        <v>43122.5</v>
      </c>
    </row>
    <row r="1045" spans="1:12" ht="51" x14ac:dyDescent="0.3">
      <c r="A1045" s="157" t="s">
        <v>279</v>
      </c>
      <c r="B1045" s="158" t="s">
        <v>1717</v>
      </c>
      <c r="C1045" s="158" t="s">
        <v>741</v>
      </c>
      <c r="D1045" s="158" t="s">
        <v>1706</v>
      </c>
      <c r="E1045" s="159" t="s">
        <v>42</v>
      </c>
      <c r="F1045" s="160" t="s">
        <v>15</v>
      </c>
      <c r="G1045" s="160"/>
      <c r="H1045" s="159" t="s">
        <v>283</v>
      </c>
      <c r="I1045" s="164">
        <v>40</v>
      </c>
      <c r="J1045" s="164"/>
      <c r="K1045" s="162" t="s">
        <v>8</v>
      </c>
      <c r="L1045" s="163">
        <v>109834.27</v>
      </c>
    </row>
    <row r="1046" spans="1:12" ht="61.2" hidden="1" x14ac:dyDescent="0.3">
      <c r="A1046" s="157" t="s">
        <v>279</v>
      </c>
      <c r="B1046" s="158" t="s">
        <v>1718</v>
      </c>
      <c r="C1046" s="158" t="s">
        <v>1719</v>
      </c>
      <c r="D1046" s="158" t="s">
        <v>1720</v>
      </c>
      <c r="E1046" s="159" t="s">
        <v>283</v>
      </c>
      <c r="F1046" s="165">
        <v>1045.2</v>
      </c>
      <c r="G1046" s="165"/>
      <c r="H1046" s="159" t="s">
        <v>283</v>
      </c>
      <c r="I1046" s="166" t="s">
        <v>15</v>
      </c>
      <c r="J1046" s="166"/>
      <c r="K1046" s="162" t="s">
        <v>8</v>
      </c>
      <c r="L1046" s="163">
        <v>147315.81</v>
      </c>
    </row>
    <row r="1047" spans="1:12" ht="61.2" hidden="1" x14ac:dyDescent="0.3">
      <c r="A1047" s="157" t="s">
        <v>279</v>
      </c>
      <c r="B1047" s="158" t="s">
        <v>1718</v>
      </c>
      <c r="C1047" s="158" t="s">
        <v>1719</v>
      </c>
      <c r="D1047" s="158" t="s">
        <v>1720</v>
      </c>
      <c r="E1047" s="159" t="s">
        <v>283</v>
      </c>
      <c r="F1047" s="160" t="s">
        <v>15</v>
      </c>
      <c r="G1047" s="160"/>
      <c r="H1047" s="159" t="s">
        <v>283</v>
      </c>
      <c r="I1047" s="161">
        <v>1045.2</v>
      </c>
      <c r="J1047" s="161"/>
      <c r="K1047" s="162" t="s">
        <v>8</v>
      </c>
      <c r="L1047" s="163">
        <v>2399676.87</v>
      </c>
    </row>
    <row r="1048" spans="1:12" ht="61.2" hidden="1" x14ac:dyDescent="0.3">
      <c r="A1048" s="157" t="s">
        <v>279</v>
      </c>
      <c r="B1048" s="158" t="s">
        <v>1721</v>
      </c>
      <c r="C1048" s="158" t="s">
        <v>1722</v>
      </c>
      <c r="D1048" s="158" t="s">
        <v>836</v>
      </c>
      <c r="E1048" s="159" t="s">
        <v>283</v>
      </c>
      <c r="F1048" s="165">
        <v>1548.75</v>
      </c>
      <c r="G1048" s="165"/>
      <c r="H1048" s="159" t="s">
        <v>283</v>
      </c>
      <c r="I1048" s="166" t="s">
        <v>15</v>
      </c>
      <c r="J1048" s="166"/>
      <c r="K1048" s="162" t="s">
        <v>8</v>
      </c>
      <c r="L1048" s="163">
        <v>148864.56</v>
      </c>
    </row>
    <row r="1049" spans="1:12" ht="61.2" hidden="1" x14ac:dyDescent="0.3">
      <c r="A1049" s="157" t="s">
        <v>279</v>
      </c>
      <c r="B1049" s="158" t="s">
        <v>1721</v>
      </c>
      <c r="C1049" s="158" t="s">
        <v>1722</v>
      </c>
      <c r="D1049" s="158" t="s">
        <v>836</v>
      </c>
      <c r="E1049" s="159" t="s">
        <v>283</v>
      </c>
      <c r="F1049" s="160" t="s">
        <v>15</v>
      </c>
      <c r="G1049" s="160"/>
      <c r="H1049" s="159" t="s">
        <v>283</v>
      </c>
      <c r="I1049" s="161">
        <v>1548.75</v>
      </c>
      <c r="J1049" s="161"/>
      <c r="K1049" s="162" t="s">
        <v>8</v>
      </c>
      <c r="L1049" s="163">
        <v>2458857.4300000002</v>
      </c>
    </row>
    <row r="1050" spans="1:12" ht="61.2" hidden="1" x14ac:dyDescent="0.3">
      <c r="A1050" s="157" t="s">
        <v>279</v>
      </c>
      <c r="B1050" s="158" t="s">
        <v>1723</v>
      </c>
      <c r="C1050" s="158" t="s">
        <v>1724</v>
      </c>
      <c r="D1050" s="158" t="s">
        <v>1725</v>
      </c>
      <c r="E1050" s="159" t="s">
        <v>283</v>
      </c>
      <c r="F1050" s="165">
        <v>4600.67</v>
      </c>
      <c r="G1050" s="165"/>
      <c r="H1050" s="159" t="s">
        <v>283</v>
      </c>
      <c r="I1050" s="166" t="s">
        <v>15</v>
      </c>
      <c r="J1050" s="166"/>
      <c r="K1050" s="162" t="s">
        <v>8</v>
      </c>
      <c r="L1050" s="163">
        <v>153465.23000000001</v>
      </c>
    </row>
    <row r="1051" spans="1:12" ht="61.2" hidden="1" x14ac:dyDescent="0.3">
      <c r="A1051" s="157" t="s">
        <v>279</v>
      </c>
      <c r="B1051" s="158" t="s">
        <v>1723</v>
      </c>
      <c r="C1051" s="158" t="s">
        <v>1724</v>
      </c>
      <c r="D1051" s="158" t="s">
        <v>1725</v>
      </c>
      <c r="E1051" s="159" t="s">
        <v>283</v>
      </c>
      <c r="F1051" s="160" t="s">
        <v>15</v>
      </c>
      <c r="G1051" s="160"/>
      <c r="H1051" s="159" t="s">
        <v>283</v>
      </c>
      <c r="I1051" s="161">
        <v>4600.67</v>
      </c>
      <c r="J1051" s="161"/>
      <c r="K1051" s="162" t="s">
        <v>8</v>
      </c>
      <c r="L1051" s="163">
        <v>349223.89</v>
      </c>
    </row>
    <row r="1052" spans="1:12" ht="61.2" hidden="1" x14ac:dyDescent="0.3">
      <c r="A1052" s="157" t="s">
        <v>279</v>
      </c>
      <c r="B1052" s="158" t="s">
        <v>1726</v>
      </c>
      <c r="C1052" s="158" t="s">
        <v>1727</v>
      </c>
      <c r="D1052" s="158" t="s">
        <v>1728</v>
      </c>
      <c r="E1052" s="159" t="s">
        <v>283</v>
      </c>
      <c r="F1052" s="165">
        <v>2783.45</v>
      </c>
      <c r="G1052" s="165"/>
      <c r="H1052" s="159" t="s">
        <v>283</v>
      </c>
      <c r="I1052" s="166" t="s">
        <v>15</v>
      </c>
      <c r="J1052" s="166"/>
      <c r="K1052" s="162" t="s">
        <v>8</v>
      </c>
      <c r="L1052" s="163">
        <v>156248.68</v>
      </c>
    </row>
    <row r="1053" spans="1:12" ht="61.2" hidden="1" x14ac:dyDescent="0.3">
      <c r="A1053" s="157" t="s">
        <v>279</v>
      </c>
      <c r="B1053" s="158" t="s">
        <v>1726</v>
      </c>
      <c r="C1053" s="158" t="s">
        <v>1727</v>
      </c>
      <c r="D1053" s="158" t="s">
        <v>1728</v>
      </c>
      <c r="E1053" s="159" t="s">
        <v>283</v>
      </c>
      <c r="F1053" s="160" t="s">
        <v>15</v>
      </c>
      <c r="G1053" s="160"/>
      <c r="H1053" s="159" t="s">
        <v>283</v>
      </c>
      <c r="I1053" s="161">
        <v>2783.45</v>
      </c>
      <c r="J1053" s="161"/>
      <c r="K1053" s="162" t="s">
        <v>8</v>
      </c>
      <c r="L1053" s="163">
        <v>107050.82</v>
      </c>
    </row>
    <row r="1054" spans="1:12" ht="61.2" hidden="1" x14ac:dyDescent="0.3">
      <c r="A1054" s="157" t="s">
        <v>279</v>
      </c>
      <c r="B1054" s="158" t="s">
        <v>1729</v>
      </c>
      <c r="C1054" s="158" t="s">
        <v>1730</v>
      </c>
      <c r="D1054" s="158" t="s">
        <v>1731</v>
      </c>
      <c r="E1054" s="159" t="s">
        <v>283</v>
      </c>
      <c r="F1054" s="160" t="s">
        <v>15</v>
      </c>
      <c r="G1054" s="160"/>
      <c r="H1054" s="159" t="s">
        <v>283</v>
      </c>
      <c r="I1054" s="161">
        <v>11053.24</v>
      </c>
      <c r="J1054" s="161"/>
      <c r="K1054" s="162" t="s">
        <v>8</v>
      </c>
      <c r="L1054" s="163">
        <v>1996110.01</v>
      </c>
    </row>
    <row r="1055" spans="1:12" ht="61.2" hidden="1" x14ac:dyDescent="0.3">
      <c r="A1055" s="157" t="s">
        <v>279</v>
      </c>
      <c r="B1055" s="158" t="s">
        <v>1729</v>
      </c>
      <c r="C1055" s="158" t="s">
        <v>1730</v>
      </c>
      <c r="D1055" s="158" t="s">
        <v>1731</v>
      </c>
      <c r="E1055" s="159" t="s">
        <v>283</v>
      </c>
      <c r="F1055" s="165">
        <v>11053.24</v>
      </c>
      <c r="G1055" s="165"/>
      <c r="H1055" s="159" t="s">
        <v>283</v>
      </c>
      <c r="I1055" s="166" t="s">
        <v>15</v>
      </c>
      <c r="J1055" s="166"/>
      <c r="K1055" s="162" t="s">
        <v>8</v>
      </c>
      <c r="L1055" s="163">
        <v>2410730.11</v>
      </c>
    </row>
    <row r="1056" spans="1:12" ht="51" hidden="1" x14ac:dyDescent="0.3">
      <c r="A1056" s="157" t="s">
        <v>279</v>
      </c>
      <c r="B1056" s="158" t="s">
        <v>280</v>
      </c>
      <c r="C1056" s="158" t="s">
        <v>281</v>
      </c>
      <c r="D1056" s="158" t="s">
        <v>282</v>
      </c>
      <c r="E1056" s="159" t="s">
        <v>13</v>
      </c>
      <c r="F1056" s="160" t="s">
        <v>15</v>
      </c>
      <c r="G1056" s="160"/>
      <c r="H1056" s="159" t="s">
        <v>283</v>
      </c>
      <c r="I1056" s="164">
        <v>302</v>
      </c>
      <c r="J1056" s="164"/>
      <c r="K1056" s="162" t="s">
        <v>8</v>
      </c>
      <c r="L1056" s="163">
        <v>106748.82</v>
      </c>
    </row>
    <row r="1057" spans="1:12" ht="51" hidden="1" x14ac:dyDescent="0.3">
      <c r="A1057" s="157" t="s">
        <v>279</v>
      </c>
      <c r="B1057" s="158" t="s">
        <v>1732</v>
      </c>
      <c r="C1057" s="158" t="s">
        <v>1733</v>
      </c>
      <c r="D1057" s="158" t="s">
        <v>1734</v>
      </c>
      <c r="E1057" s="159" t="s">
        <v>283</v>
      </c>
      <c r="F1057" s="160" t="s">
        <v>15</v>
      </c>
      <c r="G1057" s="160"/>
      <c r="H1057" s="159" t="s">
        <v>283</v>
      </c>
      <c r="I1057" s="161">
        <v>4547.5</v>
      </c>
      <c r="J1057" s="161"/>
      <c r="K1057" s="162" t="s">
        <v>8</v>
      </c>
      <c r="L1057" s="163">
        <v>2406182.61</v>
      </c>
    </row>
    <row r="1058" spans="1:12" ht="51" hidden="1" x14ac:dyDescent="0.3">
      <c r="A1058" s="157" t="s">
        <v>279</v>
      </c>
      <c r="B1058" s="158" t="s">
        <v>1732</v>
      </c>
      <c r="C1058" s="158" t="s">
        <v>1733</v>
      </c>
      <c r="D1058" s="158" t="s">
        <v>1734</v>
      </c>
      <c r="E1058" s="159" t="s">
        <v>283</v>
      </c>
      <c r="F1058" s="165">
        <v>4547.5</v>
      </c>
      <c r="G1058" s="165"/>
      <c r="H1058" s="159" t="s">
        <v>283</v>
      </c>
      <c r="I1058" s="166" t="s">
        <v>15</v>
      </c>
      <c r="J1058" s="166"/>
      <c r="K1058" s="162" t="s">
        <v>8</v>
      </c>
      <c r="L1058" s="163">
        <v>2463404.9300000002</v>
      </c>
    </row>
    <row r="1059" spans="1:12" ht="51" hidden="1" x14ac:dyDescent="0.3">
      <c r="A1059" s="157" t="s">
        <v>279</v>
      </c>
      <c r="B1059" s="158" t="s">
        <v>1735</v>
      </c>
      <c r="C1059" s="158" t="s">
        <v>1736</v>
      </c>
      <c r="D1059" s="158" t="s">
        <v>1737</v>
      </c>
      <c r="E1059" s="159" t="s">
        <v>283</v>
      </c>
      <c r="F1059" s="160" t="s">
        <v>15</v>
      </c>
      <c r="G1059" s="160"/>
      <c r="H1059" s="159" t="s">
        <v>283</v>
      </c>
      <c r="I1059" s="164">
        <v>193.93</v>
      </c>
      <c r="J1059" s="164"/>
      <c r="K1059" s="162" t="s">
        <v>8</v>
      </c>
      <c r="L1059" s="163">
        <v>2534.96</v>
      </c>
    </row>
    <row r="1060" spans="1:12" ht="51" hidden="1" x14ac:dyDescent="0.3">
      <c r="A1060" s="157" t="s">
        <v>279</v>
      </c>
      <c r="B1060" s="158" t="s">
        <v>1735</v>
      </c>
      <c r="C1060" s="158" t="s">
        <v>1736</v>
      </c>
      <c r="D1060" s="158" t="s">
        <v>1737</v>
      </c>
      <c r="E1060" s="159" t="s">
        <v>283</v>
      </c>
      <c r="F1060" s="167">
        <v>193.93</v>
      </c>
      <c r="G1060" s="167"/>
      <c r="H1060" s="159" t="s">
        <v>283</v>
      </c>
      <c r="I1060" s="166" t="s">
        <v>15</v>
      </c>
      <c r="J1060" s="166"/>
      <c r="K1060" s="162" t="s">
        <v>8</v>
      </c>
      <c r="L1060" s="163">
        <v>2463598.86</v>
      </c>
    </row>
    <row r="1061" spans="1:12" ht="51" hidden="1" x14ac:dyDescent="0.3">
      <c r="A1061" s="157" t="s">
        <v>279</v>
      </c>
      <c r="B1061" s="158" t="s">
        <v>1738</v>
      </c>
      <c r="C1061" s="158" t="s">
        <v>1739</v>
      </c>
      <c r="D1061" s="158" t="s">
        <v>1740</v>
      </c>
      <c r="E1061" s="159" t="s">
        <v>283</v>
      </c>
      <c r="F1061" s="165">
        <v>3589.65</v>
      </c>
      <c r="G1061" s="165"/>
      <c r="H1061" s="159" t="s">
        <v>283</v>
      </c>
      <c r="I1061" s="166" t="s">
        <v>15</v>
      </c>
      <c r="J1061" s="166"/>
      <c r="K1061" s="162" t="s">
        <v>8</v>
      </c>
      <c r="L1061" s="163">
        <v>2467188.5099999998</v>
      </c>
    </row>
    <row r="1062" spans="1:12" ht="51" hidden="1" x14ac:dyDescent="0.3">
      <c r="A1062" s="157" t="s">
        <v>279</v>
      </c>
      <c r="B1062" s="158" t="s">
        <v>1738</v>
      </c>
      <c r="C1062" s="158" t="s">
        <v>1739</v>
      </c>
      <c r="D1062" s="158" t="s">
        <v>1740</v>
      </c>
      <c r="E1062" s="159" t="s">
        <v>283</v>
      </c>
      <c r="F1062" s="160" t="s">
        <v>15</v>
      </c>
      <c r="G1062" s="160"/>
      <c r="H1062" s="159" t="s">
        <v>283</v>
      </c>
      <c r="I1062" s="161">
        <v>3589.65</v>
      </c>
      <c r="J1062" s="161"/>
      <c r="K1062" s="162" t="s">
        <v>8</v>
      </c>
      <c r="L1062" s="163">
        <v>345634.24</v>
      </c>
    </row>
    <row r="1063" spans="1:12" ht="61.2" hidden="1" x14ac:dyDescent="0.3">
      <c r="A1063" s="157" t="s">
        <v>279</v>
      </c>
      <c r="B1063" s="158" t="s">
        <v>1741</v>
      </c>
      <c r="C1063" s="158" t="s">
        <v>1742</v>
      </c>
      <c r="D1063" s="158" t="s">
        <v>1587</v>
      </c>
      <c r="E1063" s="159" t="s">
        <v>283</v>
      </c>
      <c r="F1063" s="160" t="s">
        <v>15</v>
      </c>
      <c r="G1063" s="160"/>
      <c r="H1063" s="159" t="s">
        <v>283</v>
      </c>
      <c r="I1063" s="161">
        <v>20268.05</v>
      </c>
      <c r="J1063" s="161"/>
      <c r="K1063" s="162" t="s">
        <v>8</v>
      </c>
      <c r="L1063" s="163">
        <v>2385914.56</v>
      </c>
    </row>
    <row r="1064" spans="1:12" ht="61.2" hidden="1" x14ac:dyDescent="0.3">
      <c r="A1064" s="157" t="s">
        <v>279</v>
      </c>
      <c r="B1064" s="158" t="s">
        <v>1741</v>
      </c>
      <c r="C1064" s="158" t="s">
        <v>1742</v>
      </c>
      <c r="D1064" s="158" t="s">
        <v>1587</v>
      </c>
      <c r="E1064" s="159" t="s">
        <v>283</v>
      </c>
      <c r="F1064" s="165">
        <v>20268.05</v>
      </c>
      <c r="G1064" s="165"/>
      <c r="H1064" s="159" t="s">
        <v>283</v>
      </c>
      <c r="I1064" s="166" t="s">
        <v>15</v>
      </c>
      <c r="J1064" s="166"/>
      <c r="K1064" s="162" t="s">
        <v>8</v>
      </c>
      <c r="L1064" s="163">
        <v>2016378.06</v>
      </c>
    </row>
    <row r="1065" spans="1:12" ht="61.2" hidden="1" x14ac:dyDescent="0.3">
      <c r="A1065" s="157" t="s">
        <v>279</v>
      </c>
      <c r="B1065" s="158" t="s">
        <v>1741</v>
      </c>
      <c r="C1065" s="158" t="s">
        <v>1743</v>
      </c>
      <c r="D1065" s="158" t="s">
        <v>1591</v>
      </c>
      <c r="E1065" s="159" t="s">
        <v>283</v>
      </c>
      <c r="F1065" s="165">
        <v>2338.66</v>
      </c>
      <c r="G1065" s="165"/>
      <c r="H1065" s="159" t="s">
        <v>283</v>
      </c>
      <c r="I1065" s="166" t="s">
        <v>15</v>
      </c>
      <c r="J1065" s="166"/>
      <c r="K1065" s="162" t="s">
        <v>8</v>
      </c>
      <c r="L1065" s="163">
        <v>2018716.72</v>
      </c>
    </row>
    <row r="1066" spans="1:12" ht="61.2" hidden="1" x14ac:dyDescent="0.3">
      <c r="A1066" s="157" t="s">
        <v>279</v>
      </c>
      <c r="B1066" s="158" t="s">
        <v>1741</v>
      </c>
      <c r="C1066" s="158" t="s">
        <v>1743</v>
      </c>
      <c r="D1066" s="158" t="s">
        <v>1591</v>
      </c>
      <c r="E1066" s="159" t="s">
        <v>283</v>
      </c>
      <c r="F1066" s="160" t="s">
        <v>15</v>
      </c>
      <c r="G1066" s="160"/>
      <c r="H1066" s="159" t="s">
        <v>283</v>
      </c>
      <c r="I1066" s="161">
        <v>2338.66</v>
      </c>
      <c r="J1066" s="161"/>
      <c r="K1066" s="162" t="s">
        <v>8</v>
      </c>
      <c r="L1066" s="163">
        <v>2383575.9</v>
      </c>
    </row>
    <row r="1067" spans="1:12" ht="51" hidden="1" x14ac:dyDescent="0.3">
      <c r="A1067" s="157" t="s">
        <v>279</v>
      </c>
      <c r="B1067" s="158" t="s">
        <v>1741</v>
      </c>
      <c r="C1067" s="158" t="s">
        <v>1744</v>
      </c>
      <c r="D1067" s="158" t="s">
        <v>1589</v>
      </c>
      <c r="E1067" s="159" t="s">
        <v>283</v>
      </c>
      <c r="F1067" s="167">
        <v>446.16</v>
      </c>
      <c r="G1067" s="167"/>
      <c r="H1067" s="159" t="s">
        <v>283</v>
      </c>
      <c r="I1067" s="166" t="s">
        <v>15</v>
      </c>
      <c r="J1067" s="166"/>
      <c r="K1067" s="162" t="s">
        <v>8</v>
      </c>
      <c r="L1067" s="163">
        <v>2019162.88</v>
      </c>
    </row>
    <row r="1068" spans="1:12" ht="51" hidden="1" x14ac:dyDescent="0.3">
      <c r="A1068" s="157" t="s">
        <v>279</v>
      </c>
      <c r="B1068" s="158" t="s">
        <v>1741</v>
      </c>
      <c r="C1068" s="158" t="s">
        <v>1744</v>
      </c>
      <c r="D1068" s="158" t="s">
        <v>1589</v>
      </c>
      <c r="E1068" s="159" t="s">
        <v>283</v>
      </c>
      <c r="F1068" s="160" t="s">
        <v>15</v>
      </c>
      <c r="G1068" s="160"/>
      <c r="H1068" s="159" t="s">
        <v>283</v>
      </c>
      <c r="I1068" s="164">
        <v>446.16</v>
      </c>
      <c r="J1068" s="164"/>
      <c r="K1068" s="162" t="s">
        <v>8</v>
      </c>
      <c r="L1068" s="163">
        <v>2383129.7400000002</v>
      </c>
    </row>
    <row r="1069" spans="1:12" ht="51" hidden="1" x14ac:dyDescent="0.3">
      <c r="A1069" s="157" t="s">
        <v>279</v>
      </c>
      <c r="B1069" s="158" t="s">
        <v>1745</v>
      </c>
      <c r="C1069" s="158" t="s">
        <v>1746</v>
      </c>
      <c r="D1069" s="158" t="s">
        <v>1747</v>
      </c>
      <c r="E1069" s="159" t="s">
        <v>283</v>
      </c>
      <c r="F1069" s="165">
        <v>7587.27</v>
      </c>
      <c r="G1069" s="165"/>
      <c r="H1069" s="159" t="s">
        <v>14</v>
      </c>
      <c r="I1069" s="166" t="s">
        <v>15</v>
      </c>
      <c r="J1069" s="166"/>
      <c r="K1069" s="162" t="s">
        <v>8</v>
      </c>
      <c r="L1069" s="163">
        <v>2474775.7799999998</v>
      </c>
    </row>
    <row r="1070" spans="1:12" ht="51" hidden="1" x14ac:dyDescent="0.3">
      <c r="A1070" s="157" t="s">
        <v>279</v>
      </c>
      <c r="B1070" s="158" t="s">
        <v>1745</v>
      </c>
      <c r="C1070" s="158" t="s">
        <v>1748</v>
      </c>
      <c r="D1070" s="158" t="s">
        <v>1747</v>
      </c>
      <c r="E1070" s="159" t="s">
        <v>283</v>
      </c>
      <c r="F1070" s="167">
        <v>155.04</v>
      </c>
      <c r="G1070" s="167"/>
      <c r="H1070" s="159" t="s">
        <v>14</v>
      </c>
      <c r="I1070" s="166" t="s">
        <v>15</v>
      </c>
      <c r="J1070" s="166"/>
      <c r="K1070" s="162" t="s">
        <v>8</v>
      </c>
      <c r="L1070" s="163">
        <v>2474930.8199999998</v>
      </c>
    </row>
    <row r="1071" spans="1:12" ht="51" hidden="1" x14ac:dyDescent="0.3">
      <c r="A1071" s="157" t="s">
        <v>279</v>
      </c>
      <c r="B1071" s="158" t="s">
        <v>1745</v>
      </c>
      <c r="C1071" s="158" t="s">
        <v>1749</v>
      </c>
      <c r="D1071" s="158" t="s">
        <v>1747</v>
      </c>
      <c r="E1071" s="159" t="s">
        <v>283</v>
      </c>
      <c r="F1071" s="165">
        <v>7422</v>
      </c>
      <c r="G1071" s="165"/>
      <c r="H1071" s="159" t="s">
        <v>14</v>
      </c>
      <c r="I1071" s="166" t="s">
        <v>15</v>
      </c>
      <c r="J1071" s="166"/>
      <c r="K1071" s="162" t="s">
        <v>8</v>
      </c>
      <c r="L1071" s="163">
        <v>2482352.8199999998</v>
      </c>
    </row>
    <row r="1072" spans="1:12" ht="61.2" hidden="1" x14ac:dyDescent="0.3">
      <c r="A1072" s="157" t="s">
        <v>279</v>
      </c>
      <c r="B1072" s="158" t="s">
        <v>1745</v>
      </c>
      <c r="C1072" s="158" t="s">
        <v>1750</v>
      </c>
      <c r="D1072" s="158" t="s">
        <v>1747</v>
      </c>
      <c r="E1072" s="159" t="s">
        <v>283</v>
      </c>
      <c r="F1072" s="165">
        <v>42999.75</v>
      </c>
      <c r="G1072" s="165"/>
      <c r="H1072" s="159" t="s">
        <v>14</v>
      </c>
      <c r="I1072" s="166" t="s">
        <v>15</v>
      </c>
      <c r="J1072" s="166"/>
      <c r="K1072" s="162" t="s">
        <v>8</v>
      </c>
      <c r="L1072" s="163">
        <v>2525352.5699999998</v>
      </c>
    </row>
    <row r="1073" spans="1:12" ht="51" hidden="1" x14ac:dyDescent="0.3">
      <c r="A1073" s="157" t="s">
        <v>279</v>
      </c>
      <c r="B1073" s="158" t="s">
        <v>1745</v>
      </c>
      <c r="C1073" s="158" t="s">
        <v>1751</v>
      </c>
      <c r="D1073" s="158" t="s">
        <v>1747</v>
      </c>
      <c r="E1073" s="159" t="s">
        <v>283</v>
      </c>
      <c r="F1073" s="165">
        <v>64711.94</v>
      </c>
      <c r="G1073" s="165"/>
      <c r="H1073" s="159" t="s">
        <v>14</v>
      </c>
      <c r="I1073" s="166" t="s">
        <v>15</v>
      </c>
      <c r="J1073" s="166"/>
      <c r="K1073" s="162" t="s">
        <v>8</v>
      </c>
      <c r="L1073" s="163">
        <v>2590064.5099999998</v>
      </c>
    </row>
    <row r="1074" spans="1:12" ht="61.2" hidden="1" x14ac:dyDescent="0.3">
      <c r="A1074" s="157" t="s">
        <v>279</v>
      </c>
      <c r="B1074" s="158" t="s">
        <v>1745</v>
      </c>
      <c r="C1074" s="158" t="s">
        <v>1752</v>
      </c>
      <c r="D1074" s="158" t="s">
        <v>1747</v>
      </c>
      <c r="E1074" s="159" t="s">
        <v>283</v>
      </c>
      <c r="F1074" s="165">
        <v>5283.99</v>
      </c>
      <c r="G1074" s="165"/>
      <c r="H1074" s="159" t="s">
        <v>14</v>
      </c>
      <c r="I1074" s="166" t="s">
        <v>15</v>
      </c>
      <c r="J1074" s="166"/>
      <c r="K1074" s="162" t="s">
        <v>8</v>
      </c>
      <c r="L1074" s="163">
        <v>2595348.5</v>
      </c>
    </row>
    <row r="1075" spans="1:12" ht="51" hidden="1" x14ac:dyDescent="0.3">
      <c r="A1075" s="157" t="s">
        <v>279</v>
      </c>
      <c r="B1075" s="158" t="s">
        <v>1753</v>
      </c>
      <c r="C1075" s="158" t="s">
        <v>1754</v>
      </c>
      <c r="D1075" s="158" t="s">
        <v>1755</v>
      </c>
      <c r="E1075" s="159" t="s">
        <v>283</v>
      </c>
      <c r="F1075" s="165">
        <v>163227.5</v>
      </c>
      <c r="G1075" s="165"/>
      <c r="H1075" s="159" t="s">
        <v>14</v>
      </c>
      <c r="I1075" s="166" t="s">
        <v>15</v>
      </c>
      <c r="J1075" s="166"/>
      <c r="K1075" s="162" t="s">
        <v>8</v>
      </c>
      <c r="L1075" s="163">
        <v>269976.32000000001</v>
      </c>
    </row>
    <row r="1076" spans="1:12" ht="51" hidden="1" x14ac:dyDescent="0.3">
      <c r="A1076" s="157" t="s">
        <v>279</v>
      </c>
      <c r="B1076" s="158" t="s">
        <v>1756</v>
      </c>
      <c r="C1076" s="158" t="s">
        <v>1754</v>
      </c>
      <c r="D1076" s="158" t="s">
        <v>1757</v>
      </c>
      <c r="E1076" s="159" t="s">
        <v>283</v>
      </c>
      <c r="F1076" s="165">
        <v>46474.5</v>
      </c>
      <c r="G1076" s="165"/>
      <c r="H1076" s="159" t="s">
        <v>14</v>
      </c>
      <c r="I1076" s="166" t="s">
        <v>15</v>
      </c>
      <c r="J1076" s="166"/>
      <c r="K1076" s="162" t="s">
        <v>8</v>
      </c>
      <c r="L1076" s="163">
        <v>316450.82</v>
      </c>
    </row>
    <row r="1077" spans="1:12" ht="51" hidden="1" x14ac:dyDescent="0.3">
      <c r="A1077" s="157" t="s">
        <v>279</v>
      </c>
      <c r="B1077" s="158" t="s">
        <v>1758</v>
      </c>
      <c r="C1077" s="158" t="s">
        <v>1759</v>
      </c>
      <c r="D1077" s="158" t="s">
        <v>1754</v>
      </c>
      <c r="E1077" s="159" t="s">
        <v>283</v>
      </c>
      <c r="F1077" s="165">
        <v>159681.34</v>
      </c>
      <c r="G1077" s="165"/>
      <c r="H1077" s="159" t="s">
        <v>283</v>
      </c>
      <c r="I1077" s="166" t="s">
        <v>15</v>
      </c>
      <c r="J1077" s="166"/>
      <c r="K1077" s="162" t="s">
        <v>8</v>
      </c>
      <c r="L1077" s="163">
        <v>5972327.8899999997</v>
      </c>
    </row>
    <row r="1078" spans="1:12" ht="51" hidden="1" x14ac:dyDescent="0.3">
      <c r="A1078" s="157" t="s">
        <v>279</v>
      </c>
      <c r="B1078" s="158" t="s">
        <v>1758</v>
      </c>
      <c r="C1078" s="158" t="s">
        <v>1759</v>
      </c>
      <c r="D1078" s="158" t="s">
        <v>1754</v>
      </c>
      <c r="E1078" s="159" t="s">
        <v>283</v>
      </c>
      <c r="F1078" s="160" t="s">
        <v>15</v>
      </c>
      <c r="G1078" s="160"/>
      <c r="H1078" s="159" t="s">
        <v>283</v>
      </c>
      <c r="I1078" s="161">
        <v>159681.34</v>
      </c>
      <c r="J1078" s="161"/>
      <c r="K1078" s="162" t="s">
        <v>8</v>
      </c>
      <c r="L1078" s="163">
        <v>156769.48000000001</v>
      </c>
    </row>
    <row r="1079" spans="1:12" ht="61.2" hidden="1" x14ac:dyDescent="0.3">
      <c r="A1079" s="157" t="s">
        <v>279</v>
      </c>
      <c r="B1079" s="158" t="s">
        <v>1760</v>
      </c>
      <c r="C1079" s="158" t="s">
        <v>1761</v>
      </c>
      <c r="D1079" s="158" t="s">
        <v>1754</v>
      </c>
      <c r="E1079" s="159" t="s">
        <v>283</v>
      </c>
      <c r="F1079" s="160" t="s">
        <v>15</v>
      </c>
      <c r="G1079" s="160"/>
      <c r="H1079" s="159" t="s">
        <v>283</v>
      </c>
      <c r="I1079" s="161">
        <v>11543.23</v>
      </c>
      <c r="J1079" s="161"/>
      <c r="K1079" s="162" t="s">
        <v>8</v>
      </c>
      <c r="L1079" s="163">
        <v>145226.25</v>
      </c>
    </row>
    <row r="1080" spans="1:12" ht="61.2" hidden="1" x14ac:dyDescent="0.3">
      <c r="A1080" s="157" t="s">
        <v>279</v>
      </c>
      <c r="B1080" s="158" t="s">
        <v>1760</v>
      </c>
      <c r="C1080" s="158" t="s">
        <v>1761</v>
      </c>
      <c r="D1080" s="158" t="s">
        <v>1754</v>
      </c>
      <c r="E1080" s="159" t="s">
        <v>283</v>
      </c>
      <c r="F1080" s="165">
        <v>11543.23</v>
      </c>
      <c r="G1080" s="165"/>
      <c r="H1080" s="159" t="s">
        <v>283</v>
      </c>
      <c r="I1080" s="166" t="s">
        <v>15</v>
      </c>
      <c r="J1080" s="166"/>
      <c r="K1080" s="162" t="s">
        <v>8</v>
      </c>
      <c r="L1080" s="163">
        <v>45186.98</v>
      </c>
    </row>
    <row r="1081" spans="1:12" ht="51" hidden="1" x14ac:dyDescent="0.3">
      <c r="A1081" s="157" t="s">
        <v>279</v>
      </c>
      <c r="B1081" s="158" t="s">
        <v>1762</v>
      </c>
      <c r="C1081" s="158" t="s">
        <v>1763</v>
      </c>
      <c r="D1081" s="158" t="s">
        <v>1754</v>
      </c>
      <c r="E1081" s="159" t="s">
        <v>283</v>
      </c>
      <c r="F1081" s="165">
        <v>38477.43</v>
      </c>
      <c r="G1081" s="165"/>
      <c r="H1081" s="159" t="s">
        <v>283</v>
      </c>
      <c r="I1081" s="166" t="s">
        <v>15</v>
      </c>
      <c r="J1081" s="166"/>
      <c r="K1081" s="162" t="s">
        <v>8</v>
      </c>
      <c r="L1081" s="163">
        <v>2633825.9300000002</v>
      </c>
    </row>
    <row r="1082" spans="1:12" ht="51" hidden="1" x14ac:dyDescent="0.3">
      <c r="A1082" s="157" t="s">
        <v>279</v>
      </c>
      <c r="B1082" s="158" t="s">
        <v>1762</v>
      </c>
      <c r="C1082" s="158" t="s">
        <v>1763</v>
      </c>
      <c r="D1082" s="158" t="s">
        <v>1754</v>
      </c>
      <c r="E1082" s="159" t="s">
        <v>283</v>
      </c>
      <c r="F1082" s="160" t="s">
        <v>15</v>
      </c>
      <c r="G1082" s="160"/>
      <c r="H1082" s="159" t="s">
        <v>283</v>
      </c>
      <c r="I1082" s="161">
        <v>38477.43</v>
      </c>
      <c r="J1082" s="161"/>
      <c r="K1082" s="162" t="s">
        <v>8</v>
      </c>
      <c r="L1082" s="163">
        <v>106748.82</v>
      </c>
    </row>
    <row r="1083" spans="1:12" ht="51" x14ac:dyDescent="0.3">
      <c r="A1083" s="157" t="s">
        <v>279</v>
      </c>
      <c r="B1083" s="158" t="s">
        <v>1764</v>
      </c>
      <c r="C1083" s="158" t="s">
        <v>741</v>
      </c>
      <c r="D1083" s="158" t="s">
        <v>1765</v>
      </c>
      <c r="E1083" s="159" t="s">
        <v>42</v>
      </c>
      <c r="F1083" s="160" t="s">
        <v>15</v>
      </c>
      <c r="G1083" s="160"/>
      <c r="H1083" s="159" t="s">
        <v>283</v>
      </c>
      <c r="I1083" s="164">
        <v>802.36</v>
      </c>
      <c r="J1083" s="164"/>
      <c r="K1083" s="162" t="s">
        <v>8</v>
      </c>
      <c r="L1083" s="163">
        <v>992886.59</v>
      </c>
    </row>
    <row r="1084" spans="1:12" ht="51" x14ac:dyDescent="0.3">
      <c r="A1084" s="157" t="s">
        <v>279</v>
      </c>
      <c r="B1084" s="158" t="s">
        <v>1764</v>
      </c>
      <c r="C1084" s="158" t="s">
        <v>741</v>
      </c>
      <c r="D1084" s="158" t="s">
        <v>1766</v>
      </c>
      <c r="E1084" s="159" t="s">
        <v>42</v>
      </c>
      <c r="F1084" s="160" t="s">
        <v>15</v>
      </c>
      <c r="G1084" s="160"/>
      <c r="H1084" s="159" t="s">
        <v>283</v>
      </c>
      <c r="I1084" s="164">
        <v>952.31</v>
      </c>
      <c r="J1084" s="164"/>
      <c r="K1084" s="162" t="s">
        <v>8</v>
      </c>
      <c r="L1084" s="163">
        <v>991934.28</v>
      </c>
    </row>
    <row r="1085" spans="1:12" ht="51" x14ac:dyDescent="0.3">
      <c r="A1085" s="157" t="s">
        <v>279</v>
      </c>
      <c r="B1085" s="158" t="s">
        <v>1764</v>
      </c>
      <c r="C1085" s="158" t="s">
        <v>741</v>
      </c>
      <c r="D1085" s="158" t="s">
        <v>1767</v>
      </c>
      <c r="E1085" s="159" t="s">
        <v>42</v>
      </c>
      <c r="F1085" s="160" t="s">
        <v>15</v>
      </c>
      <c r="G1085" s="160"/>
      <c r="H1085" s="159" t="s">
        <v>283</v>
      </c>
      <c r="I1085" s="161">
        <v>2741.45</v>
      </c>
      <c r="J1085" s="161"/>
      <c r="K1085" s="162" t="s">
        <v>8</v>
      </c>
      <c r="L1085" s="163">
        <v>989192.83</v>
      </c>
    </row>
    <row r="1086" spans="1:12" ht="61.2" x14ac:dyDescent="0.3">
      <c r="A1086" s="157" t="s">
        <v>279</v>
      </c>
      <c r="B1086" s="158" t="s">
        <v>1768</v>
      </c>
      <c r="C1086" s="158" t="s">
        <v>741</v>
      </c>
      <c r="D1086" s="158" t="s">
        <v>1719</v>
      </c>
      <c r="E1086" s="159" t="s">
        <v>42</v>
      </c>
      <c r="F1086" s="160" t="s">
        <v>15</v>
      </c>
      <c r="G1086" s="160"/>
      <c r="H1086" s="159" t="s">
        <v>283</v>
      </c>
      <c r="I1086" s="161">
        <v>1045.2</v>
      </c>
      <c r="J1086" s="161"/>
      <c r="K1086" s="162" t="s">
        <v>8</v>
      </c>
      <c r="L1086" s="163">
        <v>155203.48000000001</v>
      </c>
    </row>
    <row r="1087" spans="1:12" ht="61.2" x14ac:dyDescent="0.3">
      <c r="A1087" s="157" t="s">
        <v>279</v>
      </c>
      <c r="B1087" s="158" t="s">
        <v>1768</v>
      </c>
      <c r="C1087" s="158" t="s">
        <v>741</v>
      </c>
      <c r="D1087" s="158" t="s">
        <v>1722</v>
      </c>
      <c r="E1087" s="159" t="s">
        <v>42</v>
      </c>
      <c r="F1087" s="160" t="s">
        <v>15</v>
      </c>
      <c r="G1087" s="160"/>
      <c r="H1087" s="159" t="s">
        <v>283</v>
      </c>
      <c r="I1087" s="161">
        <v>1548.75</v>
      </c>
      <c r="J1087" s="161"/>
      <c r="K1087" s="162" t="s">
        <v>8</v>
      </c>
      <c r="L1087" s="163">
        <v>153654.73000000001</v>
      </c>
    </row>
    <row r="1088" spans="1:12" ht="61.2" x14ac:dyDescent="0.3">
      <c r="A1088" s="157" t="s">
        <v>279</v>
      </c>
      <c r="B1088" s="158" t="s">
        <v>1768</v>
      </c>
      <c r="C1088" s="158" t="s">
        <v>741</v>
      </c>
      <c r="D1088" s="158" t="s">
        <v>1724</v>
      </c>
      <c r="E1088" s="159" t="s">
        <v>42</v>
      </c>
      <c r="F1088" s="160" t="s">
        <v>15</v>
      </c>
      <c r="G1088" s="160"/>
      <c r="H1088" s="159" t="s">
        <v>283</v>
      </c>
      <c r="I1088" s="161">
        <v>4600.67</v>
      </c>
      <c r="J1088" s="161"/>
      <c r="K1088" s="162" t="s">
        <v>8</v>
      </c>
      <c r="L1088" s="163">
        <v>149054.06</v>
      </c>
    </row>
    <row r="1089" spans="1:12" ht="61.2" x14ac:dyDescent="0.3">
      <c r="A1089" s="157" t="s">
        <v>279</v>
      </c>
      <c r="B1089" s="158" t="s">
        <v>1768</v>
      </c>
      <c r="C1089" s="158" t="s">
        <v>741</v>
      </c>
      <c r="D1089" s="158" t="s">
        <v>1727</v>
      </c>
      <c r="E1089" s="159" t="s">
        <v>42</v>
      </c>
      <c r="F1089" s="160" t="s">
        <v>15</v>
      </c>
      <c r="G1089" s="160"/>
      <c r="H1089" s="159" t="s">
        <v>283</v>
      </c>
      <c r="I1089" s="161">
        <v>2783.45</v>
      </c>
      <c r="J1089" s="161"/>
      <c r="K1089" s="162" t="s">
        <v>8</v>
      </c>
      <c r="L1089" s="163">
        <v>146270.60999999999</v>
      </c>
    </row>
    <row r="1090" spans="1:12" ht="61.2" x14ac:dyDescent="0.3">
      <c r="A1090" s="157" t="s">
        <v>279</v>
      </c>
      <c r="B1090" s="158" t="s">
        <v>1768</v>
      </c>
      <c r="C1090" s="158" t="s">
        <v>741</v>
      </c>
      <c r="D1090" s="158" t="s">
        <v>1410</v>
      </c>
      <c r="E1090" s="159" t="s">
        <v>42</v>
      </c>
      <c r="F1090" s="160" t="s">
        <v>15</v>
      </c>
      <c r="G1090" s="160"/>
      <c r="H1090" s="159" t="s">
        <v>283</v>
      </c>
      <c r="I1090" s="161">
        <v>3715.23</v>
      </c>
      <c r="J1090" s="161"/>
      <c r="K1090" s="162" t="s">
        <v>8</v>
      </c>
      <c r="L1090" s="163">
        <v>142555.38</v>
      </c>
    </row>
    <row r="1091" spans="1:12" ht="61.2" x14ac:dyDescent="0.3">
      <c r="A1091" s="157" t="s">
        <v>279</v>
      </c>
      <c r="B1091" s="158" t="s">
        <v>1768</v>
      </c>
      <c r="C1091" s="158" t="s">
        <v>741</v>
      </c>
      <c r="D1091" s="158" t="s">
        <v>991</v>
      </c>
      <c r="E1091" s="159" t="s">
        <v>42</v>
      </c>
      <c r="F1091" s="160" t="s">
        <v>15</v>
      </c>
      <c r="G1091" s="160"/>
      <c r="H1091" s="159" t="s">
        <v>283</v>
      </c>
      <c r="I1091" s="161">
        <v>9323.8700000000008</v>
      </c>
      <c r="J1091" s="161"/>
      <c r="K1091" s="162" t="s">
        <v>8</v>
      </c>
      <c r="L1091" s="163">
        <v>133231.51</v>
      </c>
    </row>
    <row r="1092" spans="1:12" ht="61.2" x14ac:dyDescent="0.3">
      <c r="A1092" s="157" t="s">
        <v>279</v>
      </c>
      <c r="B1092" s="158" t="s">
        <v>1768</v>
      </c>
      <c r="C1092" s="158" t="s">
        <v>741</v>
      </c>
      <c r="D1092" s="158" t="s">
        <v>994</v>
      </c>
      <c r="E1092" s="159" t="s">
        <v>42</v>
      </c>
      <c r="F1092" s="160" t="s">
        <v>15</v>
      </c>
      <c r="G1092" s="160"/>
      <c r="H1092" s="159" t="s">
        <v>283</v>
      </c>
      <c r="I1092" s="161">
        <v>20033.54</v>
      </c>
      <c r="J1092" s="161"/>
      <c r="K1092" s="162" t="s">
        <v>8</v>
      </c>
      <c r="L1092" s="163">
        <v>113197.97</v>
      </c>
    </row>
    <row r="1093" spans="1:12" ht="61.2" x14ac:dyDescent="0.3">
      <c r="A1093" s="157" t="s">
        <v>279</v>
      </c>
      <c r="B1093" s="158" t="s">
        <v>1768</v>
      </c>
      <c r="C1093" s="158" t="s">
        <v>741</v>
      </c>
      <c r="D1093" s="158" t="s">
        <v>994</v>
      </c>
      <c r="E1093" s="159" t="s">
        <v>42</v>
      </c>
      <c r="F1093" s="160" t="s">
        <v>15</v>
      </c>
      <c r="G1093" s="160"/>
      <c r="H1093" s="159" t="s">
        <v>283</v>
      </c>
      <c r="I1093" s="161">
        <v>3446.22</v>
      </c>
      <c r="J1093" s="161"/>
      <c r="K1093" s="162" t="s">
        <v>8</v>
      </c>
      <c r="L1093" s="163">
        <v>109751.75</v>
      </c>
    </row>
    <row r="1094" spans="1:12" ht="61.2" x14ac:dyDescent="0.3">
      <c r="A1094" s="157" t="s">
        <v>279</v>
      </c>
      <c r="B1094" s="158" t="s">
        <v>1768</v>
      </c>
      <c r="C1094" s="158" t="s">
        <v>741</v>
      </c>
      <c r="D1094" s="158" t="s">
        <v>994</v>
      </c>
      <c r="E1094" s="159" t="s">
        <v>42</v>
      </c>
      <c r="F1094" s="160" t="s">
        <v>15</v>
      </c>
      <c r="G1094" s="160"/>
      <c r="H1094" s="159" t="s">
        <v>283</v>
      </c>
      <c r="I1094" s="161">
        <v>3764.34</v>
      </c>
      <c r="J1094" s="161"/>
      <c r="K1094" s="162" t="s">
        <v>8</v>
      </c>
      <c r="L1094" s="163">
        <v>105987.41</v>
      </c>
    </row>
    <row r="1095" spans="1:12" ht="61.2" x14ac:dyDescent="0.3">
      <c r="A1095" s="157" t="s">
        <v>279</v>
      </c>
      <c r="B1095" s="158" t="s">
        <v>1768</v>
      </c>
      <c r="C1095" s="158" t="s">
        <v>741</v>
      </c>
      <c r="D1095" s="158" t="s">
        <v>1769</v>
      </c>
      <c r="E1095" s="159" t="s">
        <v>42</v>
      </c>
      <c r="F1095" s="160" t="s">
        <v>15</v>
      </c>
      <c r="G1095" s="160"/>
      <c r="H1095" s="159" t="s">
        <v>283</v>
      </c>
      <c r="I1095" s="164">
        <v>369.6</v>
      </c>
      <c r="J1095" s="164"/>
      <c r="K1095" s="162" t="s">
        <v>8</v>
      </c>
      <c r="L1095" s="163">
        <v>105617.81</v>
      </c>
    </row>
    <row r="1096" spans="1:12" ht="61.2" x14ac:dyDescent="0.3">
      <c r="A1096" s="157" t="s">
        <v>279</v>
      </c>
      <c r="B1096" s="158" t="s">
        <v>1768</v>
      </c>
      <c r="C1096" s="158" t="s">
        <v>741</v>
      </c>
      <c r="D1096" s="158" t="s">
        <v>1411</v>
      </c>
      <c r="E1096" s="159" t="s">
        <v>42</v>
      </c>
      <c r="F1096" s="160" t="s">
        <v>15</v>
      </c>
      <c r="G1096" s="160"/>
      <c r="H1096" s="159" t="s">
        <v>283</v>
      </c>
      <c r="I1096" s="161">
        <v>9500</v>
      </c>
      <c r="J1096" s="161"/>
      <c r="K1096" s="162" t="s">
        <v>8</v>
      </c>
      <c r="L1096" s="163">
        <v>96117.81</v>
      </c>
    </row>
    <row r="1097" spans="1:12" ht="51" x14ac:dyDescent="0.3">
      <c r="A1097" s="157" t="s">
        <v>279</v>
      </c>
      <c r="B1097" s="158" t="s">
        <v>1770</v>
      </c>
      <c r="C1097" s="158" t="s">
        <v>741</v>
      </c>
      <c r="D1097" s="158" t="s">
        <v>1771</v>
      </c>
      <c r="E1097" s="159" t="s">
        <v>42</v>
      </c>
      <c r="F1097" s="160" t="s">
        <v>15</v>
      </c>
      <c r="G1097" s="160"/>
      <c r="H1097" s="159" t="s">
        <v>283</v>
      </c>
      <c r="I1097" s="161">
        <v>2415</v>
      </c>
      <c r="J1097" s="161"/>
      <c r="K1097" s="162" t="s">
        <v>8</v>
      </c>
      <c r="L1097" s="163">
        <v>104333.82</v>
      </c>
    </row>
    <row r="1098" spans="1:12" ht="51" x14ac:dyDescent="0.3">
      <c r="A1098" s="157" t="s">
        <v>279</v>
      </c>
      <c r="B1098" s="158" t="s">
        <v>1772</v>
      </c>
      <c r="C1098" s="158" t="s">
        <v>741</v>
      </c>
      <c r="D1098" s="158" t="s">
        <v>1001</v>
      </c>
      <c r="E1098" s="159" t="s">
        <v>42</v>
      </c>
      <c r="F1098" s="160" t="s">
        <v>15</v>
      </c>
      <c r="G1098" s="160"/>
      <c r="H1098" s="159" t="s">
        <v>283</v>
      </c>
      <c r="I1098" s="161">
        <v>437408.6</v>
      </c>
      <c r="J1098" s="161"/>
      <c r="K1098" s="162" t="s">
        <v>8</v>
      </c>
      <c r="L1098" s="163">
        <v>1945721.14</v>
      </c>
    </row>
    <row r="1099" spans="1:12" ht="51" x14ac:dyDescent="0.3">
      <c r="A1099" s="157" t="s">
        <v>279</v>
      </c>
      <c r="B1099" s="158" t="s">
        <v>1772</v>
      </c>
      <c r="C1099" s="158" t="s">
        <v>741</v>
      </c>
      <c r="D1099" s="158" t="s">
        <v>1648</v>
      </c>
      <c r="E1099" s="159" t="s">
        <v>42</v>
      </c>
      <c r="F1099" s="160" t="s">
        <v>15</v>
      </c>
      <c r="G1099" s="160"/>
      <c r="H1099" s="159" t="s">
        <v>283</v>
      </c>
      <c r="I1099" s="164">
        <v>726.83</v>
      </c>
      <c r="J1099" s="164"/>
      <c r="K1099" s="162" t="s">
        <v>8</v>
      </c>
      <c r="L1099" s="163">
        <v>1944994.31</v>
      </c>
    </row>
    <row r="1100" spans="1:12" ht="51" x14ac:dyDescent="0.3">
      <c r="A1100" s="157" t="s">
        <v>279</v>
      </c>
      <c r="B1100" s="158" t="s">
        <v>1772</v>
      </c>
      <c r="C1100" s="158" t="s">
        <v>741</v>
      </c>
      <c r="D1100" s="158" t="s">
        <v>1595</v>
      </c>
      <c r="E1100" s="159" t="s">
        <v>42</v>
      </c>
      <c r="F1100" s="160" t="s">
        <v>15</v>
      </c>
      <c r="G1100" s="160"/>
      <c r="H1100" s="159" t="s">
        <v>283</v>
      </c>
      <c r="I1100" s="164">
        <v>76.3</v>
      </c>
      <c r="J1100" s="164"/>
      <c r="K1100" s="162" t="s">
        <v>8</v>
      </c>
      <c r="L1100" s="163">
        <v>1944918.01</v>
      </c>
    </row>
    <row r="1101" spans="1:12" ht="61.2" x14ac:dyDescent="0.3">
      <c r="A1101" s="157" t="s">
        <v>279</v>
      </c>
      <c r="B1101" s="158" t="s">
        <v>1772</v>
      </c>
      <c r="C1101" s="158" t="s">
        <v>741</v>
      </c>
      <c r="D1101" s="158" t="s">
        <v>1730</v>
      </c>
      <c r="E1101" s="159" t="s">
        <v>42</v>
      </c>
      <c r="F1101" s="160" t="s">
        <v>15</v>
      </c>
      <c r="G1101" s="160"/>
      <c r="H1101" s="159" t="s">
        <v>283</v>
      </c>
      <c r="I1101" s="161">
        <v>11053.24</v>
      </c>
      <c r="J1101" s="161"/>
      <c r="K1101" s="162" t="s">
        <v>8</v>
      </c>
      <c r="L1101" s="163">
        <v>1933864.77</v>
      </c>
    </row>
    <row r="1102" spans="1:12" ht="51" x14ac:dyDescent="0.3">
      <c r="A1102" s="157" t="s">
        <v>279</v>
      </c>
      <c r="B1102" s="158" t="s">
        <v>1772</v>
      </c>
      <c r="C1102" s="158" t="s">
        <v>741</v>
      </c>
      <c r="D1102" s="158" t="s">
        <v>1773</v>
      </c>
      <c r="E1102" s="159" t="s">
        <v>42</v>
      </c>
      <c r="F1102" s="160" t="s">
        <v>15</v>
      </c>
      <c r="G1102" s="160"/>
      <c r="H1102" s="159" t="s">
        <v>283</v>
      </c>
      <c r="I1102" s="164">
        <v>92.05</v>
      </c>
      <c r="J1102" s="164"/>
      <c r="K1102" s="162" t="s">
        <v>8</v>
      </c>
      <c r="L1102" s="163">
        <v>1933772.72</v>
      </c>
    </row>
    <row r="1103" spans="1:12" ht="51" x14ac:dyDescent="0.3">
      <c r="A1103" s="157" t="s">
        <v>279</v>
      </c>
      <c r="B1103" s="158" t="s">
        <v>1772</v>
      </c>
      <c r="C1103" s="158" t="s">
        <v>741</v>
      </c>
      <c r="D1103" s="158" t="s">
        <v>1774</v>
      </c>
      <c r="E1103" s="159" t="s">
        <v>42</v>
      </c>
      <c r="F1103" s="160" t="s">
        <v>15</v>
      </c>
      <c r="G1103" s="160"/>
      <c r="H1103" s="159" t="s">
        <v>283</v>
      </c>
      <c r="I1103" s="164">
        <v>236.28</v>
      </c>
      <c r="J1103" s="164"/>
      <c r="K1103" s="162" t="s">
        <v>8</v>
      </c>
      <c r="L1103" s="163">
        <v>1933536.44</v>
      </c>
    </row>
    <row r="1104" spans="1:12" ht="51" x14ac:dyDescent="0.3">
      <c r="A1104" s="157" t="s">
        <v>279</v>
      </c>
      <c r="B1104" s="158" t="s">
        <v>1772</v>
      </c>
      <c r="C1104" s="158" t="s">
        <v>741</v>
      </c>
      <c r="D1104" s="158" t="s">
        <v>1775</v>
      </c>
      <c r="E1104" s="159" t="s">
        <v>42</v>
      </c>
      <c r="F1104" s="160" t="s">
        <v>15</v>
      </c>
      <c r="G1104" s="160"/>
      <c r="H1104" s="159" t="s">
        <v>283</v>
      </c>
      <c r="I1104" s="164">
        <v>59.02</v>
      </c>
      <c r="J1104" s="164"/>
      <c r="K1104" s="162" t="s">
        <v>8</v>
      </c>
      <c r="L1104" s="163">
        <v>1933477.42</v>
      </c>
    </row>
    <row r="1105" spans="1:12" ht="61.2" x14ac:dyDescent="0.3">
      <c r="A1105" s="157" t="s">
        <v>279</v>
      </c>
      <c r="B1105" s="158" t="s">
        <v>1772</v>
      </c>
      <c r="C1105" s="158" t="s">
        <v>741</v>
      </c>
      <c r="D1105" s="158" t="s">
        <v>1776</v>
      </c>
      <c r="E1105" s="159" t="s">
        <v>42</v>
      </c>
      <c r="F1105" s="160" t="s">
        <v>15</v>
      </c>
      <c r="G1105" s="160"/>
      <c r="H1105" s="159" t="s">
        <v>283</v>
      </c>
      <c r="I1105" s="161">
        <v>3604.05</v>
      </c>
      <c r="J1105" s="161"/>
      <c r="K1105" s="162" t="s">
        <v>8</v>
      </c>
      <c r="L1105" s="163">
        <v>1929873.37</v>
      </c>
    </row>
    <row r="1106" spans="1:12" ht="51" x14ac:dyDescent="0.3">
      <c r="A1106" s="157" t="s">
        <v>279</v>
      </c>
      <c r="B1106" s="158" t="s">
        <v>1772</v>
      </c>
      <c r="C1106" s="158" t="s">
        <v>741</v>
      </c>
      <c r="D1106" s="158" t="s">
        <v>1777</v>
      </c>
      <c r="E1106" s="159" t="s">
        <v>42</v>
      </c>
      <c r="F1106" s="160" t="s">
        <v>15</v>
      </c>
      <c r="G1106" s="160"/>
      <c r="H1106" s="159" t="s">
        <v>283</v>
      </c>
      <c r="I1106" s="161">
        <v>4133.7</v>
      </c>
      <c r="J1106" s="161"/>
      <c r="K1106" s="162" t="s">
        <v>8</v>
      </c>
      <c r="L1106" s="163">
        <v>1925739.67</v>
      </c>
    </row>
    <row r="1107" spans="1:12" ht="51" x14ac:dyDescent="0.3">
      <c r="A1107" s="157" t="s">
        <v>279</v>
      </c>
      <c r="B1107" s="158" t="s">
        <v>1778</v>
      </c>
      <c r="C1107" s="158" t="s">
        <v>741</v>
      </c>
      <c r="D1107" s="158" t="s">
        <v>1771</v>
      </c>
      <c r="E1107" s="159" t="s">
        <v>42</v>
      </c>
      <c r="F1107" s="160" t="s">
        <v>15</v>
      </c>
      <c r="G1107" s="160"/>
      <c r="H1107" s="159" t="s">
        <v>283</v>
      </c>
      <c r="I1107" s="161">
        <v>2415</v>
      </c>
      <c r="J1107" s="161"/>
      <c r="K1107" s="162" t="s">
        <v>8</v>
      </c>
      <c r="L1107" s="163">
        <v>101918.82</v>
      </c>
    </row>
    <row r="1108" spans="1:12" ht="71.400000000000006" x14ac:dyDescent="0.3">
      <c r="A1108" s="157" t="s">
        <v>279</v>
      </c>
      <c r="B1108" s="158" t="s">
        <v>1779</v>
      </c>
      <c r="C1108" s="158" t="s">
        <v>741</v>
      </c>
      <c r="D1108" s="158" t="s">
        <v>1780</v>
      </c>
      <c r="E1108" s="159" t="s">
        <v>42</v>
      </c>
      <c r="F1108" s="160" t="s">
        <v>15</v>
      </c>
      <c r="G1108" s="160"/>
      <c r="H1108" s="159" t="s">
        <v>283</v>
      </c>
      <c r="I1108" s="161">
        <v>12936</v>
      </c>
      <c r="J1108" s="161"/>
      <c r="K1108" s="162" t="s">
        <v>8</v>
      </c>
      <c r="L1108" s="163">
        <v>2590660.1</v>
      </c>
    </row>
    <row r="1109" spans="1:12" ht="61.2" x14ac:dyDescent="0.3">
      <c r="A1109" s="157" t="s">
        <v>279</v>
      </c>
      <c r="B1109" s="158" t="s">
        <v>1779</v>
      </c>
      <c r="C1109" s="158" t="s">
        <v>741</v>
      </c>
      <c r="D1109" s="158" t="s">
        <v>989</v>
      </c>
      <c r="E1109" s="159" t="s">
        <v>42</v>
      </c>
      <c r="F1109" s="160" t="s">
        <v>15</v>
      </c>
      <c r="G1109" s="160"/>
      <c r="H1109" s="159" t="s">
        <v>283</v>
      </c>
      <c r="I1109" s="161">
        <v>12972.34</v>
      </c>
      <c r="J1109" s="161"/>
      <c r="K1109" s="162" t="s">
        <v>8</v>
      </c>
      <c r="L1109" s="163">
        <v>2577687.7599999998</v>
      </c>
    </row>
    <row r="1110" spans="1:12" ht="61.2" x14ac:dyDescent="0.3">
      <c r="A1110" s="157" t="s">
        <v>279</v>
      </c>
      <c r="B1110" s="158" t="s">
        <v>1779</v>
      </c>
      <c r="C1110" s="158" t="s">
        <v>741</v>
      </c>
      <c r="D1110" s="158" t="s">
        <v>1199</v>
      </c>
      <c r="E1110" s="159" t="s">
        <v>42</v>
      </c>
      <c r="F1110" s="160" t="s">
        <v>15</v>
      </c>
      <c r="G1110" s="160"/>
      <c r="H1110" s="159" t="s">
        <v>283</v>
      </c>
      <c r="I1110" s="161">
        <v>26105.15</v>
      </c>
      <c r="J1110" s="161"/>
      <c r="K1110" s="162" t="s">
        <v>8</v>
      </c>
      <c r="L1110" s="163">
        <v>2551582.61</v>
      </c>
    </row>
    <row r="1111" spans="1:12" ht="51" x14ac:dyDescent="0.3">
      <c r="A1111" s="157" t="s">
        <v>279</v>
      </c>
      <c r="B1111" s="158" t="s">
        <v>1781</v>
      </c>
      <c r="C1111" s="158" t="s">
        <v>741</v>
      </c>
      <c r="D1111" s="158" t="s">
        <v>1782</v>
      </c>
      <c r="E1111" s="159" t="s">
        <v>42</v>
      </c>
      <c r="F1111" s="160" t="s">
        <v>15</v>
      </c>
      <c r="G1111" s="160"/>
      <c r="H1111" s="159" t="s">
        <v>283</v>
      </c>
      <c r="I1111" s="161">
        <v>1566.67</v>
      </c>
      <c r="J1111" s="161"/>
      <c r="K1111" s="162" t="s">
        <v>8</v>
      </c>
      <c r="L1111" s="163">
        <v>2632259.2599999998</v>
      </c>
    </row>
    <row r="1112" spans="1:12" ht="51" x14ac:dyDescent="0.3">
      <c r="A1112" s="157" t="s">
        <v>279</v>
      </c>
      <c r="B1112" s="158" t="s">
        <v>1781</v>
      </c>
      <c r="C1112" s="158" t="s">
        <v>741</v>
      </c>
      <c r="D1112" s="158" t="s">
        <v>1783</v>
      </c>
      <c r="E1112" s="159" t="s">
        <v>42</v>
      </c>
      <c r="F1112" s="160" t="s">
        <v>15</v>
      </c>
      <c r="G1112" s="160"/>
      <c r="H1112" s="159" t="s">
        <v>283</v>
      </c>
      <c r="I1112" s="161">
        <v>38257.99</v>
      </c>
      <c r="J1112" s="161"/>
      <c r="K1112" s="162" t="s">
        <v>8</v>
      </c>
      <c r="L1112" s="163">
        <v>2594001.27</v>
      </c>
    </row>
    <row r="1113" spans="1:12" ht="51" x14ac:dyDescent="0.3">
      <c r="A1113" s="157" t="s">
        <v>279</v>
      </c>
      <c r="B1113" s="158" t="s">
        <v>1781</v>
      </c>
      <c r="C1113" s="158" t="s">
        <v>741</v>
      </c>
      <c r="D1113" s="158" t="s">
        <v>1784</v>
      </c>
      <c r="E1113" s="159" t="s">
        <v>42</v>
      </c>
      <c r="F1113" s="160" t="s">
        <v>15</v>
      </c>
      <c r="G1113" s="160"/>
      <c r="H1113" s="159" t="s">
        <v>283</v>
      </c>
      <c r="I1113" s="161">
        <v>1677.72</v>
      </c>
      <c r="J1113" s="161"/>
      <c r="K1113" s="162" t="s">
        <v>8</v>
      </c>
      <c r="L1113" s="163">
        <v>2592323.5499999998</v>
      </c>
    </row>
    <row r="1114" spans="1:12" ht="51" x14ac:dyDescent="0.3">
      <c r="A1114" s="157" t="s">
        <v>279</v>
      </c>
      <c r="B1114" s="158" t="s">
        <v>1781</v>
      </c>
      <c r="C1114" s="158" t="s">
        <v>741</v>
      </c>
      <c r="D1114" s="158" t="s">
        <v>1733</v>
      </c>
      <c r="E1114" s="159" t="s">
        <v>42</v>
      </c>
      <c r="F1114" s="160" t="s">
        <v>15</v>
      </c>
      <c r="G1114" s="160"/>
      <c r="H1114" s="159" t="s">
        <v>283</v>
      </c>
      <c r="I1114" s="161">
        <v>4547.5</v>
      </c>
      <c r="J1114" s="161"/>
      <c r="K1114" s="162" t="s">
        <v>8</v>
      </c>
      <c r="L1114" s="163">
        <v>2587776.0499999998</v>
      </c>
    </row>
    <row r="1115" spans="1:12" ht="51" x14ac:dyDescent="0.3">
      <c r="A1115" s="157" t="s">
        <v>279</v>
      </c>
      <c r="B1115" s="158" t="s">
        <v>1781</v>
      </c>
      <c r="C1115" s="158" t="s">
        <v>741</v>
      </c>
      <c r="D1115" s="158" t="s">
        <v>1785</v>
      </c>
      <c r="E1115" s="159" t="s">
        <v>42</v>
      </c>
      <c r="F1115" s="160" t="s">
        <v>15</v>
      </c>
      <c r="G1115" s="160"/>
      <c r="H1115" s="159" t="s">
        <v>283</v>
      </c>
      <c r="I1115" s="164">
        <v>773.34</v>
      </c>
      <c r="J1115" s="164"/>
      <c r="K1115" s="162" t="s">
        <v>8</v>
      </c>
      <c r="L1115" s="163">
        <v>2587002.71</v>
      </c>
    </row>
    <row r="1116" spans="1:12" ht="51" x14ac:dyDescent="0.3">
      <c r="A1116" s="157" t="s">
        <v>279</v>
      </c>
      <c r="B1116" s="158" t="s">
        <v>1781</v>
      </c>
      <c r="C1116" s="158" t="s">
        <v>741</v>
      </c>
      <c r="D1116" s="158" t="s">
        <v>1739</v>
      </c>
      <c r="E1116" s="159" t="s">
        <v>42</v>
      </c>
      <c r="F1116" s="160" t="s">
        <v>15</v>
      </c>
      <c r="G1116" s="160"/>
      <c r="H1116" s="159" t="s">
        <v>283</v>
      </c>
      <c r="I1116" s="161">
        <v>3589.65</v>
      </c>
      <c r="J1116" s="161"/>
      <c r="K1116" s="162" t="s">
        <v>8</v>
      </c>
      <c r="L1116" s="163">
        <v>2583413.06</v>
      </c>
    </row>
    <row r="1117" spans="1:12" ht="51" x14ac:dyDescent="0.3">
      <c r="A1117" s="157" t="s">
        <v>279</v>
      </c>
      <c r="B1117" s="158" t="s">
        <v>1781</v>
      </c>
      <c r="C1117" s="158" t="s">
        <v>741</v>
      </c>
      <c r="D1117" s="158" t="s">
        <v>1736</v>
      </c>
      <c r="E1117" s="159" t="s">
        <v>42</v>
      </c>
      <c r="F1117" s="160" t="s">
        <v>15</v>
      </c>
      <c r="G1117" s="160"/>
      <c r="H1117" s="159" t="s">
        <v>283</v>
      </c>
      <c r="I1117" s="164">
        <v>193.93</v>
      </c>
      <c r="J1117" s="164"/>
      <c r="K1117" s="162" t="s">
        <v>8</v>
      </c>
      <c r="L1117" s="163">
        <v>2583219.13</v>
      </c>
    </row>
    <row r="1118" spans="1:12" ht="51" hidden="1" x14ac:dyDescent="0.3">
      <c r="A1118" s="157" t="s">
        <v>279</v>
      </c>
      <c r="B1118" s="158" t="s">
        <v>1786</v>
      </c>
      <c r="C1118" s="158" t="s">
        <v>1787</v>
      </c>
      <c r="D1118" s="158" t="s">
        <v>1740</v>
      </c>
      <c r="E1118" s="159" t="s">
        <v>283</v>
      </c>
      <c r="F1118" s="165">
        <v>3589.65</v>
      </c>
      <c r="G1118" s="165"/>
      <c r="H1118" s="159" t="s">
        <v>283</v>
      </c>
      <c r="I1118" s="166" t="s">
        <v>15</v>
      </c>
      <c r="J1118" s="166"/>
      <c r="K1118" s="162" t="s">
        <v>8</v>
      </c>
      <c r="L1118" s="163">
        <v>2586808.7799999998</v>
      </c>
    </row>
    <row r="1119" spans="1:12" ht="51" hidden="1" x14ac:dyDescent="0.3">
      <c r="A1119" s="157" t="s">
        <v>279</v>
      </c>
      <c r="B1119" s="158" t="s">
        <v>1786</v>
      </c>
      <c r="C1119" s="158" t="s">
        <v>1787</v>
      </c>
      <c r="D1119" s="158" t="s">
        <v>1740</v>
      </c>
      <c r="E1119" s="159" t="s">
        <v>283</v>
      </c>
      <c r="F1119" s="160" t="s">
        <v>15</v>
      </c>
      <c r="G1119" s="160"/>
      <c r="H1119" s="159" t="s">
        <v>283</v>
      </c>
      <c r="I1119" s="161">
        <v>3589.65</v>
      </c>
      <c r="J1119" s="161"/>
      <c r="K1119" s="162" t="s">
        <v>8</v>
      </c>
      <c r="L1119" s="163">
        <v>342044.59</v>
      </c>
    </row>
    <row r="1120" spans="1:12" ht="51" x14ac:dyDescent="0.3">
      <c r="A1120" s="157" t="s">
        <v>279</v>
      </c>
      <c r="B1120" s="158" t="s">
        <v>1788</v>
      </c>
      <c r="C1120" s="158" t="s">
        <v>741</v>
      </c>
      <c r="D1120" s="158" t="s">
        <v>1703</v>
      </c>
      <c r="E1120" s="159" t="s">
        <v>42</v>
      </c>
      <c r="F1120" s="160" t="s">
        <v>15</v>
      </c>
      <c r="G1120" s="160"/>
      <c r="H1120" s="159" t="s">
        <v>283</v>
      </c>
      <c r="I1120" s="164">
        <v>335</v>
      </c>
      <c r="J1120" s="164"/>
      <c r="K1120" s="162" t="s">
        <v>8</v>
      </c>
      <c r="L1120" s="163">
        <v>101583.82</v>
      </c>
    </row>
    <row r="1121" spans="1:12" ht="51" x14ac:dyDescent="0.3">
      <c r="A1121" s="157" t="s">
        <v>279</v>
      </c>
      <c r="B1121" s="158" t="s">
        <v>1789</v>
      </c>
      <c r="C1121" s="158" t="s">
        <v>741</v>
      </c>
      <c r="D1121" s="158" t="s">
        <v>1790</v>
      </c>
      <c r="E1121" s="159" t="s">
        <v>42</v>
      </c>
      <c r="F1121" s="160" t="s">
        <v>15</v>
      </c>
      <c r="G1121" s="160"/>
      <c r="H1121" s="159" t="s">
        <v>283</v>
      </c>
      <c r="I1121" s="164">
        <v>302.62</v>
      </c>
      <c r="J1121" s="164"/>
      <c r="K1121" s="162" t="s">
        <v>8</v>
      </c>
      <c r="L1121" s="163">
        <v>2018860.26</v>
      </c>
    </row>
    <row r="1122" spans="1:12" ht="51" x14ac:dyDescent="0.3">
      <c r="A1122" s="157" t="s">
        <v>279</v>
      </c>
      <c r="B1122" s="158" t="s">
        <v>1789</v>
      </c>
      <c r="C1122" s="158" t="s">
        <v>741</v>
      </c>
      <c r="D1122" s="158" t="s">
        <v>1791</v>
      </c>
      <c r="E1122" s="159" t="s">
        <v>42</v>
      </c>
      <c r="F1122" s="160" t="s">
        <v>15</v>
      </c>
      <c r="G1122" s="160"/>
      <c r="H1122" s="159" t="s">
        <v>283</v>
      </c>
      <c r="I1122" s="161">
        <v>2719.01</v>
      </c>
      <c r="J1122" s="161"/>
      <c r="K1122" s="162" t="s">
        <v>8</v>
      </c>
      <c r="L1122" s="163">
        <v>2016141.25</v>
      </c>
    </row>
    <row r="1123" spans="1:12" ht="51" x14ac:dyDescent="0.3">
      <c r="A1123" s="157" t="s">
        <v>279</v>
      </c>
      <c r="B1123" s="158" t="s">
        <v>1792</v>
      </c>
      <c r="C1123" s="158" t="s">
        <v>741</v>
      </c>
      <c r="D1123" s="158" t="s">
        <v>1630</v>
      </c>
      <c r="E1123" s="159" t="s">
        <v>42</v>
      </c>
      <c r="F1123" s="160" t="s">
        <v>15</v>
      </c>
      <c r="G1123" s="160"/>
      <c r="H1123" s="159" t="s">
        <v>283</v>
      </c>
      <c r="I1123" s="161">
        <v>10101.799999999999</v>
      </c>
      <c r="J1123" s="161"/>
      <c r="K1123" s="162" t="s">
        <v>8</v>
      </c>
      <c r="L1123" s="163">
        <v>2006039.45</v>
      </c>
    </row>
    <row r="1124" spans="1:12" ht="51" x14ac:dyDescent="0.3">
      <c r="A1124" s="157" t="s">
        <v>279</v>
      </c>
      <c r="B1124" s="158" t="s">
        <v>1792</v>
      </c>
      <c r="C1124" s="158" t="s">
        <v>741</v>
      </c>
      <c r="D1124" s="158" t="s">
        <v>1793</v>
      </c>
      <c r="E1124" s="159" t="s">
        <v>42</v>
      </c>
      <c r="F1124" s="160" t="s">
        <v>15</v>
      </c>
      <c r="G1124" s="160"/>
      <c r="H1124" s="159" t="s">
        <v>283</v>
      </c>
      <c r="I1124" s="164">
        <v>837.71</v>
      </c>
      <c r="J1124" s="164"/>
      <c r="K1124" s="162" t="s">
        <v>8</v>
      </c>
      <c r="L1124" s="163">
        <v>2005201.74</v>
      </c>
    </row>
    <row r="1125" spans="1:12" ht="61.2" x14ac:dyDescent="0.3">
      <c r="A1125" s="157" t="s">
        <v>279</v>
      </c>
      <c r="B1125" s="158" t="s">
        <v>1792</v>
      </c>
      <c r="C1125" s="158" t="s">
        <v>741</v>
      </c>
      <c r="D1125" s="158" t="s">
        <v>1742</v>
      </c>
      <c r="E1125" s="159" t="s">
        <v>42</v>
      </c>
      <c r="F1125" s="160" t="s">
        <v>15</v>
      </c>
      <c r="G1125" s="160"/>
      <c r="H1125" s="159" t="s">
        <v>283</v>
      </c>
      <c r="I1125" s="161">
        <v>20268.05</v>
      </c>
      <c r="J1125" s="161"/>
      <c r="K1125" s="162" t="s">
        <v>8</v>
      </c>
      <c r="L1125" s="163">
        <v>1984933.69</v>
      </c>
    </row>
    <row r="1126" spans="1:12" ht="61.2" x14ac:dyDescent="0.3">
      <c r="A1126" s="157" t="s">
        <v>279</v>
      </c>
      <c r="B1126" s="158" t="s">
        <v>1792</v>
      </c>
      <c r="C1126" s="158" t="s">
        <v>741</v>
      </c>
      <c r="D1126" s="158" t="s">
        <v>1743</v>
      </c>
      <c r="E1126" s="159" t="s">
        <v>42</v>
      </c>
      <c r="F1126" s="160" t="s">
        <v>15</v>
      </c>
      <c r="G1126" s="160"/>
      <c r="H1126" s="159" t="s">
        <v>283</v>
      </c>
      <c r="I1126" s="161">
        <v>2338.66</v>
      </c>
      <c r="J1126" s="161"/>
      <c r="K1126" s="162" t="s">
        <v>8</v>
      </c>
      <c r="L1126" s="163">
        <v>1982595.03</v>
      </c>
    </row>
    <row r="1127" spans="1:12" ht="51" x14ac:dyDescent="0.3">
      <c r="A1127" s="157" t="s">
        <v>279</v>
      </c>
      <c r="B1127" s="158" t="s">
        <v>1792</v>
      </c>
      <c r="C1127" s="158" t="s">
        <v>741</v>
      </c>
      <c r="D1127" s="158" t="s">
        <v>1744</v>
      </c>
      <c r="E1127" s="159" t="s">
        <v>42</v>
      </c>
      <c r="F1127" s="160" t="s">
        <v>15</v>
      </c>
      <c r="G1127" s="160"/>
      <c r="H1127" s="159" t="s">
        <v>283</v>
      </c>
      <c r="I1127" s="164">
        <v>446.16</v>
      </c>
      <c r="J1127" s="164"/>
      <c r="K1127" s="162" t="s">
        <v>8</v>
      </c>
      <c r="L1127" s="163">
        <v>1982148.87</v>
      </c>
    </row>
    <row r="1128" spans="1:12" ht="61.2" x14ac:dyDescent="0.3">
      <c r="A1128" s="157" t="s">
        <v>279</v>
      </c>
      <c r="B1128" s="158" t="s">
        <v>1792</v>
      </c>
      <c r="C1128" s="158" t="s">
        <v>741</v>
      </c>
      <c r="D1128" s="158" t="s">
        <v>1627</v>
      </c>
      <c r="E1128" s="159" t="s">
        <v>42</v>
      </c>
      <c r="F1128" s="160" t="s">
        <v>15</v>
      </c>
      <c r="G1128" s="160"/>
      <c r="H1128" s="159" t="s">
        <v>283</v>
      </c>
      <c r="I1128" s="164">
        <v>954.17</v>
      </c>
      <c r="J1128" s="164"/>
      <c r="K1128" s="162" t="s">
        <v>8</v>
      </c>
      <c r="L1128" s="163">
        <v>1981194.7</v>
      </c>
    </row>
    <row r="1129" spans="1:12" ht="51" x14ac:dyDescent="0.3">
      <c r="A1129" s="157" t="s">
        <v>279</v>
      </c>
      <c r="B1129" s="158" t="s">
        <v>1794</v>
      </c>
      <c r="C1129" s="158" t="s">
        <v>741</v>
      </c>
      <c r="D1129" s="158" t="s">
        <v>1704</v>
      </c>
      <c r="E1129" s="159" t="s">
        <v>42</v>
      </c>
      <c r="F1129" s="160" t="s">
        <v>15</v>
      </c>
      <c r="G1129" s="160"/>
      <c r="H1129" s="159" t="s">
        <v>283</v>
      </c>
      <c r="I1129" s="164">
        <v>160</v>
      </c>
      <c r="J1129" s="164"/>
      <c r="K1129" s="162" t="s">
        <v>8</v>
      </c>
      <c r="L1129" s="163">
        <v>101423.82</v>
      </c>
    </row>
    <row r="1130" spans="1:12" ht="51" x14ac:dyDescent="0.3">
      <c r="A1130" s="157" t="s">
        <v>279</v>
      </c>
      <c r="B1130" s="158" t="s">
        <v>1794</v>
      </c>
      <c r="C1130" s="158" t="s">
        <v>741</v>
      </c>
      <c r="D1130" s="158" t="s">
        <v>1699</v>
      </c>
      <c r="E1130" s="159" t="s">
        <v>42</v>
      </c>
      <c r="F1130" s="160" t="s">
        <v>15</v>
      </c>
      <c r="G1130" s="160"/>
      <c r="H1130" s="159" t="s">
        <v>283</v>
      </c>
      <c r="I1130" s="164">
        <v>510</v>
      </c>
      <c r="J1130" s="164"/>
      <c r="K1130" s="162" t="s">
        <v>8</v>
      </c>
      <c r="L1130" s="163">
        <v>100913.82</v>
      </c>
    </row>
    <row r="1131" spans="1:12" ht="61.2" x14ac:dyDescent="0.3">
      <c r="A1131" s="157" t="s">
        <v>279</v>
      </c>
      <c r="B1131" s="158" t="s">
        <v>1794</v>
      </c>
      <c r="C1131" s="158" t="s">
        <v>741</v>
      </c>
      <c r="D1131" s="158" t="s">
        <v>1700</v>
      </c>
      <c r="E1131" s="159" t="s">
        <v>42</v>
      </c>
      <c r="F1131" s="160" t="s">
        <v>15</v>
      </c>
      <c r="G1131" s="160"/>
      <c r="H1131" s="159" t="s">
        <v>283</v>
      </c>
      <c r="I1131" s="164">
        <v>994</v>
      </c>
      <c r="J1131" s="164"/>
      <c r="K1131" s="162" t="s">
        <v>8</v>
      </c>
      <c r="L1131" s="163">
        <v>99919.82</v>
      </c>
    </row>
    <row r="1132" spans="1:12" ht="71.400000000000006" hidden="1" x14ac:dyDescent="0.3">
      <c r="A1132" s="157" t="s">
        <v>328</v>
      </c>
      <c r="B1132" s="158" t="s">
        <v>1795</v>
      </c>
      <c r="C1132" s="158" t="s">
        <v>1796</v>
      </c>
      <c r="D1132" s="158" t="s">
        <v>1797</v>
      </c>
      <c r="E1132" s="159" t="s">
        <v>283</v>
      </c>
      <c r="F1132" s="165">
        <v>74086.289999999994</v>
      </c>
      <c r="G1132" s="165"/>
      <c r="H1132" s="159" t="s">
        <v>14</v>
      </c>
      <c r="I1132" s="166" t="s">
        <v>15</v>
      </c>
      <c r="J1132" s="166"/>
      <c r="K1132" s="162" t="s">
        <v>8</v>
      </c>
      <c r="L1132" s="163">
        <v>1063279.1200000001</v>
      </c>
    </row>
    <row r="1133" spans="1:12" ht="71.400000000000006" hidden="1" x14ac:dyDescent="0.3">
      <c r="A1133" s="157" t="s">
        <v>328</v>
      </c>
      <c r="B1133" s="158" t="s">
        <v>1798</v>
      </c>
      <c r="C1133" s="158" t="s">
        <v>1796</v>
      </c>
      <c r="D1133" s="158" t="s">
        <v>1797</v>
      </c>
      <c r="E1133" s="159" t="s">
        <v>283</v>
      </c>
      <c r="F1133" s="165">
        <v>245266.2</v>
      </c>
      <c r="G1133" s="165"/>
      <c r="H1133" s="159" t="s">
        <v>14</v>
      </c>
      <c r="I1133" s="166" t="s">
        <v>15</v>
      </c>
      <c r="J1133" s="166"/>
      <c r="K1133" s="162" t="s">
        <v>8</v>
      </c>
      <c r="L1133" s="163">
        <v>1308545.32</v>
      </c>
    </row>
    <row r="1134" spans="1:12" ht="61.2" hidden="1" x14ac:dyDescent="0.3">
      <c r="A1134" s="157" t="s">
        <v>328</v>
      </c>
      <c r="B1134" s="158" t="s">
        <v>1795</v>
      </c>
      <c r="C1134" s="158" t="s">
        <v>1799</v>
      </c>
      <c r="D1134" s="158" t="s">
        <v>1797</v>
      </c>
      <c r="E1134" s="159" t="s">
        <v>283</v>
      </c>
      <c r="F1134" s="165">
        <v>2625</v>
      </c>
      <c r="G1134" s="165"/>
      <c r="H1134" s="159" t="s">
        <v>14</v>
      </c>
      <c r="I1134" s="166" t="s">
        <v>15</v>
      </c>
      <c r="J1134" s="166"/>
      <c r="K1134" s="162" t="s">
        <v>8</v>
      </c>
      <c r="L1134" s="163">
        <v>1311170.32</v>
      </c>
    </row>
    <row r="1135" spans="1:12" ht="61.2" hidden="1" x14ac:dyDescent="0.3">
      <c r="A1135" s="157" t="s">
        <v>328</v>
      </c>
      <c r="B1135" s="158" t="s">
        <v>1795</v>
      </c>
      <c r="C1135" s="158" t="s">
        <v>1800</v>
      </c>
      <c r="D1135" s="158" t="s">
        <v>1797</v>
      </c>
      <c r="E1135" s="159" t="s">
        <v>283</v>
      </c>
      <c r="F1135" s="165">
        <v>1125</v>
      </c>
      <c r="G1135" s="165"/>
      <c r="H1135" s="159" t="s">
        <v>14</v>
      </c>
      <c r="I1135" s="166" t="s">
        <v>15</v>
      </c>
      <c r="J1135" s="166"/>
      <c r="K1135" s="162" t="s">
        <v>8</v>
      </c>
      <c r="L1135" s="163">
        <v>1312295.32</v>
      </c>
    </row>
    <row r="1136" spans="1:12" ht="71.400000000000006" hidden="1" x14ac:dyDescent="0.3">
      <c r="A1136" s="157" t="s">
        <v>328</v>
      </c>
      <c r="B1136" s="158" t="s">
        <v>1795</v>
      </c>
      <c r="C1136" s="158" t="s">
        <v>1801</v>
      </c>
      <c r="D1136" s="158" t="s">
        <v>1797</v>
      </c>
      <c r="E1136" s="159" t="s">
        <v>283</v>
      </c>
      <c r="F1136" s="165">
        <v>3250</v>
      </c>
      <c r="G1136" s="165"/>
      <c r="H1136" s="159" t="s">
        <v>14</v>
      </c>
      <c r="I1136" s="166" t="s">
        <v>15</v>
      </c>
      <c r="J1136" s="166"/>
      <c r="K1136" s="162" t="s">
        <v>8</v>
      </c>
      <c r="L1136" s="163">
        <v>1315545.32</v>
      </c>
    </row>
    <row r="1137" spans="1:12" ht="51" hidden="1" x14ac:dyDescent="0.3">
      <c r="A1137" s="157" t="s">
        <v>328</v>
      </c>
      <c r="B1137" s="158" t="s">
        <v>1795</v>
      </c>
      <c r="C1137" s="158" t="s">
        <v>1802</v>
      </c>
      <c r="D1137" s="158" t="s">
        <v>1797</v>
      </c>
      <c r="E1137" s="159" t="s">
        <v>283</v>
      </c>
      <c r="F1137" s="165">
        <v>1080</v>
      </c>
      <c r="G1137" s="165"/>
      <c r="H1137" s="159" t="s">
        <v>14</v>
      </c>
      <c r="I1137" s="166" t="s">
        <v>15</v>
      </c>
      <c r="J1137" s="166"/>
      <c r="K1137" s="162" t="s">
        <v>8</v>
      </c>
      <c r="L1137" s="163">
        <v>1316625.32</v>
      </c>
    </row>
    <row r="1138" spans="1:12" ht="61.2" hidden="1" x14ac:dyDescent="0.3">
      <c r="A1138" s="157" t="s">
        <v>328</v>
      </c>
      <c r="B1138" s="158" t="s">
        <v>1795</v>
      </c>
      <c r="C1138" s="158" t="s">
        <v>1803</v>
      </c>
      <c r="D1138" s="158" t="s">
        <v>1797</v>
      </c>
      <c r="E1138" s="159" t="s">
        <v>283</v>
      </c>
      <c r="F1138" s="165">
        <v>14336</v>
      </c>
      <c r="G1138" s="165"/>
      <c r="H1138" s="159" t="s">
        <v>14</v>
      </c>
      <c r="I1138" s="166" t="s">
        <v>15</v>
      </c>
      <c r="J1138" s="166"/>
      <c r="K1138" s="162" t="s">
        <v>8</v>
      </c>
      <c r="L1138" s="163">
        <v>1330961.32</v>
      </c>
    </row>
    <row r="1139" spans="1:12" ht="61.2" hidden="1" x14ac:dyDescent="0.3">
      <c r="A1139" s="157" t="s">
        <v>328</v>
      </c>
      <c r="B1139" s="158" t="s">
        <v>1795</v>
      </c>
      <c r="C1139" s="158" t="s">
        <v>1804</v>
      </c>
      <c r="D1139" s="158" t="s">
        <v>1797</v>
      </c>
      <c r="E1139" s="159" t="s">
        <v>283</v>
      </c>
      <c r="F1139" s="167">
        <v>875</v>
      </c>
      <c r="G1139" s="167"/>
      <c r="H1139" s="159" t="s">
        <v>14</v>
      </c>
      <c r="I1139" s="166" t="s">
        <v>15</v>
      </c>
      <c r="J1139" s="166"/>
      <c r="K1139" s="162" t="s">
        <v>8</v>
      </c>
      <c r="L1139" s="163">
        <v>1331836.32</v>
      </c>
    </row>
    <row r="1140" spans="1:12" ht="51" hidden="1" x14ac:dyDescent="0.3">
      <c r="A1140" s="157" t="s">
        <v>328</v>
      </c>
      <c r="B1140" s="158" t="s">
        <v>1805</v>
      </c>
      <c r="C1140" s="158" t="s">
        <v>1806</v>
      </c>
      <c r="D1140" s="158" t="s">
        <v>1419</v>
      </c>
      <c r="E1140" s="159" t="s">
        <v>283</v>
      </c>
      <c r="F1140" s="165">
        <v>5712</v>
      </c>
      <c r="G1140" s="165"/>
      <c r="H1140" s="159" t="s">
        <v>14</v>
      </c>
      <c r="I1140" s="166" t="s">
        <v>15</v>
      </c>
      <c r="J1140" s="166"/>
      <c r="K1140" s="162" t="s">
        <v>8</v>
      </c>
      <c r="L1140" s="163">
        <v>1931451.67</v>
      </c>
    </row>
    <row r="1141" spans="1:12" ht="51" hidden="1" x14ac:dyDescent="0.3">
      <c r="A1141" s="157" t="s">
        <v>328</v>
      </c>
      <c r="B1141" s="158" t="s">
        <v>1805</v>
      </c>
      <c r="C1141" s="158" t="s">
        <v>1807</v>
      </c>
      <c r="D1141" s="158" t="s">
        <v>1419</v>
      </c>
      <c r="E1141" s="159" t="s">
        <v>283</v>
      </c>
      <c r="F1141" s="165">
        <v>5987.3</v>
      </c>
      <c r="G1141" s="165"/>
      <c r="H1141" s="159" t="s">
        <v>14</v>
      </c>
      <c r="I1141" s="166" t="s">
        <v>15</v>
      </c>
      <c r="J1141" s="166"/>
      <c r="K1141" s="162" t="s">
        <v>8</v>
      </c>
      <c r="L1141" s="163">
        <v>1937438.97</v>
      </c>
    </row>
    <row r="1142" spans="1:12" ht="51" hidden="1" x14ac:dyDescent="0.3">
      <c r="A1142" s="157" t="s">
        <v>328</v>
      </c>
      <c r="B1142" s="158" t="s">
        <v>1805</v>
      </c>
      <c r="C1142" s="158" t="s">
        <v>1808</v>
      </c>
      <c r="D1142" s="158" t="s">
        <v>1419</v>
      </c>
      <c r="E1142" s="159" t="s">
        <v>283</v>
      </c>
      <c r="F1142" s="165">
        <v>6020</v>
      </c>
      <c r="G1142" s="165"/>
      <c r="H1142" s="159" t="s">
        <v>14</v>
      </c>
      <c r="I1142" s="166" t="s">
        <v>15</v>
      </c>
      <c r="J1142" s="166"/>
      <c r="K1142" s="162" t="s">
        <v>8</v>
      </c>
      <c r="L1142" s="163">
        <v>1943458.97</v>
      </c>
    </row>
    <row r="1143" spans="1:12" ht="61.2" hidden="1" x14ac:dyDescent="0.3">
      <c r="A1143" s="157" t="s">
        <v>332</v>
      </c>
      <c r="B1143" s="158" t="s">
        <v>1809</v>
      </c>
      <c r="C1143" s="158" t="s">
        <v>1810</v>
      </c>
      <c r="D1143" s="158" t="s">
        <v>1610</v>
      </c>
      <c r="E1143" s="159" t="s">
        <v>283</v>
      </c>
      <c r="F1143" s="165">
        <v>11880.38</v>
      </c>
      <c r="G1143" s="165"/>
      <c r="H1143" s="159" t="s">
        <v>283</v>
      </c>
      <c r="I1143" s="166" t="s">
        <v>15</v>
      </c>
      <c r="J1143" s="166"/>
      <c r="K1143" s="162" t="s">
        <v>8</v>
      </c>
      <c r="L1143" s="163">
        <v>107998.19</v>
      </c>
    </row>
    <row r="1144" spans="1:12" ht="61.2" hidden="1" x14ac:dyDescent="0.3">
      <c r="A1144" s="157" t="s">
        <v>332</v>
      </c>
      <c r="B1144" s="158" t="s">
        <v>1809</v>
      </c>
      <c r="C1144" s="158" t="s">
        <v>1810</v>
      </c>
      <c r="D1144" s="158" t="s">
        <v>1610</v>
      </c>
      <c r="E1144" s="159" t="s">
        <v>283</v>
      </c>
      <c r="F1144" s="160" t="s">
        <v>15</v>
      </c>
      <c r="G1144" s="160"/>
      <c r="H1144" s="159" t="s">
        <v>283</v>
      </c>
      <c r="I1144" s="161">
        <v>11880.38</v>
      </c>
      <c r="J1144" s="161"/>
      <c r="K1144" s="162" t="s">
        <v>8</v>
      </c>
      <c r="L1144" s="163">
        <v>1307860.1599999999</v>
      </c>
    </row>
    <row r="1145" spans="1:12" ht="71.400000000000006" hidden="1" x14ac:dyDescent="0.3">
      <c r="A1145" s="157" t="s">
        <v>332</v>
      </c>
      <c r="B1145" s="158" t="s">
        <v>1809</v>
      </c>
      <c r="C1145" s="158" t="s">
        <v>1811</v>
      </c>
      <c r="D1145" s="158" t="s">
        <v>1812</v>
      </c>
      <c r="E1145" s="159" t="s">
        <v>283</v>
      </c>
      <c r="F1145" s="160" t="s">
        <v>15</v>
      </c>
      <c r="G1145" s="160"/>
      <c r="H1145" s="159" t="s">
        <v>283</v>
      </c>
      <c r="I1145" s="161">
        <v>2436</v>
      </c>
      <c r="J1145" s="161"/>
      <c r="K1145" s="162" t="s">
        <v>8</v>
      </c>
      <c r="L1145" s="163">
        <v>1305424.1599999999</v>
      </c>
    </row>
    <row r="1146" spans="1:12" ht="71.400000000000006" hidden="1" x14ac:dyDescent="0.3">
      <c r="A1146" s="157" t="s">
        <v>332</v>
      </c>
      <c r="B1146" s="158" t="s">
        <v>1809</v>
      </c>
      <c r="C1146" s="158" t="s">
        <v>1811</v>
      </c>
      <c r="D1146" s="158" t="s">
        <v>1812</v>
      </c>
      <c r="E1146" s="159" t="s">
        <v>283</v>
      </c>
      <c r="F1146" s="165">
        <v>2436</v>
      </c>
      <c r="G1146" s="165"/>
      <c r="H1146" s="159" t="s">
        <v>283</v>
      </c>
      <c r="I1146" s="166" t="s">
        <v>15</v>
      </c>
      <c r="J1146" s="166"/>
      <c r="K1146" s="162" t="s">
        <v>8</v>
      </c>
      <c r="L1146" s="163">
        <v>110434.19</v>
      </c>
    </row>
    <row r="1147" spans="1:12" ht="51" hidden="1" x14ac:dyDescent="0.3">
      <c r="A1147" s="157" t="s">
        <v>332</v>
      </c>
      <c r="B1147" s="158" t="s">
        <v>1813</v>
      </c>
      <c r="C1147" s="158" t="s">
        <v>1814</v>
      </c>
      <c r="D1147" s="158" t="s">
        <v>1815</v>
      </c>
      <c r="E1147" s="159" t="s">
        <v>283</v>
      </c>
      <c r="F1147" s="167">
        <v>206.4</v>
      </c>
      <c r="G1147" s="167"/>
      <c r="H1147" s="159" t="s">
        <v>283</v>
      </c>
      <c r="I1147" s="166" t="s">
        <v>15</v>
      </c>
      <c r="J1147" s="166"/>
      <c r="K1147" s="162" t="s">
        <v>8</v>
      </c>
      <c r="L1147" s="163">
        <v>1332042.72</v>
      </c>
    </row>
    <row r="1148" spans="1:12" ht="51" hidden="1" x14ac:dyDescent="0.3">
      <c r="A1148" s="157" t="s">
        <v>332</v>
      </c>
      <c r="B1148" s="158" t="s">
        <v>1813</v>
      </c>
      <c r="C1148" s="158" t="s">
        <v>1814</v>
      </c>
      <c r="D1148" s="158" t="s">
        <v>1815</v>
      </c>
      <c r="E1148" s="159" t="s">
        <v>283</v>
      </c>
      <c r="F1148" s="160" t="s">
        <v>15</v>
      </c>
      <c r="G1148" s="160"/>
      <c r="H1148" s="159" t="s">
        <v>283</v>
      </c>
      <c r="I1148" s="164">
        <v>206.4</v>
      </c>
      <c r="J1148" s="164"/>
      <c r="K1148" s="162" t="s">
        <v>8</v>
      </c>
      <c r="L1148" s="163">
        <v>470868.13</v>
      </c>
    </row>
    <row r="1149" spans="1:12" ht="51" hidden="1" x14ac:dyDescent="0.3">
      <c r="A1149" s="157" t="s">
        <v>332</v>
      </c>
      <c r="B1149" s="158" t="s">
        <v>1813</v>
      </c>
      <c r="C1149" s="158" t="s">
        <v>1816</v>
      </c>
      <c r="D1149" s="158" t="s">
        <v>1817</v>
      </c>
      <c r="E1149" s="159" t="s">
        <v>283</v>
      </c>
      <c r="F1149" s="165">
        <v>4656.6000000000004</v>
      </c>
      <c r="G1149" s="165"/>
      <c r="H1149" s="159" t="s">
        <v>283</v>
      </c>
      <c r="I1149" s="166" t="s">
        <v>15</v>
      </c>
      <c r="J1149" s="166"/>
      <c r="K1149" s="162" t="s">
        <v>8</v>
      </c>
      <c r="L1149" s="163">
        <v>1336699.32</v>
      </c>
    </row>
    <row r="1150" spans="1:12" ht="51" hidden="1" x14ac:dyDescent="0.3">
      <c r="A1150" s="157" t="s">
        <v>332</v>
      </c>
      <c r="B1150" s="158" t="s">
        <v>1813</v>
      </c>
      <c r="C1150" s="158" t="s">
        <v>1816</v>
      </c>
      <c r="D1150" s="158" t="s">
        <v>1817</v>
      </c>
      <c r="E1150" s="159" t="s">
        <v>283</v>
      </c>
      <c r="F1150" s="160" t="s">
        <v>15</v>
      </c>
      <c r="G1150" s="160"/>
      <c r="H1150" s="159" t="s">
        <v>283</v>
      </c>
      <c r="I1150" s="161">
        <v>4656.6000000000004</v>
      </c>
      <c r="J1150" s="161"/>
      <c r="K1150" s="162" t="s">
        <v>8</v>
      </c>
      <c r="L1150" s="163">
        <v>466211.53</v>
      </c>
    </row>
    <row r="1151" spans="1:12" ht="51" hidden="1" x14ac:dyDescent="0.3">
      <c r="A1151" s="157" t="s">
        <v>332</v>
      </c>
      <c r="B1151" s="158" t="s">
        <v>1813</v>
      </c>
      <c r="C1151" s="158" t="s">
        <v>1818</v>
      </c>
      <c r="D1151" s="158" t="s">
        <v>1819</v>
      </c>
      <c r="E1151" s="159" t="s">
        <v>283</v>
      </c>
      <c r="F1151" s="167">
        <v>768.64</v>
      </c>
      <c r="G1151" s="167"/>
      <c r="H1151" s="159" t="s">
        <v>283</v>
      </c>
      <c r="I1151" s="166" t="s">
        <v>15</v>
      </c>
      <c r="J1151" s="166"/>
      <c r="K1151" s="162" t="s">
        <v>8</v>
      </c>
      <c r="L1151" s="163">
        <v>1337467.96</v>
      </c>
    </row>
    <row r="1152" spans="1:12" ht="51" hidden="1" x14ac:dyDescent="0.3">
      <c r="A1152" s="157" t="s">
        <v>332</v>
      </c>
      <c r="B1152" s="158" t="s">
        <v>1813</v>
      </c>
      <c r="C1152" s="158" t="s">
        <v>1818</v>
      </c>
      <c r="D1152" s="158" t="s">
        <v>1819</v>
      </c>
      <c r="E1152" s="159" t="s">
        <v>283</v>
      </c>
      <c r="F1152" s="160" t="s">
        <v>15</v>
      </c>
      <c r="G1152" s="160"/>
      <c r="H1152" s="159" t="s">
        <v>283</v>
      </c>
      <c r="I1152" s="164">
        <v>768.64</v>
      </c>
      <c r="J1152" s="164"/>
      <c r="K1152" s="162" t="s">
        <v>8</v>
      </c>
      <c r="L1152" s="163">
        <v>465442.89</v>
      </c>
    </row>
    <row r="1153" spans="1:12" ht="51" hidden="1" x14ac:dyDescent="0.3">
      <c r="A1153" s="157" t="s">
        <v>332</v>
      </c>
      <c r="B1153" s="158" t="s">
        <v>1813</v>
      </c>
      <c r="C1153" s="158" t="s">
        <v>1820</v>
      </c>
      <c r="D1153" s="158" t="s">
        <v>1821</v>
      </c>
      <c r="E1153" s="159" t="s">
        <v>283</v>
      </c>
      <c r="F1153" s="167">
        <v>688</v>
      </c>
      <c r="G1153" s="167"/>
      <c r="H1153" s="159" t="s">
        <v>283</v>
      </c>
      <c r="I1153" s="166" t="s">
        <v>15</v>
      </c>
      <c r="J1153" s="166"/>
      <c r="K1153" s="162" t="s">
        <v>8</v>
      </c>
      <c r="L1153" s="163">
        <v>1338155.96</v>
      </c>
    </row>
    <row r="1154" spans="1:12" ht="51" hidden="1" x14ac:dyDescent="0.3">
      <c r="A1154" s="157" t="s">
        <v>332</v>
      </c>
      <c r="B1154" s="158" t="s">
        <v>1813</v>
      </c>
      <c r="C1154" s="158" t="s">
        <v>1820</v>
      </c>
      <c r="D1154" s="158" t="s">
        <v>1821</v>
      </c>
      <c r="E1154" s="159" t="s">
        <v>283</v>
      </c>
      <c r="F1154" s="160" t="s">
        <v>15</v>
      </c>
      <c r="G1154" s="160"/>
      <c r="H1154" s="159" t="s">
        <v>283</v>
      </c>
      <c r="I1154" s="164">
        <v>688</v>
      </c>
      <c r="J1154" s="164"/>
      <c r="K1154" s="162" t="s">
        <v>8</v>
      </c>
      <c r="L1154" s="163">
        <v>464754.89</v>
      </c>
    </row>
    <row r="1155" spans="1:12" ht="51" hidden="1" x14ac:dyDescent="0.3">
      <c r="A1155" s="157" t="s">
        <v>332</v>
      </c>
      <c r="B1155" s="158" t="s">
        <v>1813</v>
      </c>
      <c r="C1155" s="158" t="s">
        <v>1822</v>
      </c>
      <c r="D1155" s="158" t="s">
        <v>1823</v>
      </c>
      <c r="E1155" s="159" t="s">
        <v>283</v>
      </c>
      <c r="F1155" s="167">
        <v>558.72</v>
      </c>
      <c r="G1155" s="167"/>
      <c r="H1155" s="159" t="s">
        <v>283</v>
      </c>
      <c r="I1155" s="166" t="s">
        <v>15</v>
      </c>
      <c r="J1155" s="166"/>
      <c r="K1155" s="162" t="s">
        <v>8</v>
      </c>
      <c r="L1155" s="163">
        <v>1338714.68</v>
      </c>
    </row>
    <row r="1156" spans="1:12" ht="51" hidden="1" x14ac:dyDescent="0.3">
      <c r="A1156" s="157" t="s">
        <v>332</v>
      </c>
      <c r="B1156" s="158" t="s">
        <v>1813</v>
      </c>
      <c r="C1156" s="158" t="s">
        <v>1822</v>
      </c>
      <c r="D1156" s="158" t="s">
        <v>1823</v>
      </c>
      <c r="E1156" s="159" t="s">
        <v>283</v>
      </c>
      <c r="F1156" s="160" t="s">
        <v>15</v>
      </c>
      <c r="G1156" s="160"/>
      <c r="H1156" s="159" t="s">
        <v>283</v>
      </c>
      <c r="I1156" s="164">
        <v>558.72</v>
      </c>
      <c r="J1156" s="164"/>
      <c r="K1156" s="162" t="s">
        <v>8</v>
      </c>
      <c r="L1156" s="163">
        <v>464196.17</v>
      </c>
    </row>
    <row r="1157" spans="1:12" ht="51" hidden="1" x14ac:dyDescent="0.3">
      <c r="A1157" s="157" t="s">
        <v>332</v>
      </c>
      <c r="B1157" s="158" t="s">
        <v>1813</v>
      </c>
      <c r="C1157" s="158" t="s">
        <v>1824</v>
      </c>
      <c r="D1157" s="158" t="s">
        <v>1825</v>
      </c>
      <c r="E1157" s="159" t="s">
        <v>283</v>
      </c>
      <c r="F1157" s="165">
        <v>1008</v>
      </c>
      <c r="G1157" s="165"/>
      <c r="H1157" s="159" t="s">
        <v>283</v>
      </c>
      <c r="I1157" s="166" t="s">
        <v>15</v>
      </c>
      <c r="J1157" s="166"/>
      <c r="K1157" s="162" t="s">
        <v>8</v>
      </c>
      <c r="L1157" s="163">
        <v>1339722.68</v>
      </c>
    </row>
    <row r="1158" spans="1:12" ht="51" hidden="1" x14ac:dyDescent="0.3">
      <c r="A1158" s="157" t="s">
        <v>332</v>
      </c>
      <c r="B1158" s="158" t="s">
        <v>1813</v>
      </c>
      <c r="C1158" s="158" t="s">
        <v>1824</v>
      </c>
      <c r="D1158" s="158" t="s">
        <v>1825</v>
      </c>
      <c r="E1158" s="159" t="s">
        <v>283</v>
      </c>
      <c r="F1158" s="160" t="s">
        <v>15</v>
      </c>
      <c r="G1158" s="160"/>
      <c r="H1158" s="159" t="s">
        <v>283</v>
      </c>
      <c r="I1158" s="161">
        <v>1008</v>
      </c>
      <c r="J1158" s="161"/>
      <c r="K1158" s="162" t="s">
        <v>8</v>
      </c>
      <c r="L1158" s="163">
        <v>463188.17</v>
      </c>
    </row>
    <row r="1159" spans="1:12" ht="51" hidden="1" x14ac:dyDescent="0.3">
      <c r="A1159" s="157" t="s">
        <v>332</v>
      </c>
      <c r="B1159" s="158" t="s">
        <v>1813</v>
      </c>
      <c r="C1159" s="158" t="s">
        <v>1826</v>
      </c>
      <c r="D1159" s="158" t="s">
        <v>1827</v>
      </c>
      <c r="E1159" s="159" t="s">
        <v>283</v>
      </c>
      <c r="F1159" s="167">
        <v>136.32</v>
      </c>
      <c r="G1159" s="167"/>
      <c r="H1159" s="159" t="s">
        <v>283</v>
      </c>
      <c r="I1159" s="166" t="s">
        <v>15</v>
      </c>
      <c r="J1159" s="166"/>
      <c r="K1159" s="162" t="s">
        <v>8</v>
      </c>
      <c r="L1159" s="163">
        <v>1339859</v>
      </c>
    </row>
    <row r="1160" spans="1:12" ht="51" hidden="1" x14ac:dyDescent="0.3">
      <c r="A1160" s="157" t="s">
        <v>332</v>
      </c>
      <c r="B1160" s="158" t="s">
        <v>1813</v>
      </c>
      <c r="C1160" s="158" t="s">
        <v>1826</v>
      </c>
      <c r="D1160" s="158" t="s">
        <v>1827</v>
      </c>
      <c r="E1160" s="159" t="s">
        <v>283</v>
      </c>
      <c r="F1160" s="160" t="s">
        <v>15</v>
      </c>
      <c r="G1160" s="160"/>
      <c r="H1160" s="159" t="s">
        <v>283</v>
      </c>
      <c r="I1160" s="164">
        <v>136.32</v>
      </c>
      <c r="J1160" s="164"/>
      <c r="K1160" s="162" t="s">
        <v>8</v>
      </c>
      <c r="L1160" s="163">
        <v>463051.85</v>
      </c>
    </row>
    <row r="1161" spans="1:12" ht="51" hidden="1" x14ac:dyDescent="0.3">
      <c r="A1161" s="157" t="s">
        <v>332</v>
      </c>
      <c r="B1161" s="158" t="s">
        <v>1813</v>
      </c>
      <c r="C1161" s="158" t="s">
        <v>1828</v>
      </c>
      <c r="D1161" s="158" t="s">
        <v>1829</v>
      </c>
      <c r="E1161" s="159" t="s">
        <v>283</v>
      </c>
      <c r="F1161" s="165">
        <v>2944.24</v>
      </c>
      <c r="G1161" s="165"/>
      <c r="H1161" s="159" t="s">
        <v>283</v>
      </c>
      <c r="I1161" s="166" t="s">
        <v>15</v>
      </c>
      <c r="J1161" s="166"/>
      <c r="K1161" s="162" t="s">
        <v>8</v>
      </c>
      <c r="L1161" s="163">
        <v>1342803.24</v>
      </c>
    </row>
    <row r="1162" spans="1:12" ht="51" hidden="1" x14ac:dyDescent="0.3">
      <c r="A1162" s="157" t="s">
        <v>332</v>
      </c>
      <c r="B1162" s="158" t="s">
        <v>1813</v>
      </c>
      <c r="C1162" s="158" t="s">
        <v>1828</v>
      </c>
      <c r="D1162" s="158" t="s">
        <v>1829</v>
      </c>
      <c r="E1162" s="159" t="s">
        <v>283</v>
      </c>
      <c r="F1162" s="160" t="s">
        <v>15</v>
      </c>
      <c r="G1162" s="160"/>
      <c r="H1162" s="159" t="s">
        <v>283</v>
      </c>
      <c r="I1162" s="161">
        <v>2944.24</v>
      </c>
      <c r="J1162" s="161"/>
      <c r="K1162" s="162" t="s">
        <v>8</v>
      </c>
      <c r="L1162" s="163">
        <v>460107.61</v>
      </c>
    </row>
    <row r="1163" spans="1:12" ht="51" hidden="1" x14ac:dyDescent="0.3">
      <c r="A1163" s="157" t="s">
        <v>332</v>
      </c>
      <c r="B1163" s="158" t="s">
        <v>1813</v>
      </c>
      <c r="C1163" s="158" t="s">
        <v>1830</v>
      </c>
      <c r="D1163" s="158" t="s">
        <v>1831</v>
      </c>
      <c r="E1163" s="159" t="s">
        <v>283</v>
      </c>
      <c r="F1163" s="167">
        <v>993.6</v>
      </c>
      <c r="G1163" s="167"/>
      <c r="H1163" s="159" t="s">
        <v>283</v>
      </c>
      <c r="I1163" s="166" t="s">
        <v>15</v>
      </c>
      <c r="J1163" s="166"/>
      <c r="K1163" s="162" t="s">
        <v>8</v>
      </c>
      <c r="L1163" s="163">
        <v>1343796.84</v>
      </c>
    </row>
    <row r="1164" spans="1:12" ht="51" hidden="1" x14ac:dyDescent="0.3">
      <c r="A1164" s="157" t="s">
        <v>332</v>
      </c>
      <c r="B1164" s="158" t="s">
        <v>1813</v>
      </c>
      <c r="C1164" s="158" t="s">
        <v>1830</v>
      </c>
      <c r="D1164" s="158" t="s">
        <v>1831</v>
      </c>
      <c r="E1164" s="159" t="s">
        <v>283</v>
      </c>
      <c r="F1164" s="160" t="s">
        <v>15</v>
      </c>
      <c r="G1164" s="160"/>
      <c r="H1164" s="159" t="s">
        <v>283</v>
      </c>
      <c r="I1164" s="164">
        <v>993.6</v>
      </c>
      <c r="J1164" s="164"/>
      <c r="K1164" s="162" t="s">
        <v>8</v>
      </c>
      <c r="L1164" s="163">
        <v>459114.01</v>
      </c>
    </row>
    <row r="1165" spans="1:12" ht="51" hidden="1" x14ac:dyDescent="0.3">
      <c r="A1165" s="157" t="s">
        <v>332</v>
      </c>
      <c r="B1165" s="158" t="s">
        <v>1813</v>
      </c>
      <c r="C1165" s="158" t="s">
        <v>1832</v>
      </c>
      <c r="D1165" s="158" t="s">
        <v>1833</v>
      </c>
      <c r="E1165" s="159" t="s">
        <v>283</v>
      </c>
      <c r="F1165" s="167">
        <v>21.12</v>
      </c>
      <c r="G1165" s="167"/>
      <c r="H1165" s="159" t="s">
        <v>283</v>
      </c>
      <c r="I1165" s="166" t="s">
        <v>15</v>
      </c>
      <c r="J1165" s="166"/>
      <c r="K1165" s="162" t="s">
        <v>8</v>
      </c>
      <c r="L1165" s="163">
        <v>1343817.96</v>
      </c>
    </row>
    <row r="1166" spans="1:12" ht="51" hidden="1" x14ac:dyDescent="0.3">
      <c r="A1166" s="157" t="s">
        <v>332</v>
      </c>
      <c r="B1166" s="158" t="s">
        <v>1813</v>
      </c>
      <c r="C1166" s="158" t="s">
        <v>1832</v>
      </c>
      <c r="D1166" s="158" t="s">
        <v>1833</v>
      </c>
      <c r="E1166" s="159" t="s">
        <v>283</v>
      </c>
      <c r="F1166" s="160" t="s">
        <v>15</v>
      </c>
      <c r="G1166" s="160"/>
      <c r="H1166" s="159" t="s">
        <v>283</v>
      </c>
      <c r="I1166" s="164">
        <v>21.12</v>
      </c>
      <c r="J1166" s="164"/>
      <c r="K1166" s="162" t="s">
        <v>8</v>
      </c>
      <c r="L1166" s="163">
        <v>459092.89</v>
      </c>
    </row>
    <row r="1167" spans="1:12" ht="51" hidden="1" x14ac:dyDescent="0.3">
      <c r="A1167" s="157" t="s">
        <v>332</v>
      </c>
      <c r="B1167" s="158" t="s">
        <v>1813</v>
      </c>
      <c r="C1167" s="158" t="s">
        <v>1834</v>
      </c>
      <c r="D1167" s="158" t="s">
        <v>1835</v>
      </c>
      <c r="E1167" s="159" t="s">
        <v>283</v>
      </c>
      <c r="F1167" s="167">
        <v>671.84</v>
      </c>
      <c r="G1167" s="167"/>
      <c r="H1167" s="159" t="s">
        <v>283</v>
      </c>
      <c r="I1167" s="166" t="s">
        <v>15</v>
      </c>
      <c r="J1167" s="166"/>
      <c r="K1167" s="162" t="s">
        <v>8</v>
      </c>
      <c r="L1167" s="163">
        <v>1344489.8</v>
      </c>
    </row>
    <row r="1168" spans="1:12" ht="51" hidden="1" x14ac:dyDescent="0.3">
      <c r="A1168" s="157" t="s">
        <v>332</v>
      </c>
      <c r="B1168" s="158" t="s">
        <v>1813</v>
      </c>
      <c r="C1168" s="158" t="s">
        <v>1834</v>
      </c>
      <c r="D1168" s="158" t="s">
        <v>1835</v>
      </c>
      <c r="E1168" s="159" t="s">
        <v>283</v>
      </c>
      <c r="F1168" s="160" t="s">
        <v>15</v>
      </c>
      <c r="G1168" s="160"/>
      <c r="H1168" s="159" t="s">
        <v>283</v>
      </c>
      <c r="I1168" s="164">
        <v>671.84</v>
      </c>
      <c r="J1168" s="164"/>
      <c r="K1168" s="162" t="s">
        <v>8</v>
      </c>
      <c r="L1168" s="163">
        <v>458421.05</v>
      </c>
    </row>
    <row r="1169" spans="1:12" ht="51" hidden="1" x14ac:dyDescent="0.3">
      <c r="A1169" s="157" t="s">
        <v>332</v>
      </c>
      <c r="B1169" s="158" t="s">
        <v>1813</v>
      </c>
      <c r="C1169" s="158" t="s">
        <v>1836</v>
      </c>
      <c r="D1169" s="158" t="s">
        <v>1837</v>
      </c>
      <c r="E1169" s="159" t="s">
        <v>283</v>
      </c>
      <c r="F1169" s="167">
        <v>152.63999999999999</v>
      </c>
      <c r="G1169" s="167"/>
      <c r="H1169" s="159" t="s">
        <v>283</v>
      </c>
      <c r="I1169" s="166" t="s">
        <v>15</v>
      </c>
      <c r="J1169" s="166"/>
      <c r="K1169" s="162" t="s">
        <v>8</v>
      </c>
      <c r="L1169" s="163">
        <v>1344642.44</v>
      </c>
    </row>
    <row r="1170" spans="1:12" ht="51" hidden="1" x14ac:dyDescent="0.3">
      <c r="A1170" s="157" t="s">
        <v>332</v>
      </c>
      <c r="B1170" s="158" t="s">
        <v>1813</v>
      </c>
      <c r="C1170" s="158" t="s">
        <v>1836</v>
      </c>
      <c r="D1170" s="158" t="s">
        <v>1837</v>
      </c>
      <c r="E1170" s="159" t="s">
        <v>283</v>
      </c>
      <c r="F1170" s="160" t="s">
        <v>15</v>
      </c>
      <c r="G1170" s="160"/>
      <c r="H1170" s="159" t="s">
        <v>283</v>
      </c>
      <c r="I1170" s="164">
        <v>152.63999999999999</v>
      </c>
      <c r="J1170" s="164"/>
      <c r="K1170" s="162" t="s">
        <v>8</v>
      </c>
      <c r="L1170" s="163">
        <v>458268.41</v>
      </c>
    </row>
    <row r="1171" spans="1:12" ht="61.2" hidden="1" x14ac:dyDescent="0.3">
      <c r="A1171" s="157" t="s">
        <v>332</v>
      </c>
      <c r="B1171" s="158" t="s">
        <v>1838</v>
      </c>
      <c r="C1171" s="158" t="s">
        <v>1839</v>
      </c>
      <c r="D1171" s="158" t="s">
        <v>1332</v>
      </c>
      <c r="E1171" s="159" t="s">
        <v>283</v>
      </c>
      <c r="F1171" s="160" t="s">
        <v>15</v>
      </c>
      <c r="G1171" s="160"/>
      <c r="H1171" s="159" t="s">
        <v>283</v>
      </c>
      <c r="I1171" s="164">
        <v>944.68</v>
      </c>
      <c r="J1171" s="164"/>
      <c r="K1171" s="162" t="s">
        <v>8</v>
      </c>
      <c r="L1171" s="163">
        <v>98975.14</v>
      </c>
    </row>
    <row r="1172" spans="1:12" ht="61.2" hidden="1" x14ac:dyDescent="0.3">
      <c r="A1172" s="157" t="s">
        <v>332</v>
      </c>
      <c r="B1172" s="158" t="s">
        <v>1838</v>
      </c>
      <c r="C1172" s="158" t="s">
        <v>1839</v>
      </c>
      <c r="D1172" s="158" t="s">
        <v>1332</v>
      </c>
      <c r="E1172" s="159" t="s">
        <v>283</v>
      </c>
      <c r="F1172" s="167">
        <v>944.68</v>
      </c>
      <c r="G1172" s="167"/>
      <c r="H1172" s="159" t="s">
        <v>283</v>
      </c>
      <c r="I1172" s="166" t="s">
        <v>15</v>
      </c>
      <c r="J1172" s="166"/>
      <c r="K1172" s="162" t="s">
        <v>8</v>
      </c>
      <c r="L1172" s="163">
        <v>111378.87</v>
      </c>
    </row>
    <row r="1173" spans="1:12" ht="51" hidden="1" x14ac:dyDescent="0.3">
      <c r="A1173" s="157" t="s">
        <v>332</v>
      </c>
      <c r="B1173" s="158" t="s">
        <v>1840</v>
      </c>
      <c r="C1173" s="158" t="s">
        <v>1841</v>
      </c>
      <c r="D1173" s="158" t="s">
        <v>1332</v>
      </c>
      <c r="E1173" s="159" t="s">
        <v>283</v>
      </c>
      <c r="F1173" s="160" t="s">
        <v>15</v>
      </c>
      <c r="G1173" s="160"/>
      <c r="H1173" s="159" t="s">
        <v>283</v>
      </c>
      <c r="I1173" s="161">
        <v>1033.32</v>
      </c>
      <c r="J1173" s="161"/>
      <c r="K1173" s="162" t="s">
        <v>8</v>
      </c>
      <c r="L1173" s="163">
        <v>97941.82</v>
      </c>
    </row>
    <row r="1174" spans="1:12" ht="51" hidden="1" x14ac:dyDescent="0.3">
      <c r="A1174" s="157" t="s">
        <v>332</v>
      </c>
      <c r="B1174" s="158" t="s">
        <v>1840</v>
      </c>
      <c r="C1174" s="158" t="s">
        <v>1841</v>
      </c>
      <c r="D1174" s="158" t="s">
        <v>1332</v>
      </c>
      <c r="E1174" s="159" t="s">
        <v>283</v>
      </c>
      <c r="F1174" s="165">
        <v>1033.32</v>
      </c>
      <c r="G1174" s="165"/>
      <c r="H1174" s="159" t="s">
        <v>283</v>
      </c>
      <c r="I1174" s="166" t="s">
        <v>15</v>
      </c>
      <c r="J1174" s="166"/>
      <c r="K1174" s="162" t="s">
        <v>8</v>
      </c>
      <c r="L1174" s="163">
        <v>1944492.29</v>
      </c>
    </row>
    <row r="1175" spans="1:12" ht="61.2" hidden="1" x14ac:dyDescent="0.3">
      <c r="A1175" s="157" t="s">
        <v>332</v>
      </c>
      <c r="B1175" s="158" t="s">
        <v>1842</v>
      </c>
      <c r="C1175" s="158" t="s">
        <v>1843</v>
      </c>
      <c r="D1175" s="158" t="s">
        <v>1783</v>
      </c>
      <c r="E1175" s="159" t="s">
        <v>283</v>
      </c>
      <c r="F1175" s="160" t="s">
        <v>15</v>
      </c>
      <c r="G1175" s="160"/>
      <c r="H1175" s="159" t="s">
        <v>283</v>
      </c>
      <c r="I1175" s="161">
        <v>23782</v>
      </c>
      <c r="J1175" s="161"/>
      <c r="K1175" s="162" t="s">
        <v>8</v>
      </c>
      <c r="L1175" s="163">
        <v>2563026.7799999998</v>
      </c>
    </row>
    <row r="1176" spans="1:12" ht="61.2" hidden="1" x14ac:dyDescent="0.3">
      <c r="A1176" s="157" t="s">
        <v>332</v>
      </c>
      <c r="B1176" s="158" t="s">
        <v>1842</v>
      </c>
      <c r="C1176" s="158" t="s">
        <v>1843</v>
      </c>
      <c r="D1176" s="158" t="s">
        <v>1783</v>
      </c>
      <c r="E1176" s="159" t="s">
        <v>283</v>
      </c>
      <c r="F1176" s="165">
        <v>23782</v>
      </c>
      <c r="G1176" s="165"/>
      <c r="H1176" s="159" t="s">
        <v>283</v>
      </c>
      <c r="I1176" s="166" t="s">
        <v>15</v>
      </c>
      <c r="J1176" s="166"/>
      <c r="K1176" s="162" t="s">
        <v>8</v>
      </c>
      <c r="L1176" s="163">
        <v>2575364.61</v>
      </c>
    </row>
    <row r="1177" spans="1:12" ht="61.2" hidden="1" x14ac:dyDescent="0.3">
      <c r="A1177" s="157" t="s">
        <v>332</v>
      </c>
      <c r="B1177" s="158" t="s">
        <v>1842</v>
      </c>
      <c r="C1177" s="158" t="s">
        <v>1844</v>
      </c>
      <c r="D1177" s="158" t="s">
        <v>1784</v>
      </c>
      <c r="E1177" s="159" t="s">
        <v>283</v>
      </c>
      <c r="F1177" s="165">
        <v>1940.4</v>
      </c>
      <c r="G1177" s="165"/>
      <c r="H1177" s="159" t="s">
        <v>283</v>
      </c>
      <c r="I1177" s="166" t="s">
        <v>15</v>
      </c>
      <c r="J1177" s="166"/>
      <c r="K1177" s="162" t="s">
        <v>8</v>
      </c>
      <c r="L1177" s="163">
        <v>2577305.0099999998</v>
      </c>
    </row>
    <row r="1178" spans="1:12" ht="61.2" hidden="1" x14ac:dyDescent="0.3">
      <c r="A1178" s="157" t="s">
        <v>332</v>
      </c>
      <c r="B1178" s="158" t="s">
        <v>1842</v>
      </c>
      <c r="C1178" s="158" t="s">
        <v>1844</v>
      </c>
      <c r="D1178" s="158" t="s">
        <v>1784</v>
      </c>
      <c r="E1178" s="159" t="s">
        <v>283</v>
      </c>
      <c r="F1178" s="160" t="s">
        <v>15</v>
      </c>
      <c r="G1178" s="160"/>
      <c r="H1178" s="159" t="s">
        <v>283</v>
      </c>
      <c r="I1178" s="161">
        <v>1940.4</v>
      </c>
      <c r="J1178" s="161"/>
      <c r="K1178" s="162" t="s">
        <v>8</v>
      </c>
      <c r="L1178" s="163">
        <v>2561086.38</v>
      </c>
    </row>
    <row r="1179" spans="1:12" ht="61.2" hidden="1" x14ac:dyDescent="0.3">
      <c r="A1179" s="157" t="s">
        <v>332</v>
      </c>
      <c r="B1179" s="158" t="s">
        <v>1845</v>
      </c>
      <c r="C1179" s="158" t="s">
        <v>1846</v>
      </c>
      <c r="D1179" s="158" t="s">
        <v>1362</v>
      </c>
      <c r="E1179" s="159" t="s">
        <v>283</v>
      </c>
      <c r="F1179" s="165">
        <v>1096.67</v>
      </c>
      <c r="G1179" s="165"/>
      <c r="H1179" s="159" t="s">
        <v>283</v>
      </c>
      <c r="I1179" s="166" t="s">
        <v>15</v>
      </c>
      <c r="J1179" s="166"/>
      <c r="K1179" s="162" t="s">
        <v>8</v>
      </c>
      <c r="L1179" s="163">
        <v>2578401.6800000002</v>
      </c>
    </row>
    <row r="1180" spans="1:12" ht="61.2" hidden="1" x14ac:dyDescent="0.3">
      <c r="A1180" s="157" t="s">
        <v>332</v>
      </c>
      <c r="B1180" s="158" t="s">
        <v>1845</v>
      </c>
      <c r="C1180" s="158" t="s">
        <v>1846</v>
      </c>
      <c r="D1180" s="158" t="s">
        <v>1362</v>
      </c>
      <c r="E1180" s="159" t="s">
        <v>283</v>
      </c>
      <c r="F1180" s="160" t="s">
        <v>15</v>
      </c>
      <c r="G1180" s="160"/>
      <c r="H1180" s="159" t="s">
        <v>283</v>
      </c>
      <c r="I1180" s="161">
        <v>1096.67</v>
      </c>
      <c r="J1180" s="161"/>
      <c r="K1180" s="162" t="s">
        <v>8</v>
      </c>
      <c r="L1180" s="163">
        <v>1943395.62</v>
      </c>
    </row>
    <row r="1181" spans="1:12" ht="61.2" hidden="1" x14ac:dyDescent="0.3">
      <c r="A1181" s="157" t="s">
        <v>332</v>
      </c>
      <c r="B1181" s="158" t="s">
        <v>1847</v>
      </c>
      <c r="C1181" s="158" t="s">
        <v>1848</v>
      </c>
      <c r="D1181" s="158" t="s">
        <v>1554</v>
      </c>
      <c r="E1181" s="159" t="s">
        <v>283</v>
      </c>
      <c r="F1181" s="160" t="s">
        <v>15</v>
      </c>
      <c r="G1181" s="160"/>
      <c r="H1181" s="159" t="s">
        <v>283</v>
      </c>
      <c r="I1181" s="161">
        <v>2336.1799999999998</v>
      </c>
      <c r="J1181" s="161"/>
      <c r="K1181" s="162" t="s">
        <v>8</v>
      </c>
      <c r="L1181" s="163">
        <v>109042.69</v>
      </c>
    </row>
    <row r="1182" spans="1:12" ht="61.2" hidden="1" x14ac:dyDescent="0.3">
      <c r="A1182" s="157" t="s">
        <v>332</v>
      </c>
      <c r="B1182" s="158" t="s">
        <v>1847</v>
      </c>
      <c r="C1182" s="158" t="s">
        <v>1848</v>
      </c>
      <c r="D1182" s="158" t="s">
        <v>1554</v>
      </c>
      <c r="E1182" s="159" t="s">
        <v>283</v>
      </c>
      <c r="F1182" s="165">
        <v>2336.1799999999998</v>
      </c>
      <c r="G1182" s="165"/>
      <c r="H1182" s="159" t="s">
        <v>283</v>
      </c>
      <c r="I1182" s="166" t="s">
        <v>15</v>
      </c>
      <c r="J1182" s="166"/>
      <c r="K1182" s="162" t="s">
        <v>8</v>
      </c>
      <c r="L1182" s="163">
        <v>2580737.86</v>
      </c>
    </row>
    <row r="1183" spans="1:12" ht="61.2" hidden="1" x14ac:dyDescent="0.3">
      <c r="A1183" s="157" t="s">
        <v>332</v>
      </c>
      <c r="B1183" s="158" t="s">
        <v>1847</v>
      </c>
      <c r="C1183" s="158" t="s">
        <v>1849</v>
      </c>
      <c r="D1183" s="158" t="s">
        <v>1555</v>
      </c>
      <c r="E1183" s="159" t="s">
        <v>283</v>
      </c>
      <c r="F1183" s="160" t="s">
        <v>15</v>
      </c>
      <c r="G1183" s="160"/>
      <c r="H1183" s="159" t="s">
        <v>283</v>
      </c>
      <c r="I1183" s="161">
        <v>16127.31</v>
      </c>
      <c r="J1183" s="161"/>
      <c r="K1183" s="162" t="s">
        <v>8</v>
      </c>
      <c r="L1183" s="163">
        <v>92915.38</v>
      </c>
    </row>
    <row r="1184" spans="1:12" ht="61.2" hidden="1" x14ac:dyDescent="0.3">
      <c r="A1184" s="157" t="s">
        <v>332</v>
      </c>
      <c r="B1184" s="158" t="s">
        <v>1847</v>
      </c>
      <c r="C1184" s="158" t="s">
        <v>1849</v>
      </c>
      <c r="D1184" s="158" t="s">
        <v>1555</v>
      </c>
      <c r="E1184" s="159" t="s">
        <v>283</v>
      </c>
      <c r="F1184" s="165">
        <v>16127.31</v>
      </c>
      <c r="G1184" s="165"/>
      <c r="H1184" s="159" t="s">
        <v>283</v>
      </c>
      <c r="I1184" s="166" t="s">
        <v>15</v>
      </c>
      <c r="J1184" s="166"/>
      <c r="K1184" s="162" t="s">
        <v>8</v>
      </c>
      <c r="L1184" s="163">
        <v>2596865.17</v>
      </c>
    </row>
    <row r="1185" spans="1:12" ht="61.2" hidden="1" x14ac:dyDescent="0.3">
      <c r="A1185" s="157" t="s">
        <v>332</v>
      </c>
      <c r="B1185" s="158" t="s">
        <v>1850</v>
      </c>
      <c r="C1185" s="158" t="s">
        <v>1851</v>
      </c>
      <c r="D1185" s="158" t="s">
        <v>1572</v>
      </c>
      <c r="E1185" s="159" t="s">
        <v>283</v>
      </c>
      <c r="F1185" s="165">
        <v>1313.2</v>
      </c>
      <c r="G1185" s="165"/>
      <c r="H1185" s="159" t="s">
        <v>283</v>
      </c>
      <c r="I1185" s="166" t="s">
        <v>15</v>
      </c>
      <c r="J1185" s="166"/>
      <c r="K1185" s="162" t="s">
        <v>8</v>
      </c>
      <c r="L1185" s="163">
        <v>2598178.37</v>
      </c>
    </row>
    <row r="1186" spans="1:12" ht="61.2" hidden="1" x14ac:dyDescent="0.3">
      <c r="A1186" s="157" t="s">
        <v>332</v>
      </c>
      <c r="B1186" s="158" t="s">
        <v>1850</v>
      </c>
      <c r="C1186" s="158" t="s">
        <v>1851</v>
      </c>
      <c r="D1186" s="158" t="s">
        <v>1572</v>
      </c>
      <c r="E1186" s="159" t="s">
        <v>283</v>
      </c>
      <c r="F1186" s="160" t="s">
        <v>15</v>
      </c>
      <c r="G1186" s="160"/>
      <c r="H1186" s="159" t="s">
        <v>283</v>
      </c>
      <c r="I1186" s="161">
        <v>1313.2</v>
      </c>
      <c r="J1186" s="161"/>
      <c r="K1186" s="162" t="s">
        <v>8</v>
      </c>
      <c r="L1186" s="163">
        <v>12000</v>
      </c>
    </row>
    <row r="1187" spans="1:12" ht="71.400000000000006" hidden="1" x14ac:dyDescent="0.3">
      <c r="A1187" s="157" t="s">
        <v>332</v>
      </c>
      <c r="B1187" s="158" t="s">
        <v>1852</v>
      </c>
      <c r="C1187" s="158" t="s">
        <v>1853</v>
      </c>
      <c r="D1187" s="158" t="s">
        <v>1812</v>
      </c>
      <c r="E1187" s="159" t="s">
        <v>283</v>
      </c>
      <c r="F1187" s="165">
        <v>1121.4000000000001</v>
      </c>
      <c r="G1187" s="165"/>
      <c r="H1187" s="159" t="s">
        <v>283</v>
      </c>
      <c r="I1187" s="166" t="s">
        <v>15</v>
      </c>
      <c r="J1187" s="166"/>
      <c r="K1187" s="162" t="s">
        <v>8</v>
      </c>
      <c r="L1187" s="163">
        <v>2599299.77</v>
      </c>
    </row>
    <row r="1188" spans="1:12" ht="71.400000000000006" hidden="1" x14ac:dyDescent="0.3">
      <c r="A1188" s="157" t="s">
        <v>332</v>
      </c>
      <c r="B1188" s="158" t="s">
        <v>1852</v>
      </c>
      <c r="C1188" s="158" t="s">
        <v>1853</v>
      </c>
      <c r="D1188" s="158" t="s">
        <v>1812</v>
      </c>
      <c r="E1188" s="159" t="s">
        <v>283</v>
      </c>
      <c r="F1188" s="160" t="s">
        <v>15</v>
      </c>
      <c r="G1188" s="160"/>
      <c r="H1188" s="159" t="s">
        <v>283</v>
      </c>
      <c r="I1188" s="161">
        <v>1121.4000000000001</v>
      </c>
      <c r="J1188" s="161"/>
      <c r="K1188" s="162" t="s">
        <v>8</v>
      </c>
      <c r="L1188" s="163">
        <v>1304302.76</v>
      </c>
    </row>
    <row r="1189" spans="1:12" ht="61.2" hidden="1" x14ac:dyDescent="0.3">
      <c r="A1189" s="157" t="s">
        <v>332</v>
      </c>
      <c r="B1189" s="158" t="s">
        <v>1852</v>
      </c>
      <c r="C1189" s="158" t="s">
        <v>1854</v>
      </c>
      <c r="D1189" s="158" t="s">
        <v>1610</v>
      </c>
      <c r="E1189" s="159" t="s">
        <v>283</v>
      </c>
      <c r="F1189" s="165">
        <v>14514.17</v>
      </c>
      <c r="G1189" s="165"/>
      <c r="H1189" s="159" t="s">
        <v>283</v>
      </c>
      <c r="I1189" s="166" t="s">
        <v>15</v>
      </c>
      <c r="J1189" s="166"/>
      <c r="K1189" s="162" t="s">
        <v>8</v>
      </c>
      <c r="L1189" s="163">
        <v>2613813.94</v>
      </c>
    </row>
    <row r="1190" spans="1:12" ht="61.2" hidden="1" x14ac:dyDescent="0.3">
      <c r="A1190" s="157" t="s">
        <v>332</v>
      </c>
      <c r="B1190" s="158" t="s">
        <v>1852</v>
      </c>
      <c r="C1190" s="158" t="s">
        <v>1854</v>
      </c>
      <c r="D1190" s="158" t="s">
        <v>1610</v>
      </c>
      <c r="E1190" s="159" t="s">
        <v>283</v>
      </c>
      <c r="F1190" s="160" t="s">
        <v>15</v>
      </c>
      <c r="G1190" s="160"/>
      <c r="H1190" s="159" t="s">
        <v>283</v>
      </c>
      <c r="I1190" s="161">
        <v>14514.17</v>
      </c>
      <c r="J1190" s="161"/>
      <c r="K1190" s="162" t="s">
        <v>8</v>
      </c>
      <c r="L1190" s="163">
        <v>1289788.5900000001</v>
      </c>
    </row>
    <row r="1191" spans="1:12" ht="51" hidden="1" x14ac:dyDescent="0.3">
      <c r="A1191" s="157" t="s">
        <v>332</v>
      </c>
      <c r="B1191" s="158" t="s">
        <v>1855</v>
      </c>
      <c r="C1191" s="158" t="s">
        <v>1856</v>
      </c>
      <c r="D1191" s="158" t="s">
        <v>1857</v>
      </c>
      <c r="E1191" s="159" t="s">
        <v>283</v>
      </c>
      <c r="F1191" s="165">
        <v>1731.73</v>
      </c>
      <c r="G1191" s="165"/>
      <c r="H1191" s="159" t="s">
        <v>283</v>
      </c>
      <c r="I1191" s="166" t="s">
        <v>15</v>
      </c>
      <c r="J1191" s="166"/>
      <c r="K1191" s="162" t="s">
        <v>8</v>
      </c>
      <c r="L1191" s="163">
        <v>2562818.11</v>
      </c>
    </row>
    <row r="1192" spans="1:12" ht="51" hidden="1" x14ac:dyDescent="0.3">
      <c r="A1192" s="157" t="s">
        <v>332</v>
      </c>
      <c r="B1192" s="158" t="s">
        <v>1855</v>
      </c>
      <c r="C1192" s="158" t="s">
        <v>1856</v>
      </c>
      <c r="D1192" s="158" t="s">
        <v>1857</v>
      </c>
      <c r="E1192" s="159" t="s">
        <v>283</v>
      </c>
      <c r="F1192" s="160" t="s">
        <v>15</v>
      </c>
      <c r="G1192" s="160"/>
      <c r="H1192" s="159" t="s">
        <v>283</v>
      </c>
      <c r="I1192" s="161">
        <v>1731.73</v>
      </c>
      <c r="J1192" s="161"/>
      <c r="K1192" s="162" t="s">
        <v>8</v>
      </c>
      <c r="L1192" s="163">
        <v>259253.19</v>
      </c>
    </row>
    <row r="1193" spans="1:12" ht="51" hidden="1" x14ac:dyDescent="0.3">
      <c r="A1193" s="157" t="s">
        <v>332</v>
      </c>
      <c r="B1193" s="158" t="s">
        <v>1858</v>
      </c>
      <c r="C1193" s="158" t="s">
        <v>1859</v>
      </c>
      <c r="D1193" s="158" t="s">
        <v>1860</v>
      </c>
      <c r="E1193" s="159" t="s">
        <v>283</v>
      </c>
      <c r="F1193" s="165">
        <v>7350</v>
      </c>
      <c r="G1193" s="165"/>
      <c r="H1193" s="159" t="s">
        <v>283</v>
      </c>
      <c r="I1193" s="166" t="s">
        <v>15</v>
      </c>
      <c r="J1193" s="166"/>
      <c r="K1193" s="162" t="s">
        <v>8</v>
      </c>
      <c r="L1193" s="163">
        <v>2570168.11</v>
      </c>
    </row>
    <row r="1194" spans="1:12" ht="51" hidden="1" x14ac:dyDescent="0.3">
      <c r="A1194" s="157" t="s">
        <v>332</v>
      </c>
      <c r="B1194" s="158" t="s">
        <v>1858</v>
      </c>
      <c r="C1194" s="158" t="s">
        <v>1859</v>
      </c>
      <c r="D1194" s="158" t="s">
        <v>1860</v>
      </c>
      <c r="E1194" s="159" t="s">
        <v>283</v>
      </c>
      <c r="F1194" s="160" t="s">
        <v>15</v>
      </c>
      <c r="G1194" s="160"/>
      <c r="H1194" s="159" t="s">
        <v>283</v>
      </c>
      <c r="I1194" s="161">
        <v>7350</v>
      </c>
      <c r="J1194" s="161"/>
      <c r="K1194" s="162" t="s">
        <v>8</v>
      </c>
      <c r="L1194" s="163">
        <v>5964977.8899999997</v>
      </c>
    </row>
    <row r="1195" spans="1:12" ht="51" hidden="1" x14ac:dyDescent="0.3">
      <c r="A1195" s="157" t="s">
        <v>332</v>
      </c>
      <c r="B1195" s="158" t="s">
        <v>1861</v>
      </c>
      <c r="C1195" s="158" t="s">
        <v>1862</v>
      </c>
      <c r="D1195" s="158" t="s">
        <v>1857</v>
      </c>
      <c r="E1195" s="159" t="s">
        <v>283</v>
      </c>
      <c r="F1195" s="165">
        <v>2828.48</v>
      </c>
      <c r="G1195" s="165"/>
      <c r="H1195" s="159" t="s">
        <v>283</v>
      </c>
      <c r="I1195" s="161">
        <v>2828.48</v>
      </c>
      <c r="J1195" s="161"/>
      <c r="K1195" s="162" t="s">
        <v>8</v>
      </c>
      <c r="L1195" s="163">
        <v>259253.19</v>
      </c>
    </row>
    <row r="1196" spans="1:12" ht="51" hidden="1" x14ac:dyDescent="0.3">
      <c r="A1196" s="157" t="s">
        <v>332</v>
      </c>
      <c r="B1196" s="158" t="s">
        <v>1861</v>
      </c>
      <c r="C1196" s="158" t="s">
        <v>1863</v>
      </c>
      <c r="D1196" s="158" t="s">
        <v>1864</v>
      </c>
      <c r="E1196" s="159" t="s">
        <v>283</v>
      </c>
      <c r="F1196" s="165">
        <v>5041.46</v>
      </c>
      <c r="G1196" s="165"/>
      <c r="H1196" s="159" t="s">
        <v>283</v>
      </c>
      <c r="I1196" s="161">
        <v>5041.46</v>
      </c>
      <c r="J1196" s="161"/>
      <c r="K1196" s="162" t="s">
        <v>8</v>
      </c>
      <c r="L1196" s="163">
        <v>259253.19</v>
      </c>
    </row>
    <row r="1197" spans="1:12" ht="71.400000000000006" hidden="1" x14ac:dyDescent="0.3">
      <c r="A1197" s="157" t="s">
        <v>332</v>
      </c>
      <c r="B1197" s="158" t="s">
        <v>1865</v>
      </c>
      <c r="C1197" s="158" t="s">
        <v>1866</v>
      </c>
      <c r="D1197" s="158" t="s">
        <v>1780</v>
      </c>
      <c r="E1197" s="159" t="s">
        <v>283</v>
      </c>
      <c r="F1197" s="160" t="s">
        <v>15</v>
      </c>
      <c r="G1197" s="160"/>
      <c r="H1197" s="159" t="s">
        <v>283</v>
      </c>
      <c r="I1197" s="161">
        <v>16574.25</v>
      </c>
      <c r="J1197" s="161"/>
      <c r="K1197" s="162" t="s">
        <v>8</v>
      </c>
      <c r="L1197" s="163">
        <v>2597239.69</v>
      </c>
    </row>
    <row r="1198" spans="1:12" ht="71.400000000000006" hidden="1" x14ac:dyDescent="0.3">
      <c r="A1198" s="157" t="s">
        <v>332</v>
      </c>
      <c r="B1198" s="158" t="s">
        <v>1865</v>
      </c>
      <c r="C1198" s="158" t="s">
        <v>1866</v>
      </c>
      <c r="D1198" s="158" t="s">
        <v>1780</v>
      </c>
      <c r="E1198" s="159" t="s">
        <v>283</v>
      </c>
      <c r="F1198" s="165">
        <v>16574.25</v>
      </c>
      <c r="G1198" s="165"/>
      <c r="H1198" s="159" t="s">
        <v>283</v>
      </c>
      <c r="I1198" s="166" t="s">
        <v>15</v>
      </c>
      <c r="J1198" s="166"/>
      <c r="K1198" s="162" t="s">
        <v>8</v>
      </c>
      <c r="L1198" s="163">
        <v>275827.44</v>
      </c>
    </row>
    <row r="1199" spans="1:12" ht="61.2" hidden="1" x14ac:dyDescent="0.3">
      <c r="A1199" s="157" t="s">
        <v>332</v>
      </c>
      <c r="B1199" s="158" t="s">
        <v>1865</v>
      </c>
      <c r="C1199" s="158" t="s">
        <v>1867</v>
      </c>
      <c r="D1199" s="158" t="s">
        <v>1199</v>
      </c>
      <c r="E1199" s="159" t="s">
        <v>283</v>
      </c>
      <c r="F1199" s="160" t="s">
        <v>15</v>
      </c>
      <c r="G1199" s="160"/>
      <c r="H1199" s="159" t="s">
        <v>283</v>
      </c>
      <c r="I1199" s="161">
        <v>13052.57</v>
      </c>
      <c r="J1199" s="161"/>
      <c r="K1199" s="162" t="s">
        <v>8</v>
      </c>
      <c r="L1199" s="163">
        <v>2584187.12</v>
      </c>
    </row>
    <row r="1200" spans="1:12" ht="61.2" hidden="1" x14ac:dyDescent="0.3">
      <c r="A1200" s="157" t="s">
        <v>332</v>
      </c>
      <c r="B1200" s="158" t="s">
        <v>1865</v>
      </c>
      <c r="C1200" s="158" t="s">
        <v>1867</v>
      </c>
      <c r="D1200" s="158" t="s">
        <v>1199</v>
      </c>
      <c r="E1200" s="159" t="s">
        <v>283</v>
      </c>
      <c r="F1200" s="165">
        <v>13052.57</v>
      </c>
      <c r="G1200" s="165"/>
      <c r="H1200" s="159" t="s">
        <v>283</v>
      </c>
      <c r="I1200" s="166" t="s">
        <v>15</v>
      </c>
      <c r="J1200" s="166"/>
      <c r="K1200" s="162" t="s">
        <v>8</v>
      </c>
      <c r="L1200" s="163">
        <v>288880.01</v>
      </c>
    </row>
    <row r="1201" spans="1:12" ht="51" hidden="1" x14ac:dyDescent="0.3">
      <c r="A1201" s="157" t="s">
        <v>332</v>
      </c>
      <c r="B1201" s="158" t="s">
        <v>1868</v>
      </c>
      <c r="C1201" s="158" t="s">
        <v>1869</v>
      </c>
      <c r="D1201" s="158" t="s">
        <v>1725</v>
      </c>
      <c r="E1201" s="159" t="s">
        <v>283</v>
      </c>
      <c r="F1201" s="165">
        <v>30195.55</v>
      </c>
      <c r="G1201" s="165"/>
      <c r="H1201" s="159" t="s">
        <v>283</v>
      </c>
      <c r="I1201" s="166" t="s">
        <v>15</v>
      </c>
      <c r="J1201" s="166"/>
      <c r="K1201" s="162" t="s">
        <v>8</v>
      </c>
      <c r="L1201" s="163">
        <v>319075.56</v>
      </c>
    </row>
    <row r="1202" spans="1:12" ht="51" hidden="1" x14ac:dyDescent="0.3">
      <c r="A1202" s="157" t="s">
        <v>332</v>
      </c>
      <c r="B1202" s="158" t="s">
        <v>1868</v>
      </c>
      <c r="C1202" s="158" t="s">
        <v>1869</v>
      </c>
      <c r="D1202" s="158" t="s">
        <v>1725</v>
      </c>
      <c r="E1202" s="159" t="s">
        <v>283</v>
      </c>
      <c r="F1202" s="160" t="s">
        <v>15</v>
      </c>
      <c r="G1202" s="160"/>
      <c r="H1202" s="159" t="s">
        <v>283</v>
      </c>
      <c r="I1202" s="161">
        <v>30195.55</v>
      </c>
      <c r="J1202" s="161"/>
      <c r="K1202" s="162" t="s">
        <v>8</v>
      </c>
      <c r="L1202" s="163">
        <v>311849.03999999998</v>
      </c>
    </row>
    <row r="1203" spans="1:12" ht="51" hidden="1" x14ac:dyDescent="0.3">
      <c r="A1203" s="157" t="s">
        <v>332</v>
      </c>
      <c r="B1203" s="158" t="s">
        <v>1870</v>
      </c>
      <c r="C1203" s="158" t="s">
        <v>1871</v>
      </c>
      <c r="D1203" s="158" t="s">
        <v>1872</v>
      </c>
      <c r="E1203" s="159" t="s">
        <v>283</v>
      </c>
      <c r="F1203" s="160" t="s">
        <v>15</v>
      </c>
      <c r="G1203" s="160"/>
      <c r="H1203" s="159" t="s">
        <v>283</v>
      </c>
      <c r="I1203" s="161">
        <v>2950.08</v>
      </c>
      <c r="J1203" s="161"/>
      <c r="K1203" s="162" t="s">
        <v>8</v>
      </c>
      <c r="L1203" s="163">
        <v>5962027.8099999996</v>
      </c>
    </row>
    <row r="1204" spans="1:12" ht="51" hidden="1" x14ac:dyDescent="0.3">
      <c r="A1204" s="157" t="s">
        <v>332</v>
      </c>
      <c r="B1204" s="158" t="s">
        <v>1870</v>
      </c>
      <c r="C1204" s="158" t="s">
        <v>1871</v>
      </c>
      <c r="D1204" s="158" t="s">
        <v>1872</v>
      </c>
      <c r="E1204" s="159" t="s">
        <v>283</v>
      </c>
      <c r="F1204" s="165">
        <v>2950.08</v>
      </c>
      <c r="G1204" s="165"/>
      <c r="H1204" s="159" t="s">
        <v>283</v>
      </c>
      <c r="I1204" s="166" t="s">
        <v>15</v>
      </c>
      <c r="J1204" s="166"/>
      <c r="K1204" s="162" t="s">
        <v>8</v>
      </c>
      <c r="L1204" s="163">
        <v>322025.64</v>
      </c>
    </row>
    <row r="1205" spans="1:12" ht="51" hidden="1" x14ac:dyDescent="0.3">
      <c r="A1205" s="157" t="s">
        <v>332</v>
      </c>
      <c r="B1205" s="158" t="s">
        <v>1873</v>
      </c>
      <c r="C1205" s="158" t="s">
        <v>1874</v>
      </c>
      <c r="D1205" s="158" t="s">
        <v>1641</v>
      </c>
      <c r="E1205" s="159" t="s">
        <v>283</v>
      </c>
      <c r="F1205" s="160" t="s">
        <v>15</v>
      </c>
      <c r="G1205" s="160"/>
      <c r="H1205" s="159" t="s">
        <v>283</v>
      </c>
      <c r="I1205" s="161">
        <v>35610.120000000003</v>
      </c>
      <c r="J1205" s="161"/>
      <c r="K1205" s="162" t="s">
        <v>8</v>
      </c>
      <c r="L1205" s="163">
        <v>259400.57</v>
      </c>
    </row>
    <row r="1206" spans="1:12" ht="51" hidden="1" x14ac:dyDescent="0.3">
      <c r="A1206" s="157" t="s">
        <v>332</v>
      </c>
      <c r="B1206" s="158" t="s">
        <v>1873</v>
      </c>
      <c r="C1206" s="158" t="s">
        <v>1874</v>
      </c>
      <c r="D1206" s="158" t="s">
        <v>1641</v>
      </c>
      <c r="E1206" s="159" t="s">
        <v>283</v>
      </c>
      <c r="F1206" s="165">
        <v>35610.120000000003</v>
      </c>
      <c r="G1206" s="165"/>
      <c r="H1206" s="159" t="s">
        <v>283</v>
      </c>
      <c r="I1206" s="166" t="s">
        <v>15</v>
      </c>
      <c r="J1206" s="166"/>
      <c r="K1206" s="162" t="s">
        <v>8</v>
      </c>
      <c r="L1206" s="163">
        <v>5997637.9299999997</v>
      </c>
    </row>
    <row r="1207" spans="1:12" ht="51" hidden="1" x14ac:dyDescent="0.3">
      <c r="A1207" s="157" t="s">
        <v>332</v>
      </c>
      <c r="B1207" s="158" t="s">
        <v>1875</v>
      </c>
      <c r="C1207" s="158" t="s">
        <v>1876</v>
      </c>
      <c r="D1207" s="158" t="s">
        <v>1720</v>
      </c>
      <c r="E1207" s="159" t="s">
        <v>283</v>
      </c>
      <c r="F1207" s="167">
        <v>884.4</v>
      </c>
      <c r="G1207" s="167"/>
      <c r="H1207" s="159" t="s">
        <v>283</v>
      </c>
      <c r="I1207" s="166" t="s">
        <v>15</v>
      </c>
      <c r="J1207" s="166"/>
      <c r="K1207" s="162" t="s">
        <v>8</v>
      </c>
      <c r="L1207" s="163">
        <v>5998522.3300000001</v>
      </c>
    </row>
    <row r="1208" spans="1:12" ht="51" hidden="1" x14ac:dyDescent="0.3">
      <c r="A1208" s="157" t="s">
        <v>332</v>
      </c>
      <c r="B1208" s="158" t="s">
        <v>1875</v>
      </c>
      <c r="C1208" s="158" t="s">
        <v>1876</v>
      </c>
      <c r="D1208" s="158" t="s">
        <v>1720</v>
      </c>
      <c r="E1208" s="159" t="s">
        <v>283</v>
      </c>
      <c r="F1208" s="160" t="s">
        <v>15</v>
      </c>
      <c r="G1208" s="160"/>
      <c r="H1208" s="159" t="s">
        <v>283</v>
      </c>
      <c r="I1208" s="164">
        <v>884.4</v>
      </c>
      <c r="J1208" s="164"/>
      <c r="K1208" s="162" t="s">
        <v>8</v>
      </c>
      <c r="L1208" s="163">
        <v>1942511.22</v>
      </c>
    </row>
    <row r="1209" spans="1:12" ht="51" x14ac:dyDescent="0.3">
      <c r="A1209" s="157" t="s">
        <v>332</v>
      </c>
      <c r="B1209" s="158" t="s">
        <v>1877</v>
      </c>
      <c r="C1209" s="158" t="s">
        <v>741</v>
      </c>
      <c r="D1209" s="158" t="s">
        <v>1698</v>
      </c>
      <c r="E1209" s="159" t="s">
        <v>42</v>
      </c>
      <c r="F1209" s="160" t="s">
        <v>15</v>
      </c>
      <c r="G1209" s="160"/>
      <c r="H1209" s="159" t="s">
        <v>283</v>
      </c>
      <c r="I1209" s="164">
        <v>39</v>
      </c>
      <c r="J1209" s="164"/>
      <c r="K1209" s="162" t="s">
        <v>8</v>
      </c>
      <c r="L1209" s="163">
        <v>97902.82</v>
      </c>
    </row>
    <row r="1210" spans="1:12" ht="61.2" x14ac:dyDescent="0.3">
      <c r="A1210" s="157" t="s">
        <v>332</v>
      </c>
      <c r="B1210" s="158" t="s">
        <v>1878</v>
      </c>
      <c r="C1210" s="158" t="s">
        <v>741</v>
      </c>
      <c r="D1210" s="158" t="s">
        <v>1555</v>
      </c>
      <c r="E1210" s="159" t="s">
        <v>42</v>
      </c>
      <c r="F1210" s="160" t="s">
        <v>15</v>
      </c>
      <c r="G1210" s="160"/>
      <c r="H1210" s="159" t="s">
        <v>283</v>
      </c>
      <c r="I1210" s="161">
        <v>11880.38</v>
      </c>
      <c r="J1210" s="161"/>
      <c r="K1210" s="162" t="s">
        <v>8</v>
      </c>
      <c r="L1210" s="163">
        <v>81035</v>
      </c>
    </row>
    <row r="1211" spans="1:12" ht="71.400000000000006" x14ac:dyDescent="0.3">
      <c r="A1211" s="157" t="s">
        <v>332</v>
      </c>
      <c r="B1211" s="158" t="s">
        <v>1878</v>
      </c>
      <c r="C1211" s="158" t="s">
        <v>741</v>
      </c>
      <c r="D1211" s="158" t="s">
        <v>1811</v>
      </c>
      <c r="E1211" s="159" t="s">
        <v>42</v>
      </c>
      <c r="F1211" s="160" t="s">
        <v>15</v>
      </c>
      <c r="G1211" s="160"/>
      <c r="H1211" s="159" t="s">
        <v>283</v>
      </c>
      <c r="I1211" s="161">
        <v>2436</v>
      </c>
      <c r="J1211" s="161"/>
      <c r="K1211" s="162" t="s">
        <v>8</v>
      </c>
      <c r="L1211" s="163">
        <v>78599</v>
      </c>
    </row>
    <row r="1212" spans="1:12" ht="51" x14ac:dyDescent="0.3">
      <c r="A1212" s="157" t="s">
        <v>332</v>
      </c>
      <c r="B1212" s="158" t="s">
        <v>1879</v>
      </c>
      <c r="C1212" s="158" t="s">
        <v>741</v>
      </c>
      <c r="D1212" s="158" t="s">
        <v>1814</v>
      </c>
      <c r="E1212" s="159" t="s">
        <v>42</v>
      </c>
      <c r="F1212" s="160" t="s">
        <v>15</v>
      </c>
      <c r="G1212" s="160"/>
      <c r="H1212" s="159" t="s">
        <v>283</v>
      </c>
      <c r="I1212" s="164">
        <v>206.4</v>
      </c>
      <c r="J1212" s="164"/>
      <c r="K1212" s="162" t="s">
        <v>8</v>
      </c>
      <c r="L1212" s="163">
        <v>1344436.04</v>
      </c>
    </row>
    <row r="1213" spans="1:12" ht="51" x14ac:dyDescent="0.3">
      <c r="A1213" s="157" t="s">
        <v>332</v>
      </c>
      <c r="B1213" s="158" t="s">
        <v>1879</v>
      </c>
      <c r="C1213" s="158" t="s">
        <v>741</v>
      </c>
      <c r="D1213" s="158" t="s">
        <v>1816</v>
      </c>
      <c r="E1213" s="159" t="s">
        <v>42</v>
      </c>
      <c r="F1213" s="160" t="s">
        <v>15</v>
      </c>
      <c r="G1213" s="160"/>
      <c r="H1213" s="159" t="s">
        <v>283</v>
      </c>
      <c r="I1213" s="161">
        <v>4656.6000000000004</v>
      </c>
      <c r="J1213" s="161"/>
      <c r="K1213" s="162" t="s">
        <v>8</v>
      </c>
      <c r="L1213" s="163">
        <v>1339779.44</v>
      </c>
    </row>
    <row r="1214" spans="1:12" ht="51" x14ac:dyDescent="0.3">
      <c r="A1214" s="157" t="s">
        <v>332</v>
      </c>
      <c r="B1214" s="158" t="s">
        <v>1879</v>
      </c>
      <c r="C1214" s="158" t="s">
        <v>741</v>
      </c>
      <c r="D1214" s="158" t="s">
        <v>1818</v>
      </c>
      <c r="E1214" s="159" t="s">
        <v>42</v>
      </c>
      <c r="F1214" s="160" t="s">
        <v>15</v>
      </c>
      <c r="G1214" s="160"/>
      <c r="H1214" s="159" t="s">
        <v>283</v>
      </c>
      <c r="I1214" s="164">
        <v>768.64</v>
      </c>
      <c r="J1214" s="164"/>
      <c r="K1214" s="162" t="s">
        <v>8</v>
      </c>
      <c r="L1214" s="163">
        <v>1339010.8</v>
      </c>
    </row>
    <row r="1215" spans="1:12" ht="51" x14ac:dyDescent="0.3">
      <c r="A1215" s="157" t="s">
        <v>332</v>
      </c>
      <c r="B1215" s="158" t="s">
        <v>1879</v>
      </c>
      <c r="C1215" s="158" t="s">
        <v>741</v>
      </c>
      <c r="D1215" s="158" t="s">
        <v>1820</v>
      </c>
      <c r="E1215" s="159" t="s">
        <v>42</v>
      </c>
      <c r="F1215" s="160" t="s">
        <v>15</v>
      </c>
      <c r="G1215" s="160"/>
      <c r="H1215" s="159" t="s">
        <v>283</v>
      </c>
      <c r="I1215" s="164">
        <v>688</v>
      </c>
      <c r="J1215" s="164"/>
      <c r="K1215" s="162" t="s">
        <v>8</v>
      </c>
      <c r="L1215" s="163">
        <v>1338322.8</v>
      </c>
    </row>
    <row r="1216" spans="1:12" ht="51" x14ac:dyDescent="0.3">
      <c r="A1216" s="157" t="s">
        <v>332</v>
      </c>
      <c r="B1216" s="158" t="s">
        <v>1879</v>
      </c>
      <c r="C1216" s="158" t="s">
        <v>741</v>
      </c>
      <c r="D1216" s="158" t="s">
        <v>1822</v>
      </c>
      <c r="E1216" s="159" t="s">
        <v>42</v>
      </c>
      <c r="F1216" s="160" t="s">
        <v>15</v>
      </c>
      <c r="G1216" s="160"/>
      <c r="H1216" s="159" t="s">
        <v>283</v>
      </c>
      <c r="I1216" s="164">
        <v>558.72</v>
      </c>
      <c r="J1216" s="164"/>
      <c r="K1216" s="162" t="s">
        <v>8</v>
      </c>
      <c r="L1216" s="163">
        <v>1337764.08</v>
      </c>
    </row>
    <row r="1217" spans="1:12" ht="51" x14ac:dyDescent="0.3">
      <c r="A1217" s="157" t="s">
        <v>332</v>
      </c>
      <c r="B1217" s="158" t="s">
        <v>1879</v>
      </c>
      <c r="C1217" s="158" t="s">
        <v>741</v>
      </c>
      <c r="D1217" s="158" t="s">
        <v>1824</v>
      </c>
      <c r="E1217" s="159" t="s">
        <v>42</v>
      </c>
      <c r="F1217" s="160" t="s">
        <v>15</v>
      </c>
      <c r="G1217" s="160"/>
      <c r="H1217" s="159" t="s">
        <v>283</v>
      </c>
      <c r="I1217" s="161">
        <v>1008</v>
      </c>
      <c r="J1217" s="161"/>
      <c r="K1217" s="162" t="s">
        <v>8</v>
      </c>
      <c r="L1217" s="163">
        <v>1336756.08</v>
      </c>
    </row>
    <row r="1218" spans="1:12" ht="51" x14ac:dyDescent="0.3">
      <c r="A1218" s="157" t="s">
        <v>332</v>
      </c>
      <c r="B1218" s="158" t="s">
        <v>1879</v>
      </c>
      <c r="C1218" s="158" t="s">
        <v>741</v>
      </c>
      <c r="D1218" s="158" t="s">
        <v>1826</v>
      </c>
      <c r="E1218" s="159" t="s">
        <v>42</v>
      </c>
      <c r="F1218" s="160" t="s">
        <v>15</v>
      </c>
      <c r="G1218" s="160"/>
      <c r="H1218" s="159" t="s">
        <v>283</v>
      </c>
      <c r="I1218" s="164">
        <v>136.32</v>
      </c>
      <c r="J1218" s="164"/>
      <c r="K1218" s="162" t="s">
        <v>8</v>
      </c>
      <c r="L1218" s="163">
        <v>1336619.76</v>
      </c>
    </row>
    <row r="1219" spans="1:12" ht="51" x14ac:dyDescent="0.3">
      <c r="A1219" s="157" t="s">
        <v>332</v>
      </c>
      <c r="B1219" s="158" t="s">
        <v>1879</v>
      </c>
      <c r="C1219" s="158" t="s">
        <v>741</v>
      </c>
      <c r="D1219" s="158" t="s">
        <v>1828</v>
      </c>
      <c r="E1219" s="159" t="s">
        <v>42</v>
      </c>
      <c r="F1219" s="160" t="s">
        <v>15</v>
      </c>
      <c r="G1219" s="160"/>
      <c r="H1219" s="159" t="s">
        <v>283</v>
      </c>
      <c r="I1219" s="161">
        <v>2944.24</v>
      </c>
      <c r="J1219" s="161"/>
      <c r="K1219" s="162" t="s">
        <v>8</v>
      </c>
      <c r="L1219" s="163">
        <v>1333675.52</v>
      </c>
    </row>
    <row r="1220" spans="1:12" ht="51" x14ac:dyDescent="0.3">
      <c r="A1220" s="157" t="s">
        <v>332</v>
      </c>
      <c r="B1220" s="158" t="s">
        <v>1879</v>
      </c>
      <c r="C1220" s="158" t="s">
        <v>741</v>
      </c>
      <c r="D1220" s="158" t="s">
        <v>1830</v>
      </c>
      <c r="E1220" s="159" t="s">
        <v>42</v>
      </c>
      <c r="F1220" s="160" t="s">
        <v>15</v>
      </c>
      <c r="G1220" s="160"/>
      <c r="H1220" s="159" t="s">
        <v>283</v>
      </c>
      <c r="I1220" s="164">
        <v>993.6</v>
      </c>
      <c r="J1220" s="164"/>
      <c r="K1220" s="162" t="s">
        <v>8</v>
      </c>
      <c r="L1220" s="163">
        <v>1332681.92</v>
      </c>
    </row>
    <row r="1221" spans="1:12" ht="51" x14ac:dyDescent="0.3">
      <c r="A1221" s="157" t="s">
        <v>332</v>
      </c>
      <c r="B1221" s="158" t="s">
        <v>1879</v>
      </c>
      <c r="C1221" s="158" t="s">
        <v>741</v>
      </c>
      <c r="D1221" s="158" t="s">
        <v>1832</v>
      </c>
      <c r="E1221" s="159" t="s">
        <v>42</v>
      </c>
      <c r="F1221" s="160" t="s">
        <v>15</v>
      </c>
      <c r="G1221" s="160"/>
      <c r="H1221" s="159" t="s">
        <v>283</v>
      </c>
      <c r="I1221" s="164">
        <v>21.12</v>
      </c>
      <c r="J1221" s="164"/>
      <c r="K1221" s="162" t="s">
        <v>8</v>
      </c>
      <c r="L1221" s="163">
        <v>1332660.8</v>
      </c>
    </row>
    <row r="1222" spans="1:12" ht="51" x14ac:dyDescent="0.3">
      <c r="A1222" s="157" t="s">
        <v>332</v>
      </c>
      <c r="B1222" s="158" t="s">
        <v>1879</v>
      </c>
      <c r="C1222" s="158" t="s">
        <v>741</v>
      </c>
      <c r="D1222" s="158" t="s">
        <v>1834</v>
      </c>
      <c r="E1222" s="159" t="s">
        <v>42</v>
      </c>
      <c r="F1222" s="160" t="s">
        <v>15</v>
      </c>
      <c r="G1222" s="160"/>
      <c r="H1222" s="159" t="s">
        <v>283</v>
      </c>
      <c r="I1222" s="164">
        <v>671.84</v>
      </c>
      <c r="J1222" s="164"/>
      <c r="K1222" s="162" t="s">
        <v>8</v>
      </c>
      <c r="L1222" s="163">
        <v>1331988.96</v>
      </c>
    </row>
    <row r="1223" spans="1:12" ht="51" x14ac:dyDescent="0.3">
      <c r="A1223" s="157" t="s">
        <v>332</v>
      </c>
      <c r="B1223" s="158" t="s">
        <v>1879</v>
      </c>
      <c r="C1223" s="158" t="s">
        <v>741</v>
      </c>
      <c r="D1223" s="158" t="s">
        <v>1836</v>
      </c>
      <c r="E1223" s="159" t="s">
        <v>42</v>
      </c>
      <c r="F1223" s="160" t="s">
        <v>15</v>
      </c>
      <c r="G1223" s="160"/>
      <c r="H1223" s="159" t="s">
        <v>283</v>
      </c>
      <c r="I1223" s="164">
        <v>152.63999999999999</v>
      </c>
      <c r="J1223" s="164"/>
      <c r="K1223" s="162" t="s">
        <v>8</v>
      </c>
      <c r="L1223" s="163">
        <v>1331836.32</v>
      </c>
    </row>
    <row r="1224" spans="1:12" ht="61.2" x14ac:dyDescent="0.3">
      <c r="A1224" s="157" t="s">
        <v>332</v>
      </c>
      <c r="B1224" s="158" t="s">
        <v>1879</v>
      </c>
      <c r="C1224" s="158" t="s">
        <v>741</v>
      </c>
      <c r="D1224" s="158" t="s">
        <v>931</v>
      </c>
      <c r="E1224" s="159" t="s">
        <v>42</v>
      </c>
      <c r="F1224" s="160" t="s">
        <v>15</v>
      </c>
      <c r="G1224" s="160"/>
      <c r="H1224" s="159" t="s">
        <v>283</v>
      </c>
      <c r="I1224" s="161">
        <v>4887.7</v>
      </c>
      <c r="J1224" s="161"/>
      <c r="K1224" s="162" t="s">
        <v>8</v>
      </c>
      <c r="L1224" s="163">
        <v>1326948.6200000001</v>
      </c>
    </row>
    <row r="1225" spans="1:12" ht="61.2" x14ac:dyDescent="0.3">
      <c r="A1225" s="157" t="s">
        <v>332</v>
      </c>
      <c r="B1225" s="158" t="s">
        <v>1879</v>
      </c>
      <c r="C1225" s="158" t="s">
        <v>741</v>
      </c>
      <c r="D1225" s="158" t="s">
        <v>918</v>
      </c>
      <c r="E1225" s="159" t="s">
        <v>42</v>
      </c>
      <c r="F1225" s="160" t="s">
        <v>15</v>
      </c>
      <c r="G1225" s="160"/>
      <c r="H1225" s="159" t="s">
        <v>283</v>
      </c>
      <c r="I1225" s="161">
        <v>3550.4</v>
      </c>
      <c r="J1225" s="161"/>
      <c r="K1225" s="162" t="s">
        <v>8</v>
      </c>
      <c r="L1225" s="163">
        <v>1323398.22</v>
      </c>
    </row>
    <row r="1226" spans="1:12" ht="61.2" x14ac:dyDescent="0.3">
      <c r="A1226" s="157" t="s">
        <v>332</v>
      </c>
      <c r="B1226" s="158" t="s">
        <v>1879</v>
      </c>
      <c r="C1226" s="158" t="s">
        <v>741</v>
      </c>
      <c r="D1226" s="158" t="s">
        <v>920</v>
      </c>
      <c r="E1226" s="159" t="s">
        <v>42</v>
      </c>
      <c r="F1226" s="160" t="s">
        <v>15</v>
      </c>
      <c r="G1226" s="160"/>
      <c r="H1226" s="159" t="s">
        <v>283</v>
      </c>
      <c r="I1226" s="161">
        <v>4307.8999999999996</v>
      </c>
      <c r="J1226" s="161"/>
      <c r="K1226" s="162" t="s">
        <v>8</v>
      </c>
      <c r="L1226" s="163">
        <v>1319090.32</v>
      </c>
    </row>
    <row r="1227" spans="1:12" ht="61.2" x14ac:dyDescent="0.3">
      <c r="A1227" s="157" t="s">
        <v>332</v>
      </c>
      <c r="B1227" s="158" t="s">
        <v>1879</v>
      </c>
      <c r="C1227" s="158" t="s">
        <v>741</v>
      </c>
      <c r="D1227" s="158" t="s">
        <v>921</v>
      </c>
      <c r="E1227" s="159" t="s">
        <v>42</v>
      </c>
      <c r="F1227" s="160" t="s">
        <v>15</v>
      </c>
      <c r="G1227" s="160"/>
      <c r="H1227" s="159" t="s">
        <v>283</v>
      </c>
      <c r="I1227" s="161">
        <v>4439.8999999999996</v>
      </c>
      <c r="J1227" s="161"/>
      <c r="K1227" s="162" t="s">
        <v>8</v>
      </c>
      <c r="L1227" s="163">
        <v>1314650.42</v>
      </c>
    </row>
    <row r="1228" spans="1:12" ht="61.2" x14ac:dyDescent="0.3">
      <c r="A1228" s="157" t="s">
        <v>332</v>
      </c>
      <c r="B1228" s="158" t="s">
        <v>1879</v>
      </c>
      <c r="C1228" s="158" t="s">
        <v>741</v>
      </c>
      <c r="D1228" s="158" t="s">
        <v>928</v>
      </c>
      <c r="E1228" s="159" t="s">
        <v>42</v>
      </c>
      <c r="F1228" s="160" t="s">
        <v>15</v>
      </c>
      <c r="G1228" s="160"/>
      <c r="H1228" s="159" t="s">
        <v>283</v>
      </c>
      <c r="I1228" s="161">
        <v>12120.5</v>
      </c>
      <c r="J1228" s="161"/>
      <c r="K1228" s="162" t="s">
        <v>8</v>
      </c>
      <c r="L1228" s="163">
        <v>1302529.92</v>
      </c>
    </row>
    <row r="1229" spans="1:12" ht="61.2" x14ac:dyDescent="0.3">
      <c r="A1229" s="157" t="s">
        <v>332</v>
      </c>
      <c r="B1229" s="158" t="s">
        <v>1879</v>
      </c>
      <c r="C1229" s="158" t="s">
        <v>741</v>
      </c>
      <c r="D1229" s="158" t="s">
        <v>927</v>
      </c>
      <c r="E1229" s="159" t="s">
        <v>42</v>
      </c>
      <c r="F1229" s="160" t="s">
        <v>15</v>
      </c>
      <c r="G1229" s="160"/>
      <c r="H1229" s="159" t="s">
        <v>283</v>
      </c>
      <c r="I1229" s="161">
        <v>2473.4</v>
      </c>
      <c r="J1229" s="161"/>
      <c r="K1229" s="162" t="s">
        <v>8</v>
      </c>
      <c r="L1229" s="163">
        <v>1300056.52</v>
      </c>
    </row>
    <row r="1230" spans="1:12" ht="61.2" x14ac:dyDescent="0.3">
      <c r="A1230" s="157" t="s">
        <v>332</v>
      </c>
      <c r="B1230" s="158" t="s">
        <v>1879</v>
      </c>
      <c r="C1230" s="158" t="s">
        <v>741</v>
      </c>
      <c r="D1230" s="158" t="s">
        <v>929</v>
      </c>
      <c r="E1230" s="159" t="s">
        <v>42</v>
      </c>
      <c r="F1230" s="160" t="s">
        <v>15</v>
      </c>
      <c r="G1230" s="160"/>
      <c r="H1230" s="159" t="s">
        <v>283</v>
      </c>
      <c r="I1230" s="161">
        <v>4189.3999999999996</v>
      </c>
      <c r="J1230" s="161"/>
      <c r="K1230" s="162" t="s">
        <v>8</v>
      </c>
      <c r="L1230" s="163">
        <v>1295867.1200000001</v>
      </c>
    </row>
    <row r="1231" spans="1:12" ht="61.2" x14ac:dyDescent="0.3">
      <c r="A1231" s="157" t="s">
        <v>332</v>
      </c>
      <c r="B1231" s="158" t="s">
        <v>1879</v>
      </c>
      <c r="C1231" s="158" t="s">
        <v>741</v>
      </c>
      <c r="D1231" s="158" t="s">
        <v>932</v>
      </c>
      <c r="E1231" s="159" t="s">
        <v>42</v>
      </c>
      <c r="F1231" s="160" t="s">
        <v>15</v>
      </c>
      <c r="G1231" s="160"/>
      <c r="H1231" s="159" t="s">
        <v>283</v>
      </c>
      <c r="I1231" s="161">
        <v>3546.7</v>
      </c>
      <c r="J1231" s="161"/>
      <c r="K1231" s="162" t="s">
        <v>8</v>
      </c>
      <c r="L1231" s="163">
        <v>1292320.42</v>
      </c>
    </row>
    <row r="1232" spans="1:12" ht="61.2" x14ac:dyDescent="0.3">
      <c r="A1232" s="157" t="s">
        <v>332</v>
      </c>
      <c r="B1232" s="158" t="s">
        <v>1879</v>
      </c>
      <c r="C1232" s="158" t="s">
        <v>741</v>
      </c>
      <c r="D1232" s="158" t="s">
        <v>926</v>
      </c>
      <c r="E1232" s="159" t="s">
        <v>42</v>
      </c>
      <c r="F1232" s="160" t="s">
        <v>15</v>
      </c>
      <c r="G1232" s="160"/>
      <c r="H1232" s="159" t="s">
        <v>283</v>
      </c>
      <c r="I1232" s="161">
        <v>4337.8999999999996</v>
      </c>
      <c r="J1232" s="161"/>
      <c r="K1232" s="162" t="s">
        <v>8</v>
      </c>
      <c r="L1232" s="163">
        <v>1287982.52</v>
      </c>
    </row>
    <row r="1233" spans="1:12" ht="61.2" x14ac:dyDescent="0.3">
      <c r="A1233" s="157" t="s">
        <v>332</v>
      </c>
      <c r="B1233" s="158" t="s">
        <v>1879</v>
      </c>
      <c r="C1233" s="158" t="s">
        <v>741</v>
      </c>
      <c r="D1233" s="158" t="s">
        <v>925</v>
      </c>
      <c r="E1233" s="159" t="s">
        <v>42</v>
      </c>
      <c r="F1233" s="160" t="s">
        <v>15</v>
      </c>
      <c r="G1233" s="160"/>
      <c r="H1233" s="159" t="s">
        <v>283</v>
      </c>
      <c r="I1233" s="161">
        <v>2787.7</v>
      </c>
      <c r="J1233" s="161"/>
      <c r="K1233" s="162" t="s">
        <v>8</v>
      </c>
      <c r="L1233" s="163">
        <v>1285194.82</v>
      </c>
    </row>
    <row r="1234" spans="1:12" ht="61.2" x14ac:dyDescent="0.3">
      <c r="A1234" s="157" t="s">
        <v>332</v>
      </c>
      <c r="B1234" s="158" t="s">
        <v>1879</v>
      </c>
      <c r="C1234" s="158" t="s">
        <v>741</v>
      </c>
      <c r="D1234" s="158" t="s">
        <v>938</v>
      </c>
      <c r="E1234" s="159" t="s">
        <v>42</v>
      </c>
      <c r="F1234" s="160" t="s">
        <v>15</v>
      </c>
      <c r="G1234" s="160"/>
      <c r="H1234" s="159" t="s">
        <v>283</v>
      </c>
      <c r="I1234" s="161">
        <v>4355.8999999999996</v>
      </c>
      <c r="J1234" s="161"/>
      <c r="K1234" s="162" t="s">
        <v>8</v>
      </c>
      <c r="L1234" s="163">
        <v>1280838.92</v>
      </c>
    </row>
    <row r="1235" spans="1:12" ht="61.2" x14ac:dyDescent="0.3">
      <c r="A1235" s="157" t="s">
        <v>332</v>
      </c>
      <c r="B1235" s="158" t="s">
        <v>1879</v>
      </c>
      <c r="C1235" s="158" t="s">
        <v>741</v>
      </c>
      <c r="D1235" s="158" t="s">
        <v>939</v>
      </c>
      <c r="E1235" s="159" t="s">
        <v>42</v>
      </c>
      <c r="F1235" s="160" t="s">
        <v>15</v>
      </c>
      <c r="G1235" s="160"/>
      <c r="H1235" s="159" t="s">
        <v>283</v>
      </c>
      <c r="I1235" s="161">
        <v>3928.4</v>
      </c>
      <c r="J1235" s="161"/>
      <c r="K1235" s="162" t="s">
        <v>8</v>
      </c>
      <c r="L1235" s="163">
        <v>1276910.52</v>
      </c>
    </row>
    <row r="1236" spans="1:12" ht="61.2" x14ac:dyDescent="0.3">
      <c r="A1236" s="157" t="s">
        <v>332</v>
      </c>
      <c r="B1236" s="158" t="s">
        <v>1879</v>
      </c>
      <c r="C1236" s="158" t="s">
        <v>741</v>
      </c>
      <c r="D1236" s="158" t="s">
        <v>924</v>
      </c>
      <c r="E1236" s="159" t="s">
        <v>42</v>
      </c>
      <c r="F1236" s="160" t="s">
        <v>15</v>
      </c>
      <c r="G1236" s="160"/>
      <c r="H1236" s="159" t="s">
        <v>283</v>
      </c>
      <c r="I1236" s="161">
        <v>83119.3</v>
      </c>
      <c r="J1236" s="161"/>
      <c r="K1236" s="162" t="s">
        <v>8</v>
      </c>
      <c r="L1236" s="163">
        <v>1193791.22</v>
      </c>
    </row>
    <row r="1237" spans="1:12" ht="61.2" x14ac:dyDescent="0.3">
      <c r="A1237" s="157" t="s">
        <v>332</v>
      </c>
      <c r="B1237" s="158" t="s">
        <v>1879</v>
      </c>
      <c r="C1237" s="158" t="s">
        <v>741</v>
      </c>
      <c r="D1237" s="158" t="s">
        <v>922</v>
      </c>
      <c r="E1237" s="159" t="s">
        <v>42</v>
      </c>
      <c r="F1237" s="160" t="s">
        <v>15</v>
      </c>
      <c r="G1237" s="160"/>
      <c r="H1237" s="159" t="s">
        <v>283</v>
      </c>
      <c r="I1237" s="161">
        <v>29350.5</v>
      </c>
      <c r="J1237" s="161"/>
      <c r="K1237" s="162" t="s">
        <v>8</v>
      </c>
      <c r="L1237" s="163">
        <v>1164440.72</v>
      </c>
    </row>
    <row r="1238" spans="1:12" ht="61.2" x14ac:dyDescent="0.3">
      <c r="A1238" s="157" t="s">
        <v>332</v>
      </c>
      <c r="B1238" s="158" t="s">
        <v>1879</v>
      </c>
      <c r="C1238" s="158" t="s">
        <v>741</v>
      </c>
      <c r="D1238" s="158" t="s">
        <v>934</v>
      </c>
      <c r="E1238" s="159" t="s">
        <v>42</v>
      </c>
      <c r="F1238" s="160" t="s">
        <v>15</v>
      </c>
      <c r="G1238" s="160"/>
      <c r="H1238" s="159" t="s">
        <v>283</v>
      </c>
      <c r="I1238" s="161">
        <v>2945.2</v>
      </c>
      <c r="J1238" s="161"/>
      <c r="K1238" s="162" t="s">
        <v>8</v>
      </c>
      <c r="L1238" s="163">
        <v>1161495.52</v>
      </c>
    </row>
    <row r="1239" spans="1:12" ht="61.2" x14ac:dyDescent="0.3">
      <c r="A1239" s="157" t="s">
        <v>332</v>
      </c>
      <c r="B1239" s="158" t="s">
        <v>1879</v>
      </c>
      <c r="C1239" s="158" t="s">
        <v>741</v>
      </c>
      <c r="D1239" s="158" t="s">
        <v>937</v>
      </c>
      <c r="E1239" s="159" t="s">
        <v>42</v>
      </c>
      <c r="F1239" s="160" t="s">
        <v>15</v>
      </c>
      <c r="G1239" s="160"/>
      <c r="H1239" s="159" t="s">
        <v>283</v>
      </c>
      <c r="I1239" s="161">
        <v>7354.4</v>
      </c>
      <c r="J1239" s="161"/>
      <c r="K1239" s="162" t="s">
        <v>8</v>
      </c>
      <c r="L1239" s="163">
        <v>1154141.1200000001</v>
      </c>
    </row>
    <row r="1240" spans="1:12" ht="61.2" x14ac:dyDescent="0.3">
      <c r="A1240" s="157" t="s">
        <v>332</v>
      </c>
      <c r="B1240" s="158" t="s">
        <v>1879</v>
      </c>
      <c r="C1240" s="158" t="s">
        <v>741</v>
      </c>
      <c r="D1240" s="158" t="s">
        <v>936</v>
      </c>
      <c r="E1240" s="159" t="s">
        <v>42</v>
      </c>
      <c r="F1240" s="160" t="s">
        <v>15</v>
      </c>
      <c r="G1240" s="160"/>
      <c r="H1240" s="159" t="s">
        <v>283</v>
      </c>
      <c r="I1240" s="161">
        <v>11787.6</v>
      </c>
      <c r="J1240" s="161"/>
      <c r="K1240" s="162" t="s">
        <v>8</v>
      </c>
      <c r="L1240" s="163">
        <v>1142353.52</v>
      </c>
    </row>
    <row r="1241" spans="1:12" ht="61.2" x14ac:dyDescent="0.3">
      <c r="A1241" s="157" t="s">
        <v>332</v>
      </c>
      <c r="B1241" s="158" t="s">
        <v>1879</v>
      </c>
      <c r="C1241" s="158" t="s">
        <v>741</v>
      </c>
      <c r="D1241" s="158" t="s">
        <v>935</v>
      </c>
      <c r="E1241" s="159" t="s">
        <v>42</v>
      </c>
      <c r="F1241" s="160" t="s">
        <v>15</v>
      </c>
      <c r="G1241" s="160"/>
      <c r="H1241" s="159" t="s">
        <v>283</v>
      </c>
      <c r="I1241" s="161">
        <v>11126.1</v>
      </c>
      <c r="J1241" s="161"/>
      <c r="K1241" s="162" t="s">
        <v>8</v>
      </c>
      <c r="L1241" s="163">
        <v>1131227.42</v>
      </c>
    </row>
    <row r="1242" spans="1:12" ht="61.2" x14ac:dyDescent="0.3">
      <c r="A1242" s="157" t="s">
        <v>332</v>
      </c>
      <c r="B1242" s="158" t="s">
        <v>1879</v>
      </c>
      <c r="C1242" s="158" t="s">
        <v>741</v>
      </c>
      <c r="D1242" s="158" t="s">
        <v>930</v>
      </c>
      <c r="E1242" s="159" t="s">
        <v>42</v>
      </c>
      <c r="F1242" s="160" t="s">
        <v>15</v>
      </c>
      <c r="G1242" s="160"/>
      <c r="H1242" s="159" t="s">
        <v>283</v>
      </c>
      <c r="I1242" s="161">
        <v>4559.2</v>
      </c>
      <c r="J1242" s="161"/>
      <c r="K1242" s="162" t="s">
        <v>8</v>
      </c>
      <c r="L1242" s="163">
        <v>1126668.22</v>
      </c>
    </row>
    <row r="1243" spans="1:12" ht="61.2" x14ac:dyDescent="0.3">
      <c r="A1243" s="157" t="s">
        <v>332</v>
      </c>
      <c r="B1243" s="158" t="s">
        <v>1879</v>
      </c>
      <c r="C1243" s="158" t="s">
        <v>741</v>
      </c>
      <c r="D1243" s="158" t="s">
        <v>933</v>
      </c>
      <c r="E1243" s="159" t="s">
        <v>42</v>
      </c>
      <c r="F1243" s="160" t="s">
        <v>15</v>
      </c>
      <c r="G1243" s="160"/>
      <c r="H1243" s="159" t="s">
        <v>283</v>
      </c>
      <c r="I1243" s="161">
        <v>4100.8999999999996</v>
      </c>
      <c r="J1243" s="161"/>
      <c r="K1243" s="162" t="s">
        <v>8</v>
      </c>
      <c r="L1243" s="163">
        <v>1122567.32</v>
      </c>
    </row>
    <row r="1244" spans="1:12" ht="51" x14ac:dyDescent="0.3">
      <c r="A1244" s="157" t="s">
        <v>332</v>
      </c>
      <c r="B1244" s="158" t="s">
        <v>1879</v>
      </c>
      <c r="C1244" s="158" t="s">
        <v>741</v>
      </c>
      <c r="D1244" s="158" t="s">
        <v>940</v>
      </c>
      <c r="E1244" s="159" t="s">
        <v>42</v>
      </c>
      <c r="F1244" s="160" t="s">
        <v>15</v>
      </c>
      <c r="G1244" s="160"/>
      <c r="H1244" s="159" t="s">
        <v>283</v>
      </c>
      <c r="I1244" s="161">
        <v>5151.6000000000004</v>
      </c>
      <c r="J1244" s="161"/>
      <c r="K1244" s="162" t="s">
        <v>8</v>
      </c>
      <c r="L1244" s="163">
        <v>1117415.72</v>
      </c>
    </row>
    <row r="1245" spans="1:12" ht="61.2" x14ac:dyDescent="0.3">
      <c r="A1245" s="157" t="s">
        <v>332</v>
      </c>
      <c r="B1245" s="158" t="s">
        <v>1880</v>
      </c>
      <c r="C1245" s="158" t="s">
        <v>741</v>
      </c>
      <c r="D1245" s="158" t="s">
        <v>1839</v>
      </c>
      <c r="E1245" s="159" t="s">
        <v>42</v>
      </c>
      <c r="F1245" s="160" t="s">
        <v>15</v>
      </c>
      <c r="G1245" s="160"/>
      <c r="H1245" s="159" t="s">
        <v>283</v>
      </c>
      <c r="I1245" s="164">
        <v>944.68</v>
      </c>
      <c r="J1245" s="164"/>
      <c r="K1245" s="162" t="s">
        <v>8</v>
      </c>
      <c r="L1245" s="163">
        <v>77654.320000000007</v>
      </c>
    </row>
    <row r="1246" spans="1:12" ht="51" x14ac:dyDescent="0.3">
      <c r="A1246" s="157" t="s">
        <v>332</v>
      </c>
      <c r="B1246" s="158" t="s">
        <v>1881</v>
      </c>
      <c r="C1246" s="158" t="s">
        <v>741</v>
      </c>
      <c r="D1246" s="158" t="s">
        <v>1648</v>
      </c>
      <c r="E1246" s="159" t="s">
        <v>42</v>
      </c>
      <c r="F1246" s="160" t="s">
        <v>15</v>
      </c>
      <c r="G1246" s="160"/>
      <c r="H1246" s="159" t="s">
        <v>283</v>
      </c>
      <c r="I1246" s="164">
        <v>761.24</v>
      </c>
      <c r="J1246" s="164"/>
      <c r="K1246" s="162" t="s">
        <v>8</v>
      </c>
      <c r="L1246" s="163">
        <v>1941749.98</v>
      </c>
    </row>
    <row r="1247" spans="1:12" ht="51" x14ac:dyDescent="0.3">
      <c r="A1247" s="157" t="s">
        <v>332</v>
      </c>
      <c r="B1247" s="158" t="s">
        <v>1882</v>
      </c>
      <c r="C1247" s="158" t="s">
        <v>741</v>
      </c>
      <c r="D1247" s="158" t="s">
        <v>1841</v>
      </c>
      <c r="E1247" s="159" t="s">
        <v>42</v>
      </c>
      <c r="F1247" s="160" t="s">
        <v>15</v>
      </c>
      <c r="G1247" s="160"/>
      <c r="H1247" s="159" t="s">
        <v>283</v>
      </c>
      <c r="I1247" s="161">
        <v>1033.32</v>
      </c>
      <c r="J1247" s="161"/>
      <c r="K1247" s="162" t="s">
        <v>8</v>
      </c>
      <c r="L1247" s="163">
        <v>1940716.66</v>
      </c>
    </row>
    <row r="1248" spans="1:12" ht="51" x14ac:dyDescent="0.3">
      <c r="A1248" s="157" t="s">
        <v>332</v>
      </c>
      <c r="B1248" s="158" t="s">
        <v>1882</v>
      </c>
      <c r="C1248" s="158" t="s">
        <v>741</v>
      </c>
      <c r="D1248" s="158" t="s">
        <v>1883</v>
      </c>
      <c r="E1248" s="159" t="s">
        <v>42</v>
      </c>
      <c r="F1248" s="160" t="s">
        <v>15</v>
      </c>
      <c r="G1248" s="160"/>
      <c r="H1248" s="159" t="s">
        <v>283</v>
      </c>
      <c r="I1248" s="161">
        <v>2480</v>
      </c>
      <c r="J1248" s="161"/>
      <c r="K1248" s="162" t="s">
        <v>8</v>
      </c>
      <c r="L1248" s="163">
        <v>1938236.66</v>
      </c>
    </row>
    <row r="1249" spans="1:12" ht="61.2" x14ac:dyDescent="0.3">
      <c r="A1249" s="157" t="s">
        <v>332</v>
      </c>
      <c r="B1249" s="158" t="s">
        <v>1884</v>
      </c>
      <c r="C1249" s="158" t="s">
        <v>741</v>
      </c>
      <c r="D1249" s="158" t="s">
        <v>1846</v>
      </c>
      <c r="E1249" s="159" t="s">
        <v>42</v>
      </c>
      <c r="F1249" s="160" t="s">
        <v>15</v>
      </c>
      <c r="G1249" s="160"/>
      <c r="H1249" s="159" t="s">
        <v>283</v>
      </c>
      <c r="I1249" s="161">
        <v>1096.67</v>
      </c>
      <c r="J1249" s="161"/>
      <c r="K1249" s="162" t="s">
        <v>8</v>
      </c>
      <c r="L1249" s="163">
        <v>2583090.4500000002</v>
      </c>
    </row>
    <row r="1250" spans="1:12" ht="61.2" x14ac:dyDescent="0.3">
      <c r="A1250" s="157" t="s">
        <v>332</v>
      </c>
      <c r="B1250" s="158" t="s">
        <v>1884</v>
      </c>
      <c r="C1250" s="158" t="s">
        <v>741</v>
      </c>
      <c r="D1250" s="158" t="s">
        <v>1843</v>
      </c>
      <c r="E1250" s="159" t="s">
        <v>42</v>
      </c>
      <c r="F1250" s="160" t="s">
        <v>15</v>
      </c>
      <c r="G1250" s="160"/>
      <c r="H1250" s="159" t="s">
        <v>283</v>
      </c>
      <c r="I1250" s="161">
        <v>23782</v>
      </c>
      <c r="J1250" s="161"/>
      <c r="K1250" s="162" t="s">
        <v>8</v>
      </c>
      <c r="L1250" s="163">
        <v>2559308.4500000002</v>
      </c>
    </row>
    <row r="1251" spans="1:12" ht="61.2" x14ac:dyDescent="0.3">
      <c r="A1251" s="157" t="s">
        <v>332</v>
      </c>
      <c r="B1251" s="158" t="s">
        <v>1884</v>
      </c>
      <c r="C1251" s="158" t="s">
        <v>741</v>
      </c>
      <c r="D1251" s="158" t="s">
        <v>1844</v>
      </c>
      <c r="E1251" s="159" t="s">
        <v>42</v>
      </c>
      <c r="F1251" s="160" t="s">
        <v>15</v>
      </c>
      <c r="G1251" s="160"/>
      <c r="H1251" s="159" t="s">
        <v>283</v>
      </c>
      <c r="I1251" s="161">
        <v>1940.4</v>
      </c>
      <c r="J1251" s="161"/>
      <c r="K1251" s="162" t="s">
        <v>8</v>
      </c>
      <c r="L1251" s="163">
        <v>2557368.0499999998</v>
      </c>
    </row>
    <row r="1252" spans="1:12" ht="71.400000000000006" x14ac:dyDescent="0.3">
      <c r="A1252" s="157" t="s">
        <v>332</v>
      </c>
      <c r="B1252" s="158" t="s">
        <v>1884</v>
      </c>
      <c r="C1252" s="158" t="s">
        <v>741</v>
      </c>
      <c r="D1252" s="158" t="s">
        <v>1885</v>
      </c>
      <c r="E1252" s="159" t="s">
        <v>42</v>
      </c>
      <c r="F1252" s="160" t="s">
        <v>15</v>
      </c>
      <c r="G1252" s="160"/>
      <c r="H1252" s="159" t="s">
        <v>283</v>
      </c>
      <c r="I1252" s="161">
        <v>5393.55</v>
      </c>
      <c r="J1252" s="161"/>
      <c r="K1252" s="162" t="s">
        <v>8</v>
      </c>
      <c r="L1252" s="163">
        <v>2551974.5</v>
      </c>
    </row>
    <row r="1253" spans="1:12" ht="61.2" x14ac:dyDescent="0.3">
      <c r="A1253" s="157" t="s">
        <v>332</v>
      </c>
      <c r="B1253" s="158" t="s">
        <v>1886</v>
      </c>
      <c r="C1253" s="158" t="s">
        <v>741</v>
      </c>
      <c r="D1253" s="158" t="s">
        <v>1341</v>
      </c>
      <c r="E1253" s="159" t="s">
        <v>42</v>
      </c>
      <c r="F1253" s="160" t="s">
        <v>15</v>
      </c>
      <c r="G1253" s="160"/>
      <c r="H1253" s="159" t="s">
        <v>283</v>
      </c>
      <c r="I1253" s="161">
        <v>1367.04</v>
      </c>
      <c r="J1253" s="161"/>
      <c r="K1253" s="162" t="s">
        <v>8</v>
      </c>
      <c r="L1253" s="163">
        <v>2550607.46</v>
      </c>
    </row>
    <row r="1254" spans="1:12" ht="61.2" x14ac:dyDescent="0.3">
      <c r="A1254" s="157" t="s">
        <v>332</v>
      </c>
      <c r="B1254" s="158" t="s">
        <v>1886</v>
      </c>
      <c r="C1254" s="158" t="s">
        <v>741</v>
      </c>
      <c r="D1254" s="158" t="s">
        <v>1343</v>
      </c>
      <c r="E1254" s="159" t="s">
        <v>42</v>
      </c>
      <c r="F1254" s="160" t="s">
        <v>15</v>
      </c>
      <c r="G1254" s="160"/>
      <c r="H1254" s="159" t="s">
        <v>283</v>
      </c>
      <c r="I1254" s="164">
        <v>797.72</v>
      </c>
      <c r="J1254" s="164"/>
      <c r="K1254" s="162" t="s">
        <v>8</v>
      </c>
      <c r="L1254" s="163">
        <v>2549809.7400000002</v>
      </c>
    </row>
    <row r="1255" spans="1:12" ht="61.2" x14ac:dyDescent="0.3">
      <c r="A1255" s="157" t="s">
        <v>332</v>
      </c>
      <c r="B1255" s="158" t="s">
        <v>1886</v>
      </c>
      <c r="C1255" s="158" t="s">
        <v>741</v>
      </c>
      <c r="D1255" s="158" t="s">
        <v>1344</v>
      </c>
      <c r="E1255" s="159" t="s">
        <v>42</v>
      </c>
      <c r="F1255" s="160" t="s">
        <v>15</v>
      </c>
      <c r="G1255" s="160"/>
      <c r="H1255" s="159" t="s">
        <v>283</v>
      </c>
      <c r="I1255" s="161">
        <v>17901.439999999999</v>
      </c>
      <c r="J1255" s="161"/>
      <c r="K1255" s="162" t="s">
        <v>8</v>
      </c>
      <c r="L1255" s="163">
        <v>2531908.2999999998</v>
      </c>
    </row>
    <row r="1256" spans="1:12" ht="61.2" x14ac:dyDescent="0.3">
      <c r="A1256" s="157" t="s">
        <v>332</v>
      </c>
      <c r="B1256" s="158" t="s">
        <v>1886</v>
      </c>
      <c r="C1256" s="158" t="s">
        <v>741</v>
      </c>
      <c r="D1256" s="158" t="s">
        <v>1345</v>
      </c>
      <c r="E1256" s="159" t="s">
        <v>42</v>
      </c>
      <c r="F1256" s="160" t="s">
        <v>15</v>
      </c>
      <c r="G1256" s="160"/>
      <c r="H1256" s="159" t="s">
        <v>283</v>
      </c>
      <c r="I1256" s="164">
        <v>634.88</v>
      </c>
      <c r="J1256" s="164"/>
      <c r="K1256" s="162" t="s">
        <v>8</v>
      </c>
      <c r="L1256" s="163">
        <v>2531273.42</v>
      </c>
    </row>
    <row r="1257" spans="1:12" ht="61.2" x14ac:dyDescent="0.3">
      <c r="A1257" s="157" t="s">
        <v>332</v>
      </c>
      <c r="B1257" s="158" t="s">
        <v>1886</v>
      </c>
      <c r="C1257" s="158" t="s">
        <v>741</v>
      </c>
      <c r="D1257" s="158" t="s">
        <v>1346</v>
      </c>
      <c r="E1257" s="159" t="s">
        <v>42</v>
      </c>
      <c r="F1257" s="160" t="s">
        <v>15</v>
      </c>
      <c r="G1257" s="160"/>
      <c r="H1257" s="159" t="s">
        <v>283</v>
      </c>
      <c r="I1257" s="164">
        <v>446.6</v>
      </c>
      <c r="J1257" s="164"/>
      <c r="K1257" s="162" t="s">
        <v>8</v>
      </c>
      <c r="L1257" s="163">
        <v>2530826.8199999998</v>
      </c>
    </row>
    <row r="1258" spans="1:12" ht="61.2" x14ac:dyDescent="0.3">
      <c r="A1258" s="157" t="s">
        <v>332</v>
      </c>
      <c r="B1258" s="158" t="s">
        <v>1886</v>
      </c>
      <c r="C1258" s="158" t="s">
        <v>741</v>
      </c>
      <c r="D1258" s="158" t="s">
        <v>1347</v>
      </c>
      <c r="E1258" s="159" t="s">
        <v>42</v>
      </c>
      <c r="F1258" s="160" t="s">
        <v>15</v>
      </c>
      <c r="G1258" s="160"/>
      <c r="H1258" s="159" t="s">
        <v>283</v>
      </c>
      <c r="I1258" s="161">
        <v>7891.04</v>
      </c>
      <c r="J1258" s="161"/>
      <c r="K1258" s="162" t="s">
        <v>8</v>
      </c>
      <c r="L1258" s="163">
        <v>2522935.7799999998</v>
      </c>
    </row>
    <row r="1259" spans="1:12" ht="61.2" x14ac:dyDescent="0.3">
      <c r="A1259" s="157" t="s">
        <v>332</v>
      </c>
      <c r="B1259" s="158" t="s">
        <v>1886</v>
      </c>
      <c r="C1259" s="158" t="s">
        <v>741</v>
      </c>
      <c r="D1259" s="158" t="s">
        <v>1348</v>
      </c>
      <c r="E1259" s="159" t="s">
        <v>42</v>
      </c>
      <c r="F1259" s="160" t="s">
        <v>15</v>
      </c>
      <c r="G1259" s="160"/>
      <c r="H1259" s="159" t="s">
        <v>283</v>
      </c>
      <c r="I1259" s="164">
        <v>112.64</v>
      </c>
      <c r="J1259" s="164"/>
      <c r="K1259" s="162" t="s">
        <v>8</v>
      </c>
      <c r="L1259" s="163">
        <v>2522823.14</v>
      </c>
    </row>
    <row r="1260" spans="1:12" ht="61.2" x14ac:dyDescent="0.3">
      <c r="A1260" s="157" t="s">
        <v>332</v>
      </c>
      <c r="B1260" s="158" t="s">
        <v>1886</v>
      </c>
      <c r="C1260" s="158" t="s">
        <v>741</v>
      </c>
      <c r="D1260" s="158" t="s">
        <v>1349</v>
      </c>
      <c r="E1260" s="159" t="s">
        <v>42</v>
      </c>
      <c r="F1260" s="160" t="s">
        <v>15</v>
      </c>
      <c r="G1260" s="160"/>
      <c r="H1260" s="159" t="s">
        <v>283</v>
      </c>
      <c r="I1260" s="164">
        <v>220.22</v>
      </c>
      <c r="J1260" s="164"/>
      <c r="K1260" s="162" t="s">
        <v>8</v>
      </c>
      <c r="L1260" s="163">
        <v>2522602.92</v>
      </c>
    </row>
    <row r="1261" spans="1:12" ht="61.2" x14ac:dyDescent="0.3">
      <c r="A1261" s="157" t="s">
        <v>332</v>
      </c>
      <c r="B1261" s="158" t="s">
        <v>1886</v>
      </c>
      <c r="C1261" s="158" t="s">
        <v>741</v>
      </c>
      <c r="D1261" s="158" t="s">
        <v>1350</v>
      </c>
      <c r="E1261" s="159" t="s">
        <v>42</v>
      </c>
      <c r="F1261" s="160" t="s">
        <v>15</v>
      </c>
      <c r="G1261" s="160"/>
      <c r="H1261" s="159" t="s">
        <v>283</v>
      </c>
      <c r="I1261" s="161">
        <v>2012.48</v>
      </c>
      <c r="J1261" s="161"/>
      <c r="K1261" s="162" t="s">
        <v>8</v>
      </c>
      <c r="L1261" s="163">
        <v>2520590.44</v>
      </c>
    </row>
    <row r="1262" spans="1:12" ht="61.2" x14ac:dyDescent="0.3">
      <c r="A1262" s="157" t="s">
        <v>332</v>
      </c>
      <c r="B1262" s="158" t="s">
        <v>1886</v>
      </c>
      <c r="C1262" s="158" t="s">
        <v>741</v>
      </c>
      <c r="D1262" s="158" t="s">
        <v>1848</v>
      </c>
      <c r="E1262" s="159" t="s">
        <v>42</v>
      </c>
      <c r="F1262" s="160" t="s">
        <v>15</v>
      </c>
      <c r="G1262" s="160"/>
      <c r="H1262" s="159" t="s">
        <v>283</v>
      </c>
      <c r="I1262" s="161">
        <v>2336.1799999999998</v>
      </c>
      <c r="J1262" s="161"/>
      <c r="K1262" s="162" t="s">
        <v>8</v>
      </c>
      <c r="L1262" s="163">
        <v>2518254.2599999998</v>
      </c>
    </row>
    <row r="1263" spans="1:12" ht="61.2" x14ac:dyDescent="0.3">
      <c r="A1263" s="157" t="s">
        <v>332</v>
      </c>
      <c r="B1263" s="158" t="s">
        <v>1886</v>
      </c>
      <c r="C1263" s="158" t="s">
        <v>741</v>
      </c>
      <c r="D1263" s="158" t="s">
        <v>1851</v>
      </c>
      <c r="E1263" s="159" t="s">
        <v>42</v>
      </c>
      <c r="F1263" s="160" t="s">
        <v>15</v>
      </c>
      <c r="G1263" s="160"/>
      <c r="H1263" s="159" t="s">
        <v>283</v>
      </c>
      <c r="I1263" s="161">
        <v>1313.2</v>
      </c>
      <c r="J1263" s="161"/>
      <c r="K1263" s="162" t="s">
        <v>8</v>
      </c>
      <c r="L1263" s="163">
        <v>2516941.06</v>
      </c>
    </row>
    <row r="1264" spans="1:12" ht="71.400000000000006" x14ac:dyDescent="0.3">
      <c r="A1264" s="157" t="s">
        <v>332</v>
      </c>
      <c r="B1264" s="158" t="s">
        <v>1886</v>
      </c>
      <c r="C1264" s="158" t="s">
        <v>741</v>
      </c>
      <c r="D1264" s="158" t="s">
        <v>1853</v>
      </c>
      <c r="E1264" s="159" t="s">
        <v>42</v>
      </c>
      <c r="F1264" s="160" t="s">
        <v>15</v>
      </c>
      <c r="G1264" s="160"/>
      <c r="H1264" s="159" t="s">
        <v>283</v>
      </c>
      <c r="I1264" s="161">
        <v>1121.4000000000001</v>
      </c>
      <c r="J1264" s="161"/>
      <c r="K1264" s="162" t="s">
        <v>8</v>
      </c>
      <c r="L1264" s="163">
        <v>2515819.66</v>
      </c>
    </row>
    <row r="1265" spans="1:12" ht="61.2" x14ac:dyDescent="0.3">
      <c r="A1265" s="157" t="s">
        <v>332</v>
      </c>
      <c r="B1265" s="158" t="s">
        <v>1886</v>
      </c>
      <c r="C1265" s="158" t="s">
        <v>741</v>
      </c>
      <c r="D1265" s="158" t="s">
        <v>1849</v>
      </c>
      <c r="E1265" s="159" t="s">
        <v>42</v>
      </c>
      <c r="F1265" s="160" t="s">
        <v>15</v>
      </c>
      <c r="G1265" s="160"/>
      <c r="H1265" s="159" t="s">
        <v>283</v>
      </c>
      <c r="I1265" s="161">
        <v>16127.31</v>
      </c>
      <c r="J1265" s="161"/>
      <c r="K1265" s="162" t="s">
        <v>8</v>
      </c>
      <c r="L1265" s="163">
        <v>2499692.35</v>
      </c>
    </row>
    <row r="1266" spans="1:12" ht="61.2" x14ac:dyDescent="0.3">
      <c r="A1266" s="157" t="s">
        <v>332</v>
      </c>
      <c r="B1266" s="158" t="s">
        <v>1886</v>
      </c>
      <c r="C1266" s="158" t="s">
        <v>741</v>
      </c>
      <c r="D1266" s="158" t="s">
        <v>1854</v>
      </c>
      <c r="E1266" s="159" t="s">
        <v>42</v>
      </c>
      <c r="F1266" s="160" t="s">
        <v>15</v>
      </c>
      <c r="G1266" s="160"/>
      <c r="H1266" s="159" t="s">
        <v>283</v>
      </c>
      <c r="I1266" s="161">
        <v>14514.17</v>
      </c>
      <c r="J1266" s="161"/>
      <c r="K1266" s="162" t="s">
        <v>8</v>
      </c>
      <c r="L1266" s="163">
        <v>2485178.1800000002</v>
      </c>
    </row>
    <row r="1267" spans="1:12" ht="51" x14ac:dyDescent="0.3">
      <c r="A1267" s="157" t="s">
        <v>332</v>
      </c>
      <c r="B1267" s="158" t="s">
        <v>1887</v>
      </c>
      <c r="C1267" s="158" t="s">
        <v>741</v>
      </c>
      <c r="D1267" s="158" t="s">
        <v>1856</v>
      </c>
      <c r="E1267" s="159" t="s">
        <v>42</v>
      </c>
      <c r="F1267" s="160" t="s">
        <v>15</v>
      </c>
      <c r="G1267" s="160"/>
      <c r="H1267" s="159" t="s">
        <v>283</v>
      </c>
      <c r="I1267" s="161">
        <v>1731.73</v>
      </c>
      <c r="J1267" s="161"/>
      <c r="K1267" s="162" t="s">
        <v>8</v>
      </c>
      <c r="L1267" s="163">
        <v>2568436.38</v>
      </c>
    </row>
    <row r="1268" spans="1:12" ht="51" x14ac:dyDescent="0.3">
      <c r="A1268" s="157" t="s">
        <v>332</v>
      </c>
      <c r="B1268" s="158" t="s">
        <v>1887</v>
      </c>
      <c r="C1268" s="158" t="s">
        <v>741</v>
      </c>
      <c r="D1268" s="158" t="s">
        <v>836</v>
      </c>
      <c r="E1268" s="159" t="s">
        <v>42</v>
      </c>
      <c r="F1268" s="160" t="s">
        <v>15</v>
      </c>
      <c r="G1268" s="160"/>
      <c r="H1268" s="159" t="s">
        <v>283</v>
      </c>
      <c r="I1268" s="161">
        <v>18663.75</v>
      </c>
      <c r="J1268" s="161"/>
      <c r="K1268" s="162" t="s">
        <v>8</v>
      </c>
      <c r="L1268" s="163">
        <v>2549772.63</v>
      </c>
    </row>
    <row r="1269" spans="1:12" ht="51" x14ac:dyDescent="0.3">
      <c r="A1269" s="157" t="s">
        <v>332</v>
      </c>
      <c r="B1269" s="158" t="s">
        <v>1887</v>
      </c>
      <c r="C1269" s="158" t="s">
        <v>741</v>
      </c>
      <c r="D1269" s="158" t="s">
        <v>1859</v>
      </c>
      <c r="E1269" s="159" t="s">
        <v>42</v>
      </c>
      <c r="F1269" s="160" t="s">
        <v>15</v>
      </c>
      <c r="G1269" s="160"/>
      <c r="H1269" s="159" t="s">
        <v>283</v>
      </c>
      <c r="I1269" s="161">
        <v>7350</v>
      </c>
      <c r="J1269" s="161"/>
      <c r="K1269" s="162" t="s">
        <v>8</v>
      </c>
      <c r="L1269" s="163">
        <v>2542422.63</v>
      </c>
    </row>
    <row r="1270" spans="1:12" ht="51" x14ac:dyDescent="0.3">
      <c r="A1270" s="157" t="s">
        <v>332</v>
      </c>
      <c r="B1270" s="158" t="s">
        <v>1887</v>
      </c>
      <c r="C1270" s="158" t="s">
        <v>741</v>
      </c>
      <c r="D1270" s="158" t="s">
        <v>1888</v>
      </c>
      <c r="E1270" s="159" t="s">
        <v>42</v>
      </c>
      <c r="F1270" s="160" t="s">
        <v>15</v>
      </c>
      <c r="G1270" s="160"/>
      <c r="H1270" s="159" t="s">
        <v>283</v>
      </c>
      <c r="I1270" s="161">
        <v>15651.3</v>
      </c>
      <c r="J1270" s="161"/>
      <c r="K1270" s="162" t="s">
        <v>8</v>
      </c>
      <c r="L1270" s="163">
        <v>2526771.33</v>
      </c>
    </row>
    <row r="1271" spans="1:12" ht="51" x14ac:dyDescent="0.3">
      <c r="A1271" s="157" t="s">
        <v>332</v>
      </c>
      <c r="B1271" s="158" t="s">
        <v>1887</v>
      </c>
      <c r="C1271" s="158" t="s">
        <v>741</v>
      </c>
      <c r="D1271" s="158" t="s">
        <v>1889</v>
      </c>
      <c r="E1271" s="159" t="s">
        <v>42</v>
      </c>
      <c r="F1271" s="160" t="s">
        <v>15</v>
      </c>
      <c r="G1271" s="160"/>
      <c r="H1271" s="159" t="s">
        <v>283</v>
      </c>
      <c r="I1271" s="161">
        <v>23529.41</v>
      </c>
      <c r="J1271" s="161"/>
      <c r="K1271" s="162" t="s">
        <v>8</v>
      </c>
      <c r="L1271" s="163">
        <v>2503241.92</v>
      </c>
    </row>
    <row r="1272" spans="1:12" ht="61.2" x14ac:dyDescent="0.3">
      <c r="A1272" s="157" t="s">
        <v>332</v>
      </c>
      <c r="B1272" s="158" t="s">
        <v>1887</v>
      </c>
      <c r="C1272" s="158" t="s">
        <v>741</v>
      </c>
      <c r="D1272" s="158" t="s">
        <v>1096</v>
      </c>
      <c r="E1272" s="159" t="s">
        <v>42</v>
      </c>
      <c r="F1272" s="160" t="s">
        <v>15</v>
      </c>
      <c r="G1272" s="160"/>
      <c r="H1272" s="159" t="s">
        <v>283</v>
      </c>
      <c r="I1272" s="161">
        <v>1331.58</v>
      </c>
      <c r="J1272" s="161"/>
      <c r="K1272" s="162" t="s">
        <v>8</v>
      </c>
      <c r="L1272" s="163">
        <v>2501910.34</v>
      </c>
    </row>
    <row r="1273" spans="1:12" ht="61.2" x14ac:dyDescent="0.3">
      <c r="A1273" s="157" t="s">
        <v>332</v>
      </c>
      <c r="B1273" s="158" t="s">
        <v>1887</v>
      </c>
      <c r="C1273" s="158" t="s">
        <v>741</v>
      </c>
      <c r="D1273" s="158" t="s">
        <v>1890</v>
      </c>
      <c r="E1273" s="159" t="s">
        <v>42</v>
      </c>
      <c r="F1273" s="160" t="s">
        <v>15</v>
      </c>
      <c r="G1273" s="160"/>
      <c r="H1273" s="159" t="s">
        <v>283</v>
      </c>
      <c r="I1273" s="161">
        <v>2862.96</v>
      </c>
      <c r="J1273" s="161"/>
      <c r="K1273" s="162" t="s">
        <v>8</v>
      </c>
      <c r="L1273" s="163">
        <v>2499047.38</v>
      </c>
    </row>
    <row r="1274" spans="1:12" ht="61.2" x14ac:dyDescent="0.3">
      <c r="A1274" s="157" t="s">
        <v>332</v>
      </c>
      <c r="B1274" s="158" t="s">
        <v>1887</v>
      </c>
      <c r="C1274" s="158" t="s">
        <v>741</v>
      </c>
      <c r="D1274" s="158" t="s">
        <v>1891</v>
      </c>
      <c r="E1274" s="159" t="s">
        <v>42</v>
      </c>
      <c r="F1274" s="160" t="s">
        <v>15</v>
      </c>
      <c r="G1274" s="160"/>
      <c r="H1274" s="159" t="s">
        <v>283</v>
      </c>
      <c r="I1274" s="164">
        <v>410.72</v>
      </c>
      <c r="J1274" s="164"/>
      <c r="K1274" s="162" t="s">
        <v>8</v>
      </c>
      <c r="L1274" s="163">
        <v>2498636.66</v>
      </c>
    </row>
    <row r="1275" spans="1:12" ht="61.2" x14ac:dyDescent="0.3">
      <c r="A1275" s="157" t="s">
        <v>332</v>
      </c>
      <c r="B1275" s="158" t="s">
        <v>1892</v>
      </c>
      <c r="C1275" s="158" t="s">
        <v>741</v>
      </c>
      <c r="D1275" s="158" t="s">
        <v>1329</v>
      </c>
      <c r="E1275" s="159" t="s">
        <v>42</v>
      </c>
      <c r="F1275" s="160" t="s">
        <v>15</v>
      </c>
      <c r="G1275" s="160"/>
      <c r="H1275" s="159" t="s">
        <v>283</v>
      </c>
      <c r="I1275" s="161">
        <v>8279.83</v>
      </c>
      <c r="J1275" s="161"/>
      <c r="K1275" s="162" t="s">
        <v>8</v>
      </c>
      <c r="L1275" s="163">
        <v>313745.81</v>
      </c>
    </row>
    <row r="1276" spans="1:12" ht="51" x14ac:dyDescent="0.3">
      <c r="A1276" s="157" t="s">
        <v>332</v>
      </c>
      <c r="B1276" s="158" t="s">
        <v>1892</v>
      </c>
      <c r="C1276" s="158" t="s">
        <v>741</v>
      </c>
      <c r="D1276" s="158" t="s">
        <v>1862</v>
      </c>
      <c r="E1276" s="159" t="s">
        <v>42</v>
      </c>
      <c r="F1276" s="160" t="s">
        <v>15</v>
      </c>
      <c r="G1276" s="160"/>
      <c r="H1276" s="159" t="s">
        <v>283</v>
      </c>
      <c r="I1276" s="161">
        <v>2828.48</v>
      </c>
      <c r="J1276" s="161"/>
      <c r="K1276" s="162" t="s">
        <v>8</v>
      </c>
      <c r="L1276" s="163">
        <v>310917.33</v>
      </c>
    </row>
    <row r="1277" spans="1:12" ht="61.2" x14ac:dyDescent="0.3">
      <c r="A1277" s="157" t="s">
        <v>332</v>
      </c>
      <c r="B1277" s="158" t="s">
        <v>1892</v>
      </c>
      <c r="C1277" s="158" t="s">
        <v>741</v>
      </c>
      <c r="D1277" s="158" t="s">
        <v>1866</v>
      </c>
      <c r="E1277" s="159" t="s">
        <v>42</v>
      </c>
      <c r="F1277" s="160" t="s">
        <v>15</v>
      </c>
      <c r="G1277" s="160"/>
      <c r="H1277" s="159" t="s">
        <v>283</v>
      </c>
      <c r="I1277" s="161">
        <v>16574.25</v>
      </c>
      <c r="J1277" s="161"/>
      <c r="K1277" s="162" t="s">
        <v>8</v>
      </c>
      <c r="L1277" s="163">
        <v>294343.08</v>
      </c>
    </row>
    <row r="1278" spans="1:12" ht="51" x14ac:dyDescent="0.3">
      <c r="A1278" s="157" t="s">
        <v>332</v>
      </c>
      <c r="B1278" s="158" t="s">
        <v>1892</v>
      </c>
      <c r="C1278" s="158" t="s">
        <v>741</v>
      </c>
      <c r="D1278" s="158" t="s">
        <v>1869</v>
      </c>
      <c r="E1278" s="159" t="s">
        <v>42</v>
      </c>
      <c r="F1278" s="160" t="s">
        <v>15</v>
      </c>
      <c r="G1278" s="160"/>
      <c r="H1278" s="159" t="s">
        <v>283</v>
      </c>
      <c r="I1278" s="161">
        <v>30195.55</v>
      </c>
      <c r="J1278" s="161"/>
      <c r="K1278" s="162" t="s">
        <v>8</v>
      </c>
      <c r="L1278" s="163">
        <v>264147.53000000003</v>
      </c>
    </row>
    <row r="1279" spans="1:12" ht="51" x14ac:dyDescent="0.3">
      <c r="A1279" s="157" t="s">
        <v>332</v>
      </c>
      <c r="B1279" s="158" t="s">
        <v>1892</v>
      </c>
      <c r="C1279" s="158" t="s">
        <v>741</v>
      </c>
      <c r="D1279" s="158" t="s">
        <v>1893</v>
      </c>
      <c r="E1279" s="159" t="s">
        <v>42</v>
      </c>
      <c r="F1279" s="160" t="s">
        <v>15</v>
      </c>
      <c r="G1279" s="160"/>
      <c r="H1279" s="159" t="s">
        <v>283</v>
      </c>
      <c r="I1279" s="161">
        <v>9500</v>
      </c>
      <c r="J1279" s="161"/>
      <c r="K1279" s="162" t="s">
        <v>8</v>
      </c>
      <c r="L1279" s="163">
        <v>254647.53</v>
      </c>
    </row>
    <row r="1280" spans="1:12" ht="51" x14ac:dyDescent="0.3">
      <c r="A1280" s="157" t="s">
        <v>332</v>
      </c>
      <c r="B1280" s="158" t="s">
        <v>1892</v>
      </c>
      <c r="C1280" s="158" t="s">
        <v>741</v>
      </c>
      <c r="D1280" s="158" t="s">
        <v>1863</v>
      </c>
      <c r="E1280" s="159" t="s">
        <v>42</v>
      </c>
      <c r="F1280" s="160" t="s">
        <v>15</v>
      </c>
      <c r="G1280" s="160"/>
      <c r="H1280" s="159" t="s">
        <v>283</v>
      </c>
      <c r="I1280" s="161">
        <v>5041.46</v>
      </c>
      <c r="J1280" s="161"/>
      <c r="K1280" s="162" t="s">
        <v>8</v>
      </c>
      <c r="L1280" s="163">
        <v>249606.07</v>
      </c>
    </row>
    <row r="1281" spans="1:12" ht="51" x14ac:dyDescent="0.3">
      <c r="A1281" s="157" t="s">
        <v>332</v>
      </c>
      <c r="B1281" s="158" t="s">
        <v>1892</v>
      </c>
      <c r="C1281" s="158" t="s">
        <v>741</v>
      </c>
      <c r="D1281" s="158" t="s">
        <v>1581</v>
      </c>
      <c r="E1281" s="159" t="s">
        <v>42</v>
      </c>
      <c r="F1281" s="160" t="s">
        <v>15</v>
      </c>
      <c r="G1281" s="160"/>
      <c r="H1281" s="159" t="s">
        <v>283</v>
      </c>
      <c r="I1281" s="161">
        <v>4728.5</v>
      </c>
      <c r="J1281" s="161"/>
      <c r="K1281" s="162" t="s">
        <v>8</v>
      </c>
      <c r="L1281" s="163">
        <v>244877.57</v>
      </c>
    </row>
    <row r="1282" spans="1:12" ht="51" x14ac:dyDescent="0.3">
      <c r="A1282" s="157" t="s">
        <v>332</v>
      </c>
      <c r="B1282" s="158" t="s">
        <v>1892</v>
      </c>
      <c r="C1282" s="158" t="s">
        <v>741</v>
      </c>
      <c r="D1282" s="158" t="s">
        <v>1584</v>
      </c>
      <c r="E1282" s="159" t="s">
        <v>42</v>
      </c>
      <c r="F1282" s="160" t="s">
        <v>15</v>
      </c>
      <c r="G1282" s="160"/>
      <c r="H1282" s="159" t="s">
        <v>283</v>
      </c>
      <c r="I1282" s="161">
        <v>8140.17</v>
      </c>
      <c r="J1282" s="161"/>
      <c r="K1282" s="162" t="s">
        <v>8</v>
      </c>
      <c r="L1282" s="163">
        <v>236737.4</v>
      </c>
    </row>
    <row r="1283" spans="1:12" ht="51" x14ac:dyDescent="0.3">
      <c r="A1283" s="157" t="s">
        <v>332</v>
      </c>
      <c r="B1283" s="158" t="s">
        <v>1892</v>
      </c>
      <c r="C1283" s="158" t="s">
        <v>741</v>
      </c>
      <c r="D1283" s="158" t="s">
        <v>942</v>
      </c>
      <c r="E1283" s="159" t="s">
        <v>42</v>
      </c>
      <c r="F1283" s="160" t="s">
        <v>15</v>
      </c>
      <c r="G1283" s="160"/>
      <c r="H1283" s="159" t="s">
        <v>283</v>
      </c>
      <c r="I1283" s="161">
        <v>3038.32</v>
      </c>
      <c r="J1283" s="161"/>
      <c r="K1283" s="162" t="s">
        <v>8</v>
      </c>
      <c r="L1283" s="163">
        <v>233699.08</v>
      </c>
    </row>
    <row r="1284" spans="1:12" ht="51" x14ac:dyDescent="0.3">
      <c r="A1284" s="157" t="s">
        <v>332</v>
      </c>
      <c r="B1284" s="158" t="s">
        <v>1892</v>
      </c>
      <c r="C1284" s="158" t="s">
        <v>741</v>
      </c>
      <c r="D1284" s="158" t="s">
        <v>1871</v>
      </c>
      <c r="E1284" s="159" t="s">
        <v>42</v>
      </c>
      <c r="F1284" s="160" t="s">
        <v>15</v>
      </c>
      <c r="G1284" s="160"/>
      <c r="H1284" s="159" t="s">
        <v>283</v>
      </c>
      <c r="I1284" s="161">
        <v>2950.08</v>
      </c>
      <c r="J1284" s="161"/>
      <c r="K1284" s="162" t="s">
        <v>8</v>
      </c>
      <c r="L1284" s="163">
        <v>230749</v>
      </c>
    </row>
    <row r="1285" spans="1:12" ht="51" x14ac:dyDescent="0.3">
      <c r="A1285" s="157" t="s">
        <v>332</v>
      </c>
      <c r="B1285" s="158" t="s">
        <v>1892</v>
      </c>
      <c r="C1285" s="158" t="s">
        <v>741</v>
      </c>
      <c r="D1285" s="158" t="s">
        <v>974</v>
      </c>
      <c r="E1285" s="159" t="s">
        <v>42</v>
      </c>
      <c r="F1285" s="160" t="s">
        <v>15</v>
      </c>
      <c r="G1285" s="160"/>
      <c r="H1285" s="159" t="s">
        <v>283</v>
      </c>
      <c r="I1285" s="161">
        <v>9995.74</v>
      </c>
      <c r="J1285" s="161"/>
      <c r="K1285" s="162" t="s">
        <v>8</v>
      </c>
      <c r="L1285" s="163">
        <v>220753.26</v>
      </c>
    </row>
    <row r="1286" spans="1:12" ht="51" x14ac:dyDescent="0.3">
      <c r="A1286" s="157" t="s">
        <v>332</v>
      </c>
      <c r="B1286" s="158" t="s">
        <v>1892</v>
      </c>
      <c r="C1286" s="158" t="s">
        <v>741</v>
      </c>
      <c r="D1286" s="158" t="s">
        <v>974</v>
      </c>
      <c r="E1286" s="159" t="s">
        <v>42</v>
      </c>
      <c r="F1286" s="160" t="s">
        <v>15</v>
      </c>
      <c r="G1286" s="160"/>
      <c r="H1286" s="159" t="s">
        <v>283</v>
      </c>
      <c r="I1286" s="164">
        <v>879.62</v>
      </c>
      <c r="J1286" s="164"/>
      <c r="K1286" s="162" t="s">
        <v>8</v>
      </c>
      <c r="L1286" s="163">
        <v>219873.64</v>
      </c>
    </row>
    <row r="1287" spans="1:12" ht="51" x14ac:dyDescent="0.3">
      <c r="A1287" s="157" t="s">
        <v>332</v>
      </c>
      <c r="B1287" s="158" t="s">
        <v>1892</v>
      </c>
      <c r="C1287" s="158" t="s">
        <v>741</v>
      </c>
      <c r="D1287" s="158" t="s">
        <v>1197</v>
      </c>
      <c r="E1287" s="159" t="s">
        <v>42</v>
      </c>
      <c r="F1287" s="160" t="s">
        <v>15</v>
      </c>
      <c r="G1287" s="160"/>
      <c r="H1287" s="159" t="s">
        <v>283</v>
      </c>
      <c r="I1287" s="161">
        <v>10877.14</v>
      </c>
      <c r="J1287" s="161"/>
      <c r="K1287" s="162" t="s">
        <v>8</v>
      </c>
      <c r="L1287" s="163">
        <v>208996.5</v>
      </c>
    </row>
    <row r="1288" spans="1:12" ht="51" x14ac:dyDescent="0.3">
      <c r="A1288" s="157" t="s">
        <v>332</v>
      </c>
      <c r="B1288" s="158" t="s">
        <v>1892</v>
      </c>
      <c r="C1288" s="158" t="s">
        <v>741</v>
      </c>
      <c r="D1288" s="158" t="s">
        <v>1356</v>
      </c>
      <c r="E1288" s="159" t="s">
        <v>42</v>
      </c>
      <c r="F1288" s="160" t="s">
        <v>15</v>
      </c>
      <c r="G1288" s="160"/>
      <c r="H1288" s="159" t="s">
        <v>283</v>
      </c>
      <c r="I1288" s="161">
        <v>10170.67</v>
      </c>
      <c r="J1288" s="161"/>
      <c r="K1288" s="162" t="s">
        <v>8</v>
      </c>
      <c r="L1288" s="163">
        <v>198825.83</v>
      </c>
    </row>
    <row r="1289" spans="1:12" ht="51" x14ac:dyDescent="0.3">
      <c r="A1289" s="157" t="s">
        <v>332</v>
      </c>
      <c r="B1289" s="158" t="s">
        <v>1892</v>
      </c>
      <c r="C1289" s="158" t="s">
        <v>741</v>
      </c>
      <c r="D1289" s="158" t="s">
        <v>1356</v>
      </c>
      <c r="E1289" s="159" t="s">
        <v>42</v>
      </c>
      <c r="F1289" s="160" t="s">
        <v>15</v>
      </c>
      <c r="G1289" s="160"/>
      <c r="H1289" s="159" t="s">
        <v>283</v>
      </c>
      <c r="I1289" s="161">
        <v>5313.16</v>
      </c>
      <c r="J1289" s="161"/>
      <c r="K1289" s="162" t="s">
        <v>8</v>
      </c>
      <c r="L1289" s="163">
        <v>193512.67</v>
      </c>
    </row>
    <row r="1290" spans="1:12" ht="51" x14ac:dyDescent="0.3">
      <c r="A1290" s="157" t="s">
        <v>332</v>
      </c>
      <c r="B1290" s="158" t="s">
        <v>1892</v>
      </c>
      <c r="C1290" s="158" t="s">
        <v>741</v>
      </c>
      <c r="D1290" s="158" t="s">
        <v>1356</v>
      </c>
      <c r="E1290" s="159" t="s">
        <v>42</v>
      </c>
      <c r="F1290" s="160" t="s">
        <v>15</v>
      </c>
      <c r="G1290" s="160"/>
      <c r="H1290" s="159" t="s">
        <v>283</v>
      </c>
      <c r="I1290" s="161">
        <v>12204.79</v>
      </c>
      <c r="J1290" s="161"/>
      <c r="K1290" s="162" t="s">
        <v>8</v>
      </c>
      <c r="L1290" s="163">
        <v>181307.88</v>
      </c>
    </row>
    <row r="1291" spans="1:12" ht="51" x14ac:dyDescent="0.3">
      <c r="A1291" s="157" t="s">
        <v>332</v>
      </c>
      <c r="B1291" s="158" t="s">
        <v>1892</v>
      </c>
      <c r="C1291" s="158" t="s">
        <v>741</v>
      </c>
      <c r="D1291" s="158" t="s">
        <v>1356</v>
      </c>
      <c r="E1291" s="159" t="s">
        <v>42</v>
      </c>
      <c r="F1291" s="160" t="s">
        <v>15</v>
      </c>
      <c r="G1291" s="160"/>
      <c r="H1291" s="159" t="s">
        <v>283</v>
      </c>
      <c r="I1291" s="161">
        <v>2823.38</v>
      </c>
      <c r="J1291" s="161"/>
      <c r="K1291" s="162" t="s">
        <v>8</v>
      </c>
      <c r="L1291" s="163">
        <v>178484.5</v>
      </c>
    </row>
    <row r="1292" spans="1:12" ht="51" x14ac:dyDescent="0.3">
      <c r="A1292" s="157" t="s">
        <v>332</v>
      </c>
      <c r="B1292" s="158" t="s">
        <v>1892</v>
      </c>
      <c r="C1292" s="158" t="s">
        <v>741</v>
      </c>
      <c r="D1292" s="158" t="s">
        <v>1439</v>
      </c>
      <c r="E1292" s="159" t="s">
        <v>42</v>
      </c>
      <c r="F1292" s="160" t="s">
        <v>15</v>
      </c>
      <c r="G1292" s="160"/>
      <c r="H1292" s="159" t="s">
        <v>283</v>
      </c>
      <c r="I1292" s="161">
        <v>13551.96</v>
      </c>
      <c r="J1292" s="161"/>
      <c r="K1292" s="162" t="s">
        <v>8</v>
      </c>
      <c r="L1292" s="163">
        <v>164932.54</v>
      </c>
    </row>
    <row r="1293" spans="1:12" ht="51" x14ac:dyDescent="0.3">
      <c r="A1293" s="157" t="s">
        <v>332</v>
      </c>
      <c r="B1293" s="158" t="s">
        <v>1892</v>
      </c>
      <c r="C1293" s="158" t="s">
        <v>741</v>
      </c>
      <c r="D1293" s="158" t="s">
        <v>1439</v>
      </c>
      <c r="E1293" s="159" t="s">
        <v>42</v>
      </c>
      <c r="F1293" s="160" t="s">
        <v>15</v>
      </c>
      <c r="G1293" s="160"/>
      <c r="H1293" s="159" t="s">
        <v>283</v>
      </c>
      <c r="I1293" s="161">
        <v>5451.94</v>
      </c>
      <c r="J1293" s="161"/>
      <c r="K1293" s="162" t="s">
        <v>8</v>
      </c>
      <c r="L1293" s="163">
        <v>159480.6</v>
      </c>
    </row>
    <row r="1294" spans="1:12" ht="51" x14ac:dyDescent="0.3">
      <c r="A1294" s="157" t="s">
        <v>332</v>
      </c>
      <c r="B1294" s="158" t="s">
        <v>1894</v>
      </c>
      <c r="C1294" s="158" t="s">
        <v>741</v>
      </c>
      <c r="D1294" s="158" t="s">
        <v>1895</v>
      </c>
      <c r="E1294" s="159" t="s">
        <v>42</v>
      </c>
      <c r="F1294" s="160" t="s">
        <v>15</v>
      </c>
      <c r="G1294" s="160"/>
      <c r="H1294" s="159" t="s">
        <v>283</v>
      </c>
      <c r="I1294" s="161">
        <v>189465</v>
      </c>
      <c r="J1294" s="161"/>
      <c r="K1294" s="162" t="s">
        <v>8</v>
      </c>
      <c r="L1294" s="163">
        <v>1791729.7</v>
      </c>
    </row>
    <row r="1295" spans="1:12" ht="61.2" x14ac:dyDescent="0.3">
      <c r="A1295" s="157" t="s">
        <v>332</v>
      </c>
      <c r="B1295" s="158" t="s">
        <v>1894</v>
      </c>
      <c r="C1295" s="158" t="s">
        <v>741</v>
      </c>
      <c r="D1295" s="158" t="s">
        <v>1896</v>
      </c>
      <c r="E1295" s="159" t="s">
        <v>42</v>
      </c>
      <c r="F1295" s="160" t="s">
        <v>15</v>
      </c>
      <c r="G1295" s="160"/>
      <c r="H1295" s="159" t="s">
        <v>283</v>
      </c>
      <c r="I1295" s="161">
        <v>51914.879999999997</v>
      </c>
      <c r="J1295" s="161"/>
      <c r="K1295" s="162" t="s">
        <v>8</v>
      </c>
      <c r="L1295" s="163">
        <v>1739814.82</v>
      </c>
    </row>
    <row r="1296" spans="1:12" ht="51" x14ac:dyDescent="0.3">
      <c r="A1296" s="157" t="s">
        <v>332</v>
      </c>
      <c r="B1296" s="158" t="s">
        <v>1897</v>
      </c>
      <c r="C1296" s="158" t="s">
        <v>741</v>
      </c>
      <c r="D1296" s="158" t="s">
        <v>1898</v>
      </c>
      <c r="E1296" s="159" t="s">
        <v>42</v>
      </c>
      <c r="F1296" s="160" t="s">
        <v>15</v>
      </c>
      <c r="G1296" s="160"/>
      <c r="H1296" s="159" t="s">
        <v>283</v>
      </c>
      <c r="I1296" s="161">
        <v>20182.990000000002</v>
      </c>
      <c r="J1296" s="161"/>
      <c r="K1296" s="162" t="s">
        <v>8</v>
      </c>
      <c r="L1296" s="163">
        <v>5978339.3399999999</v>
      </c>
    </row>
    <row r="1297" spans="1:12" ht="51" x14ac:dyDescent="0.3">
      <c r="A1297" s="157" t="s">
        <v>332</v>
      </c>
      <c r="B1297" s="158" t="s">
        <v>1897</v>
      </c>
      <c r="C1297" s="158" t="s">
        <v>741</v>
      </c>
      <c r="D1297" s="158" t="s">
        <v>1601</v>
      </c>
      <c r="E1297" s="159" t="s">
        <v>42</v>
      </c>
      <c r="F1297" s="160" t="s">
        <v>15</v>
      </c>
      <c r="G1297" s="160"/>
      <c r="H1297" s="159" t="s">
        <v>283</v>
      </c>
      <c r="I1297" s="161">
        <v>76470.92</v>
      </c>
      <c r="J1297" s="161"/>
      <c r="K1297" s="162" t="s">
        <v>8</v>
      </c>
      <c r="L1297" s="163">
        <v>5901868.4199999999</v>
      </c>
    </row>
    <row r="1298" spans="1:12" ht="51" x14ac:dyDescent="0.3">
      <c r="A1298" s="157" t="s">
        <v>332</v>
      </c>
      <c r="B1298" s="158" t="s">
        <v>1897</v>
      </c>
      <c r="C1298" s="158" t="s">
        <v>741</v>
      </c>
      <c r="D1298" s="158" t="s">
        <v>1899</v>
      </c>
      <c r="E1298" s="159" t="s">
        <v>42</v>
      </c>
      <c r="F1298" s="160" t="s">
        <v>15</v>
      </c>
      <c r="G1298" s="160"/>
      <c r="H1298" s="159" t="s">
        <v>283</v>
      </c>
      <c r="I1298" s="161">
        <v>2150.12</v>
      </c>
      <c r="J1298" s="161"/>
      <c r="K1298" s="162" t="s">
        <v>8</v>
      </c>
      <c r="L1298" s="163">
        <v>5899718.2999999998</v>
      </c>
    </row>
    <row r="1299" spans="1:12" ht="51" x14ac:dyDescent="0.3">
      <c r="A1299" s="157" t="s">
        <v>332</v>
      </c>
      <c r="B1299" s="158" t="s">
        <v>1897</v>
      </c>
      <c r="C1299" s="158" t="s">
        <v>741</v>
      </c>
      <c r="D1299" s="158" t="s">
        <v>1860</v>
      </c>
      <c r="E1299" s="159" t="s">
        <v>42</v>
      </c>
      <c r="F1299" s="160" t="s">
        <v>15</v>
      </c>
      <c r="G1299" s="160"/>
      <c r="H1299" s="159" t="s">
        <v>283</v>
      </c>
      <c r="I1299" s="161">
        <v>18007.5</v>
      </c>
      <c r="J1299" s="161"/>
      <c r="K1299" s="162" t="s">
        <v>8</v>
      </c>
      <c r="L1299" s="163">
        <v>5881710.7999999998</v>
      </c>
    </row>
    <row r="1300" spans="1:12" ht="51" x14ac:dyDescent="0.3">
      <c r="A1300" s="157" t="s">
        <v>332</v>
      </c>
      <c r="B1300" s="158" t="s">
        <v>1897</v>
      </c>
      <c r="C1300" s="158" t="s">
        <v>741</v>
      </c>
      <c r="D1300" s="158" t="s">
        <v>1874</v>
      </c>
      <c r="E1300" s="159" t="s">
        <v>42</v>
      </c>
      <c r="F1300" s="160" t="s">
        <v>15</v>
      </c>
      <c r="G1300" s="160"/>
      <c r="H1300" s="159" t="s">
        <v>283</v>
      </c>
      <c r="I1300" s="161">
        <v>35610.120000000003</v>
      </c>
      <c r="J1300" s="161"/>
      <c r="K1300" s="162" t="s">
        <v>8</v>
      </c>
      <c r="L1300" s="163">
        <v>5846100.6799999997</v>
      </c>
    </row>
    <row r="1301" spans="1:12" ht="51" x14ac:dyDescent="0.3">
      <c r="A1301" s="157" t="s">
        <v>332</v>
      </c>
      <c r="B1301" s="158" t="s">
        <v>1897</v>
      </c>
      <c r="C1301" s="158" t="s">
        <v>741</v>
      </c>
      <c r="D1301" s="158" t="s">
        <v>1900</v>
      </c>
      <c r="E1301" s="159" t="s">
        <v>42</v>
      </c>
      <c r="F1301" s="160" t="s">
        <v>15</v>
      </c>
      <c r="G1301" s="160"/>
      <c r="H1301" s="159" t="s">
        <v>283</v>
      </c>
      <c r="I1301" s="161">
        <v>117912.77</v>
      </c>
      <c r="J1301" s="161"/>
      <c r="K1301" s="162" t="s">
        <v>8</v>
      </c>
      <c r="L1301" s="163">
        <v>5728187.9100000001</v>
      </c>
    </row>
    <row r="1302" spans="1:12" ht="51" x14ac:dyDescent="0.3">
      <c r="A1302" s="157" t="s">
        <v>332</v>
      </c>
      <c r="B1302" s="158" t="s">
        <v>1897</v>
      </c>
      <c r="C1302" s="158" t="s">
        <v>741</v>
      </c>
      <c r="D1302" s="158" t="s">
        <v>1860</v>
      </c>
      <c r="E1302" s="159" t="s">
        <v>42</v>
      </c>
      <c r="F1302" s="160" t="s">
        <v>15</v>
      </c>
      <c r="G1302" s="160"/>
      <c r="H1302" s="159" t="s">
        <v>283</v>
      </c>
      <c r="I1302" s="164">
        <v>131.25</v>
      </c>
      <c r="J1302" s="164"/>
      <c r="K1302" s="162" t="s">
        <v>8</v>
      </c>
      <c r="L1302" s="163">
        <v>5728056.6600000001</v>
      </c>
    </row>
    <row r="1303" spans="1:12" ht="51" x14ac:dyDescent="0.3">
      <c r="A1303" s="157" t="s">
        <v>332</v>
      </c>
      <c r="B1303" s="158" t="s">
        <v>1897</v>
      </c>
      <c r="C1303" s="158" t="s">
        <v>741</v>
      </c>
      <c r="D1303" s="158" t="s">
        <v>1876</v>
      </c>
      <c r="E1303" s="159" t="s">
        <v>42</v>
      </c>
      <c r="F1303" s="160" t="s">
        <v>15</v>
      </c>
      <c r="G1303" s="160"/>
      <c r="H1303" s="159" t="s">
        <v>283</v>
      </c>
      <c r="I1303" s="164">
        <v>884.4</v>
      </c>
      <c r="J1303" s="164"/>
      <c r="K1303" s="162" t="s">
        <v>8</v>
      </c>
      <c r="L1303" s="163">
        <v>5727172.2599999998</v>
      </c>
    </row>
    <row r="1304" spans="1:12" ht="51" x14ac:dyDescent="0.3">
      <c r="A1304" s="157" t="s">
        <v>332</v>
      </c>
      <c r="B1304" s="158" t="s">
        <v>1897</v>
      </c>
      <c r="C1304" s="158" t="s">
        <v>741</v>
      </c>
      <c r="D1304" s="158" t="s">
        <v>1901</v>
      </c>
      <c r="E1304" s="159" t="s">
        <v>42</v>
      </c>
      <c r="F1304" s="160" t="s">
        <v>15</v>
      </c>
      <c r="G1304" s="160"/>
      <c r="H1304" s="159" t="s">
        <v>283</v>
      </c>
      <c r="I1304" s="164">
        <v>584.58000000000004</v>
      </c>
      <c r="J1304" s="164"/>
      <c r="K1304" s="162" t="s">
        <v>8</v>
      </c>
      <c r="L1304" s="163">
        <v>5726587.6799999997</v>
      </c>
    </row>
    <row r="1305" spans="1:12" ht="51" x14ac:dyDescent="0.3">
      <c r="A1305" s="157" t="s">
        <v>332</v>
      </c>
      <c r="B1305" s="158" t="s">
        <v>1897</v>
      </c>
      <c r="C1305" s="158" t="s">
        <v>741</v>
      </c>
      <c r="D1305" s="158" t="s">
        <v>1187</v>
      </c>
      <c r="E1305" s="159" t="s">
        <v>42</v>
      </c>
      <c r="F1305" s="160" t="s">
        <v>15</v>
      </c>
      <c r="G1305" s="160"/>
      <c r="H1305" s="159" t="s">
        <v>283</v>
      </c>
      <c r="I1305" s="164">
        <v>859.36</v>
      </c>
      <c r="J1305" s="164"/>
      <c r="K1305" s="162" t="s">
        <v>8</v>
      </c>
      <c r="L1305" s="163">
        <v>5725728.3200000003</v>
      </c>
    </row>
    <row r="1306" spans="1:12" ht="51" x14ac:dyDescent="0.3">
      <c r="A1306" s="157" t="s">
        <v>332</v>
      </c>
      <c r="B1306" s="158" t="s">
        <v>1897</v>
      </c>
      <c r="C1306" s="158" t="s">
        <v>741</v>
      </c>
      <c r="D1306" s="158" t="s">
        <v>1403</v>
      </c>
      <c r="E1306" s="159" t="s">
        <v>42</v>
      </c>
      <c r="F1306" s="160" t="s">
        <v>15</v>
      </c>
      <c r="G1306" s="160"/>
      <c r="H1306" s="159" t="s">
        <v>283</v>
      </c>
      <c r="I1306" s="161">
        <v>1571.4</v>
      </c>
      <c r="J1306" s="161"/>
      <c r="K1306" s="162" t="s">
        <v>8</v>
      </c>
      <c r="L1306" s="163">
        <v>5724156.9199999999</v>
      </c>
    </row>
    <row r="1307" spans="1:12" ht="51" x14ac:dyDescent="0.3">
      <c r="A1307" s="157" t="s">
        <v>332</v>
      </c>
      <c r="B1307" s="158" t="s">
        <v>1897</v>
      </c>
      <c r="C1307" s="158" t="s">
        <v>741</v>
      </c>
      <c r="D1307" s="158" t="s">
        <v>859</v>
      </c>
      <c r="E1307" s="159" t="s">
        <v>42</v>
      </c>
      <c r="F1307" s="160" t="s">
        <v>15</v>
      </c>
      <c r="G1307" s="160"/>
      <c r="H1307" s="159" t="s">
        <v>283</v>
      </c>
      <c r="I1307" s="161">
        <v>5937.36</v>
      </c>
      <c r="J1307" s="161"/>
      <c r="K1307" s="162" t="s">
        <v>8</v>
      </c>
      <c r="L1307" s="163">
        <v>5718219.5599999996</v>
      </c>
    </row>
    <row r="1308" spans="1:12" ht="51" hidden="1" x14ac:dyDescent="0.3">
      <c r="A1308" s="157" t="s">
        <v>332</v>
      </c>
      <c r="B1308" s="158" t="s">
        <v>1902</v>
      </c>
      <c r="C1308" s="158" t="s">
        <v>1903</v>
      </c>
      <c r="D1308" s="158" t="s">
        <v>1904</v>
      </c>
      <c r="E1308" s="159" t="s">
        <v>283</v>
      </c>
      <c r="F1308" s="165">
        <v>14975</v>
      </c>
      <c r="G1308" s="165"/>
      <c r="H1308" s="159" t="s">
        <v>14</v>
      </c>
      <c r="I1308" s="166" t="s">
        <v>15</v>
      </c>
      <c r="J1308" s="166"/>
      <c r="K1308" s="162" t="s">
        <v>8</v>
      </c>
      <c r="L1308" s="163">
        <v>174455.6</v>
      </c>
    </row>
    <row r="1309" spans="1:12" ht="51" hidden="1" x14ac:dyDescent="0.3">
      <c r="A1309" s="157" t="s">
        <v>332</v>
      </c>
      <c r="B1309" s="158" t="s">
        <v>1905</v>
      </c>
      <c r="C1309" s="158" t="s">
        <v>1903</v>
      </c>
      <c r="D1309" s="158" t="s">
        <v>1906</v>
      </c>
      <c r="E1309" s="159" t="s">
        <v>283</v>
      </c>
      <c r="F1309" s="165">
        <v>8045</v>
      </c>
      <c r="G1309" s="165"/>
      <c r="H1309" s="159" t="s">
        <v>14</v>
      </c>
      <c r="I1309" s="166" t="s">
        <v>15</v>
      </c>
      <c r="J1309" s="166"/>
      <c r="K1309" s="162" t="s">
        <v>8</v>
      </c>
      <c r="L1309" s="163">
        <v>182500.6</v>
      </c>
    </row>
    <row r="1310" spans="1:12" ht="51" x14ac:dyDescent="0.3">
      <c r="A1310" s="157" t="s">
        <v>332</v>
      </c>
      <c r="B1310" s="158" t="s">
        <v>1907</v>
      </c>
      <c r="C1310" s="158" t="s">
        <v>741</v>
      </c>
      <c r="D1310" s="158" t="s">
        <v>1908</v>
      </c>
      <c r="E1310" s="159" t="s">
        <v>42</v>
      </c>
      <c r="F1310" s="160" t="s">
        <v>15</v>
      </c>
      <c r="G1310" s="160"/>
      <c r="H1310" s="159" t="s">
        <v>283</v>
      </c>
      <c r="I1310" s="161">
        <v>2000</v>
      </c>
      <c r="J1310" s="161"/>
      <c r="K1310" s="162" t="s">
        <v>8</v>
      </c>
      <c r="L1310" s="163">
        <v>95902.82</v>
      </c>
    </row>
    <row r="1311" spans="1:12" ht="51" x14ac:dyDescent="0.3">
      <c r="A1311" s="157" t="s">
        <v>332</v>
      </c>
      <c r="B1311" s="158" t="s">
        <v>1909</v>
      </c>
      <c r="C1311" s="158" t="s">
        <v>741</v>
      </c>
      <c r="D1311" s="158" t="s">
        <v>1709</v>
      </c>
      <c r="E1311" s="159" t="s">
        <v>42</v>
      </c>
      <c r="F1311" s="160" t="s">
        <v>15</v>
      </c>
      <c r="G1311" s="160"/>
      <c r="H1311" s="159" t="s">
        <v>283</v>
      </c>
      <c r="I1311" s="164">
        <v>400</v>
      </c>
      <c r="J1311" s="164"/>
      <c r="K1311" s="162" t="s">
        <v>8</v>
      </c>
      <c r="L1311" s="163">
        <v>95502.82</v>
      </c>
    </row>
    <row r="1312" spans="1:12" ht="51" x14ac:dyDescent="0.3">
      <c r="A1312" s="157" t="s">
        <v>332</v>
      </c>
      <c r="B1312" s="158" t="s">
        <v>1910</v>
      </c>
      <c r="C1312" s="158" t="s">
        <v>741</v>
      </c>
      <c r="D1312" s="158" t="s">
        <v>1771</v>
      </c>
      <c r="E1312" s="159" t="s">
        <v>42</v>
      </c>
      <c r="F1312" s="160" t="s">
        <v>15</v>
      </c>
      <c r="G1312" s="160"/>
      <c r="H1312" s="159" t="s">
        <v>283</v>
      </c>
      <c r="I1312" s="161">
        <v>2415</v>
      </c>
      <c r="J1312" s="161"/>
      <c r="K1312" s="162" t="s">
        <v>8</v>
      </c>
      <c r="L1312" s="163">
        <v>93087.82</v>
      </c>
    </row>
    <row r="1313" spans="1:12" hidden="1" x14ac:dyDescent="0.3">
      <c r="A1313" s="168" t="s">
        <v>353</v>
      </c>
      <c r="B1313" s="168"/>
      <c r="C1313" s="168"/>
      <c r="D1313" s="168"/>
      <c r="E1313" s="169">
        <v>29677462.760000002</v>
      </c>
      <c r="F1313" s="169"/>
      <c r="G1313" s="169"/>
      <c r="H1313" s="169">
        <v>34829203.229999997</v>
      </c>
      <c r="I1313" s="169"/>
      <c r="J1313" s="169"/>
      <c r="K1313" s="170" t="s">
        <v>8</v>
      </c>
      <c r="L1313" s="171">
        <v>21018201.699999999</v>
      </c>
    </row>
    <row r="1315" spans="1:12" x14ac:dyDescent="0.3">
      <c r="J1315" s="31">
        <f>SUBTOTAL(9,I3:J1312)</f>
        <v>32582415.279999979</v>
      </c>
    </row>
    <row r="1317" spans="1:12" x14ac:dyDescent="0.3">
      <c r="J1317" s="31">
        <f>J1315*1.2</f>
        <v>39098898.335999973</v>
      </c>
    </row>
  </sheetData>
  <autoFilter ref="B1:D1313" xr:uid="{E9593551-C696-40C6-BD64-6882395230E7}">
    <filterColumn colId="0">
      <filters>
        <filter val="Вимога-накладна ІБ00-001128 від 05.12.2025 10:00:00_x000a_Списаны ТМЦ"/>
        <filter val="Вимога-накладна ІБ00-001133 від 12.12.2025 12:00:00_x000a_Списаны ТМЦ"/>
        <filter val="Вимога-накладна ІБ00-001137 від 12.12.2025 23:00:12_x000a_Списаны ТМЦ"/>
        <filter val="Вимога-накладна ІБ00-001138 від 12.12.2025 11:11:40_x000a_Списаны ТМЦ"/>
        <filter val="Вимога-накладна ІБ00-001139 від 12.12.2025 11:38:29_x000a_Списаны ТМЦ"/>
        <filter val="Вимога-накладна ІБ00-001141 від 12.12.2025 14:56:57_x000a_Списаны ТМЦ"/>
        <filter val="Вимога-накладна ІБ00-001142 від 12.12.2025 15:59:26_x000a_Списаны ТМЦ"/>
        <filter val="Вимога-накладна ІБ00-001143 від 12.12.2025 16:05:26_x000a_Списаны ТМЦ"/>
        <filter val="Вимога-накладна ІБ00-001160 від 20.12.2025 13:16:41_x000a_Списаны ТМЦ"/>
        <filter val="Вимога-накладна ІБ00-001161 від 20.12.2025 07:48:28_x000a_Списаны ТМЦ"/>
        <filter val="Вимога-накладна ІБ00-001162 від 20.12.2025 16:11:17_x000a_Списаны ТМЦ"/>
        <filter val="Вимога-накладна ІБ00-001163 від 20.12.2025 20:12:56_x000a_Списаны ТМЦ"/>
        <filter val="Вимога-накладна ІБ00-001164 від 20.12.2025 20:13:01_x000a_Списаны ТМЦ"/>
        <filter val="Вимога-накладна ІБ00-001165 від 20.12.2025 20:13:02_x000a_Списаны ТМЦ"/>
        <filter val="Вимога-накладна ІБ00-001166 від 20.12.2025 09:28:47_x000a_Списаны ТМЦ"/>
        <filter val="Вимога-накладна ІБ00-001167 від 20.12.2025 09:42:43_x000a_Списаны ТМЦ"/>
        <filter val="Вимога-накладна ІБ00-001168 від 20.12.2025 10:29:40_x000a_Списаны ТМЦ"/>
        <filter val="Вимога-накладна ІБ00-001169 від 20.12.2025 10:45:26_x000a_Списаны ТМЦ"/>
        <filter val="Вимога-накладна ІБ00-001170 від 20.12.2025 11:19:27_x000a_Списаны ТМЦ"/>
        <filter val="Вимога-накладна ІБ00-001171 від 20.12.2025 20:13:14_x000a_Списаны ТМЦ"/>
        <filter val="Вимога-накладна ІБ00-001184 від 26.12.2025 13:00:02_x000a_Списаны ТМЦ"/>
        <filter val="Вимога-накладна ІБ00-001185 від 26.12.2025 13:00:05_x000a_Списаны ТМЦ"/>
        <filter val="Вимога-накладна ІБ00-001186 від 26.12.2025 13:00:21_x000a_Списаны ТМЦ"/>
        <filter val="Вимога-накладна ІБ00-001188 від 26.12.2025 15:00:02_x000a_Списаны ТМЦ"/>
        <filter val="Вимога-накладна ІБ00-001189 від 26.12.2025 15:00:03_x000a_Списаны ТМЦ"/>
        <filter val="Вимога-накладна ІБ00-001190 від 26.12.2025 16:00:01_x000a_Списаны ТМЦ"/>
        <filter val="Вимога-накладна ІБ00-001227 від 30.12.2025 10:00:00_x000a_Списаны ТМЦ"/>
        <filter val="Вимога-накладна ІБ00-001228 від 30.12.2025 10:00:00_x000a_Списаны ТМЦ"/>
        <filter val="Вимога-накладна ІБ00-001229 від 30.12.2025 10:00:00_x000a_Списаны ТМЦ"/>
        <filter val="Вимога-накладна ІБ00-001230 від 30.12.2025 10:00:00_x000a_Списаны ТМЦ"/>
        <filter val="Вимога-накладна ІБ00-001231 від 30.12.2025 10:00:00_x000a_Списаны ТМЦ"/>
        <filter val="Вимога-накладна ІБ00-001233 від 30.12.2025 10:00:00_x000a_Списаны ТМЦ"/>
        <filter val="Вимога-накладна ІБ00-001234 від 30.12.2025 10:00:00_x000a_Списаны ТМЦ"/>
        <filter val="Вимога-накладна ІБ00-001235 від 30.12.2025 10:00:00_x000a_Списаны ТМЦ"/>
        <filter val="Вимога-накладна ІБ00-001236 від 30.12.2025 10:00:00_x000a_Списаны ТМЦ"/>
        <filter val="Вимога-накладна ІБ00-001237 від 30.12.2025 10:00:00_x000a_Списаны ТМЦ"/>
        <filter val="Вимога-накладна ІБ00-001238 від 30.12.2025 10:00:00_x000a_Списаны ТМЦ"/>
        <filter val="Реалізація товарів і послуг ІБ00-000078 від 10.12.2025 00:00:00_x000a_Списаны ТМЦ"/>
        <filter val="Реалізація товарів і послуг ІБ00-000083 від 01.12.2025 00:00:00_x000a_Списаны ТМЦ"/>
        <filter val="Реалізація товарів і послуг ІБ00-000084 від 01.12.2025 00:00:00_x000a_Списаны ТМЦ"/>
        <filter val="Реалізація товарів і послуг ІБ00-000085 від 01.12.2025 00:00:00_x000a_Списаны ТМЦ"/>
        <filter val="Реалізація товарів і послуг ІБ00-000086 від 10.12.2025 08:43:40_x000a_Списаны ТМЦ"/>
        <filter val="Реалізація товарів і послуг ІБ00-000091 від 11.12.2025 14:16:27_x000a_Списаны ТМЦ"/>
        <filter val="Реалізація товарів і послуг ІБ00-000093 від 12.12.2025 10:01:58_x000a_Списаны ТМЦ"/>
        <filter val="Реалізація товарів і послуг ІБ00-000094 від 12.12.2025 15:48:05_x000a_Списаны ТМЦ"/>
        <filter val="Списання товарів ІБ00-000713 від 12.12.2025 11:38:58_x000a_Списаны ТМЦ"/>
        <filter val="Списання товарів ІБ00-000714 від 12.12.2025 11:43:11_x000a_Списаны ТМЦ"/>
        <filter val="Списання товарів ІБ00-000716 від 12.12.2025 16:11:29_x000a_Списаны ТМЦ"/>
        <filter val="Списання товарів ІБ00-000719 від 20.12.2025 13:49:13_x000a_Списаны ТМЦ"/>
        <filter val="Списання товарів ІБ00-000725 від 20.12.2025 11:51:05_x000a_Списаны ТМЦ"/>
        <filter val="Списання товарів ІБ00-000729 від 26.12.2025 13:00:06_x000a_Списаны ТМЦ"/>
        <filter val="Списання товарів ІБ00-000730 від 26.12.2025 00:00:00_x000a_Списаны ТМЦ"/>
        <filter val="Списання товарів ІБ00-000731 від 26.12.2025 15:00:00_x000a_Списаны ТМЦ"/>
        <filter val="Списання товарів ІБ00-000732 від 26.12.2025 16:00:00_x000a_Списаны ТМЦ"/>
        <filter val="Списання товарів ІБ00-000733 від 26.12.2025 16:00:00_x000a_Списаны ТМЦ"/>
        <filter val="Списання товарів ІБ00-000734 від 26.12.2025 16:00:02_x000a_Списаны ТМЦ"/>
        <filter val="Списання товарів ІБ00-000743 від 30.12.2025 10:00:00_x000a_Списаны ТМЦ"/>
        <filter val="Списання товарів ІБ00-000744 від 30.12.2025 22:00:38_x000a_Списаны ТМЦ"/>
        <filter val="Списання товарів ІБ00-000745 від 30.12.2025 22:00:00_x000a_Списаны ТМЦ"/>
        <filter val="Списання товарів ІБ00-000747 від 30.12.2025 23:00:09_x000a_Списаны ТМЦ"/>
      </filters>
    </filterColumn>
  </autoFilter>
  <mergeCells count="2632">
    <mergeCell ref="F1312:G1312"/>
    <mergeCell ref="I1312:J1312"/>
    <mergeCell ref="A1313:D1313"/>
    <mergeCell ref="E1313:G1313"/>
    <mergeCell ref="H1313:J1313"/>
    <mergeCell ref="F1309:G1309"/>
    <mergeCell ref="I1309:J1309"/>
    <mergeCell ref="F1310:G1310"/>
    <mergeCell ref="I1310:J1310"/>
    <mergeCell ref="F1311:G1311"/>
    <mergeCell ref="I1311:J1311"/>
    <mergeCell ref="F1306:G1306"/>
    <mergeCell ref="I1306:J1306"/>
    <mergeCell ref="F1307:G1307"/>
    <mergeCell ref="I1307:J1307"/>
    <mergeCell ref="F1308:G1308"/>
    <mergeCell ref="I1308:J1308"/>
    <mergeCell ref="F1303:G1303"/>
    <mergeCell ref="I1303:J1303"/>
    <mergeCell ref="F1304:G1304"/>
    <mergeCell ref="I1304:J1304"/>
    <mergeCell ref="F1305:G1305"/>
    <mergeCell ref="I1305:J1305"/>
    <mergeCell ref="F1300:G1300"/>
    <mergeCell ref="I1300:J1300"/>
    <mergeCell ref="F1301:G1301"/>
    <mergeCell ref="I1301:J1301"/>
    <mergeCell ref="F1302:G1302"/>
    <mergeCell ref="I1302:J1302"/>
    <mergeCell ref="F1297:G1297"/>
    <mergeCell ref="I1297:J1297"/>
    <mergeCell ref="F1298:G1298"/>
    <mergeCell ref="I1298:J1298"/>
    <mergeCell ref="F1299:G1299"/>
    <mergeCell ref="I1299:J1299"/>
    <mergeCell ref="F1294:G1294"/>
    <mergeCell ref="I1294:J1294"/>
    <mergeCell ref="F1295:G1295"/>
    <mergeCell ref="I1295:J1295"/>
    <mergeCell ref="F1296:G1296"/>
    <mergeCell ref="I1296:J1296"/>
    <mergeCell ref="F1291:G1291"/>
    <mergeCell ref="I1291:J1291"/>
    <mergeCell ref="F1292:G1292"/>
    <mergeCell ref="I1292:J1292"/>
    <mergeCell ref="F1293:G1293"/>
    <mergeCell ref="I1293:J1293"/>
    <mergeCell ref="F1288:G1288"/>
    <mergeCell ref="I1288:J1288"/>
    <mergeCell ref="F1289:G1289"/>
    <mergeCell ref="I1289:J1289"/>
    <mergeCell ref="F1290:G1290"/>
    <mergeCell ref="I1290:J1290"/>
    <mergeCell ref="F1285:G1285"/>
    <mergeCell ref="I1285:J1285"/>
    <mergeCell ref="F1286:G1286"/>
    <mergeCell ref="I1286:J1286"/>
    <mergeCell ref="F1287:G1287"/>
    <mergeCell ref="I1287:J1287"/>
    <mergeCell ref="F1282:G1282"/>
    <mergeCell ref="I1282:J1282"/>
    <mergeCell ref="F1283:G1283"/>
    <mergeCell ref="I1283:J1283"/>
    <mergeCell ref="F1284:G1284"/>
    <mergeCell ref="I1284:J1284"/>
    <mergeCell ref="F1279:G1279"/>
    <mergeCell ref="I1279:J1279"/>
    <mergeCell ref="F1280:G1280"/>
    <mergeCell ref="I1280:J1280"/>
    <mergeCell ref="F1281:G1281"/>
    <mergeCell ref="I1281:J1281"/>
    <mergeCell ref="F1276:G1276"/>
    <mergeCell ref="I1276:J1276"/>
    <mergeCell ref="F1277:G1277"/>
    <mergeCell ref="I1277:J1277"/>
    <mergeCell ref="F1278:G1278"/>
    <mergeCell ref="I1278:J1278"/>
    <mergeCell ref="F1273:G1273"/>
    <mergeCell ref="I1273:J1273"/>
    <mergeCell ref="F1274:G1274"/>
    <mergeCell ref="I1274:J1274"/>
    <mergeCell ref="F1275:G1275"/>
    <mergeCell ref="I1275:J1275"/>
    <mergeCell ref="F1270:G1270"/>
    <mergeCell ref="I1270:J1270"/>
    <mergeCell ref="F1271:G1271"/>
    <mergeCell ref="I1271:J1271"/>
    <mergeCell ref="F1272:G1272"/>
    <mergeCell ref="I1272:J1272"/>
    <mergeCell ref="F1267:G1267"/>
    <mergeCell ref="I1267:J1267"/>
    <mergeCell ref="F1268:G1268"/>
    <mergeCell ref="I1268:J1268"/>
    <mergeCell ref="F1269:G1269"/>
    <mergeCell ref="I1269:J1269"/>
    <mergeCell ref="F1264:G1264"/>
    <mergeCell ref="I1264:J1264"/>
    <mergeCell ref="F1265:G1265"/>
    <mergeCell ref="I1265:J1265"/>
    <mergeCell ref="F1266:G1266"/>
    <mergeCell ref="I1266:J1266"/>
    <mergeCell ref="F1261:G1261"/>
    <mergeCell ref="I1261:J1261"/>
    <mergeCell ref="F1262:G1262"/>
    <mergeCell ref="I1262:J1262"/>
    <mergeCell ref="F1263:G1263"/>
    <mergeCell ref="I1263:J1263"/>
    <mergeCell ref="F1258:G1258"/>
    <mergeCell ref="I1258:J1258"/>
    <mergeCell ref="F1259:G1259"/>
    <mergeCell ref="I1259:J1259"/>
    <mergeCell ref="F1260:G1260"/>
    <mergeCell ref="I1260:J1260"/>
    <mergeCell ref="F1255:G1255"/>
    <mergeCell ref="I1255:J1255"/>
    <mergeCell ref="F1256:G1256"/>
    <mergeCell ref="I1256:J1256"/>
    <mergeCell ref="F1257:G1257"/>
    <mergeCell ref="I1257:J1257"/>
    <mergeCell ref="F1252:G1252"/>
    <mergeCell ref="I1252:J1252"/>
    <mergeCell ref="F1253:G1253"/>
    <mergeCell ref="I1253:J1253"/>
    <mergeCell ref="F1254:G1254"/>
    <mergeCell ref="I1254:J1254"/>
    <mergeCell ref="F1249:G1249"/>
    <mergeCell ref="I1249:J1249"/>
    <mergeCell ref="F1250:G1250"/>
    <mergeCell ref="I1250:J1250"/>
    <mergeCell ref="F1251:G1251"/>
    <mergeCell ref="I1251:J1251"/>
    <mergeCell ref="F1246:G1246"/>
    <mergeCell ref="I1246:J1246"/>
    <mergeCell ref="F1247:G1247"/>
    <mergeCell ref="I1247:J1247"/>
    <mergeCell ref="F1248:G1248"/>
    <mergeCell ref="I1248:J1248"/>
    <mergeCell ref="F1243:G1243"/>
    <mergeCell ref="I1243:J1243"/>
    <mergeCell ref="F1244:G1244"/>
    <mergeCell ref="I1244:J1244"/>
    <mergeCell ref="F1245:G1245"/>
    <mergeCell ref="I1245:J1245"/>
    <mergeCell ref="F1240:G1240"/>
    <mergeCell ref="I1240:J1240"/>
    <mergeCell ref="F1241:G1241"/>
    <mergeCell ref="I1241:J1241"/>
    <mergeCell ref="F1242:G1242"/>
    <mergeCell ref="I1242:J1242"/>
    <mergeCell ref="F1237:G1237"/>
    <mergeCell ref="I1237:J1237"/>
    <mergeCell ref="F1238:G1238"/>
    <mergeCell ref="I1238:J1238"/>
    <mergeCell ref="F1239:G1239"/>
    <mergeCell ref="I1239:J1239"/>
    <mergeCell ref="F1234:G1234"/>
    <mergeCell ref="I1234:J1234"/>
    <mergeCell ref="F1235:G1235"/>
    <mergeCell ref="I1235:J1235"/>
    <mergeCell ref="F1236:G1236"/>
    <mergeCell ref="I1236:J1236"/>
    <mergeCell ref="F1231:G1231"/>
    <mergeCell ref="I1231:J1231"/>
    <mergeCell ref="F1232:G1232"/>
    <mergeCell ref="I1232:J1232"/>
    <mergeCell ref="F1233:G1233"/>
    <mergeCell ref="I1233:J1233"/>
    <mergeCell ref="F1228:G1228"/>
    <mergeCell ref="I1228:J1228"/>
    <mergeCell ref="F1229:G1229"/>
    <mergeCell ref="I1229:J1229"/>
    <mergeCell ref="F1230:G1230"/>
    <mergeCell ref="I1230:J1230"/>
    <mergeCell ref="F1225:G1225"/>
    <mergeCell ref="I1225:J1225"/>
    <mergeCell ref="F1226:G1226"/>
    <mergeCell ref="I1226:J1226"/>
    <mergeCell ref="F1227:G1227"/>
    <mergeCell ref="I1227:J1227"/>
    <mergeCell ref="F1222:G1222"/>
    <mergeCell ref="I1222:J1222"/>
    <mergeCell ref="F1223:G1223"/>
    <mergeCell ref="I1223:J1223"/>
    <mergeCell ref="F1224:G1224"/>
    <mergeCell ref="I1224:J1224"/>
    <mergeCell ref="F1219:G1219"/>
    <mergeCell ref="I1219:J1219"/>
    <mergeCell ref="F1220:G1220"/>
    <mergeCell ref="I1220:J1220"/>
    <mergeCell ref="F1221:G1221"/>
    <mergeCell ref="I1221:J1221"/>
    <mergeCell ref="F1216:G1216"/>
    <mergeCell ref="I1216:J1216"/>
    <mergeCell ref="F1217:G1217"/>
    <mergeCell ref="I1217:J1217"/>
    <mergeCell ref="F1218:G1218"/>
    <mergeCell ref="I1218:J1218"/>
    <mergeCell ref="F1213:G1213"/>
    <mergeCell ref="I1213:J1213"/>
    <mergeCell ref="F1214:G1214"/>
    <mergeCell ref="I1214:J1214"/>
    <mergeCell ref="F1215:G1215"/>
    <mergeCell ref="I1215:J1215"/>
    <mergeCell ref="F1210:G1210"/>
    <mergeCell ref="I1210:J1210"/>
    <mergeCell ref="F1211:G1211"/>
    <mergeCell ref="I1211:J1211"/>
    <mergeCell ref="F1212:G1212"/>
    <mergeCell ref="I1212:J1212"/>
    <mergeCell ref="F1207:G1207"/>
    <mergeCell ref="I1207:J1207"/>
    <mergeCell ref="F1208:G1208"/>
    <mergeCell ref="I1208:J1208"/>
    <mergeCell ref="F1209:G1209"/>
    <mergeCell ref="I1209:J1209"/>
    <mergeCell ref="F1204:G1204"/>
    <mergeCell ref="I1204:J1204"/>
    <mergeCell ref="F1205:G1205"/>
    <mergeCell ref="I1205:J1205"/>
    <mergeCell ref="F1206:G1206"/>
    <mergeCell ref="I1206:J1206"/>
    <mergeCell ref="F1201:G1201"/>
    <mergeCell ref="I1201:J1201"/>
    <mergeCell ref="F1202:G1202"/>
    <mergeCell ref="I1202:J1202"/>
    <mergeCell ref="F1203:G1203"/>
    <mergeCell ref="I1203:J1203"/>
    <mergeCell ref="F1198:G1198"/>
    <mergeCell ref="I1198:J1198"/>
    <mergeCell ref="F1199:G1199"/>
    <mergeCell ref="I1199:J1199"/>
    <mergeCell ref="F1200:G1200"/>
    <mergeCell ref="I1200:J1200"/>
    <mergeCell ref="F1195:G1195"/>
    <mergeCell ref="I1195:J1195"/>
    <mergeCell ref="F1196:G1196"/>
    <mergeCell ref="I1196:J1196"/>
    <mergeCell ref="F1197:G1197"/>
    <mergeCell ref="I1197:J1197"/>
    <mergeCell ref="F1192:G1192"/>
    <mergeCell ref="I1192:J1192"/>
    <mergeCell ref="F1193:G1193"/>
    <mergeCell ref="I1193:J1193"/>
    <mergeCell ref="F1194:G1194"/>
    <mergeCell ref="I1194:J1194"/>
    <mergeCell ref="F1189:G1189"/>
    <mergeCell ref="I1189:J1189"/>
    <mergeCell ref="F1190:G1190"/>
    <mergeCell ref="I1190:J1190"/>
    <mergeCell ref="F1191:G1191"/>
    <mergeCell ref="I1191:J1191"/>
    <mergeCell ref="F1186:G1186"/>
    <mergeCell ref="I1186:J1186"/>
    <mergeCell ref="F1187:G1187"/>
    <mergeCell ref="I1187:J1187"/>
    <mergeCell ref="F1188:G1188"/>
    <mergeCell ref="I1188:J1188"/>
    <mergeCell ref="F1183:G1183"/>
    <mergeCell ref="I1183:J1183"/>
    <mergeCell ref="F1184:G1184"/>
    <mergeCell ref="I1184:J1184"/>
    <mergeCell ref="F1185:G1185"/>
    <mergeCell ref="I1185:J1185"/>
    <mergeCell ref="F1180:G1180"/>
    <mergeCell ref="I1180:J1180"/>
    <mergeCell ref="F1181:G1181"/>
    <mergeCell ref="I1181:J1181"/>
    <mergeCell ref="F1182:G1182"/>
    <mergeCell ref="I1182:J1182"/>
    <mergeCell ref="F1177:G1177"/>
    <mergeCell ref="I1177:J1177"/>
    <mergeCell ref="F1178:G1178"/>
    <mergeCell ref="I1178:J1178"/>
    <mergeCell ref="F1179:G1179"/>
    <mergeCell ref="I1179:J1179"/>
    <mergeCell ref="F1174:G1174"/>
    <mergeCell ref="I1174:J1174"/>
    <mergeCell ref="F1175:G1175"/>
    <mergeCell ref="I1175:J1175"/>
    <mergeCell ref="F1176:G1176"/>
    <mergeCell ref="I1176:J1176"/>
    <mergeCell ref="F1171:G1171"/>
    <mergeCell ref="I1171:J1171"/>
    <mergeCell ref="F1172:G1172"/>
    <mergeCell ref="I1172:J1172"/>
    <mergeCell ref="F1173:G1173"/>
    <mergeCell ref="I1173:J1173"/>
    <mergeCell ref="F1168:G1168"/>
    <mergeCell ref="I1168:J1168"/>
    <mergeCell ref="F1169:G1169"/>
    <mergeCell ref="I1169:J1169"/>
    <mergeCell ref="F1170:G1170"/>
    <mergeCell ref="I1170:J1170"/>
    <mergeCell ref="F1165:G1165"/>
    <mergeCell ref="I1165:J1165"/>
    <mergeCell ref="F1166:G1166"/>
    <mergeCell ref="I1166:J1166"/>
    <mergeCell ref="F1167:G1167"/>
    <mergeCell ref="I1167:J1167"/>
    <mergeCell ref="F1162:G1162"/>
    <mergeCell ref="I1162:J1162"/>
    <mergeCell ref="F1163:G1163"/>
    <mergeCell ref="I1163:J1163"/>
    <mergeCell ref="F1164:G1164"/>
    <mergeCell ref="I1164:J1164"/>
    <mergeCell ref="F1159:G1159"/>
    <mergeCell ref="I1159:J1159"/>
    <mergeCell ref="F1160:G1160"/>
    <mergeCell ref="I1160:J1160"/>
    <mergeCell ref="F1161:G1161"/>
    <mergeCell ref="I1161:J1161"/>
    <mergeCell ref="F1156:G1156"/>
    <mergeCell ref="I1156:J1156"/>
    <mergeCell ref="F1157:G1157"/>
    <mergeCell ref="I1157:J1157"/>
    <mergeCell ref="F1158:G1158"/>
    <mergeCell ref="I1158:J1158"/>
    <mergeCell ref="F1153:G1153"/>
    <mergeCell ref="I1153:J1153"/>
    <mergeCell ref="F1154:G1154"/>
    <mergeCell ref="I1154:J1154"/>
    <mergeCell ref="F1155:G1155"/>
    <mergeCell ref="I1155:J1155"/>
    <mergeCell ref="F1150:G1150"/>
    <mergeCell ref="I1150:J1150"/>
    <mergeCell ref="F1151:G1151"/>
    <mergeCell ref="I1151:J1151"/>
    <mergeCell ref="F1152:G1152"/>
    <mergeCell ref="I1152:J1152"/>
    <mergeCell ref="F1147:G1147"/>
    <mergeCell ref="I1147:J1147"/>
    <mergeCell ref="F1148:G1148"/>
    <mergeCell ref="I1148:J1148"/>
    <mergeCell ref="F1149:G1149"/>
    <mergeCell ref="I1149:J1149"/>
    <mergeCell ref="F1144:G1144"/>
    <mergeCell ref="I1144:J1144"/>
    <mergeCell ref="F1145:G1145"/>
    <mergeCell ref="I1145:J1145"/>
    <mergeCell ref="F1146:G1146"/>
    <mergeCell ref="I1146:J1146"/>
    <mergeCell ref="F1141:G1141"/>
    <mergeCell ref="I1141:J1141"/>
    <mergeCell ref="F1142:G1142"/>
    <mergeCell ref="I1142:J1142"/>
    <mergeCell ref="F1143:G1143"/>
    <mergeCell ref="I1143:J1143"/>
    <mergeCell ref="F1138:G1138"/>
    <mergeCell ref="I1138:J1138"/>
    <mergeCell ref="F1139:G1139"/>
    <mergeCell ref="I1139:J1139"/>
    <mergeCell ref="F1140:G1140"/>
    <mergeCell ref="I1140:J1140"/>
    <mergeCell ref="F1135:G1135"/>
    <mergeCell ref="I1135:J1135"/>
    <mergeCell ref="F1136:G1136"/>
    <mergeCell ref="I1136:J1136"/>
    <mergeCell ref="F1137:G1137"/>
    <mergeCell ref="I1137:J1137"/>
    <mergeCell ref="F1132:G1132"/>
    <mergeCell ref="I1132:J1132"/>
    <mergeCell ref="F1133:G1133"/>
    <mergeCell ref="I1133:J1133"/>
    <mergeCell ref="F1134:G1134"/>
    <mergeCell ref="I1134:J1134"/>
    <mergeCell ref="F1129:G1129"/>
    <mergeCell ref="I1129:J1129"/>
    <mergeCell ref="F1130:G1130"/>
    <mergeCell ref="I1130:J1130"/>
    <mergeCell ref="F1131:G1131"/>
    <mergeCell ref="I1131:J1131"/>
    <mergeCell ref="F1126:G1126"/>
    <mergeCell ref="I1126:J1126"/>
    <mergeCell ref="F1127:G1127"/>
    <mergeCell ref="I1127:J1127"/>
    <mergeCell ref="F1128:G1128"/>
    <mergeCell ref="I1128:J1128"/>
    <mergeCell ref="F1123:G1123"/>
    <mergeCell ref="I1123:J1123"/>
    <mergeCell ref="F1124:G1124"/>
    <mergeCell ref="I1124:J1124"/>
    <mergeCell ref="F1125:G1125"/>
    <mergeCell ref="I1125:J1125"/>
    <mergeCell ref="F1120:G1120"/>
    <mergeCell ref="I1120:J1120"/>
    <mergeCell ref="F1121:G1121"/>
    <mergeCell ref="I1121:J1121"/>
    <mergeCell ref="F1122:G1122"/>
    <mergeCell ref="I1122:J1122"/>
    <mergeCell ref="F1117:G1117"/>
    <mergeCell ref="I1117:J1117"/>
    <mergeCell ref="F1118:G1118"/>
    <mergeCell ref="I1118:J1118"/>
    <mergeCell ref="F1119:G1119"/>
    <mergeCell ref="I1119:J1119"/>
    <mergeCell ref="F1114:G1114"/>
    <mergeCell ref="I1114:J1114"/>
    <mergeCell ref="F1115:G1115"/>
    <mergeCell ref="I1115:J1115"/>
    <mergeCell ref="F1116:G1116"/>
    <mergeCell ref="I1116:J1116"/>
    <mergeCell ref="F1111:G1111"/>
    <mergeCell ref="I1111:J1111"/>
    <mergeCell ref="F1112:G1112"/>
    <mergeCell ref="I1112:J1112"/>
    <mergeCell ref="F1113:G1113"/>
    <mergeCell ref="I1113:J1113"/>
    <mergeCell ref="F1108:G1108"/>
    <mergeCell ref="I1108:J1108"/>
    <mergeCell ref="F1109:G1109"/>
    <mergeCell ref="I1109:J1109"/>
    <mergeCell ref="F1110:G1110"/>
    <mergeCell ref="I1110:J1110"/>
    <mergeCell ref="F1105:G1105"/>
    <mergeCell ref="I1105:J1105"/>
    <mergeCell ref="F1106:G1106"/>
    <mergeCell ref="I1106:J1106"/>
    <mergeCell ref="F1107:G1107"/>
    <mergeCell ref="I1107:J1107"/>
    <mergeCell ref="F1102:G1102"/>
    <mergeCell ref="I1102:J1102"/>
    <mergeCell ref="F1103:G1103"/>
    <mergeCell ref="I1103:J1103"/>
    <mergeCell ref="F1104:G1104"/>
    <mergeCell ref="I1104:J1104"/>
    <mergeCell ref="F1099:G1099"/>
    <mergeCell ref="I1099:J1099"/>
    <mergeCell ref="F1100:G1100"/>
    <mergeCell ref="I1100:J1100"/>
    <mergeCell ref="F1101:G1101"/>
    <mergeCell ref="I1101:J1101"/>
    <mergeCell ref="F1096:G1096"/>
    <mergeCell ref="I1096:J1096"/>
    <mergeCell ref="F1097:G1097"/>
    <mergeCell ref="I1097:J1097"/>
    <mergeCell ref="F1098:G1098"/>
    <mergeCell ref="I1098:J1098"/>
    <mergeCell ref="F1093:G1093"/>
    <mergeCell ref="I1093:J1093"/>
    <mergeCell ref="F1094:G1094"/>
    <mergeCell ref="I1094:J1094"/>
    <mergeCell ref="F1095:G1095"/>
    <mergeCell ref="I1095:J1095"/>
    <mergeCell ref="F1090:G1090"/>
    <mergeCell ref="I1090:J1090"/>
    <mergeCell ref="F1091:G1091"/>
    <mergeCell ref="I1091:J1091"/>
    <mergeCell ref="F1092:G1092"/>
    <mergeCell ref="I1092:J1092"/>
    <mergeCell ref="F1087:G1087"/>
    <mergeCell ref="I1087:J1087"/>
    <mergeCell ref="F1088:G1088"/>
    <mergeCell ref="I1088:J1088"/>
    <mergeCell ref="F1089:G1089"/>
    <mergeCell ref="I1089:J1089"/>
    <mergeCell ref="F1084:G1084"/>
    <mergeCell ref="I1084:J1084"/>
    <mergeCell ref="F1085:G1085"/>
    <mergeCell ref="I1085:J1085"/>
    <mergeCell ref="F1086:G1086"/>
    <mergeCell ref="I1086:J1086"/>
    <mergeCell ref="F1081:G1081"/>
    <mergeCell ref="I1081:J1081"/>
    <mergeCell ref="F1082:G1082"/>
    <mergeCell ref="I1082:J1082"/>
    <mergeCell ref="F1083:G1083"/>
    <mergeCell ref="I1083:J1083"/>
    <mergeCell ref="F1078:G1078"/>
    <mergeCell ref="I1078:J1078"/>
    <mergeCell ref="F1079:G1079"/>
    <mergeCell ref="I1079:J1079"/>
    <mergeCell ref="F1080:G1080"/>
    <mergeCell ref="I1080:J1080"/>
    <mergeCell ref="F1075:G1075"/>
    <mergeCell ref="I1075:J1075"/>
    <mergeCell ref="F1076:G1076"/>
    <mergeCell ref="I1076:J1076"/>
    <mergeCell ref="F1077:G1077"/>
    <mergeCell ref="I1077:J1077"/>
    <mergeCell ref="F1072:G1072"/>
    <mergeCell ref="I1072:J1072"/>
    <mergeCell ref="F1073:G1073"/>
    <mergeCell ref="I1073:J1073"/>
    <mergeCell ref="F1074:G1074"/>
    <mergeCell ref="I1074:J1074"/>
    <mergeCell ref="F1069:G1069"/>
    <mergeCell ref="I1069:J1069"/>
    <mergeCell ref="F1070:G1070"/>
    <mergeCell ref="I1070:J1070"/>
    <mergeCell ref="F1071:G1071"/>
    <mergeCell ref="I1071:J1071"/>
    <mergeCell ref="F1066:G1066"/>
    <mergeCell ref="I1066:J1066"/>
    <mergeCell ref="F1067:G1067"/>
    <mergeCell ref="I1067:J1067"/>
    <mergeCell ref="F1068:G1068"/>
    <mergeCell ref="I1068:J1068"/>
    <mergeCell ref="F1063:G1063"/>
    <mergeCell ref="I1063:J1063"/>
    <mergeCell ref="F1064:G1064"/>
    <mergeCell ref="I1064:J1064"/>
    <mergeCell ref="F1065:G1065"/>
    <mergeCell ref="I1065:J1065"/>
    <mergeCell ref="F1060:G1060"/>
    <mergeCell ref="I1060:J1060"/>
    <mergeCell ref="F1061:G1061"/>
    <mergeCell ref="I1061:J1061"/>
    <mergeCell ref="F1062:G1062"/>
    <mergeCell ref="I1062:J1062"/>
    <mergeCell ref="F1057:G1057"/>
    <mergeCell ref="I1057:J1057"/>
    <mergeCell ref="F1058:G1058"/>
    <mergeCell ref="I1058:J1058"/>
    <mergeCell ref="F1059:G1059"/>
    <mergeCell ref="I1059:J1059"/>
    <mergeCell ref="F1054:G1054"/>
    <mergeCell ref="I1054:J1054"/>
    <mergeCell ref="F1055:G1055"/>
    <mergeCell ref="I1055:J1055"/>
    <mergeCell ref="F1056:G1056"/>
    <mergeCell ref="I1056:J1056"/>
    <mergeCell ref="F1051:G1051"/>
    <mergeCell ref="I1051:J1051"/>
    <mergeCell ref="F1052:G1052"/>
    <mergeCell ref="I1052:J1052"/>
    <mergeCell ref="F1053:G1053"/>
    <mergeCell ref="I1053:J1053"/>
    <mergeCell ref="F1048:G1048"/>
    <mergeCell ref="I1048:J1048"/>
    <mergeCell ref="F1049:G1049"/>
    <mergeCell ref="I1049:J1049"/>
    <mergeCell ref="F1050:G1050"/>
    <mergeCell ref="I1050:J1050"/>
    <mergeCell ref="F1045:G1045"/>
    <mergeCell ref="I1045:J1045"/>
    <mergeCell ref="F1046:G1046"/>
    <mergeCell ref="I1046:J1046"/>
    <mergeCell ref="F1047:G1047"/>
    <mergeCell ref="I1047:J1047"/>
    <mergeCell ref="F1042:G1042"/>
    <mergeCell ref="I1042:J1042"/>
    <mergeCell ref="F1043:G1043"/>
    <mergeCell ref="I1043:J1043"/>
    <mergeCell ref="F1044:G1044"/>
    <mergeCell ref="I1044:J1044"/>
    <mergeCell ref="F1039:G1039"/>
    <mergeCell ref="I1039:J1039"/>
    <mergeCell ref="F1040:G1040"/>
    <mergeCell ref="I1040:J1040"/>
    <mergeCell ref="F1041:G1041"/>
    <mergeCell ref="I1041:J1041"/>
    <mergeCell ref="F1036:G1036"/>
    <mergeCell ref="I1036:J1036"/>
    <mergeCell ref="F1037:G1037"/>
    <mergeCell ref="I1037:J1037"/>
    <mergeCell ref="F1038:G1038"/>
    <mergeCell ref="I1038:J1038"/>
    <mergeCell ref="F1033:G1033"/>
    <mergeCell ref="I1033:J1033"/>
    <mergeCell ref="F1034:G1034"/>
    <mergeCell ref="I1034:J1034"/>
    <mergeCell ref="F1035:G1035"/>
    <mergeCell ref="I1035:J1035"/>
    <mergeCell ref="F1030:G1030"/>
    <mergeCell ref="I1030:J1030"/>
    <mergeCell ref="F1031:G1031"/>
    <mergeCell ref="I1031:J1031"/>
    <mergeCell ref="F1032:G1032"/>
    <mergeCell ref="I1032:J1032"/>
    <mergeCell ref="F1027:G1027"/>
    <mergeCell ref="I1027:J1027"/>
    <mergeCell ref="F1028:G1028"/>
    <mergeCell ref="I1028:J1028"/>
    <mergeCell ref="F1029:G1029"/>
    <mergeCell ref="I1029:J1029"/>
    <mergeCell ref="F1024:G1024"/>
    <mergeCell ref="I1024:J1024"/>
    <mergeCell ref="F1025:G1025"/>
    <mergeCell ref="I1025:J1025"/>
    <mergeCell ref="F1026:G1026"/>
    <mergeCell ref="I1026:J1026"/>
    <mergeCell ref="F1021:G1021"/>
    <mergeCell ref="I1021:J1021"/>
    <mergeCell ref="F1022:G1022"/>
    <mergeCell ref="I1022:J1022"/>
    <mergeCell ref="F1023:G1023"/>
    <mergeCell ref="I1023:J1023"/>
    <mergeCell ref="F1018:G1018"/>
    <mergeCell ref="I1018:J1018"/>
    <mergeCell ref="F1019:G1019"/>
    <mergeCell ref="I1019:J1019"/>
    <mergeCell ref="F1020:G1020"/>
    <mergeCell ref="I1020:J1020"/>
    <mergeCell ref="F1015:G1015"/>
    <mergeCell ref="I1015:J1015"/>
    <mergeCell ref="F1016:G1016"/>
    <mergeCell ref="I1016:J1016"/>
    <mergeCell ref="F1017:G1017"/>
    <mergeCell ref="I1017:J1017"/>
    <mergeCell ref="F1012:G1012"/>
    <mergeCell ref="I1012:J1012"/>
    <mergeCell ref="F1013:G1013"/>
    <mergeCell ref="I1013:J1013"/>
    <mergeCell ref="F1014:G1014"/>
    <mergeCell ref="I1014:J1014"/>
    <mergeCell ref="F1009:G1009"/>
    <mergeCell ref="I1009:J1009"/>
    <mergeCell ref="F1010:G1010"/>
    <mergeCell ref="I1010:J1010"/>
    <mergeCell ref="F1011:G1011"/>
    <mergeCell ref="I1011:J1011"/>
    <mergeCell ref="F1006:G1006"/>
    <mergeCell ref="I1006:J1006"/>
    <mergeCell ref="F1007:G1007"/>
    <mergeCell ref="I1007:J1007"/>
    <mergeCell ref="F1008:G1008"/>
    <mergeCell ref="I1008:J1008"/>
    <mergeCell ref="F1003:G1003"/>
    <mergeCell ref="I1003:J1003"/>
    <mergeCell ref="F1004:G1004"/>
    <mergeCell ref="I1004:J1004"/>
    <mergeCell ref="F1005:G1005"/>
    <mergeCell ref="I1005:J1005"/>
    <mergeCell ref="F1000:G1000"/>
    <mergeCell ref="I1000:J1000"/>
    <mergeCell ref="F1001:G1001"/>
    <mergeCell ref="I1001:J1001"/>
    <mergeCell ref="F1002:G1002"/>
    <mergeCell ref="I1002:J1002"/>
    <mergeCell ref="F997:G997"/>
    <mergeCell ref="I997:J997"/>
    <mergeCell ref="F998:G998"/>
    <mergeCell ref="I998:J998"/>
    <mergeCell ref="F999:G999"/>
    <mergeCell ref="I999:J999"/>
    <mergeCell ref="F994:G994"/>
    <mergeCell ref="I994:J994"/>
    <mergeCell ref="F995:G995"/>
    <mergeCell ref="I995:J995"/>
    <mergeCell ref="F996:G996"/>
    <mergeCell ref="I996:J996"/>
    <mergeCell ref="F991:G991"/>
    <mergeCell ref="I991:J991"/>
    <mergeCell ref="F992:G992"/>
    <mergeCell ref="I992:J992"/>
    <mergeCell ref="F993:G993"/>
    <mergeCell ref="I993:J993"/>
    <mergeCell ref="F988:G988"/>
    <mergeCell ref="I988:J988"/>
    <mergeCell ref="F989:G989"/>
    <mergeCell ref="I989:J989"/>
    <mergeCell ref="F990:G990"/>
    <mergeCell ref="I990:J990"/>
    <mergeCell ref="F985:G985"/>
    <mergeCell ref="I985:J985"/>
    <mergeCell ref="F986:G986"/>
    <mergeCell ref="I986:J986"/>
    <mergeCell ref="F987:G987"/>
    <mergeCell ref="I987:J987"/>
    <mergeCell ref="F982:G982"/>
    <mergeCell ref="I982:J982"/>
    <mergeCell ref="F983:G983"/>
    <mergeCell ref="I983:J983"/>
    <mergeCell ref="F984:G984"/>
    <mergeCell ref="I984:J984"/>
    <mergeCell ref="F979:G979"/>
    <mergeCell ref="I979:J979"/>
    <mergeCell ref="F980:G980"/>
    <mergeCell ref="I980:J980"/>
    <mergeCell ref="F981:G981"/>
    <mergeCell ref="I981:J981"/>
    <mergeCell ref="F976:G976"/>
    <mergeCell ref="I976:J976"/>
    <mergeCell ref="F977:G977"/>
    <mergeCell ref="I977:J977"/>
    <mergeCell ref="F978:G978"/>
    <mergeCell ref="I978:J978"/>
    <mergeCell ref="F973:G973"/>
    <mergeCell ref="I973:J973"/>
    <mergeCell ref="F974:G974"/>
    <mergeCell ref="I974:J974"/>
    <mergeCell ref="F975:G975"/>
    <mergeCell ref="I975:J975"/>
    <mergeCell ref="F970:G970"/>
    <mergeCell ref="I970:J970"/>
    <mergeCell ref="F971:G971"/>
    <mergeCell ref="I971:J971"/>
    <mergeCell ref="F972:G972"/>
    <mergeCell ref="I972:J972"/>
    <mergeCell ref="F967:G967"/>
    <mergeCell ref="I967:J967"/>
    <mergeCell ref="F968:G968"/>
    <mergeCell ref="I968:J968"/>
    <mergeCell ref="F969:G969"/>
    <mergeCell ref="I969:J969"/>
    <mergeCell ref="F964:G964"/>
    <mergeCell ref="I964:J964"/>
    <mergeCell ref="F965:G965"/>
    <mergeCell ref="I965:J965"/>
    <mergeCell ref="F966:G966"/>
    <mergeCell ref="I966:J966"/>
    <mergeCell ref="F961:G961"/>
    <mergeCell ref="I961:J961"/>
    <mergeCell ref="F962:G962"/>
    <mergeCell ref="I962:J962"/>
    <mergeCell ref="F963:G963"/>
    <mergeCell ref="I963:J963"/>
    <mergeCell ref="F958:G958"/>
    <mergeCell ref="I958:J958"/>
    <mergeCell ref="F959:G959"/>
    <mergeCell ref="I959:J959"/>
    <mergeCell ref="F960:G960"/>
    <mergeCell ref="I960:J960"/>
    <mergeCell ref="F955:G955"/>
    <mergeCell ref="I955:J955"/>
    <mergeCell ref="F956:G956"/>
    <mergeCell ref="I956:J956"/>
    <mergeCell ref="F957:G957"/>
    <mergeCell ref="I957:J957"/>
    <mergeCell ref="F952:G952"/>
    <mergeCell ref="I952:J952"/>
    <mergeCell ref="F953:G953"/>
    <mergeCell ref="I953:J953"/>
    <mergeCell ref="F954:G954"/>
    <mergeCell ref="I954:J954"/>
    <mergeCell ref="F949:G949"/>
    <mergeCell ref="I949:J949"/>
    <mergeCell ref="F950:G950"/>
    <mergeCell ref="I950:J950"/>
    <mergeCell ref="F951:G951"/>
    <mergeCell ref="I951:J951"/>
    <mergeCell ref="F946:G946"/>
    <mergeCell ref="I946:J946"/>
    <mergeCell ref="F947:G947"/>
    <mergeCell ref="I947:J947"/>
    <mergeCell ref="F948:G948"/>
    <mergeCell ref="I948:J948"/>
    <mergeCell ref="F943:G943"/>
    <mergeCell ref="I943:J943"/>
    <mergeCell ref="F944:G944"/>
    <mergeCell ref="I944:J944"/>
    <mergeCell ref="F945:G945"/>
    <mergeCell ref="I945:J945"/>
    <mergeCell ref="F940:G940"/>
    <mergeCell ref="I940:J940"/>
    <mergeCell ref="F941:G941"/>
    <mergeCell ref="I941:J941"/>
    <mergeCell ref="F942:G942"/>
    <mergeCell ref="I942:J942"/>
    <mergeCell ref="F937:G937"/>
    <mergeCell ref="I937:J937"/>
    <mergeCell ref="F938:G938"/>
    <mergeCell ref="I938:J938"/>
    <mergeCell ref="F939:G939"/>
    <mergeCell ref="I939:J939"/>
    <mergeCell ref="F934:G934"/>
    <mergeCell ref="I934:J934"/>
    <mergeCell ref="F935:G935"/>
    <mergeCell ref="I935:J935"/>
    <mergeCell ref="F936:G936"/>
    <mergeCell ref="I936:J936"/>
    <mergeCell ref="F931:G931"/>
    <mergeCell ref="I931:J931"/>
    <mergeCell ref="F932:G932"/>
    <mergeCell ref="I932:J932"/>
    <mergeCell ref="F933:G933"/>
    <mergeCell ref="I933:J933"/>
    <mergeCell ref="F928:G928"/>
    <mergeCell ref="I928:J928"/>
    <mergeCell ref="F929:G929"/>
    <mergeCell ref="I929:J929"/>
    <mergeCell ref="F930:G930"/>
    <mergeCell ref="I930:J930"/>
    <mergeCell ref="F925:G925"/>
    <mergeCell ref="I925:J925"/>
    <mergeCell ref="F926:G926"/>
    <mergeCell ref="I926:J926"/>
    <mergeCell ref="F927:G927"/>
    <mergeCell ref="I927:J927"/>
    <mergeCell ref="F922:G922"/>
    <mergeCell ref="I922:J922"/>
    <mergeCell ref="F923:G923"/>
    <mergeCell ref="I923:J923"/>
    <mergeCell ref="F924:G924"/>
    <mergeCell ref="I924:J924"/>
    <mergeCell ref="F919:G919"/>
    <mergeCell ref="I919:J919"/>
    <mergeCell ref="F920:G920"/>
    <mergeCell ref="I920:J920"/>
    <mergeCell ref="F921:G921"/>
    <mergeCell ref="I921:J921"/>
    <mergeCell ref="F916:G916"/>
    <mergeCell ref="I916:J916"/>
    <mergeCell ref="F917:G917"/>
    <mergeCell ref="I917:J917"/>
    <mergeCell ref="F918:G918"/>
    <mergeCell ref="I918:J918"/>
    <mergeCell ref="F913:G913"/>
    <mergeCell ref="I913:J913"/>
    <mergeCell ref="F914:G914"/>
    <mergeCell ref="I914:J914"/>
    <mergeCell ref="F915:G915"/>
    <mergeCell ref="I915:J915"/>
    <mergeCell ref="F910:G910"/>
    <mergeCell ref="I910:J910"/>
    <mergeCell ref="F911:G911"/>
    <mergeCell ref="I911:J911"/>
    <mergeCell ref="F912:G912"/>
    <mergeCell ref="I912:J912"/>
    <mergeCell ref="F907:G907"/>
    <mergeCell ref="I907:J907"/>
    <mergeCell ref="F908:G908"/>
    <mergeCell ref="I908:J908"/>
    <mergeCell ref="F909:G909"/>
    <mergeCell ref="I909:J909"/>
    <mergeCell ref="F904:G904"/>
    <mergeCell ref="I904:J904"/>
    <mergeCell ref="F905:G905"/>
    <mergeCell ref="I905:J905"/>
    <mergeCell ref="F906:G906"/>
    <mergeCell ref="I906:J906"/>
    <mergeCell ref="F901:G901"/>
    <mergeCell ref="I901:J901"/>
    <mergeCell ref="F902:G902"/>
    <mergeCell ref="I902:J902"/>
    <mergeCell ref="F903:G903"/>
    <mergeCell ref="I903:J903"/>
    <mergeCell ref="F898:G898"/>
    <mergeCell ref="I898:J898"/>
    <mergeCell ref="F899:G899"/>
    <mergeCell ref="I899:J899"/>
    <mergeCell ref="F900:G900"/>
    <mergeCell ref="I900:J900"/>
    <mergeCell ref="F895:G895"/>
    <mergeCell ref="I895:J895"/>
    <mergeCell ref="F896:G896"/>
    <mergeCell ref="I896:J896"/>
    <mergeCell ref="F897:G897"/>
    <mergeCell ref="I897:J897"/>
    <mergeCell ref="F892:G892"/>
    <mergeCell ref="I892:J892"/>
    <mergeCell ref="F893:G893"/>
    <mergeCell ref="I893:J893"/>
    <mergeCell ref="F894:G894"/>
    <mergeCell ref="I894:J894"/>
    <mergeCell ref="F889:G889"/>
    <mergeCell ref="I889:J889"/>
    <mergeCell ref="F890:G890"/>
    <mergeCell ref="I890:J890"/>
    <mergeCell ref="F891:G891"/>
    <mergeCell ref="I891:J891"/>
    <mergeCell ref="F886:G886"/>
    <mergeCell ref="I886:J886"/>
    <mergeCell ref="F887:G887"/>
    <mergeCell ref="I887:J887"/>
    <mergeCell ref="F888:G888"/>
    <mergeCell ref="I888:J888"/>
    <mergeCell ref="F883:G883"/>
    <mergeCell ref="I883:J883"/>
    <mergeCell ref="F884:G884"/>
    <mergeCell ref="I884:J884"/>
    <mergeCell ref="F885:G885"/>
    <mergeCell ref="I885:J885"/>
    <mergeCell ref="F880:G880"/>
    <mergeCell ref="I880:J880"/>
    <mergeCell ref="F881:G881"/>
    <mergeCell ref="I881:J881"/>
    <mergeCell ref="F882:G882"/>
    <mergeCell ref="I882:J882"/>
    <mergeCell ref="F877:G877"/>
    <mergeCell ref="I877:J877"/>
    <mergeCell ref="F878:G878"/>
    <mergeCell ref="I878:J878"/>
    <mergeCell ref="F879:G879"/>
    <mergeCell ref="I879:J879"/>
    <mergeCell ref="F874:G874"/>
    <mergeCell ref="I874:J874"/>
    <mergeCell ref="F875:G875"/>
    <mergeCell ref="I875:J875"/>
    <mergeCell ref="F876:G876"/>
    <mergeCell ref="I876:J876"/>
    <mergeCell ref="F871:G871"/>
    <mergeCell ref="I871:J871"/>
    <mergeCell ref="F872:G872"/>
    <mergeCell ref="I872:J872"/>
    <mergeCell ref="F873:G873"/>
    <mergeCell ref="I873:J873"/>
    <mergeCell ref="F868:G868"/>
    <mergeCell ref="I868:J868"/>
    <mergeCell ref="F869:G869"/>
    <mergeCell ref="I869:J869"/>
    <mergeCell ref="F870:G870"/>
    <mergeCell ref="I870:J870"/>
    <mergeCell ref="F865:G865"/>
    <mergeCell ref="I865:J865"/>
    <mergeCell ref="F866:G866"/>
    <mergeCell ref="I866:J866"/>
    <mergeCell ref="F867:G867"/>
    <mergeCell ref="I867:J867"/>
    <mergeCell ref="F862:G862"/>
    <mergeCell ref="I862:J862"/>
    <mergeCell ref="F863:G863"/>
    <mergeCell ref="I863:J863"/>
    <mergeCell ref="F864:G864"/>
    <mergeCell ref="I864:J864"/>
    <mergeCell ref="F859:G859"/>
    <mergeCell ref="I859:J859"/>
    <mergeCell ref="F860:G860"/>
    <mergeCell ref="I860:J860"/>
    <mergeCell ref="F861:G861"/>
    <mergeCell ref="I861:J861"/>
    <mergeCell ref="F856:G856"/>
    <mergeCell ref="I856:J856"/>
    <mergeCell ref="F857:G857"/>
    <mergeCell ref="I857:J857"/>
    <mergeCell ref="F858:G858"/>
    <mergeCell ref="I858:J858"/>
    <mergeCell ref="F853:G853"/>
    <mergeCell ref="I853:J853"/>
    <mergeCell ref="F854:G854"/>
    <mergeCell ref="I854:J854"/>
    <mergeCell ref="F855:G855"/>
    <mergeCell ref="I855:J855"/>
    <mergeCell ref="F850:G850"/>
    <mergeCell ref="I850:J850"/>
    <mergeCell ref="F851:G851"/>
    <mergeCell ref="I851:J851"/>
    <mergeCell ref="F852:G852"/>
    <mergeCell ref="I852:J852"/>
    <mergeCell ref="F847:G847"/>
    <mergeCell ref="I847:J847"/>
    <mergeCell ref="F848:G848"/>
    <mergeCell ref="I848:J848"/>
    <mergeCell ref="F849:G849"/>
    <mergeCell ref="I849:J849"/>
    <mergeCell ref="F844:G844"/>
    <mergeCell ref="I844:J844"/>
    <mergeCell ref="F845:G845"/>
    <mergeCell ref="I845:J845"/>
    <mergeCell ref="F846:G846"/>
    <mergeCell ref="I846:J846"/>
    <mergeCell ref="F841:G841"/>
    <mergeCell ref="I841:J841"/>
    <mergeCell ref="F842:G842"/>
    <mergeCell ref="I842:J842"/>
    <mergeCell ref="F843:G843"/>
    <mergeCell ref="I843:J843"/>
    <mergeCell ref="F838:G838"/>
    <mergeCell ref="I838:J838"/>
    <mergeCell ref="F839:G839"/>
    <mergeCell ref="I839:J839"/>
    <mergeCell ref="F840:G840"/>
    <mergeCell ref="I840:J840"/>
    <mergeCell ref="F835:G835"/>
    <mergeCell ref="I835:J835"/>
    <mergeCell ref="F836:G836"/>
    <mergeCell ref="I836:J836"/>
    <mergeCell ref="F837:G837"/>
    <mergeCell ref="I837:J837"/>
    <mergeCell ref="F832:G832"/>
    <mergeCell ref="I832:J832"/>
    <mergeCell ref="F833:G833"/>
    <mergeCell ref="I833:J833"/>
    <mergeCell ref="F834:G834"/>
    <mergeCell ref="I834:J834"/>
    <mergeCell ref="F829:G829"/>
    <mergeCell ref="I829:J829"/>
    <mergeCell ref="F830:G830"/>
    <mergeCell ref="I830:J830"/>
    <mergeCell ref="F831:G831"/>
    <mergeCell ref="I831:J831"/>
    <mergeCell ref="F826:G826"/>
    <mergeCell ref="I826:J826"/>
    <mergeCell ref="F827:G827"/>
    <mergeCell ref="I827:J827"/>
    <mergeCell ref="F828:G828"/>
    <mergeCell ref="I828:J828"/>
    <mergeCell ref="F823:G823"/>
    <mergeCell ref="I823:J823"/>
    <mergeCell ref="F824:G824"/>
    <mergeCell ref="I824:J824"/>
    <mergeCell ref="F825:G825"/>
    <mergeCell ref="I825:J825"/>
    <mergeCell ref="F820:G820"/>
    <mergeCell ref="I820:J820"/>
    <mergeCell ref="F821:G821"/>
    <mergeCell ref="I821:J821"/>
    <mergeCell ref="F822:G822"/>
    <mergeCell ref="I822:J822"/>
    <mergeCell ref="F817:G817"/>
    <mergeCell ref="I817:J817"/>
    <mergeCell ref="F818:G818"/>
    <mergeCell ref="I818:J818"/>
    <mergeCell ref="F819:G819"/>
    <mergeCell ref="I819:J819"/>
    <mergeCell ref="F814:G814"/>
    <mergeCell ref="I814:J814"/>
    <mergeCell ref="F815:G815"/>
    <mergeCell ref="I815:J815"/>
    <mergeCell ref="F816:G816"/>
    <mergeCell ref="I816:J816"/>
    <mergeCell ref="F811:G811"/>
    <mergeCell ref="I811:J811"/>
    <mergeCell ref="F812:G812"/>
    <mergeCell ref="I812:J812"/>
    <mergeCell ref="F813:G813"/>
    <mergeCell ref="I813:J813"/>
    <mergeCell ref="F808:G808"/>
    <mergeCell ref="I808:J808"/>
    <mergeCell ref="F809:G809"/>
    <mergeCell ref="I809:J809"/>
    <mergeCell ref="F810:G810"/>
    <mergeCell ref="I810:J810"/>
    <mergeCell ref="F805:G805"/>
    <mergeCell ref="I805:J805"/>
    <mergeCell ref="F806:G806"/>
    <mergeCell ref="I806:J806"/>
    <mergeCell ref="F807:G807"/>
    <mergeCell ref="I807:J807"/>
    <mergeCell ref="F802:G802"/>
    <mergeCell ref="I802:J802"/>
    <mergeCell ref="F803:G803"/>
    <mergeCell ref="I803:J803"/>
    <mergeCell ref="F804:G804"/>
    <mergeCell ref="I804:J804"/>
    <mergeCell ref="F799:G799"/>
    <mergeCell ref="I799:J799"/>
    <mergeCell ref="F800:G800"/>
    <mergeCell ref="I800:J800"/>
    <mergeCell ref="F801:G801"/>
    <mergeCell ref="I801:J801"/>
    <mergeCell ref="F796:G796"/>
    <mergeCell ref="I796:J796"/>
    <mergeCell ref="F797:G797"/>
    <mergeCell ref="I797:J797"/>
    <mergeCell ref="F798:G798"/>
    <mergeCell ref="I798:J798"/>
    <mergeCell ref="F793:G793"/>
    <mergeCell ref="I793:J793"/>
    <mergeCell ref="F794:G794"/>
    <mergeCell ref="I794:J794"/>
    <mergeCell ref="F795:G795"/>
    <mergeCell ref="I795:J795"/>
    <mergeCell ref="F790:G790"/>
    <mergeCell ref="I790:J790"/>
    <mergeCell ref="F791:G791"/>
    <mergeCell ref="I791:J791"/>
    <mergeCell ref="F792:G792"/>
    <mergeCell ref="I792:J792"/>
    <mergeCell ref="F787:G787"/>
    <mergeCell ref="I787:J787"/>
    <mergeCell ref="F788:G788"/>
    <mergeCell ref="I788:J788"/>
    <mergeCell ref="F789:G789"/>
    <mergeCell ref="I789:J789"/>
    <mergeCell ref="F784:G784"/>
    <mergeCell ref="I784:J784"/>
    <mergeCell ref="F785:G785"/>
    <mergeCell ref="I785:J785"/>
    <mergeCell ref="F786:G786"/>
    <mergeCell ref="I786:J786"/>
    <mergeCell ref="F781:G781"/>
    <mergeCell ref="I781:J781"/>
    <mergeCell ref="F782:G782"/>
    <mergeCell ref="I782:J782"/>
    <mergeCell ref="F783:G783"/>
    <mergeCell ref="I783:J783"/>
    <mergeCell ref="F778:G778"/>
    <mergeCell ref="I778:J778"/>
    <mergeCell ref="F779:G779"/>
    <mergeCell ref="I779:J779"/>
    <mergeCell ref="F780:G780"/>
    <mergeCell ref="I780:J780"/>
    <mergeCell ref="F775:G775"/>
    <mergeCell ref="I775:J775"/>
    <mergeCell ref="F776:G776"/>
    <mergeCell ref="I776:J776"/>
    <mergeCell ref="F777:G777"/>
    <mergeCell ref="I777:J777"/>
    <mergeCell ref="F772:G772"/>
    <mergeCell ref="I772:J772"/>
    <mergeCell ref="F773:G773"/>
    <mergeCell ref="I773:J773"/>
    <mergeCell ref="F774:G774"/>
    <mergeCell ref="I774:J774"/>
    <mergeCell ref="F769:G769"/>
    <mergeCell ref="I769:J769"/>
    <mergeCell ref="F770:G770"/>
    <mergeCell ref="I770:J770"/>
    <mergeCell ref="F771:G771"/>
    <mergeCell ref="I771:J771"/>
    <mergeCell ref="F766:G766"/>
    <mergeCell ref="I766:J766"/>
    <mergeCell ref="F767:G767"/>
    <mergeCell ref="I767:J767"/>
    <mergeCell ref="F768:G768"/>
    <mergeCell ref="I768:J768"/>
    <mergeCell ref="F763:G763"/>
    <mergeCell ref="I763:J763"/>
    <mergeCell ref="F764:G764"/>
    <mergeCell ref="I764:J764"/>
    <mergeCell ref="F765:G765"/>
    <mergeCell ref="I765:J765"/>
    <mergeCell ref="F760:G760"/>
    <mergeCell ref="I760:J760"/>
    <mergeCell ref="F761:G761"/>
    <mergeCell ref="I761:J761"/>
    <mergeCell ref="F762:G762"/>
    <mergeCell ref="I762:J762"/>
    <mergeCell ref="F757:G757"/>
    <mergeCell ref="I757:J757"/>
    <mergeCell ref="F758:G758"/>
    <mergeCell ref="I758:J758"/>
    <mergeCell ref="F759:G759"/>
    <mergeCell ref="I759:J759"/>
    <mergeCell ref="F754:G754"/>
    <mergeCell ref="I754:J754"/>
    <mergeCell ref="F755:G755"/>
    <mergeCell ref="I755:J755"/>
    <mergeCell ref="F756:G756"/>
    <mergeCell ref="I756:J756"/>
    <mergeCell ref="F751:G751"/>
    <mergeCell ref="I751:J751"/>
    <mergeCell ref="F752:G752"/>
    <mergeCell ref="I752:J752"/>
    <mergeCell ref="F753:G753"/>
    <mergeCell ref="I753:J753"/>
    <mergeCell ref="F748:G748"/>
    <mergeCell ref="I748:J748"/>
    <mergeCell ref="F749:G749"/>
    <mergeCell ref="I749:J749"/>
    <mergeCell ref="F750:G750"/>
    <mergeCell ref="I750:J750"/>
    <mergeCell ref="F745:G745"/>
    <mergeCell ref="I745:J745"/>
    <mergeCell ref="F746:G746"/>
    <mergeCell ref="I746:J746"/>
    <mergeCell ref="F747:G747"/>
    <mergeCell ref="I747:J747"/>
    <mergeCell ref="F742:G742"/>
    <mergeCell ref="I742:J742"/>
    <mergeCell ref="F743:G743"/>
    <mergeCell ref="I743:J743"/>
    <mergeCell ref="F744:G744"/>
    <mergeCell ref="I744:J744"/>
    <mergeCell ref="F739:G739"/>
    <mergeCell ref="I739:J739"/>
    <mergeCell ref="F740:G740"/>
    <mergeCell ref="I740:J740"/>
    <mergeCell ref="F741:G741"/>
    <mergeCell ref="I741:J741"/>
    <mergeCell ref="F736:G736"/>
    <mergeCell ref="I736:J736"/>
    <mergeCell ref="F737:G737"/>
    <mergeCell ref="I737:J737"/>
    <mergeCell ref="F738:G738"/>
    <mergeCell ref="I738:J738"/>
    <mergeCell ref="F733:G733"/>
    <mergeCell ref="I733:J733"/>
    <mergeCell ref="F734:G734"/>
    <mergeCell ref="I734:J734"/>
    <mergeCell ref="F735:G735"/>
    <mergeCell ref="I735:J735"/>
    <mergeCell ref="F730:G730"/>
    <mergeCell ref="I730:J730"/>
    <mergeCell ref="F731:G731"/>
    <mergeCell ref="I731:J731"/>
    <mergeCell ref="F732:G732"/>
    <mergeCell ref="I732:J732"/>
    <mergeCell ref="F727:G727"/>
    <mergeCell ref="I727:J727"/>
    <mergeCell ref="F728:G728"/>
    <mergeCell ref="I728:J728"/>
    <mergeCell ref="F729:G729"/>
    <mergeCell ref="I729:J729"/>
    <mergeCell ref="F724:G724"/>
    <mergeCell ref="I724:J724"/>
    <mergeCell ref="F725:G725"/>
    <mergeCell ref="I725:J725"/>
    <mergeCell ref="F726:G726"/>
    <mergeCell ref="I726:J726"/>
    <mergeCell ref="F721:G721"/>
    <mergeCell ref="I721:J721"/>
    <mergeCell ref="F722:G722"/>
    <mergeCell ref="I722:J722"/>
    <mergeCell ref="F723:G723"/>
    <mergeCell ref="I723:J723"/>
    <mergeCell ref="F718:G718"/>
    <mergeCell ref="I718:J718"/>
    <mergeCell ref="F719:G719"/>
    <mergeCell ref="I719:J719"/>
    <mergeCell ref="F720:G720"/>
    <mergeCell ref="I720:J720"/>
    <mergeCell ref="F715:G715"/>
    <mergeCell ref="I715:J715"/>
    <mergeCell ref="F716:G716"/>
    <mergeCell ref="I716:J716"/>
    <mergeCell ref="F717:G717"/>
    <mergeCell ref="I717:J717"/>
    <mergeCell ref="F712:G712"/>
    <mergeCell ref="I712:J712"/>
    <mergeCell ref="F713:G713"/>
    <mergeCell ref="I713:J713"/>
    <mergeCell ref="F714:G714"/>
    <mergeCell ref="I714:J714"/>
    <mergeCell ref="F709:G709"/>
    <mergeCell ref="I709:J709"/>
    <mergeCell ref="F710:G710"/>
    <mergeCell ref="I710:J710"/>
    <mergeCell ref="F711:G711"/>
    <mergeCell ref="I711:J711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17DC-EEAE-4C32-964F-F615FA344067}">
  <sheetPr filterMode="1"/>
  <dimension ref="A1:L72"/>
  <sheetViews>
    <sheetView topLeftCell="A62" workbookViewId="0">
      <selection activeCell="J72" sqref="J72"/>
    </sheetView>
  </sheetViews>
  <sheetFormatPr defaultRowHeight="14.4" x14ac:dyDescent="0.3"/>
  <cols>
    <col min="2" max="4" width="22.21875" customWidth="1"/>
    <col min="10" max="10" width="11.33203125" bestFit="1" customWidth="1"/>
  </cols>
  <sheetData>
    <row r="1" spans="1:12" x14ac:dyDescent="0.3">
      <c r="A1" s="88" t="s">
        <v>0</v>
      </c>
      <c r="B1" s="89" t="s">
        <v>1</v>
      </c>
      <c r="C1" s="89" t="s">
        <v>2</v>
      </c>
      <c r="D1" s="90" t="s">
        <v>3</v>
      </c>
      <c r="E1" s="91" t="s">
        <v>4</v>
      </c>
      <c r="F1" s="91"/>
      <c r="G1" s="91"/>
      <c r="H1" s="92" t="s">
        <v>5</v>
      </c>
      <c r="I1" s="92"/>
      <c r="J1" s="92"/>
      <c r="K1" s="89" t="s">
        <v>6</v>
      </c>
      <c r="L1" s="89"/>
    </row>
    <row r="2" spans="1:12" hidden="1" x14ac:dyDescent="0.3">
      <c r="A2" s="93"/>
      <c r="B2" s="94"/>
      <c r="C2" s="94"/>
      <c r="D2" s="95"/>
      <c r="E2" s="96" t="s">
        <v>7</v>
      </c>
      <c r="F2" s="97"/>
      <c r="G2" s="97"/>
      <c r="H2" s="98" t="s">
        <v>7</v>
      </c>
      <c r="I2" s="99"/>
      <c r="J2" s="99"/>
      <c r="K2" s="93"/>
      <c r="L2" s="100"/>
    </row>
    <row r="3" spans="1:12" ht="61.2" hidden="1" x14ac:dyDescent="0.3">
      <c r="A3" s="101" t="s">
        <v>99</v>
      </c>
      <c r="B3" s="102" t="s">
        <v>679</v>
      </c>
      <c r="C3" s="102" t="s">
        <v>680</v>
      </c>
      <c r="D3" s="102" t="s">
        <v>681</v>
      </c>
      <c r="E3" s="103" t="s">
        <v>682</v>
      </c>
      <c r="F3" s="104">
        <v>1052.3399999999999</v>
      </c>
      <c r="G3" s="104"/>
      <c r="H3" s="103" t="s">
        <v>283</v>
      </c>
      <c r="I3" s="105" t="s">
        <v>15</v>
      </c>
      <c r="J3" s="105"/>
      <c r="K3" s="106" t="s">
        <v>8</v>
      </c>
      <c r="L3" s="107">
        <v>1052.3399999999999</v>
      </c>
    </row>
    <row r="4" spans="1:12" ht="61.2" hidden="1" x14ac:dyDescent="0.3">
      <c r="A4" s="101" t="s">
        <v>99</v>
      </c>
      <c r="B4" s="102" t="s">
        <v>679</v>
      </c>
      <c r="C4" s="102" t="s">
        <v>680</v>
      </c>
      <c r="D4" s="102" t="s">
        <v>683</v>
      </c>
      <c r="E4" s="103" t="s">
        <v>682</v>
      </c>
      <c r="F4" s="104">
        <v>50290</v>
      </c>
      <c r="G4" s="104"/>
      <c r="H4" s="103" t="s">
        <v>283</v>
      </c>
      <c r="I4" s="105" t="s">
        <v>15</v>
      </c>
      <c r="J4" s="105"/>
      <c r="K4" s="106" t="s">
        <v>8</v>
      </c>
      <c r="L4" s="107">
        <v>51342.34</v>
      </c>
    </row>
    <row r="5" spans="1:12" ht="61.2" hidden="1" x14ac:dyDescent="0.3">
      <c r="A5" s="101" t="s">
        <v>99</v>
      </c>
      <c r="B5" s="102" t="s">
        <v>679</v>
      </c>
      <c r="C5" s="102" t="s">
        <v>680</v>
      </c>
      <c r="D5" s="102" t="s">
        <v>684</v>
      </c>
      <c r="E5" s="103" t="s">
        <v>682</v>
      </c>
      <c r="F5" s="104">
        <v>30179.43</v>
      </c>
      <c r="G5" s="104"/>
      <c r="H5" s="103" t="s">
        <v>283</v>
      </c>
      <c r="I5" s="105" t="s">
        <v>15</v>
      </c>
      <c r="J5" s="105"/>
      <c r="K5" s="106" t="s">
        <v>8</v>
      </c>
      <c r="L5" s="107">
        <v>81521.77</v>
      </c>
    </row>
    <row r="6" spans="1:12" ht="71.400000000000006" hidden="1" x14ac:dyDescent="0.3">
      <c r="A6" s="101" t="s">
        <v>99</v>
      </c>
      <c r="B6" s="102" t="s">
        <v>679</v>
      </c>
      <c r="C6" s="102" t="s">
        <v>685</v>
      </c>
      <c r="D6" s="102" t="s">
        <v>686</v>
      </c>
      <c r="E6" s="103" t="s">
        <v>682</v>
      </c>
      <c r="F6" s="104">
        <v>27930</v>
      </c>
      <c r="G6" s="104"/>
      <c r="H6" s="103" t="s">
        <v>283</v>
      </c>
      <c r="I6" s="105" t="s">
        <v>15</v>
      </c>
      <c r="J6" s="105"/>
      <c r="K6" s="106" t="s">
        <v>8</v>
      </c>
      <c r="L6" s="107">
        <v>109451.77</v>
      </c>
    </row>
    <row r="7" spans="1:12" ht="61.2" hidden="1" x14ac:dyDescent="0.3">
      <c r="A7" s="101" t="s">
        <v>99</v>
      </c>
      <c r="B7" s="102" t="s">
        <v>679</v>
      </c>
      <c r="C7" s="102" t="s">
        <v>687</v>
      </c>
      <c r="D7" s="102" t="s">
        <v>688</v>
      </c>
      <c r="E7" s="103" t="s">
        <v>682</v>
      </c>
      <c r="F7" s="104">
        <v>31341.29</v>
      </c>
      <c r="G7" s="104"/>
      <c r="H7" s="103" t="s">
        <v>283</v>
      </c>
      <c r="I7" s="105" t="s">
        <v>15</v>
      </c>
      <c r="J7" s="105"/>
      <c r="K7" s="106" t="s">
        <v>8</v>
      </c>
      <c r="L7" s="107">
        <v>140793.06</v>
      </c>
    </row>
    <row r="8" spans="1:12" ht="61.2" hidden="1" x14ac:dyDescent="0.3">
      <c r="A8" s="101" t="s">
        <v>99</v>
      </c>
      <c r="B8" s="102" t="s">
        <v>679</v>
      </c>
      <c r="C8" s="102" t="s">
        <v>689</v>
      </c>
      <c r="D8" s="102" t="s">
        <v>690</v>
      </c>
      <c r="E8" s="103" t="s">
        <v>682</v>
      </c>
      <c r="F8" s="104">
        <v>12899.25</v>
      </c>
      <c r="G8" s="104"/>
      <c r="H8" s="103" t="s">
        <v>283</v>
      </c>
      <c r="I8" s="105" t="s">
        <v>15</v>
      </c>
      <c r="J8" s="105"/>
      <c r="K8" s="106" t="s">
        <v>8</v>
      </c>
      <c r="L8" s="107">
        <v>153692.31</v>
      </c>
    </row>
    <row r="9" spans="1:12" ht="61.2" hidden="1" x14ac:dyDescent="0.3">
      <c r="A9" s="101" t="s">
        <v>99</v>
      </c>
      <c r="B9" s="102" t="s">
        <v>679</v>
      </c>
      <c r="C9" s="102" t="s">
        <v>689</v>
      </c>
      <c r="D9" s="102" t="s">
        <v>691</v>
      </c>
      <c r="E9" s="103" t="s">
        <v>682</v>
      </c>
      <c r="F9" s="104">
        <v>9627.11</v>
      </c>
      <c r="G9" s="104"/>
      <c r="H9" s="103" t="s">
        <v>283</v>
      </c>
      <c r="I9" s="105" t="s">
        <v>15</v>
      </c>
      <c r="J9" s="105"/>
      <c r="K9" s="106" t="s">
        <v>8</v>
      </c>
      <c r="L9" s="107">
        <v>163319.42000000001</v>
      </c>
    </row>
    <row r="10" spans="1:12" ht="61.2" hidden="1" x14ac:dyDescent="0.3">
      <c r="A10" s="101" t="s">
        <v>99</v>
      </c>
      <c r="B10" s="102" t="s">
        <v>679</v>
      </c>
      <c r="C10" s="102" t="s">
        <v>692</v>
      </c>
      <c r="D10" s="102" t="s">
        <v>693</v>
      </c>
      <c r="E10" s="103" t="s">
        <v>682</v>
      </c>
      <c r="F10" s="108">
        <v>196.58</v>
      </c>
      <c r="G10" s="108"/>
      <c r="H10" s="103" t="s">
        <v>283</v>
      </c>
      <c r="I10" s="105" t="s">
        <v>15</v>
      </c>
      <c r="J10" s="105"/>
      <c r="K10" s="106" t="s">
        <v>8</v>
      </c>
      <c r="L10" s="107">
        <v>163516</v>
      </c>
    </row>
    <row r="11" spans="1:12" ht="61.2" hidden="1" x14ac:dyDescent="0.3">
      <c r="A11" s="101" t="s">
        <v>99</v>
      </c>
      <c r="B11" s="102" t="s">
        <v>679</v>
      </c>
      <c r="C11" s="102" t="s">
        <v>694</v>
      </c>
      <c r="D11" s="102" t="s">
        <v>695</v>
      </c>
      <c r="E11" s="103" t="s">
        <v>682</v>
      </c>
      <c r="F11" s="104">
        <v>120201.29</v>
      </c>
      <c r="G11" s="104"/>
      <c r="H11" s="103" t="s">
        <v>283</v>
      </c>
      <c r="I11" s="105" t="s">
        <v>15</v>
      </c>
      <c r="J11" s="105"/>
      <c r="K11" s="106" t="s">
        <v>8</v>
      </c>
      <c r="L11" s="107">
        <v>283717.28999999998</v>
      </c>
    </row>
    <row r="12" spans="1:12" ht="71.400000000000006" hidden="1" x14ac:dyDescent="0.3">
      <c r="A12" s="101" t="s">
        <v>99</v>
      </c>
      <c r="B12" s="102" t="s">
        <v>679</v>
      </c>
      <c r="C12" s="102" t="s">
        <v>696</v>
      </c>
      <c r="D12" s="102" t="s">
        <v>697</v>
      </c>
      <c r="E12" s="103" t="s">
        <v>682</v>
      </c>
      <c r="F12" s="104">
        <v>1988.93</v>
      </c>
      <c r="G12" s="104"/>
      <c r="H12" s="103" t="s">
        <v>283</v>
      </c>
      <c r="I12" s="105" t="s">
        <v>15</v>
      </c>
      <c r="J12" s="105"/>
      <c r="K12" s="106" t="s">
        <v>8</v>
      </c>
      <c r="L12" s="107">
        <v>285706.21999999997</v>
      </c>
    </row>
    <row r="13" spans="1:12" ht="61.2" hidden="1" x14ac:dyDescent="0.3">
      <c r="A13" s="101" t="s">
        <v>99</v>
      </c>
      <c r="B13" s="102" t="s">
        <v>679</v>
      </c>
      <c r="C13" s="102" t="s">
        <v>698</v>
      </c>
      <c r="D13" s="102" t="s">
        <v>699</v>
      </c>
      <c r="E13" s="103" t="s">
        <v>682</v>
      </c>
      <c r="F13" s="104">
        <v>18137.12</v>
      </c>
      <c r="G13" s="104"/>
      <c r="H13" s="103" t="s">
        <v>283</v>
      </c>
      <c r="I13" s="105" t="s">
        <v>15</v>
      </c>
      <c r="J13" s="105"/>
      <c r="K13" s="106" t="s">
        <v>8</v>
      </c>
      <c r="L13" s="107">
        <v>303843.34000000003</v>
      </c>
    </row>
    <row r="14" spans="1:12" ht="61.2" hidden="1" x14ac:dyDescent="0.3">
      <c r="A14" s="101" t="s">
        <v>99</v>
      </c>
      <c r="B14" s="102" t="s">
        <v>679</v>
      </c>
      <c r="C14" s="102" t="s">
        <v>698</v>
      </c>
      <c r="D14" s="102" t="s">
        <v>700</v>
      </c>
      <c r="E14" s="103" t="s">
        <v>682</v>
      </c>
      <c r="F14" s="104">
        <v>20408.57</v>
      </c>
      <c r="G14" s="104"/>
      <c r="H14" s="103" t="s">
        <v>283</v>
      </c>
      <c r="I14" s="105" t="s">
        <v>15</v>
      </c>
      <c r="J14" s="105"/>
      <c r="K14" s="106" t="s">
        <v>8</v>
      </c>
      <c r="L14" s="107">
        <v>324251.90999999997</v>
      </c>
    </row>
    <row r="15" spans="1:12" ht="61.2" hidden="1" x14ac:dyDescent="0.3">
      <c r="A15" s="101" t="s">
        <v>99</v>
      </c>
      <c r="B15" s="102" t="s">
        <v>679</v>
      </c>
      <c r="C15" s="102" t="s">
        <v>698</v>
      </c>
      <c r="D15" s="102" t="s">
        <v>701</v>
      </c>
      <c r="E15" s="103" t="s">
        <v>682</v>
      </c>
      <c r="F15" s="104">
        <v>6683.06</v>
      </c>
      <c r="G15" s="104"/>
      <c r="H15" s="103" t="s">
        <v>283</v>
      </c>
      <c r="I15" s="105" t="s">
        <v>15</v>
      </c>
      <c r="J15" s="105"/>
      <c r="K15" s="106" t="s">
        <v>8</v>
      </c>
      <c r="L15" s="107">
        <v>330934.96999999997</v>
      </c>
    </row>
    <row r="16" spans="1:12" ht="71.400000000000006" hidden="1" x14ac:dyDescent="0.3">
      <c r="A16" s="101" t="s">
        <v>99</v>
      </c>
      <c r="B16" s="102" t="s">
        <v>679</v>
      </c>
      <c r="C16" s="102" t="s">
        <v>702</v>
      </c>
      <c r="D16" s="102" t="s">
        <v>703</v>
      </c>
      <c r="E16" s="103" t="s">
        <v>682</v>
      </c>
      <c r="F16" s="104">
        <v>27235.85</v>
      </c>
      <c r="G16" s="104"/>
      <c r="H16" s="103" t="s">
        <v>283</v>
      </c>
      <c r="I16" s="105" t="s">
        <v>15</v>
      </c>
      <c r="J16" s="105"/>
      <c r="K16" s="106" t="s">
        <v>8</v>
      </c>
      <c r="L16" s="107">
        <v>358170.82</v>
      </c>
    </row>
    <row r="17" spans="1:12" ht="61.2" hidden="1" x14ac:dyDescent="0.3">
      <c r="A17" s="101" t="s">
        <v>99</v>
      </c>
      <c r="B17" s="102" t="s">
        <v>679</v>
      </c>
      <c r="C17" s="102" t="s">
        <v>704</v>
      </c>
      <c r="D17" s="102" t="s">
        <v>705</v>
      </c>
      <c r="E17" s="103" t="s">
        <v>682</v>
      </c>
      <c r="F17" s="104">
        <v>15480</v>
      </c>
      <c r="G17" s="104"/>
      <c r="H17" s="103" t="s">
        <v>283</v>
      </c>
      <c r="I17" s="105" t="s">
        <v>15</v>
      </c>
      <c r="J17" s="105"/>
      <c r="K17" s="106" t="s">
        <v>8</v>
      </c>
      <c r="L17" s="107">
        <v>373650.82</v>
      </c>
    </row>
    <row r="18" spans="1:12" ht="61.2" hidden="1" x14ac:dyDescent="0.3">
      <c r="A18" s="101" t="s">
        <v>99</v>
      </c>
      <c r="B18" s="102" t="s">
        <v>679</v>
      </c>
      <c r="C18" s="102" t="s">
        <v>706</v>
      </c>
      <c r="D18" s="102" t="s">
        <v>707</v>
      </c>
      <c r="E18" s="103" t="s">
        <v>682</v>
      </c>
      <c r="F18" s="108">
        <v>444.32</v>
      </c>
      <c r="G18" s="108"/>
      <c r="H18" s="103" t="s">
        <v>283</v>
      </c>
      <c r="I18" s="105" t="s">
        <v>15</v>
      </c>
      <c r="J18" s="105"/>
      <c r="K18" s="106" t="s">
        <v>8</v>
      </c>
      <c r="L18" s="107">
        <v>374095.14</v>
      </c>
    </row>
    <row r="19" spans="1:12" ht="61.2" hidden="1" x14ac:dyDescent="0.3">
      <c r="A19" s="101" t="s">
        <v>99</v>
      </c>
      <c r="B19" s="102" t="s">
        <v>679</v>
      </c>
      <c r="C19" s="102" t="s">
        <v>706</v>
      </c>
      <c r="D19" s="102" t="s">
        <v>708</v>
      </c>
      <c r="E19" s="103" t="s">
        <v>682</v>
      </c>
      <c r="F19" s="104">
        <v>3790.95</v>
      </c>
      <c r="G19" s="104"/>
      <c r="H19" s="103" t="s">
        <v>283</v>
      </c>
      <c r="I19" s="105" t="s">
        <v>15</v>
      </c>
      <c r="J19" s="105"/>
      <c r="K19" s="106" t="s">
        <v>8</v>
      </c>
      <c r="L19" s="107">
        <v>377886.09</v>
      </c>
    </row>
    <row r="20" spans="1:12" ht="71.400000000000006" hidden="1" x14ac:dyDescent="0.3">
      <c r="A20" s="101" t="s">
        <v>99</v>
      </c>
      <c r="B20" s="102" t="s">
        <v>709</v>
      </c>
      <c r="C20" s="102" t="s">
        <v>710</v>
      </c>
      <c r="D20" s="102" t="s">
        <v>711</v>
      </c>
      <c r="E20" s="103" t="s">
        <v>682</v>
      </c>
      <c r="F20" s="104">
        <v>85368.31</v>
      </c>
      <c r="G20" s="104"/>
      <c r="H20" s="103" t="s">
        <v>283</v>
      </c>
      <c r="I20" s="105" t="s">
        <v>15</v>
      </c>
      <c r="J20" s="105"/>
      <c r="K20" s="106" t="s">
        <v>8</v>
      </c>
      <c r="L20" s="107">
        <v>463254.4</v>
      </c>
    </row>
    <row r="21" spans="1:12" ht="61.2" hidden="1" x14ac:dyDescent="0.3">
      <c r="A21" s="101" t="s">
        <v>99</v>
      </c>
      <c r="B21" s="102" t="s">
        <v>709</v>
      </c>
      <c r="C21" s="102" t="s">
        <v>712</v>
      </c>
      <c r="D21" s="102" t="s">
        <v>693</v>
      </c>
      <c r="E21" s="103" t="s">
        <v>682</v>
      </c>
      <c r="F21" s="108">
        <v>56.17</v>
      </c>
      <c r="G21" s="108"/>
      <c r="H21" s="103" t="s">
        <v>283</v>
      </c>
      <c r="I21" s="105" t="s">
        <v>15</v>
      </c>
      <c r="J21" s="105"/>
      <c r="K21" s="106" t="s">
        <v>8</v>
      </c>
      <c r="L21" s="107">
        <v>463310.57</v>
      </c>
    </row>
    <row r="22" spans="1:12" ht="61.2" hidden="1" x14ac:dyDescent="0.3">
      <c r="A22" s="101" t="s">
        <v>99</v>
      </c>
      <c r="B22" s="102" t="s">
        <v>709</v>
      </c>
      <c r="C22" s="102" t="s">
        <v>713</v>
      </c>
      <c r="D22" s="102" t="s">
        <v>714</v>
      </c>
      <c r="E22" s="103" t="s">
        <v>682</v>
      </c>
      <c r="F22" s="104">
        <v>10275.07</v>
      </c>
      <c r="G22" s="104"/>
      <c r="H22" s="103" t="s">
        <v>283</v>
      </c>
      <c r="I22" s="105" t="s">
        <v>15</v>
      </c>
      <c r="J22" s="105"/>
      <c r="K22" s="106" t="s">
        <v>8</v>
      </c>
      <c r="L22" s="107">
        <v>473585.64</v>
      </c>
    </row>
    <row r="23" spans="1:12" ht="61.2" hidden="1" x14ac:dyDescent="0.3">
      <c r="A23" s="101" t="s">
        <v>99</v>
      </c>
      <c r="B23" s="102" t="s">
        <v>709</v>
      </c>
      <c r="C23" s="102" t="s">
        <v>715</v>
      </c>
      <c r="D23" s="102" t="s">
        <v>688</v>
      </c>
      <c r="E23" s="103" t="s">
        <v>682</v>
      </c>
      <c r="F23" s="104">
        <v>10167.67</v>
      </c>
      <c r="G23" s="104"/>
      <c r="H23" s="103" t="s">
        <v>283</v>
      </c>
      <c r="I23" s="105" t="s">
        <v>15</v>
      </c>
      <c r="J23" s="105"/>
      <c r="K23" s="106" t="s">
        <v>8</v>
      </c>
      <c r="L23" s="107">
        <v>483753.31</v>
      </c>
    </row>
    <row r="24" spans="1:12" ht="71.400000000000006" hidden="1" x14ac:dyDescent="0.3">
      <c r="A24" s="101" t="s">
        <v>99</v>
      </c>
      <c r="B24" s="102" t="s">
        <v>709</v>
      </c>
      <c r="C24" s="102" t="s">
        <v>716</v>
      </c>
      <c r="D24" s="102" t="s">
        <v>686</v>
      </c>
      <c r="E24" s="103" t="s">
        <v>682</v>
      </c>
      <c r="F24" s="104">
        <v>19790.400000000001</v>
      </c>
      <c r="G24" s="104"/>
      <c r="H24" s="103" t="s">
        <v>283</v>
      </c>
      <c r="I24" s="105" t="s">
        <v>15</v>
      </c>
      <c r="J24" s="105"/>
      <c r="K24" s="106" t="s">
        <v>8</v>
      </c>
      <c r="L24" s="107">
        <v>503543.71</v>
      </c>
    </row>
    <row r="25" spans="1:12" ht="61.2" hidden="1" x14ac:dyDescent="0.3">
      <c r="A25" s="101" t="s">
        <v>99</v>
      </c>
      <c r="B25" s="102" t="s">
        <v>709</v>
      </c>
      <c r="C25" s="102" t="s">
        <v>717</v>
      </c>
      <c r="D25" s="102" t="s">
        <v>718</v>
      </c>
      <c r="E25" s="103" t="s">
        <v>682</v>
      </c>
      <c r="F25" s="104">
        <v>67466.03</v>
      </c>
      <c r="G25" s="104"/>
      <c r="H25" s="103" t="s">
        <v>283</v>
      </c>
      <c r="I25" s="105" t="s">
        <v>15</v>
      </c>
      <c r="J25" s="105"/>
      <c r="K25" s="106" t="s">
        <v>8</v>
      </c>
      <c r="L25" s="107">
        <v>571009.74</v>
      </c>
    </row>
    <row r="26" spans="1:12" ht="61.2" hidden="1" x14ac:dyDescent="0.3">
      <c r="A26" s="101" t="s">
        <v>99</v>
      </c>
      <c r="B26" s="102" t="s">
        <v>709</v>
      </c>
      <c r="C26" s="102" t="s">
        <v>719</v>
      </c>
      <c r="D26" s="102" t="s">
        <v>691</v>
      </c>
      <c r="E26" s="103" t="s">
        <v>682</v>
      </c>
      <c r="F26" s="104">
        <v>5832.48</v>
      </c>
      <c r="G26" s="104"/>
      <c r="H26" s="103" t="s">
        <v>283</v>
      </c>
      <c r="I26" s="105" t="s">
        <v>15</v>
      </c>
      <c r="J26" s="105"/>
      <c r="K26" s="106" t="s">
        <v>8</v>
      </c>
      <c r="L26" s="107">
        <v>576842.22</v>
      </c>
    </row>
    <row r="27" spans="1:12" ht="61.2" hidden="1" x14ac:dyDescent="0.3">
      <c r="A27" s="101" t="s">
        <v>99</v>
      </c>
      <c r="B27" s="102" t="s">
        <v>709</v>
      </c>
      <c r="C27" s="102" t="s">
        <v>719</v>
      </c>
      <c r="D27" s="102" t="s">
        <v>720</v>
      </c>
      <c r="E27" s="103" t="s">
        <v>682</v>
      </c>
      <c r="F27" s="104">
        <v>70080.39</v>
      </c>
      <c r="G27" s="104"/>
      <c r="H27" s="103" t="s">
        <v>283</v>
      </c>
      <c r="I27" s="105" t="s">
        <v>15</v>
      </c>
      <c r="J27" s="105"/>
      <c r="K27" s="106" t="s">
        <v>8</v>
      </c>
      <c r="L27" s="107">
        <v>646922.61</v>
      </c>
    </row>
    <row r="28" spans="1:12" ht="61.2" hidden="1" x14ac:dyDescent="0.3">
      <c r="A28" s="101" t="s">
        <v>99</v>
      </c>
      <c r="B28" s="102" t="s">
        <v>709</v>
      </c>
      <c r="C28" s="102" t="s">
        <v>721</v>
      </c>
      <c r="D28" s="102" t="s">
        <v>705</v>
      </c>
      <c r="E28" s="103" t="s">
        <v>682</v>
      </c>
      <c r="F28" s="104">
        <v>62808.67</v>
      </c>
      <c r="G28" s="104"/>
      <c r="H28" s="103" t="s">
        <v>283</v>
      </c>
      <c r="I28" s="105" t="s">
        <v>15</v>
      </c>
      <c r="J28" s="105"/>
      <c r="K28" s="106" t="s">
        <v>8</v>
      </c>
      <c r="L28" s="107">
        <v>709731.28</v>
      </c>
    </row>
    <row r="29" spans="1:12" ht="71.400000000000006" hidden="1" x14ac:dyDescent="0.3">
      <c r="A29" s="101" t="s">
        <v>99</v>
      </c>
      <c r="B29" s="102" t="s">
        <v>709</v>
      </c>
      <c r="C29" s="102" t="s">
        <v>716</v>
      </c>
      <c r="D29" s="102" t="s">
        <v>686</v>
      </c>
      <c r="E29" s="103" t="s">
        <v>682</v>
      </c>
      <c r="F29" s="104">
        <v>2021.6</v>
      </c>
      <c r="G29" s="104"/>
      <c r="H29" s="103" t="s">
        <v>283</v>
      </c>
      <c r="I29" s="105" t="s">
        <v>15</v>
      </c>
      <c r="J29" s="105"/>
      <c r="K29" s="106" t="s">
        <v>8</v>
      </c>
      <c r="L29" s="107">
        <v>711752.88</v>
      </c>
    </row>
    <row r="30" spans="1:12" ht="61.2" hidden="1" x14ac:dyDescent="0.3">
      <c r="A30" s="101" t="s">
        <v>99</v>
      </c>
      <c r="B30" s="102" t="s">
        <v>709</v>
      </c>
      <c r="C30" s="102" t="s">
        <v>722</v>
      </c>
      <c r="D30" s="102" t="s">
        <v>723</v>
      </c>
      <c r="E30" s="103" t="s">
        <v>682</v>
      </c>
      <c r="F30" s="104">
        <v>1147.5</v>
      </c>
      <c r="G30" s="104"/>
      <c r="H30" s="103" t="s">
        <v>283</v>
      </c>
      <c r="I30" s="105" t="s">
        <v>15</v>
      </c>
      <c r="J30" s="105"/>
      <c r="K30" s="106" t="s">
        <v>8</v>
      </c>
      <c r="L30" s="107">
        <v>712900.38</v>
      </c>
    </row>
    <row r="31" spans="1:12" ht="61.2" hidden="1" x14ac:dyDescent="0.3">
      <c r="A31" s="101" t="s">
        <v>99</v>
      </c>
      <c r="B31" s="102" t="s">
        <v>709</v>
      </c>
      <c r="C31" s="102" t="s">
        <v>722</v>
      </c>
      <c r="D31" s="102" t="s">
        <v>724</v>
      </c>
      <c r="E31" s="103" t="s">
        <v>682</v>
      </c>
      <c r="F31" s="104">
        <v>1389.03</v>
      </c>
      <c r="G31" s="104"/>
      <c r="H31" s="103" t="s">
        <v>283</v>
      </c>
      <c r="I31" s="105" t="s">
        <v>15</v>
      </c>
      <c r="J31" s="105"/>
      <c r="K31" s="106" t="s">
        <v>8</v>
      </c>
      <c r="L31" s="107">
        <v>714289.41</v>
      </c>
    </row>
    <row r="32" spans="1:12" ht="61.2" hidden="1" x14ac:dyDescent="0.3">
      <c r="A32" s="101" t="s">
        <v>99</v>
      </c>
      <c r="B32" s="102" t="s">
        <v>709</v>
      </c>
      <c r="C32" s="102" t="s">
        <v>725</v>
      </c>
      <c r="D32" s="102" t="s">
        <v>701</v>
      </c>
      <c r="E32" s="103" t="s">
        <v>682</v>
      </c>
      <c r="F32" s="104">
        <v>84155.92</v>
      </c>
      <c r="G32" s="104"/>
      <c r="H32" s="103" t="s">
        <v>283</v>
      </c>
      <c r="I32" s="105" t="s">
        <v>15</v>
      </c>
      <c r="J32" s="105"/>
      <c r="K32" s="106" t="s">
        <v>8</v>
      </c>
      <c r="L32" s="107">
        <v>798445.33</v>
      </c>
    </row>
    <row r="33" spans="1:12" ht="71.400000000000006" hidden="1" x14ac:dyDescent="0.3">
      <c r="A33" s="101" t="s">
        <v>99</v>
      </c>
      <c r="B33" s="102" t="s">
        <v>709</v>
      </c>
      <c r="C33" s="102" t="s">
        <v>726</v>
      </c>
      <c r="D33" s="102" t="s">
        <v>703</v>
      </c>
      <c r="E33" s="103" t="s">
        <v>682</v>
      </c>
      <c r="F33" s="104">
        <v>69505.64</v>
      </c>
      <c r="G33" s="104"/>
      <c r="H33" s="103" t="s">
        <v>283</v>
      </c>
      <c r="I33" s="105" t="s">
        <v>15</v>
      </c>
      <c r="J33" s="105"/>
      <c r="K33" s="106" t="s">
        <v>8</v>
      </c>
      <c r="L33" s="107">
        <v>867950.97</v>
      </c>
    </row>
    <row r="34" spans="1:12" ht="61.2" hidden="1" x14ac:dyDescent="0.3">
      <c r="A34" s="101" t="s">
        <v>99</v>
      </c>
      <c r="B34" s="102" t="s">
        <v>709</v>
      </c>
      <c r="C34" s="102" t="s">
        <v>727</v>
      </c>
      <c r="D34" s="102" t="s">
        <v>708</v>
      </c>
      <c r="E34" s="103" t="s">
        <v>682</v>
      </c>
      <c r="F34" s="104">
        <v>1096.55</v>
      </c>
      <c r="G34" s="104"/>
      <c r="H34" s="103" t="s">
        <v>283</v>
      </c>
      <c r="I34" s="105" t="s">
        <v>15</v>
      </c>
      <c r="J34" s="105"/>
      <c r="K34" s="106" t="s">
        <v>8</v>
      </c>
      <c r="L34" s="107">
        <v>869047.52</v>
      </c>
    </row>
    <row r="35" spans="1:12" ht="61.2" hidden="1" x14ac:dyDescent="0.3">
      <c r="A35" s="101" t="s">
        <v>99</v>
      </c>
      <c r="B35" s="102" t="s">
        <v>709</v>
      </c>
      <c r="C35" s="102" t="s">
        <v>727</v>
      </c>
      <c r="D35" s="102" t="s">
        <v>728</v>
      </c>
      <c r="E35" s="103" t="s">
        <v>682</v>
      </c>
      <c r="F35" s="104">
        <v>9480.9699999999993</v>
      </c>
      <c r="G35" s="104"/>
      <c r="H35" s="103" t="s">
        <v>283</v>
      </c>
      <c r="I35" s="105" t="s">
        <v>15</v>
      </c>
      <c r="J35" s="105"/>
      <c r="K35" s="106" t="s">
        <v>8</v>
      </c>
      <c r="L35" s="107">
        <v>878528.49</v>
      </c>
    </row>
    <row r="36" spans="1:12" ht="61.2" x14ac:dyDescent="0.3">
      <c r="A36" s="101" t="s">
        <v>113</v>
      </c>
      <c r="B36" s="102" t="s">
        <v>729</v>
      </c>
      <c r="C36" s="102" t="s">
        <v>730</v>
      </c>
      <c r="D36" s="102" t="s">
        <v>710</v>
      </c>
      <c r="E36" s="103" t="s">
        <v>42</v>
      </c>
      <c r="F36" s="109" t="s">
        <v>15</v>
      </c>
      <c r="G36" s="109"/>
      <c r="H36" s="103" t="s">
        <v>682</v>
      </c>
      <c r="I36" s="110">
        <v>85368.31</v>
      </c>
      <c r="J36" s="110"/>
      <c r="K36" s="106" t="s">
        <v>8</v>
      </c>
      <c r="L36" s="107">
        <v>793160.18</v>
      </c>
    </row>
    <row r="37" spans="1:12" ht="51" x14ac:dyDescent="0.3">
      <c r="A37" s="101" t="s">
        <v>113</v>
      </c>
      <c r="B37" s="102" t="s">
        <v>729</v>
      </c>
      <c r="C37" s="102" t="s">
        <v>730</v>
      </c>
      <c r="D37" s="102" t="s">
        <v>692</v>
      </c>
      <c r="E37" s="103" t="s">
        <v>42</v>
      </c>
      <c r="F37" s="109" t="s">
        <v>15</v>
      </c>
      <c r="G37" s="109"/>
      <c r="H37" s="103" t="s">
        <v>682</v>
      </c>
      <c r="I37" s="111">
        <v>56.17</v>
      </c>
      <c r="J37" s="111"/>
      <c r="K37" s="106" t="s">
        <v>8</v>
      </c>
      <c r="L37" s="107">
        <v>793104.01</v>
      </c>
    </row>
    <row r="38" spans="1:12" ht="51" x14ac:dyDescent="0.3">
      <c r="A38" s="101" t="s">
        <v>113</v>
      </c>
      <c r="B38" s="102" t="s">
        <v>729</v>
      </c>
      <c r="C38" s="102" t="s">
        <v>730</v>
      </c>
      <c r="D38" s="102" t="s">
        <v>713</v>
      </c>
      <c r="E38" s="103" t="s">
        <v>42</v>
      </c>
      <c r="F38" s="109" t="s">
        <v>15</v>
      </c>
      <c r="G38" s="109"/>
      <c r="H38" s="103" t="s">
        <v>682</v>
      </c>
      <c r="I38" s="110">
        <v>10275.07</v>
      </c>
      <c r="J38" s="110"/>
      <c r="K38" s="106" t="s">
        <v>8</v>
      </c>
      <c r="L38" s="107">
        <v>782828.94</v>
      </c>
    </row>
    <row r="39" spans="1:12" ht="51" x14ac:dyDescent="0.3">
      <c r="A39" s="101" t="s">
        <v>113</v>
      </c>
      <c r="B39" s="102" t="s">
        <v>729</v>
      </c>
      <c r="C39" s="102" t="s">
        <v>730</v>
      </c>
      <c r="D39" s="102" t="s">
        <v>687</v>
      </c>
      <c r="E39" s="103" t="s">
        <v>42</v>
      </c>
      <c r="F39" s="109" t="s">
        <v>15</v>
      </c>
      <c r="G39" s="109"/>
      <c r="H39" s="103" t="s">
        <v>682</v>
      </c>
      <c r="I39" s="110">
        <v>10167.67</v>
      </c>
      <c r="J39" s="110"/>
      <c r="K39" s="106" t="s">
        <v>8</v>
      </c>
      <c r="L39" s="107">
        <v>772661.27</v>
      </c>
    </row>
    <row r="40" spans="1:12" ht="61.2" x14ac:dyDescent="0.3">
      <c r="A40" s="101" t="s">
        <v>113</v>
      </c>
      <c r="B40" s="102" t="s">
        <v>729</v>
      </c>
      <c r="C40" s="102" t="s">
        <v>730</v>
      </c>
      <c r="D40" s="102" t="s">
        <v>685</v>
      </c>
      <c r="E40" s="103" t="s">
        <v>42</v>
      </c>
      <c r="F40" s="109" t="s">
        <v>15</v>
      </c>
      <c r="G40" s="109"/>
      <c r="H40" s="103" t="s">
        <v>682</v>
      </c>
      <c r="I40" s="110">
        <v>19790.400000000001</v>
      </c>
      <c r="J40" s="110"/>
      <c r="K40" s="106" t="s">
        <v>8</v>
      </c>
      <c r="L40" s="107">
        <v>752870.87</v>
      </c>
    </row>
    <row r="41" spans="1:12" ht="51" x14ac:dyDescent="0.3">
      <c r="A41" s="101" t="s">
        <v>113</v>
      </c>
      <c r="B41" s="102" t="s">
        <v>729</v>
      </c>
      <c r="C41" s="102" t="s">
        <v>730</v>
      </c>
      <c r="D41" s="102" t="s">
        <v>717</v>
      </c>
      <c r="E41" s="103" t="s">
        <v>42</v>
      </c>
      <c r="F41" s="109" t="s">
        <v>15</v>
      </c>
      <c r="G41" s="109"/>
      <c r="H41" s="103" t="s">
        <v>682</v>
      </c>
      <c r="I41" s="110">
        <v>67466.03</v>
      </c>
      <c r="J41" s="110"/>
      <c r="K41" s="106" t="s">
        <v>8</v>
      </c>
      <c r="L41" s="107">
        <v>685404.84</v>
      </c>
    </row>
    <row r="42" spans="1:12" ht="51" x14ac:dyDescent="0.3">
      <c r="A42" s="101" t="s">
        <v>113</v>
      </c>
      <c r="B42" s="102" t="s">
        <v>729</v>
      </c>
      <c r="C42" s="102" t="s">
        <v>730</v>
      </c>
      <c r="D42" s="102" t="s">
        <v>689</v>
      </c>
      <c r="E42" s="103" t="s">
        <v>42</v>
      </c>
      <c r="F42" s="109" t="s">
        <v>15</v>
      </c>
      <c r="G42" s="109"/>
      <c r="H42" s="103" t="s">
        <v>682</v>
      </c>
      <c r="I42" s="110">
        <v>22526.36</v>
      </c>
      <c r="J42" s="110"/>
      <c r="K42" s="106" t="s">
        <v>8</v>
      </c>
      <c r="L42" s="107">
        <v>662878.48</v>
      </c>
    </row>
    <row r="43" spans="1:12" ht="51" x14ac:dyDescent="0.3">
      <c r="A43" s="101" t="s">
        <v>113</v>
      </c>
      <c r="B43" s="102" t="s">
        <v>729</v>
      </c>
      <c r="C43" s="102" t="s">
        <v>730</v>
      </c>
      <c r="D43" s="102" t="s">
        <v>719</v>
      </c>
      <c r="E43" s="103" t="s">
        <v>42</v>
      </c>
      <c r="F43" s="109" t="s">
        <v>15</v>
      </c>
      <c r="G43" s="109"/>
      <c r="H43" s="103" t="s">
        <v>682</v>
      </c>
      <c r="I43" s="110">
        <v>54116.7</v>
      </c>
      <c r="J43" s="110"/>
      <c r="K43" s="106" t="s">
        <v>8</v>
      </c>
      <c r="L43" s="107">
        <v>608761.78</v>
      </c>
    </row>
    <row r="44" spans="1:12" ht="51" x14ac:dyDescent="0.3">
      <c r="A44" s="101" t="s">
        <v>113</v>
      </c>
      <c r="B44" s="102" t="s">
        <v>729</v>
      </c>
      <c r="C44" s="102" t="s">
        <v>730</v>
      </c>
      <c r="D44" s="102" t="s">
        <v>704</v>
      </c>
      <c r="E44" s="103" t="s">
        <v>42</v>
      </c>
      <c r="F44" s="109" t="s">
        <v>15</v>
      </c>
      <c r="G44" s="109"/>
      <c r="H44" s="103" t="s">
        <v>682</v>
      </c>
      <c r="I44" s="110">
        <v>15480</v>
      </c>
      <c r="J44" s="110"/>
      <c r="K44" s="106" t="s">
        <v>8</v>
      </c>
      <c r="L44" s="107">
        <v>593281.78</v>
      </c>
    </row>
    <row r="45" spans="1:12" ht="51" x14ac:dyDescent="0.3">
      <c r="A45" s="101" t="s">
        <v>113</v>
      </c>
      <c r="B45" s="102" t="s">
        <v>729</v>
      </c>
      <c r="C45" s="102" t="s">
        <v>730</v>
      </c>
      <c r="D45" s="102" t="s">
        <v>721</v>
      </c>
      <c r="E45" s="103" t="s">
        <v>42</v>
      </c>
      <c r="F45" s="109" t="s">
        <v>15</v>
      </c>
      <c r="G45" s="109"/>
      <c r="H45" s="103" t="s">
        <v>682</v>
      </c>
      <c r="I45" s="110">
        <v>47328.67</v>
      </c>
      <c r="J45" s="110"/>
      <c r="K45" s="106" t="s">
        <v>8</v>
      </c>
      <c r="L45" s="107">
        <v>545953.11</v>
      </c>
    </row>
    <row r="46" spans="1:12" ht="61.2" x14ac:dyDescent="0.3">
      <c r="A46" s="101" t="s">
        <v>113</v>
      </c>
      <c r="B46" s="102" t="s">
        <v>729</v>
      </c>
      <c r="C46" s="102" t="s">
        <v>730</v>
      </c>
      <c r="D46" s="102" t="s">
        <v>685</v>
      </c>
      <c r="E46" s="103" t="s">
        <v>42</v>
      </c>
      <c r="F46" s="109" t="s">
        <v>15</v>
      </c>
      <c r="G46" s="109"/>
      <c r="H46" s="103" t="s">
        <v>682</v>
      </c>
      <c r="I46" s="110">
        <v>2021.6</v>
      </c>
      <c r="J46" s="110"/>
      <c r="K46" s="106" t="s">
        <v>8</v>
      </c>
      <c r="L46" s="107">
        <v>543931.51</v>
      </c>
    </row>
    <row r="47" spans="1:12" ht="51" x14ac:dyDescent="0.3">
      <c r="A47" s="101" t="s">
        <v>113</v>
      </c>
      <c r="B47" s="102" t="s">
        <v>729</v>
      </c>
      <c r="C47" s="102" t="s">
        <v>730</v>
      </c>
      <c r="D47" s="102" t="s">
        <v>722</v>
      </c>
      <c r="E47" s="103" t="s">
        <v>42</v>
      </c>
      <c r="F47" s="109" t="s">
        <v>15</v>
      </c>
      <c r="G47" s="109"/>
      <c r="H47" s="103" t="s">
        <v>682</v>
      </c>
      <c r="I47" s="110">
        <v>2536.5300000000002</v>
      </c>
      <c r="J47" s="110"/>
      <c r="K47" s="106" t="s">
        <v>8</v>
      </c>
      <c r="L47" s="107">
        <v>541394.98</v>
      </c>
    </row>
    <row r="48" spans="1:12" ht="51" x14ac:dyDescent="0.3">
      <c r="A48" s="101" t="s">
        <v>113</v>
      </c>
      <c r="B48" s="102" t="s">
        <v>729</v>
      </c>
      <c r="C48" s="102" t="s">
        <v>730</v>
      </c>
      <c r="D48" s="102" t="s">
        <v>698</v>
      </c>
      <c r="E48" s="103" t="s">
        <v>42</v>
      </c>
      <c r="F48" s="109" t="s">
        <v>15</v>
      </c>
      <c r="G48" s="109"/>
      <c r="H48" s="103" t="s">
        <v>682</v>
      </c>
      <c r="I48" s="110">
        <v>45228.75</v>
      </c>
      <c r="J48" s="110"/>
      <c r="K48" s="106" t="s">
        <v>8</v>
      </c>
      <c r="L48" s="107">
        <v>496166.23</v>
      </c>
    </row>
    <row r="49" spans="1:12" ht="51" x14ac:dyDescent="0.3">
      <c r="A49" s="101" t="s">
        <v>113</v>
      </c>
      <c r="B49" s="102" t="s">
        <v>729</v>
      </c>
      <c r="C49" s="102" t="s">
        <v>730</v>
      </c>
      <c r="D49" s="102" t="s">
        <v>725</v>
      </c>
      <c r="E49" s="103" t="s">
        <v>42</v>
      </c>
      <c r="F49" s="109" t="s">
        <v>15</v>
      </c>
      <c r="G49" s="109"/>
      <c r="H49" s="103" t="s">
        <v>682</v>
      </c>
      <c r="I49" s="110">
        <v>48365.11</v>
      </c>
      <c r="J49" s="110"/>
      <c r="K49" s="106" t="s">
        <v>8</v>
      </c>
      <c r="L49" s="107">
        <v>447801.12</v>
      </c>
    </row>
    <row r="50" spans="1:12" ht="61.2" x14ac:dyDescent="0.3">
      <c r="A50" s="101" t="s">
        <v>113</v>
      </c>
      <c r="B50" s="102" t="s">
        <v>729</v>
      </c>
      <c r="C50" s="102" t="s">
        <v>730</v>
      </c>
      <c r="D50" s="102" t="s">
        <v>702</v>
      </c>
      <c r="E50" s="103" t="s">
        <v>42</v>
      </c>
      <c r="F50" s="109" t="s">
        <v>15</v>
      </c>
      <c r="G50" s="109"/>
      <c r="H50" s="103" t="s">
        <v>682</v>
      </c>
      <c r="I50" s="110">
        <v>27235.85</v>
      </c>
      <c r="J50" s="110"/>
      <c r="K50" s="106" t="s">
        <v>8</v>
      </c>
      <c r="L50" s="107">
        <v>420565.27</v>
      </c>
    </row>
    <row r="51" spans="1:12" ht="61.2" x14ac:dyDescent="0.3">
      <c r="A51" s="101" t="s">
        <v>113</v>
      </c>
      <c r="B51" s="102" t="s">
        <v>729</v>
      </c>
      <c r="C51" s="102" t="s">
        <v>730</v>
      </c>
      <c r="D51" s="102" t="s">
        <v>726</v>
      </c>
      <c r="E51" s="103" t="s">
        <v>42</v>
      </c>
      <c r="F51" s="109" t="s">
        <v>15</v>
      </c>
      <c r="G51" s="109"/>
      <c r="H51" s="103" t="s">
        <v>682</v>
      </c>
      <c r="I51" s="110">
        <v>42269.79</v>
      </c>
      <c r="J51" s="110"/>
      <c r="K51" s="106" t="s">
        <v>8</v>
      </c>
      <c r="L51" s="107">
        <v>378295.48</v>
      </c>
    </row>
    <row r="52" spans="1:12" ht="51" x14ac:dyDescent="0.3">
      <c r="A52" s="101" t="s">
        <v>113</v>
      </c>
      <c r="B52" s="102" t="s">
        <v>729</v>
      </c>
      <c r="C52" s="102" t="s">
        <v>730</v>
      </c>
      <c r="D52" s="102" t="s">
        <v>706</v>
      </c>
      <c r="E52" s="103" t="s">
        <v>42</v>
      </c>
      <c r="F52" s="109" t="s">
        <v>15</v>
      </c>
      <c r="G52" s="109"/>
      <c r="H52" s="103" t="s">
        <v>682</v>
      </c>
      <c r="I52" s="110">
        <v>4235.2700000000004</v>
      </c>
      <c r="J52" s="110"/>
      <c r="K52" s="106" t="s">
        <v>8</v>
      </c>
      <c r="L52" s="107">
        <v>374060.21</v>
      </c>
    </row>
    <row r="53" spans="1:12" ht="51" x14ac:dyDescent="0.3">
      <c r="A53" s="101" t="s">
        <v>113</v>
      </c>
      <c r="B53" s="102" t="s">
        <v>729</v>
      </c>
      <c r="C53" s="102" t="s">
        <v>730</v>
      </c>
      <c r="D53" s="102" t="s">
        <v>727</v>
      </c>
      <c r="E53" s="103" t="s">
        <v>42</v>
      </c>
      <c r="F53" s="109" t="s">
        <v>15</v>
      </c>
      <c r="G53" s="109"/>
      <c r="H53" s="103" t="s">
        <v>682</v>
      </c>
      <c r="I53" s="110">
        <v>6197.26</v>
      </c>
      <c r="J53" s="110"/>
      <c r="K53" s="106" t="s">
        <v>8</v>
      </c>
      <c r="L53" s="107">
        <v>367862.95</v>
      </c>
    </row>
    <row r="54" spans="1:12" ht="51" x14ac:dyDescent="0.3">
      <c r="A54" s="101" t="s">
        <v>113</v>
      </c>
      <c r="B54" s="102" t="s">
        <v>731</v>
      </c>
      <c r="C54" s="102" t="s">
        <v>730</v>
      </c>
      <c r="D54" s="102" t="s">
        <v>680</v>
      </c>
      <c r="E54" s="103" t="s">
        <v>42</v>
      </c>
      <c r="F54" s="109" t="s">
        <v>15</v>
      </c>
      <c r="G54" s="109"/>
      <c r="H54" s="103" t="s">
        <v>682</v>
      </c>
      <c r="I54" s="110">
        <v>81521.77</v>
      </c>
      <c r="J54" s="110"/>
      <c r="K54" s="106" t="s">
        <v>8</v>
      </c>
      <c r="L54" s="107">
        <v>286341.18</v>
      </c>
    </row>
    <row r="55" spans="1:12" ht="61.2" x14ac:dyDescent="0.3">
      <c r="A55" s="101" t="s">
        <v>113</v>
      </c>
      <c r="B55" s="102" t="s">
        <v>731</v>
      </c>
      <c r="C55" s="102" t="s">
        <v>730</v>
      </c>
      <c r="D55" s="102" t="s">
        <v>685</v>
      </c>
      <c r="E55" s="103" t="s">
        <v>42</v>
      </c>
      <c r="F55" s="109" t="s">
        <v>15</v>
      </c>
      <c r="G55" s="109"/>
      <c r="H55" s="103" t="s">
        <v>682</v>
      </c>
      <c r="I55" s="110">
        <v>6118</v>
      </c>
      <c r="J55" s="110"/>
      <c r="K55" s="106" t="s">
        <v>8</v>
      </c>
      <c r="L55" s="107">
        <v>280223.18</v>
      </c>
    </row>
    <row r="56" spans="1:12" ht="61.2" x14ac:dyDescent="0.3">
      <c r="A56" s="101" t="s">
        <v>113</v>
      </c>
      <c r="B56" s="102" t="s">
        <v>731</v>
      </c>
      <c r="C56" s="102" t="s">
        <v>730</v>
      </c>
      <c r="D56" s="102" t="s">
        <v>716</v>
      </c>
      <c r="E56" s="103" t="s">
        <v>42</v>
      </c>
      <c r="F56" s="109" t="s">
        <v>15</v>
      </c>
      <c r="G56" s="109"/>
      <c r="H56" s="103" t="s">
        <v>682</v>
      </c>
      <c r="I56" s="110">
        <v>21812</v>
      </c>
      <c r="J56" s="110"/>
      <c r="K56" s="106" t="s">
        <v>8</v>
      </c>
      <c r="L56" s="107">
        <v>258411.18</v>
      </c>
    </row>
    <row r="57" spans="1:12" ht="51" x14ac:dyDescent="0.3">
      <c r="A57" s="101" t="s">
        <v>113</v>
      </c>
      <c r="B57" s="102" t="s">
        <v>731</v>
      </c>
      <c r="C57" s="102" t="s">
        <v>730</v>
      </c>
      <c r="D57" s="102" t="s">
        <v>687</v>
      </c>
      <c r="E57" s="103" t="s">
        <v>42</v>
      </c>
      <c r="F57" s="109" t="s">
        <v>15</v>
      </c>
      <c r="G57" s="109"/>
      <c r="H57" s="103" t="s">
        <v>682</v>
      </c>
      <c r="I57" s="110">
        <v>21173.62</v>
      </c>
      <c r="J57" s="110"/>
      <c r="K57" s="106" t="s">
        <v>8</v>
      </c>
      <c r="L57" s="107">
        <v>237237.56</v>
      </c>
    </row>
    <row r="58" spans="1:12" ht="51" x14ac:dyDescent="0.3">
      <c r="A58" s="101" t="s">
        <v>113</v>
      </c>
      <c r="B58" s="102" t="s">
        <v>731</v>
      </c>
      <c r="C58" s="102" t="s">
        <v>730</v>
      </c>
      <c r="D58" s="102" t="s">
        <v>715</v>
      </c>
      <c r="E58" s="103" t="s">
        <v>42</v>
      </c>
      <c r="F58" s="109" t="s">
        <v>15</v>
      </c>
      <c r="G58" s="109"/>
      <c r="H58" s="103" t="s">
        <v>682</v>
      </c>
      <c r="I58" s="110">
        <v>10167.67</v>
      </c>
      <c r="J58" s="110"/>
      <c r="K58" s="106" t="s">
        <v>8</v>
      </c>
      <c r="L58" s="107">
        <v>227069.89</v>
      </c>
    </row>
    <row r="59" spans="1:12" ht="51" x14ac:dyDescent="0.3">
      <c r="A59" s="101" t="s">
        <v>113</v>
      </c>
      <c r="B59" s="102" t="s">
        <v>731</v>
      </c>
      <c r="C59" s="102" t="s">
        <v>730</v>
      </c>
      <c r="D59" s="102" t="s">
        <v>719</v>
      </c>
      <c r="E59" s="103" t="s">
        <v>42</v>
      </c>
      <c r="F59" s="109" t="s">
        <v>15</v>
      </c>
      <c r="G59" s="109"/>
      <c r="H59" s="103" t="s">
        <v>682</v>
      </c>
      <c r="I59" s="110">
        <v>21796.17</v>
      </c>
      <c r="J59" s="110"/>
      <c r="K59" s="106" t="s">
        <v>8</v>
      </c>
      <c r="L59" s="107">
        <v>205273.72</v>
      </c>
    </row>
    <row r="60" spans="1:12" ht="51" x14ac:dyDescent="0.3">
      <c r="A60" s="101" t="s">
        <v>113</v>
      </c>
      <c r="B60" s="102" t="s">
        <v>731</v>
      </c>
      <c r="C60" s="102" t="s">
        <v>730</v>
      </c>
      <c r="D60" s="102" t="s">
        <v>692</v>
      </c>
      <c r="E60" s="103" t="s">
        <v>42</v>
      </c>
      <c r="F60" s="109" t="s">
        <v>15</v>
      </c>
      <c r="G60" s="109"/>
      <c r="H60" s="103" t="s">
        <v>682</v>
      </c>
      <c r="I60" s="111">
        <v>140.41</v>
      </c>
      <c r="J60" s="111"/>
      <c r="K60" s="106" t="s">
        <v>8</v>
      </c>
      <c r="L60" s="107">
        <v>205133.31</v>
      </c>
    </row>
    <row r="61" spans="1:12" ht="51" x14ac:dyDescent="0.3">
      <c r="A61" s="101" t="s">
        <v>113</v>
      </c>
      <c r="B61" s="102" t="s">
        <v>731</v>
      </c>
      <c r="C61" s="102" t="s">
        <v>730</v>
      </c>
      <c r="D61" s="102" t="s">
        <v>712</v>
      </c>
      <c r="E61" s="103" t="s">
        <v>42</v>
      </c>
      <c r="F61" s="109" t="s">
        <v>15</v>
      </c>
      <c r="G61" s="109"/>
      <c r="H61" s="103" t="s">
        <v>682</v>
      </c>
      <c r="I61" s="111">
        <v>56.17</v>
      </c>
      <c r="J61" s="111"/>
      <c r="K61" s="106" t="s">
        <v>8</v>
      </c>
      <c r="L61" s="107">
        <v>205077.14</v>
      </c>
    </row>
    <row r="62" spans="1:12" ht="51" x14ac:dyDescent="0.3">
      <c r="A62" s="101" t="s">
        <v>113</v>
      </c>
      <c r="B62" s="102" t="s">
        <v>731</v>
      </c>
      <c r="C62" s="102" t="s">
        <v>730</v>
      </c>
      <c r="D62" s="102" t="s">
        <v>694</v>
      </c>
      <c r="E62" s="103" t="s">
        <v>42</v>
      </c>
      <c r="F62" s="109" t="s">
        <v>15</v>
      </c>
      <c r="G62" s="109"/>
      <c r="H62" s="103" t="s">
        <v>682</v>
      </c>
      <c r="I62" s="110">
        <v>120201.29</v>
      </c>
      <c r="J62" s="110"/>
      <c r="K62" s="106" t="s">
        <v>8</v>
      </c>
      <c r="L62" s="107">
        <v>84875.85</v>
      </c>
    </row>
    <row r="63" spans="1:12" ht="61.2" x14ac:dyDescent="0.3">
      <c r="A63" s="101" t="s">
        <v>113</v>
      </c>
      <c r="B63" s="102" t="s">
        <v>731</v>
      </c>
      <c r="C63" s="102" t="s">
        <v>730</v>
      </c>
      <c r="D63" s="102" t="s">
        <v>696</v>
      </c>
      <c r="E63" s="103" t="s">
        <v>42</v>
      </c>
      <c r="F63" s="109" t="s">
        <v>15</v>
      </c>
      <c r="G63" s="109"/>
      <c r="H63" s="103" t="s">
        <v>682</v>
      </c>
      <c r="I63" s="110">
        <v>1988.93</v>
      </c>
      <c r="J63" s="110"/>
      <c r="K63" s="106" t="s">
        <v>8</v>
      </c>
      <c r="L63" s="107">
        <v>82886.92</v>
      </c>
    </row>
    <row r="64" spans="1:12" ht="51" x14ac:dyDescent="0.3">
      <c r="A64" s="101" t="s">
        <v>113</v>
      </c>
      <c r="B64" s="102" t="s">
        <v>731</v>
      </c>
      <c r="C64" s="102" t="s">
        <v>730</v>
      </c>
      <c r="D64" s="102" t="s">
        <v>725</v>
      </c>
      <c r="E64" s="103" t="s">
        <v>42</v>
      </c>
      <c r="F64" s="109" t="s">
        <v>15</v>
      </c>
      <c r="G64" s="109"/>
      <c r="H64" s="103" t="s">
        <v>682</v>
      </c>
      <c r="I64" s="110">
        <v>35790.81</v>
      </c>
      <c r="J64" s="110"/>
      <c r="K64" s="106" t="s">
        <v>8</v>
      </c>
      <c r="L64" s="107">
        <v>47096.11</v>
      </c>
    </row>
    <row r="65" spans="1:12" ht="61.2" x14ac:dyDescent="0.3">
      <c r="A65" s="101" t="s">
        <v>113</v>
      </c>
      <c r="B65" s="102" t="s">
        <v>731</v>
      </c>
      <c r="C65" s="102" t="s">
        <v>730</v>
      </c>
      <c r="D65" s="102" t="s">
        <v>726</v>
      </c>
      <c r="E65" s="103" t="s">
        <v>42</v>
      </c>
      <c r="F65" s="109" t="s">
        <v>15</v>
      </c>
      <c r="G65" s="109"/>
      <c r="H65" s="103" t="s">
        <v>682</v>
      </c>
      <c r="I65" s="110">
        <v>27235.85</v>
      </c>
      <c r="J65" s="110"/>
      <c r="K65" s="106" t="s">
        <v>8</v>
      </c>
      <c r="L65" s="107">
        <v>19860.259999999998</v>
      </c>
    </row>
    <row r="66" spans="1:12" ht="51" x14ac:dyDescent="0.3">
      <c r="A66" s="101" t="s">
        <v>113</v>
      </c>
      <c r="B66" s="102" t="s">
        <v>731</v>
      </c>
      <c r="C66" s="102" t="s">
        <v>730</v>
      </c>
      <c r="D66" s="102" t="s">
        <v>721</v>
      </c>
      <c r="E66" s="103" t="s">
        <v>42</v>
      </c>
      <c r="F66" s="109" t="s">
        <v>15</v>
      </c>
      <c r="G66" s="109"/>
      <c r="H66" s="103" t="s">
        <v>682</v>
      </c>
      <c r="I66" s="110">
        <v>15480</v>
      </c>
      <c r="J66" s="110"/>
      <c r="K66" s="106" t="s">
        <v>8</v>
      </c>
      <c r="L66" s="107">
        <v>4380.26</v>
      </c>
    </row>
    <row r="67" spans="1:12" ht="51" x14ac:dyDescent="0.3">
      <c r="A67" s="101" t="s">
        <v>113</v>
      </c>
      <c r="B67" s="102" t="s">
        <v>731</v>
      </c>
      <c r="C67" s="102" t="s">
        <v>730</v>
      </c>
      <c r="D67" s="102" t="s">
        <v>727</v>
      </c>
      <c r="E67" s="103" t="s">
        <v>42</v>
      </c>
      <c r="F67" s="109" t="s">
        <v>15</v>
      </c>
      <c r="G67" s="109"/>
      <c r="H67" s="103" t="s">
        <v>682</v>
      </c>
      <c r="I67" s="110">
        <v>4380.26</v>
      </c>
      <c r="J67" s="110"/>
      <c r="K67" s="106"/>
      <c r="L67" s="112"/>
    </row>
    <row r="68" spans="1:12" hidden="1" x14ac:dyDescent="0.3">
      <c r="A68" s="113" t="s">
        <v>353</v>
      </c>
      <c r="B68" s="113"/>
      <c r="C68" s="113"/>
      <c r="D68" s="113"/>
      <c r="E68" s="114">
        <v>878528.49</v>
      </c>
      <c r="F68" s="114"/>
      <c r="G68" s="114"/>
      <c r="H68" s="114">
        <v>878528.49</v>
      </c>
      <c r="I68" s="114"/>
      <c r="J68" s="114"/>
      <c r="K68" s="115"/>
      <c r="L68" s="116">
        <v>0</v>
      </c>
    </row>
    <row r="70" spans="1:12" x14ac:dyDescent="0.3">
      <c r="J70" s="31">
        <f>SUBTOTAL(9,I36:J67)</f>
        <v>878528.49000000011</v>
      </c>
    </row>
    <row r="72" spans="1:12" x14ac:dyDescent="0.3">
      <c r="J72" s="31">
        <f>J70*1.2</f>
        <v>1054234.1880000001</v>
      </c>
    </row>
  </sheetData>
  <autoFilter ref="B1:D68" xr:uid="{CE19C894-DD15-4BB8-AA22-5113B9C453F4}">
    <filterColumn colId="0">
      <filters>
        <filter val="Вимога-накладна ІБ00-001191 від 19.12.2025 18:12:15_x000a_Списаны ТМЦ"/>
        <filter val="Вимога-накладна ІБ00-001192 від 19.12.2025 00:00:00_x000a_Списаны ТМЦ"/>
      </filters>
    </filterColumn>
  </autoFilter>
  <mergeCells count="142">
    <mergeCell ref="F67:G67"/>
    <mergeCell ref="I67:J67"/>
    <mergeCell ref="A68:D68"/>
    <mergeCell ref="E68:G68"/>
    <mergeCell ref="H68:J68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A213-636F-4B0C-AE31-659408367635}">
  <sheetPr filterMode="1"/>
  <dimension ref="A1:L46"/>
  <sheetViews>
    <sheetView topLeftCell="A36" workbookViewId="0">
      <selection activeCell="J72" sqref="J72"/>
    </sheetView>
  </sheetViews>
  <sheetFormatPr defaultRowHeight="14.4" x14ac:dyDescent="0.3"/>
  <cols>
    <col min="2" max="4" width="25.109375" customWidth="1"/>
    <col min="10" max="10" width="11.33203125" bestFit="1" customWidth="1"/>
  </cols>
  <sheetData>
    <row r="1" spans="1:12" x14ac:dyDescent="0.3">
      <c r="A1" s="117" t="s">
        <v>0</v>
      </c>
      <c r="B1" s="118" t="s">
        <v>1</v>
      </c>
      <c r="C1" s="118" t="s">
        <v>2</v>
      </c>
      <c r="D1" s="119" t="s">
        <v>3</v>
      </c>
      <c r="E1" s="120" t="s">
        <v>4</v>
      </c>
      <c r="F1" s="120"/>
      <c r="G1" s="120"/>
      <c r="H1" s="121" t="s">
        <v>5</v>
      </c>
      <c r="I1" s="121"/>
      <c r="J1" s="121"/>
      <c r="K1" s="118" t="s">
        <v>6</v>
      </c>
      <c r="L1" s="118"/>
    </row>
    <row r="2" spans="1:12" hidden="1" x14ac:dyDescent="0.3">
      <c r="A2" s="122"/>
      <c r="B2" s="123"/>
      <c r="C2" s="123"/>
      <c r="D2" s="124"/>
      <c r="E2" s="125" t="s">
        <v>7</v>
      </c>
      <c r="F2" s="126"/>
      <c r="G2" s="126"/>
      <c r="H2" s="127" t="s">
        <v>7</v>
      </c>
      <c r="I2" s="128"/>
      <c r="J2" s="128"/>
      <c r="K2" s="122"/>
      <c r="L2" s="129"/>
    </row>
    <row r="3" spans="1:12" ht="51" hidden="1" x14ac:dyDescent="0.3">
      <c r="A3" s="130" t="s">
        <v>9</v>
      </c>
      <c r="B3" s="131" t="s">
        <v>732</v>
      </c>
      <c r="C3" s="131" t="s">
        <v>733</v>
      </c>
      <c r="D3" s="131" t="s">
        <v>734</v>
      </c>
      <c r="E3" s="132" t="s">
        <v>682</v>
      </c>
      <c r="F3" s="133">
        <v>4286.5600000000004</v>
      </c>
      <c r="G3" s="133"/>
      <c r="H3" s="132" t="s">
        <v>682</v>
      </c>
      <c r="I3" s="134">
        <v>4286.5600000000004</v>
      </c>
      <c r="J3" s="134"/>
      <c r="K3" s="135" t="s">
        <v>8</v>
      </c>
      <c r="L3" s="136">
        <v>3922803.5</v>
      </c>
    </row>
    <row r="4" spans="1:12" ht="51" hidden="1" x14ac:dyDescent="0.3">
      <c r="A4" s="130" t="s">
        <v>9</v>
      </c>
      <c r="B4" s="131" t="s">
        <v>732</v>
      </c>
      <c r="C4" s="131" t="s">
        <v>733</v>
      </c>
      <c r="D4" s="131" t="s">
        <v>735</v>
      </c>
      <c r="E4" s="132" t="s">
        <v>682</v>
      </c>
      <c r="F4" s="133">
        <v>91855.74</v>
      </c>
      <c r="G4" s="133"/>
      <c r="H4" s="132" t="s">
        <v>682</v>
      </c>
      <c r="I4" s="134">
        <v>91855.74</v>
      </c>
      <c r="J4" s="134"/>
      <c r="K4" s="135" t="s">
        <v>8</v>
      </c>
      <c r="L4" s="136">
        <v>3922803.5</v>
      </c>
    </row>
    <row r="5" spans="1:12" ht="51" hidden="1" x14ac:dyDescent="0.3">
      <c r="A5" s="130" t="s">
        <v>9</v>
      </c>
      <c r="B5" s="131" t="s">
        <v>732</v>
      </c>
      <c r="C5" s="131" t="s">
        <v>736</v>
      </c>
      <c r="D5" s="131" t="s">
        <v>737</v>
      </c>
      <c r="E5" s="132" t="s">
        <v>682</v>
      </c>
      <c r="F5" s="133">
        <v>30814</v>
      </c>
      <c r="G5" s="133"/>
      <c r="H5" s="132" t="s">
        <v>682</v>
      </c>
      <c r="I5" s="134">
        <v>30814</v>
      </c>
      <c r="J5" s="134"/>
      <c r="K5" s="135" t="s">
        <v>8</v>
      </c>
      <c r="L5" s="136">
        <v>3922803.5</v>
      </c>
    </row>
    <row r="6" spans="1:12" ht="61.2" hidden="1" x14ac:dyDescent="0.3">
      <c r="A6" s="130" t="s">
        <v>9</v>
      </c>
      <c r="B6" s="131" t="s">
        <v>732</v>
      </c>
      <c r="C6" s="131" t="s">
        <v>738</v>
      </c>
      <c r="D6" s="131" t="s">
        <v>739</v>
      </c>
      <c r="E6" s="132" t="s">
        <v>682</v>
      </c>
      <c r="F6" s="133">
        <v>6809.42</v>
      </c>
      <c r="G6" s="133"/>
      <c r="H6" s="132" t="s">
        <v>682</v>
      </c>
      <c r="I6" s="134">
        <v>6809.42</v>
      </c>
      <c r="J6" s="134"/>
      <c r="K6" s="135" t="s">
        <v>8</v>
      </c>
      <c r="L6" s="136">
        <v>3922803.5</v>
      </c>
    </row>
    <row r="7" spans="1:12" ht="51" x14ac:dyDescent="0.3">
      <c r="A7" s="130" t="s">
        <v>34</v>
      </c>
      <c r="B7" s="131" t="s">
        <v>740</v>
      </c>
      <c r="C7" s="131" t="s">
        <v>741</v>
      </c>
      <c r="D7" s="131" t="s">
        <v>733</v>
      </c>
      <c r="E7" s="132" t="s">
        <v>42</v>
      </c>
      <c r="F7" s="137" t="s">
        <v>15</v>
      </c>
      <c r="G7" s="137"/>
      <c r="H7" s="132" t="s">
        <v>682</v>
      </c>
      <c r="I7" s="134">
        <v>3865.02</v>
      </c>
      <c r="J7" s="134"/>
      <c r="K7" s="135" t="s">
        <v>8</v>
      </c>
      <c r="L7" s="136">
        <v>3918938.48</v>
      </c>
    </row>
    <row r="8" spans="1:12" ht="51" x14ac:dyDescent="0.3">
      <c r="A8" s="130" t="s">
        <v>34</v>
      </c>
      <c r="B8" s="131" t="s">
        <v>740</v>
      </c>
      <c r="C8" s="131" t="s">
        <v>741</v>
      </c>
      <c r="D8" s="131" t="s">
        <v>742</v>
      </c>
      <c r="E8" s="132" t="s">
        <v>42</v>
      </c>
      <c r="F8" s="137" t="s">
        <v>15</v>
      </c>
      <c r="G8" s="137"/>
      <c r="H8" s="132" t="s">
        <v>682</v>
      </c>
      <c r="I8" s="138">
        <v>645.34</v>
      </c>
      <c r="J8" s="138"/>
      <c r="K8" s="135" t="s">
        <v>8</v>
      </c>
      <c r="L8" s="136">
        <v>3918293.14</v>
      </c>
    </row>
    <row r="9" spans="1:12" ht="51" x14ac:dyDescent="0.3">
      <c r="A9" s="130" t="s">
        <v>34</v>
      </c>
      <c r="B9" s="131" t="s">
        <v>740</v>
      </c>
      <c r="C9" s="131" t="s">
        <v>741</v>
      </c>
      <c r="D9" s="131" t="s">
        <v>743</v>
      </c>
      <c r="E9" s="132" t="s">
        <v>42</v>
      </c>
      <c r="F9" s="137" t="s">
        <v>15</v>
      </c>
      <c r="G9" s="137"/>
      <c r="H9" s="132" t="s">
        <v>682</v>
      </c>
      <c r="I9" s="134">
        <v>92581.41</v>
      </c>
      <c r="J9" s="134"/>
      <c r="K9" s="135" t="s">
        <v>8</v>
      </c>
      <c r="L9" s="136">
        <v>3825711.73</v>
      </c>
    </row>
    <row r="10" spans="1:12" ht="61.2" x14ac:dyDescent="0.3">
      <c r="A10" s="130" t="s">
        <v>34</v>
      </c>
      <c r="B10" s="131" t="s">
        <v>740</v>
      </c>
      <c r="C10" s="131" t="s">
        <v>741</v>
      </c>
      <c r="D10" s="131" t="s">
        <v>744</v>
      </c>
      <c r="E10" s="132" t="s">
        <v>42</v>
      </c>
      <c r="F10" s="137" t="s">
        <v>15</v>
      </c>
      <c r="G10" s="137"/>
      <c r="H10" s="132" t="s">
        <v>682</v>
      </c>
      <c r="I10" s="134">
        <v>22765.16</v>
      </c>
      <c r="J10" s="134"/>
      <c r="K10" s="135" t="s">
        <v>8</v>
      </c>
      <c r="L10" s="136">
        <v>3802946.57</v>
      </c>
    </row>
    <row r="11" spans="1:12" ht="51" x14ac:dyDescent="0.3">
      <c r="A11" s="130" t="s">
        <v>34</v>
      </c>
      <c r="B11" s="131" t="s">
        <v>740</v>
      </c>
      <c r="C11" s="131" t="s">
        <v>741</v>
      </c>
      <c r="D11" s="131" t="s">
        <v>745</v>
      </c>
      <c r="E11" s="132" t="s">
        <v>42</v>
      </c>
      <c r="F11" s="137" t="s">
        <v>15</v>
      </c>
      <c r="G11" s="137"/>
      <c r="H11" s="132" t="s">
        <v>682</v>
      </c>
      <c r="I11" s="134">
        <v>25174.38</v>
      </c>
      <c r="J11" s="134"/>
      <c r="K11" s="135" t="s">
        <v>8</v>
      </c>
      <c r="L11" s="136">
        <v>3777772.19</v>
      </c>
    </row>
    <row r="12" spans="1:12" ht="61.2" x14ac:dyDescent="0.3">
      <c r="A12" s="130" t="s">
        <v>34</v>
      </c>
      <c r="B12" s="131" t="s">
        <v>740</v>
      </c>
      <c r="C12" s="131" t="s">
        <v>741</v>
      </c>
      <c r="D12" s="131" t="s">
        <v>746</v>
      </c>
      <c r="E12" s="132" t="s">
        <v>42</v>
      </c>
      <c r="F12" s="137" t="s">
        <v>15</v>
      </c>
      <c r="G12" s="137"/>
      <c r="H12" s="132" t="s">
        <v>682</v>
      </c>
      <c r="I12" s="134">
        <v>28023.75</v>
      </c>
      <c r="J12" s="134"/>
      <c r="K12" s="135" t="s">
        <v>8</v>
      </c>
      <c r="L12" s="136">
        <v>3749748.44</v>
      </c>
    </row>
    <row r="13" spans="1:12" ht="61.2" x14ac:dyDescent="0.3">
      <c r="A13" s="130" t="s">
        <v>34</v>
      </c>
      <c r="B13" s="131" t="s">
        <v>740</v>
      </c>
      <c r="C13" s="131" t="s">
        <v>741</v>
      </c>
      <c r="D13" s="131" t="s">
        <v>747</v>
      </c>
      <c r="E13" s="132" t="s">
        <v>42</v>
      </c>
      <c r="F13" s="137" t="s">
        <v>15</v>
      </c>
      <c r="G13" s="137"/>
      <c r="H13" s="132" t="s">
        <v>682</v>
      </c>
      <c r="I13" s="134">
        <v>160457.94</v>
      </c>
      <c r="J13" s="134"/>
      <c r="K13" s="135" t="s">
        <v>8</v>
      </c>
      <c r="L13" s="136">
        <v>3589290.5</v>
      </c>
    </row>
    <row r="14" spans="1:12" ht="51" x14ac:dyDescent="0.3">
      <c r="A14" s="130" t="s">
        <v>34</v>
      </c>
      <c r="B14" s="131" t="s">
        <v>740</v>
      </c>
      <c r="C14" s="131" t="s">
        <v>741</v>
      </c>
      <c r="D14" s="131" t="s">
        <v>748</v>
      </c>
      <c r="E14" s="132" t="s">
        <v>42</v>
      </c>
      <c r="F14" s="137" t="s">
        <v>15</v>
      </c>
      <c r="G14" s="137"/>
      <c r="H14" s="132" t="s">
        <v>682</v>
      </c>
      <c r="I14" s="134">
        <v>4758.75</v>
      </c>
      <c r="J14" s="134"/>
      <c r="K14" s="135" t="s">
        <v>8</v>
      </c>
      <c r="L14" s="136">
        <v>3584531.75</v>
      </c>
    </row>
    <row r="15" spans="1:12" ht="61.2" x14ac:dyDescent="0.3">
      <c r="A15" s="130" t="s">
        <v>34</v>
      </c>
      <c r="B15" s="131" t="s">
        <v>740</v>
      </c>
      <c r="C15" s="131" t="s">
        <v>741</v>
      </c>
      <c r="D15" s="131" t="s">
        <v>749</v>
      </c>
      <c r="E15" s="132" t="s">
        <v>42</v>
      </c>
      <c r="F15" s="137" t="s">
        <v>15</v>
      </c>
      <c r="G15" s="137"/>
      <c r="H15" s="132" t="s">
        <v>682</v>
      </c>
      <c r="I15" s="134">
        <v>8126.39</v>
      </c>
      <c r="J15" s="134"/>
      <c r="K15" s="135" t="s">
        <v>8</v>
      </c>
      <c r="L15" s="136">
        <v>3576405.36</v>
      </c>
    </row>
    <row r="16" spans="1:12" ht="51" x14ac:dyDescent="0.3">
      <c r="A16" s="130" t="s">
        <v>34</v>
      </c>
      <c r="B16" s="131" t="s">
        <v>740</v>
      </c>
      <c r="C16" s="131" t="s">
        <v>741</v>
      </c>
      <c r="D16" s="131" t="s">
        <v>736</v>
      </c>
      <c r="E16" s="132" t="s">
        <v>42</v>
      </c>
      <c r="F16" s="137" t="s">
        <v>15</v>
      </c>
      <c r="G16" s="137"/>
      <c r="H16" s="132" t="s">
        <v>682</v>
      </c>
      <c r="I16" s="134">
        <v>13372.62</v>
      </c>
      <c r="J16" s="134"/>
      <c r="K16" s="135" t="s">
        <v>8</v>
      </c>
      <c r="L16" s="136">
        <v>3563032.74</v>
      </c>
    </row>
    <row r="17" spans="1:12" ht="61.2" x14ac:dyDescent="0.3">
      <c r="A17" s="130" t="s">
        <v>34</v>
      </c>
      <c r="B17" s="131" t="s">
        <v>740</v>
      </c>
      <c r="C17" s="131" t="s">
        <v>741</v>
      </c>
      <c r="D17" s="131" t="s">
        <v>750</v>
      </c>
      <c r="E17" s="132" t="s">
        <v>42</v>
      </c>
      <c r="F17" s="137" t="s">
        <v>15</v>
      </c>
      <c r="G17" s="137"/>
      <c r="H17" s="132" t="s">
        <v>682</v>
      </c>
      <c r="I17" s="134">
        <v>4040.55</v>
      </c>
      <c r="J17" s="134"/>
      <c r="K17" s="135" t="s">
        <v>8</v>
      </c>
      <c r="L17" s="136">
        <v>3558992.19</v>
      </c>
    </row>
    <row r="18" spans="1:12" ht="61.2" x14ac:dyDescent="0.3">
      <c r="A18" s="130" t="s">
        <v>34</v>
      </c>
      <c r="B18" s="131" t="s">
        <v>740</v>
      </c>
      <c r="C18" s="131" t="s">
        <v>741</v>
      </c>
      <c r="D18" s="131" t="s">
        <v>738</v>
      </c>
      <c r="E18" s="132" t="s">
        <v>42</v>
      </c>
      <c r="F18" s="137" t="s">
        <v>15</v>
      </c>
      <c r="G18" s="137"/>
      <c r="H18" s="132" t="s">
        <v>682</v>
      </c>
      <c r="I18" s="134">
        <v>6809.42</v>
      </c>
      <c r="J18" s="134"/>
      <c r="K18" s="135" t="s">
        <v>8</v>
      </c>
      <c r="L18" s="136">
        <v>3552182.77</v>
      </c>
    </row>
    <row r="19" spans="1:12" ht="61.2" x14ac:dyDescent="0.3">
      <c r="A19" s="130" t="s">
        <v>34</v>
      </c>
      <c r="B19" s="131" t="s">
        <v>740</v>
      </c>
      <c r="C19" s="131" t="s">
        <v>741</v>
      </c>
      <c r="D19" s="131" t="s">
        <v>751</v>
      </c>
      <c r="E19" s="132" t="s">
        <v>42</v>
      </c>
      <c r="F19" s="137" t="s">
        <v>15</v>
      </c>
      <c r="G19" s="137"/>
      <c r="H19" s="132" t="s">
        <v>682</v>
      </c>
      <c r="I19" s="134">
        <v>9724.0400000000009</v>
      </c>
      <c r="J19" s="134"/>
      <c r="K19" s="135" t="s">
        <v>8</v>
      </c>
      <c r="L19" s="136">
        <v>3542458.73</v>
      </c>
    </row>
    <row r="20" spans="1:12" ht="51" hidden="1" x14ac:dyDescent="0.3">
      <c r="A20" s="130" t="s">
        <v>279</v>
      </c>
      <c r="B20" s="131" t="s">
        <v>752</v>
      </c>
      <c r="C20" s="131" t="s">
        <v>753</v>
      </c>
      <c r="D20" s="131" t="s">
        <v>754</v>
      </c>
      <c r="E20" s="132" t="s">
        <v>682</v>
      </c>
      <c r="F20" s="133">
        <v>2291</v>
      </c>
      <c r="G20" s="133"/>
      <c r="H20" s="132" t="s">
        <v>682</v>
      </c>
      <c r="I20" s="134">
        <v>2291</v>
      </c>
      <c r="J20" s="134"/>
      <c r="K20" s="135" t="s">
        <v>8</v>
      </c>
      <c r="L20" s="136">
        <v>3542458.73</v>
      </c>
    </row>
    <row r="21" spans="1:12" ht="51" hidden="1" x14ac:dyDescent="0.3">
      <c r="A21" s="130" t="s">
        <v>279</v>
      </c>
      <c r="B21" s="131" t="s">
        <v>752</v>
      </c>
      <c r="C21" s="131" t="s">
        <v>755</v>
      </c>
      <c r="D21" s="131" t="s">
        <v>756</v>
      </c>
      <c r="E21" s="132" t="s">
        <v>682</v>
      </c>
      <c r="F21" s="133">
        <v>7052.5</v>
      </c>
      <c r="G21" s="133"/>
      <c r="H21" s="132" t="s">
        <v>682</v>
      </c>
      <c r="I21" s="134">
        <v>7052.5</v>
      </c>
      <c r="J21" s="134"/>
      <c r="K21" s="135" t="s">
        <v>8</v>
      </c>
      <c r="L21" s="136">
        <v>3542458.73</v>
      </c>
    </row>
    <row r="22" spans="1:12" ht="51" hidden="1" x14ac:dyDescent="0.3">
      <c r="A22" s="130" t="s">
        <v>279</v>
      </c>
      <c r="B22" s="131" t="s">
        <v>752</v>
      </c>
      <c r="C22" s="131" t="s">
        <v>757</v>
      </c>
      <c r="D22" s="131" t="s">
        <v>758</v>
      </c>
      <c r="E22" s="132" t="s">
        <v>682</v>
      </c>
      <c r="F22" s="139">
        <v>56.13</v>
      </c>
      <c r="G22" s="139"/>
      <c r="H22" s="132" t="s">
        <v>682</v>
      </c>
      <c r="I22" s="138">
        <v>56.13</v>
      </c>
      <c r="J22" s="138"/>
      <c r="K22" s="135" t="s">
        <v>8</v>
      </c>
      <c r="L22" s="136">
        <v>3542458.73</v>
      </c>
    </row>
    <row r="23" spans="1:12" ht="51" x14ac:dyDescent="0.3">
      <c r="A23" s="130" t="s">
        <v>279</v>
      </c>
      <c r="B23" s="131" t="s">
        <v>759</v>
      </c>
      <c r="C23" s="131" t="s">
        <v>741</v>
      </c>
      <c r="D23" s="131" t="s">
        <v>760</v>
      </c>
      <c r="E23" s="132" t="s">
        <v>42</v>
      </c>
      <c r="F23" s="137" t="s">
        <v>15</v>
      </c>
      <c r="G23" s="137"/>
      <c r="H23" s="132" t="s">
        <v>682</v>
      </c>
      <c r="I23" s="134">
        <v>17055.39</v>
      </c>
      <c r="J23" s="134"/>
      <c r="K23" s="135" t="s">
        <v>8</v>
      </c>
      <c r="L23" s="136">
        <v>3525403.34</v>
      </c>
    </row>
    <row r="24" spans="1:12" ht="51" x14ac:dyDescent="0.3">
      <c r="A24" s="130" t="s">
        <v>279</v>
      </c>
      <c r="B24" s="131" t="s">
        <v>759</v>
      </c>
      <c r="C24" s="131" t="s">
        <v>741</v>
      </c>
      <c r="D24" s="131" t="s">
        <v>743</v>
      </c>
      <c r="E24" s="132" t="s">
        <v>42</v>
      </c>
      <c r="F24" s="137" t="s">
        <v>15</v>
      </c>
      <c r="G24" s="137"/>
      <c r="H24" s="132" t="s">
        <v>682</v>
      </c>
      <c r="I24" s="134">
        <v>359542.15</v>
      </c>
      <c r="J24" s="134"/>
      <c r="K24" s="135" t="s">
        <v>8</v>
      </c>
      <c r="L24" s="136">
        <v>3165861.19</v>
      </c>
    </row>
    <row r="25" spans="1:12" ht="61.2" x14ac:dyDescent="0.3">
      <c r="A25" s="130" t="s">
        <v>279</v>
      </c>
      <c r="B25" s="131" t="s">
        <v>759</v>
      </c>
      <c r="C25" s="131" t="s">
        <v>741</v>
      </c>
      <c r="D25" s="131" t="s">
        <v>744</v>
      </c>
      <c r="E25" s="132" t="s">
        <v>42</v>
      </c>
      <c r="F25" s="137" t="s">
        <v>15</v>
      </c>
      <c r="G25" s="137"/>
      <c r="H25" s="132" t="s">
        <v>682</v>
      </c>
      <c r="I25" s="134">
        <v>16267.42</v>
      </c>
      <c r="J25" s="134"/>
      <c r="K25" s="135" t="s">
        <v>8</v>
      </c>
      <c r="L25" s="136">
        <v>3149593.77</v>
      </c>
    </row>
    <row r="26" spans="1:12" ht="51" x14ac:dyDescent="0.3">
      <c r="A26" s="130" t="s">
        <v>279</v>
      </c>
      <c r="B26" s="131" t="s">
        <v>759</v>
      </c>
      <c r="C26" s="131" t="s">
        <v>741</v>
      </c>
      <c r="D26" s="131" t="s">
        <v>745</v>
      </c>
      <c r="E26" s="132" t="s">
        <v>42</v>
      </c>
      <c r="F26" s="137" t="s">
        <v>15</v>
      </c>
      <c r="G26" s="137"/>
      <c r="H26" s="132" t="s">
        <v>682</v>
      </c>
      <c r="I26" s="134">
        <v>16626.25</v>
      </c>
      <c r="J26" s="134"/>
      <c r="K26" s="135" t="s">
        <v>8</v>
      </c>
      <c r="L26" s="136">
        <v>3132967.52</v>
      </c>
    </row>
    <row r="27" spans="1:12" ht="51" x14ac:dyDescent="0.3">
      <c r="A27" s="130" t="s">
        <v>279</v>
      </c>
      <c r="B27" s="131" t="s">
        <v>759</v>
      </c>
      <c r="C27" s="131" t="s">
        <v>741</v>
      </c>
      <c r="D27" s="131" t="s">
        <v>753</v>
      </c>
      <c r="E27" s="132" t="s">
        <v>42</v>
      </c>
      <c r="F27" s="137" t="s">
        <v>15</v>
      </c>
      <c r="G27" s="137"/>
      <c r="H27" s="132" t="s">
        <v>682</v>
      </c>
      <c r="I27" s="134">
        <v>2291</v>
      </c>
      <c r="J27" s="134"/>
      <c r="K27" s="135" t="s">
        <v>8</v>
      </c>
      <c r="L27" s="136">
        <v>3130676.52</v>
      </c>
    </row>
    <row r="28" spans="1:12" ht="51" x14ac:dyDescent="0.3">
      <c r="A28" s="130" t="s">
        <v>279</v>
      </c>
      <c r="B28" s="131" t="s">
        <v>759</v>
      </c>
      <c r="C28" s="131" t="s">
        <v>741</v>
      </c>
      <c r="D28" s="131" t="s">
        <v>748</v>
      </c>
      <c r="E28" s="132" t="s">
        <v>42</v>
      </c>
      <c r="F28" s="137" t="s">
        <v>15</v>
      </c>
      <c r="G28" s="137"/>
      <c r="H28" s="132" t="s">
        <v>682</v>
      </c>
      <c r="I28" s="134">
        <v>3290</v>
      </c>
      <c r="J28" s="134"/>
      <c r="K28" s="135" t="s">
        <v>8</v>
      </c>
      <c r="L28" s="136">
        <v>3127386.52</v>
      </c>
    </row>
    <row r="29" spans="1:12" ht="61.2" x14ac:dyDescent="0.3">
      <c r="A29" s="130" t="s">
        <v>279</v>
      </c>
      <c r="B29" s="131" t="s">
        <v>759</v>
      </c>
      <c r="C29" s="131" t="s">
        <v>741</v>
      </c>
      <c r="D29" s="131" t="s">
        <v>761</v>
      </c>
      <c r="E29" s="132" t="s">
        <v>42</v>
      </c>
      <c r="F29" s="137" t="s">
        <v>15</v>
      </c>
      <c r="G29" s="137"/>
      <c r="H29" s="132" t="s">
        <v>682</v>
      </c>
      <c r="I29" s="138">
        <v>136.71</v>
      </c>
      <c r="J29" s="138"/>
      <c r="K29" s="135" t="s">
        <v>8</v>
      </c>
      <c r="L29" s="136">
        <v>3127249.81</v>
      </c>
    </row>
    <row r="30" spans="1:12" ht="51" x14ac:dyDescent="0.3">
      <c r="A30" s="130" t="s">
        <v>279</v>
      </c>
      <c r="B30" s="131" t="s">
        <v>759</v>
      </c>
      <c r="C30" s="131" t="s">
        <v>741</v>
      </c>
      <c r="D30" s="131" t="s">
        <v>755</v>
      </c>
      <c r="E30" s="132" t="s">
        <v>42</v>
      </c>
      <c r="F30" s="137" t="s">
        <v>15</v>
      </c>
      <c r="G30" s="137"/>
      <c r="H30" s="132" t="s">
        <v>682</v>
      </c>
      <c r="I30" s="134">
        <v>7052.5</v>
      </c>
      <c r="J30" s="134"/>
      <c r="K30" s="135" t="s">
        <v>8</v>
      </c>
      <c r="L30" s="136">
        <v>3120197.31</v>
      </c>
    </row>
    <row r="31" spans="1:12" ht="61.2" x14ac:dyDescent="0.3">
      <c r="A31" s="130" t="s">
        <v>279</v>
      </c>
      <c r="B31" s="131" t="s">
        <v>759</v>
      </c>
      <c r="C31" s="131" t="s">
        <v>741</v>
      </c>
      <c r="D31" s="131" t="s">
        <v>751</v>
      </c>
      <c r="E31" s="132" t="s">
        <v>42</v>
      </c>
      <c r="F31" s="137" t="s">
        <v>15</v>
      </c>
      <c r="G31" s="137"/>
      <c r="H31" s="132" t="s">
        <v>682</v>
      </c>
      <c r="I31" s="134">
        <v>57139.03</v>
      </c>
      <c r="J31" s="134"/>
      <c r="K31" s="135" t="s">
        <v>8</v>
      </c>
      <c r="L31" s="136">
        <v>3063058.28</v>
      </c>
    </row>
    <row r="32" spans="1:12" ht="51" x14ac:dyDescent="0.3">
      <c r="A32" s="130" t="s">
        <v>279</v>
      </c>
      <c r="B32" s="131" t="s">
        <v>759</v>
      </c>
      <c r="C32" s="131" t="s">
        <v>741</v>
      </c>
      <c r="D32" s="131" t="s">
        <v>757</v>
      </c>
      <c r="E32" s="132" t="s">
        <v>42</v>
      </c>
      <c r="F32" s="137" t="s">
        <v>15</v>
      </c>
      <c r="G32" s="137"/>
      <c r="H32" s="132" t="s">
        <v>682</v>
      </c>
      <c r="I32" s="138">
        <v>56.13</v>
      </c>
      <c r="J32" s="138"/>
      <c r="K32" s="135" t="s">
        <v>8</v>
      </c>
      <c r="L32" s="136">
        <v>3063002.15</v>
      </c>
    </row>
    <row r="33" spans="1:12" ht="51" x14ac:dyDescent="0.3">
      <c r="A33" s="130" t="s">
        <v>279</v>
      </c>
      <c r="B33" s="131" t="s">
        <v>759</v>
      </c>
      <c r="C33" s="131" t="s">
        <v>741</v>
      </c>
      <c r="D33" s="131" t="s">
        <v>762</v>
      </c>
      <c r="E33" s="132" t="s">
        <v>42</v>
      </c>
      <c r="F33" s="137" t="s">
        <v>15</v>
      </c>
      <c r="G33" s="137"/>
      <c r="H33" s="132" t="s">
        <v>682</v>
      </c>
      <c r="I33" s="134">
        <v>103951.39</v>
      </c>
      <c r="J33" s="134"/>
      <c r="K33" s="135" t="s">
        <v>8</v>
      </c>
      <c r="L33" s="136">
        <v>2959050.76</v>
      </c>
    </row>
    <row r="34" spans="1:12" ht="61.2" hidden="1" x14ac:dyDescent="0.3">
      <c r="A34" s="130" t="s">
        <v>332</v>
      </c>
      <c r="B34" s="131" t="s">
        <v>763</v>
      </c>
      <c r="C34" s="131" t="s">
        <v>764</v>
      </c>
      <c r="D34" s="131" t="s">
        <v>765</v>
      </c>
      <c r="E34" s="132" t="s">
        <v>682</v>
      </c>
      <c r="F34" s="133">
        <v>2186.21</v>
      </c>
      <c r="G34" s="133"/>
      <c r="H34" s="132" t="s">
        <v>682</v>
      </c>
      <c r="I34" s="134">
        <v>2186.21</v>
      </c>
      <c r="J34" s="134"/>
      <c r="K34" s="135" t="s">
        <v>8</v>
      </c>
      <c r="L34" s="136">
        <v>2959050.76</v>
      </c>
    </row>
    <row r="35" spans="1:12" ht="51" x14ac:dyDescent="0.3">
      <c r="A35" s="130" t="s">
        <v>332</v>
      </c>
      <c r="B35" s="131" t="s">
        <v>766</v>
      </c>
      <c r="C35" s="131" t="s">
        <v>741</v>
      </c>
      <c r="D35" s="131" t="s">
        <v>743</v>
      </c>
      <c r="E35" s="132" t="s">
        <v>42</v>
      </c>
      <c r="F35" s="137" t="s">
        <v>15</v>
      </c>
      <c r="G35" s="137"/>
      <c r="H35" s="132" t="s">
        <v>682</v>
      </c>
      <c r="I35" s="134">
        <v>301246.73</v>
      </c>
      <c r="J35" s="134"/>
      <c r="K35" s="135" t="s">
        <v>8</v>
      </c>
      <c r="L35" s="136">
        <v>2657804.0299999998</v>
      </c>
    </row>
    <row r="36" spans="1:12" ht="51" x14ac:dyDescent="0.3">
      <c r="A36" s="130" t="s">
        <v>332</v>
      </c>
      <c r="B36" s="131" t="s">
        <v>766</v>
      </c>
      <c r="C36" s="131" t="s">
        <v>741</v>
      </c>
      <c r="D36" s="131" t="s">
        <v>767</v>
      </c>
      <c r="E36" s="132" t="s">
        <v>42</v>
      </c>
      <c r="F36" s="137" t="s">
        <v>15</v>
      </c>
      <c r="G36" s="137"/>
      <c r="H36" s="132" t="s">
        <v>682</v>
      </c>
      <c r="I36" s="134">
        <v>10460.91</v>
      </c>
      <c r="J36" s="134"/>
      <c r="K36" s="135" t="s">
        <v>8</v>
      </c>
      <c r="L36" s="136">
        <v>2647343.12</v>
      </c>
    </row>
    <row r="37" spans="1:12" ht="51" x14ac:dyDescent="0.3">
      <c r="A37" s="130" t="s">
        <v>332</v>
      </c>
      <c r="B37" s="131" t="s">
        <v>766</v>
      </c>
      <c r="C37" s="131" t="s">
        <v>741</v>
      </c>
      <c r="D37" s="131" t="s">
        <v>768</v>
      </c>
      <c r="E37" s="132" t="s">
        <v>42</v>
      </c>
      <c r="F37" s="137" t="s">
        <v>15</v>
      </c>
      <c r="G37" s="137"/>
      <c r="H37" s="132" t="s">
        <v>682</v>
      </c>
      <c r="I37" s="134">
        <v>144060</v>
      </c>
      <c r="J37" s="134"/>
      <c r="K37" s="135" t="s">
        <v>8</v>
      </c>
      <c r="L37" s="136">
        <v>2503283.12</v>
      </c>
    </row>
    <row r="38" spans="1:12" ht="51" x14ac:dyDescent="0.3">
      <c r="A38" s="130" t="s">
        <v>332</v>
      </c>
      <c r="B38" s="131" t="s">
        <v>766</v>
      </c>
      <c r="C38" s="131" t="s">
        <v>741</v>
      </c>
      <c r="D38" s="131" t="s">
        <v>769</v>
      </c>
      <c r="E38" s="132" t="s">
        <v>42</v>
      </c>
      <c r="F38" s="137" t="s">
        <v>15</v>
      </c>
      <c r="G38" s="137"/>
      <c r="H38" s="132" t="s">
        <v>682</v>
      </c>
      <c r="I38" s="134">
        <v>24193.75</v>
      </c>
      <c r="J38" s="134"/>
      <c r="K38" s="135" t="s">
        <v>8</v>
      </c>
      <c r="L38" s="136">
        <v>2479089.37</v>
      </c>
    </row>
    <row r="39" spans="1:12" ht="61.2" x14ac:dyDescent="0.3">
      <c r="A39" s="130" t="s">
        <v>332</v>
      </c>
      <c r="B39" s="131" t="s">
        <v>766</v>
      </c>
      <c r="C39" s="131" t="s">
        <v>741</v>
      </c>
      <c r="D39" s="131" t="s">
        <v>764</v>
      </c>
      <c r="E39" s="132" t="s">
        <v>42</v>
      </c>
      <c r="F39" s="137" t="s">
        <v>15</v>
      </c>
      <c r="G39" s="137"/>
      <c r="H39" s="132" t="s">
        <v>682</v>
      </c>
      <c r="I39" s="134">
        <v>2186.21</v>
      </c>
      <c r="J39" s="134"/>
      <c r="K39" s="135" t="s">
        <v>8</v>
      </c>
      <c r="L39" s="136">
        <v>2476903.16</v>
      </c>
    </row>
    <row r="40" spans="1:12" ht="51" x14ac:dyDescent="0.3">
      <c r="A40" s="130" t="s">
        <v>332</v>
      </c>
      <c r="B40" s="131" t="s">
        <v>766</v>
      </c>
      <c r="C40" s="131" t="s">
        <v>741</v>
      </c>
      <c r="D40" s="131" t="s">
        <v>770</v>
      </c>
      <c r="E40" s="132" t="s">
        <v>42</v>
      </c>
      <c r="F40" s="137" t="s">
        <v>15</v>
      </c>
      <c r="G40" s="137"/>
      <c r="H40" s="132" t="s">
        <v>682</v>
      </c>
      <c r="I40" s="134">
        <v>8160</v>
      </c>
      <c r="J40" s="134"/>
      <c r="K40" s="135" t="s">
        <v>8</v>
      </c>
      <c r="L40" s="136">
        <v>2468743.16</v>
      </c>
    </row>
    <row r="41" spans="1:12" ht="61.2" x14ac:dyDescent="0.3">
      <c r="A41" s="130" t="s">
        <v>332</v>
      </c>
      <c r="B41" s="131" t="s">
        <v>766</v>
      </c>
      <c r="C41" s="131" t="s">
        <v>741</v>
      </c>
      <c r="D41" s="131" t="s">
        <v>750</v>
      </c>
      <c r="E41" s="132" t="s">
        <v>42</v>
      </c>
      <c r="F41" s="137" t="s">
        <v>15</v>
      </c>
      <c r="G41" s="137"/>
      <c r="H41" s="132" t="s">
        <v>682</v>
      </c>
      <c r="I41" s="138">
        <v>221.4</v>
      </c>
      <c r="J41" s="138"/>
      <c r="K41" s="135" t="s">
        <v>8</v>
      </c>
      <c r="L41" s="136">
        <v>2468521.7599999998</v>
      </c>
    </row>
    <row r="42" spans="1:12" hidden="1" x14ac:dyDescent="0.3">
      <c r="A42" s="140" t="s">
        <v>353</v>
      </c>
      <c r="B42" s="140"/>
      <c r="C42" s="140"/>
      <c r="D42" s="140"/>
      <c r="E42" s="141">
        <v>145351.56</v>
      </c>
      <c r="F42" s="141"/>
      <c r="G42" s="141"/>
      <c r="H42" s="141">
        <v>1599633.3</v>
      </c>
      <c r="I42" s="141"/>
      <c r="J42" s="141"/>
      <c r="K42" s="142" t="s">
        <v>8</v>
      </c>
      <c r="L42" s="143">
        <v>2468521.7599999998</v>
      </c>
    </row>
    <row r="44" spans="1:12" x14ac:dyDescent="0.3">
      <c r="J44" s="31">
        <f>SUBTOTAL(9,I7:J41)</f>
        <v>1454281.74</v>
      </c>
    </row>
    <row r="46" spans="1:12" x14ac:dyDescent="0.3">
      <c r="J46" s="31">
        <f>J44*1.2</f>
        <v>1745138.088</v>
      </c>
    </row>
  </sheetData>
  <autoFilter ref="B1:D42" xr:uid="{EDA62D8D-7F4D-4FDD-9E35-30F94F265307}">
    <filterColumn colId="0">
      <filters>
        <filter val="Вимога-накладна ІБ00-001140 від 12.12.2025 23:00:18_x000a_Списаны ТМЦ"/>
        <filter val="Вимога-накладна ІБ00-001187 від 26.12.2025 12:17:06_x000a_Списаны ТМЦ"/>
        <filter val="Вимога-накладна ІБ00-001232 від 30.12.2025 10:00:00_x000a_Списаны ТМЦ"/>
      </filters>
    </filterColumn>
  </autoFilter>
  <mergeCells count="90">
    <mergeCell ref="F40:G40"/>
    <mergeCell ref="I40:J40"/>
    <mergeCell ref="F41:G41"/>
    <mergeCell ref="I41:J41"/>
    <mergeCell ref="A42:D42"/>
    <mergeCell ref="E42:G42"/>
    <mergeCell ref="H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66A9-CB91-43A8-ACB3-B2EAD656E693}">
  <sheetPr filterMode="1"/>
  <dimension ref="A1:L197"/>
  <sheetViews>
    <sheetView topLeftCell="A187" workbookViewId="0">
      <selection activeCell="J197" sqref="J197"/>
    </sheetView>
  </sheetViews>
  <sheetFormatPr defaultRowHeight="14.4" x14ac:dyDescent="0.3"/>
  <cols>
    <col min="2" max="4" width="30.109375" customWidth="1"/>
    <col min="10" max="10" width="9.88671875" bestFit="1" customWidth="1"/>
  </cols>
  <sheetData>
    <row r="1" spans="1:12" x14ac:dyDescent="0.3">
      <c r="A1" s="32" t="s">
        <v>0</v>
      </c>
      <c r="B1" s="33" t="s">
        <v>1</v>
      </c>
      <c r="C1" s="33" t="s">
        <v>2</v>
      </c>
      <c r="D1" s="34" t="s">
        <v>3</v>
      </c>
      <c r="E1" s="35" t="s">
        <v>4</v>
      </c>
      <c r="F1" s="35"/>
      <c r="G1" s="35"/>
      <c r="H1" s="36" t="s">
        <v>5</v>
      </c>
      <c r="I1" s="36"/>
      <c r="J1" s="36"/>
      <c r="K1" s="33" t="s">
        <v>6</v>
      </c>
      <c r="L1" s="33"/>
    </row>
    <row r="2" spans="1:12" hidden="1" x14ac:dyDescent="0.3">
      <c r="A2" s="37"/>
      <c r="B2" s="38"/>
      <c r="C2" s="38"/>
      <c r="D2" s="39"/>
      <c r="E2" s="40" t="s">
        <v>7</v>
      </c>
      <c r="F2" s="41"/>
      <c r="G2" s="41"/>
      <c r="H2" s="42" t="s">
        <v>7</v>
      </c>
      <c r="I2" s="43"/>
      <c r="J2" s="43"/>
      <c r="K2" s="37"/>
      <c r="L2" s="44"/>
    </row>
    <row r="3" spans="1:12" ht="61.2" hidden="1" x14ac:dyDescent="0.3">
      <c r="A3" s="45" t="s">
        <v>25</v>
      </c>
      <c r="B3" s="46" t="s">
        <v>354</v>
      </c>
      <c r="C3" s="46" t="s">
        <v>355</v>
      </c>
      <c r="D3" s="46" t="s">
        <v>356</v>
      </c>
      <c r="E3" s="47" t="s">
        <v>13</v>
      </c>
      <c r="F3" s="48">
        <v>176</v>
      </c>
      <c r="G3" s="48"/>
      <c r="H3" s="47" t="s">
        <v>243</v>
      </c>
      <c r="I3" s="49" t="s">
        <v>15</v>
      </c>
      <c r="J3" s="49"/>
      <c r="K3" s="50" t="s">
        <v>8</v>
      </c>
      <c r="L3" s="51">
        <v>375933.54</v>
      </c>
    </row>
    <row r="4" spans="1:12" ht="61.2" hidden="1" x14ac:dyDescent="0.3">
      <c r="A4" s="45" t="s">
        <v>25</v>
      </c>
      <c r="B4" s="46" t="s">
        <v>354</v>
      </c>
      <c r="C4" s="46" t="s">
        <v>357</v>
      </c>
      <c r="D4" s="46" t="s">
        <v>356</v>
      </c>
      <c r="E4" s="47" t="s">
        <v>13</v>
      </c>
      <c r="F4" s="48">
        <v>170</v>
      </c>
      <c r="G4" s="48"/>
      <c r="H4" s="47" t="s">
        <v>243</v>
      </c>
      <c r="I4" s="49" t="s">
        <v>15</v>
      </c>
      <c r="J4" s="49"/>
      <c r="K4" s="50" t="s">
        <v>8</v>
      </c>
      <c r="L4" s="51">
        <v>376103.54</v>
      </c>
    </row>
    <row r="5" spans="1:12" ht="51" hidden="1" x14ac:dyDescent="0.3">
      <c r="A5" s="45" t="s">
        <v>25</v>
      </c>
      <c r="B5" s="46" t="s">
        <v>354</v>
      </c>
      <c r="C5" s="46" t="s">
        <v>358</v>
      </c>
      <c r="D5" s="46" t="s">
        <v>356</v>
      </c>
      <c r="E5" s="47" t="s">
        <v>13</v>
      </c>
      <c r="F5" s="48">
        <v>52</v>
      </c>
      <c r="G5" s="48"/>
      <c r="H5" s="47" t="s">
        <v>243</v>
      </c>
      <c r="I5" s="49" t="s">
        <v>15</v>
      </c>
      <c r="J5" s="49"/>
      <c r="K5" s="50" t="s">
        <v>8</v>
      </c>
      <c r="L5" s="51">
        <v>376155.54</v>
      </c>
    </row>
    <row r="6" spans="1:12" ht="61.2" hidden="1" x14ac:dyDescent="0.3">
      <c r="A6" s="45" t="s">
        <v>25</v>
      </c>
      <c r="B6" s="46" t="s">
        <v>354</v>
      </c>
      <c r="C6" s="46" t="s">
        <v>359</v>
      </c>
      <c r="D6" s="46" t="s">
        <v>356</v>
      </c>
      <c r="E6" s="47" t="s">
        <v>13</v>
      </c>
      <c r="F6" s="48">
        <v>216</v>
      </c>
      <c r="G6" s="48"/>
      <c r="H6" s="47" t="s">
        <v>243</v>
      </c>
      <c r="I6" s="49" t="s">
        <v>15</v>
      </c>
      <c r="J6" s="49"/>
      <c r="K6" s="50" t="s">
        <v>8</v>
      </c>
      <c r="L6" s="51">
        <v>376371.54</v>
      </c>
    </row>
    <row r="7" spans="1:12" ht="61.2" hidden="1" x14ac:dyDescent="0.3">
      <c r="A7" s="45" t="s">
        <v>25</v>
      </c>
      <c r="B7" s="46" t="s">
        <v>354</v>
      </c>
      <c r="C7" s="46" t="s">
        <v>360</v>
      </c>
      <c r="D7" s="46" t="s">
        <v>356</v>
      </c>
      <c r="E7" s="47" t="s">
        <v>13</v>
      </c>
      <c r="F7" s="48">
        <v>200</v>
      </c>
      <c r="G7" s="48"/>
      <c r="H7" s="47" t="s">
        <v>243</v>
      </c>
      <c r="I7" s="49" t="s">
        <v>15</v>
      </c>
      <c r="J7" s="49"/>
      <c r="K7" s="50" t="s">
        <v>8</v>
      </c>
      <c r="L7" s="51">
        <v>376571.54</v>
      </c>
    </row>
    <row r="8" spans="1:12" ht="61.2" hidden="1" x14ac:dyDescent="0.3">
      <c r="A8" s="45" t="s">
        <v>25</v>
      </c>
      <c r="B8" s="46" t="s">
        <v>354</v>
      </c>
      <c r="C8" s="46" t="s">
        <v>360</v>
      </c>
      <c r="D8" s="46" t="s">
        <v>356</v>
      </c>
      <c r="E8" s="47" t="s">
        <v>13</v>
      </c>
      <c r="F8" s="48">
        <v>175</v>
      </c>
      <c r="G8" s="48"/>
      <c r="H8" s="47" t="s">
        <v>243</v>
      </c>
      <c r="I8" s="49" t="s">
        <v>15</v>
      </c>
      <c r="J8" s="49"/>
      <c r="K8" s="50" t="s">
        <v>8</v>
      </c>
      <c r="L8" s="51">
        <v>376746.54</v>
      </c>
    </row>
    <row r="9" spans="1:12" ht="71.400000000000006" hidden="1" x14ac:dyDescent="0.3">
      <c r="A9" s="45" t="s">
        <v>25</v>
      </c>
      <c r="B9" s="46" t="s">
        <v>354</v>
      </c>
      <c r="C9" s="46" t="s">
        <v>361</v>
      </c>
      <c r="D9" s="46" t="s">
        <v>356</v>
      </c>
      <c r="E9" s="47" t="s">
        <v>13</v>
      </c>
      <c r="F9" s="48">
        <v>730</v>
      </c>
      <c r="G9" s="48"/>
      <c r="H9" s="47" t="s">
        <v>243</v>
      </c>
      <c r="I9" s="49" t="s">
        <v>15</v>
      </c>
      <c r="J9" s="49"/>
      <c r="K9" s="50" t="s">
        <v>8</v>
      </c>
      <c r="L9" s="51">
        <v>377476.54</v>
      </c>
    </row>
    <row r="10" spans="1:12" ht="71.400000000000006" hidden="1" x14ac:dyDescent="0.3">
      <c r="A10" s="45" t="s">
        <v>25</v>
      </c>
      <c r="B10" s="46" t="s">
        <v>354</v>
      </c>
      <c r="C10" s="46" t="s">
        <v>362</v>
      </c>
      <c r="D10" s="46" t="s">
        <v>356</v>
      </c>
      <c r="E10" s="47" t="s">
        <v>13</v>
      </c>
      <c r="F10" s="48">
        <v>730</v>
      </c>
      <c r="G10" s="48"/>
      <c r="H10" s="47" t="s">
        <v>243</v>
      </c>
      <c r="I10" s="49" t="s">
        <v>15</v>
      </c>
      <c r="J10" s="49"/>
      <c r="K10" s="50" t="s">
        <v>8</v>
      </c>
      <c r="L10" s="51">
        <v>378206.54</v>
      </c>
    </row>
    <row r="11" spans="1:12" ht="61.2" x14ac:dyDescent="0.3">
      <c r="A11" s="45" t="s">
        <v>30</v>
      </c>
      <c r="B11" s="46" t="s">
        <v>363</v>
      </c>
      <c r="C11" s="46" t="s">
        <v>47</v>
      </c>
      <c r="D11" s="46" t="s">
        <v>364</v>
      </c>
      <c r="E11" s="47" t="s">
        <v>42</v>
      </c>
      <c r="F11" s="52" t="s">
        <v>15</v>
      </c>
      <c r="G11" s="52"/>
      <c r="H11" s="47" t="s">
        <v>13</v>
      </c>
      <c r="I11" s="53">
        <v>126.56</v>
      </c>
      <c r="J11" s="53"/>
      <c r="K11" s="50" t="s">
        <v>8</v>
      </c>
      <c r="L11" s="51">
        <v>378079.98</v>
      </c>
    </row>
    <row r="12" spans="1:12" ht="51" x14ac:dyDescent="0.3">
      <c r="A12" s="45" t="s">
        <v>30</v>
      </c>
      <c r="B12" s="46" t="s">
        <v>363</v>
      </c>
      <c r="C12" s="46" t="s">
        <v>47</v>
      </c>
      <c r="D12" s="46" t="s">
        <v>365</v>
      </c>
      <c r="E12" s="47" t="s">
        <v>42</v>
      </c>
      <c r="F12" s="52" t="s">
        <v>15</v>
      </c>
      <c r="G12" s="52"/>
      <c r="H12" s="47" t="s">
        <v>13</v>
      </c>
      <c r="I12" s="53">
        <v>414.72</v>
      </c>
      <c r="J12" s="53"/>
      <c r="K12" s="50" t="s">
        <v>8</v>
      </c>
      <c r="L12" s="51">
        <v>377665.26</v>
      </c>
    </row>
    <row r="13" spans="1:12" ht="51" x14ac:dyDescent="0.3">
      <c r="A13" s="45" t="s">
        <v>30</v>
      </c>
      <c r="B13" s="46" t="s">
        <v>363</v>
      </c>
      <c r="C13" s="46" t="s">
        <v>47</v>
      </c>
      <c r="D13" s="46" t="s">
        <v>366</v>
      </c>
      <c r="E13" s="47" t="s">
        <v>42</v>
      </c>
      <c r="F13" s="52" t="s">
        <v>15</v>
      </c>
      <c r="G13" s="52"/>
      <c r="H13" s="47" t="s">
        <v>13</v>
      </c>
      <c r="I13" s="53">
        <v>274.77</v>
      </c>
      <c r="J13" s="53"/>
      <c r="K13" s="50" t="s">
        <v>8</v>
      </c>
      <c r="L13" s="51">
        <v>377390.49</v>
      </c>
    </row>
    <row r="14" spans="1:12" ht="51" x14ac:dyDescent="0.3">
      <c r="A14" s="45" t="s">
        <v>30</v>
      </c>
      <c r="B14" s="46" t="s">
        <v>363</v>
      </c>
      <c r="C14" s="46" t="s">
        <v>47</v>
      </c>
      <c r="D14" s="46" t="s">
        <v>367</v>
      </c>
      <c r="E14" s="47" t="s">
        <v>42</v>
      </c>
      <c r="F14" s="52" t="s">
        <v>15</v>
      </c>
      <c r="G14" s="52"/>
      <c r="H14" s="47" t="s">
        <v>13</v>
      </c>
      <c r="I14" s="53">
        <v>425</v>
      </c>
      <c r="J14" s="53"/>
      <c r="K14" s="50" t="s">
        <v>8</v>
      </c>
      <c r="L14" s="51">
        <v>376965.49</v>
      </c>
    </row>
    <row r="15" spans="1:12" ht="61.2" x14ac:dyDescent="0.3">
      <c r="A15" s="45" t="s">
        <v>30</v>
      </c>
      <c r="B15" s="46" t="s">
        <v>363</v>
      </c>
      <c r="C15" s="46" t="s">
        <v>47</v>
      </c>
      <c r="D15" s="46" t="s">
        <v>359</v>
      </c>
      <c r="E15" s="47" t="s">
        <v>42</v>
      </c>
      <c r="F15" s="52" t="s">
        <v>15</v>
      </c>
      <c r="G15" s="52"/>
      <c r="H15" s="47" t="s">
        <v>13</v>
      </c>
      <c r="I15" s="53">
        <v>216</v>
      </c>
      <c r="J15" s="53"/>
      <c r="K15" s="50" t="s">
        <v>8</v>
      </c>
      <c r="L15" s="51">
        <v>376749.49</v>
      </c>
    </row>
    <row r="16" spans="1:12" ht="61.2" x14ac:dyDescent="0.3">
      <c r="A16" s="45" t="s">
        <v>30</v>
      </c>
      <c r="B16" s="46" t="s">
        <v>363</v>
      </c>
      <c r="C16" s="46" t="s">
        <v>47</v>
      </c>
      <c r="D16" s="46" t="s">
        <v>355</v>
      </c>
      <c r="E16" s="47" t="s">
        <v>42</v>
      </c>
      <c r="F16" s="52" t="s">
        <v>15</v>
      </c>
      <c r="G16" s="52"/>
      <c r="H16" s="47" t="s">
        <v>13</v>
      </c>
      <c r="I16" s="53">
        <v>176</v>
      </c>
      <c r="J16" s="53"/>
      <c r="K16" s="50" t="s">
        <v>8</v>
      </c>
      <c r="L16" s="51">
        <v>376573.49</v>
      </c>
    </row>
    <row r="17" spans="1:12" ht="61.2" x14ac:dyDescent="0.3">
      <c r="A17" s="45" t="s">
        <v>30</v>
      </c>
      <c r="B17" s="46" t="s">
        <v>363</v>
      </c>
      <c r="C17" s="46" t="s">
        <v>47</v>
      </c>
      <c r="D17" s="46" t="s">
        <v>357</v>
      </c>
      <c r="E17" s="47" t="s">
        <v>42</v>
      </c>
      <c r="F17" s="52" t="s">
        <v>15</v>
      </c>
      <c r="G17" s="52"/>
      <c r="H17" s="47" t="s">
        <v>13</v>
      </c>
      <c r="I17" s="53">
        <v>170</v>
      </c>
      <c r="J17" s="53"/>
      <c r="K17" s="50" t="s">
        <v>8</v>
      </c>
      <c r="L17" s="51">
        <v>376403.49</v>
      </c>
    </row>
    <row r="18" spans="1:12" ht="51" x14ac:dyDescent="0.3">
      <c r="A18" s="45" t="s">
        <v>30</v>
      </c>
      <c r="B18" s="46" t="s">
        <v>363</v>
      </c>
      <c r="C18" s="46" t="s">
        <v>47</v>
      </c>
      <c r="D18" s="46" t="s">
        <v>368</v>
      </c>
      <c r="E18" s="47" t="s">
        <v>42</v>
      </c>
      <c r="F18" s="52" t="s">
        <v>15</v>
      </c>
      <c r="G18" s="52"/>
      <c r="H18" s="47" t="s">
        <v>13</v>
      </c>
      <c r="I18" s="53">
        <v>367</v>
      </c>
      <c r="J18" s="53"/>
      <c r="K18" s="50" t="s">
        <v>8</v>
      </c>
      <c r="L18" s="51">
        <v>376036.49</v>
      </c>
    </row>
    <row r="19" spans="1:12" ht="61.2" hidden="1" x14ac:dyDescent="0.3">
      <c r="A19" s="45" t="s">
        <v>369</v>
      </c>
      <c r="B19" s="46" t="s">
        <v>370</v>
      </c>
      <c r="C19" s="46" t="s">
        <v>371</v>
      </c>
      <c r="D19" s="46" t="s">
        <v>372</v>
      </c>
      <c r="E19" s="47" t="s">
        <v>13</v>
      </c>
      <c r="F19" s="54">
        <v>6696</v>
      </c>
      <c r="G19" s="54"/>
      <c r="H19" s="47" t="s">
        <v>14</v>
      </c>
      <c r="I19" s="49" t="s">
        <v>15</v>
      </c>
      <c r="J19" s="49"/>
      <c r="K19" s="50" t="s">
        <v>8</v>
      </c>
      <c r="L19" s="51">
        <v>382732.49</v>
      </c>
    </row>
    <row r="20" spans="1:12" ht="51" hidden="1" x14ac:dyDescent="0.3">
      <c r="A20" s="45" t="s">
        <v>369</v>
      </c>
      <c r="B20" s="46" t="s">
        <v>370</v>
      </c>
      <c r="C20" s="46" t="s">
        <v>373</v>
      </c>
      <c r="D20" s="46" t="s">
        <v>372</v>
      </c>
      <c r="E20" s="47" t="s">
        <v>13</v>
      </c>
      <c r="F20" s="54">
        <v>1612.5</v>
      </c>
      <c r="G20" s="54"/>
      <c r="H20" s="47" t="s">
        <v>14</v>
      </c>
      <c r="I20" s="49" t="s">
        <v>15</v>
      </c>
      <c r="J20" s="49"/>
      <c r="K20" s="50" t="s">
        <v>8</v>
      </c>
      <c r="L20" s="51">
        <v>384344.99</v>
      </c>
    </row>
    <row r="21" spans="1:12" ht="51" hidden="1" x14ac:dyDescent="0.3">
      <c r="A21" s="45" t="s">
        <v>369</v>
      </c>
      <c r="B21" s="46" t="s">
        <v>370</v>
      </c>
      <c r="C21" s="46" t="s">
        <v>374</v>
      </c>
      <c r="D21" s="46" t="s">
        <v>372</v>
      </c>
      <c r="E21" s="47" t="s">
        <v>13</v>
      </c>
      <c r="F21" s="48">
        <v>283.39999999999998</v>
      </c>
      <c r="G21" s="48"/>
      <c r="H21" s="47" t="s">
        <v>14</v>
      </c>
      <c r="I21" s="49" t="s">
        <v>15</v>
      </c>
      <c r="J21" s="49"/>
      <c r="K21" s="50" t="s">
        <v>8</v>
      </c>
      <c r="L21" s="51">
        <v>384628.39</v>
      </c>
    </row>
    <row r="22" spans="1:12" ht="61.2" hidden="1" x14ac:dyDescent="0.3">
      <c r="A22" s="45" t="s">
        <v>369</v>
      </c>
      <c r="B22" s="46" t="s">
        <v>370</v>
      </c>
      <c r="C22" s="46" t="s">
        <v>375</v>
      </c>
      <c r="D22" s="46" t="s">
        <v>372</v>
      </c>
      <c r="E22" s="47" t="s">
        <v>13</v>
      </c>
      <c r="F22" s="54">
        <v>4750</v>
      </c>
      <c r="G22" s="54"/>
      <c r="H22" s="47" t="s">
        <v>14</v>
      </c>
      <c r="I22" s="49" t="s">
        <v>15</v>
      </c>
      <c r="J22" s="49"/>
      <c r="K22" s="50" t="s">
        <v>8</v>
      </c>
      <c r="L22" s="51">
        <v>389378.39</v>
      </c>
    </row>
    <row r="23" spans="1:12" ht="51" hidden="1" x14ac:dyDescent="0.3">
      <c r="A23" s="45" t="s">
        <v>369</v>
      </c>
      <c r="B23" s="46" t="s">
        <v>370</v>
      </c>
      <c r="C23" s="46" t="s">
        <v>376</v>
      </c>
      <c r="D23" s="46" t="s">
        <v>372</v>
      </c>
      <c r="E23" s="47" t="s">
        <v>13</v>
      </c>
      <c r="F23" s="54">
        <v>3963</v>
      </c>
      <c r="G23" s="54"/>
      <c r="H23" s="47" t="s">
        <v>14</v>
      </c>
      <c r="I23" s="49" t="s">
        <v>15</v>
      </c>
      <c r="J23" s="49"/>
      <c r="K23" s="50" t="s">
        <v>8</v>
      </c>
      <c r="L23" s="51">
        <v>393341.39</v>
      </c>
    </row>
    <row r="24" spans="1:12" ht="51" hidden="1" x14ac:dyDescent="0.3">
      <c r="A24" s="45" t="s">
        <v>369</v>
      </c>
      <c r="B24" s="46" t="s">
        <v>370</v>
      </c>
      <c r="C24" s="46" t="s">
        <v>377</v>
      </c>
      <c r="D24" s="46" t="s">
        <v>372</v>
      </c>
      <c r="E24" s="47" t="s">
        <v>13</v>
      </c>
      <c r="F24" s="54">
        <v>2500.5</v>
      </c>
      <c r="G24" s="54"/>
      <c r="H24" s="47" t="s">
        <v>14</v>
      </c>
      <c r="I24" s="49" t="s">
        <v>15</v>
      </c>
      <c r="J24" s="49"/>
      <c r="K24" s="50" t="s">
        <v>8</v>
      </c>
      <c r="L24" s="51">
        <v>395841.89</v>
      </c>
    </row>
    <row r="25" spans="1:12" ht="51" hidden="1" x14ac:dyDescent="0.3">
      <c r="A25" s="45" t="s">
        <v>369</v>
      </c>
      <c r="B25" s="46" t="s">
        <v>370</v>
      </c>
      <c r="C25" s="46" t="s">
        <v>378</v>
      </c>
      <c r="D25" s="46" t="s">
        <v>372</v>
      </c>
      <c r="E25" s="47" t="s">
        <v>13</v>
      </c>
      <c r="F25" s="48">
        <v>404</v>
      </c>
      <c r="G25" s="48"/>
      <c r="H25" s="47" t="s">
        <v>14</v>
      </c>
      <c r="I25" s="49" t="s">
        <v>15</v>
      </c>
      <c r="J25" s="49"/>
      <c r="K25" s="50" t="s">
        <v>8</v>
      </c>
      <c r="L25" s="51">
        <v>396245.89</v>
      </c>
    </row>
    <row r="26" spans="1:12" ht="51" hidden="1" x14ac:dyDescent="0.3">
      <c r="A26" s="45" t="s">
        <v>369</v>
      </c>
      <c r="B26" s="46" t="s">
        <v>370</v>
      </c>
      <c r="C26" s="46" t="s">
        <v>379</v>
      </c>
      <c r="D26" s="46" t="s">
        <v>372</v>
      </c>
      <c r="E26" s="47" t="s">
        <v>13</v>
      </c>
      <c r="F26" s="54">
        <v>2950</v>
      </c>
      <c r="G26" s="54"/>
      <c r="H26" s="47" t="s">
        <v>14</v>
      </c>
      <c r="I26" s="49" t="s">
        <v>15</v>
      </c>
      <c r="J26" s="49"/>
      <c r="K26" s="50" t="s">
        <v>8</v>
      </c>
      <c r="L26" s="51">
        <v>399195.89</v>
      </c>
    </row>
    <row r="27" spans="1:12" ht="51" hidden="1" x14ac:dyDescent="0.3">
      <c r="A27" s="45" t="s">
        <v>369</v>
      </c>
      <c r="B27" s="46" t="s">
        <v>370</v>
      </c>
      <c r="C27" s="46" t="s">
        <v>380</v>
      </c>
      <c r="D27" s="46" t="s">
        <v>372</v>
      </c>
      <c r="E27" s="47" t="s">
        <v>13</v>
      </c>
      <c r="F27" s="54">
        <v>1333.5</v>
      </c>
      <c r="G27" s="54"/>
      <c r="H27" s="47" t="s">
        <v>14</v>
      </c>
      <c r="I27" s="49" t="s">
        <v>15</v>
      </c>
      <c r="J27" s="49"/>
      <c r="K27" s="50" t="s">
        <v>8</v>
      </c>
      <c r="L27" s="51">
        <v>400529.39</v>
      </c>
    </row>
    <row r="28" spans="1:12" ht="51" hidden="1" x14ac:dyDescent="0.3">
      <c r="A28" s="45" t="s">
        <v>369</v>
      </c>
      <c r="B28" s="46" t="s">
        <v>370</v>
      </c>
      <c r="C28" s="46" t="s">
        <v>381</v>
      </c>
      <c r="D28" s="46" t="s">
        <v>372</v>
      </c>
      <c r="E28" s="47" t="s">
        <v>13</v>
      </c>
      <c r="F28" s="54">
        <v>1250</v>
      </c>
      <c r="G28" s="54"/>
      <c r="H28" s="47" t="s">
        <v>14</v>
      </c>
      <c r="I28" s="49" t="s">
        <v>15</v>
      </c>
      <c r="J28" s="49"/>
      <c r="K28" s="50" t="s">
        <v>8</v>
      </c>
      <c r="L28" s="51">
        <v>401779.39</v>
      </c>
    </row>
    <row r="29" spans="1:12" ht="51" hidden="1" x14ac:dyDescent="0.3">
      <c r="A29" s="45" t="s">
        <v>369</v>
      </c>
      <c r="B29" s="46" t="s">
        <v>370</v>
      </c>
      <c r="C29" s="46" t="s">
        <v>382</v>
      </c>
      <c r="D29" s="46" t="s">
        <v>372</v>
      </c>
      <c r="E29" s="47" t="s">
        <v>13</v>
      </c>
      <c r="F29" s="48">
        <v>600</v>
      </c>
      <c r="G29" s="48"/>
      <c r="H29" s="47" t="s">
        <v>14</v>
      </c>
      <c r="I29" s="49" t="s">
        <v>15</v>
      </c>
      <c r="J29" s="49"/>
      <c r="K29" s="50" t="s">
        <v>8</v>
      </c>
      <c r="L29" s="51">
        <v>402379.39</v>
      </c>
    </row>
    <row r="30" spans="1:12" ht="51" hidden="1" x14ac:dyDescent="0.3">
      <c r="A30" s="45" t="s">
        <v>369</v>
      </c>
      <c r="B30" s="46" t="s">
        <v>370</v>
      </c>
      <c r="C30" s="46" t="s">
        <v>383</v>
      </c>
      <c r="D30" s="46" t="s">
        <v>372</v>
      </c>
      <c r="E30" s="47" t="s">
        <v>13</v>
      </c>
      <c r="F30" s="48">
        <v>219.8</v>
      </c>
      <c r="G30" s="48"/>
      <c r="H30" s="47" t="s">
        <v>14</v>
      </c>
      <c r="I30" s="49" t="s">
        <v>15</v>
      </c>
      <c r="J30" s="49"/>
      <c r="K30" s="50" t="s">
        <v>8</v>
      </c>
      <c r="L30" s="51">
        <v>402599.19</v>
      </c>
    </row>
    <row r="31" spans="1:12" ht="51" hidden="1" x14ac:dyDescent="0.3">
      <c r="A31" s="45" t="s">
        <v>369</v>
      </c>
      <c r="B31" s="46" t="s">
        <v>370</v>
      </c>
      <c r="C31" s="46" t="s">
        <v>384</v>
      </c>
      <c r="D31" s="46" t="s">
        <v>372</v>
      </c>
      <c r="E31" s="47" t="s">
        <v>13</v>
      </c>
      <c r="F31" s="48">
        <v>414.5</v>
      </c>
      <c r="G31" s="48"/>
      <c r="H31" s="47" t="s">
        <v>14</v>
      </c>
      <c r="I31" s="49" t="s">
        <v>15</v>
      </c>
      <c r="J31" s="49"/>
      <c r="K31" s="50" t="s">
        <v>8</v>
      </c>
      <c r="L31" s="51">
        <v>403013.69</v>
      </c>
    </row>
    <row r="32" spans="1:12" ht="61.2" hidden="1" x14ac:dyDescent="0.3">
      <c r="A32" s="45" t="s">
        <v>369</v>
      </c>
      <c r="B32" s="46" t="s">
        <v>370</v>
      </c>
      <c r="C32" s="46" t="s">
        <v>385</v>
      </c>
      <c r="D32" s="46" t="s">
        <v>372</v>
      </c>
      <c r="E32" s="47" t="s">
        <v>13</v>
      </c>
      <c r="F32" s="48">
        <v>800</v>
      </c>
      <c r="G32" s="48"/>
      <c r="H32" s="47" t="s">
        <v>14</v>
      </c>
      <c r="I32" s="49" t="s">
        <v>15</v>
      </c>
      <c r="J32" s="49"/>
      <c r="K32" s="50" t="s">
        <v>8</v>
      </c>
      <c r="L32" s="51">
        <v>403813.69</v>
      </c>
    </row>
    <row r="33" spans="1:12" ht="51" hidden="1" x14ac:dyDescent="0.3">
      <c r="A33" s="45" t="s">
        <v>369</v>
      </c>
      <c r="B33" s="46" t="s">
        <v>370</v>
      </c>
      <c r="C33" s="46" t="s">
        <v>386</v>
      </c>
      <c r="D33" s="46" t="s">
        <v>372</v>
      </c>
      <c r="E33" s="47" t="s">
        <v>13</v>
      </c>
      <c r="F33" s="54">
        <v>2382</v>
      </c>
      <c r="G33" s="54"/>
      <c r="H33" s="47" t="s">
        <v>14</v>
      </c>
      <c r="I33" s="49" t="s">
        <v>15</v>
      </c>
      <c r="J33" s="49"/>
      <c r="K33" s="50" t="s">
        <v>8</v>
      </c>
      <c r="L33" s="51">
        <v>406195.69</v>
      </c>
    </row>
    <row r="34" spans="1:12" ht="51" hidden="1" x14ac:dyDescent="0.3">
      <c r="A34" s="45" t="s">
        <v>369</v>
      </c>
      <c r="B34" s="46" t="s">
        <v>370</v>
      </c>
      <c r="C34" s="46" t="s">
        <v>387</v>
      </c>
      <c r="D34" s="46" t="s">
        <v>372</v>
      </c>
      <c r="E34" s="47" t="s">
        <v>13</v>
      </c>
      <c r="F34" s="54">
        <v>5146.5</v>
      </c>
      <c r="G34" s="54"/>
      <c r="H34" s="47" t="s">
        <v>14</v>
      </c>
      <c r="I34" s="49" t="s">
        <v>15</v>
      </c>
      <c r="J34" s="49"/>
      <c r="K34" s="50" t="s">
        <v>8</v>
      </c>
      <c r="L34" s="51">
        <v>411342.19</v>
      </c>
    </row>
    <row r="35" spans="1:12" ht="51" hidden="1" x14ac:dyDescent="0.3">
      <c r="A35" s="45" t="s">
        <v>369</v>
      </c>
      <c r="B35" s="46" t="s">
        <v>370</v>
      </c>
      <c r="C35" s="46" t="s">
        <v>388</v>
      </c>
      <c r="D35" s="46" t="s">
        <v>372</v>
      </c>
      <c r="E35" s="47" t="s">
        <v>13</v>
      </c>
      <c r="F35" s="48">
        <v>281.5</v>
      </c>
      <c r="G35" s="48"/>
      <c r="H35" s="47" t="s">
        <v>14</v>
      </c>
      <c r="I35" s="49" t="s">
        <v>15</v>
      </c>
      <c r="J35" s="49"/>
      <c r="K35" s="50" t="s">
        <v>8</v>
      </c>
      <c r="L35" s="51">
        <v>411623.69</v>
      </c>
    </row>
    <row r="36" spans="1:12" ht="51" hidden="1" x14ac:dyDescent="0.3">
      <c r="A36" s="45" t="s">
        <v>369</v>
      </c>
      <c r="B36" s="46" t="s">
        <v>389</v>
      </c>
      <c r="C36" s="46" t="s">
        <v>390</v>
      </c>
      <c r="D36" s="46" t="s">
        <v>391</v>
      </c>
      <c r="E36" s="47" t="s">
        <v>13</v>
      </c>
      <c r="F36" s="54">
        <v>9717.4500000000007</v>
      </c>
      <c r="G36" s="54"/>
      <c r="H36" s="47" t="s">
        <v>14</v>
      </c>
      <c r="I36" s="49" t="s">
        <v>15</v>
      </c>
      <c r="J36" s="49"/>
      <c r="K36" s="50" t="s">
        <v>8</v>
      </c>
      <c r="L36" s="51">
        <v>421341.14</v>
      </c>
    </row>
    <row r="37" spans="1:12" ht="51" hidden="1" x14ac:dyDescent="0.3">
      <c r="A37" s="45" t="s">
        <v>369</v>
      </c>
      <c r="B37" s="46" t="s">
        <v>389</v>
      </c>
      <c r="C37" s="46" t="s">
        <v>392</v>
      </c>
      <c r="D37" s="46" t="s">
        <v>391</v>
      </c>
      <c r="E37" s="47" t="s">
        <v>13</v>
      </c>
      <c r="F37" s="54">
        <v>10610</v>
      </c>
      <c r="G37" s="54"/>
      <c r="H37" s="47" t="s">
        <v>14</v>
      </c>
      <c r="I37" s="49" t="s">
        <v>15</v>
      </c>
      <c r="J37" s="49"/>
      <c r="K37" s="50" t="s">
        <v>8</v>
      </c>
      <c r="L37" s="51">
        <v>431951.14</v>
      </c>
    </row>
    <row r="38" spans="1:12" ht="51" hidden="1" x14ac:dyDescent="0.3">
      <c r="A38" s="45" t="s">
        <v>369</v>
      </c>
      <c r="B38" s="46" t="s">
        <v>389</v>
      </c>
      <c r="C38" s="46" t="s">
        <v>393</v>
      </c>
      <c r="D38" s="46" t="s">
        <v>391</v>
      </c>
      <c r="E38" s="47" t="s">
        <v>13</v>
      </c>
      <c r="F38" s="54">
        <v>2905</v>
      </c>
      <c r="G38" s="54"/>
      <c r="H38" s="47" t="s">
        <v>14</v>
      </c>
      <c r="I38" s="49" t="s">
        <v>15</v>
      </c>
      <c r="J38" s="49"/>
      <c r="K38" s="50" t="s">
        <v>8</v>
      </c>
      <c r="L38" s="51">
        <v>434856.14</v>
      </c>
    </row>
    <row r="39" spans="1:12" ht="51" hidden="1" x14ac:dyDescent="0.3">
      <c r="A39" s="45" t="s">
        <v>369</v>
      </c>
      <c r="B39" s="46" t="s">
        <v>389</v>
      </c>
      <c r="C39" s="46" t="s">
        <v>394</v>
      </c>
      <c r="D39" s="46" t="s">
        <v>391</v>
      </c>
      <c r="E39" s="47" t="s">
        <v>13</v>
      </c>
      <c r="F39" s="48">
        <v>547.35</v>
      </c>
      <c r="G39" s="48"/>
      <c r="H39" s="47" t="s">
        <v>14</v>
      </c>
      <c r="I39" s="49" t="s">
        <v>15</v>
      </c>
      <c r="J39" s="49"/>
      <c r="K39" s="50" t="s">
        <v>8</v>
      </c>
      <c r="L39" s="51">
        <v>435403.49</v>
      </c>
    </row>
    <row r="40" spans="1:12" ht="51" hidden="1" x14ac:dyDescent="0.3">
      <c r="A40" s="45" t="s">
        <v>369</v>
      </c>
      <c r="B40" s="46" t="s">
        <v>389</v>
      </c>
      <c r="C40" s="46" t="s">
        <v>395</v>
      </c>
      <c r="D40" s="46" t="s">
        <v>391</v>
      </c>
      <c r="E40" s="47" t="s">
        <v>13</v>
      </c>
      <c r="F40" s="48">
        <v>547.35</v>
      </c>
      <c r="G40" s="48"/>
      <c r="H40" s="47" t="s">
        <v>14</v>
      </c>
      <c r="I40" s="49" t="s">
        <v>15</v>
      </c>
      <c r="J40" s="49"/>
      <c r="K40" s="50" t="s">
        <v>8</v>
      </c>
      <c r="L40" s="51">
        <v>435950.84</v>
      </c>
    </row>
    <row r="41" spans="1:12" ht="51" hidden="1" x14ac:dyDescent="0.3">
      <c r="A41" s="45" t="s">
        <v>369</v>
      </c>
      <c r="B41" s="46" t="s">
        <v>389</v>
      </c>
      <c r="C41" s="46" t="s">
        <v>396</v>
      </c>
      <c r="D41" s="46" t="s">
        <v>391</v>
      </c>
      <c r="E41" s="47" t="s">
        <v>13</v>
      </c>
      <c r="F41" s="48">
        <v>770.5</v>
      </c>
      <c r="G41" s="48"/>
      <c r="H41" s="47" t="s">
        <v>14</v>
      </c>
      <c r="I41" s="49" t="s">
        <v>15</v>
      </c>
      <c r="J41" s="49"/>
      <c r="K41" s="50" t="s">
        <v>8</v>
      </c>
      <c r="L41" s="51">
        <v>436721.34</v>
      </c>
    </row>
    <row r="42" spans="1:12" ht="51" hidden="1" x14ac:dyDescent="0.3">
      <c r="A42" s="45" t="s">
        <v>369</v>
      </c>
      <c r="B42" s="46" t="s">
        <v>397</v>
      </c>
      <c r="C42" s="46" t="s">
        <v>398</v>
      </c>
      <c r="D42" s="46" t="s">
        <v>399</v>
      </c>
      <c r="E42" s="47" t="s">
        <v>13</v>
      </c>
      <c r="F42" s="54">
        <v>26688</v>
      </c>
      <c r="G42" s="54"/>
      <c r="H42" s="47" t="s">
        <v>14</v>
      </c>
      <c r="I42" s="49" t="s">
        <v>15</v>
      </c>
      <c r="J42" s="49"/>
      <c r="K42" s="50" t="s">
        <v>8</v>
      </c>
      <c r="L42" s="51">
        <v>463409.34</v>
      </c>
    </row>
    <row r="43" spans="1:12" ht="51" hidden="1" x14ac:dyDescent="0.3">
      <c r="A43" s="45" t="s">
        <v>369</v>
      </c>
      <c r="B43" s="46" t="s">
        <v>397</v>
      </c>
      <c r="C43" s="46" t="s">
        <v>400</v>
      </c>
      <c r="D43" s="46" t="s">
        <v>399</v>
      </c>
      <c r="E43" s="47" t="s">
        <v>13</v>
      </c>
      <c r="F43" s="54">
        <v>13728</v>
      </c>
      <c r="G43" s="54"/>
      <c r="H43" s="47" t="s">
        <v>14</v>
      </c>
      <c r="I43" s="49" t="s">
        <v>15</v>
      </c>
      <c r="J43" s="49"/>
      <c r="K43" s="50" t="s">
        <v>8</v>
      </c>
      <c r="L43" s="51">
        <v>477137.34</v>
      </c>
    </row>
    <row r="44" spans="1:12" ht="51" x14ac:dyDescent="0.3">
      <c r="A44" s="45" t="s">
        <v>167</v>
      </c>
      <c r="B44" s="46" t="s">
        <v>401</v>
      </c>
      <c r="C44" s="46" t="s">
        <v>47</v>
      </c>
      <c r="D44" s="46" t="s">
        <v>402</v>
      </c>
      <c r="E44" s="47" t="s">
        <v>42</v>
      </c>
      <c r="F44" s="52" t="s">
        <v>15</v>
      </c>
      <c r="G44" s="52"/>
      <c r="H44" s="47" t="s">
        <v>13</v>
      </c>
      <c r="I44" s="55">
        <v>1981.5</v>
      </c>
      <c r="J44" s="55"/>
      <c r="K44" s="50" t="s">
        <v>8</v>
      </c>
      <c r="L44" s="51">
        <v>475155.84</v>
      </c>
    </row>
    <row r="45" spans="1:12" ht="51" x14ac:dyDescent="0.3">
      <c r="A45" s="45" t="s">
        <v>167</v>
      </c>
      <c r="B45" s="46" t="s">
        <v>403</v>
      </c>
      <c r="C45" s="46" t="s">
        <v>47</v>
      </c>
      <c r="D45" s="46" t="s">
        <v>404</v>
      </c>
      <c r="E45" s="47" t="s">
        <v>42</v>
      </c>
      <c r="F45" s="52" t="s">
        <v>15</v>
      </c>
      <c r="G45" s="52"/>
      <c r="H45" s="47" t="s">
        <v>13</v>
      </c>
      <c r="I45" s="53">
        <v>69</v>
      </c>
      <c r="J45" s="53"/>
      <c r="K45" s="50" t="s">
        <v>8</v>
      </c>
      <c r="L45" s="51">
        <v>475086.84</v>
      </c>
    </row>
    <row r="46" spans="1:12" ht="51" x14ac:dyDescent="0.3">
      <c r="A46" s="45" t="s">
        <v>167</v>
      </c>
      <c r="B46" s="46" t="s">
        <v>403</v>
      </c>
      <c r="C46" s="46" t="s">
        <v>47</v>
      </c>
      <c r="D46" s="46" t="s">
        <v>405</v>
      </c>
      <c r="E46" s="47" t="s">
        <v>42</v>
      </c>
      <c r="F46" s="52" t="s">
        <v>15</v>
      </c>
      <c r="G46" s="52"/>
      <c r="H46" s="47" t="s">
        <v>13</v>
      </c>
      <c r="I46" s="53">
        <v>242.4</v>
      </c>
      <c r="J46" s="53"/>
      <c r="K46" s="50" t="s">
        <v>8</v>
      </c>
      <c r="L46" s="51">
        <v>474844.44</v>
      </c>
    </row>
    <row r="47" spans="1:12" ht="51" x14ac:dyDescent="0.3">
      <c r="A47" s="45" t="s">
        <v>167</v>
      </c>
      <c r="B47" s="46" t="s">
        <v>403</v>
      </c>
      <c r="C47" s="46" t="s">
        <v>47</v>
      </c>
      <c r="D47" s="46" t="s">
        <v>406</v>
      </c>
      <c r="E47" s="47" t="s">
        <v>42</v>
      </c>
      <c r="F47" s="52" t="s">
        <v>15</v>
      </c>
      <c r="G47" s="52"/>
      <c r="H47" s="47" t="s">
        <v>13</v>
      </c>
      <c r="I47" s="55">
        <v>1120</v>
      </c>
      <c r="J47" s="55"/>
      <c r="K47" s="50" t="s">
        <v>8</v>
      </c>
      <c r="L47" s="51">
        <v>473724.44</v>
      </c>
    </row>
    <row r="48" spans="1:12" ht="51" x14ac:dyDescent="0.3">
      <c r="A48" s="45" t="s">
        <v>167</v>
      </c>
      <c r="B48" s="46" t="s">
        <v>403</v>
      </c>
      <c r="C48" s="46" t="s">
        <v>47</v>
      </c>
      <c r="D48" s="46" t="s">
        <v>407</v>
      </c>
      <c r="E48" s="47" t="s">
        <v>42</v>
      </c>
      <c r="F48" s="52" t="s">
        <v>15</v>
      </c>
      <c r="G48" s="52"/>
      <c r="H48" s="47" t="s">
        <v>13</v>
      </c>
      <c r="I48" s="53">
        <v>433.85</v>
      </c>
      <c r="J48" s="53"/>
      <c r="K48" s="50" t="s">
        <v>8</v>
      </c>
      <c r="L48" s="51">
        <v>473290.59</v>
      </c>
    </row>
    <row r="49" spans="1:12" ht="51" x14ac:dyDescent="0.3">
      <c r="A49" s="45" t="s">
        <v>167</v>
      </c>
      <c r="B49" s="46" t="s">
        <v>403</v>
      </c>
      <c r="C49" s="46" t="s">
        <v>47</v>
      </c>
      <c r="D49" s="46" t="s">
        <v>408</v>
      </c>
      <c r="E49" s="47" t="s">
        <v>42</v>
      </c>
      <c r="F49" s="52" t="s">
        <v>15</v>
      </c>
      <c r="G49" s="52"/>
      <c r="H49" s="47" t="s">
        <v>13</v>
      </c>
      <c r="I49" s="53">
        <v>809.75</v>
      </c>
      <c r="J49" s="53"/>
      <c r="K49" s="50" t="s">
        <v>8</v>
      </c>
      <c r="L49" s="51">
        <v>472480.84</v>
      </c>
    </row>
    <row r="50" spans="1:12" ht="51" x14ac:dyDescent="0.3">
      <c r="A50" s="45" t="s">
        <v>167</v>
      </c>
      <c r="B50" s="46" t="s">
        <v>403</v>
      </c>
      <c r="C50" s="46" t="s">
        <v>47</v>
      </c>
      <c r="D50" s="46" t="s">
        <v>409</v>
      </c>
      <c r="E50" s="47" t="s">
        <v>42</v>
      </c>
      <c r="F50" s="52" t="s">
        <v>15</v>
      </c>
      <c r="G50" s="52"/>
      <c r="H50" s="47" t="s">
        <v>13</v>
      </c>
      <c r="I50" s="55">
        <v>3077.25</v>
      </c>
      <c r="J50" s="55"/>
      <c r="K50" s="50" t="s">
        <v>8</v>
      </c>
      <c r="L50" s="51">
        <v>469403.59</v>
      </c>
    </row>
    <row r="51" spans="1:12" ht="51" x14ac:dyDescent="0.3">
      <c r="A51" s="45" t="s">
        <v>167</v>
      </c>
      <c r="B51" s="46" t="s">
        <v>403</v>
      </c>
      <c r="C51" s="46" t="s">
        <v>47</v>
      </c>
      <c r="D51" s="46" t="s">
        <v>410</v>
      </c>
      <c r="E51" s="47" t="s">
        <v>42</v>
      </c>
      <c r="F51" s="52" t="s">
        <v>15</v>
      </c>
      <c r="G51" s="52"/>
      <c r="H51" s="47" t="s">
        <v>13</v>
      </c>
      <c r="I51" s="53">
        <v>614</v>
      </c>
      <c r="J51" s="53"/>
      <c r="K51" s="50" t="s">
        <v>8</v>
      </c>
      <c r="L51" s="51">
        <v>468789.59</v>
      </c>
    </row>
    <row r="52" spans="1:12" ht="51" x14ac:dyDescent="0.3">
      <c r="A52" s="45" t="s">
        <v>167</v>
      </c>
      <c r="B52" s="46" t="s">
        <v>403</v>
      </c>
      <c r="C52" s="46" t="s">
        <v>47</v>
      </c>
      <c r="D52" s="46" t="s">
        <v>411</v>
      </c>
      <c r="E52" s="47" t="s">
        <v>42</v>
      </c>
      <c r="F52" s="52" t="s">
        <v>15</v>
      </c>
      <c r="G52" s="52"/>
      <c r="H52" s="47" t="s">
        <v>13</v>
      </c>
      <c r="I52" s="53">
        <v>269.69</v>
      </c>
      <c r="J52" s="53"/>
      <c r="K52" s="50" t="s">
        <v>8</v>
      </c>
      <c r="L52" s="51">
        <v>468519.9</v>
      </c>
    </row>
    <row r="53" spans="1:12" ht="51" x14ac:dyDescent="0.3">
      <c r="A53" s="45" t="s">
        <v>167</v>
      </c>
      <c r="B53" s="46" t="s">
        <v>403</v>
      </c>
      <c r="C53" s="46" t="s">
        <v>47</v>
      </c>
      <c r="D53" s="46" t="s">
        <v>412</v>
      </c>
      <c r="E53" s="47" t="s">
        <v>42</v>
      </c>
      <c r="F53" s="52" t="s">
        <v>15</v>
      </c>
      <c r="G53" s="52"/>
      <c r="H53" s="47" t="s">
        <v>13</v>
      </c>
      <c r="I53" s="53">
        <v>539.38</v>
      </c>
      <c r="J53" s="53"/>
      <c r="K53" s="50" t="s">
        <v>8</v>
      </c>
      <c r="L53" s="51">
        <v>467980.52</v>
      </c>
    </row>
    <row r="54" spans="1:12" ht="51" x14ac:dyDescent="0.3">
      <c r="A54" s="45" t="s">
        <v>167</v>
      </c>
      <c r="B54" s="46" t="s">
        <v>403</v>
      </c>
      <c r="C54" s="46" t="s">
        <v>47</v>
      </c>
      <c r="D54" s="46" t="s">
        <v>413</v>
      </c>
      <c r="E54" s="47" t="s">
        <v>42</v>
      </c>
      <c r="F54" s="52" t="s">
        <v>15</v>
      </c>
      <c r="G54" s="52"/>
      <c r="H54" s="47" t="s">
        <v>13</v>
      </c>
      <c r="I54" s="55">
        <v>2450</v>
      </c>
      <c r="J54" s="55"/>
      <c r="K54" s="50" t="s">
        <v>8</v>
      </c>
      <c r="L54" s="51">
        <v>465530.52</v>
      </c>
    </row>
    <row r="55" spans="1:12" ht="51" x14ac:dyDescent="0.3">
      <c r="A55" s="45" t="s">
        <v>167</v>
      </c>
      <c r="B55" s="46" t="s">
        <v>403</v>
      </c>
      <c r="C55" s="46" t="s">
        <v>47</v>
      </c>
      <c r="D55" s="46" t="s">
        <v>414</v>
      </c>
      <c r="E55" s="47" t="s">
        <v>42</v>
      </c>
      <c r="F55" s="52" t="s">
        <v>15</v>
      </c>
      <c r="G55" s="52"/>
      <c r="H55" s="47" t="s">
        <v>13</v>
      </c>
      <c r="I55" s="53">
        <v>505.5</v>
      </c>
      <c r="J55" s="53"/>
      <c r="K55" s="50" t="s">
        <v>8</v>
      </c>
      <c r="L55" s="51">
        <v>465025.02</v>
      </c>
    </row>
    <row r="56" spans="1:12" ht="51" x14ac:dyDescent="0.3">
      <c r="A56" s="45" t="s">
        <v>167</v>
      </c>
      <c r="B56" s="46" t="s">
        <v>403</v>
      </c>
      <c r="C56" s="46" t="s">
        <v>47</v>
      </c>
      <c r="D56" s="46" t="s">
        <v>415</v>
      </c>
      <c r="E56" s="47" t="s">
        <v>42</v>
      </c>
      <c r="F56" s="52" t="s">
        <v>15</v>
      </c>
      <c r="G56" s="52"/>
      <c r="H56" s="47" t="s">
        <v>13</v>
      </c>
      <c r="I56" s="53">
        <v>650</v>
      </c>
      <c r="J56" s="53"/>
      <c r="K56" s="50" t="s">
        <v>8</v>
      </c>
      <c r="L56" s="51">
        <v>464375.02</v>
      </c>
    </row>
    <row r="57" spans="1:12" ht="51" x14ac:dyDescent="0.3">
      <c r="A57" s="45" t="s">
        <v>167</v>
      </c>
      <c r="B57" s="46" t="s">
        <v>403</v>
      </c>
      <c r="C57" s="46" t="s">
        <v>47</v>
      </c>
      <c r="D57" s="46" t="s">
        <v>416</v>
      </c>
      <c r="E57" s="47" t="s">
        <v>42</v>
      </c>
      <c r="F57" s="52" t="s">
        <v>15</v>
      </c>
      <c r="G57" s="52"/>
      <c r="H57" s="47" t="s">
        <v>13</v>
      </c>
      <c r="I57" s="53">
        <v>648.5</v>
      </c>
      <c r="J57" s="53"/>
      <c r="K57" s="50" t="s">
        <v>8</v>
      </c>
      <c r="L57" s="51">
        <v>463726.52</v>
      </c>
    </row>
    <row r="58" spans="1:12" ht="51" x14ac:dyDescent="0.3">
      <c r="A58" s="45" t="s">
        <v>167</v>
      </c>
      <c r="B58" s="46" t="s">
        <v>403</v>
      </c>
      <c r="C58" s="46" t="s">
        <v>47</v>
      </c>
      <c r="D58" s="46" t="s">
        <v>417</v>
      </c>
      <c r="E58" s="47" t="s">
        <v>42</v>
      </c>
      <c r="F58" s="52" t="s">
        <v>15</v>
      </c>
      <c r="G58" s="52"/>
      <c r="H58" s="47" t="s">
        <v>13</v>
      </c>
      <c r="I58" s="55">
        <v>1314</v>
      </c>
      <c r="J58" s="55"/>
      <c r="K58" s="50" t="s">
        <v>8</v>
      </c>
      <c r="L58" s="51">
        <v>462412.52</v>
      </c>
    </row>
    <row r="59" spans="1:12" ht="51" x14ac:dyDescent="0.3">
      <c r="A59" s="45" t="s">
        <v>167</v>
      </c>
      <c r="B59" s="46" t="s">
        <v>403</v>
      </c>
      <c r="C59" s="46" t="s">
        <v>47</v>
      </c>
      <c r="D59" s="46" t="s">
        <v>418</v>
      </c>
      <c r="E59" s="47" t="s">
        <v>42</v>
      </c>
      <c r="F59" s="52" t="s">
        <v>15</v>
      </c>
      <c r="G59" s="52"/>
      <c r="H59" s="47" t="s">
        <v>13</v>
      </c>
      <c r="I59" s="53">
        <v>256.75</v>
      </c>
      <c r="J59" s="53"/>
      <c r="K59" s="50" t="s">
        <v>8</v>
      </c>
      <c r="L59" s="51">
        <v>462155.77</v>
      </c>
    </row>
    <row r="60" spans="1:12" ht="51" x14ac:dyDescent="0.3">
      <c r="A60" s="45" t="s">
        <v>167</v>
      </c>
      <c r="B60" s="46" t="s">
        <v>403</v>
      </c>
      <c r="C60" s="46" t="s">
        <v>47</v>
      </c>
      <c r="D60" s="46" t="s">
        <v>419</v>
      </c>
      <c r="E60" s="47" t="s">
        <v>42</v>
      </c>
      <c r="F60" s="52" t="s">
        <v>15</v>
      </c>
      <c r="G60" s="52"/>
      <c r="H60" s="47" t="s">
        <v>13</v>
      </c>
      <c r="I60" s="53">
        <v>542</v>
      </c>
      <c r="J60" s="53"/>
      <c r="K60" s="50" t="s">
        <v>8</v>
      </c>
      <c r="L60" s="51">
        <v>461613.77</v>
      </c>
    </row>
    <row r="61" spans="1:12" ht="51" x14ac:dyDescent="0.3">
      <c r="A61" s="45" t="s">
        <v>167</v>
      </c>
      <c r="B61" s="46" t="s">
        <v>403</v>
      </c>
      <c r="C61" s="46" t="s">
        <v>47</v>
      </c>
      <c r="D61" s="46" t="s">
        <v>420</v>
      </c>
      <c r="E61" s="47" t="s">
        <v>42</v>
      </c>
      <c r="F61" s="52" t="s">
        <v>15</v>
      </c>
      <c r="G61" s="52"/>
      <c r="H61" s="47" t="s">
        <v>13</v>
      </c>
      <c r="I61" s="55">
        <v>1075</v>
      </c>
      <c r="J61" s="55"/>
      <c r="K61" s="50" t="s">
        <v>8</v>
      </c>
      <c r="L61" s="51">
        <v>460538.77</v>
      </c>
    </row>
    <row r="62" spans="1:12" ht="51" x14ac:dyDescent="0.3">
      <c r="A62" s="45" t="s">
        <v>167</v>
      </c>
      <c r="B62" s="46" t="s">
        <v>403</v>
      </c>
      <c r="C62" s="46" t="s">
        <v>47</v>
      </c>
      <c r="D62" s="46" t="s">
        <v>421</v>
      </c>
      <c r="E62" s="47" t="s">
        <v>42</v>
      </c>
      <c r="F62" s="52" t="s">
        <v>15</v>
      </c>
      <c r="G62" s="52"/>
      <c r="H62" s="47" t="s">
        <v>13</v>
      </c>
      <c r="I62" s="53">
        <v>278</v>
      </c>
      <c r="J62" s="53"/>
      <c r="K62" s="50" t="s">
        <v>8</v>
      </c>
      <c r="L62" s="51">
        <v>460260.77</v>
      </c>
    </row>
    <row r="63" spans="1:12" ht="51" x14ac:dyDescent="0.3">
      <c r="A63" s="45" t="s">
        <v>167</v>
      </c>
      <c r="B63" s="46" t="s">
        <v>403</v>
      </c>
      <c r="C63" s="46" t="s">
        <v>47</v>
      </c>
      <c r="D63" s="46" t="s">
        <v>422</v>
      </c>
      <c r="E63" s="47" t="s">
        <v>42</v>
      </c>
      <c r="F63" s="52" t="s">
        <v>15</v>
      </c>
      <c r="G63" s="52"/>
      <c r="H63" s="47" t="s">
        <v>13</v>
      </c>
      <c r="I63" s="55">
        <v>1584</v>
      </c>
      <c r="J63" s="55"/>
      <c r="K63" s="50" t="s">
        <v>8</v>
      </c>
      <c r="L63" s="51">
        <v>458676.77</v>
      </c>
    </row>
    <row r="64" spans="1:12" ht="51" x14ac:dyDescent="0.3">
      <c r="A64" s="45" t="s">
        <v>167</v>
      </c>
      <c r="B64" s="46" t="s">
        <v>403</v>
      </c>
      <c r="C64" s="46" t="s">
        <v>47</v>
      </c>
      <c r="D64" s="46" t="s">
        <v>423</v>
      </c>
      <c r="E64" s="47" t="s">
        <v>42</v>
      </c>
      <c r="F64" s="52" t="s">
        <v>15</v>
      </c>
      <c r="G64" s="52"/>
      <c r="H64" s="47" t="s">
        <v>13</v>
      </c>
      <c r="I64" s="53">
        <v>805</v>
      </c>
      <c r="J64" s="53"/>
      <c r="K64" s="50" t="s">
        <v>8</v>
      </c>
      <c r="L64" s="51">
        <v>457871.77</v>
      </c>
    </row>
    <row r="65" spans="1:12" ht="51" x14ac:dyDescent="0.3">
      <c r="A65" s="45" t="s">
        <v>167</v>
      </c>
      <c r="B65" s="46" t="s">
        <v>403</v>
      </c>
      <c r="C65" s="46" t="s">
        <v>47</v>
      </c>
      <c r="D65" s="46" t="s">
        <v>424</v>
      </c>
      <c r="E65" s="47" t="s">
        <v>42</v>
      </c>
      <c r="F65" s="52" t="s">
        <v>15</v>
      </c>
      <c r="G65" s="52"/>
      <c r="H65" s="47" t="s">
        <v>13</v>
      </c>
      <c r="I65" s="53">
        <v>805</v>
      </c>
      <c r="J65" s="53"/>
      <c r="K65" s="50" t="s">
        <v>8</v>
      </c>
      <c r="L65" s="51">
        <v>457066.77</v>
      </c>
    </row>
    <row r="66" spans="1:12" ht="51" x14ac:dyDescent="0.3">
      <c r="A66" s="45" t="s">
        <v>167</v>
      </c>
      <c r="B66" s="46" t="s">
        <v>403</v>
      </c>
      <c r="C66" s="46" t="s">
        <v>47</v>
      </c>
      <c r="D66" s="46" t="s">
        <v>425</v>
      </c>
      <c r="E66" s="47" t="s">
        <v>42</v>
      </c>
      <c r="F66" s="52" t="s">
        <v>15</v>
      </c>
      <c r="G66" s="52"/>
      <c r="H66" s="47" t="s">
        <v>13</v>
      </c>
      <c r="I66" s="53">
        <v>293.39999999999998</v>
      </c>
      <c r="J66" s="53"/>
      <c r="K66" s="50" t="s">
        <v>8</v>
      </c>
      <c r="L66" s="51">
        <v>456773.37</v>
      </c>
    </row>
    <row r="67" spans="1:12" ht="51" x14ac:dyDescent="0.3">
      <c r="A67" s="45" t="s">
        <v>167</v>
      </c>
      <c r="B67" s="46" t="s">
        <v>403</v>
      </c>
      <c r="C67" s="46" t="s">
        <v>47</v>
      </c>
      <c r="D67" s="46" t="s">
        <v>426</v>
      </c>
      <c r="E67" s="47" t="s">
        <v>42</v>
      </c>
      <c r="F67" s="52" t="s">
        <v>15</v>
      </c>
      <c r="G67" s="52"/>
      <c r="H67" s="47" t="s">
        <v>13</v>
      </c>
      <c r="I67" s="53">
        <v>810</v>
      </c>
      <c r="J67" s="53"/>
      <c r="K67" s="50" t="s">
        <v>8</v>
      </c>
      <c r="L67" s="51">
        <v>455963.37</v>
      </c>
    </row>
    <row r="68" spans="1:12" ht="51" x14ac:dyDescent="0.3">
      <c r="A68" s="45" t="s">
        <v>167</v>
      </c>
      <c r="B68" s="46" t="s">
        <v>403</v>
      </c>
      <c r="C68" s="46" t="s">
        <v>47</v>
      </c>
      <c r="D68" s="46" t="s">
        <v>427</v>
      </c>
      <c r="E68" s="47" t="s">
        <v>42</v>
      </c>
      <c r="F68" s="52" t="s">
        <v>15</v>
      </c>
      <c r="G68" s="52"/>
      <c r="H68" s="47" t="s">
        <v>13</v>
      </c>
      <c r="I68" s="53">
        <v>166.75</v>
      </c>
      <c r="J68" s="53"/>
      <c r="K68" s="50" t="s">
        <v>8</v>
      </c>
      <c r="L68" s="51">
        <v>455796.62</v>
      </c>
    </row>
    <row r="69" spans="1:12" ht="71.400000000000006" x14ac:dyDescent="0.3">
      <c r="A69" s="45" t="s">
        <v>167</v>
      </c>
      <c r="B69" s="46" t="s">
        <v>403</v>
      </c>
      <c r="C69" s="46" t="s">
        <v>47</v>
      </c>
      <c r="D69" s="46" t="s">
        <v>361</v>
      </c>
      <c r="E69" s="47" t="s">
        <v>42</v>
      </c>
      <c r="F69" s="52" t="s">
        <v>15</v>
      </c>
      <c r="G69" s="52"/>
      <c r="H69" s="47" t="s">
        <v>13</v>
      </c>
      <c r="I69" s="53">
        <v>730</v>
      </c>
      <c r="J69" s="53"/>
      <c r="K69" s="50" t="s">
        <v>8</v>
      </c>
      <c r="L69" s="51">
        <v>455066.62</v>
      </c>
    </row>
    <row r="70" spans="1:12" ht="71.400000000000006" x14ac:dyDescent="0.3">
      <c r="A70" s="45" t="s">
        <v>167</v>
      </c>
      <c r="B70" s="46" t="s">
        <v>403</v>
      </c>
      <c r="C70" s="46" t="s">
        <v>47</v>
      </c>
      <c r="D70" s="46" t="s">
        <v>362</v>
      </c>
      <c r="E70" s="47" t="s">
        <v>42</v>
      </c>
      <c r="F70" s="52" t="s">
        <v>15</v>
      </c>
      <c r="G70" s="52"/>
      <c r="H70" s="47" t="s">
        <v>13</v>
      </c>
      <c r="I70" s="53">
        <v>730</v>
      </c>
      <c r="J70" s="53"/>
      <c r="K70" s="50" t="s">
        <v>8</v>
      </c>
      <c r="L70" s="51">
        <v>454336.62</v>
      </c>
    </row>
    <row r="71" spans="1:12" ht="61.2" x14ac:dyDescent="0.3">
      <c r="A71" s="45" t="s">
        <v>167</v>
      </c>
      <c r="B71" s="46" t="s">
        <v>403</v>
      </c>
      <c r="C71" s="46" t="s">
        <v>47</v>
      </c>
      <c r="D71" s="46" t="s">
        <v>428</v>
      </c>
      <c r="E71" s="47" t="s">
        <v>42</v>
      </c>
      <c r="F71" s="52" t="s">
        <v>15</v>
      </c>
      <c r="G71" s="52"/>
      <c r="H71" s="47" t="s">
        <v>13</v>
      </c>
      <c r="I71" s="55">
        <v>2082.25</v>
      </c>
      <c r="J71" s="55"/>
      <c r="K71" s="50" t="s">
        <v>8</v>
      </c>
      <c r="L71" s="51">
        <v>452254.37</v>
      </c>
    </row>
    <row r="72" spans="1:12" ht="51" x14ac:dyDescent="0.3">
      <c r="A72" s="45" t="s">
        <v>429</v>
      </c>
      <c r="B72" s="46" t="s">
        <v>430</v>
      </c>
      <c r="C72" s="46" t="s">
        <v>47</v>
      </c>
      <c r="D72" s="46" t="s">
        <v>431</v>
      </c>
      <c r="E72" s="47" t="s">
        <v>42</v>
      </c>
      <c r="F72" s="52" t="s">
        <v>15</v>
      </c>
      <c r="G72" s="52"/>
      <c r="H72" s="47" t="s">
        <v>13</v>
      </c>
      <c r="I72" s="53">
        <v>537.6</v>
      </c>
      <c r="J72" s="53"/>
      <c r="K72" s="50" t="s">
        <v>8</v>
      </c>
      <c r="L72" s="51">
        <v>451716.77</v>
      </c>
    </row>
    <row r="73" spans="1:12" ht="51" x14ac:dyDescent="0.3">
      <c r="A73" s="45" t="s">
        <v>429</v>
      </c>
      <c r="B73" s="46" t="s">
        <v>430</v>
      </c>
      <c r="C73" s="46" t="s">
        <v>47</v>
      </c>
      <c r="D73" s="46" t="s">
        <v>432</v>
      </c>
      <c r="E73" s="47" t="s">
        <v>42</v>
      </c>
      <c r="F73" s="52" t="s">
        <v>15</v>
      </c>
      <c r="G73" s="52"/>
      <c r="H73" s="47" t="s">
        <v>13</v>
      </c>
      <c r="I73" s="53">
        <v>504.25</v>
      </c>
      <c r="J73" s="53"/>
      <c r="K73" s="50" t="s">
        <v>8</v>
      </c>
      <c r="L73" s="51">
        <v>451212.52</v>
      </c>
    </row>
    <row r="74" spans="1:12" ht="51" x14ac:dyDescent="0.3">
      <c r="A74" s="45" t="s">
        <v>429</v>
      </c>
      <c r="B74" s="46" t="s">
        <v>430</v>
      </c>
      <c r="C74" s="46" t="s">
        <v>47</v>
      </c>
      <c r="D74" s="46" t="s">
        <v>433</v>
      </c>
      <c r="E74" s="47" t="s">
        <v>42</v>
      </c>
      <c r="F74" s="52" t="s">
        <v>15</v>
      </c>
      <c r="G74" s="52"/>
      <c r="H74" s="47" t="s">
        <v>13</v>
      </c>
      <c r="I74" s="55">
        <v>2017</v>
      </c>
      <c r="J74" s="55"/>
      <c r="K74" s="50" t="s">
        <v>8</v>
      </c>
      <c r="L74" s="51">
        <v>449195.52000000002</v>
      </c>
    </row>
    <row r="75" spans="1:12" ht="51" x14ac:dyDescent="0.3">
      <c r="A75" s="45" t="s">
        <v>429</v>
      </c>
      <c r="B75" s="46" t="s">
        <v>430</v>
      </c>
      <c r="C75" s="46" t="s">
        <v>47</v>
      </c>
      <c r="D75" s="46" t="s">
        <v>434</v>
      </c>
      <c r="E75" s="47" t="s">
        <v>42</v>
      </c>
      <c r="F75" s="52" t="s">
        <v>15</v>
      </c>
      <c r="G75" s="52"/>
      <c r="H75" s="47" t="s">
        <v>13</v>
      </c>
      <c r="I75" s="53">
        <v>141.78</v>
      </c>
      <c r="J75" s="53"/>
      <c r="K75" s="50" t="s">
        <v>8</v>
      </c>
      <c r="L75" s="51">
        <v>449053.74</v>
      </c>
    </row>
    <row r="76" spans="1:12" ht="51" x14ac:dyDescent="0.3">
      <c r="A76" s="45" t="s">
        <v>429</v>
      </c>
      <c r="B76" s="46" t="s">
        <v>430</v>
      </c>
      <c r="C76" s="46" t="s">
        <v>47</v>
      </c>
      <c r="D76" s="46" t="s">
        <v>435</v>
      </c>
      <c r="E76" s="47" t="s">
        <v>42</v>
      </c>
      <c r="F76" s="52" t="s">
        <v>15</v>
      </c>
      <c r="G76" s="52"/>
      <c r="H76" s="47" t="s">
        <v>13</v>
      </c>
      <c r="I76" s="53">
        <v>45.55</v>
      </c>
      <c r="J76" s="53"/>
      <c r="K76" s="50" t="s">
        <v>8</v>
      </c>
      <c r="L76" s="51">
        <v>449008.19</v>
      </c>
    </row>
    <row r="77" spans="1:12" ht="51" x14ac:dyDescent="0.3">
      <c r="A77" s="45" t="s">
        <v>429</v>
      </c>
      <c r="B77" s="46" t="s">
        <v>436</v>
      </c>
      <c r="C77" s="46" t="s">
        <v>47</v>
      </c>
      <c r="D77" s="46" t="s">
        <v>437</v>
      </c>
      <c r="E77" s="47" t="s">
        <v>42</v>
      </c>
      <c r="F77" s="52" t="s">
        <v>15</v>
      </c>
      <c r="G77" s="52"/>
      <c r="H77" s="47" t="s">
        <v>13</v>
      </c>
      <c r="I77" s="55">
        <v>2070</v>
      </c>
      <c r="J77" s="55"/>
      <c r="K77" s="50" t="s">
        <v>8</v>
      </c>
      <c r="L77" s="51">
        <v>446938.19</v>
      </c>
    </row>
    <row r="78" spans="1:12" ht="51" x14ac:dyDescent="0.3">
      <c r="A78" s="45" t="s">
        <v>429</v>
      </c>
      <c r="B78" s="46" t="s">
        <v>436</v>
      </c>
      <c r="C78" s="46" t="s">
        <v>47</v>
      </c>
      <c r="D78" s="46" t="s">
        <v>438</v>
      </c>
      <c r="E78" s="47" t="s">
        <v>42</v>
      </c>
      <c r="F78" s="52" t="s">
        <v>15</v>
      </c>
      <c r="G78" s="52"/>
      <c r="H78" s="47" t="s">
        <v>13</v>
      </c>
      <c r="I78" s="53">
        <v>457.6</v>
      </c>
      <c r="J78" s="53"/>
      <c r="K78" s="50" t="s">
        <v>8</v>
      </c>
      <c r="L78" s="51">
        <v>446480.59</v>
      </c>
    </row>
    <row r="79" spans="1:12" ht="61.2" x14ac:dyDescent="0.3">
      <c r="A79" s="45" t="s">
        <v>429</v>
      </c>
      <c r="B79" s="46" t="s">
        <v>439</v>
      </c>
      <c r="C79" s="46" t="s">
        <v>47</v>
      </c>
      <c r="D79" s="46" t="s">
        <v>440</v>
      </c>
      <c r="E79" s="47" t="s">
        <v>42</v>
      </c>
      <c r="F79" s="52" t="s">
        <v>15</v>
      </c>
      <c r="G79" s="52"/>
      <c r="H79" s="47" t="s">
        <v>13</v>
      </c>
      <c r="I79" s="55">
        <v>1339.2</v>
      </c>
      <c r="J79" s="55"/>
      <c r="K79" s="50" t="s">
        <v>8</v>
      </c>
      <c r="L79" s="51">
        <v>445141.39</v>
      </c>
    </row>
    <row r="80" spans="1:12" ht="61.2" x14ac:dyDescent="0.3">
      <c r="A80" s="45" t="s">
        <v>429</v>
      </c>
      <c r="B80" s="46" t="s">
        <v>439</v>
      </c>
      <c r="C80" s="46" t="s">
        <v>47</v>
      </c>
      <c r="D80" s="46" t="s">
        <v>441</v>
      </c>
      <c r="E80" s="47" t="s">
        <v>42</v>
      </c>
      <c r="F80" s="52" t="s">
        <v>15</v>
      </c>
      <c r="G80" s="52"/>
      <c r="H80" s="47" t="s">
        <v>13</v>
      </c>
      <c r="I80" s="55">
        <v>2901.6</v>
      </c>
      <c r="J80" s="55"/>
      <c r="K80" s="50" t="s">
        <v>8</v>
      </c>
      <c r="L80" s="51">
        <v>442239.79</v>
      </c>
    </row>
    <row r="81" spans="1:12" ht="51" x14ac:dyDescent="0.3">
      <c r="A81" s="45" t="s">
        <v>429</v>
      </c>
      <c r="B81" s="46" t="s">
        <v>439</v>
      </c>
      <c r="C81" s="46" t="s">
        <v>47</v>
      </c>
      <c r="D81" s="46" t="s">
        <v>442</v>
      </c>
      <c r="E81" s="47" t="s">
        <v>42</v>
      </c>
      <c r="F81" s="52" t="s">
        <v>15</v>
      </c>
      <c r="G81" s="52"/>
      <c r="H81" s="47" t="s">
        <v>13</v>
      </c>
      <c r="I81" s="53">
        <v>168.25</v>
      </c>
      <c r="J81" s="53"/>
      <c r="K81" s="50" t="s">
        <v>8</v>
      </c>
      <c r="L81" s="51">
        <v>442071.54</v>
      </c>
    </row>
    <row r="82" spans="1:12" ht="51" x14ac:dyDescent="0.3">
      <c r="A82" s="45" t="s">
        <v>429</v>
      </c>
      <c r="B82" s="46" t="s">
        <v>443</v>
      </c>
      <c r="C82" s="46" t="s">
        <v>47</v>
      </c>
      <c r="D82" s="46" t="s">
        <v>444</v>
      </c>
      <c r="E82" s="47" t="s">
        <v>42</v>
      </c>
      <c r="F82" s="52" t="s">
        <v>15</v>
      </c>
      <c r="G82" s="52"/>
      <c r="H82" s="47" t="s">
        <v>13</v>
      </c>
      <c r="I82" s="53">
        <v>483.4</v>
      </c>
      <c r="J82" s="53"/>
      <c r="K82" s="50" t="s">
        <v>8</v>
      </c>
      <c r="L82" s="51">
        <v>441588.14</v>
      </c>
    </row>
    <row r="83" spans="1:12" ht="51" x14ac:dyDescent="0.3">
      <c r="A83" s="45" t="s">
        <v>429</v>
      </c>
      <c r="B83" s="46" t="s">
        <v>443</v>
      </c>
      <c r="C83" s="46" t="s">
        <v>47</v>
      </c>
      <c r="D83" s="46" t="s">
        <v>445</v>
      </c>
      <c r="E83" s="47" t="s">
        <v>42</v>
      </c>
      <c r="F83" s="52" t="s">
        <v>15</v>
      </c>
      <c r="G83" s="52"/>
      <c r="H83" s="47" t="s">
        <v>13</v>
      </c>
      <c r="I83" s="53">
        <v>966.8</v>
      </c>
      <c r="J83" s="53"/>
      <c r="K83" s="50" t="s">
        <v>8</v>
      </c>
      <c r="L83" s="51">
        <v>440621.34</v>
      </c>
    </row>
    <row r="84" spans="1:12" ht="51" x14ac:dyDescent="0.3">
      <c r="A84" s="45" t="s">
        <v>429</v>
      </c>
      <c r="B84" s="46" t="s">
        <v>443</v>
      </c>
      <c r="C84" s="46" t="s">
        <v>47</v>
      </c>
      <c r="D84" s="46" t="s">
        <v>446</v>
      </c>
      <c r="E84" s="47" t="s">
        <v>42</v>
      </c>
      <c r="F84" s="52" t="s">
        <v>15</v>
      </c>
      <c r="G84" s="52"/>
      <c r="H84" s="47" t="s">
        <v>13</v>
      </c>
      <c r="I84" s="55">
        <v>1204.5</v>
      </c>
      <c r="J84" s="55"/>
      <c r="K84" s="50" t="s">
        <v>8</v>
      </c>
      <c r="L84" s="51">
        <v>439416.84</v>
      </c>
    </row>
    <row r="85" spans="1:12" ht="51" x14ac:dyDescent="0.3">
      <c r="A85" s="45" t="s">
        <v>429</v>
      </c>
      <c r="B85" s="46" t="s">
        <v>443</v>
      </c>
      <c r="C85" s="46" t="s">
        <v>47</v>
      </c>
      <c r="D85" s="46" t="s">
        <v>447</v>
      </c>
      <c r="E85" s="47" t="s">
        <v>42</v>
      </c>
      <c r="F85" s="52" t="s">
        <v>15</v>
      </c>
      <c r="G85" s="52"/>
      <c r="H85" s="47" t="s">
        <v>13</v>
      </c>
      <c r="I85" s="53">
        <v>657</v>
      </c>
      <c r="J85" s="53"/>
      <c r="K85" s="50" t="s">
        <v>8</v>
      </c>
      <c r="L85" s="51">
        <v>438759.84</v>
      </c>
    </row>
    <row r="86" spans="1:12" ht="51" x14ac:dyDescent="0.3">
      <c r="A86" s="45" t="s">
        <v>429</v>
      </c>
      <c r="B86" s="46" t="s">
        <v>443</v>
      </c>
      <c r="C86" s="46" t="s">
        <v>47</v>
      </c>
      <c r="D86" s="46" t="s">
        <v>448</v>
      </c>
      <c r="E86" s="47" t="s">
        <v>42</v>
      </c>
      <c r="F86" s="52" t="s">
        <v>15</v>
      </c>
      <c r="G86" s="52"/>
      <c r="H86" s="47" t="s">
        <v>13</v>
      </c>
      <c r="I86" s="53">
        <v>342.17</v>
      </c>
      <c r="J86" s="53"/>
      <c r="K86" s="50" t="s">
        <v>8</v>
      </c>
      <c r="L86" s="51">
        <v>438417.67</v>
      </c>
    </row>
    <row r="87" spans="1:12" ht="51" x14ac:dyDescent="0.3">
      <c r="A87" s="45" t="s">
        <v>429</v>
      </c>
      <c r="B87" s="46" t="s">
        <v>443</v>
      </c>
      <c r="C87" s="46" t="s">
        <v>47</v>
      </c>
      <c r="D87" s="46" t="s">
        <v>449</v>
      </c>
      <c r="E87" s="47" t="s">
        <v>42</v>
      </c>
      <c r="F87" s="52" t="s">
        <v>15</v>
      </c>
      <c r="G87" s="52"/>
      <c r="H87" s="47" t="s">
        <v>13</v>
      </c>
      <c r="I87" s="55">
        <v>3675.5</v>
      </c>
      <c r="J87" s="55"/>
      <c r="K87" s="50" t="s">
        <v>8</v>
      </c>
      <c r="L87" s="51">
        <v>434742.17</v>
      </c>
    </row>
    <row r="88" spans="1:12" ht="51" x14ac:dyDescent="0.3">
      <c r="A88" s="45" t="s">
        <v>429</v>
      </c>
      <c r="B88" s="46" t="s">
        <v>443</v>
      </c>
      <c r="C88" s="46" t="s">
        <v>47</v>
      </c>
      <c r="D88" s="46" t="s">
        <v>450</v>
      </c>
      <c r="E88" s="47" t="s">
        <v>42</v>
      </c>
      <c r="F88" s="52" t="s">
        <v>15</v>
      </c>
      <c r="G88" s="52"/>
      <c r="H88" s="47" t="s">
        <v>13</v>
      </c>
      <c r="I88" s="55">
        <v>1757.1</v>
      </c>
      <c r="J88" s="55"/>
      <c r="K88" s="50" t="s">
        <v>8</v>
      </c>
      <c r="L88" s="51">
        <v>432985.07</v>
      </c>
    </row>
    <row r="89" spans="1:12" ht="51" x14ac:dyDescent="0.3">
      <c r="A89" s="45" t="s">
        <v>429</v>
      </c>
      <c r="B89" s="46" t="s">
        <v>443</v>
      </c>
      <c r="C89" s="46" t="s">
        <v>47</v>
      </c>
      <c r="D89" s="46" t="s">
        <v>451</v>
      </c>
      <c r="E89" s="47" t="s">
        <v>42</v>
      </c>
      <c r="F89" s="52" t="s">
        <v>15</v>
      </c>
      <c r="G89" s="52"/>
      <c r="H89" s="47" t="s">
        <v>13</v>
      </c>
      <c r="I89" s="55">
        <v>1121.2</v>
      </c>
      <c r="J89" s="55"/>
      <c r="K89" s="50" t="s">
        <v>8</v>
      </c>
      <c r="L89" s="51">
        <v>431863.87</v>
      </c>
    </row>
    <row r="90" spans="1:12" ht="61.2" x14ac:dyDescent="0.3">
      <c r="A90" s="45" t="s">
        <v>429</v>
      </c>
      <c r="B90" s="46" t="s">
        <v>443</v>
      </c>
      <c r="C90" s="46" t="s">
        <v>47</v>
      </c>
      <c r="D90" s="46" t="s">
        <v>452</v>
      </c>
      <c r="E90" s="47" t="s">
        <v>42</v>
      </c>
      <c r="F90" s="52" t="s">
        <v>15</v>
      </c>
      <c r="G90" s="52"/>
      <c r="H90" s="47" t="s">
        <v>13</v>
      </c>
      <c r="I90" s="53">
        <v>625.04999999999995</v>
      </c>
      <c r="J90" s="53"/>
      <c r="K90" s="50" t="s">
        <v>8</v>
      </c>
      <c r="L90" s="51">
        <v>431238.82</v>
      </c>
    </row>
    <row r="91" spans="1:12" ht="51" x14ac:dyDescent="0.3">
      <c r="A91" s="45" t="s">
        <v>429</v>
      </c>
      <c r="B91" s="46" t="s">
        <v>443</v>
      </c>
      <c r="C91" s="46" t="s">
        <v>47</v>
      </c>
      <c r="D91" s="46" t="s">
        <v>453</v>
      </c>
      <c r="E91" s="47" t="s">
        <v>42</v>
      </c>
      <c r="F91" s="52" t="s">
        <v>15</v>
      </c>
      <c r="G91" s="52"/>
      <c r="H91" s="47" t="s">
        <v>13</v>
      </c>
      <c r="I91" s="53">
        <v>190.2</v>
      </c>
      <c r="J91" s="53"/>
      <c r="K91" s="50" t="s">
        <v>8</v>
      </c>
      <c r="L91" s="51">
        <v>431048.62</v>
      </c>
    </row>
    <row r="92" spans="1:12" ht="51" x14ac:dyDescent="0.3">
      <c r="A92" s="45" t="s">
        <v>429</v>
      </c>
      <c r="B92" s="46" t="s">
        <v>443</v>
      </c>
      <c r="C92" s="46" t="s">
        <v>47</v>
      </c>
      <c r="D92" s="46" t="s">
        <v>454</v>
      </c>
      <c r="E92" s="47" t="s">
        <v>42</v>
      </c>
      <c r="F92" s="52" t="s">
        <v>15</v>
      </c>
      <c r="G92" s="52"/>
      <c r="H92" s="47" t="s">
        <v>13</v>
      </c>
      <c r="I92" s="53">
        <v>63.4</v>
      </c>
      <c r="J92" s="53"/>
      <c r="K92" s="50" t="s">
        <v>8</v>
      </c>
      <c r="L92" s="51">
        <v>430985.22</v>
      </c>
    </row>
    <row r="93" spans="1:12" ht="61.2" x14ac:dyDescent="0.3">
      <c r="A93" s="45" t="s">
        <v>429</v>
      </c>
      <c r="B93" s="46" t="s">
        <v>443</v>
      </c>
      <c r="C93" s="46" t="s">
        <v>47</v>
      </c>
      <c r="D93" s="46" t="s">
        <v>455</v>
      </c>
      <c r="E93" s="47" t="s">
        <v>42</v>
      </c>
      <c r="F93" s="52" t="s">
        <v>15</v>
      </c>
      <c r="G93" s="52"/>
      <c r="H93" s="47" t="s">
        <v>13</v>
      </c>
      <c r="I93" s="53">
        <v>350</v>
      </c>
      <c r="J93" s="53"/>
      <c r="K93" s="50" t="s">
        <v>8</v>
      </c>
      <c r="L93" s="51">
        <v>430635.22</v>
      </c>
    </row>
    <row r="94" spans="1:12" ht="61.2" x14ac:dyDescent="0.3">
      <c r="A94" s="45" t="s">
        <v>429</v>
      </c>
      <c r="B94" s="46" t="s">
        <v>443</v>
      </c>
      <c r="C94" s="46" t="s">
        <v>47</v>
      </c>
      <c r="D94" s="46" t="s">
        <v>360</v>
      </c>
      <c r="E94" s="47" t="s">
        <v>42</v>
      </c>
      <c r="F94" s="52" t="s">
        <v>15</v>
      </c>
      <c r="G94" s="52"/>
      <c r="H94" s="47" t="s">
        <v>13</v>
      </c>
      <c r="I94" s="53">
        <v>375</v>
      </c>
      <c r="J94" s="53"/>
      <c r="K94" s="50" t="s">
        <v>8</v>
      </c>
      <c r="L94" s="51">
        <v>430260.22</v>
      </c>
    </row>
    <row r="95" spans="1:12" ht="61.2" x14ac:dyDescent="0.3">
      <c r="A95" s="45" t="s">
        <v>429</v>
      </c>
      <c r="B95" s="46" t="s">
        <v>443</v>
      </c>
      <c r="C95" s="46" t="s">
        <v>47</v>
      </c>
      <c r="D95" s="46" t="s">
        <v>456</v>
      </c>
      <c r="E95" s="47" t="s">
        <v>42</v>
      </c>
      <c r="F95" s="52" t="s">
        <v>15</v>
      </c>
      <c r="G95" s="52"/>
      <c r="H95" s="47" t="s">
        <v>13</v>
      </c>
      <c r="I95" s="53">
        <v>373.6</v>
      </c>
      <c r="J95" s="53"/>
      <c r="K95" s="50" t="s">
        <v>8</v>
      </c>
      <c r="L95" s="51">
        <v>429886.62</v>
      </c>
    </row>
    <row r="96" spans="1:12" ht="61.2" x14ac:dyDescent="0.3">
      <c r="A96" s="45" t="s">
        <v>429</v>
      </c>
      <c r="B96" s="46" t="s">
        <v>443</v>
      </c>
      <c r="C96" s="46" t="s">
        <v>47</v>
      </c>
      <c r="D96" s="46" t="s">
        <v>457</v>
      </c>
      <c r="E96" s="47" t="s">
        <v>42</v>
      </c>
      <c r="F96" s="52" t="s">
        <v>15</v>
      </c>
      <c r="G96" s="52"/>
      <c r="H96" s="47" t="s">
        <v>13</v>
      </c>
      <c r="I96" s="53">
        <v>93.4</v>
      </c>
      <c r="J96" s="53"/>
      <c r="K96" s="50" t="s">
        <v>8</v>
      </c>
      <c r="L96" s="51">
        <v>429793.22</v>
      </c>
    </row>
    <row r="97" spans="1:12" ht="51" x14ac:dyDescent="0.3">
      <c r="A97" s="45" t="s">
        <v>429</v>
      </c>
      <c r="B97" s="46" t="s">
        <v>443</v>
      </c>
      <c r="C97" s="46" t="s">
        <v>47</v>
      </c>
      <c r="D97" s="46" t="s">
        <v>458</v>
      </c>
      <c r="E97" s="47" t="s">
        <v>42</v>
      </c>
      <c r="F97" s="52" t="s">
        <v>15</v>
      </c>
      <c r="G97" s="52"/>
      <c r="H97" s="47" t="s">
        <v>13</v>
      </c>
      <c r="I97" s="53">
        <v>276</v>
      </c>
      <c r="J97" s="53"/>
      <c r="K97" s="50" t="s">
        <v>8</v>
      </c>
      <c r="L97" s="51">
        <v>429517.22</v>
      </c>
    </row>
    <row r="98" spans="1:12" ht="51" x14ac:dyDescent="0.3">
      <c r="A98" s="45" t="s">
        <v>429</v>
      </c>
      <c r="B98" s="46" t="s">
        <v>443</v>
      </c>
      <c r="C98" s="46" t="s">
        <v>47</v>
      </c>
      <c r="D98" s="46" t="s">
        <v>459</v>
      </c>
      <c r="E98" s="47" t="s">
        <v>42</v>
      </c>
      <c r="F98" s="52" t="s">
        <v>15</v>
      </c>
      <c r="G98" s="52"/>
      <c r="H98" s="47" t="s">
        <v>13</v>
      </c>
      <c r="I98" s="53">
        <v>331.2</v>
      </c>
      <c r="J98" s="53"/>
      <c r="K98" s="50" t="s">
        <v>8</v>
      </c>
      <c r="L98" s="51">
        <v>429186.02</v>
      </c>
    </row>
    <row r="99" spans="1:12" ht="51" x14ac:dyDescent="0.3">
      <c r="A99" s="45" t="s">
        <v>429</v>
      </c>
      <c r="B99" s="46" t="s">
        <v>443</v>
      </c>
      <c r="C99" s="46" t="s">
        <v>47</v>
      </c>
      <c r="D99" s="46" t="s">
        <v>460</v>
      </c>
      <c r="E99" s="47" t="s">
        <v>42</v>
      </c>
      <c r="F99" s="52" t="s">
        <v>15</v>
      </c>
      <c r="G99" s="52"/>
      <c r="H99" s="47" t="s">
        <v>13</v>
      </c>
      <c r="I99" s="53">
        <v>220.8</v>
      </c>
      <c r="J99" s="53"/>
      <c r="K99" s="50" t="s">
        <v>8</v>
      </c>
      <c r="L99" s="51">
        <v>428965.22</v>
      </c>
    </row>
    <row r="100" spans="1:12" ht="61.2" x14ac:dyDescent="0.3">
      <c r="A100" s="45" t="s">
        <v>429</v>
      </c>
      <c r="B100" s="46" t="s">
        <v>443</v>
      </c>
      <c r="C100" s="46" t="s">
        <v>47</v>
      </c>
      <c r="D100" s="46" t="s">
        <v>461</v>
      </c>
      <c r="E100" s="47" t="s">
        <v>42</v>
      </c>
      <c r="F100" s="52" t="s">
        <v>15</v>
      </c>
      <c r="G100" s="52"/>
      <c r="H100" s="47" t="s">
        <v>13</v>
      </c>
      <c r="I100" s="53">
        <v>114.64</v>
      </c>
      <c r="J100" s="53"/>
      <c r="K100" s="50" t="s">
        <v>8</v>
      </c>
      <c r="L100" s="51">
        <v>428850.58</v>
      </c>
    </row>
    <row r="101" spans="1:12" ht="51" x14ac:dyDescent="0.3">
      <c r="A101" s="45" t="s">
        <v>429</v>
      </c>
      <c r="B101" s="46" t="s">
        <v>443</v>
      </c>
      <c r="C101" s="46" t="s">
        <v>47</v>
      </c>
      <c r="D101" s="46" t="s">
        <v>462</v>
      </c>
      <c r="E101" s="47" t="s">
        <v>42</v>
      </c>
      <c r="F101" s="52" t="s">
        <v>15</v>
      </c>
      <c r="G101" s="52"/>
      <c r="H101" s="47" t="s">
        <v>13</v>
      </c>
      <c r="I101" s="55">
        <v>3510</v>
      </c>
      <c r="J101" s="55"/>
      <c r="K101" s="50" t="s">
        <v>8</v>
      </c>
      <c r="L101" s="51">
        <v>425340.58</v>
      </c>
    </row>
    <row r="102" spans="1:12" ht="51" x14ac:dyDescent="0.3">
      <c r="A102" s="45" t="s">
        <v>429</v>
      </c>
      <c r="B102" s="46" t="s">
        <v>443</v>
      </c>
      <c r="C102" s="46" t="s">
        <v>47</v>
      </c>
      <c r="D102" s="46" t="s">
        <v>463</v>
      </c>
      <c r="E102" s="47" t="s">
        <v>42</v>
      </c>
      <c r="F102" s="52" t="s">
        <v>15</v>
      </c>
      <c r="G102" s="52"/>
      <c r="H102" s="47" t="s">
        <v>13</v>
      </c>
      <c r="I102" s="53">
        <v>682.5</v>
      </c>
      <c r="J102" s="53"/>
      <c r="K102" s="50" t="s">
        <v>8</v>
      </c>
      <c r="L102" s="51">
        <v>424658.08</v>
      </c>
    </row>
    <row r="103" spans="1:12" ht="51" x14ac:dyDescent="0.3">
      <c r="A103" s="45" t="s">
        <v>429</v>
      </c>
      <c r="B103" s="46" t="s">
        <v>443</v>
      </c>
      <c r="C103" s="46" t="s">
        <v>47</v>
      </c>
      <c r="D103" s="46" t="s">
        <v>464</v>
      </c>
      <c r="E103" s="47" t="s">
        <v>42</v>
      </c>
      <c r="F103" s="52" t="s">
        <v>15</v>
      </c>
      <c r="G103" s="52"/>
      <c r="H103" s="47" t="s">
        <v>13</v>
      </c>
      <c r="I103" s="53">
        <v>102.51</v>
      </c>
      <c r="J103" s="53"/>
      <c r="K103" s="50" t="s">
        <v>8</v>
      </c>
      <c r="L103" s="51">
        <v>424555.57</v>
      </c>
    </row>
    <row r="104" spans="1:12" ht="51" x14ac:dyDescent="0.3">
      <c r="A104" s="45" t="s">
        <v>429</v>
      </c>
      <c r="B104" s="46" t="s">
        <v>443</v>
      </c>
      <c r="C104" s="46" t="s">
        <v>47</v>
      </c>
      <c r="D104" s="46" t="s">
        <v>465</v>
      </c>
      <c r="E104" s="47" t="s">
        <v>42</v>
      </c>
      <c r="F104" s="52" t="s">
        <v>15</v>
      </c>
      <c r="G104" s="52"/>
      <c r="H104" s="47" t="s">
        <v>13</v>
      </c>
      <c r="I104" s="53">
        <v>632.25</v>
      </c>
      <c r="J104" s="53"/>
      <c r="K104" s="50" t="s">
        <v>8</v>
      </c>
      <c r="L104" s="51">
        <v>423923.32</v>
      </c>
    </row>
    <row r="105" spans="1:12" ht="51" x14ac:dyDescent="0.3">
      <c r="A105" s="45" t="s">
        <v>429</v>
      </c>
      <c r="B105" s="46" t="s">
        <v>443</v>
      </c>
      <c r="C105" s="46" t="s">
        <v>47</v>
      </c>
      <c r="D105" s="46" t="s">
        <v>466</v>
      </c>
      <c r="E105" s="47" t="s">
        <v>42</v>
      </c>
      <c r="F105" s="52" t="s">
        <v>15</v>
      </c>
      <c r="G105" s="52"/>
      <c r="H105" s="47" t="s">
        <v>13</v>
      </c>
      <c r="I105" s="55">
        <v>2208</v>
      </c>
      <c r="J105" s="55"/>
      <c r="K105" s="50" t="s">
        <v>8</v>
      </c>
      <c r="L105" s="51">
        <v>421715.32</v>
      </c>
    </row>
    <row r="106" spans="1:12" ht="61.2" x14ac:dyDescent="0.3">
      <c r="A106" s="45" t="s">
        <v>429</v>
      </c>
      <c r="B106" s="46" t="s">
        <v>443</v>
      </c>
      <c r="C106" s="46" t="s">
        <v>47</v>
      </c>
      <c r="D106" s="46" t="s">
        <v>467</v>
      </c>
      <c r="E106" s="47" t="s">
        <v>42</v>
      </c>
      <c r="F106" s="52" t="s">
        <v>15</v>
      </c>
      <c r="G106" s="52"/>
      <c r="H106" s="47" t="s">
        <v>13</v>
      </c>
      <c r="I106" s="55">
        <v>1110</v>
      </c>
      <c r="J106" s="55"/>
      <c r="K106" s="50" t="s">
        <v>8</v>
      </c>
      <c r="L106" s="51">
        <v>420605.32</v>
      </c>
    </row>
    <row r="107" spans="1:12" ht="51" x14ac:dyDescent="0.3">
      <c r="A107" s="45" t="s">
        <v>429</v>
      </c>
      <c r="B107" s="46" t="s">
        <v>443</v>
      </c>
      <c r="C107" s="46" t="s">
        <v>47</v>
      </c>
      <c r="D107" s="46" t="s">
        <v>468</v>
      </c>
      <c r="E107" s="47" t="s">
        <v>42</v>
      </c>
      <c r="F107" s="52" t="s">
        <v>15</v>
      </c>
      <c r="G107" s="52"/>
      <c r="H107" s="47" t="s">
        <v>13</v>
      </c>
      <c r="I107" s="53">
        <v>95.85</v>
      </c>
      <c r="J107" s="53"/>
      <c r="K107" s="50" t="s">
        <v>8</v>
      </c>
      <c r="L107" s="51">
        <v>420509.47</v>
      </c>
    </row>
    <row r="108" spans="1:12" ht="61.2" x14ac:dyDescent="0.3">
      <c r="A108" s="45" t="s">
        <v>429</v>
      </c>
      <c r="B108" s="46" t="s">
        <v>443</v>
      </c>
      <c r="C108" s="46" t="s">
        <v>47</v>
      </c>
      <c r="D108" s="46" t="s">
        <v>469</v>
      </c>
      <c r="E108" s="47" t="s">
        <v>42</v>
      </c>
      <c r="F108" s="52" t="s">
        <v>15</v>
      </c>
      <c r="G108" s="52"/>
      <c r="H108" s="47" t="s">
        <v>13</v>
      </c>
      <c r="I108" s="55">
        <v>3000</v>
      </c>
      <c r="J108" s="55"/>
      <c r="K108" s="50" t="s">
        <v>8</v>
      </c>
      <c r="L108" s="51">
        <v>417509.47</v>
      </c>
    </row>
    <row r="109" spans="1:12" ht="61.2" x14ac:dyDescent="0.3">
      <c r="A109" s="45" t="s">
        <v>429</v>
      </c>
      <c r="B109" s="46" t="s">
        <v>443</v>
      </c>
      <c r="C109" s="46" t="s">
        <v>47</v>
      </c>
      <c r="D109" s="46" t="s">
        <v>470</v>
      </c>
      <c r="E109" s="47" t="s">
        <v>42</v>
      </c>
      <c r="F109" s="52" t="s">
        <v>15</v>
      </c>
      <c r="G109" s="52"/>
      <c r="H109" s="47" t="s">
        <v>13</v>
      </c>
      <c r="I109" s="55">
        <v>2280</v>
      </c>
      <c r="J109" s="55"/>
      <c r="K109" s="50" t="s">
        <v>8</v>
      </c>
      <c r="L109" s="51">
        <v>415229.47</v>
      </c>
    </row>
    <row r="110" spans="1:12" ht="61.2" x14ac:dyDescent="0.3">
      <c r="A110" s="45" t="s">
        <v>429</v>
      </c>
      <c r="B110" s="46" t="s">
        <v>443</v>
      </c>
      <c r="C110" s="46" t="s">
        <v>47</v>
      </c>
      <c r="D110" s="46" t="s">
        <v>471</v>
      </c>
      <c r="E110" s="47" t="s">
        <v>42</v>
      </c>
      <c r="F110" s="52" t="s">
        <v>15</v>
      </c>
      <c r="G110" s="52"/>
      <c r="H110" s="47" t="s">
        <v>13</v>
      </c>
      <c r="I110" s="55">
        <v>1486.7</v>
      </c>
      <c r="J110" s="55"/>
      <c r="K110" s="50" t="s">
        <v>8</v>
      </c>
      <c r="L110" s="51">
        <v>413742.77</v>
      </c>
    </row>
    <row r="111" spans="1:12" ht="61.2" x14ac:dyDescent="0.3">
      <c r="A111" s="45" t="s">
        <v>429</v>
      </c>
      <c r="B111" s="46" t="s">
        <v>443</v>
      </c>
      <c r="C111" s="46" t="s">
        <v>47</v>
      </c>
      <c r="D111" s="46" t="s">
        <v>472</v>
      </c>
      <c r="E111" s="47" t="s">
        <v>42</v>
      </c>
      <c r="F111" s="52" t="s">
        <v>15</v>
      </c>
      <c r="G111" s="52"/>
      <c r="H111" s="47" t="s">
        <v>13</v>
      </c>
      <c r="I111" s="55">
        <v>1486.7</v>
      </c>
      <c r="J111" s="55"/>
      <c r="K111" s="50" t="s">
        <v>8</v>
      </c>
      <c r="L111" s="51">
        <v>412256.07</v>
      </c>
    </row>
    <row r="112" spans="1:12" ht="61.2" x14ac:dyDescent="0.3">
      <c r="A112" s="45" t="s">
        <v>429</v>
      </c>
      <c r="B112" s="46" t="s">
        <v>443</v>
      </c>
      <c r="C112" s="46" t="s">
        <v>47</v>
      </c>
      <c r="D112" s="46" t="s">
        <v>473</v>
      </c>
      <c r="E112" s="47" t="s">
        <v>42</v>
      </c>
      <c r="F112" s="52" t="s">
        <v>15</v>
      </c>
      <c r="G112" s="52"/>
      <c r="H112" s="47" t="s">
        <v>13</v>
      </c>
      <c r="I112" s="55">
        <v>1486.7</v>
      </c>
      <c r="J112" s="55"/>
      <c r="K112" s="50" t="s">
        <v>8</v>
      </c>
      <c r="L112" s="51">
        <v>410769.37</v>
      </c>
    </row>
    <row r="113" spans="1:12" ht="61.2" x14ac:dyDescent="0.3">
      <c r="A113" s="45" t="s">
        <v>429</v>
      </c>
      <c r="B113" s="46" t="s">
        <v>474</v>
      </c>
      <c r="C113" s="46" t="s">
        <v>47</v>
      </c>
      <c r="D113" s="46" t="s">
        <v>475</v>
      </c>
      <c r="E113" s="47" t="s">
        <v>42</v>
      </c>
      <c r="F113" s="52" t="s">
        <v>15</v>
      </c>
      <c r="G113" s="52"/>
      <c r="H113" s="47" t="s">
        <v>13</v>
      </c>
      <c r="I113" s="55">
        <v>2070</v>
      </c>
      <c r="J113" s="55"/>
      <c r="K113" s="50" t="s">
        <v>8</v>
      </c>
      <c r="L113" s="51">
        <v>408699.37</v>
      </c>
    </row>
    <row r="114" spans="1:12" ht="51" x14ac:dyDescent="0.3">
      <c r="A114" s="45" t="s">
        <v>429</v>
      </c>
      <c r="B114" s="46" t="s">
        <v>474</v>
      </c>
      <c r="C114" s="46" t="s">
        <v>47</v>
      </c>
      <c r="D114" s="46" t="s">
        <v>476</v>
      </c>
      <c r="E114" s="47" t="s">
        <v>42</v>
      </c>
      <c r="F114" s="52" t="s">
        <v>15</v>
      </c>
      <c r="G114" s="52"/>
      <c r="H114" s="47" t="s">
        <v>13</v>
      </c>
      <c r="I114" s="53">
        <v>772.5</v>
      </c>
      <c r="J114" s="53"/>
      <c r="K114" s="50" t="s">
        <v>8</v>
      </c>
      <c r="L114" s="51">
        <v>407926.87</v>
      </c>
    </row>
    <row r="115" spans="1:12" ht="51" x14ac:dyDescent="0.3">
      <c r="A115" s="45" t="s">
        <v>429</v>
      </c>
      <c r="B115" s="46" t="s">
        <v>474</v>
      </c>
      <c r="C115" s="46" t="s">
        <v>47</v>
      </c>
      <c r="D115" s="46" t="s">
        <v>477</v>
      </c>
      <c r="E115" s="47" t="s">
        <v>42</v>
      </c>
      <c r="F115" s="52" t="s">
        <v>15</v>
      </c>
      <c r="G115" s="52"/>
      <c r="H115" s="47" t="s">
        <v>13</v>
      </c>
      <c r="I115" s="55">
        <v>3631.25</v>
      </c>
      <c r="J115" s="55"/>
      <c r="K115" s="50" t="s">
        <v>8</v>
      </c>
      <c r="L115" s="51">
        <v>404295.62</v>
      </c>
    </row>
    <row r="116" spans="1:12" ht="61.2" x14ac:dyDescent="0.3">
      <c r="A116" s="45" t="s">
        <v>429</v>
      </c>
      <c r="B116" s="46" t="s">
        <v>474</v>
      </c>
      <c r="C116" s="46" t="s">
        <v>47</v>
      </c>
      <c r="D116" s="46" t="s">
        <v>478</v>
      </c>
      <c r="E116" s="47" t="s">
        <v>42</v>
      </c>
      <c r="F116" s="52" t="s">
        <v>15</v>
      </c>
      <c r="G116" s="52"/>
      <c r="H116" s="47" t="s">
        <v>13</v>
      </c>
      <c r="I116" s="55">
        <v>1289.5</v>
      </c>
      <c r="J116" s="55"/>
      <c r="K116" s="50" t="s">
        <v>8</v>
      </c>
      <c r="L116" s="51">
        <v>403006.12</v>
      </c>
    </row>
    <row r="117" spans="1:12" ht="61.2" x14ac:dyDescent="0.3">
      <c r="A117" s="45" t="s">
        <v>429</v>
      </c>
      <c r="B117" s="46" t="s">
        <v>474</v>
      </c>
      <c r="C117" s="46" t="s">
        <v>47</v>
      </c>
      <c r="D117" s="46" t="s">
        <v>470</v>
      </c>
      <c r="E117" s="47" t="s">
        <v>42</v>
      </c>
      <c r="F117" s="52" t="s">
        <v>15</v>
      </c>
      <c r="G117" s="52"/>
      <c r="H117" s="47" t="s">
        <v>13</v>
      </c>
      <c r="I117" s="55">
        <v>2730</v>
      </c>
      <c r="J117" s="55"/>
      <c r="K117" s="50" t="s">
        <v>8</v>
      </c>
      <c r="L117" s="51">
        <v>400276.12</v>
      </c>
    </row>
    <row r="118" spans="1:12" ht="51" x14ac:dyDescent="0.3">
      <c r="A118" s="45" t="s">
        <v>429</v>
      </c>
      <c r="B118" s="46" t="s">
        <v>474</v>
      </c>
      <c r="C118" s="46" t="s">
        <v>47</v>
      </c>
      <c r="D118" s="46" t="s">
        <v>479</v>
      </c>
      <c r="E118" s="47" t="s">
        <v>42</v>
      </c>
      <c r="F118" s="52" t="s">
        <v>15</v>
      </c>
      <c r="G118" s="52"/>
      <c r="H118" s="47" t="s">
        <v>13</v>
      </c>
      <c r="I118" s="53">
        <v>555</v>
      </c>
      <c r="J118" s="53"/>
      <c r="K118" s="50" t="s">
        <v>8</v>
      </c>
      <c r="L118" s="51">
        <v>399721.12</v>
      </c>
    </row>
    <row r="119" spans="1:12" ht="51" x14ac:dyDescent="0.3">
      <c r="A119" s="45" t="s">
        <v>429</v>
      </c>
      <c r="B119" s="46" t="s">
        <v>474</v>
      </c>
      <c r="C119" s="46" t="s">
        <v>47</v>
      </c>
      <c r="D119" s="46" t="s">
        <v>480</v>
      </c>
      <c r="E119" s="47" t="s">
        <v>42</v>
      </c>
      <c r="F119" s="52" t="s">
        <v>15</v>
      </c>
      <c r="G119" s="52"/>
      <c r="H119" s="47" t="s">
        <v>13</v>
      </c>
      <c r="I119" s="53">
        <v>185</v>
      </c>
      <c r="J119" s="53"/>
      <c r="K119" s="50" t="s">
        <v>8</v>
      </c>
      <c r="L119" s="51">
        <v>399536.12</v>
      </c>
    </row>
    <row r="120" spans="1:12" ht="51" x14ac:dyDescent="0.3">
      <c r="A120" s="45" t="s">
        <v>429</v>
      </c>
      <c r="B120" s="46" t="s">
        <v>474</v>
      </c>
      <c r="C120" s="46" t="s">
        <v>47</v>
      </c>
      <c r="D120" s="46" t="s">
        <v>481</v>
      </c>
      <c r="E120" s="47" t="s">
        <v>42</v>
      </c>
      <c r="F120" s="52" t="s">
        <v>15</v>
      </c>
      <c r="G120" s="52"/>
      <c r="H120" s="47" t="s">
        <v>13</v>
      </c>
      <c r="I120" s="53">
        <v>185</v>
      </c>
      <c r="J120" s="53"/>
      <c r="K120" s="50" t="s">
        <v>8</v>
      </c>
      <c r="L120" s="51">
        <v>399351.12</v>
      </c>
    </row>
    <row r="121" spans="1:12" ht="51" x14ac:dyDescent="0.3">
      <c r="A121" s="45" t="s">
        <v>328</v>
      </c>
      <c r="B121" s="46" t="s">
        <v>482</v>
      </c>
      <c r="C121" s="46" t="s">
        <v>47</v>
      </c>
      <c r="D121" s="46" t="s">
        <v>477</v>
      </c>
      <c r="E121" s="47" t="s">
        <v>42</v>
      </c>
      <c r="F121" s="52" t="s">
        <v>15</v>
      </c>
      <c r="G121" s="52"/>
      <c r="H121" s="47" t="s">
        <v>13</v>
      </c>
      <c r="I121" s="53">
        <v>726.25</v>
      </c>
      <c r="J121" s="53"/>
      <c r="K121" s="50" t="s">
        <v>8</v>
      </c>
      <c r="L121" s="51">
        <v>398624.87</v>
      </c>
    </row>
    <row r="122" spans="1:12" ht="51" x14ac:dyDescent="0.3">
      <c r="A122" s="45" t="s">
        <v>328</v>
      </c>
      <c r="B122" s="46" t="s">
        <v>482</v>
      </c>
      <c r="C122" s="46" t="s">
        <v>47</v>
      </c>
      <c r="D122" s="46" t="s">
        <v>483</v>
      </c>
      <c r="E122" s="47" t="s">
        <v>42</v>
      </c>
      <c r="F122" s="52" t="s">
        <v>15</v>
      </c>
      <c r="G122" s="52"/>
      <c r="H122" s="47" t="s">
        <v>13</v>
      </c>
      <c r="I122" s="53">
        <v>309</v>
      </c>
      <c r="J122" s="53"/>
      <c r="K122" s="50" t="s">
        <v>8</v>
      </c>
      <c r="L122" s="51">
        <v>398315.87</v>
      </c>
    </row>
    <row r="123" spans="1:12" ht="61.2" x14ac:dyDescent="0.3">
      <c r="A123" s="45" t="s">
        <v>328</v>
      </c>
      <c r="B123" s="46" t="s">
        <v>484</v>
      </c>
      <c r="C123" s="46" t="s">
        <v>47</v>
      </c>
      <c r="D123" s="46" t="s">
        <v>375</v>
      </c>
      <c r="E123" s="47" t="s">
        <v>42</v>
      </c>
      <c r="F123" s="52" t="s">
        <v>15</v>
      </c>
      <c r="G123" s="52"/>
      <c r="H123" s="47" t="s">
        <v>13</v>
      </c>
      <c r="I123" s="53">
        <v>237.5</v>
      </c>
      <c r="J123" s="53"/>
      <c r="K123" s="50" t="s">
        <v>8</v>
      </c>
      <c r="L123" s="51">
        <v>398078.37</v>
      </c>
    </row>
    <row r="124" spans="1:12" ht="61.2" x14ac:dyDescent="0.3">
      <c r="A124" s="45" t="s">
        <v>328</v>
      </c>
      <c r="B124" s="46" t="s">
        <v>485</v>
      </c>
      <c r="C124" s="46" t="s">
        <v>47</v>
      </c>
      <c r="D124" s="46" t="s">
        <v>486</v>
      </c>
      <c r="E124" s="47" t="s">
        <v>42</v>
      </c>
      <c r="F124" s="52" t="s">
        <v>15</v>
      </c>
      <c r="G124" s="52"/>
      <c r="H124" s="47" t="s">
        <v>13</v>
      </c>
      <c r="I124" s="53">
        <v>712.55</v>
      </c>
      <c r="J124" s="53"/>
      <c r="K124" s="50" t="s">
        <v>8</v>
      </c>
      <c r="L124" s="51">
        <v>397365.82</v>
      </c>
    </row>
    <row r="125" spans="1:12" ht="51" x14ac:dyDescent="0.3">
      <c r="A125" s="45" t="s">
        <v>328</v>
      </c>
      <c r="B125" s="46" t="s">
        <v>485</v>
      </c>
      <c r="C125" s="46" t="s">
        <v>47</v>
      </c>
      <c r="D125" s="46" t="s">
        <v>487</v>
      </c>
      <c r="E125" s="47" t="s">
        <v>42</v>
      </c>
      <c r="F125" s="52" t="s">
        <v>15</v>
      </c>
      <c r="G125" s="52"/>
      <c r="H125" s="47" t="s">
        <v>13</v>
      </c>
      <c r="I125" s="55">
        <v>1102.4000000000001</v>
      </c>
      <c r="J125" s="55"/>
      <c r="K125" s="50" t="s">
        <v>8</v>
      </c>
      <c r="L125" s="51">
        <v>396263.42</v>
      </c>
    </row>
    <row r="126" spans="1:12" ht="61.2" x14ac:dyDescent="0.3">
      <c r="A126" s="45" t="s">
        <v>328</v>
      </c>
      <c r="B126" s="46" t="s">
        <v>485</v>
      </c>
      <c r="C126" s="46" t="s">
        <v>47</v>
      </c>
      <c r="D126" s="46" t="s">
        <v>375</v>
      </c>
      <c r="E126" s="47" t="s">
        <v>42</v>
      </c>
      <c r="F126" s="52" t="s">
        <v>15</v>
      </c>
      <c r="G126" s="52"/>
      <c r="H126" s="47" t="s">
        <v>13</v>
      </c>
      <c r="I126" s="55">
        <v>1567.5</v>
      </c>
      <c r="J126" s="55"/>
      <c r="K126" s="50" t="s">
        <v>8</v>
      </c>
      <c r="L126" s="51">
        <v>394695.92</v>
      </c>
    </row>
    <row r="127" spans="1:12" ht="51" x14ac:dyDescent="0.3">
      <c r="A127" s="45" t="s">
        <v>328</v>
      </c>
      <c r="B127" s="46" t="s">
        <v>485</v>
      </c>
      <c r="C127" s="46" t="s">
        <v>47</v>
      </c>
      <c r="D127" s="46" t="s">
        <v>488</v>
      </c>
      <c r="E127" s="47" t="s">
        <v>42</v>
      </c>
      <c r="F127" s="52" t="s">
        <v>15</v>
      </c>
      <c r="G127" s="52"/>
      <c r="H127" s="47" t="s">
        <v>13</v>
      </c>
      <c r="I127" s="53">
        <v>312.2</v>
      </c>
      <c r="J127" s="53"/>
      <c r="K127" s="50" t="s">
        <v>8</v>
      </c>
      <c r="L127" s="51">
        <v>394383.72</v>
      </c>
    </row>
    <row r="128" spans="1:12" ht="51" x14ac:dyDescent="0.3">
      <c r="A128" s="45" t="s">
        <v>328</v>
      </c>
      <c r="B128" s="46" t="s">
        <v>485</v>
      </c>
      <c r="C128" s="46" t="s">
        <v>47</v>
      </c>
      <c r="D128" s="46" t="s">
        <v>489</v>
      </c>
      <c r="E128" s="47" t="s">
        <v>42</v>
      </c>
      <c r="F128" s="52" t="s">
        <v>15</v>
      </c>
      <c r="G128" s="52"/>
      <c r="H128" s="47" t="s">
        <v>13</v>
      </c>
      <c r="I128" s="55">
        <v>1791</v>
      </c>
      <c r="J128" s="55"/>
      <c r="K128" s="50" t="s">
        <v>8</v>
      </c>
      <c r="L128" s="51">
        <v>392592.72</v>
      </c>
    </row>
    <row r="129" spans="1:12" ht="61.2" x14ac:dyDescent="0.3">
      <c r="A129" s="45" t="s">
        <v>328</v>
      </c>
      <c r="B129" s="46" t="s">
        <v>485</v>
      </c>
      <c r="C129" s="46" t="s">
        <v>47</v>
      </c>
      <c r="D129" s="46" t="s">
        <v>490</v>
      </c>
      <c r="E129" s="47" t="s">
        <v>42</v>
      </c>
      <c r="F129" s="52" t="s">
        <v>15</v>
      </c>
      <c r="G129" s="52"/>
      <c r="H129" s="47" t="s">
        <v>13</v>
      </c>
      <c r="I129" s="53">
        <v>385.2</v>
      </c>
      <c r="J129" s="53"/>
      <c r="K129" s="50" t="s">
        <v>8</v>
      </c>
      <c r="L129" s="51">
        <v>392207.52</v>
      </c>
    </row>
    <row r="130" spans="1:12" ht="51" x14ac:dyDescent="0.3">
      <c r="A130" s="45" t="s">
        <v>328</v>
      </c>
      <c r="B130" s="46" t="s">
        <v>491</v>
      </c>
      <c r="C130" s="46" t="s">
        <v>47</v>
      </c>
      <c r="D130" s="46" t="s">
        <v>392</v>
      </c>
      <c r="E130" s="47" t="s">
        <v>42</v>
      </c>
      <c r="F130" s="52" t="s">
        <v>15</v>
      </c>
      <c r="G130" s="52"/>
      <c r="H130" s="47" t="s">
        <v>13</v>
      </c>
      <c r="I130" s="55">
        <v>2652.5</v>
      </c>
      <c r="J130" s="55"/>
      <c r="K130" s="50" t="s">
        <v>8</v>
      </c>
      <c r="L130" s="51">
        <v>389555.02</v>
      </c>
    </row>
    <row r="131" spans="1:12" ht="51" x14ac:dyDescent="0.3">
      <c r="A131" s="45" t="s">
        <v>328</v>
      </c>
      <c r="B131" s="46" t="s">
        <v>491</v>
      </c>
      <c r="C131" s="46" t="s">
        <v>47</v>
      </c>
      <c r="D131" s="46" t="s">
        <v>483</v>
      </c>
      <c r="E131" s="47" t="s">
        <v>42</v>
      </c>
      <c r="F131" s="52" t="s">
        <v>15</v>
      </c>
      <c r="G131" s="52"/>
      <c r="H131" s="47" t="s">
        <v>13</v>
      </c>
      <c r="I131" s="53">
        <v>92.7</v>
      </c>
      <c r="J131" s="53"/>
      <c r="K131" s="50" t="s">
        <v>8</v>
      </c>
      <c r="L131" s="51">
        <v>389462.32</v>
      </c>
    </row>
    <row r="132" spans="1:12" ht="51" x14ac:dyDescent="0.3">
      <c r="A132" s="45" t="s">
        <v>328</v>
      </c>
      <c r="B132" s="46" t="s">
        <v>491</v>
      </c>
      <c r="C132" s="46" t="s">
        <v>47</v>
      </c>
      <c r="D132" s="46" t="s">
        <v>393</v>
      </c>
      <c r="E132" s="47" t="s">
        <v>42</v>
      </c>
      <c r="F132" s="52" t="s">
        <v>15</v>
      </c>
      <c r="G132" s="52"/>
      <c r="H132" s="47" t="s">
        <v>13</v>
      </c>
      <c r="I132" s="53">
        <v>464.8</v>
      </c>
      <c r="J132" s="53"/>
      <c r="K132" s="50" t="s">
        <v>8</v>
      </c>
      <c r="L132" s="51">
        <v>388997.52</v>
      </c>
    </row>
    <row r="133" spans="1:12" ht="51" x14ac:dyDescent="0.3">
      <c r="A133" s="45" t="s">
        <v>328</v>
      </c>
      <c r="B133" s="46" t="s">
        <v>492</v>
      </c>
      <c r="C133" s="46" t="s">
        <v>47</v>
      </c>
      <c r="D133" s="46" t="s">
        <v>487</v>
      </c>
      <c r="E133" s="47" t="s">
        <v>42</v>
      </c>
      <c r="F133" s="52" t="s">
        <v>15</v>
      </c>
      <c r="G133" s="52"/>
      <c r="H133" s="47" t="s">
        <v>13</v>
      </c>
      <c r="I133" s="55">
        <v>2204.8000000000002</v>
      </c>
      <c r="J133" s="55"/>
      <c r="K133" s="50" t="s">
        <v>8</v>
      </c>
      <c r="L133" s="51">
        <v>386792.72</v>
      </c>
    </row>
    <row r="134" spans="1:12" ht="51" x14ac:dyDescent="0.3">
      <c r="A134" s="45" t="s">
        <v>328</v>
      </c>
      <c r="B134" s="46" t="s">
        <v>492</v>
      </c>
      <c r="C134" s="46" t="s">
        <v>47</v>
      </c>
      <c r="D134" s="46" t="s">
        <v>366</v>
      </c>
      <c r="E134" s="47" t="s">
        <v>42</v>
      </c>
      <c r="F134" s="52" t="s">
        <v>15</v>
      </c>
      <c r="G134" s="52"/>
      <c r="H134" s="47" t="s">
        <v>13</v>
      </c>
      <c r="I134" s="53">
        <v>137.38999999999999</v>
      </c>
      <c r="J134" s="53"/>
      <c r="K134" s="50" t="s">
        <v>8</v>
      </c>
      <c r="L134" s="51">
        <v>386655.33</v>
      </c>
    </row>
    <row r="135" spans="1:12" ht="51" x14ac:dyDescent="0.3">
      <c r="A135" s="45" t="s">
        <v>328</v>
      </c>
      <c r="B135" s="46" t="s">
        <v>492</v>
      </c>
      <c r="C135" s="46" t="s">
        <v>47</v>
      </c>
      <c r="D135" s="46" t="s">
        <v>493</v>
      </c>
      <c r="E135" s="47" t="s">
        <v>42</v>
      </c>
      <c r="F135" s="52" t="s">
        <v>15</v>
      </c>
      <c r="G135" s="52"/>
      <c r="H135" s="47" t="s">
        <v>13</v>
      </c>
      <c r="I135" s="53">
        <v>81.900000000000006</v>
      </c>
      <c r="J135" s="53"/>
      <c r="K135" s="50" t="s">
        <v>8</v>
      </c>
      <c r="L135" s="51">
        <v>386573.43</v>
      </c>
    </row>
    <row r="136" spans="1:12" ht="51" x14ac:dyDescent="0.3">
      <c r="A136" s="45" t="s">
        <v>328</v>
      </c>
      <c r="B136" s="46" t="s">
        <v>492</v>
      </c>
      <c r="C136" s="46" t="s">
        <v>47</v>
      </c>
      <c r="D136" s="46" t="s">
        <v>494</v>
      </c>
      <c r="E136" s="47" t="s">
        <v>42</v>
      </c>
      <c r="F136" s="52" t="s">
        <v>15</v>
      </c>
      <c r="G136" s="52"/>
      <c r="H136" s="47" t="s">
        <v>13</v>
      </c>
      <c r="I136" s="55">
        <v>1023</v>
      </c>
      <c r="J136" s="55"/>
      <c r="K136" s="50" t="s">
        <v>8</v>
      </c>
      <c r="L136" s="51">
        <v>385550.43</v>
      </c>
    </row>
    <row r="137" spans="1:12" ht="51" x14ac:dyDescent="0.3">
      <c r="A137" s="45" t="s">
        <v>328</v>
      </c>
      <c r="B137" s="46" t="s">
        <v>492</v>
      </c>
      <c r="C137" s="46" t="s">
        <v>47</v>
      </c>
      <c r="D137" s="46" t="s">
        <v>358</v>
      </c>
      <c r="E137" s="47" t="s">
        <v>42</v>
      </c>
      <c r="F137" s="52" t="s">
        <v>15</v>
      </c>
      <c r="G137" s="52"/>
      <c r="H137" s="47" t="s">
        <v>13</v>
      </c>
      <c r="I137" s="53">
        <v>52</v>
      </c>
      <c r="J137" s="53"/>
      <c r="K137" s="50" t="s">
        <v>8</v>
      </c>
      <c r="L137" s="51">
        <v>385498.43</v>
      </c>
    </row>
    <row r="138" spans="1:12" ht="61.2" x14ac:dyDescent="0.3">
      <c r="A138" s="45" t="s">
        <v>328</v>
      </c>
      <c r="B138" s="46" t="s">
        <v>492</v>
      </c>
      <c r="C138" s="46" t="s">
        <v>47</v>
      </c>
      <c r="D138" s="46" t="s">
        <v>486</v>
      </c>
      <c r="E138" s="47" t="s">
        <v>42</v>
      </c>
      <c r="F138" s="52" t="s">
        <v>15</v>
      </c>
      <c r="G138" s="52"/>
      <c r="H138" s="47" t="s">
        <v>13</v>
      </c>
      <c r="I138" s="55">
        <v>3562.75</v>
      </c>
      <c r="J138" s="55"/>
      <c r="K138" s="50" t="s">
        <v>8</v>
      </c>
      <c r="L138" s="51">
        <v>381935.68</v>
      </c>
    </row>
    <row r="139" spans="1:12" ht="61.2" x14ac:dyDescent="0.3">
      <c r="A139" s="45" t="s">
        <v>328</v>
      </c>
      <c r="B139" s="46" t="s">
        <v>492</v>
      </c>
      <c r="C139" s="46" t="s">
        <v>47</v>
      </c>
      <c r="D139" s="46" t="s">
        <v>470</v>
      </c>
      <c r="E139" s="47" t="s">
        <v>42</v>
      </c>
      <c r="F139" s="52" t="s">
        <v>15</v>
      </c>
      <c r="G139" s="52"/>
      <c r="H139" s="47" t="s">
        <v>13</v>
      </c>
      <c r="I139" s="53">
        <v>990</v>
      </c>
      <c r="J139" s="53"/>
      <c r="K139" s="50" t="s">
        <v>8</v>
      </c>
      <c r="L139" s="51">
        <v>380945.68</v>
      </c>
    </row>
    <row r="140" spans="1:12" ht="51" x14ac:dyDescent="0.3">
      <c r="A140" s="45" t="s">
        <v>328</v>
      </c>
      <c r="B140" s="46" t="s">
        <v>492</v>
      </c>
      <c r="C140" s="46" t="s">
        <v>47</v>
      </c>
      <c r="D140" s="46" t="s">
        <v>376</v>
      </c>
      <c r="E140" s="47" t="s">
        <v>42</v>
      </c>
      <c r="F140" s="52" t="s">
        <v>15</v>
      </c>
      <c r="G140" s="52"/>
      <c r="H140" s="47" t="s">
        <v>13</v>
      </c>
      <c r="I140" s="53">
        <v>990.75</v>
      </c>
      <c r="J140" s="53"/>
      <c r="K140" s="50" t="s">
        <v>8</v>
      </c>
      <c r="L140" s="51">
        <v>379954.93</v>
      </c>
    </row>
    <row r="141" spans="1:12" ht="51" x14ac:dyDescent="0.3">
      <c r="A141" s="45" t="s">
        <v>328</v>
      </c>
      <c r="B141" s="46" t="s">
        <v>492</v>
      </c>
      <c r="C141" s="46" t="s">
        <v>47</v>
      </c>
      <c r="D141" s="46" t="s">
        <v>489</v>
      </c>
      <c r="E141" s="47" t="s">
        <v>42</v>
      </c>
      <c r="F141" s="52" t="s">
        <v>15</v>
      </c>
      <c r="G141" s="52"/>
      <c r="H141" s="47" t="s">
        <v>13</v>
      </c>
      <c r="I141" s="55">
        <v>1791</v>
      </c>
      <c r="J141" s="55"/>
      <c r="K141" s="50" t="s">
        <v>8</v>
      </c>
      <c r="L141" s="51">
        <v>378163.93</v>
      </c>
    </row>
    <row r="142" spans="1:12" ht="51" x14ac:dyDescent="0.3">
      <c r="A142" s="45" t="s">
        <v>328</v>
      </c>
      <c r="B142" s="46" t="s">
        <v>492</v>
      </c>
      <c r="C142" s="46" t="s">
        <v>47</v>
      </c>
      <c r="D142" s="46" t="s">
        <v>495</v>
      </c>
      <c r="E142" s="47" t="s">
        <v>42</v>
      </c>
      <c r="F142" s="52" t="s">
        <v>15</v>
      </c>
      <c r="G142" s="52"/>
      <c r="H142" s="47" t="s">
        <v>13</v>
      </c>
      <c r="I142" s="53">
        <v>73.400000000000006</v>
      </c>
      <c r="J142" s="53"/>
      <c r="K142" s="50" t="s">
        <v>8</v>
      </c>
      <c r="L142" s="51">
        <v>378090.53</v>
      </c>
    </row>
    <row r="143" spans="1:12" ht="51" x14ac:dyDescent="0.3">
      <c r="A143" s="45" t="s">
        <v>328</v>
      </c>
      <c r="B143" s="46" t="s">
        <v>492</v>
      </c>
      <c r="C143" s="46" t="s">
        <v>47</v>
      </c>
      <c r="D143" s="46" t="s">
        <v>496</v>
      </c>
      <c r="E143" s="47" t="s">
        <v>42</v>
      </c>
      <c r="F143" s="52" t="s">
        <v>15</v>
      </c>
      <c r="G143" s="52"/>
      <c r="H143" s="47" t="s">
        <v>13</v>
      </c>
      <c r="I143" s="53">
        <v>955.05</v>
      </c>
      <c r="J143" s="53"/>
      <c r="K143" s="50" t="s">
        <v>8</v>
      </c>
      <c r="L143" s="51">
        <v>377135.48</v>
      </c>
    </row>
    <row r="144" spans="1:12" ht="51" x14ac:dyDescent="0.3">
      <c r="A144" s="45" t="s">
        <v>328</v>
      </c>
      <c r="B144" s="46" t="s">
        <v>492</v>
      </c>
      <c r="C144" s="46" t="s">
        <v>47</v>
      </c>
      <c r="D144" s="46" t="s">
        <v>497</v>
      </c>
      <c r="E144" s="47" t="s">
        <v>42</v>
      </c>
      <c r="F144" s="52" t="s">
        <v>15</v>
      </c>
      <c r="G144" s="52"/>
      <c r="H144" s="47" t="s">
        <v>13</v>
      </c>
      <c r="I144" s="53">
        <v>955.05</v>
      </c>
      <c r="J144" s="53"/>
      <c r="K144" s="50" t="s">
        <v>8</v>
      </c>
      <c r="L144" s="51">
        <v>376180.43</v>
      </c>
    </row>
    <row r="145" spans="1:12" ht="51" x14ac:dyDescent="0.3">
      <c r="A145" s="45" t="s">
        <v>328</v>
      </c>
      <c r="B145" s="46" t="s">
        <v>492</v>
      </c>
      <c r="C145" s="46" t="s">
        <v>47</v>
      </c>
      <c r="D145" s="46" t="s">
        <v>498</v>
      </c>
      <c r="E145" s="47" t="s">
        <v>42</v>
      </c>
      <c r="F145" s="52" t="s">
        <v>15</v>
      </c>
      <c r="G145" s="52"/>
      <c r="H145" s="47" t="s">
        <v>13</v>
      </c>
      <c r="I145" s="53">
        <v>636.70000000000005</v>
      </c>
      <c r="J145" s="53"/>
      <c r="K145" s="50" t="s">
        <v>8</v>
      </c>
      <c r="L145" s="51">
        <v>375543.73</v>
      </c>
    </row>
    <row r="146" spans="1:12" ht="51" x14ac:dyDescent="0.3">
      <c r="A146" s="45" t="s">
        <v>328</v>
      </c>
      <c r="B146" s="46" t="s">
        <v>492</v>
      </c>
      <c r="C146" s="46" t="s">
        <v>47</v>
      </c>
      <c r="D146" s="46" t="s">
        <v>499</v>
      </c>
      <c r="E146" s="47" t="s">
        <v>42</v>
      </c>
      <c r="F146" s="52" t="s">
        <v>15</v>
      </c>
      <c r="G146" s="52"/>
      <c r="H146" s="47" t="s">
        <v>13</v>
      </c>
      <c r="I146" s="53">
        <v>636.70000000000005</v>
      </c>
      <c r="J146" s="53"/>
      <c r="K146" s="50" t="s">
        <v>8</v>
      </c>
      <c r="L146" s="51">
        <v>374907.03</v>
      </c>
    </row>
    <row r="147" spans="1:12" ht="51" x14ac:dyDescent="0.3">
      <c r="A147" s="45" t="s">
        <v>328</v>
      </c>
      <c r="B147" s="46" t="s">
        <v>500</v>
      </c>
      <c r="C147" s="46" t="s">
        <v>47</v>
      </c>
      <c r="D147" s="46" t="s">
        <v>392</v>
      </c>
      <c r="E147" s="47" t="s">
        <v>42</v>
      </c>
      <c r="F147" s="52" t="s">
        <v>15</v>
      </c>
      <c r="G147" s="52"/>
      <c r="H147" s="47" t="s">
        <v>13</v>
      </c>
      <c r="I147" s="53">
        <v>318.3</v>
      </c>
      <c r="J147" s="53"/>
      <c r="K147" s="50" t="s">
        <v>8</v>
      </c>
      <c r="L147" s="51">
        <v>374588.73</v>
      </c>
    </row>
    <row r="148" spans="1:12" ht="51" x14ac:dyDescent="0.3">
      <c r="A148" s="45" t="s">
        <v>328</v>
      </c>
      <c r="B148" s="46" t="s">
        <v>501</v>
      </c>
      <c r="C148" s="46" t="s">
        <v>47</v>
      </c>
      <c r="D148" s="46" t="s">
        <v>502</v>
      </c>
      <c r="E148" s="47" t="s">
        <v>42</v>
      </c>
      <c r="F148" s="52" t="s">
        <v>15</v>
      </c>
      <c r="G148" s="52"/>
      <c r="H148" s="47" t="s">
        <v>13</v>
      </c>
      <c r="I148" s="55">
        <v>1334.4</v>
      </c>
      <c r="J148" s="55"/>
      <c r="K148" s="50" t="s">
        <v>8</v>
      </c>
      <c r="L148" s="51">
        <v>373254.33</v>
      </c>
    </row>
    <row r="149" spans="1:12" ht="51" x14ac:dyDescent="0.3">
      <c r="A149" s="45" t="s">
        <v>328</v>
      </c>
      <c r="B149" s="46" t="s">
        <v>501</v>
      </c>
      <c r="C149" s="46" t="s">
        <v>47</v>
      </c>
      <c r="D149" s="46" t="s">
        <v>503</v>
      </c>
      <c r="E149" s="47" t="s">
        <v>42</v>
      </c>
      <c r="F149" s="52" t="s">
        <v>15</v>
      </c>
      <c r="G149" s="52"/>
      <c r="H149" s="47" t="s">
        <v>13</v>
      </c>
      <c r="I149" s="53">
        <v>170.57</v>
      </c>
      <c r="J149" s="53"/>
      <c r="K149" s="50" t="s">
        <v>8</v>
      </c>
      <c r="L149" s="51">
        <v>373083.76</v>
      </c>
    </row>
    <row r="150" spans="1:12" ht="51" x14ac:dyDescent="0.3">
      <c r="A150" s="45" t="s">
        <v>328</v>
      </c>
      <c r="B150" s="46" t="s">
        <v>501</v>
      </c>
      <c r="C150" s="46" t="s">
        <v>47</v>
      </c>
      <c r="D150" s="46" t="s">
        <v>377</v>
      </c>
      <c r="E150" s="47" t="s">
        <v>42</v>
      </c>
      <c r="F150" s="52" t="s">
        <v>15</v>
      </c>
      <c r="G150" s="52"/>
      <c r="H150" s="47" t="s">
        <v>13</v>
      </c>
      <c r="I150" s="55">
        <v>2500.5</v>
      </c>
      <c r="J150" s="55"/>
      <c r="K150" s="50" t="s">
        <v>8</v>
      </c>
      <c r="L150" s="51">
        <v>370583.26</v>
      </c>
    </row>
    <row r="151" spans="1:12" ht="51" x14ac:dyDescent="0.3">
      <c r="A151" s="45" t="s">
        <v>328</v>
      </c>
      <c r="B151" s="46" t="s">
        <v>504</v>
      </c>
      <c r="C151" s="46" t="s">
        <v>47</v>
      </c>
      <c r="D151" s="46" t="s">
        <v>392</v>
      </c>
      <c r="E151" s="47" t="s">
        <v>42</v>
      </c>
      <c r="F151" s="52" t="s">
        <v>15</v>
      </c>
      <c r="G151" s="52"/>
      <c r="H151" s="47" t="s">
        <v>13</v>
      </c>
      <c r="I151" s="53">
        <v>954.9</v>
      </c>
      <c r="J151" s="53"/>
      <c r="K151" s="50" t="s">
        <v>8</v>
      </c>
      <c r="L151" s="51">
        <v>369628.36</v>
      </c>
    </row>
    <row r="152" spans="1:12" ht="51" x14ac:dyDescent="0.3">
      <c r="A152" s="45" t="s">
        <v>328</v>
      </c>
      <c r="B152" s="46" t="s">
        <v>505</v>
      </c>
      <c r="C152" s="46" t="s">
        <v>47</v>
      </c>
      <c r="D152" s="46" t="s">
        <v>506</v>
      </c>
      <c r="E152" s="47" t="s">
        <v>42</v>
      </c>
      <c r="F152" s="52" t="s">
        <v>15</v>
      </c>
      <c r="G152" s="52"/>
      <c r="H152" s="47" t="s">
        <v>13</v>
      </c>
      <c r="I152" s="53">
        <v>189.2</v>
      </c>
      <c r="J152" s="53"/>
      <c r="K152" s="50" t="s">
        <v>8</v>
      </c>
      <c r="L152" s="51">
        <v>369439.16</v>
      </c>
    </row>
    <row r="153" spans="1:12" ht="51" x14ac:dyDescent="0.3">
      <c r="A153" s="45" t="s">
        <v>328</v>
      </c>
      <c r="B153" s="46" t="s">
        <v>505</v>
      </c>
      <c r="C153" s="46" t="s">
        <v>47</v>
      </c>
      <c r="D153" s="46" t="s">
        <v>507</v>
      </c>
      <c r="E153" s="47" t="s">
        <v>42</v>
      </c>
      <c r="F153" s="52" t="s">
        <v>15</v>
      </c>
      <c r="G153" s="52"/>
      <c r="H153" s="47" t="s">
        <v>13</v>
      </c>
      <c r="I153" s="53">
        <v>67.06</v>
      </c>
      <c r="J153" s="53"/>
      <c r="K153" s="50" t="s">
        <v>8</v>
      </c>
      <c r="L153" s="51">
        <v>369372.1</v>
      </c>
    </row>
    <row r="154" spans="1:12" ht="51" x14ac:dyDescent="0.3">
      <c r="A154" s="45" t="s">
        <v>328</v>
      </c>
      <c r="B154" s="46" t="s">
        <v>508</v>
      </c>
      <c r="C154" s="46" t="s">
        <v>47</v>
      </c>
      <c r="D154" s="46" t="s">
        <v>509</v>
      </c>
      <c r="E154" s="47" t="s">
        <v>42</v>
      </c>
      <c r="F154" s="52" t="s">
        <v>15</v>
      </c>
      <c r="G154" s="52"/>
      <c r="H154" s="47" t="s">
        <v>13</v>
      </c>
      <c r="I154" s="55">
        <v>1370.85</v>
      </c>
      <c r="J154" s="55"/>
      <c r="K154" s="50" t="s">
        <v>8</v>
      </c>
      <c r="L154" s="51">
        <v>368001.25</v>
      </c>
    </row>
    <row r="155" spans="1:12" ht="51" x14ac:dyDescent="0.3">
      <c r="A155" s="45" t="s">
        <v>328</v>
      </c>
      <c r="B155" s="46" t="s">
        <v>508</v>
      </c>
      <c r="C155" s="46" t="s">
        <v>47</v>
      </c>
      <c r="D155" s="46" t="s">
        <v>502</v>
      </c>
      <c r="E155" s="47" t="s">
        <v>42</v>
      </c>
      <c r="F155" s="52" t="s">
        <v>15</v>
      </c>
      <c r="G155" s="52"/>
      <c r="H155" s="47" t="s">
        <v>13</v>
      </c>
      <c r="I155" s="53">
        <v>889.6</v>
      </c>
      <c r="J155" s="53"/>
      <c r="K155" s="50" t="s">
        <v>8</v>
      </c>
      <c r="L155" s="51">
        <v>367111.65</v>
      </c>
    </row>
    <row r="156" spans="1:12" ht="51" x14ac:dyDescent="0.3">
      <c r="A156" s="45" t="s">
        <v>328</v>
      </c>
      <c r="B156" s="46" t="s">
        <v>508</v>
      </c>
      <c r="C156" s="46" t="s">
        <v>47</v>
      </c>
      <c r="D156" s="46" t="s">
        <v>393</v>
      </c>
      <c r="E156" s="47" t="s">
        <v>42</v>
      </c>
      <c r="F156" s="52" t="s">
        <v>15</v>
      </c>
      <c r="G156" s="52"/>
      <c r="H156" s="47" t="s">
        <v>13</v>
      </c>
      <c r="I156" s="53">
        <v>145.25</v>
      </c>
      <c r="J156" s="53"/>
      <c r="K156" s="50" t="s">
        <v>8</v>
      </c>
      <c r="L156" s="51">
        <v>366966.4</v>
      </c>
    </row>
    <row r="157" spans="1:12" ht="51" x14ac:dyDescent="0.3">
      <c r="A157" s="45" t="s">
        <v>328</v>
      </c>
      <c r="B157" s="46" t="s">
        <v>508</v>
      </c>
      <c r="C157" s="46" t="s">
        <v>47</v>
      </c>
      <c r="D157" s="46" t="s">
        <v>510</v>
      </c>
      <c r="E157" s="47" t="s">
        <v>42</v>
      </c>
      <c r="F157" s="52" t="s">
        <v>15</v>
      </c>
      <c r="G157" s="52"/>
      <c r="H157" s="47" t="s">
        <v>13</v>
      </c>
      <c r="I157" s="55">
        <v>4375</v>
      </c>
      <c r="J157" s="55"/>
      <c r="K157" s="50" t="s">
        <v>8</v>
      </c>
      <c r="L157" s="51">
        <v>362591.4</v>
      </c>
    </row>
    <row r="158" spans="1:12" ht="51" x14ac:dyDescent="0.3">
      <c r="A158" s="45" t="s">
        <v>328</v>
      </c>
      <c r="B158" s="46" t="s">
        <v>508</v>
      </c>
      <c r="C158" s="46" t="s">
        <v>47</v>
      </c>
      <c r="D158" s="46" t="s">
        <v>381</v>
      </c>
      <c r="E158" s="47" t="s">
        <v>42</v>
      </c>
      <c r="F158" s="52" t="s">
        <v>15</v>
      </c>
      <c r="G158" s="52"/>
      <c r="H158" s="47" t="s">
        <v>13</v>
      </c>
      <c r="I158" s="55">
        <v>1250</v>
      </c>
      <c r="J158" s="55"/>
      <c r="K158" s="50" t="s">
        <v>8</v>
      </c>
      <c r="L158" s="51">
        <v>361341.4</v>
      </c>
    </row>
    <row r="159" spans="1:12" ht="51" x14ac:dyDescent="0.3">
      <c r="A159" s="45" t="s">
        <v>328</v>
      </c>
      <c r="B159" s="46" t="s">
        <v>508</v>
      </c>
      <c r="C159" s="46" t="s">
        <v>47</v>
      </c>
      <c r="D159" s="46" t="s">
        <v>511</v>
      </c>
      <c r="E159" s="47" t="s">
        <v>42</v>
      </c>
      <c r="F159" s="52" t="s">
        <v>15</v>
      </c>
      <c r="G159" s="52"/>
      <c r="H159" s="47" t="s">
        <v>13</v>
      </c>
      <c r="I159" s="55">
        <v>1346</v>
      </c>
      <c r="J159" s="55"/>
      <c r="K159" s="50" t="s">
        <v>8</v>
      </c>
      <c r="L159" s="51">
        <v>359995.4</v>
      </c>
    </row>
    <row r="160" spans="1:12" ht="51" x14ac:dyDescent="0.3">
      <c r="A160" s="45" t="s">
        <v>328</v>
      </c>
      <c r="B160" s="46" t="s">
        <v>508</v>
      </c>
      <c r="C160" s="46" t="s">
        <v>47</v>
      </c>
      <c r="D160" s="46" t="s">
        <v>373</v>
      </c>
      <c r="E160" s="47" t="s">
        <v>42</v>
      </c>
      <c r="F160" s="52" t="s">
        <v>15</v>
      </c>
      <c r="G160" s="52"/>
      <c r="H160" s="47" t="s">
        <v>13</v>
      </c>
      <c r="I160" s="53">
        <v>537.5</v>
      </c>
      <c r="J160" s="53"/>
      <c r="K160" s="50" t="s">
        <v>8</v>
      </c>
      <c r="L160" s="51">
        <v>359457.9</v>
      </c>
    </row>
    <row r="161" spans="1:12" ht="51" x14ac:dyDescent="0.3">
      <c r="A161" s="45" t="s">
        <v>328</v>
      </c>
      <c r="B161" s="46" t="s">
        <v>508</v>
      </c>
      <c r="C161" s="46" t="s">
        <v>47</v>
      </c>
      <c r="D161" s="46" t="s">
        <v>383</v>
      </c>
      <c r="E161" s="47" t="s">
        <v>42</v>
      </c>
      <c r="F161" s="52" t="s">
        <v>15</v>
      </c>
      <c r="G161" s="52"/>
      <c r="H161" s="47" t="s">
        <v>13</v>
      </c>
      <c r="I161" s="53">
        <v>219.8</v>
      </c>
      <c r="J161" s="53"/>
      <c r="K161" s="50" t="s">
        <v>8</v>
      </c>
      <c r="L161" s="51">
        <v>359238.1</v>
      </c>
    </row>
    <row r="162" spans="1:12" ht="51" x14ac:dyDescent="0.3">
      <c r="A162" s="45" t="s">
        <v>328</v>
      </c>
      <c r="B162" s="46" t="s">
        <v>508</v>
      </c>
      <c r="C162" s="46" t="s">
        <v>47</v>
      </c>
      <c r="D162" s="46" t="s">
        <v>384</v>
      </c>
      <c r="E162" s="47" t="s">
        <v>42</v>
      </c>
      <c r="F162" s="52" t="s">
        <v>15</v>
      </c>
      <c r="G162" s="52"/>
      <c r="H162" s="47" t="s">
        <v>13</v>
      </c>
      <c r="I162" s="53">
        <v>414.5</v>
      </c>
      <c r="J162" s="53"/>
      <c r="K162" s="50" t="s">
        <v>8</v>
      </c>
      <c r="L162" s="51">
        <v>358823.6</v>
      </c>
    </row>
    <row r="163" spans="1:12" ht="61.2" x14ac:dyDescent="0.3">
      <c r="A163" s="45" t="s">
        <v>328</v>
      </c>
      <c r="B163" s="46" t="s">
        <v>512</v>
      </c>
      <c r="C163" s="46" t="s">
        <v>47</v>
      </c>
      <c r="D163" s="46" t="s">
        <v>486</v>
      </c>
      <c r="E163" s="47" t="s">
        <v>42</v>
      </c>
      <c r="F163" s="52" t="s">
        <v>15</v>
      </c>
      <c r="G163" s="52"/>
      <c r="H163" s="47" t="s">
        <v>13</v>
      </c>
      <c r="I163" s="55">
        <v>1425.1</v>
      </c>
      <c r="J163" s="55"/>
      <c r="K163" s="50" t="s">
        <v>8</v>
      </c>
      <c r="L163" s="51">
        <v>357398.5</v>
      </c>
    </row>
    <row r="164" spans="1:12" ht="61.2" x14ac:dyDescent="0.3">
      <c r="A164" s="45" t="s">
        <v>328</v>
      </c>
      <c r="B164" s="46" t="s">
        <v>512</v>
      </c>
      <c r="C164" s="46" t="s">
        <v>47</v>
      </c>
      <c r="D164" s="46" t="s">
        <v>375</v>
      </c>
      <c r="E164" s="47" t="s">
        <v>42</v>
      </c>
      <c r="F164" s="52" t="s">
        <v>15</v>
      </c>
      <c r="G164" s="52"/>
      <c r="H164" s="47" t="s">
        <v>13</v>
      </c>
      <c r="I164" s="53">
        <v>760</v>
      </c>
      <c r="J164" s="53"/>
      <c r="K164" s="50" t="s">
        <v>8</v>
      </c>
      <c r="L164" s="51">
        <v>356638.5</v>
      </c>
    </row>
    <row r="165" spans="1:12" ht="51" x14ac:dyDescent="0.3">
      <c r="A165" s="45" t="s">
        <v>328</v>
      </c>
      <c r="B165" s="46" t="s">
        <v>513</v>
      </c>
      <c r="C165" s="46" t="s">
        <v>47</v>
      </c>
      <c r="D165" s="46" t="s">
        <v>373</v>
      </c>
      <c r="E165" s="47" t="s">
        <v>42</v>
      </c>
      <c r="F165" s="52" t="s">
        <v>15</v>
      </c>
      <c r="G165" s="52"/>
      <c r="H165" s="47" t="s">
        <v>13</v>
      </c>
      <c r="I165" s="53">
        <v>161.25</v>
      </c>
      <c r="J165" s="53"/>
      <c r="K165" s="50" t="s">
        <v>8</v>
      </c>
      <c r="L165" s="51">
        <v>356477.25</v>
      </c>
    </row>
    <row r="166" spans="1:12" ht="51" x14ac:dyDescent="0.3">
      <c r="A166" s="45" t="s">
        <v>328</v>
      </c>
      <c r="B166" s="46" t="s">
        <v>514</v>
      </c>
      <c r="C166" s="46" t="s">
        <v>47</v>
      </c>
      <c r="D166" s="46" t="s">
        <v>515</v>
      </c>
      <c r="E166" s="47" t="s">
        <v>42</v>
      </c>
      <c r="F166" s="52" t="s">
        <v>15</v>
      </c>
      <c r="G166" s="52"/>
      <c r="H166" s="47" t="s">
        <v>13</v>
      </c>
      <c r="I166" s="53">
        <v>723</v>
      </c>
      <c r="J166" s="53"/>
      <c r="K166" s="50" t="s">
        <v>8</v>
      </c>
      <c r="L166" s="51">
        <v>355754.25</v>
      </c>
    </row>
    <row r="167" spans="1:12" ht="51" x14ac:dyDescent="0.3">
      <c r="A167" s="45" t="s">
        <v>328</v>
      </c>
      <c r="B167" s="46" t="s">
        <v>514</v>
      </c>
      <c r="C167" s="46" t="s">
        <v>47</v>
      </c>
      <c r="D167" s="46" t="s">
        <v>516</v>
      </c>
      <c r="E167" s="47" t="s">
        <v>42</v>
      </c>
      <c r="F167" s="52" t="s">
        <v>15</v>
      </c>
      <c r="G167" s="52"/>
      <c r="H167" s="47" t="s">
        <v>13</v>
      </c>
      <c r="I167" s="55">
        <v>8896</v>
      </c>
      <c r="J167" s="55"/>
      <c r="K167" s="50" t="s">
        <v>8</v>
      </c>
      <c r="L167" s="51">
        <v>346858.25</v>
      </c>
    </row>
    <row r="168" spans="1:12" ht="61.2" x14ac:dyDescent="0.3">
      <c r="A168" s="45" t="s">
        <v>328</v>
      </c>
      <c r="B168" s="46" t="s">
        <v>514</v>
      </c>
      <c r="C168" s="46" t="s">
        <v>47</v>
      </c>
      <c r="D168" s="46" t="s">
        <v>441</v>
      </c>
      <c r="E168" s="47" t="s">
        <v>42</v>
      </c>
      <c r="F168" s="52" t="s">
        <v>15</v>
      </c>
      <c r="G168" s="52"/>
      <c r="H168" s="47" t="s">
        <v>13</v>
      </c>
      <c r="I168" s="55">
        <v>1562.4</v>
      </c>
      <c r="J168" s="55"/>
      <c r="K168" s="50" t="s">
        <v>8</v>
      </c>
      <c r="L168" s="51">
        <v>345295.85</v>
      </c>
    </row>
    <row r="169" spans="1:12" ht="51" x14ac:dyDescent="0.3">
      <c r="A169" s="45" t="s">
        <v>328</v>
      </c>
      <c r="B169" s="46" t="s">
        <v>514</v>
      </c>
      <c r="C169" s="46" t="s">
        <v>47</v>
      </c>
      <c r="D169" s="46" t="s">
        <v>392</v>
      </c>
      <c r="E169" s="47" t="s">
        <v>42</v>
      </c>
      <c r="F169" s="52" t="s">
        <v>15</v>
      </c>
      <c r="G169" s="52"/>
      <c r="H169" s="47" t="s">
        <v>13</v>
      </c>
      <c r="I169" s="55">
        <v>2652.5</v>
      </c>
      <c r="J169" s="55"/>
      <c r="K169" s="50" t="s">
        <v>8</v>
      </c>
      <c r="L169" s="51">
        <v>342643.35</v>
      </c>
    </row>
    <row r="170" spans="1:12" ht="51" x14ac:dyDescent="0.3">
      <c r="A170" s="45" t="s">
        <v>328</v>
      </c>
      <c r="B170" s="46" t="s">
        <v>514</v>
      </c>
      <c r="C170" s="46" t="s">
        <v>47</v>
      </c>
      <c r="D170" s="46" t="s">
        <v>517</v>
      </c>
      <c r="E170" s="47" t="s">
        <v>42</v>
      </c>
      <c r="F170" s="52" t="s">
        <v>15</v>
      </c>
      <c r="G170" s="52"/>
      <c r="H170" s="47" t="s">
        <v>13</v>
      </c>
      <c r="I170" s="55">
        <v>2064.17</v>
      </c>
      <c r="J170" s="55"/>
      <c r="K170" s="50" t="s">
        <v>8</v>
      </c>
      <c r="L170" s="51">
        <v>340579.18</v>
      </c>
    </row>
    <row r="171" spans="1:12" ht="51" x14ac:dyDescent="0.3">
      <c r="A171" s="45" t="s">
        <v>328</v>
      </c>
      <c r="B171" s="46" t="s">
        <v>518</v>
      </c>
      <c r="C171" s="46" t="s">
        <v>47</v>
      </c>
      <c r="D171" s="46" t="s">
        <v>438</v>
      </c>
      <c r="E171" s="47" t="s">
        <v>42</v>
      </c>
      <c r="F171" s="52" t="s">
        <v>15</v>
      </c>
      <c r="G171" s="52"/>
      <c r="H171" s="47" t="s">
        <v>13</v>
      </c>
      <c r="I171" s="55">
        <v>2516.8000000000002</v>
      </c>
      <c r="J171" s="55"/>
      <c r="K171" s="50" t="s">
        <v>8</v>
      </c>
      <c r="L171" s="51">
        <v>338062.38</v>
      </c>
    </row>
    <row r="172" spans="1:12" ht="51" x14ac:dyDescent="0.3">
      <c r="A172" s="45" t="s">
        <v>328</v>
      </c>
      <c r="B172" s="46" t="s">
        <v>518</v>
      </c>
      <c r="C172" s="46" t="s">
        <v>47</v>
      </c>
      <c r="D172" s="46" t="s">
        <v>519</v>
      </c>
      <c r="E172" s="47" t="s">
        <v>42</v>
      </c>
      <c r="F172" s="52" t="s">
        <v>15</v>
      </c>
      <c r="G172" s="52"/>
      <c r="H172" s="47" t="s">
        <v>13</v>
      </c>
      <c r="I172" s="55">
        <v>10296</v>
      </c>
      <c r="J172" s="55"/>
      <c r="K172" s="50" t="s">
        <v>8</v>
      </c>
      <c r="L172" s="51">
        <v>327766.38</v>
      </c>
    </row>
    <row r="173" spans="1:12" ht="51" x14ac:dyDescent="0.3">
      <c r="A173" s="45" t="s">
        <v>328</v>
      </c>
      <c r="B173" s="46" t="s">
        <v>518</v>
      </c>
      <c r="C173" s="46" t="s">
        <v>47</v>
      </c>
      <c r="D173" s="46" t="s">
        <v>520</v>
      </c>
      <c r="E173" s="47" t="s">
        <v>42</v>
      </c>
      <c r="F173" s="52" t="s">
        <v>15</v>
      </c>
      <c r="G173" s="52"/>
      <c r="H173" s="47" t="s">
        <v>13</v>
      </c>
      <c r="I173" s="55">
        <v>5417</v>
      </c>
      <c r="J173" s="55"/>
      <c r="K173" s="50" t="s">
        <v>8</v>
      </c>
      <c r="L173" s="51">
        <v>322349.38</v>
      </c>
    </row>
    <row r="174" spans="1:12" ht="61.2" x14ac:dyDescent="0.3">
      <c r="A174" s="45" t="s">
        <v>328</v>
      </c>
      <c r="B174" s="46" t="s">
        <v>518</v>
      </c>
      <c r="C174" s="46" t="s">
        <v>47</v>
      </c>
      <c r="D174" s="46" t="s">
        <v>521</v>
      </c>
      <c r="E174" s="47" t="s">
        <v>42</v>
      </c>
      <c r="F174" s="52" t="s">
        <v>15</v>
      </c>
      <c r="G174" s="52"/>
      <c r="H174" s="47" t="s">
        <v>13</v>
      </c>
      <c r="I174" s="55">
        <v>2008.8</v>
      </c>
      <c r="J174" s="55"/>
      <c r="K174" s="50" t="s">
        <v>8</v>
      </c>
      <c r="L174" s="51">
        <v>320340.58</v>
      </c>
    </row>
    <row r="175" spans="1:12" ht="51" x14ac:dyDescent="0.3">
      <c r="A175" s="45" t="s">
        <v>328</v>
      </c>
      <c r="B175" s="46" t="s">
        <v>518</v>
      </c>
      <c r="C175" s="46" t="s">
        <v>47</v>
      </c>
      <c r="D175" s="46" t="s">
        <v>393</v>
      </c>
      <c r="E175" s="47" t="s">
        <v>42</v>
      </c>
      <c r="F175" s="52" t="s">
        <v>15</v>
      </c>
      <c r="G175" s="52"/>
      <c r="H175" s="47" t="s">
        <v>13</v>
      </c>
      <c r="I175" s="53">
        <v>348.6</v>
      </c>
      <c r="J175" s="53"/>
      <c r="K175" s="50" t="s">
        <v>8</v>
      </c>
      <c r="L175" s="51">
        <v>319991.98</v>
      </c>
    </row>
    <row r="176" spans="1:12" ht="51" x14ac:dyDescent="0.3">
      <c r="A176" s="45" t="s">
        <v>328</v>
      </c>
      <c r="B176" s="46" t="s">
        <v>518</v>
      </c>
      <c r="C176" s="46" t="s">
        <v>47</v>
      </c>
      <c r="D176" s="46" t="s">
        <v>437</v>
      </c>
      <c r="E176" s="47" t="s">
        <v>42</v>
      </c>
      <c r="F176" s="52" t="s">
        <v>15</v>
      </c>
      <c r="G176" s="52"/>
      <c r="H176" s="47" t="s">
        <v>13</v>
      </c>
      <c r="I176" s="55">
        <v>2070</v>
      </c>
      <c r="J176" s="55"/>
      <c r="K176" s="50" t="s">
        <v>8</v>
      </c>
      <c r="L176" s="51">
        <v>317921.98</v>
      </c>
    </row>
    <row r="177" spans="1:12" ht="51" x14ac:dyDescent="0.3">
      <c r="A177" s="45" t="s">
        <v>328</v>
      </c>
      <c r="B177" s="46" t="s">
        <v>518</v>
      </c>
      <c r="C177" s="46" t="s">
        <v>47</v>
      </c>
      <c r="D177" s="46" t="s">
        <v>522</v>
      </c>
      <c r="E177" s="47" t="s">
        <v>42</v>
      </c>
      <c r="F177" s="52" t="s">
        <v>15</v>
      </c>
      <c r="G177" s="52"/>
      <c r="H177" s="47" t="s">
        <v>13</v>
      </c>
      <c r="I177" s="53">
        <v>838</v>
      </c>
      <c r="J177" s="53"/>
      <c r="K177" s="50" t="s">
        <v>8</v>
      </c>
      <c r="L177" s="51">
        <v>317083.98</v>
      </c>
    </row>
    <row r="178" spans="1:12" ht="51" x14ac:dyDescent="0.3">
      <c r="A178" s="45" t="s">
        <v>328</v>
      </c>
      <c r="B178" s="46" t="s">
        <v>518</v>
      </c>
      <c r="C178" s="46" t="s">
        <v>47</v>
      </c>
      <c r="D178" s="46" t="s">
        <v>523</v>
      </c>
      <c r="E178" s="47" t="s">
        <v>42</v>
      </c>
      <c r="F178" s="52" t="s">
        <v>15</v>
      </c>
      <c r="G178" s="52"/>
      <c r="H178" s="47" t="s">
        <v>13</v>
      </c>
      <c r="I178" s="53">
        <v>582.29999999999995</v>
      </c>
      <c r="J178" s="53"/>
      <c r="K178" s="50" t="s">
        <v>8</v>
      </c>
      <c r="L178" s="51">
        <v>316501.68</v>
      </c>
    </row>
    <row r="179" spans="1:12" ht="51" x14ac:dyDescent="0.3">
      <c r="A179" s="45" t="s">
        <v>328</v>
      </c>
      <c r="B179" s="46" t="s">
        <v>518</v>
      </c>
      <c r="C179" s="46" t="s">
        <v>47</v>
      </c>
      <c r="D179" s="46" t="s">
        <v>524</v>
      </c>
      <c r="E179" s="47" t="s">
        <v>42</v>
      </c>
      <c r="F179" s="52" t="s">
        <v>15</v>
      </c>
      <c r="G179" s="52"/>
      <c r="H179" s="47" t="s">
        <v>13</v>
      </c>
      <c r="I179" s="53">
        <v>694</v>
      </c>
      <c r="J179" s="53"/>
      <c r="K179" s="50" t="s">
        <v>8</v>
      </c>
      <c r="L179" s="51">
        <v>315807.68</v>
      </c>
    </row>
    <row r="180" spans="1:12" ht="51" x14ac:dyDescent="0.3">
      <c r="A180" s="45" t="s">
        <v>328</v>
      </c>
      <c r="B180" s="46" t="s">
        <v>518</v>
      </c>
      <c r="C180" s="46" t="s">
        <v>47</v>
      </c>
      <c r="D180" s="46" t="s">
        <v>525</v>
      </c>
      <c r="E180" s="47" t="s">
        <v>42</v>
      </c>
      <c r="F180" s="52" t="s">
        <v>15</v>
      </c>
      <c r="G180" s="52"/>
      <c r="H180" s="47" t="s">
        <v>13</v>
      </c>
      <c r="I180" s="53">
        <v>634.20000000000005</v>
      </c>
      <c r="J180" s="53"/>
      <c r="K180" s="50" t="s">
        <v>8</v>
      </c>
      <c r="L180" s="51">
        <v>315173.48</v>
      </c>
    </row>
    <row r="181" spans="1:12" ht="61.2" x14ac:dyDescent="0.3">
      <c r="A181" s="45" t="s">
        <v>328</v>
      </c>
      <c r="B181" s="46" t="s">
        <v>518</v>
      </c>
      <c r="C181" s="46" t="s">
        <v>47</v>
      </c>
      <c r="D181" s="46" t="s">
        <v>526</v>
      </c>
      <c r="E181" s="47" t="s">
        <v>42</v>
      </c>
      <c r="F181" s="52" t="s">
        <v>15</v>
      </c>
      <c r="G181" s="52"/>
      <c r="H181" s="47" t="s">
        <v>13</v>
      </c>
      <c r="I181" s="55">
        <v>3456.21</v>
      </c>
      <c r="J181" s="55"/>
      <c r="K181" s="50" t="s">
        <v>8</v>
      </c>
      <c r="L181" s="51">
        <v>311717.27</v>
      </c>
    </row>
    <row r="182" spans="1:12" ht="51" x14ac:dyDescent="0.3">
      <c r="A182" s="45" t="s">
        <v>328</v>
      </c>
      <c r="B182" s="46" t="s">
        <v>518</v>
      </c>
      <c r="C182" s="46" t="s">
        <v>47</v>
      </c>
      <c r="D182" s="46" t="s">
        <v>527</v>
      </c>
      <c r="E182" s="47" t="s">
        <v>42</v>
      </c>
      <c r="F182" s="52" t="s">
        <v>15</v>
      </c>
      <c r="G182" s="52"/>
      <c r="H182" s="47" t="s">
        <v>13</v>
      </c>
      <c r="I182" s="53">
        <v>124.6</v>
      </c>
      <c r="J182" s="53"/>
      <c r="K182" s="50" t="s">
        <v>8</v>
      </c>
      <c r="L182" s="51">
        <v>311592.67</v>
      </c>
    </row>
    <row r="183" spans="1:12" ht="51" x14ac:dyDescent="0.3">
      <c r="A183" s="45" t="s">
        <v>328</v>
      </c>
      <c r="B183" s="46" t="s">
        <v>518</v>
      </c>
      <c r="C183" s="46" t="s">
        <v>47</v>
      </c>
      <c r="D183" s="46" t="s">
        <v>528</v>
      </c>
      <c r="E183" s="47" t="s">
        <v>42</v>
      </c>
      <c r="F183" s="52" t="s">
        <v>15</v>
      </c>
      <c r="G183" s="52"/>
      <c r="H183" s="47" t="s">
        <v>13</v>
      </c>
      <c r="I183" s="53">
        <v>330.05</v>
      </c>
      <c r="J183" s="53"/>
      <c r="K183" s="50" t="s">
        <v>8</v>
      </c>
      <c r="L183" s="51">
        <v>311262.62</v>
      </c>
    </row>
    <row r="184" spans="1:12" ht="51" x14ac:dyDescent="0.3">
      <c r="A184" s="45" t="s">
        <v>328</v>
      </c>
      <c r="B184" s="46" t="s">
        <v>518</v>
      </c>
      <c r="C184" s="46" t="s">
        <v>47</v>
      </c>
      <c r="D184" s="46" t="s">
        <v>529</v>
      </c>
      <c r="E184" s="47" t="s">
        <v>42</v>
      </c>
      <c r="F184" s="52" t="s">
        <v>15</v>
      </c>
      <c r="G184" s="52"/>
      <c r="H184" s="47" t="s">
        <v>13</v>
      </c>
      <c r="I184" s="53">
        <v>390.05</v>
      </c>
      <c r="J184" s="53"/>
      <c r="K184" s="50" t="s">
        <v>8</v>
      </c>
      <c r="L184" s="51">
        <v>310872.57</v>
      </c>
    </row>
    <row r="185" spans="1:12" ht="51" x14ac:dyDescent="0.3">
      <c r="A185" s="45" t="s">
        <v>328</v>
      </c>
      <c r="B185" s="46" t="s">
        <v>518</v>
      </c>
      <c r="C185" s="46" t="s">
        <v>47</v>
      </c>
      <c r="D185" s="46" t="s">
        <v>530</v>
      </c>
      <c r="E185" s="47" t="s">
        <v>42</v>
      </c>
      <c r="F185" s="52" t="s">
        <v>15</v>
      </c>
      <c r="G185" s="52"/>
      <c r="H185" s="47" t="s">
        <v>13</v>
      </c>
      <c r="I185" s="53">
        <v>543.79999999999995</v>
      </c>
      <c r="J185" s="53"/>
      <c r="K185" s="50" t="s">
        <v>8</v>
      </c>
      <c r="L185" s="51">
        <v>310328.77</v>
      </c>
    </row>
    <row r="186" spans="1:12" ht="51" x14ac:dyDescent="0.3">
      <c r="A186" s="45" t="s">
        <v>328</v>
      </c>
      <c r="B186" s="46" t="s">
        <v>518</v>
      </c>
      <c r="C186" s="46" t="s">
        <v>47</v>
      </c>
      <c r="D186" s="46" t="s">
        <v>531</v>
      </c>
      <c r="E186" s="47" t="s">
        <v>42</v>
      </c>
      <c r="F186" s="52" t="s">
        <v>15</v>
      </c>
      <c r="G186" s="52"/>
      <c r="H186" s="47" t="s">
        <v>13</v>
      </c>
      <c r="I186" s="53">
        <v>600</v>
      </c>
      <c r="J186" s="53"/>
      <c r="K186" s="50" t="s">
        <v>8</v>
      </c>
      <c r="L186" s="51">
        <v>309728.77</v>
      </c>
    </row>
    <row r="187" spans="1:12" ht="51" x14ac:dyDescent="0.3">
      <c r="A187" s="45" t="s">
        <v>328</v>
      </c>
      <c r="B187" s="46" t="s">
        <v>518</v>
      </c>
      <c r="C187" s="46" t="s">
        <v>47</v>
      </c>
      <c r="D187" s="46" t="s">
        <v>390</v>
      </c>
      <c r="E187" s="47" t="s">
        <v>42</v>
      </c>
      <c r="F187" s="52" t="s">
        <v>15</v>
      </c>
      <c r="G187" s="52"/>
      <c r="H187" s="47" t="s">
        <v>13</v>
      </c>
      <c r="I187" s="55">
        <v>6478.3</v>
      </c>
      <c r="J187" s="55"/>
      <c r="K187" s="50" t="s">
        <v>8</v>
      </c>
      <c r="L187" s="51">
        <v>303250.46999999997</v>
      </c>
    </row>
    <row r="188" spans="1:12" ht="61.2" x14ac:dyDescent="0.3">
      <c r="A188" s="45" t="s">
        <v>328</v>
      </c>
      <c r="B188" s="46" t="s">
        <v>518</v>
      </c>
      <c r="C188" s="46" t="s">
        <v>47</v>
      </c>
      <c r="D188" s="46" t="s">
        <v>375</v>
      </c>
      <c r="E188" s="47" t="s">
        <v>42</v>
      </c>
      <c r="F188" s="52" t="s">
        <v>15</v>
      </c>
      <c r="G188" s="52"/>
      <c r="H188" s="47" t="s">
        <v>13</v>
      </c>
      <c r="I188" s="55">
        <v>2185</v>
      </c>
      <c r="J188" s="55"/>
      <c r="K188" s="50" t="s">
        <v>8</v>
      </c>
      <c r="L188" s="51">
        <v>301065.46999999997</v>
      </c>
    </row>
    <row r="189" spans="1:12" ht="51" x14ac:dyDescent="0.3">
      <c r="A189" s="45" t="s">
        <v>328</v>
      </c>
      <c r="B189" s="46" t="s">
        <v>518</v>
      </c>
      <c r="C189" s="46" t="s">
        <v>47</v>
      </c>
      <c r="D189" s="46" t="s">
        <v>376</v>
      </c>
      <c r="E189" s="47" t="s">
        <v>42</v>
      </c>
      <c r="F189" s="52" t="s">
        <v>15</v>
      </c>
      <c r="G189" s="52"/>
      <c r="H189" s="47" t="s">
        <v>13</v>
      </c>
      <c r="I189" s="55">
        <v>1981.5</v>
      </c>
      <c r="J189" s="55"/>
      <c r="K189" s="50" t="s">
        <v>8</v>
      </c>
      <c r="L189" s="51">
        <v>299083.96999999997</v>
      </c>
    </row>
    <row r="190" spans="1:12" ht="51" x14ac:dyDescent="0.3">
      <c r="A190" s="45" t="s">
        <v>328</v>
      </c>
      <c r="B190" s="46" t="s">
        <v>518</v>
      </c>
      <c r="C190" s="46" t="s">
        <v>47</v>
      </c>
      <c r="D190" s="46" t="s">
        <v>487</v>
      </c>
      <c r="E190" s="47" t="s">
        <v>42</v>
      </c>
      <c r="F190" s="52" t="s">
        <v>15</v>
      </c>
      <c r="G190" s="52"/>
      <c r="H190" s="47" t="s">
        <v>13</v>
      </c>
      <c r="I190" s="55">
        <v>3307.2</v>
      </c>
      <c r="J190" s="55"/>
      <c r="K190" s="50" t="s">
        <v>8</v>
      </c>
      <c r="L190" s="51">
        <v>295776.77</v>
      </c>
    </row>
    <row r="191" spans="1:12" ht="61.2" x14ac:dyDescent="0.3">
      <c r="A191" s="45" t="s">
        <v>328</v>
      </c>
      <c r="B191" s="46" t="s">
        <v>518</v>
      </c>
      <c r="C191" s="46" t="s">
        <v>47</v>
      </c>
      <c r="D191" s="46" t="s">
        <v>532</v>
      </c>
      <c r="E191" s="47" t="s">
        <v>42</v>
      </c>
      <c r="F191" s="52" t="s">
        <v>15</v>
      </c>
      <c r="G191" s="52"/>
      <c r="H191" s="47" t="s">
        <v>13</v>
      </c>
      <c r="I191" s="53">
        <v>524.70000000000005</v>
      </c>
      <c r="J191" s="53"/>
      <c r="K191" s="50" t="s">
        <v>8</v>
      </c>
      <c r="L191" s="51">
        <v>295252.07</v>
      </c>
    </row>
    <row r="192" spans="1:12" ht="51" x14ac:dyDescent="0.3">
      <c r="A192" s="45" t="s">
        <v>328</v>
      </c>
      <c r="B192" s="46" t="s">
        <v>518</v>
      </c>
      <c r="C192" s="46" t="s">
        <v>47</v>
      </c>
      <c r="D192" s="46" t="s">
        <v>533</v>
      </c>
      <c r="E192" s="47" t="s">
        <v>42</v>
      </c>
      <c r="F192" s="52" t="s">
        <v>15</v>
      </c>
      <c r="G192" s="52"/>
      <c r="H192" s="47" t="s">
        <v>13</v>
      </c>
      <c r="I192" s="53">
        <v>405</v>
      </c>
      <c r="J192" s="53"/>
      <c r="K192" s="50" t="s">
        <v>8</v>
      </c>
      <c r="L192" s="51">
        <v>294847.07</v>
      </c>
    </row>
    <row r="193" spans="1:12" hidden="1" x14ac:dyDescent="0.3">
      <c r="A193" s="56" t="s">
        <v>353</v>
      </c>
      <c r="B193" s="56"/>
      <c r="C193" s="56"/>
      <c r="D193" s="56"/>
      <c r="E193" s="57">
        <v>103549.85</v>
      </c>
      <c r="F193" s="57"/>
      <c r="G193" s="57"/>
      <c r="H193" s="57">
        <v>184460.32</v>
      </c>
      <c r="I193" s="57"/>
      <c r="J193" s="57"/>
      <c r="K193" s="58" t="s">
        <v>8</v>
      </c>
      <c r="L193" s="59">
        <v>294847.07</v>
      </c>
    </row>
    <row r="195" spans="1:12" x14ac:dyDescent="0.3">
      <c r="J195" s="31">
        <f>SUBTOTAL(9,I11:J192)</f>
        <v>184460.31999999995</v>
      </c>
    </row>
    <row r="197" spans="1:12" x14ac:dyDescent="0.3">
      <c r="J197" s="31">
        <f>J195*1.2</f>
        <v>221352.38399999993</v>
      </c>
    </row>
  </sheetData>
  <autoFilter ref="B1:D193" xr:uid="{0CF42D0E-1D99-49B1-A805-5EAF2F6C9CF9}">
    <filterColumn colId="0">
      <filters>
        <filter val="Передача малоцінних активів в експлуатацію ІБ00-000610 від 05.12.2025 00:00:00_x000a_Списание стоимости малоценных активов"/>
        <filter val="Передача малоцінних активів в експлуатацію ІБ00-000652 від 20.12.2025 18:18:52_x000a_Списание стоимости малоценных активов"/>
        <filter val="Передача малоцінних активів в експлуатацію ІБ00-000653 від 20.12.2025 18:18:57_x000a_Списание стоимости малоценных активов"/>
        <filter val="Передача малоцінних активів в експлуатацію ІБ00-000668 від 22.12.2025 17:34:36_x000a_Списание стоимости малоценных активов"/>
        <filter val="Передача малоцінних активів в експлуатацію ІБ00-000669 від 22.12.2025 17:34:39_x000a_Списание стоимости малоценных активов"/>
        <filter val="Передача малоцінних активів в експлуатацію ІБ00-000670 від 22.12.2025 17:34:42_x000a_Списание стоимости малоценных активов"/>
        <filter val="Передача малоцінних активів в експлуатацію ІБ00-000671 від 22.12.2025 17:34:46_x000a_Списание стоимости малоценных активов"/>
        <filter val="Передача малоцінних активів в експлуатацію ІБ00-000674 від 22.12.2025 22:34:52_x000a_Списание стоимости малоценных активов"/>
        <filter val="Передача малоцінних активів в експлуатацію ІБ00-000680 від 29.12.2025 18:37:55_x000a_Списание стоимости малоценных активов"/>
        <filter val="Передача малоцінних активів в експлуатацію ІБ00-000681 від 29.12.2025 18:37:57_x000a_Списание стоимости малоценных активов"/>
        <filter val="Передача малоцінних активів в експлуатацію ІБ00-000682 від 29.12.2025 18:37:59_x000a_Списание стоимости малоценных активов"/>
        <filter val="Передача малоцінних активів в експлуатацію ІБ00-000683 від 29.12.2025 18:38:02_x000a_Списание стоимости малоценных активов"/>
        <filter val="Передача малоцінних активів в експлуатацію ІБ00-000684 від 29.12.2025 18:39:00_x000a_Списание стоимости малоценных активов"/>
        <filter val="Передача малоцінних активів в експлуатацію ІБ00-000685 від 29.12.2025 18:39:03_x000a_Списание стоимости малоценных активов"/>
        <filter val="Передача малоцінних активів в експлуатацію ІБ00-000686 від 29.12.2025 18:39:07_x000a_Списание стоимости малоценных активов"/>
        <filter val="Передача малоцінних активів в експлуатацію ІБ00-000687 від 29.12.2025 18:39:08_x000a_Списание стоимости малоценных активов"/>
        <filter val="Передача малоцінних активів в експлуатацію ІБ00-000688 від 29.12.2025 22:38:07_x000a_Списание стоимости малоценных активов"/>
        <filter val="Передача малоцінних активів в експлуатацію ІБ00-000689 від 29.12.2025 22:38:09_x000a_Списание стоимости малоценных активов"/>
        <filter val="Передача малоцінних активів в експлуатацію ІБ00-000690 від 29.12.2025 22:38:12_x000a_Списание стоимости малоценных активов"/>
        <filter val="Передача малоцінних активів в експлуатацію ІБ00-000702 від 29.12.2025 22:38:18_x000a_Списание стоимости малоценных активов"/>
        <filter val="Передача малоцінних активів в експлуатацію ІБ00-000703 від 29.12.2025 22:38:20_x000a_Списание стоимости малоценных активов"/>
        <filter val="Передача малоцінних активів в експлуатацію ІБ00-000704 від 29.12.2025 22:40:01_x000a_Списание стоимости малоценных активов"/>
      </filters>
    </filterColumn>
  </autoFilter>
  <mergeCells count="392">
    <mergeCell ref="A193:D193"/>
    <mergeCell ref="E193:G193"/>
    <mergeCell ref="H193:J193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9B2B3-6F08-40B8-9F2A-C657469C6338}">
  <sheetPr filterMode="1"/>
  <dimension ref="A1:L416"/>
  <sheetViews>
    <sheetView topLeftCell="A406" workbookViewId="0">
      <selection activeCell="J416" sqref="J416"/>
    </sheetView>
  </sheetViews>
  <sheetFormatPr defaultRowHeight="14.4" x14ac:dyDescent="0.3"/>
  <cols>
    <col min="2" max="4" width="27" customWidth="1"/>
    <col min="10" max="10" width="11.33203125" bestFit="1" customWidth="1"/>
  </cols>
  <sheetData>
    <row r="1" spans="1:12" x14ac:dyDescent="0.3">
      <c r="A1" s="172" t="s">
        <v>0</v>
      </c>
      <c r="B1" s="173" t="s">
        <v>1</v>
      </c>
      <c r="C1" s="173" t="s">
        <v>2</v>
      </c>
      <c r="D1" s="174" t="s">
        <v>3</v>
      </c>
      <c r="E1" s="175" t="s">
        <v>4</v>
      </c>
      <c r="F1" s="175"/>
      <c r="G1" s="175"/>
      <c r="H1" s="176" t="s">
        <v>5</v>
      </c>
      <c r="I1" s="176"/>
      <c r="J1" s="176"/>
      <c r="K1" s="173" t="s">
        <v>6</v>
      </c>
      <c r="L1" s="173"/>
    </row>
    <row r="2" spans="1:12" hidden="1" x14ac:dyDescent="0.3">
      <c r="A2" s="177"/>
      <c r="B2" s="178"/>
      <c r="C2" s="178"/>
      <c r="D2" s="179"/>
      <c r="E2" s="180" t="s">
        <v>7</v>
      </c>
      <c r="F2" s="181"/>
      <c r="G2" s="181"/>
      <c r="H2" s="182" t="s">
        <v>7</v>
      </c>
      <c r="I2" s="183"/>
      <c r="J2" s="183"/>
      <c r="K2" s="177"/>
      <c r="L2" s="184"/>
    </row>
    <row r="3" spans="1:12" ht="51" hidden="1" x14ac:dyDescent="0.3">
      <c r="A3" s="185" t="s">
        <v>9</v>
      </c>
      <c r="B3" s="186" t="s">
        <v>1911</v>
      </c>
      <c r="C3" s="186" t="s">
        <v>1912</v>
      </c>
      <c r="D3" s="186" t="s">
        <v>1913</v>
      </c>
      <c r="E3" s="187" t="s">
        <v>283</v>
      </c>
      <c r="F3" s="188">
        <v>10067.4</v>
      </c>
      <c r="G3" s="188"/>
      <c r="H3" s="187" t="s">
        <v>14</v>
      </c>
      <c r="I3" s="189" t="s">
        <v>15</v>
      </c>
      <c r="J3" s="189"/>
      <c r="K3" s="190" t="s">
        <v>8</v>
      </c>
      <c r="L3" s="191">
        <v>12687930.25</v>
      </c>
    </row>
    <row r="4" spans="1:12" ht="51" hidden="1" x14ac:dyDescent="0.3">
      <c r="A4" s="185" t="s">
        <v>9</v>
      </c>
      <c r="B4" s="186" t="s">
        <v>1914</v>
      </c>
      <c r="C4" s="186" t="s">
        <v>1915</v>
      </c>
      <c r="D4" s="186" t="s">
        <v>1916</v>
      </c>
      <c r="E4" s="187" t="s">
        <v>283</v>
      </c>
      <c r="F4" s="188">
        <v>64057.5</v>
      </c>
      <c r="G4" s="188"/>
      <c r="H4" s="187" t="s">
        <v>14</v>
      </c>
      <c r="I4" s="189" t="s">
        <v>15</v>
      </c>
      <c r="J4" s="189"/>
      <c r="K4" s="190" t="s">
        <v>8</v>
      </c>
      <c r="L4" s="191">
        <v>12751987.75</v>
      </c>
    </row>
    <row r="5" spans="1:12" ht="51" hidden="1" x14ac:dyDescent="0.3">
      <c r="A5" s="185" t="s">
        <v>9</v>
      </c>
      <c r="B5" s="186" t="s">
        <v>1914</v>
      </c>
      <c r="C5" s="186" t="s">
        <v>1917</v>
      </c>
      <c r="D5" s="186" t="s">
        <v>1916</v>
      </c>
      <c r="E5" s="187" t="s">
        <v>283</v>
      </c>
      <c r="F5" s="188">
        <v>6385</v>
      </c>
      <c r="G5" s="188"/>
      <c r="H5" s="187" t="s">
        <v>14</v>
      </c>
      <c r="I5" s="189" t="s">
        <v>15</v>
      </c>
      <c r="J5" s="189"/>
      <c r="K5" s="190" t="s">
        <v>8</v>
      </c>
      <c r="L5" s="191">
        <v>12758372.75</v>
      </c>
    </row>
    <row r="6" spans="1:12" ht="51" hidden="1" x14ac:dyDescent="0.3">
      <c r="A6" s="185" t="s">
        <v>9</v>
      </c>
      <c r="B6" s="186" t="s">
        <v>1918</v>
      </c>
      <c r="C6" s="186" t="s">
        <v>1919</v>
      </c>
      <c r="D6" s="186" t="s">
        <v>1920</v>
      </c>
      <c r="E6" s="187" t="s">
        <v>283</v>
      </c>
      <c r="F6" s="188">
        <v>17511.09</v>
      </c>
      <c r="G6" s="188"/>
      <c r="H6" s="187" t="s">
        <v>14</v>
      </c>
      <c r="I6" s="189" t="s">
        <v>15</v>
      </c>
      <c r="J6" s="189"/>
      <c r="K6" s="190" t="s">
        <v>8</v>
      </c>
      <c r="L6" s="191">
        <v>12775883.84</v>
      </c>
    </row>
    <row r="7" spans="1:12" ht="51" hidden="1" x14ac:dyDescent="0.3">
      <c r="A7" s="185" t="s">
        <v>9</v>
      </c>
      <c r="B7" s="186" t="s">
        <v>1921</v>
      </c>
      <c r="C7" s="186" t="s">
        <v>1922</v>
      </c>
      <c r="D7" s="186" t="s">
        <v>1920</v>
      </c>
      <c r="E7" s="187" t="s">
        <v>283</v>
      </c>
      <c r="F7" s="188">
        <v>4384.4799999999996</v>
      </c>
      <c r="G7" s="188"/>
      <c r="H7" s="187" t="s">
        <v>14</v>
      </c>
      <c r="I7" s="189" t="s">
        <v>15</v>
      </c>
      <c r="J7" s="189"/>
      <c r="K7" s="190" t="s">
        <v>8</v>
      </c>
      <c r="L7" s="191">
        <v>12780268.32</v>
      </c>
    </row>
    <row r="8" spans="1:12" ht="51" hidden="1" x14ac:dyDescent="0.3">
      <c r="A8" s="185" t="s">
        <v>9</v>
      </c>
      <c r="B8" s="186" t="s">
        <v>1918</v>
      </c>
      <c r="C8" s="186" t="s">
        <v>1922</v>
      </c>
      <c r="D8" s="186" t="s">
        <v>1920</v>
      </c>
      <c r="E8" s="187" t="s">
        <v>283</v>
      </c>
      <c r="F8" s="192">
        <v>160.83000000000001</v>
      </c>
      <c r="G8" s="192"/>
      <c r="H8" s="187" t="s">
        <v>14</v>
      </c>
      <c r="I8" s="189" t="s">
        <v>15</v>
      </c>
      <c r="J8" s="189"/>
      <c r="K8" s="190" t="s">
        <v>8</v>
      </c>
      <c r="L8" s="191">
        <v>12780429.15</v>
      </c>
    </row>
    <row r="9" spans="1:12" ht="51" hidden="1" x14ac:dyDescent="0.3">
      <c r="A9" s="185" t="s">
        <v>9</v>
      </c>
      <c r="B9" s="186" t="s">
        <v>1923</v>
      </c>
      <c r="C9" s="186" t="s">
        <v>1924</v>
      </c>
      <c r="D9" s="186" t="s">
        <v>1925</v>
      </c>
      <c r="E9" s="187" t="s">
        <v>283</v>
      </c>
      <c r="F9" s="188">
        <v>25500</v>
      </c>
      <c r="G9" s="188"/>
      <c r="H9" s="187" t="s">
        <v>14</v>
      </c>
      <c r="I9" s="189" t="s">
        <v>15</v>
      </c>
      <c r="J9" s="189"/>
      <c r="K9" s="190" t="s">
        <v>8</v>
      </c>
      <c r="L9" s="191">
        <v>12805929.15</v>
      </c>
    </row>
    <row r="10" spans="1:12" ht="51" hidden="1" x14ac:dyDescent="0.3">
      <c r="A10" s="185" t="s">
        <v>9</v>
      </c>
      <c r="B10" s="186" t="s">
        <v>1926</v>
      </c>
      <c r="C10" s="186" t="s">
        <v>1915</v>
      </c>
      <c r="D10" s="186" t="s">
        <v>1916</v>
      </c>
      <c r="E10" s="187" t="s">
        <v>283</v>
      </c>
      <c r="F10" s="188">
        <v>9851.3799999999992</v>
      </c>
      <c r="G10" s="188"/>
      <c r="H10" s="187" t="s">
        <v>14</v>
      </c>
      <c r="I10" s="189" t="s">
        <v>15</v>
      </c>
      <c r="J10" s="189"/>
      <c r="K10" s="190" t="s">
        <v>8</v>
      </c>
      <c r="L10" s="191">
        <v>12815780.529999999</v>
      </c>
    </row>
    <row r="11" spans="1:12" ht="51" hidden="1" x14ac:dyDescent="0.3">
      <c r="A11" s="185" t="s">
        <v>9</v>
      </c>
      <c r="B11" s="186" t="s">
        <v>1926</v>
      </c>
      <c r="C11" s="186" t="s">
        <v>1917</v>
      </c>
      <c r="D11" s="186" t="s">
        <v>1916</v>
      </c>
      <c r="E11" s="187" t="s">
        <v>283</v>
      </c>
      <c r="F11" s="192">
        <v>981.95</v>
      </c>
      <c r="G11" s="192"/>
      <c r="H11" s="187" t="s">
        <v>14</v>
      </c>
      <c r="I11" s="189" t="s">
        <v>15</v>
      </c>
      <c r="J11" s="189"/>
      <c r="K11" s="190" t="s">
        <v>8</v>
      </c>
      <c r="L11" s="191">
        <v>12816762.48</v>
      </c>
    </row>
    <row r="12" spans="1:12" ht="51" hidden="1" x14ac:dyDescent="0.3">
      <c r="A12" s="185" t="s">
        <v>591</v>
      </c>
      <c r="B12" s="186" t="s">
        <v>1927</v>
      </c>
      <c r="C12" s="186" t="s">
        <v>1928</v>
      </c>
      <c r="D12" s="186" t="s">
        <v>1929</v>
      </c>
      <c r="E12" s="187" t="s">
        <v>283</v>
      </c>
      <c r="F12" s="188">
        <v>19947.5</v>
      </c>
      <c r="G12" s="188"/>
      <c r="H12" s="187" t="s">
        <v>14</v>
      </c>
      <c r="I12" s="189" t="s">
        <v>15</v>
      </c>
      <c r="J12" s="189"/>
      <c r="K12" s="190" t="s">
        <v>8</v>
      </c>
      <c r="L12" s="191">
        <v>12836709.98</v>
      </c>
    </row>
    <row r="13" spans="1:12" ht="51" hidden="1" x14ac:dyDescent="0.3">
      <c r="A13" s="185" t="s">
        <v>591</v>
      </c>
      <c r="B13" s="186" t="s">
        <v>1930</v>
      </c>
      <c r="C13" s="186" t="s">
        <v>1931</v>
      </c>
      <c r="D13" s="186" t="s">
        <v>1932</v>
      </c>
      <c r="E13" s="187" t="s">
        <v>283</v>
      </c>
      <c r="F13" s="188">
        <v>35325</v>
      </c>
      <c r="G13" s="188"/>
      <c r="H13" s="187" t="s">
        <v>14</v>
      </c>
      <c r="I13" s="189" t="s">
        <v>15</v>
      </c>
      <c r="J13" s="189"/>
      <c r="K13" s="190" t="s">
        <v>8</v>
      </c>
      <c r="L13" s="191">
        <v>12872034.98</v>
      </c>
    </row>
    <row r="14" spans="1:12" ht="51" hidden="1" x14ac:dyDescent="0.3">
      <c r="A14" s="185" t="s">
        <v>591</v>
      </c>
      <c r="B14" s="186" t="s">
        <v>1933</v>
      </c>
      <c r="C14" s="186" t="s">
        <v>1934</v>
      </c>
      <c r="D14" s="186" t="s">
        <v>1935</v>
      </c>
      <c r="E14" s="187" t="s">
        <v>283</v>
      </c>
      <c r="F14" s="188">
        <v>35325</v>
      </c>
      <c r="G14" s="188"/>
      <c r="H14" s="187" t="s">
        <v>14</v>
      </c>
      <c r="I14" s="189" t="s">
        <v>15</v>
      </c>
      <c r="J14" s="189"/>
      <c r="K14" s="190" t="s">
        <v>8</v>
      </c>
      <c r="L14" s="191">
        <v>12907359.98</v>
      </c>
    </row>
    <row r="15" spans="1:12" ht="51" hidden="1" x14ac:dyDescent="0.3">
      <c r="A15" s="185" t="s">
        <v>591</v>
      </c>
      <c r="B15" s="186" t="s">
        <v>1936</v>
      </c>
      <c r="C15" s="186" t="s">
        <v>1937</v>
      </c>
      <c r="D15" s="186" t="s">
        <v>1938</v>
      </c>
      <c r="E15" s="187" t="s">
        <v>283</v>
      </c>
      <c r="F15" s="188">
        <v>35325</v>
      </c>
      <c r="G15" s="188"/>
      <c r="H15" s="187" t="s">
        <v>14</v>
      </c>
      <c r="I15" s="189" t="s">
        <v>15</v>
      </c>
      <c r="J15" s="189"/>
      <c r="K15" s="190" t="s">
        <v>8</v>
      </c>
      <c r="L15" s="191">
        <v>12942684.98</v>
      </c>
    </row>
    <row r="16" spans="1:12" ht="51" hidden="1" x14ac:dyDescent="0.3">
      <c r="A16" s="185" t="s">
        <v>591</v>
      </c>
      <c r="B16" s="186" t="s">
        <v>1939</v>
      </c>
      <c r="C16" s="186" t="s">
        <v>1940</v>
      </c>
      <c r="D16" s="186" t="s">
        <v>1941</v>
      </c>
      <c r="E16" s="187" t="s">
        <v>283</v>
      </c>
      <c r="F16" s="188">
        <v>35325</v>
      </c>
      <c r="G16" s="188"/>
      <c r="H16" s="187" t="s">
        <v>14</v>
      </c>
      <c r="I16" s="189" t="s">
        <v>15</v>
      </c>
      <c r="J16" s="189"/>
      <c r="K16" s="190" t="s">
        <v>8</v>
      </c>
      <c r="L16" s="191">
        <v>12978009.98</v>
      </c>
    </row>
    <row r="17" spans="1:12" ht="51" hidden="1" x14ac:dyDescent="0.3">
      <c r="A17" s="185" t="s">
        <v>591</v>
      </c>
      <c r="B17" s="186" t="s">
        <v>1942</v>
      </c>
      <c r="C17" s="186" t="s">
        <v>1943</v>
      </c>
      <c r="D17" s="186" t="s">
        <v>1944</v>
      </c>
      <c r="E17" s="187" t="s">
        <v>283</v>
      </c>
      <c r="F17" s="188">
        <v>7420.01</v>
      </c>
      <c r="G17" s="188"/>
      <c r="H17" s="187" t="s">
        <v>14</v>
      </c>
      <c r="I17" s="189" t="s">
        <v>15</v>
      </c>
      <c r="J17" s="189"/>
      <c r="K17" s="190" t="s">
        <v>8</v>
      </c>
      <c r="L17" s="191">
        <v>12985429.99</v>
      </c>
    </row>
    <row r="18" spans="1:12" ht="51" hidden="1" x14ac:dyDescent="0.3">
      <c r="A18" s="185" t="s">
        <v>591</v>
      </c>
      <c r="B18" s="186" t="s">
        <v>1945</v>
      </c>
      <c r="C18" s="186" t="s">
        <v>1946</v>
      </c>
      <c r="D18" s="186" t="s">
        <v>1947</v>
      </c>
      <c r="E18" s="187" t="s">
        <v>283</v>
      </c>
      <c r="F18" s="188">
        <v>22335</v>
      </c>
      <c r="G18" s="188"/>
      <c r="H18" s="187" t="s">
        <v>14</v>
      </c>
      <c r="I18" s="189" t="s">
        <v>15</v>
      </c>
      <c r="J18" s="189"/>
      <c r="K18" s="190" t="s">
        <v>8</v>
      </c>
      <c r="L18" s="191">
        <v>13007764.99</v>
      </c>
    </row>
    <row r="19" spans="1:12" ht="61.2" hidden="1" x14ac:dyDescent="0.3">
      <c r="A19" s="185" t="s">
        <v>591</v>
      </c>
      <c r="B19" s="186" t="s">
        <v>1948</v>
      </c>
      <c r="C19" s="186" t="s">
        <v>1949</v>
      </c>
      <c r="D19" s="186" t="s">
        <v>1947</v>
      </c>
      <c r="E19" s="187" t="s">
        <v>283</v>
      </c>
      <c r="F19" s="188">
        <v>6349.14</v>
      </c>
      <c r="G19" s="188"/>
      <c r="H19" s="187" t="s">
        <v>14</v>
      </c>
      <c r="I19" s="189" t="s">
        <v>15</v>
      </c>
      <c r="J19" s="189"/>
      <c r="K19" s="190" t="s">
        <v>8</v>
      </c>
      <c r="L19" s="191">
        <v>13014114.130000001</v>
      </c>
    </row>
    <row r="20" spans="1:12" ht="61.2" hidden="1" x14ac:dyDescent="0.3">
      <c r="A20" s="185" t="s">
        <v>591</v>
      </c>
      <c r="B20" s="186" t="s">
        <v>1945</v>
      </c>
      <c r="C20" s="186" t="s">
        <v>1949</v>
      </c>
      <c r="D20" s="186" t="s">
        <v>1947</v>
      </c>
      <c r="E20" s="187" t="s">
        <v>283</v>
      </c>
      <c r="F20" s="188">
        <v>18369.36</v>
      </c>
      <c r="G20" s="188"/>
      <c r="H20" s="187" t="s">
        <v>14</v>
      </c>
      <c r="I20" s="189" t="s">
        <v>15</v>
      </c>
      <c r="J20" s="189"/>
      <c r="K20" s="190" t="s">
        <v>8</v>
      </c>
      <c r="L20" s="191">
        <v>13032483.49</v>
      </c>
    </row>
    <row r="21" spans="1:12" ht="51" hidden="1" x14ac:dyDescent="0.3">
      <c r="A21" s="185" t="s">
        <v>591</v>
      </c>
      <c r="B21" s="186" t="s">
        <v>1950</v>
      </c>
      <c r="C21" s="186" t="s">
        <v>1951</v>
      </c>
      <c r="D21" s="186" t="s">
        <v>1952</v>
      </c>
      <c r="E21" s="187" t="s">
        <v>283</v>
      </c>
      <c r="F21" s="188">
        <v>1945.6</v>
      </c>
      <c r="G21" s="188"/>
      <c r="H21" s="187" t="s">
        <v>14</v>
      </c>
      <c r="I21" s="189" t="s">
        <v>15</v>
      </c>
      <c r="J21" s="189"/>
      <c r="K21" s="190" t="s">
        <v>8</v>
      </c>
      <c r="L21" s="191">
        <v>13034429.09</v>
      </c>
    </row>
    <row r="22" spans="1:12" ht="51" hidden="1" x14ac:dyDescent="0.3">
      <c r="A22" s="185" t="s">
        <v>591</v>
      </c>
      <c r="B22" s="186" t="s">
        <v>1953</v>
      </c>
      <c r="C22" s="186" t="s">
        <v>1951</v>
      </c>
      <c r="D22" s="186" t="s">
        <v>1952</v>
      </c>
      <c r="E22" s="187" t="s">
        <v>283</v>
      </c>
      <c r="F22" s="188">
        <v>46694.400000000001</v>
      </c>
      <c r="G22" s="188"/>
      <c r="H22" s="187" t="s">
        <v>14</v>
      </c>
      <c r="I22" s="189" t="s">
        <v>15</v>
      </c>
      <c r="J22" s="189"/>
      <c r="K22" s="190" t="s">
        <v>8</v>
      </c>
      <c r="L22" s="191">
        <v>13081123.49</v>
      </c>
    </row>
    <row r="23" spans="1:12" ht="51" hidden="1" x14ac:dyDescent="0.3">
      <c r="A23" s="185" t="s">
        <v>591</v>
      </c>
      <c r="B23" s="186" t="s">
        <v>1954</v>
      </c>
      <c r="C23" s="186" t="s">
        <v>1955</v>
      </c>
      <c r="D23" s="186" t="s">
        <v>1956</v>
      </c>
      <c r="E23" s="187" t="s">
        <v>283</v>
      </c>
      <c r="F23" s="188">
        <v>1945.6</v>
      </c>
      <c r="G23" s="188"/>
      <c r="H23" s="187" t="s">
        <v>14</v>
      </c>
      <c r="I23" s="189" t="s">
        <v>15</v>
      </c>
      <c r="J23" s="189"/>
      <c r="K23" s="190" t="s">
        <v>8</v>
      </c>
      <c r="L23" s="191">
        <v>13083069.09</v>
      </c>
    </row>
    <row r="24" spans="1:12" ht="51" hidden="1" x14ac:dyDescent="0.3">
      <c r="A24" s="185" t="s">
        <v>591</v>
      </c>
      <c r="B24" s="186" t="s">
        <v>1957</v>
      </c>
      <c r="C24" s="186" t="s">
        <v>1955</v>
      </c>
      <c r="D24" s="186" t="s">
        <v>1956</v>
      </c>
      <c r="E24" s="187" t="s">
        <v>283</v>
      </c>
      <c r="F24" s="188">
        <v>46694.400000000001</v>
      </c>
      <c r="G24" s="188"/>
      <c r="H24" s="187" t="s">
        <v>14</v>
      </c>
      <c r="I24" s="189" t="s">
        <v>15</v>
      </c>
      <c r="J24" s="189"/>
      <c r="K24" s="190" t="s">
        <v>8</v>
      </c>
      <c r="L24" s="191">
        <v>13129763.49</v>
      </c>
    </row>
    <row r="25" spans="1:12" ht="51" hidden="1" x14ac:dyDescent="0.3">
      <c r="A25" s="185" t="s">
        <v>591</v>
      </c>
      <c r="B25" s="186" t="s">
        <v>1958</v>
      </c>
      <c r="C25" s="186" t="s">
        <v>1959</v>
      </c>
      <c r="D25" s="186" t="s">
        <v>1916</v>
      </c>
      <c r="E25" s="187" t="s">
        <v>283</v>
      </c>
      <c r="F25" s="188">
        <v>43968.2</v>
      </c>
      <c r="G25" s="188"/>
      <c r="H25" s="187" t="s">
        <v>14</v>
      </c>
      <c r="I25" s="189" t="s">
        <v>15</v>
      </c>
      <c r="J25" s="189"/>
      <c r="K25" s="190" t="s">
        <v>8</v>
      </c>
      <c r="L25" s="191">
        <v>13173731.689999999</v>
      </c>
    </row>
    <row r="26" spans="1:12" ht="51" hidden="1" x14ac:dyDescent="0.3">
      <c r="A26" s="185" t="s">
        <v>591</v>
      </c>
      <c r="B26" s="186" t="s">
        <v>1960</v>
      </c>
      <c r="C26" s="186" t="s">
        <v>1959</v>
      </c>
      <c r="D26" s="186" t="s">
        <v>1916</v>
      </c>
      <c r="E26" s="187" t="s">
        <v>283</v>
      </c>
      <c r="F26" s="188">
        <v>19871.8</v>
      </c>
      <c r="G26" s="188"/>
      <c r="H26" s="187" t="s">
        <v>14</v>
      </c>
      <c r="I26" s="189" t="s">
        <v>15</v>
      </c>
      <c r="J26" s="189"/>
      <c r="K26" s="190" t="s">
        <v>8</v>
      </c>
      <c r="L26" s="191">
        <v>13193603.49</v>
      </c>
    </row>
    <row r="27" spans="1:12" ht="51" hidden="1" x14ac:dyDescent="0.3">
      <c r="A27" s="185" t="s">
        <v>591</v>
      </c>
      <c r="B27" s="186" t="s">
        <v>1961</v>
      </c>
      <c r="C27" s="186" t="s">
        <v>1959</v>
      </c>
      <c r="D27" s="186" t="s">
        <v>1916</v>
      </c>
      <c r="E27" s="187" t="s">
        <v>283</v>
      </c>
      <c r="F27" s="188">
        <v>10833.33</v>
      </c>
      <c r="G27" s="188"/>
      <c r="H27" s="187" t="s">
        <v>14</v>
      </c>
      <c r="I27" s="189" t="s">
        <v>15</v>
      </c>
      <c r="J27" s="189"/>
      <c r="K27" s="190" t="s">
        <v>8</v>
      </c>
      <c r="L27" s="191">
        <v>13204436.82</v>
      </c>
    </row>
    <row r="28" spans="1:12" ht="51" x14ac:dyDescent="0.3">
      <c r="A28" s="185" t="s">
        <v>19</v>
      </c>
      <c r="B28" s="186" t="s">
        <v>1962</v>
      </c>
      <c r="C28" s="186" t="s">
        <v>611</v>
      </c>
      <c r="D28" s="186" t="s">
        <v>1963</v>
      </c>
      <c r="E28" s="187" t="s">
        <v>1964</v>
      </c>
      <c r="F28" s="193" t="s">
        <v>15</v>
      </c>
      <c r="G28" s="193"/>
      <c r="H28" s="187" t="s">
        <v>283</v>
      </c>
      <c r="I28" s="194">
        <v>81285</v>
      </c>
      <c r="J28" s="194"/>
      <c r="K28" s="190" t="s">
        <v>8</v>
      </c>
      <c r="L28" s="191">
        <v>13123151.82</v>
      </c>
    </row>
    <row r="29" spans="1:12" ht="51" x14ac:dyDescent="0.3">
      <c r="A29" s="185" t="s">
        <v>19</v>
      </c>
      <c r="B29" s="186" t="s">
        <v>1962</v>
      </c>
      <c r="C29" s="186" t="s">
        <v>611</v>
      </c>
      <c r="D29" s="186" t="s">
        <v>1965</v>
      </c>
      <c r="E29" s="187" t="s">
        <v>1964</v>
      </c>
      <c r="F29" s="193" t="s">
        <v>15</v>
      </c>
      <c r="G29" s="193"/>
      <c r="H29" s="187" t="s">
        <v>283</v>
      </c>
      <c r="I29" s="194">
        <v>81285</v>
      </c>
      <c r="J29" s="194"/>
      <c r="K29" s="190" t="s">
        <v>8</v>
      </c>
      <c r="L29" s="191">
        <v>13041866.82</v>
      </c>
    </row>
    <row r="30" spans="1:12" ht="51" x14ac:dyDescent="0.3">
      <c r="A30" s="185" t="s">
        <v>19</v>
      </c>
      <c r="B30" s="186" t="s">
        <v>1962</v>
      </c>
      <c r="C30" s="186" t="s">
        <v>611</v>
      </c>
      <c r="D30" s="186" t="s">
        <v>1966</v>
      </c>
      <c r="E30" s="187" t="s">
        <v>1964</v>
      </c>
      <c r="F30" s="193" t="s">
        <v>15</v>
      </c>
      <c r="G30" s="193"/>
      <c r="H30" s="187" t="s">
        <v>283</v>
      </c>
      <c r="I30" s="194">
        <v>56105</v>
      </c>
      <c r="J30" s="194"/>
      <c r="K30" s="190" t="s">
        <v>8</v>
      </c>
      <c r="L30" s="191">
        <v>12985761.82</v>
      </c>
    </row>
    <row r="31" spans="1:12" ht="51" hidden="1" x14ac:dyDescent="0.3">
      <c r="A31" s="185" t="s">
        <v>19</v>
      </c>
      <c r="B31" s="186" t="s">
        <v>1967</v>
      </c>
      <c r="C31" s="186" t="s">
        <v>1968</v>
      </c>
      <c r="D31" s="186" t="s">
        <v>1916</v>
      </c>
      <c r="E31" s="187" t="s">
        <v>283</v>
      </c>
      <c r="F31" s="188">
        <v>31920</v>
      </c>
      <c r="G31" s="188"/>
      <c r="H31" s="187" t="s">
        <v>14</v>
      </c>
      <c r="I31" s="189" t="s">
        <v>15</v>
      </c>
      <c r="J31" s="189"/>
      <c r="K31" s="190" t="s">
        <v>8</v>
      </c>
      <c r="L31" s="191">
        <v>13017681.82</v>
      </c>
    </row>
    <row r="32" spans="1:12" ht="51" hidden="1" x14ac:dyDescent="0.3">
      <c r="A32" s="185" t="s">
        <v>19</v>
      </c>
      <c r="B32" s="186" t="s">
        <v>1967</v>
      </c>
      <c r="C32" s="186" t="s">
        <v>1969</v>
      </c>
      <c r="D32" s="186" t="s">
        <v>1916</v>
      </c>
      <c r="E32" s="187" t="s">
        <v>283</v>
      </c>
      <c r="F32" s="188">
        <v>12770</v>
      </c>
      <c r="G32" s="188"/>
      <c r="H32" s="187" t="s">
        <v>14</v>
      </c>
      <c r="I32" s="189" t="s">
        <v>15</v>
      </c>
      <c r="J32" s="189"/>
      <c r="K32" s="190" t="s">
        <v>8</v>
      </c>
      <c r="L32" s="191">
        <v>13030451.82</v>
      </c>
    </row>
    <row r="33" spans="1:12" ht="51" hidden="1" x14ac:dyDescent="0.3">
      <c r="A33" s="185" t="s">
        <v>19</v>
      </c>
      <c r="B33" s="186" t="s">
        <v>1967</v>
      </c>
      <c r="C33" s="186" t="s">
        <v>1970</v>
      </c>
      <c r="D33" s="186" t="s">
        <v>1916</v>
      </c>
      <c r="E33" s="187" t="s">
        <v>283</v>
      </c>
      <c r="F33" s="188">
        <v>13155</v>
      </c>
      <c r="G33" s="188"/>
      <c r="H33" s="187" t="s">
        <v>14</v>
      </c>
      <c r="I33" s="189" t="s">
        <v>15</v>
      </c>
      <c r="J33" s="189"/>
      <c r="K33" s="190" t="s">
        <v>8</v>
      </c>
      <c r="L33" s="191">
        <v>13043606.82</v>
      </c>
    </row>
    <row r="34" spans="1:12" ht="51" hidden="1" x14ac:dyDescent="0.3">
      <c r="A34" s="185" t="s">
        <v>19</v>
      </c>
      <c r="B34" s="186" t="s">
        <v>1967</v>
      </c>
      <c r="C34" s="186" t="s">
        <v>1971</v>
      </c>
      <c r="D34" s="186" t="s">
        <v>1916</v>
      </c>
      <c r="E34" s="187" t="s">
        <v>283</v>
      </c>
      <c r="F34" s="188">
        <v>3207.5</v>
      </c>
      <c r="G34" s="188"/>
      <c r="H34" s="187" t="s">
        <v>14</v>
      </c>
      <c r="I34" s="189" t="s">
        <v>15</v>
      </c>
      <c r="J34" s="189"/>
      <c r="K34" s="190" t="s">
        <v>8</v>
      </c>
      <c r="L34" s="191">
        <v>13046814.32</v>
      </c>
    </row>
    <row r="35" spans="1:12" ht="51" hidden="1" x14ac:dyDescent="0.3">
      <c r="A35" s="185" t="s">
        <v>19</v>
      </c>
      <c r="B35" s="186" t="s">
        <v>1972</v>
      </c>
      <c r="C35" s="186" t="s">
        <v>1973</v>
      </c>
      <c r="D35" s="186" t="s">
        <v>1974</v>
      </c>
      <c r="E35" s="187" t="s">
        <v>283</v>
      </c>
      <c r="F35" s="188">
        <v>21352.5</v>
      </c>
      <c r="G35" s="188"/>
      <c r="H35" s="187" t="s">
        <v>14</v>
      </c>
      <c r="I35" s="189" t="s">
        <v>15</v>
      </c>
      <c r="J35" s="189"/>
      <c r="K35" s="190" t="s">
        <v>8</v>
      </c>
      <c r="L35" s="191">
        <v>13068166.82</v>
      </c>
    </row>
    <row r="36" spans="1:12" ht="51" hidden="1" x14ac:dyDescent="0.3">
      <c r="A36" s="185" t="s">
        <v>19</v>
      </c>
      <c r="B36" s="186" t="s">
        <v>1972</v>
      </c>
      <c r="C36" s="186" t="s">
        <v>1975</v>
      </c>
      <c r="D36" s="186" t="s">
        <v>1974</v>
      </c>
      <c r="E36" s="187" t="s">
        <v>283</v>
      </c>
      <c r="F36" s="188">
        <v>8897.5</v>
      </c>
      <c r="G36" s="188"/>
      <c r="H36" s="187" t="s">
        <v>14</v>
      </c>
      <c r="I36" s="189" t="s">
        <v>15</v>
      </c>
      <c r="J36" s="189"/>
      <c r="K36" s="190" t="s">
        <v>8</v>
      </c>
      <c r="L36" s="191">
        <v>13077064.32</v>
      </c>
    </row>
    <row r="37" spans="1:12" ht="51" hidden="1" x14ac:dyDescent="0.3">
      <c r="A37" s="185" t="s">
        <v>19</v>
      </c>
      <c r="B37" s="186" t="s">
        <v>1976</v>
      </c>
      <c r="C37" s="186" t="s">
        <v>1968</v>
      </c>
      <c r="D37" s="186" t="s">
        <v>1916</v>
      </c>
      <c r="E37" s="187" t="s">
        <v>283</v>
      </c>
      <c r="F37" s="188">
        <v>5663.97</v>
      </c>
      <c r="G37" s="188"/>
      <c r="H37" s="187" t="s">
        <v>14</v>
      </c>
      <c r="I37" s="189" t="s">
        <v>15</v>
      </c>
      <c r="J37" s="189"/>
      <c r="K37" s="190" t="s">
        <v>8</v>
      </c>
      <c r="L37" s="191">
        <v>13082728.289999999</v>
      </c>
    </row>
    <row r="38" spans="1:12" ht="51" hidden="1" x14ac:dyDescent="0.3">
      <c r="A38" s="185" t="s">
        <v>19</v>
      </c>
      <c r="B38" s="186" t="s">
        <v>1976</v>
      </c>
      <c r="C38" s="186" t="s">
        <v>1969</v>
      </c>
      <c r="D38" s="186" t="s">
        <v>1916</v>
      </c>
      <c r="E38" s="187" t="s">
        <v>283</v>
      </c>
      <c r="F38" s="188">
        <v>2265.9499999999998</v>
      </c>
      <c r="G38" s="188"/>
      <c r="H38" s="187" t="s">
        <v>14</v>
      </c>
      <c r="I38" s="189" t="s">
        <v>15</v>
      </c>
      <c r="J38" s="189"/>
      <c r="K38" s="190" t="s">
        <v>8</v>
      </c>
      <c r="L38" s="191">
        <v>13084994.24</v>
      </c>
    </row>
    <row r="39" spans="1:12" ht="51" hidden="1" x14ac:dyDescent="0.3">
      <c r="A39" s="185" t="s">
        <v>19</v>
      </c>
      <c r="B39" s="186" t="s">
        <v>1976</v>
      </c>
      <c r="C39" s="186" t="s">
        <v>1970</v>
      </c>
      <c r="D39" s="186" t="s">
        <v>1916</v>
      </c>
      <c r="E39" s="187" t="s">
        <v>283</v>
      </c>
      <c r="F39" s="188">
        <v>2334.2600000000002</v>
      </c>
      <c r="G39" s="188"/>
      <c r="H39" s="187" t="s">
        <v>14</v>
      </c>
      <c r="I39" s="189" t="s">
        <v>15</v>
      </c>
      <c r="J39" s="189"/>
      <c r="K39" s="190" t="s">
        <v>8</v>
      </c>
      <c r="L39" s="191">
        <v>13087328.5</v>
      </c>
    </row>
    <row r="40" spans="1:12" ht="51" hidden="1" x14ac:dyDescent="0.3">
      <c r="A40" s="185" t="s">
        <v>19</v>
      </c>
      <c r="B40" s="186" t="s">
        <v>1976</v>
      </c>
      <c r="C40" s="186" t="s">
        <v>1971</v>
      </c>
      <c r="D40" s="186" t="s">
        <v>1916</v>
      </c>
      <c r="E40" s="187" t="s">
        <v>283</v>
      </c>
      <c r="F40" s="192">
        <v>569.15</v>
      </c>
      <c r="G40" s="192"/>
      <c r="H40" s="187" t="s">
        <v>14</v>
      </c>
      <c r="I40" s="189" t="s">
        <v>15</v>
      </c>
      <c r="J40" s="189"/>
      <c r="K40" s="190" t="s">
        <v>8</v>
      </c>
      <c r="L40" s="191">
        <v>13087897.65</v>
      </c>
    </row>
    <row r="41" spans="1:12" ht="51" hidden="1" x14ac:dyDescent="0.3">
      <c r="A41" s="185" t="s">
        <v>19</v>
      </c>
      <c r="B41" s="186" t="s">
        <v>1977</v>
      </c>
      <c r="C41" s="186" t="s">
        <v>1973</v>
      </c>
      <c r="D41" s="186" t="s">
        <v>1974</v>
      </c>
      <c r="E41" s="187" t="s">
        <v>283</v>
      </c>
      <c r="F41" s="188">
        <v>7941.01</v>
      </c>
      <c r="G41" s="188"/>
      <c r="H41" s="187" t="s">
        <v>14</v>
      </c>
      <c r="I41" s="189" t="s">
        <v>15</v>
      </c>
      <c r="J41" s="189"/>
      <c r="K41" s="190" t="s">
        <v>8</v>
      </c>
      <c r="L41" s="191">
        <v>13095838.66</v>
      </c>
    </row>
    <row r="42" spans="1:12" ht="51" hidden="1" x14ac:dyDescent="0.3">
      <c r="A42" s="185" t="s">
        <v>19</v>
      </c>
      <c r="B42" s="186" t="s">
        <v>1977</v>
      </c>
      <c r="C42" s="186" t="s">
        <v>1975</v>
      </c>
      <c r="D42" s="186" t="s">
        <v>1974</v>
      </c>
      <c r="E42" s="187" t="s">
        <v>283</v>
      </c>
      <c r="F42" s="188">
        <v>3308.99</v>
      </c>
      <c r="G42" s="188"/>
      <c r="H42" s="187" t="s">
        <v>14</v>
      </c>
      <c r="I42" s="189" t="s">
        <v>15</v>
      </c>
      <c r="J42" s="189"/>
      <c r="K42" s="190" t="s">
        <v>8</v>
      </c>
      <c r="L42" s="191">
        <v>13099147.65</v>
      </c>
    </row>
    <row r="43" spans="1:12" ht="51" hidden="1" x14ac:dyDescent="0.3">
      <c r="A43" s="185" t="s">
        <v>25</v>
      </c>
      <c r="B43" s="186" t="s">
        <v>1978</v>
      </c>
      <c r="C43" s="186" t="s">
        <v>1979</v>
      </c>
      <c r="D43" s="186" t="s">
        <v>1980</v>
      </c>
      <c r="E43" s="187" t="s">
        <v>283</v>
      </c>
      <c r="F43" s="188">
        <v>5050</v>
      </c>
      <c r="G43" s="188"/>
      <c r="H43" s="187" t="s">
        <v>14</v>
      </c>
      <c r="I43" s="189" t="s">
        <v>15</v>
      </c>
      <c r="J43" s="189"/>
      <c r="K43" s="190" t="s">
        <v>8</v>
      </c>
      <c r="L43" s="191">
        <v>13104197.65</v>
      </c>
    </row>
    <row r="44" spans="1:12" ht="51" hidden="1" x14ac:dyDescent="0.3">
      <c r="A44" s="185" t="s">
        <v>25</v>
      </c>
      <c r="B44" s="186" t="s">
        <v>1981</v>
      </c>
      <c r="C44" s="186" t="s">
        <v>1982</v>
      </c>
      <c r="D44" s="186" t="s">
        <v>1974</v>
      </c>
      <c r="E44" s="187" t="s">
        <v>283</v>
      </c>
      <c r="F44" s="188">
        <v>1713.6</v>
      </c>
      <c r="G44" s="188"/>
      <c r="H44" s="187" t="s">
        <v>14</v>
      </c>
      <c r="I44" s="189" t="s">
        <v>15</v>
      </c>
      <c r="J44" s="189"/>
      <c r="K44" s="190" t="s">
        <v>8</v>
      </c>
      <c r="L44" s="191">
        <v>13105911.25</v>
      </c>
    </row>
    <row r="45" spans="1:12" ht="51" hidden="1" x14ac:dyDescent="0.3">
      <c r="A45" s="185" t="s">
        <v>25</v>
      </c>
      <c r="B45" s="186" t="s">
        <v>1983</v>
      </c>
      <c r="C45" s="186" t="s">
        <v>1982</v>
      </c>
      <c r="D45" s="186" t="s">
        <v>1974</v>
      </c>
      <c r="E45" s="187" t="s">
        <v>283</v>
      </c>
      <c r="F45" s="188">
        <v>62126.400000000001</v>
      </c>
      <c r="G45" s="188"/>
      <c r="H45" s="187" t="s">
        <v>14</v>
      </c>
      <c r="I45" s="189" t="s">
        <v>15</v>
      </c>
      <c r="J45" s="189"/>
      <c r="K45" s="190" t="s">
        <v>8</v>
      </c>
      <c r="L45" s="191">
        <v>13168037.65</v>
      </c>
    </row>
    <row r="46" spans="1:12" ht="51" hidden="1" x14ac:dyDescent="0.3">
      <c r="A46" s="185" t="s">
        <v>25</v>
      </c>
      <c r="B46" s="186" t="s">
        <v>1984</v>
      </c>
      <c r="C46" s="186" t="s">
        <v>1982</v>
      </c>
      <c r="D46" s="186" t="s">
        <v>1974</v>
      </c>
      <c r="E46" s="187" t="s">
        <v>283</v>
      </c>
      <c r="F46" s="188">
        <v>11250</v>
      </c>
      <c r="G46" s="188"/>
      <c r="H46" s="187" t="s">
        <v>14</v>
      </c>
      <c r="I46" s="189" t="s">
        <v>15</v>
      </c>
      <c r="J46" s="189"/>
      <c r="K46" s="190" t="s">
        <v>8</v>
      </c>
      <c r="L46" s="191">
        <v>13179287.65</v>
      </c>
    </row>
    <row r="47" spans="1:12" ht="61.2" hidden="1" x14ac:dyDescent="0.3">
      <c r="A47" s="185" t="s">
        <v>25</v>
      </c>
      <c r="B47" s="186" t="s">
        <v>354</v>
      </c>
      <c r="C47" s="186" t="s">
        <v>1985</v>
      </c>
      <c r="D47" s="186" t="s">
        <v>356</v>
      </c>
      <c r="E47" s="187" t="s">
        <v>283</v>
      </c>
      <c r="F47" s="188">
        <v>1760</v>
      </c>
      <c r="G47" s="188"/>
      <c r="H47" s="187" t="s">
        <v>243</v>
      </c>
      <c r="I47" s="189" t="s">
        <v>15</v>
      </c>
      <c r="J47" s="189"/>
      <c r="K47" s="190" t="s">
        <v>8</v>
      </c>
      <c r="L47" s="191">
        <v>13181047.65</v>
      </c>
    </row>
    <row r="48" spans="1:12" ht="51" hidden="1" x14ac:dyDescent="0.3">
      <c r="A48" s="185" t="s">
        <v>30</v>
      </c>
      <c r="B48" s="186" t="s">
        <v>1986</v>
      </c>
      <c r="C48" s="186" t="s">
        <v>1987</v>
      </c>
      <c r="D48" s="186" t="s">
        <v>1988</v>
      </c>
      <c r="E48" s="187" t="s">
        <v>283</v>
      </c>
      <c r="F48" s="188">
        <v>17400.240000000002</v>
      </c>
      <c r="G48" s="188"/>
      <c r="H48" s="187" t="s">
        <v>14</v>
      </c>
      <c r="I48" s="189" t="s">
        <v>15</v>
      </c>
      <c r="J48" s="189"/>
      <c r="K48" s="190" t="s">
        <v>8</v>
      </c>
      <c r="L48" s="191">
        <v>13198447.890000001</v>
      </c>
    </row>
    <row r="49" spans="1:12" ht="51" hidden="1" x14ac:dyDescent="0.3">
      <c r="A49" s="185" t="s">
        <v>30</v>
      </c>
      <c r="B49" s="186" t="s">
        <v>1989</v>
      </c>
      <c r="C49" s="186" t="s">
        <v>1990</v>
      </c>
      <c r="D49" s="186" t="s">
        <v>1988</v>
      </c>
      <c r="E49" s="187" t="s">
        <v>283</v>
      </c>
      <c r="F49" s="188">
        <v>7740.06</v>
      </c>
      <c r="G49" s="188"/>
      <c r="H49" s="187" t="s">
        <v>14</v>
      </c>
      <c r="I49" s="189" t="s">
        <v>15</v>
      </c>
      <c r="J49" s="189"/>
      <c r="K49" s="190" t="s">
        <v>8</v>
      </c>
      <c r="L49" s="191">
        <v>13206187.949999999</v>
      </c>
    </row>
    <row r="50" spans="1:12" ht="51" hidden="1" x14ac:dyDescent="0.3">
      <c r="A50" s="185" t="s">
        <v>30</v>
      </c>
      <c r="B50" s="186" t="s">
        <v>1986</v>
      </c>
      <c r="C50" s="186" t="s">
        <v>1990</v>
      </c>
      <c r="D50" s="186" t="s">
        <v>1988</v>
      </c>
      <c r="E50" s="187" t="s">
        <v>283</v>
      </c>
      <c r="F50" s="188">
        <v>81359.94</v>
      </c>
      <c r="G50" s="188"/>
      <c r="H50" s="187" t="s">
        <v>14</v>
      </c>
      <c r="I50" s="189" t="s">
        <v>15</v>
      </c>
      <c r="J50" s="189"/>
      <c r="K50" s="190" t="s">
        <v>8</v>
      </c>
      <c r="L50" s="191">
        <v>13287547.890000001</v>
      </c>
    </row>
    <row r="51" spans="1:12" ht="51" hidden="1" x14ac:dyDescent="0.3">
      <c r="A51" s="185" t="s">
        <v>1991</v>
      </c>
      <c r="B51" s="186" t="s">
        <v>1992</v>
      </c>
      <c r="C51" s="186" t="s">
        <v>1993</v>
      </c>
      <c r="D51" s="186" t="s">
        <v>1994</v>
      </c>
      <c r="E51" s="187" t="s">
        <v>283</v>
      </c>
      <c r="F51" s="188">
        <v>5390</v>
      </c>
      <c r="G51" s="188"/>
      <c r="H51" s="187" t="s">
        <v>14</v>
      </c>
      <c r="I51" s="189" t="s">
        <v>15</v>
      </c>
      <c r="J51" s="189"/>
      <c r="K51" s="190" t="s">
        <v>8</v>
      </c>
      <c r="L51" s="191">
        <v>13292937.890000001</v>
      </c>
    </row>
    <row r="52" spans="1:12" ht="51" hidden="1" x14ac:dyDescent="0.3">
      <c r="A52" s="185" t="s">
        <v>1991</v>
      </c>
      <c r="B52" s="186" t="s">
        <v>1992</v>
      </c>
      <c r="C52" s="186" t="s">
        <v>1995</v>
      </c>
      <c r="D52" s="186" t="s">
        <v>1994</v>
      </c>
      <c r="E52" s="187" t="s">
        <v>283</v>
      </c>
      <c r="F52" s="188">
        <v>2560</v>
      </c>
      <c r="G52" s="188"/>
      <c r="H52" s="187" t="s">
        <v>14</v>
      </c>
      <c r="I52" s="189" t="s">
        <v>15</v>
      </c>
      <c r="J52" s="189"/>
      <c r="K52" s="190" t="s">
        <v>8</v>
      </c>
      <c r="L52" s="191">
        <v>13295497.890000001</v>
      </c>
    </row>
    <row r="53" spans="1:12" ht="51" hidden="1" x14ac:dyDescent="0.3">
      <c r="A53" s="185" t="s">
        <v>1991</v>
      </c>
      <c r="B53" s="186" t="s">
        <v>1992</v>
      </c>
      <c r="C53" s="186" t="s">
        <v>1996</v>
      </c>
      <c r="D53" s="186" t="s">
        <v>1994</v>
      </c>
      <c r="E53" s="187" t="s">
        <v>283</v>
      </c>
      <c r="F53" s="188">
        <v>1710</v>
      </c>
      <c r="G53" s="188"/>
      <c r="H53" s="187" t="s">
        <v>14</v>
      </c>
      <c r="I53" s="189" t="s">
        <v>15</v>
      </c>
      <c r="J53" s="189"/>
      <c r="K53" s="190" t="s">
        <v>8</v>
      </c>
      <c r="L53" s="191">
        <v>13297207.890000001</v>
      </c>
    </row>
    <row r="54" spans="1:12" ht="51" hidden="1" x14ac:dyDescent="0.3">
      <c r="A54" s="185" t="s">
        <v>1991</v>
      </c>
      <c r="B54" s="186" t="s">
        <v>1992</v>
      </c>
      <c r="C54" s="186" t="s">
        <v>1997</v>
      </c>
      <c r="D54" s="186" t="s">
        <v>1994</v>
      </c>
      <c r="E54" s="187" t="s">
        <v>283</v>
      </c>
      <c r="F54" s="188">
        <v>2250</v>
      </c>
      <c r="G54" s="188"/>
      <c r="H54" s="187" t="s">
        <v>14</v>
      </c>
      <c r="I54" s="189" t="s">
        <v>15</v>
      </c>
      <c r="J54" s="189"/>
      <c r="K54" s="190" t="s">
        <v>8</v>
      </c>
      <c r="L54" s="191">
        <v>13299457.890000001</v>
      </c>
    </row>
    <row r="55" spans="1:12" ht="51" hidden="1" x14ac:dyDescent="0.3">
      <c r="A55" s="185" t="s">
        <v>1991</v>
      </c>
      <c r="B55" s="186" t="s">
        <v>1992</v>
      </c>
      <c r="C55" s="186" t="s">
        <v>1998</v>
      </c>
      <c r="D55" s="186" t="s">
        <v>1994</v>
      </c>
      <c r="E55" s="187" t="s">
        <v>283</v>
      </c>
      <c r="F55" s="192">
        <v>910</v>
      </c>
      <c r="G55" s="192"/>
      <c r="H55" s="187" t="s">
        <v>14</v>
      </c>
      <c r="I55" s="189" t="s">
        <v>15</v>
      </c>
      <c r="J55" s="189"/>
      <c r="K55" s="190" t="s">
        <v>8</v>
      </c>
      <c r="L55" s="191">
        <v>13300367.890000001</v>
      </c>
    </row>
    <row r="56" spans="1:12" ht="51" hidden="1" x14ac:dyDescent="0.3">
      <c r="A56" s="185" t="s">
        <v>1991</v>
      </c>
      <c r="B56" s="186" t="s">
        <v>1999</v>
      </c>
      <c r="C56" s="186" t="s">
        <v>1993</v>
      </c>
      <c r="D56" s="186" t="s">
        <v>1994</v>
      </c>
      <c r="E56" s="187" t="s">
        <v>283</v>
      </c>
      <c r="F56" s="188">
        <v>3161.69</v>
      </c>
      <c r="G56" s="188"/>
      <c r="H56" s="187" t="s">
        <v>14</v>
      </c>
      <c r="I56" s="189" t="s">
        <v>15</v>
      </c>
      <c r="J56" s="189"/>
      <c r="K56" s="190" t="s">
        <v>8</v>
      </c>
      <c r="L56" s="191">
        <v>13303529.58</v>
      </c>
    </row>
    <row r="57" spans="1:12" ht="51" hidden="1" x14ac:dyDescent="0.3">
      <c r="A57" s="185" t="s">
        <v>1991</v>
      </c>
      <c r="B57" s="186" t="s">
        <v>1999</v>
      </c>
      <c r="C57" s="186" t="s">
        <v>1995</v>
      </c>
      <c r="D57" s="186" t="s">
        <v>1994</v>
      </c>
      <c r="E57" s="187" t="s">
        <v>283</v>
      </c>
      <c r="F57" s="188">
        <v>1501.65</v>
      </c>
      <c r="G57" s="188"/>
      <c r="H57" s="187" t="s">
        <v>14</v>
      </c>
      <c r="I57" s="189" t="s">
        <v>15</v>
      </c>
      <c r="J57" s="189"/>
      <c r="K57" s="190" t="s">
        <v>8</v>
      </c>
      <c r="L57" s="191">
        <v>13305031.23</v>
      </c>
    </row>
    <row r="58" spans="1:12" ht="51" hidden="1" x14ac:dyDescent="0.3">
      <c r="A58" s="185" t="s">
        <v>1991</v>
      </c>
      <c r="B58" s="186" t="s">
        <v>1999</v>
      </c>
      <c r="C58" s="186" t="s">
        <v>1996</v>
      </c>
      <c r="D58" s="186" t="s">
        <v>1994</v>
      </c>
      <c r="E58" s="187" t="s">
        <v>283</v>
      </c>
      <c r="F58" s="188">
        <v>1003.06</v>
      </c>
      <c r="G58" s="188"/>
      <c r="H58" s="187" t="s">
        <v>14</v>
      </c>
      <c r="I58" s="189" t="s">
        <v>15</v>
      </c>
      <c r="J58" s="189"/>
      <c r="K58" s="190" t="s">
        <v>8</v>
      </c>
      <c r="L58" s="191">
        <v>13306034.289999999</v>
      </c>
    </row>
    <row r="59" spans="1:12" ht="51" hidden="1" x14ac:dyDescent="0.3">
      <c r="A59" s="185" t="s">
        <v>1991</v>
      </c>
      <c r="B59" s="186" t="s">
        <v>1999</v>
      </c>
      <c r="C59" s="186" t="s">
        <v>1997</v>
      </c>
      <c r="D59" s="186" t="s">
        <v>1994</v>
      </c>
      <c r="E59" s="187" t="s">
        <v>283</v>
      </c>
      <c r="F59" s="188">
        <v>1319.81</v>
      </c>
      <c r="G59" s="188"/>
      <c r="H59" s="187" t="s">
        <v>14</v>
      </c>
      <c r="I59" s="189" t="s">
        <v>15</v>
      </c>
      <c r="J59" s="189"/>
      <c r="K59" s="190" t="s">
        <v>8</v>
      </c>
      <c r="L59" s="191">
        <v>13307354.1</v>
      </c>
    </row>
    <row r="60" spans="1:12" ht="51" hidden="1" x14ac:dyDescent="0.3">
      <c r="A60" s="185" t="s">
        <v>1991</v>
      </c>
      <c r="B60" s="186" t="s">
        <v>1999</v>
      </c>
      <c r="C60" s="186" t="s">
        <v>1998</v>
      </c>
      <c r="D60" s="186" t="s">
        <v>1994</v>
      </c>
      <c r="E60" s="187" t="s">
        <v>283</v>
      </c>
      <c r="F60" s="192">
        <v>533.79</v>
      </c>
      <c r="G60" s="192"/>
      <c r="H60" s="187" t="s">
        <v>14</v>
      </c>
      <c r="I60" s="189" t="s">
        <v>15</v>
      </c>
      <c r="J60" s="189"/>
      <c r="K60" s="190" t="s">
        <v>8</v>
      </c>
      <c r="L60" s="191">
        <v>13307887.890000001</v>
      </c>
    </row>
    <row r="61" spans="1:12" ht="51" hidden="1" x14ac:dyDescent="0.3">
      <c r="A61" s="185" t="s">
        <v>999</v>
      </c>
      <c r="B61" s="186" t="s">
        <v>2000</v>
      </c>
      <c r="C61" s="186" t="s">
        <v>2001</v>
      </c>
      <c r="D61" s="186" t="s">
        <v>2002</v>
      </c>
      <c r="E61" s="187" t="s">
        <v>283</v>
      </c>
      <c r="F61" s="188">
        <v>18700.02</v>
      </c>
      <c r="G61" s="188"/>
      <c r="H61" s="187" t="s">
        <v>14</v>
      </c>
      <c r="I61" s="189" t="s">
        <v>15</v>
      </c>
      <c r="J61" s="189"/>
      <c r="K61" s="190" t="s">
        <v>8</v>
      </c>
      <c r="L61" s="191">
        <v>13326587.91</v>
      </c>
    </row>
    <row r="62" spans="1:12" ht="51" hidden="1" x14ac:dyDescent="0.3">
      <c r="A62" s="185" t="s">
        <v>999</v>
      </c>
      <c r="B62" s="186" t="s">
        <v>2003</v>
      </c>
      <c r="C62" s="186" t="s">
        <v>2004</v>
      </c>
      <c r="D62" s="186" t="s">
        <v>2005</v>
      </c>
      <c r="E62" s="187" t="s">
        <v>283</v>
      </c>
      <c r="F62" s="188">
        <v>16412.5</v>
      </c>
      <c r="G62" s="188"/>
      <c r="H62" s="187" t="s">
        <v>14</v>
      </c>
      <c r="I62" s="189" t="s">
        <v>15</v>
      </c>
      <c r="J62" s="189"/>
      <c r="K62" s="190" t="s">
        <v>8</v>
      </c>
      <c r="L62" s="191">
        <v>13343000.41</v>
      </c>
    </row>
    <row r="63" spans="1:12" ht="51" hidden="1" x14ac:dyDescent="0.3">
      <c r="A63" s="185" t="s">
        <v>999</v>
      </c>
      <c r="B63" s="186" t="s">
        <v>2006</v>
      </c>
      <c r="C63" s="186" t="s">
        <v>2007</v>
      </c>
      <c r="D63" s="186" t="s">
        <v>2008</v>
      </c>
      <c r="E63" s="187" t="s">
        <v>283</v>
      </c>
      <c r="F63" s="188">
        <v>35550</v>
      </c>
      <c r="G63" s="188"/>
      <c r="H63" s="187" t="s">
        <v>14</v>
      </c>
      <c r="I63" s="189" t="s">
        <v>15</v>
      </c>
      <c r="J63" s="189"/>
      <c r="K63" s="190" t="s">
        <v>8</v>
      </c>
      <c r="L63" s="191">
        <v>13378550.41</v>
      </c>
    </row>
    <row r="64" spans="1:12" ht="51" hidden="1" x14ac:dyDescent="0.3">
      <c r="A64" s="185" t="s">
        <v>999</v>
      </c>
      <c r="B64" s="186" t="s">
        <v>2009</v>
      </c>
      <c r="C64" s="186" t="s">
        <v>2010</v>
      </c>
      <c r="D64" s="186" t="s">
        <v>2011</v>
      </c>
      <c r="E64" s="187" t="s">
        <v>283</v>
      </c>
      <c r="F64" s="188">
        <v>12043.85</v>
      </c>
      <c r="G64" s="188"/>
      <c r="H64" s="187" t="s">
        <v>14</v>
      </c>
      <c r="I64" s="189" t="s">
        <v>15</v>
      </c>
      <c r="J64" s="189"/>
      <c r="K64" s="190" t="s">
        <v>8</v>
      </c>
      <c r="L64" s="191">
        <v>13390594.26</v>
      </c>
    </row>
    <row r="65" spans="1:12" ht="51" hidden="1" x14ac:dyDescent="0.3">
      <c r="A65" s="185" t="s">
        <v>999</v>
      </c>
      <c r="B65" s="186" t="s">
        <v>2012</v>
      </c>
      <c r="C65" s="186" t="s">
        <v>2013</v>
      </c>
      <c r="D65" s="186" t="s">
        <v>2014</v>
      </c>
      <c r="E65" s="187" t="s">
        <v>283</v>
      </c>
      <c r="F65" s="188">
        <v>38469.870000000003</v>
      </c>
      <c r="G65" s="188"/>
      <c r="H65" s="187" t="s">
        <v>14</v>
      </c>
      <c r="I65" s="189" t="s">
        <v>15</v>
      </c>
      <c r="J65" s="189"/>
      <c r="K65" s="190" t="s">
        <v>8</v>
      </c>
      <c r="L65" s="191">
        <v>13429064.130000001</v>
      </c>
    </row>
    <row r="66" spans="1:12" ht="51" hidden="1" x14ac:dyDescent="0.3">
      <c r="A66" s="185" t="s">
        <v>999</v>
      </c>
      <c r="B66" s="186" t="s">
        <v>2015</v>
      </c>
      <c r="C66" s="186" t="s">
        <v>2016</v>
      </c>
      <c r="D66" s="186" t="s">
        <v>2017</v>
      </c>
      <c r="E66" s="187" t="s">
        <v>283</v>
      </c>
      <c r="F66" s="188">
        <v>38469.870000000003</v>
      </c>
      <c r="G66" s="188"/>
      <c r="H66" s="187" t="s">
        <v>14</v>
      </c>
      <c r="I66" s="189" t="s">
        <v>15</v>
      </c>
      <c r="J66" s="189"/>
      <c r="K66" s="190" t="s">
        <v>8</v>
      </c>
      <c r="L66" s="191">
        <v>13467534</v>
      </c>
    </row>
    <row r="67" spans="1:12" ht="51" hidden="1" x14ac:dyDescent="0.3">
      <c r="A67" s="185" t="s">
        <v>999</v>
      </c>
      <c r="B67" s="186" t="s">
        <v>2018</v>
      </c>
      <c r="C67" s="186" t="s">
        <v>2019</v>
      </c>
      <c r="D67" s="186" t="s">
        <v>2020</v>
      </c>
      <c r="E67" s="187" t="s">
        <v>283</v>
      </c>
      <c r="F67" s="188">
        <v>38469.870000000003</v>
      </c>
      <c r="G67" s="188"/>
      <c r="H67" s="187" t="s">
        <v>14</v>
      </c>
      <c r="I67" s="189" t="s">
        <v>15</v>
      </c>
      <c r="J67" s="189"/>
      <c r="K67" s="190" t="s">
        <v>8</v>
      </c>
      <c r="L67" s="191">
        <v>13506003.869999999</v>
      </c>
    </row>
    <row r="68" spans="1:12" ht="51" hidden="1" x14ac:dyDescent="0.3">
      <c r="A68" s="185" t="s">
        <v>999</v>
      </c>
      <c r="B68" s="186" t="s">
        <v>2021</v>
      </c>
      <c r="C68" s="186" t="s">
        <v>2022</v>
      </c>
      <c r="D68" s="186" t="s">
        <v>2023</v>
      </c>
      <c r="E68" s="187" t="s">
        <v>283</v>
      </c>
      <c r="F68" s="188">
        <v>40607.089999999997</v>
      </c>
      <c r="G68" s="188"/>
      <c r="H68" s="187" t="s">
        <v>14</v>
      </c>
      <c r="I68" s="189" t="s">
        <v>15</v>
      </c>
      <c r="J68" s="189"/>
      <c r="K68" s="190" t="s">
        <v>8</v>
      </c>
      <c r="L68" s="191">
        <v>13546610.960000001</v>
      </c>
    </row>
    <row r="69" spans="1:12" ht="51" hidden="1" x14ac:dyDescent="0.3">
      <c r="A69" s="185" t="s">
        <v>369</v>
      </c>
      <c r="B69" s="186" t="s">
        <v>2024</v>
      </c>
      <c r="C69" s="186" t="s">
        <v>2025</v>
      </c>
      <c r="D69" s="186" t="s">
        <v>2026</v>
      </c>
      <c r="E69" s="187" t="s">
        <v>283</v>
      </c>
      <c r="F69" s="188">
        <v>13500</v>
      </c>
      <c r="G69" s="188"/>
      <c r="H69" s="187" t="s">
        <v>14</v>
      </c>
      <c r="I69" s="189" t="s">
        <v>15</v>
      </c>
      <c r="J69" s="189"/>
      <c r="K69" s="190" t="s">
        <v>8</v>
      </c>
      <c r="L69" s="191">
        <v>13560110.960000001</v>
      </c>
    </row>
    <row r="70" spans="1:12" ht="51" hidden="1" x14ac:dyDescent="0.3">
      <c r="A70" s="185" t="s">
        <v>369</v>
      </c>
      <c r="B70" s="186" t="s">
        <v>2027</v>
      </c>
      <c r="C70" s="186" t="s">
        <v>2028</v>
      </c>
      <c r="D70" s="186" t="s">
        <v>2029</v>
      </c>
      <c r="E70" s="187" t="s">
        <v>283</v>
      </c>
      <c r="F70" s="192">
        <v>847.5</v>
      </c>
      <c r="G70" s="192"/>
      <c r="H70" s="187" t="s">
        <v>14</v>
      </c>
      <c r="I70" s="189" t="s">
        <v>15</v>
      </c>
      <c r="J70" s="189"/>
      <c r="K70" s="190" t="s">
        <v>8</v>
      </c>
      <c r="L70" s="191">
        <v>13560958.460000001</v>
      </c>
    </row>
    <row r="71" spans="1:12" ht="51" hidden="1" x14ac:dyDescent="0.3">
      <c r="A71" s="185" t="s">
        <v>369</v>
      </c>
      <c r="B71" s="186" t="s">
        <v>2027</v>
      </c>
      <c r="C71" s="186" t="s">
        <v>2030</v>
      </c>
      <c r="D71" s="186" t="s">
        <v>2029</v>
      </c>
      <c r="E71" s="187" t="s">
        <v>283</v>
      </c>
      <c r="F71" s="192">
        <v>175.4</v>
      </c>
      <c r="G71" s="192"/>
      <c r="H71" s="187" t="s">
        <v>14</v>
      </c>
      <c r="I71" s="189" t="s">
        <v>15</v>
      </c>
      <c r="J71" s="189"/>
      <c r="K71" s="190" t="s">
        <v>8</v>
      </c>
      <c r="L71" s="191">
        <v>13561133.859999999</v>
      </c>
    </row>
    <row r="72" spans="1:12" ht="61.2" hidden="1" x14ac:dyDescent="0.3">
      <c r="A72" s="185" t="s">
        <v>369</v>
      </c>
      <c r="B72" s="186" t="s">
        <v>2031</v>
      </c>
      <c r="C72" s="186" t="s">
        <v>2032</v>
      </c>
      <c r="D72" s="186" t="s">
        <v>2033</v>
      </c>
      <c r="E72" s="187" t="s">
        <v>283</v>
      </c>
      <c r="F72" s="188">
        <v>1425</v>
      </c>
      <c r="G72" s="188"/>
      <c r="H72" s="187" t="s">
        <v>14</v>
      </c>
      <c r="I72" s="189" t="s">
        <v>15</v>
      </c>
      <c r="J72" s="189"/>
      <c r="K72" s="190" t="s">
        <v>8</v>
      </c>
      <c r="L72" s="191">
        <v>13562558.859999999</v>
      </c>
    </row>
    <row r="73" spans="1:12" ht="61.2" hidden="1" x14ac:dyDescent="0.3">
      <c r="A73" s="185" t="s">
        <v>369</v>
      </c>
      <c r="B73" s="186" t="s">
        <v>2034</v>
      </c>
      <c r="C73" s="186" t="s">
        <v>2035</v>
      </c>
      <c r="D73" s="186" t="s">
        <v>2036</v>
      </c>
      <c r="E73" s="187" t="s">
        <v>283</v>
      </c>
      <c r="F73" s="188">
        <v>1825</v>
      </c>
      <c r="G73" s="188"/>
      <c r="H73" s="187" t="s">
        <v>14</v>
      </c>
      <c r="I73" s="189" t="s">
        <v>15</v>
      </c>
      <c r="J73" s="189"/>
      <c r="K73" s="190" t="s">
        <v>8</v>
      </c>
      <c r="L73" s="191">
        <v>13564383.859999999</v>
      </c>
    </row>
    <row r="74" spans="1:12" ht="61.2" hidden="1" x14ac:dyDescent="0.3">
      <c r="A74" s="185" t="s">
        <v>369</v>
      </c>
      <c r="B74" s="186" t="s">
        <v>2037</v>
      </c>
      <c r="C74" s="186" t="s">
        <v>2035</v>
      </c>
      <c r="D74" s="186" t="s">
        <v>2036</v>
      </c>
      <c r="E74" s="187" t="s">
        <v>283</v>
      </c>
      <c r="F74" s="192">
        <v>140.83000000000001</v>
      </c>
      <c r="G74" s="192"/>
      <c r="H74" s="187" t="s">
        <v>14</v>
      </c>
      <c r="I74" s="189" t="s">
        <v>15</v>
      </c>
      <c r="J74" s="189"/>
      <c r="K74" s="190" t="s">
        <v>8</v>
      </c>
      <c r="L74" s="191">
        <v>13564524.689999999</v>
      </c>
    </row>
    <row r="75" spans="1:12" ht="51" hidden="1" x14ac:dyDescent="0.3">
      <c r="A75" s="185" t="s">
        <v>1200</v>
      </c>
      <c r="B75" s="186" t="s">
        <v>2038</v>
      </c>
      <c r="C75" s="186" t="s">
        <v>2039</v>
      </c>
      <c r="D75" s="186" t="s">
        <v>2040</v>
      </c>
      <c r="E75" s="187" t="s">
        <v>283</v>
      </c>
      <c r="F75" s="188">
        <v>38325.06</v>
      </c>
      <c r="G75" s="188"/>
      <c r="H75" s="187" t="s">
        <v>14</v>
      </c>
      <c r="I75" s="189" t="s">
        <v>15</v>
      </c>
      <c r="J75" s="189"/>
      <c r="K75" s="190" t="s">
        <v>8</v>
      </c>
      <c r="L75" s="191">
        <v>13602849.75</v>
      </c>
    </row>
    <row r="76" spans="1:12" ht="51" hidden="1" x14ac:dyDescent="0.3">
      <c r="A76" s="185" t="s">
        <v>1200</v>
      </c>
      <c r="B76" s="186" t="s">
        <v>2041</v>
      </c>
      <c r="C76" s="186" t="s">
        <v>2042</v>
      </c>
      <c r="D76" s="186" t="s">
        <v>2043</v>
      </c>
      <c r="E76" s="187" t="s">
        <v>283</v>
      </c>
      <c r="F76" s="188">
        <v>38325.06</v>
      </c>
      <c r="G76" s="188"/>
      <c r="H76" s="187" t="s">
        <v>14</v>
      </c>
      <c r="I76" s="189" t="s">
        <v>15</v>
      </c>
      <c r="J76" s="189"/>
      <c r="K76" s="190" t="s">
        <v>8</v>
      </c>
      <c r="L76" s="191">
        <v>13641174.810000001</v>
      </c>
    </row>
    <row r="77" spans="1:12" ht="51" hidden="1" x14ac:dyDescent="0.3">
      <c r="A77" s="185" t="s">
        <v>1200</v>
      </c>
      <c r="B77" s="186" t="s">
        <v>2044</v>
      </c>
      <c r="C77" s="186" t="s">
        <v>2045</v>
      </c>
      <c r="D77" s="186" t="s">
        <v>2046</v>
      </c>
      <c r="E77" s="187" t="s">
        <v>283</v>
      </c>
      <c r="F77" s="188">
        <v>38325.06</v>
      </c>
      <c r="G77" s="188"/>
      <c r="H77" s="187" t="s">
        <v>14</v>
      </c>
      <c r="I77" s="189" t="s">
        <v>15</v>
      </c>
      <c r="J77" s="189"/>
      <c r="K77" s="190" t="s">
        <v>8</v>
      </c>
      <c r="L77" s="191">
        <v>13679499.869999999</v>
      </c>
    </row>
    <row r="78" spans="1:12" ht="61.2" hidden="1" x14ac:dyDescent="0.3">
      <c r="A78" s="185" t="s">
        <v>34</v>
      </c>
      <c r="B78" s="186" t="s">
        <v>2047</v>
      </c>
      <c r="C78" s="186" t="s">
        <v>2048</v>
      </c>
      <c r="D78" s="186" t="s">
        <v>2049</v>
      </c>
      <c r="E78" s="187" t="s">
        <v>283</v>
      </c>
      <c r="F78" s="192">
        <v>925.6</v>
      </c>
      <c r="G78" s="192"/>
      <c r="H78" s="187" t="s">
        <v>14</v>
      </c>
      <c r="I78" s="189" t="s">
        <v>15</v>
      </c>
      <c r="J78" s="189"/>
      <c r="K78" s="190" t="s">
        <v>8</v>
      </c>
      <c r="L78" s="191">
        <v>13680425.470000001</v>
      </c>
    </row>
    <row r="79" spans="1:12" ht="61.2" hidden="1" x14ac:dyDescent="0.3">
      <c r="A79" s="185" t="s">
        <v>34</v>
      </c>
      <c r="B79" s="186" t="s">
        <v>2047</v>
      </c>
      <c r="C79" s="186" t="s">
        <v>2050</v>
      </c>
      <c r="D79" s="186" t="s">
        <v>2049</v>
      </c>
      <c r="E79" s="187" t="s">
        <v>283</v>
      </c>
      <c r="F79" s="192">
        <v>795</v>
      </c>
      <c r="G79" s="192"/>
      <c r="H79" s="187" t="s">
        <v>14</v>
      </c>
      <c r="I79" s="189" t="s">
        <v>15</v>
      </c>
      <c r="J79" s="189"/>
      <c r="K79" s="190" t="s">
        <v>8</v>
      </c>
      <c r="L79" s="191">
        <v>13681220.470000001</v>
      </c>
    </row>
    <row r="80" spans="1:12" ht="61.2" hidden="1" x14ac:dyDescent="0.3">
      <c r="A80" s="185" t="s">
        <v>34</v>
      </c>
      <c r="B80" s="186" t="s">
        <v>2047</v>
      </c>
      <c r="C80" s="186" t="s">
        <v>2051</v>
      </c>
      <c r="D80" s="186" t="s">
        <v>2049</v>
      </c>
      <c r="E80" s="187" t="s">
        <v>283</v>
      </c>
      <c r="F80" s="188">
        <v>1299.2</v>
      </c>
      <c r="G80" s="188"/>
      <c r="H80" s="187" t="s">
        <v>14</v>
      </c>
      <c r="I80" s="189" t="s">
        <v>15</v>
      </c>
      <c r="J80" s="189"/>
      <c r="K80" s="190" t="s">
        <v>8</v>
      </c>
      <c r="L80" s="191">
        <v>13682519.67</v>
      </c>
    </row>
    <row r="81" spans="1:12" ht="61.2" hidden="1" x14ac:dyDescent="0.3">
      <c r="A81" s="185" t="s">
        <v>34</v>
      </c>
      <c r="B81" s="186" t="s">
        <v>2047</v>
      </c>
      <c r="C81" s="186" t="s">
        <v>2052</v>
      </c>
      <c r="D81" s="186" t="s">
        <v>2049</v>
      </c>
      <c r="E81" s="187" t="s">
        <v>283</v>
      </c>
      <c r="F81" s="188">
        <v>1410</v>
      </c>
      <c r="G81" s="188"/>
      <c r="H81" s="187" t="s">
        <v>14</v>
      </c>
      <c r="I81" s="189" t="s">
        <v>15</v>
      </c>
      <c r="J81" s="189"/>
      <c r="K81" s="190" t="s">
        <v>8</v>
      </c>
      <c r="L81" s="191">
        <v>13683929.67</v>
      </c>
    </row>
    <row r="82" spans="1:12" ht="61.2" hidden="1" x14ac:dyDescent="0.3">
      <c r="A82" s="185" t="s">
        <v>34</v>
      </c>
      <c r="B82" s="186" t="s">
        <v>2047</v>
      </c>
      <c r="C82" s="186" t="s">
        <v>2053</v>
      </c>
      <c r="D82" s="186" t="s">
        <v>2049</v>
      </c>
      <c r="E82" s="187" t="s">
        <v>283</v>
      </c>
      <c r="F82" s="192">
        <v>761.6</v>
      </c>
      <c r="G82" s="192"/>
      <c r="H82" s="187" t="s">
        <v>14</v>
      </c>
      <c r="I82" s="189" t="s">
        <v>15</v>
      </c>
      <c r="J82" s="189"/>
      <c r="K82" s="190" t="s">
        <v>8</v>
      </c>
      <c r="L82" s="191">
        <v>13684691.27</v>
      </c>
    </row>
    <row r="83" spans="1:12" ht="61.2" hidden="1" x14ac:dyDescent="0.3">
      <c r="A83" s="185" t="s">
        <v>34</v>
      </c>
      <c r="B83" s="186" t="s">
        <v>2047</v>
      </c>
      <c r="C83" s="186" t="s">
        <v>2054</v>
      </c>
      <c r="D83" s="186" t="s">
        <v>2049</v>
      </c>
      <c r="E83" s="187" t="s">
        <v>283</v>
      </c>
      <c r="F83" s="192">
        <v>831.6</v>
      </c>
      <c r="G83" s="192"/>
      <c r="H83" s="187" t="s">
        <v>14</v>
      </c>
      <c r="I83" s="189" t="s">
        <v>15</v>
      </c>
      <c r="J83" s="189"/>
      <c r="K83" s="190" t="s">
        <v>8</v>
      </c>
      <c r="L83" s="191">
        <v>13685522.869999999</v>
      </c>
    </row>
    <row r="84" spans="1:12" ht="61.2" hidden="1" x14ac:dyDescent="0.3">
      <c r="A84" s="185" t="s">
        <v>34</v>
      </c>
      <c r="B84" s="186" t="s">
        <v>2047</v>
      </c>
      <c r="C84" s="186" t="s">
        <v>2055</v>
      </c>
      <c r="D84" s="186" t="s">
        <v>2049</v>
      </c>
      <c r="E84" s="187" t="s">
        <v>283</v>
      </c>
      <c r="F84" s="188">
        <v>1734.6</v>
      </c>
      <c r="G84" s="188"/>
      <c r="H84" s="187" t="s">
        <v>14</v>
      </c>
      <c r="I84" s="189" t="s">
        <v>15</v>
      </c>
      <c r="J84" s="189"/>
      <c r="K84" s="190" t="s">
        <v>8</v>
      </c>
      <c r="L84" s="191">
        <v>13687257.470000001</v>
      </c>
    </row>
    <row r="85" spans="1:12" ht="61.2" hidden="1" x14ac:dyDescent="0.3">
      <c r="A85" s="185" t="s">
        <v>34</v>
      </c>
      <c r="B85" s="186" t="s">
        <v>2047</v>
      </c>
      <c r="C85" s="186" t="s">
        <v>2056</v>
      </c>
      <c r="D85" s="186" t="s">
        <v>2049</v>
      </c>
      <c r="E85" s="187" t="s">
        <v>283</v>
      </c>
      <c r="F85" s="188">
        <v>3242.4</v>
      </c>
      <c r="G85" s="188"/>
      <c r="H85" s="187" t="s">
        <v>14</v>
      </c>
      <c r="I85" s="189" t="s">
        <v>15</v>
      </c>
      <c r="J85" s="189"/>
      <c r="K85" s="190" t="s">
        <v>8</v>
      </c>
      <c r="L85" s="191">
        <v>13690499.869999999</v>
      </c>
    </row>
    <row r="86" spans="1:12" ht="51" hidden="1" x14ac:dyDescent="0.3">
      <c r="A86" s="185" t="s">
        <v>34</v>
      </c>
      <c r="B86" s="186" t="s">
        <v>2047</v>
      </c>
      <c r="C86" s="186" t="s">
        <v>2057</v>
      </c>
      <c r="D86" s="186" t="s">
        <v>2049</v>
      </c>
      <c r="E86" s="187" t="s">
        <v>283</v>
      </c>
      <c r="F86" s="192">
        <v>310</v>
      </c>
      <c r="G86" s="192"/>
      <c r="H86" s="187" t="s">
        <v>14</v>
      </c>
      <c r="I86" s="189" t="s">
        <v>15</v>
      </c>
      <c r="J86" s="189"/>
      <c r="K86" s="190" t="s">
        <v>8</v>
      </c>
      <c r="L86" s="191">
        <v>13690809.869999999</v>
      </c>
    </row>
    <row r="87" spans="1:12" ht="51" hidden="1" x14ac:dyDescent="0.3">
      <c r="A87" s="185" t="s">
        <v>34</v>
      </c>
      <c r="B87" s="186" t="s">
        <v>2047</v>
      </c>
      <c r="C87" s="186" t="s">
        <v>2058</v>
      </c>
      <c r="D87" s="186" t="s">
        <v>2049</v>
      </c>
      <c r="E87" s="187" t="s">
        <v>283</v>
      </c>
      <c r="F87" s="192">
        <v>108.5</v>
      </c>
      <c r="G87" s="192"/>
      <c r="H87" s="187" t="s">
        <v>14</v>
      </c>
      <c r="I87" s="189" t="s">
        <v>15</v>
      </c>
      <c r="J87" s="189"/>
      <c r="K87" s="190" t="s">
        <v>8</v>
      </c>
      <c r="L87" s="191">
        <v>13690918.369999999</v>
      </c>
    </row>
    <row r="88" spans="1:12" ht="51" hidden="1" x14ac:dyDescent="0.3">
      <c r="A88" s="185" t="s">
        <v>34</v>
      </c>
      <c r="B88" s="186" t="s">
        <v>2047</v>
      </c>
      <c r="C88" s="186" t="s">
        <v>2059</v>
      </c>
      <c r="D88" s="186" t="s">
        <v>2049</v>
      </c>
      <c r="E88" s="187" t="s">
        <v>283</v>
      </c>
      <c r="F88" s="188">
        <v>1250.5999999999999</v>
      </c>
      <c r="G88" s="188"/>
      <c r="H88" s="187" t="s">
        <v>14</v>
      </c>
      <c r="I88" s="189" t="s">
        <v>15</v>
      </c>
      <c r="J88" s="189"/>
      <c r="K88" s="190" t="s">
        <v>8</v>
      </c>
      <c r="L88" s="191">
        <v>13692168.970000001</v>
      </c>
    </row>
    <row r="89" spans="1:12" ht="51" hidden="1" x14ac:dyDescent="0.3">
      <c r="A89" s="185" t="s">
        <v>34</v>
      </c>
      <c r="B89" s="186" t="s">
        <v>2047</v>
      </c>
      <c r="C89" s="186" t="s">
        <v>2060</v>
      </c>
      <c r="D89" s="186" t="s">
        <v>2049</v>
      </c>
      <c r="E89" s="187" t="s">
        <v>283</v>
      </c>
      <c r="F89" s="192">
        <v>248</v>
      </c>
      <c r="G89" s="192"/>
      <c r="H89" s="187" t="s">
        <v>14</v>
      </c>
      <c r="I89" s="189" t="s">
        <v>15</v>
      </c>
      <c r="J89" s="189"/>
      <c r="K89" s="190" t="s">
        <v>8</v>
      </c>
      <c r="L89" s="191">
        <v>13692416.970000001</v>
      </c>
    </row>
    <row r="90" spans="1:12" ht="51" hidden="1" x14ac:dyDescent="0.3">
      <c r="A90" s="185" t="s">
        <v>34</v>
      </c>
      <c r="B90" s="186" t="s">
        <v>2047</v>
      </c>
      <c r="C90" s="186" t="s">
        <v>2061</v>
      </c>
      <c r="D90" s="186" t="s">
        <v>2049</v>
      </c>
      <c r="E90" s="187" t="s">
        <v>283</v>
      </c>
      <c r="F90" s="188">
        <v>1367.8</v>
      </c>
      <c r="G90" s="188"/>
      <c r="H90" s="187" t="s">
        <v>14</v>
      </c>
      <c r="I90" s="189" t="s">
        <v>15</v>
      </c>
      <c r="J90" s="189"/>
      <c r="K90" s="190" t="s">
        <v>8</v>
      </c>
      <c r="L90" s="191">
        <v>13693784.77</v>
      </c>
    </row>
    <row r="91" spans="1:12" ht="51" hidden="1" x14ac:dyDescent="0.3">
      <c r="A91" s="185" t="s">
        <v>34</v>
      </c>
      <c r="B91" s="186" t="s">
        <v>2047</v>
      </c>
      <c r="C91" s="186" t="s">
        <v>2062</v>
      </c>
      <c r="D91" s="186" t="s">
        <v>2049</v>
      </c>
      <c r="E91" s="187" t="s">
        <v>283</v>
      </c>
      <c r="F91" s="192">
        <v>36.9</v>
      </c>
      <c r="G91" s="192"/>
      <c r="H91" s="187" t="s">
        <v>14</v>
      </c>
      <c r="I91" s="189" t="s">
        <v>15</v>
      </c>
      <c r="J91" s="189"/>
      <c r="K91" s="190" t="s">
        <v>8</v>
      </c>
      <c r="L91" s="191">
        <v>13693821.67</v>
      </c>
    </row>
    <row r="92" spans="1:12" ht="51" hidden="1" x14ac:dyDescent="0.3">
      <c r="A92" s="185" t="s">
        <v>34</v>
      </c>
      <c r="B92" s="186" t="s">
        <v>2047</v>
      </c>
      <c r="C92" s="186" t="s">
        <v>2063</v>
      </c>
      <c r="D92" s="186" t="s">
        <v>2049</v>
      </c>
      <c r="E92" s="187" t="s">
        <v>283</v>
      </c>
      <c r="F92" s="192">
        <v>135.1</v>
      </c>
      <c r="G92" s="192"/>
      <c r="H92" s="187" t="s">
        <v>14</v>
      </c>
      <c r="I92" s="189" t="s">
        <v>15</v>
      </c>
      <c r="J92" s="189"/>
      <c r="K92" s="190" t="s">
        <v>8</v>
      </c>
      <c r="L92" s="191">
        <v>13693956.77</v>
      </c>
    </row>
    <row r="93" spans="1:12" ht="51" hidden="1" x14ac:dyDescent="0.3">
      <c r="A93" s="185" t="s">
        <v>34</v>
      </c>
      <c r="B93" s="186" t="s">
        <v>2047</v>
      </c>
      <c r="C93" s="186" t="s">
        <v>2064</v>
      </c>
      <c r="D93" s="186" t="s">
        <v>2049</v>
      </c>
      <c r="E93" s="187" t="s">
        <v>283</v>
      </c>
      <c r="F93" s="192">
        <v>88.8</v>
      </c>
      <c r="G93" s="192"/>
      <c r="H93" s="187" t="s">
        <v>14</v>
      </c>
      <c r="I93" s="189" t="s">
        <v>15</v>
      </c>
      <c r="J93" s="189"/>
      <c r="K93" s="190" t="s">
        <v>8</v>
      </c>
      <c r="L93" s="191">
        <v>13694045.57</v>
      </c>
    </row>
    <row r="94" spans="1:12" ht="61.2" hidden="1" x14ac:dyDescent="0.3">
      <c r="A94" s="185" t="s">
        <v>34</v>
      </c>
      <c r="B94" s="186" t="s">
        <v>2047</v>
      </c>
      <c r="C94" s="186" t="s">
        <v>2065</v>
      </c>
      <c r="D94" s="186" t="s">
        <v>2049</v>
      </c>
      <c r="E94" s="187" t="s">
        <v>283</v>
      </c>
      <c r="F94" s="192">
        <v>164.8</v>
      </c>
      <c r="G94" s="192"/>
      <c r="H94" s="187" t="s">
        <v>14</v>
      </c>
      <c r="I94" s="189" t="s">
        <v>15</v>
      </c>
      <c r="J94" s="189"/>
      <c r="K94" s="190" t="s">
        <v>8</v>
      </c>
      <c r="L94" s="191">
        <v>13694210.369999999</v>
      </c>
    </row>
    <row r="95" spans="1:12" ht="61.2" hidden="1" x14ac:dyDescent="0.3">
      <c r="A95" s="185" t="s">
        <v>34</v>
      </c>
      <c r="B95" s="186" t="s">
        <v>2047</v>
      </c>
      <c r="C95" s="186" t="s">
        <v>2066</v>
      </c>
      <c r="D95" s="186" t="s">
        <v>2049</v>
      </c>
      <c r="E95" s="187" t="s">
        <v>283</v>
      </c>
      <c r="F95" s="188">
        <v>39460.800000000003</v>
      </c>
      <c r="G95" s="188"/>
      <c r="H95" s="187" t="s">
        <v>14</v>
      </c>
      <c r="I95" s="189" t="s">
        <v>15</v>
      </c>
      <c r="J95" s="189"/>
      <c r="K95" s="190" t="s">
        <v>8</v>
      </c>
      <c r="L95" s="191">
        <v>13733671.17</v>
      </c>
    </row>
    <row r="96" spans="1:12" ht="51" hidden="1" x14ac:dyDescent="0.3">
      <c r="A96" s="185" t="s">
        <v>34</v>
      </c>
      <c r="B96" s="186" t="s">
        <v>2047</v>
      </c>
      <c r="C96" s="186" t="s">
        <v>2067</v>
      </c>
      <c r="D96" s="186" t="s">
        <v>2049</v>
      </c>
      <c r="E96" s="187" t="s">
        <v>283</v>
      </c>
      <c r="F96" s="192">
        <v>56.8</v>
      </c>
      <c r="G96" s="192"/>
      <c r="H96" s="187" t="s">
        <v>14</v>
      </c>
      <c r="I96" s="189" t="s">
        <v>15</v>
      </c>
      <c r="J96" s="189"/>
      <c r="K96" s="190" t="s">
        <v>8</v>
      </c>
      <c r="L96" s="191">
        <v>13733727.970000001</v>
      </c>
    </row>
    <row r="97" spans="1:12" ht="61.2" hidden="1" x14ac:dyDescent="0.3">
      <c r="A97" s="185" t="s">
        <v>34</v>
      </c>
      <c r="B97" s="186" t="s">
        <v>2047</v>
      </c>
      <c r="C97" s="186" t="s">
        <v>2068</v>
      </c>
      <c r="D97" s="186" t="s">
        <v>2049</v>
      </c>
      <c r="E97" s="187" t="s">
        <v>283</v>
      </c>
      <c r="F97" s="192">
        <v>71.2</v>
      </c>
      <c r="G97" s="192"/>
      <c r="H97" s="187" t="s">
        <v>14</v>
      </c>
      <c r="I97" s="189" t="s">
        <v>15</v>
      </c>
      <c r="J97" s="189"/>
      <c r="K97" s="190" t="s">
        <v>8</v>
      </c>
      <c r="L97" s="191">
        <v>13733799.17</v>
      </c>
    </row>
    <row r="98" spans="1:12" ht="61.2" hidden="1" x14ac:dyDescent="0.3">
      <c r="A98" s="185" t="s">
        <v>34</v>
      </c>
      <c r="B98" s="186" t="s">
        <v>2047</v>
      </c>
      <c r="C98" s="186" t="s">
        <v>2069</v>
      </c>
      <c r="D98" s="186" t="s">
        <v>2049</v>
      </c>
      <c r="E98" s="187" t="s">
        <v>283</v>
      </c>
      <c r="F98" s="192">
        <v>42</v>
      </c>
      <c r="G98" s="192"/>
      <c r="H98" s="187" t="s">
        <v>14</v>
      </c>
      <c r="I98" s="189" t="s">
        <v>15</v>
      </c>
      <c r="J98" s="189"/>
      <c r="K98" s="190" t="s">
        <v>8</v>
      </c>
      <c r="L98" s="191">
        <v>13733841.17</v>
      </c>
    </row>
    <row r="99" spans="1:12" ht="61.2" hidden="1" x14ac:dyDescent="0.3">
      <c r="A99" s="185" t="s">
        <v>34</v>
      </c>
      <c r="B99" s="186" t="s">
        <v>2047</v>
      </c>
      <c r="C99" s="186" t="s">
        <v>2070</v>
      </c>
      <c r="D99" s="186" t="s">
        <v>2049</v>
      </c>
      <c r="E99" s="187" t="s">
        <v>283</v>
      </c>
      <c r="F99" s="192">
        <v>345</v>
      </c>
      <c r="G99" s="192"/>
      <c r="H99" s="187" t="s">
        <v>14</v>
      </c>
      <c r="I99" s="189" t="s">
        <v>15</v>
      </c>
      <c r="J99" s="189"/>
      <c r="K99" s="190" t="s">
        <v>8</v>
      </c>
      <c r="L99" s="191">
        <v>13734186.17</v>
      </c>
    </row>
    <row r="100" spans="1:12" ht="51" hidden="1" x14ac:dyDescent="0.3">
      <c r="A100" s="185" t="s">
        <v>2071</v>
      </c>
      <c r="B100" s="186" t="s">
        <v>2072</v>
      </c>
      <c r="C100" s="186" t="s">
        <v>2073</v>
      </c>
      <c r="D100" s="186" t="s">
        <v>2074</v>
      </c>
      <c r="E100" s="187" t="s">
        <v>283</v>
      </c>
      <c r="F100" s="188">
        <v>38325.06</v>
      </c>
      <c r="G100" s="188"/>
      <c r="H100" s="187" t="s">
        <v>14</v>
      </c>
      <c r="I100" s="189" t="s">
        <v>15</v>
      </c>
      <c r="J100" s="189"/>
      <c r="K100" s="190" t="s">
        <v>8</v>
      </c>
      <c r="L100" s="191">
        <v>13772511.23</v>
      </c>
    </row>
    <row r="101" spans="1:12" ht="51" hidden="1" x14ac:dyDescent="0.3">
      <c r="A101" s="185" t="s">
        <v>1412</v>
      </c>
      <c r="B101" s="186" t="s">
        <v>2075</v>
      </c>
      <c r="C101" s="186" t="s">
        <v>2076</v>
      </c>
      <c r="D101" s="186" t="s">
        <v>2049</v>
      </c>
      <c r="E101" s="187" t="s">
        <v>283</v>
      </c>
      <c r="F101" s="188">
        <v>21262.6</v>
      </c>
      <c r="G101" s="188"/>
      <c r="H101" s="187" t="s">
        <v>14</v>
      </c>
      <c r="I101" s="189" t="s">
        <v>15</v>
      </c>
      <c r="J101" s="189"/>
      <c r="K101" s="190" t="s">
        <v>8</v>
      </c>
      <c r="L101" s="191">
        <v>13793773.83</v>
      </c>
    </row>
    <row r="102" spans="1:12" ht="51" hidden="1" x14ac:dyDescent="0.3">
      <c r="A102" s="185" t="s">
        <v>1412</v>
      </c>
      <c r="B102" s="186" t="s">
        <v>2075</v>
      </c>
      <c r="C102" s="186" t="s">
        <v>2077</v>
      </c>
      <c r="D102" s="186" t="s">
        <v>2049</v>
      </c>
      <c r="E102" s="187" t="s">
        <v>283</v>
      </c>
      <c r="F102" s="188">
        <v>28632.9</v>
      </c>
      <c r="G102" s="188"/>
      <c r="H102" s="187" t="s">
        <v>14</v>
      </c>
      <c r="I102" s="189" t="s">
        <v>15</v>
      </c>
      <c r="J102" s="189"/>
      <c r="K102" s="190" t="s">
        <v>8</v>
      </c>
      <c r="L102" s="191">
        <v>13822406.73</v>
      </c>
    </row>
    <row r="103" spans="1:12" ht="51" hidden="1" x14ac:dyDescent="0.3">
      <c r="A103" s="185" t="s">
        <v>1412</v>
      </c>
      <c r="B103" s="186" t="s">
        <v>2075</v>
      </c>
      <c r="C103" s="186" t="s">
        <v>2078</v>
      </c>
      <c r="D103" s="186" t="s">
        <v>2049</v>
      </c>
      <c r="E103" s="187" t="s">
        <v>283</v>
      </c>
      <c r="F103" s="188">
        <v>41212.800000000003</v>
      </c>
      <c r="G103" s="188"/>
      <c r="H103" s="187" t="s">
        <v>14</v>
      </c>
      <c r="I103" s="189" t="s">
        <v>15</v>
      </c>
      <c r="J103" s="189"/>
      <c r="K103" s="190" t="s">
        <v>8</v>
      </c>
      <c r="L103" s="191">
        <v>13863619.529999999</v>
      </c>
    </row>
    <row r="104" spans="1:12" ht="51" hidden="1" x14ac:dyDescent="0.3">
      <c r="A104" s="185" t="s">
        <v>74</v>
      </c>
      <c r="B104" s="186" t="s">
        <v>2079</v>
      </c>
      <c r="C104" s="186" t="s">
        <v>2080</v>
      </c>
      <c r="D104" s="186" t="s">
        <v>2081</v>
      </c>
      <c r="E104" s="187" t="s">
        <v>283</v>
      </c>
      <c r="F104" s="188">
        <v>38325.06</v>
      </c>
      <c r="G104" s="188"/>
      <c r="H104" s="187" t="s">
        <v>14</v>
      </c>
      <c r="I104" s="189" t="s">
        <v>15</v>
      </c>
      <c r="J104" s="189"/>
      <c r="K104" s="190" t="s">
        <v>8</v>
      </c>
      <c r="L104" s="191">
        <v>13901944.59</v>
      </c>
    </row>
    <row r="105" spans="1:12" ht="51" hidden="1" x14ac:dyDescent="0.3">
      <c r="A105" s="185" t="s">
        <v>74</v>
      </c>
      <c r="B105" s="186" t="s">
        <v>2082</v>
      </c>
      <c r="C105" s="186" t="s">
        <v>2083</v>
      </c>
      <c r="D105" s="186" t="s">
        <v>2084</v>
      </c>
      <c r="E105" s="187" t="s">
        <v>283</v>
      </c>
      <c r="F105" s="188">
        <v>38325.06</v>
      </c>
      <c r="G105" s="188"/>
      <c r="H105" s="187" t="s">
        <v>14</v>
      </c>
      <c r="I105" s="189" t="s">
        <v>15</v>
      </c>
      <c r="J105" s="189"/>
      <c r="K105" s="190" t="s">
        <v>8</v>
      </c>
      <c r="L105" s="191">
        <v>13940269.65</v>
      </c>
    </row>
    <row r="106" spans="1:12" ht="51" hidden="1" x14ac:dyDescent="0.3">
      <c r="A106" s="185" t="s">
        <v>74</v>
      </c>
      <c r="B106" s="186" t="s">
        <v>2085</v>
      </c>
      <c r="C106" s="186" t="s">
        <v>2086</v>
      </c>
      <c r="D106" s="186" t="s">
        <v>2087</v>
      </c>
      <c r="E106" s="187" t="s">
        <v>283</v>
      </c>
      <c r="F106" s="188">
        <v>38325.06</v>
      </c>
      <c r="G106" s="188"/>
      <c r="H106" s="187" t="s">
        <v>14</v>
      </c>
      <c r="I106" s="189" t="s">
        <v>15</v>
      </c>
      <c r="J106" s="189"/>
      <c r="K106" s="190" t="s">
        <v>8</v>
      </c>
      <c r="L106" s="191">
        <v>13978594.710000001</v>
      </c>
    </row>
    <row r="107" spans="1:12" ht="61.2" hidden="1" x14ac:dyDescent="0.3">
      <c r="A107" s="185" t="s">
        <v>74</v>
      </c>
      <c r="B107" s="186" t="s">
        <v>2088</v>
      </c>
      <c r="C107" s="186" t="s">
        <v>2089</v>
      </c>
      <c r="D107" s="186" t="s">
        <v>356</v>
      </c>
      <c r="E107" s="187" t="s">
        <v>283</v>
      </c>
      <c r="F107" s="188">
        <v>1760</v>
      </c>
      <c r="G107" s="188"/>
      <c r="H107" s="187" t="s">
        <v>243</v>
      </c>
      <c r="I107" s="189" t="s">
        <v>15</v>
      </c>
      <c r="J107" s="189"/>
      <c r="K107" s="190" t="s">
        <v>8</v>
      </c>
      <c r="L107" s="191">
        <v>13980354.710000001</v>
      </c>
    </row>
    <row r="108" spans="1:12" ht="51" hidden="1" x14ac:dyDescent="0.3">
      <c r="A108" s="185" t="s">
        <v>89</v>
      </c>
      <c r="B108" s="186" t="s">
        <v>2090</v>
      </c>
      <c r="C108" s="186" t="s">
        <v>2091</v>
      </c>
      <c r="D108" s="186" t="s">
        <v>2092</v>
      </c>
      <c r="E108" s="187" t="s">
        <v>283</v>
      </c>
      <c r="F108" s="188">
        <v>11362.5</v>
      </c>
      <c r="G108" s="188"/>
      <c r="H108" s="187" t="s">
        <v>14</v>
      </c>
      <c r="I108" s="189" t="s">
        <v>15</v>
      </c>
      <c r="J108" s="189"/>
      <c r="K108" s="190" t="s">
        <v>8</v>
      </c>
      <c r="L108" s="191">
        <v>13991717.210000001</v>
      </c>
    </row>
    <row r="109" spans="1:12" ht="51" hidden="1" x14ac:dyDescent="0.3">
      <c r="A109" s="185" t="s">
        <v>89</v>
      </c>
      <c r="B109" s="186" t="s">
        <v>2093</v>
      </c>
      <c r="C109" s="186" t="s">
        <v>2094</v>
      </c>
      <c r="D109" s="186" t="s">
        <v>2095</v>
      </c>
      <c r="E109" s="187" t="s">
        <v>283</v>
      </c>
      <c r="F109" s="188">
        <v>38325.06</v>
      </c>
      <c r="G109" s="188"/>
      <c r="H109" s="187" t="s">
        <v>14</v>
      </c>
      <c r="I109" s="189" t="s">
        <v>15</v>
      </c>
      <c r="J109" s="189"/>
      <c r="K109" s="190" t="s">
        <v>8</v>
      </c>
      <c r="L109" s="191">
        <v>14030042.27</v>
      </c>
    </row>
    <row r="110" spans="1:12" ht="51" hidden="1" x14ac:dyDescent="0.3">
      <c r="A110" s="185" t="s">
        <v>89</v>
      </c>
      <c r="B110" s="186" t="s">
        <v>2096</v>
      </c>
      <c r="C110" s="186" t="s">
        <v>2097</v>
      </c>
      <c r="D110" s="186" t="s">
        <v>2098</v>
      </c>
      <c r="E110" s="187" t="s">
        <v>283</v>
      </c>
      <c r="F110" s="188">
        <v>38325.06</v>
      </c>
      <c r="G110" s="188"/>
      <c r="H110" s="187" t="s">
        <v>14</v>
      </c>
      <c r="I110" s="189" t="s">
        <v>15</v>
      </c>
      <c r="J110" s="189"/>
      <c r="K110" s="190" t="s">
        <v>8</v>
      </c>
      <c r="L110" s="191">
        <v>14068367.33</v>
      </c>
    </row>
    <row r="111" spans="1:12" ht="51" hidden="1" x14ac:dyDescent="0.3">
      <c r="A111" s="185" t="s">
        <v>89</v>
      </c>
      <c r="B111" s="186" t="s">
        <v>2099</v>
      </c>
      <c r="C111" s="186" t="s">
        <v>2100</v>
      </c>
      <c r="D111" s="186" t="s">
        <v>2101</v>
      </c>
      <c r="E111" s="187" t="s">
        <v>283</v>
      </c>
      <c r="F111" s="188">
        <v>38325.06</v>
      </c>
      <c r="G111" s="188"/>
      <c r="H111" s="187" t="s">
        <v>14</v>
      </c>
      <c r="I111" s="189" t="s">
        <v>15</v>
      </c>
      <c r="J111" s="189"/>
      <c r="K111" s="190" t="s">
        <v>8</v>
      </c>
      <c r="L111" s="191">
        <v>14106692.390000001</v>
      </c>
    </row>
    <row r="112" spans="1:12" ht="61.2" hidden="1" x14ac:dyDescent="0.3">
      <c r="A112" s="185" t="s">
        <v>113</v>
      </c>
      <c r="B112" s="186" t="s">
        <v>2102</v>
      </c>
      <c r="C112" s="186" t="s">
        <v>2103</v>
      </c>
      <c r="D112" s="186" t="s">
        <v>2033</v>
      </c>
      <c r="E112" s="187" t="s">
        <v>283</v>
      </c>
      <c r="F112" s="188">
        <v>6704.5</v>
      </c>
      <c r="G112" s="188"/>
      <c r="H112" s="187" t="s">
        <v>14</v>
      </c>
      <c r="I112" s="189" t="s">
        <v>15</v>
      </c>
      <c r="J112" s="189"/>
      <c r="K112" s="190" t="s">
        <v>8</v>
      </c>
      <c r="L112" s="191">
        <v>14113396.890000001</v>
      </c>
    </row>
    <row r="113" spans="1:12" ht="51" hidden="1" x14ac:dyDescent="0.3">
      <c r="A113" s="185" t="s">
        <v>113</v>
      </c>
      <c r="B113" s="186" t="s">
        <v>2104</v>
      </c>
      <c r="C113" s="186" t="s">
        <v>2105</v>
      </c>
      <c r="D113" s="186" t="s">
        <v>2106</v>
      </c>
      <c r="E113" s="187" t="s">
        <v>283</v>
      </c>
      <c r="F113" s="188">
        <v>38469.870000000003</v>
      </c>
      <c r="G113" s="188"/>
      <c r="H113" s="187" t="s">
        <v>14</v>
      </c>
      <c r="I113" s="189" t="s">
        <v>15</v>
      </c>
      <c r="J113" s="189"/>
      <c r="K113" s="190" t="s">
        <v>8</v>
      </c>
      <c r="L113" s="191">
        <v>14151866.76</v>
      </c>
    </row>
    <row r="114" spans="1:12" ht="51" hidden="1" x14ac:dyDescent="0.3">
      <c r="A114" s="185" t="s">
        <v>113</v>
      </c>
      <c r="B114" s="186" t="s">
        <v>2107</v>
      </c>
      <c r="C114" s="186" t="s">
        <v>2108</v>
      </c>
      <c r="D114" s="186" t="s">
        <v>2109</v>
      </c>
      <c r="E114" s="187" t="s">
        <v>283</v>
      </c>
      <c r="F114" s="188">
        <v>38469.870000000003</v>
      </c>
      <c r="G114" s="188"/>
      <c r="H114" s="187" t="s">
        <v>14</v>
      </c>
      <c r="I114" s="189" t="s">
        <v>15</v>
      </c>
      <c r="J114" s="189"/>
      <c r="K114" s="190" t="s">
        <v>8</v>
      </c>
      <c r="L114" s="191">
        <v>14190336.630000001</v>
      </c>
    </row>
    <row r="115" spans="1:12" ht="51" hidden="1" x14ac:dyDescent="0.3">
      <c r="A115" s="185" t="s">
        <v>113</v>
      </c>
      <c r="B115" s="186" t="s">
        <v>2110</v>
      </c>
      <c r="C115" s="186" t="s">
        <v>2111</v>
      </c>
      <c r="D115" s="186" t="s">
        <v>2112</v>
      </c>
      <c r="E115" s="187" t="s">
        <v>283</v>
      </c>
      <c r="F115" s="188">
        <v>38325.06</v>
      </c>
      <c r="G115" s="188"/>
      <c r="H115" s="187" t="s">
        <v>14</v>
      </c>
      <c r="I115" s="189" t="s">
        <v>15</v>
      </c>
      <c r="J115" s="189"/>
      <c r="K115" s="190" t="s">
        <v>8</v>
      </c>
      <c r="L115" s="191">
        <v>14228661.689999999</v>
      </c>
    </row>
    <row r="116" spans="1:12" ht="51" hidden="1" x14ac:dyDescent="0.3">
      <c r="A116" s="185" t="s">
        <v>113</v>
      </c>
      <c r="B116" s="186" t="s">
        <v>2113</v>
      </c>
      <c r="C116" s="186" t="s">
        <v>2114</v>
      </c>
      <c r="D116" s="186" t="s">
        <v>2115</v>
      </c>
      <c r="E116" s="187" t="s">
        <v>283</v>
      </c>
      <c r="F116" s="188">
        <v>25808.25</v>
      </c>
      <c r="G116" s="188"/>
      <c r="H116" s="187" t="s">
        <v>14</v>
      </c>
      <c r="I116" s="189" t="s">
        <v>15</v>
      </c>
      <c r="J116" s="189"/>
      <c r="K116" s="190" t="s">
        <v>8</v>
      </c>
      <c r="L116" s="191">
        <v>14254469.939999999</v>
      </c>
    </row>
    <row r="117" spans="1:12" ht="51" hidden="1" x14ac:dyDescent="0.3">
      <c r="A117" s="185" t="s">
        <v>113</v>
      </c>
      <c r="B117" s="186" t="s">
        <v>2116</v>
      </c>
      <c r="C117" s="186" t="s">
        <v>2117</v>
      </c>
      <c r="D117" s="186" t="s">
        <v>2118</v>
      </c>
      <c r="E117" s="187" t="s">
        <v>283</v>
      </c>
      <c r="F117" s="188">
        <v>38325.06</v>
      </c>
      <c r="G117" s="188"/>
      <c r="H117" s="187" t="s">
        <v>14</v>
      </c>
      <c r="I117" s="189" t="s">
        <v>15</v>
      </c>
      <c r="J117" s="189"/>
      <c r="K117" s="190" t="s">
        <v>8</v>
      </c>
      <c r="L117" s="191">
        <v>14292795</v>
      </c>
    </row>
    <row r="118" spans="1:12" ht="51" hidden="1" x14ac:dyDescent="0.3">
      <c r="A118" s="185" t="s">
        <v>113</v>
      </c>
      <c r="B118" s="186" t="s">
        <v>2119</v>
      </c>
      <c r="C118" s="186" t="s">
        <v>2120</v>
      </c>
      <c r="D118" s="186" t="s">
        <v>2121</v>
      </c>
      <c r="E118" s="187" t="s">
        <v>283</v>
      </c>
      <c r="F118" s="188">
        <v>23975</v>
      </c>
      <c r="G118" s="188"/>
      <c r="H118" s="187" t="s">
        <v>14</v>
      </c>
      <c r="I118" s="189" t="s">
        <v>15</v>
      </c>
      <c r="J118" s="189"/>
      <c r="K118" s="190" t="s">
        <v>8</v>
      </c>
      <c r="L118" s="191">
        <v>14316770</v>
      </c>
    </row>
    <row r="119" spans="1:12" ht="51" hidden="1" x14ac:dyDescent="0.3">
      <c r="A119" s="185" t="s">
        <v>113</v>
      </c>
      <c r="B119" s="186" t="s">
        <v>2122</v>
      </c>
      <c r="C119" s="186" t="s">
        <v>2123</v>
      </c>
      <c r="D119" s="186" t="s">
        <v>2124</v>
      </c>
      <c r="E119" s="187" t="s">
        <v>283</v>
      </c>
      <c r="F119" s="188">
        <v>38325.06</v>
      </c>
      <c r="G119" s="188"/>
      <c r="H119" s="187" t="s">
        <v>14</v>
      </c>
      <c r="I119" s="189" t="s">
        <v>15</v>
      </c>
      <c r="J119" s="189"/>
      <c r="K119" s="190" t="s">
        <v>8</v>
      </c>
      <c r="L119" s="191">
        <v>14355095.060000001</v>
      </c>
    </row>
    <row r="120" spans="1:12" ht="61.2" x14ac:dyDescent="0.3">
      <c r="A120" s="185" t="s">
        <v>167</v>
      </c>
      <c r="B120" s="186" t="s">
        <v>2125</v>
      </c>
      <c r="C120" s="186" t="s">
        <v>2126</v>
      </c>
      <c r="D120" s="186" t="s">
        <v>2127</v>
      </c>
      <c r="E120" s="187" t="s">
        <v>42</v>
      </c>
      <c r="F120" s="193" t="s">
        <v>15</v>
      </c>
      <c r="G120" s="193"/>
      <c r="H120" s="187" t="s">
        <v>283</v>
      </c>
      <c r="I120" s="194">
        <v>4470.3599999999997</v>
      </c>
      <c r="J120" s="194"/>
      <c r="K120" s="190" t="s">
        <v>8</v>
      </c>
      <c r="L120" s="191">
        <v>14350624.699999999</v>
      </c>
    </row>
    <row r="121" spans="1:12" ht="61.2" x14ac:dyDescent="0.3">
      <c r="A121" s="185" t="s">
        <v>167</v>
      </c>
      <c r="B121" s="186" t="s">
        <v>2125</v>
      </c>
      <c r="C121" s="186" t="s">
        <v>2126</v>
      </c>
      <c r="D121" s="186" t="s">
        <v>2128</v>
      </c>
      <c r="E121" s="187" t="s">
        <v>42</v>
      </c>
      <c r="F121" s="193" t="s">
        <v>15</v>
      </c>
      <c r="G121" s="193"/>
      <c r="H121" s="187" t="s">
        <v>283</v>
      </c>
      <c r="I121" s="194">
        <v>15571.64</v>
      </c>
      <c r="J121" s="194"/>
      <c r="K121" s="190" t="s">
        <v>8</v>
      </c>
      <c r="L121" s="191">
        <v>14335053.060000001</v>
      </c>
    </row>
    <row r="122" spans="1:12" ht="61.2" x14ac:dyDescent="0.3">
      <c r="A122" s="185" t="s">
        <v>167</v>
      </c>
      <c r="B122" s="186" t="s">
        <v>2125</v>
      </c>
      <c r="C122" s="186" t="s">
        <v>2126</v>
      </c>
      <c r="D122" s="186" t="s">
        <v>2129</v>
      </c>
      <c r="E122" s="187" t="s">
        <v>42</v>
      </c>
      <c r="F122" s="193" t="s">
        <v>15</v>
      </c>
      <c r="G122" s="193"/>
      <c r="H122" s="187" t="s">
        <v>283</v>
      </c>
      <c r="I122" s="194">
        <v>6206.39</v>
      </c>
      <c r="J122" s="194"/>
      <c r="K122" s="190" t="s">
        <v>8</v>
      </c>
      <c r="L122" s="191">
        <v>14328846.67</v>
      </c>
    </row>
    <row r="123" spans="1:12" ht="61.2" x14ac:dyDescent="0.3">
      <c r="A123" s="185" t="s">
        <v>167</v>
      </c>
      <c r="B123" s="186" t="s">
        <v>2125</v>
      </c>
      <c r="C123" s="186" t="s">
        <v>2126</v>
      </c>
      <c r="D123" s="186" t="s">
        <v>2130</v>
      </c>
      <c r="E123" s="187" t="s">
        <v>42</v>
      </c>
      <c r="F123" s="193" t="s">
        <v>15</v>
      </c>
      <c r="G123" s="193"/>
      <c r="H123" s="187" t="s">
        <v>283</v>
      </c>
      <c r="I123" s="194">
        <v>11981.02</v>
      </c>
      <c r="J123" s="194"/>
      <c r="K123" s="190" t="s">
        <v>8</v>
      </c>
      <c r="L123" s="191">
        <v>14316865.65</v>
      </c>
    </row>
    <row r="124" spans="1:12" ht="61.2" x14ac:dyDescent="0.3">
      <c r="A124" s="185" t="s">
        <v>167</v>
      </c>
      <c r="B124" s="186" t="s">
        <v>2125</v>
      </c>
      <c r="C124" s="186" t="s">
        <v>2126</v>
      </c>
      <c r="D124" s="186" t="s">
        <v>2131</v>
      </c>
      <c r="E124" s="187" t="s">
        <v>42</v>
      </c>
      <c r="F124" s="193" t="s">
        <v>15</v>
      </c>
      <c r="G124" s="193"/>
      <c r="H124" s="187" t="s">
        <v>283</v>
      </c>
      <c r="I124" s="194">
        <v>4448.97</v>
      </c>
      <c r="J124" s="194"/>
      <c r="K124" s="190" t="s">
        <v>8</v>
      </c>
      <c r="L124" s="191">
        <v>14312416.68</v>
      </c>
    </row>
    <row r="125" spans="1:12" ht="51" x14ac:dyDescent="0.3">
      <c r="A125" s="185" t="s">
        <v>167</v>
      </c>
      <c r="B125" s="186" t="s">
        <v>2125</v>
      </c>
      <c r="C125" s="186" t="s">
        <v>2126</v>
      </c>
      <c r="D125" s="186" t="s">
        <v>2132</v>
      </c>
      <c r="E125" s="187" t="s">
        <v>42</v>
      </c>
      <c r="F125" s="193" t="s">
        <v>15</v>
      </c>
      <c r="G125" s="193"/>
      <c r="H125" s="187" t="s">
        <v>283</v>
      </c>
      <c r="I125" s="194">
        <v>1012.1</v>
      </c>
      <c r="J125" s="194"/>
      <c r="K125" s="190" t="s">
        <v>8</v>
      </c>
      <c r="L125" s="191">
        <v>14311404.58</v>
      </c>
    </row>
    <row r="126" spans="1:12" ht="51" x14ac:dyDescent="0.3">
      <c r="A126" s="185" t="s">
        <v>167</v>
      </c>
      <c r="B126" s="186" t="s">
        <v>2125</v>
      </c>
      <c r="C126" s="186" t="s">
        <v>2126</v>
      </c>
      <c r="D126" s="186" t="s">
        <v>1968</v>
      </c>
      <c r="E126" s="187" t="s">
        <v>42</v>
      </c>
      <c r="F126" s="193" t="s">
        <v>15</v>
      </c>
      <c r="G126" s="193"/>
      <c r="H126" s="187" t="s">
        <v>283</v>
      </c>
      <c r="I126" s="194">
        <v>37583.97</v>
      </c>
      <c r="J126" s="194"/>
      <c r="K126" s="190" t="s">
        <v>8</v>
      </c>
      <c r="L126" s="191">
        <v>14273820.609999999</v>
      </c>
    </row>
    <row r="127" spans="1:12" ht="51" x14ac:dyDescent="0.3">
      <c r="A127" s="185" t="s">
        <v>167</v>
      </c>
      <c r="B127" s="186" t="s">
        <v>2125</v>
      </c>
      <c r="C127" s="186" t="s">
        <v>2126</v>
      </c>
      <c r="D127" s="186" t="s">
        <v>1982</v>
      </c>
      <c r="E127" s="187" t="s">
        <v>42</v>
      </c>
      <c r="F127" s="193" t="s">
        <v>15</v>
      </c>
      <c r="G127" s="193"/>
      <c r="H127" s="187" t="s">
        <v>283</v>
      </c>
      <c r="I127" s="194">
        <v>18772.5</v>
      </c>
      <c r="J127" s="194"/>
      <c r="K127" s="190" t="s">
        <v>8</v>
      </c>
      <c r="L127" s="191">
        <v>14255048.109999999</v>
      </c>
    </row>
    <row r="128" spans="1:12" ht="51" x14ac:dyDescent="0.3">
      <c r="A128" s="185" t="s">
        <v>167</v>
      </c>
      <c r="B128" s="186" t="s">
        <v>2125</v>
      </c>
      <c r="C128" s="186" t="s">
        <v>2126</v>
      </c>
      <c r="D128" s="186" t="s">
        <v>2133</v>
      </c>
      <c r="E128" s="187" t="s">
        <v>42</v>
      </c>
      <c r="F128" s="193" t="s">
        <v>15</v>
      </c>
      <c r="G128" s="193"/>
      <c r="H128" s="187" t="s">
        <v>283</v>
      </c>
      <c r="I128" s="194">
        <v>11286.72</v>
      </c>
      <c r="J128" s="194"/>
      <c r="K128" s="190" t="s">
        <v>8</v>
      </c>
      <c r="L128" s="191">
        <v>14243761.390000001</v>
      </c>
    </row>
    <row r="129" spans="1:12" ht="51" x14ac:dyDescent="0.3">
      <c r="A129" s="185" t="s">
        <v>167</v>
      </c>
      <c r="B129" s="186" t="s">
        <v>2125</v>
      </c>
      <c r="C129" s="186" t="s">
        <v>2126</v>
      </c>
      <c r="D129" s="186" t="s">
        <v>2134</v>
      </c>
      <c r="E129" s="187" t="s">
        <v>42</v>
      </c>
      <c r="F129" s="193" t="s">
        <v>15</v>
      </c>
      <c r="G129" s="193"/>
      <c r="H129" s="187" t="s">
        <v>283</v>
      </c>
      <c r="I129" s="194">
        <v>1229.0999999999999</v>
      </c>
      <c r="J129" s="194"/>
      <c r="K129" s="190" t="s">
        <v>8</v>
      </c>
      <c r="L129" s="191">
        <v>14242532.289999999</v>
      </c>
    </row>
    <row r="130" spans="1:12" ht="51" x14ac:dyDescent="0.3">
      <c r="A130" s="185" t="s">
        <v>167</v>
      </c>
      <c r="B130" s="186" t="s">
        <v>2125</v>
      </c>
      <c r="C130" s="186" t="s">
        <v>2126</v>
      </c>
      <c r="D130" s="186" t="s">
        <v>2134</v>
      </c>
      <c r="E130" s="187" t="s">
        <v>42</v>
      </c>
      <c r="F130" s="193" t="s">
        <v>15</v>
      </c>
      <c r="G130" s="193"/>
      <c r="H130" s="187" t="s">
        <v>283</v>
      </c>
      <c r="I130" s="195">
        <v>116.45</v>
      </c>
      <c r="J130" s="195"/>
      <c r="K130" s="190" t="s">
        <v>8</v>
      </c>
      <c r="L130" s="191">
        <v>14242415.84</v>
      </c>
    </row>
    <row r="131" spans="1:12" ht="51" x14ac:dyDescent="0.3">
      <c r="A131" s="185" t="s">
        <v>167</v>
      </c>
      <c r="B131" s="186" t="s">
        <v>2125</v>
      </c>
      <c r="C131" s="186" t="s">
        <v>2126</v>
      </c>
      <c r="D131" s="186" t="s">
        <v>2135</v>
      </c>
      <c r="E131" s="187" t="s">
        <v>42</v>
      </c>
      <c r="F131" s="193" t="s">
        <v>15</v>
      </c>
      <c r="G131" s="193"/>
      <c r="H131" s="187" t="s">
        <v>283</v>
      </c>
      <c r="I131" s="194">
        <v>1379.49</v>
      </c>
      <c r="J131" s="194"/>
      <c r="K131" s="190" t="s">
        <v>8</v>
      </c>
      <c r="L131" s="191">
        <v>14241036.35</v>
      </c>
    </row>
    <row r="132" spans="1:12" ht="51" x14ac:dyDescent="0.3">
      <c r="A132" s="185" t="s">
        <v>167</v>
      </c>
      <c r="B132" s="186" t="s">
        <v>2125</v>
      </c>
      <c r="C132" s="186" t="s">
        <v>2126</v>
      </c>
      <c r="D132" s="186" t="s">
        <v>2136</v>
      </c>
      <c r="E132" s="187" t="s">
        <v>42</v>
      </c>
      <c r="F132" s="193" t="s">
        <v>15</v>
      </c>
      <c r="G132" s="193"/>
      <c r="H132" s="187" t="s">
        <v>283</v>
      </c>
      <c r="I132" s="194">
        <v>5511.04</v>
      </c>
      <c r="J132" s="194"/>
      <c r="K132" s="190" t="s">
        <v>8</v>
      </c>
      <c r="L132" s="191">
        <v>14235525.310000001</v>
      </c>
    </row>
    <row r="133" spans="1:12" ht="51" x14ac:dyDescent="0.3">
      <c r="A133" s="185" t="s">
        <v>167</v>
      </c>
      <c r="B133" s="186" t="s">
        <v>2125</v>
      </c>
      <c r="C133" s="186" t="s">
        <v>2126</v>
      </c>
      <c r="D133" s="186" t="s">
        <v>2136</v>
      </c>
      <c r="E133" s="187" t="s">
        <v>42</v>
      </c>
      <c r="F133" s="193" t="s">
        <v>15</v>
      </c>
      <c r="G133" s="193"/>
      <c r="H133" s="187" t="s">
        <v>283</v>
      </c>
      <c r="I133" s="194">
        <v>24714.02</v>
      </c>
      <c r="J133" s="194"/>
      <c r="K133" s="190" t="s">
        <v>8</v>
      </c>
      <c r="L133" s="191">
        <v>14210811.289999999</v>
      </c>
    </row>
    <row r="134" spans="1:12" ht="51" x14ac:dyDescent="0.3">
      <c r="A134" s="185" t="s">
        <v>167</v>
      </c>
      <c r="B134" s="186" t="s">
        <v>2125</v>
      </c>
      <c r="C134" s="186" t="s">
        <v>2126</v>
      </c>
      <c r="D134" s="186" t="s">
        <v>2137</v>
      </c>
      <c r="E134" s="187" t="s">
        <v>42</v>
      </c>
      <c r="F134" s="193" t="s">
        <v>15</v>
      </c>
      <c r="G134" s="193"/>
      <c r="H134" s="187" t="s">
        <v>283</v>
      </c>
      <c r="I134" s="194">
        <v>4040</v>
      </c>
      <c r="J134" s="194"/>
      <c r="K134" s="190" t="s">
        <v>8</v>
      </c>
      <c r="L134" s="191">
        <v>14206771.289999999</v>
      </c>
    </row>
    <row r="135" spans="1:12" ht="51" x14ac:dyDescent="0.3">
      <c r="A135" s="185" t="s">
        <v>167</v>
      </c>
      <c r="B135" s="186" t="s">
        <v>2125</v>
      </c>
      <c r="C135" s="186" t="s">
        <v>2126</v>
      </c>
      <c r="D135" s="186" t="s">
        <v>2138</v>
      </c>
      <c r="E135" s="187" t="s">
        <v>42</v>
      </c>
      <c r="F135" s="193" t="s">
        <v>15</v>
      </c>
      <c r="G135" s="193"/>
      <c r="H135" s="187" t="s">
        <v>283</v>
      </c>
      <c r="I135" s="195">
        <v>137.69</v>
      </c>
      <c r="J135" s="195"/>
      <c r="K135" s="190" t="s">
        <v>8</v>
      </c>
      <c r="L135" s="191">
        <v>14206633.6</v>
      </c>
    </row>
    <row r="136" spans="1:12" ht="51" x14ac:dyDescent="0.3">
      <c r="A136" s="185" t="s">
        <v>167</v>
      </c>
      <c r="B136" s="186" t="s">
        <v>2125</v>
      </c>
      <c r="C136" s="186" t="s">
        <v>2126</v>
      </c>
      <c r="D136" s="186" t="s">
        <v>2138</v>
      </c>
      <c r="E136" s="187" t="s">
        <v>42</v>
      </c>
      <c r="F136" s="193" t="s">
        <v>15</v>
      </c>
      <c r="G136" s="193"/>
      <c r="H136" s="187" t="s">
        <v>283</v>
      </c>
      <c r="I136" s="194">
        <v>30087.37</v>
      </c>
      <c r="J136" s="194"/>
      <c r="K136" s="190" t="s">
        <v>8</v>
      </c>
      <c r="L136" s="191">
        <v>14176546.23</v>
      </c>
    </row>
    <row r="137" spans="1:12" ht="51" x14ac:dyDescent="0.3">
      <c r="A137" s="185" t="s">
        <v>167</v>
      </c>
      <c r="B137" s="186" t="s">
        <v>2125</v>
      </c>
      <c r="C137" s="186" t="s">
        <v>2126</v>
      </c>
      <c r="D137" s="186" t="s">
        <v>1928</v>
      </c>
      <c r="E137" s="187" t="s">
        <v>42</v>
      </c>
      <c r="F137" s="193" t="s">
        <v>15</v>
      </c>
      <c r="G137" s="193"/>
      <c r="H137" s="187" t="s">
        <v>283</v>
      </c>
      <c r="I137" s="195">
        <v>103.52</v>
      </c>
      <c r="J137" s="195"/>
      <c r="K137" s="190" t="s">
        <v>8</v>
      </c>
      <c r="L137" s="191">
        <v>14176442.710000001</v>
      </c>
    </row>
    <row r="138" spans="1:12" ht="51" x14ac:dyDescent="0.3">
      <c r="A138" s="185" t="s">
        <v>167</v>
      </c>
      <c r="B138" s="186" t="s">
        <v>2125</v>
      </c>
      <c r="C138" s="186" t="s">
        <v>2126</v>
      </c>
      <c r="D138" s="186" t="s">
        <v>1928</v>
      </c>
      <c r="E138" s="187" t="s">
        <v>42</v>
      </c>
      <c r="F138" s="193" t="s">
        <v>15</v>
      </c>
      <c r="G138" s="193"/>
      <c r="H138" s="187" t="s">
        <v>283</v>
      </c>
      <c r="I138" s="195">
        <v>906.48</v>
      </c>
      <c r="J138" s="195"/>
      <c r="K138" s="190" t="s">
        <v>8</v>
      </c>
      <c r="L138" s="191">
        <v>14175536.23</v>
      </c>
    </row>
    <row r="139" spans="1:12" ht="51" x14ac:dyDescent="0.3">
      <c r="A139" s="185" t="s">
        <v>167</v>
      </c>
      <c r="B139" s="186" t="s">
        <v>2125</v>
      </c>
      <c r="C139" s="186" t="s">
        <v>2126</v>
      </c>
      <c r="D139" s="186" t="s">
        <v>1928</v>
      </c>
      <c r="E139" s="187" t="s">
        <v>42</v>
      </c>
      <c r="F139" s="193" t="s">
        <v>15</v>
      </c>
      <c r="G139" s="193"/>
      <c r="H139" s="187" t="s">
        <v>283</v>
      </c>
      <c r="I139" s="194">
        <v>1358.45</v>
      </c>
      <c r="J139" s="194"/>
      <c r="K139" s="190" t="s">
        <v>8</v>
      </c>
      <c r="L139" s="191">
        <v>14174177.779999999</v>
      </c>
    </row>
    <row r="140" spans="1:12" ht="51" x14ac:dyDescent="0.3">
      <c r="A140" s="185" t="s">
        <v>167</v>
      </c>
      <c r="B140" s="186" t="s">
        <v>2125</v>
      </c>
      <c r="C140" s="186" t="s">
        <v>2126</v>
      </c>
      <c r="D140" s="186" t="s">
        <v>2139</v>
      </c>
      <c r="E140" s="187" t="s">
        <v>42</v>
      </c>
      <c r="F140" s="193" t="s">
        <v>15</v>
      </c>
      <c r="G140" s="193"/>
      <c r="H140" s="187" t="s">
        <v>283</v>
      </c>
      <c r="I140" s="194">
        <v>7574.57</v>
      </c>
      <c r="J140" s="194"/>
      <c r="K140" s="190" t="s">
        <v>8</v>
      </c>
      <c r="L140" s="191">
        <v>14166603.210000001</v>
      </c>
    </row>
    <row r="141" spans="1:12" ht="51" hidden="1" x14ac:dyDescent="0.3">
      <c r="A141" s="185" t="s">
        <v>167</v>
      </c>
      <c r="B141" s="186" t="s">
        <v>2140</v>
      </c>
      <c r="C141" s="186" t="s">
        <v>2141</v>
      </c>
      <c r="D141" s="186" t="s">
        <v>2142</v>
      </c>
      <c r="E141" s="187" t="s">
        <v>283</v>
      </c>
      <c r="F141" s="188">
        <v>13887.5</v>
      </c>
      <c r="G141" s="188"/>
      <c r="H141" s="187" t="s">
        <v>14</v>
      </c>
      <c r="I141" s="189" t="s">
        <v>15</v>
      </c>
      <c r="J141" s="189"/>
      <c r="K141" s="190" t="s">
        <v>8</v>
      </c>
      <c r="L141" s="191">
        <v>14180490.710000001</v>
      </c>
    </row>
    <row r="142" spans="1:12" ht="51" x14ac:dyDescent="0.3">
      <c r="A142" s="185" t="s">
        <v>167</v>
      </c>
      <c r="B142" s="186" t="s">
        <v>2143</v>
      </c>
      <c r="C142" s="186" t="s">
        <v>2126</v>
      </c>
      <c r="D142" s="186" t="s">
        <v>2144</v>
      </c>
      <c r="E142" s="187" t="s">
        <v>42</v>
      </c>
      <c r="F142" s="193" t="s">
        <v>15</v>
      </c>
      <c r="G142" s="193"/>
      <c r="H142" s="187" t="s">
        <v>283</v>
      </c>
      <c r="I142" s="194">
        <v>52158.54</v>
      </c>
      <c r="J142" s="194"/>
      <c r="K142" s="190" t="s">
        <v>8</v>
      </c>
      <c r="L142" s="191">
        <v>14128332.17</v>
      </c>
    </row>
    <row r="143" spans="1:12" ht="61.2" x14ac:dyDescent="0.3">
      <c r="A143" s="185" t="s">
        <v>167</v>
      </c>
      <c r="B143" s="186" t="s">
        <v>2143</v>
      </c>
      <c r="C143" s="186" t="s">
        <v>2126</v>
      </c>
      <c r="D143" s="186" t="s">
        <v>2145</v>
      </c>
      <c r="E143" s="187" t="s">
        <v>42</v>
      </c>
      <c r="F143" s="193" t="s">
        <v>15</v>
      </c>
      <c r="G143" s="193"/>
      <c r="H143" s="187" t="s">
        <v>283</v>
      </c>
      <c r="I143" s="194">
        <v>16842.669999999998</v>
      </c>
      <c r="J143" s="194"/>
      <c r="K143" s="190" t="s">
        <v>8</v>
      </c>
      <c r="L143" s="191">
        <v>14111489.5</v>
      </c>
    </row>
    <row r="144" spans="1:12" ht="61.2" x14ac:dyDescent="0.3">
      <c r="A144" s="185" t="s">
        <v>167</v>
      </c>
      <c r="B144" s="186" t="s">
        <v>2143</v>
      </c>
      <c r="C144" s="186" t="s">
        <v>2126</v>
      </c>
      <c r="D144" s="186" t="s">
        <v>2146</v>
      </c>
      <c r="E144" s="187" t="s">
        <v>42</v>
      </c>
      <c r="F144" s="193" t="s">
        <v>15</v>
      </c>
      <c r="G144" s="193"/>
      <c r="H144" s="187" t="s">
        <v>283</v>
      </c>
      <c r="I144" s="194">
        <v>190951.51</v>
      </c>
      <c r="J144" s="194"/>
      <c r="K144" s="190" t="s">
        <v>8</v>
      </c>
      <c r="L144" s="191">
        <v>13920537.99</v>
      </c>
    </row>
    <row r="145" spans="1:12" ht="51" x14ac:dyDescent="0.3">
      <c r="A145" s="185" t="s">
        <v>167</v>
      </c>
      <c r="B145" s="186" t="s">
        <v>2143</v>
      </c>
      <c r="C145" s="186" t="s">
        <v>2126</v>
      </c>
      <c r="D145" s="186" t="s">
        <v>2147</v>
      </c>
      <c r="E145" s="187" t="s">
        <v>42</v>
      </c>
      <c r="F145" s="193" t="s">
        <v>15</v>
      </c>
      <c r="G145" s="193"/>
      <c r="H145" s="187" t="s">
        <v>283</v>
      </c>
      <c r="I145" s="194">
        <v>23184.18</v>
      </c>
      <c r="J145" s="194"/>
      <c r="K145" s="190" t="s">
        <v>8</v>
      </c>
      <c r="L145" s="191">
        <v>13897353.810000001</v>
      </c>
    </row>
    <row r="146" spans="1:12" ht="61.2" x14ac:dyDescent="0.3">
      <c r="A146" s="185" t="s">
        <v>167</v>
      </c>
      <c r="B146" s="186" t="s">
        <v>2143</v>
      </c>
      <c r="C146" s="186" t="s">
        <v>2126</v>
      </c>
      <c r="D146" s="186" t="s">
        <v>2148</v>
      </c>
      <c r="E146" s="187" t="s">
        <v>42</v>
      </c>
      <c r="F146" s="193" t="s">
        <v>15</v>
      </c>
      <c r="G146" s="193"/>
      <c r="H146" s="187" t="s">
        <v>283</v>
      </c>
      <c r="I146" s="194">
        <v>2997.82</v>
      </c>
      <c r="J146" s="194"/>
      <c r="K146" s="190" t="s">
        <v>8</v>
      </c>
      <c r="L146" s="191">
        <v>13894355.99</v>
      </c>
    </row>
    <row r="147" spans="1:12" ht="61.2" x14ac:dyDescent="0.3">
      <c r="A147" s="185" t="s">
        <v>167</v>
      </c>
      <c r="B147" s="186" t="s">
        <v>2143</v>
      </c>
      <c r="C147" s="186" t="s">
        <v>2126</v>
      </c>
      <c r="D147" s="186" t="s">
        <v>2149</v>
      </c>
      <c r="E147" s="187" t="s">
        <v>42</v>
      </c>
      <c r="F147" s="193" t="s">
        <v>15</v>
      </c>
      <c r="G147" s="193"/>
      <c r="H147" s="187" t="s">
        <v>283</v>
      </c>
      <c r="I147" s="194">
        <v>20648</v>
      </c>
      <c r="J147" s="194"/>
      <c r="K147" s="190" t="s">
        <v>8</v>
      </c>
      <c r="L147" s="191">
        <v>13873707.99</v>
      </c>
    </row>
    <row r="148" spans="1:12" ht="51" x14ac:dyDescent="0.3">
      <c r="A148" s="185" t="s">
        <v>167</v>
      </c>
      <c r="B148" s="186" t="s">
        <v>2143</v>
      </c>
      <c r="C148" s="186" t="s">
        <v>2126</v>
      </c>
      <c r="D148" s="186" t="s">
        <v>2150</v>
      </c>
      <c r="E148" s="187" t="s">
        <v>42</v>
      </c>
      <c r="F148" s="193" t="s">
        <v>15</v>
      </c>
      <c r="G148" s="193"/>
      <c r="H148" s="187" t="s">
        <v>283</v>
      </c>
      <c r="I148" s="194">
        <v>67272.649999999994</v>
      </c>
      <c r="J148" s="194"/>
      <c r="K148" s="190" t="s">
        <v>8</v>
      </c>
      <c r="L148" s="191">
        <v>13806435.34</v>
      </c>
    </row>
    <row r="149" spans="1:12" ht="51" x14ac:dyDescent="0.3">
      <c r="A149" s="185" t="s">
        <v>167</v>
      </c>
      <c r="B149" s="186" t="s">
        <v>2143</v>
      </c>
      <c r="C149" s="186" t="s">
        <v>2126</v>
      </c>
      <c r="D149" s="186" t="s">
        <v>2151</v>
      </c>
      <c r="E149" s="187" t="s">
        <v>42</v>
      </c>
      <c r="F149" s="193" t="s">
        <v>15</v>
      </c>
      <c r="G149" s="193"/>
      <c r="H149" s="187" t="s">
        <v>283</v>
      </c>
      <c r="I149" s="194">
        <v>1309.8399999999999</v>
      </c>
      <c r="J149" s="194"/>
      <c r="K149" s="190" t="s">
        <v>8</v>
      </c>
      <c r="L149" s="191">
        <v>13805125.5</v>
      </c>
    </row>
    <row r="150" spans="1:12" ht="51" x14ac:dyDescent="0.3">
      <c r="A150" s="185" t="s">
        <v>167</v>
      </c>
      <c r="B150" s="186" t="s">
        <v>2152</v>
      </c>
      <c r="C150" s="186" t="s">
        <v>2126</v>
      </c>
      <c r="D150" s="186" t="s">
        <v>2153</v>
      </c>
      <c r="E150" s="187" t="s">
        <v>42</v>
      </c>
      <c r="F150" s="193" t="s">
        <v>15</v>
      </c>
      <c r="G150" s="193"/>
      <c r="H150" s="187" t="s">
        <v>283</v>
      </c>
      <c r="I150" s="194">
        <v>11531.5</v>
      </c>
      <c r="J150" s="194"/>
      <c r="K150" s="190" t="s">
        <v>8</v>
      </c>
      <c r="L150" s="191">
        <v>13793594</v>
      </c>
    </row>
    <row r="151" spans="1:12" ht="51" x14ac:dyDescent="0.3">
      <c r="A151" s="185" t="s">
        <v>167</v>
      </c>
      <c r="B151" s="186" t="s">
        <v>2152</v>
      </c>
      <c r="C151" s="186" t="s">
        <v>2126</v>
      </c>
      <c r="D151" s="186" t="s">
        <v>2154</v>
      </c>
      <c r="E151" s="187" t="s">
        <v>42</v>
      </c>
      <c r="F151" s="193" t="s">
        <v>15</v>
      </c>
      <c r="G151" s="193"/>
      <c r="H151" s="187" t="s">
        <v>283</v>
      </c>
      <c r="I151" s="194">
        <v>2864.59</v>
      </c>
      <c r="J151" s="194"/>
      <c r="K151" s="190" t="s">
        <v>8</v>
      </c>
      <c r="L151" s="191">
        <v>13790729.41</v>
      </c>
    </row>
    <row r="152" spans="1:12" ht="51" x14ac:dyDescent="0.3">
      <c r="A152" s="185" t="s">
        <v>429</v>
      </c>
      <c r="B152" s="186" t="s">
        <v>2155</v>
      </c>
      <c r="C152" s="186" t="s">
        <v>2126</v>
      </c>
      <c r="D152" s="186" t="s">
        <v>2144</v>
      </c>
      <c r="E152" s="187" t="s">
        <v>42</v>
      </c>
      <c r="F152" s="193" t="s">
        <v>15</v>
      </c>
      <c r="G152" s="193"/>
      <c r="H152" s="187" t="s">
        <v>283</v>
      </c>
      <c r="I152" s="194">
        <v>5780.71</v>
      </c>
      <c r="J152" s="194"/>
      <c r="K152" s="190" t="s">
        <v>8</v>
      </c>
      <c r="L152" s="191">
        <v>13784948.699999999</v>
      </c>
    </row>
    <row r="153" spans="1:12" ht="61.2" x14ac:dyDescent="0.3">
      <c r="A153" s="185" t="s">
        <v>429</v>
      </c>
      <c r="B153" s="186" t="s">
        <v>2155</v>
      </c>
      <c r="C153" s="186" t="s">
        <v>2126</v>
      </c>
      <c r="D153" s="186" t="s">
        <v>2156</v>
      </c>
      <c r="E153" s="187" t="s">
        <v>42</v>
      </c>
      <c r="F153" s="193" t="s">
        <v>15</v>
      </c>
      <c r="G153" s="193"/>
      <c r="H153" s="187" t="s">
        <v>283</v>
      </c>
      <c r="I153" s="194">
        <v>1078.8599999999999</v>
      </c>
      <c r="J153" s="194"/>
      <c r="K153" s="190" t="s">
        <v>8</v>
      </c>
      <c r="L153" s="191">
        <v>13783869.84</v>
      </c>
    </row>
    <row r="154" spans="1:12" ht="61.2" x14ac:dyDescent="0.3">
      <c r="A154" s="185" t="s">
        <v>429</v>
      </c>
      <c r="B154" s="186" t="s">
        <v>2155</v>
      </c>
      <c r="C154" s="186" t="s">
        <v>2126</v>
      </c>
      <c r="D154" s="186" t="s">
        <v>2157</v>
      </c>
      <c r="E154" s="187" t="s">
        <v>42</v>
      </c>
      <c r="F154" s="193" t="s">
        <v>15</v>
      </c>
      <c r="G154" s="193"/>
      <c r="H154" s="187" t="s">
        <v>283</v>
      </c>
      <c r="I154" s="194">
        <v>59316.74</v>
      </c>
      <c r="J154" s="194"/>
      <c r="K154" s="190" t="s">
        <v>8</v>
      </c>
      <c r="L154" s="191">
        <v>13724553.1</v>
      </c>
    </row>
    <row r="155" spans="1:12" ht="61.2" x14ac:dyDescent="0.3">
      <c r="A155" s="185" t="s">
        <v>429</v>
      </c>
      <c r="B155" s="186" t="s">
        <v>2155</v>
      </c>
      <c r="C155" s="186" t="s">
        <v>2126</v>
      </c>
      <c r="D155" s="186" t="s">
        <v>2158</v>
      </c>
      <c r="E155" s="187" t="s">
        <v>42</v>
      </c>
      <c r="F155" s="193" t="s">
        <v>15</v>
      </c>
      <c r="G155" s="193"/>
      <c r="H155" s="187" t="s">
        <v>283</v>
      </c>
      <c r="I155" s="194">
        <v>5577.1</v>
      </c>
      <c r="J155" s="194"/>
      <c r="K155" s="190" t="s">
        <v>8</v>
      </c>
      <c r="L155" s="191">
        <v>13718976</v>
      </c>
    </row>
    <row r="156" spans="1:12" ht="61.2" x14ac:dyDescent="0.3">
      <c r="A156" s="185" t="s">
        <v>429</v>
      </c>
      <c r="B156" s="186" t="s">
        <v>2155</v>
      </c>
      <c r="C156" s="186" t="s">
        <v>2126</v>
      </c>
      <c r="D156" s="186" t="s">
        <v>2159</v>
      </c>
      <c r="E156" s="187" t="s">
        <v>42</v>
      </c>
      <c r="F156" s="193" t="s">
        <v>15</v>
      </c>
      <c r="G156" s="193"/>
      <c r="H156" s="187" t="s">
        <v>283</v>
      </c>
      <c r="I156" s="194">
        <v>3172.29</v>
      </c>
      <c r="J156" s="194"/>
      <c r="K156" s="190" t="s">
        <v>8</v>
      </c>
      <c r="L156" s="191">
        <v>13715803.710000001</v>
      </c>
    </row>
    <row r="157" spans="1:12" ht="61.2" x14ac:dyDescent="0.3">
      <c r="A157" s="185" t="s">
        <v>429</v>
      </c>
      <c r="B157" s="186" t="s">
        <v>2155</v>
      </c>
      <c r="C157" s="186" t="s">
        <v>2126</v>
      </c>
      <c r="D157" s="186" t="s">
        <v>2157</v>
      </c>
      <c r="E157" s="187" t="s">
        <v>42</v>
      </c>
      <c r="F157" s="193" t="s">
        <v>15</v>
      </c>
      <c r="G157" s="193"/>
      <c r="H157" s="187" t="s">
        <v>283</v>
      </c>
      <c r="I157" s="194">
        <v>134008.88</v>
      </c>
      <c r="J157" s="194"/>
      <c r="K157" s="190" t="s">
        <v>8</v>
      </c>
      <c r="L157" s="191">
        <v>13581794.83</v>
      </c>
    </row>
    <row r="158" spans="1:12" ht="51" x14ac:dyDescent="0.3">
      <c r="A158" s="185" t="s">
        <v>429</v>
      </c>
      <c r="B158" s="186" t="s">
        <v>2155</v>
      </c>
      <c r="C158" s="186" t="s">
        <v>2126</v>
      </c>
      <c r="D158" s="186" t="s">
        <v>2160</v>
      </c>
      <c r="E158" s="187" t="s">
        <v>42</v>
      </c>
      <c r="F158" s="193" t="s">
        <v>15</v>
      </c>
      <c r="G158" s="193"/>
      <c r="H158" s="187" t="s">
        <v>283</v>
      </c>
      <c r="I158" s="194">
        <v>13132.08</v>
      </c>
      <c r="J158" s="194"/>
      <c r="K158" s="190" t="s">
        <v>8</v>
      </c>
      <c r="L158" s="191">
        <v>13568662.75</v>
      </c>
    </row>
    <row r="159" spans="1:12" ht="51" hidden="1" x14ac:dyDescent="0.3">
      <c r="A159" s="185" t="s">
        <v>429</v>
      </c>
      <c r="B159" s="186" t="s">
        <v>2161</v>
      </c>
      <c r="C159" s="186" t="s">
        <v>2162</v>
      </c>
      <c r="D159" s="186" t="s">
        <v>2163</v>
      </c>
      <c r="E159" s="187" t="s">
        <v>283</v>
      </c>
      <c r="F159" s="188">
        <v>38325.06</v>
      </c>
      <c r="G159" s="188"/>
      <c r="H159" s="187" t="s">
        <v>14</v>
      </c>
      <c r="I159" s="189" t="s">
        <v>15</v>
      </c>
      <c r="J159" s="189"/>
      <c r="K159" s="190" t="s">
        <v>8</v>
      </c>
      <c r="L159" s="191">
        <v>13606987.810000001</v>
      </c>
    </row>
    <row r="160" spans="1:12" ht="51" hidden="1" x14ac:dyDescent="0.3">
      <c r="A160" s="185" t="s">
        <v>429</v>
      </c>
      <c r="B160" s="186" t="s">
        <v>2164</v>
      </c>
      <c r="C160" s="186" t="s">
        <v>2165</v>
      </c>
      <c r="D160" s="186" t="s">
        <v>2166</v>
      </c>
      <c r="E160" s="187" t="s">
        <v>283</v>
      </c>
      <c r="F160" s="188">
        <v>38325.06</v>
      </c>
      <c r="G160" s="188"/>
      <c r="H160" s="187" t="s">
        <v>14</v>
      </c>
      <c r="I160" s="189" t="s">
        <v>15</v>
      </c>
      <c r="J160" s="189"/>
      <c r="K160" s="190" t="s">
        <v>8</v>
      </c>
      <c r="L160" s="191">
        <v>13645312.869999999</v>
      </c>
    </row>
    <row r="161" spans="1:12" ht="51" hidden="1" x14ac:dyDescent="0.3">
      <c r="A161" s="185" t="s">
        <v>429</v>
      </c>
      <c r="B161" s="186" t="s">
        <v>2167</v>
      </c>
      <c r="C161" s="186" t="s">
        <v>2168</v>
      </c>
      <c r="D161" s="186" t="s">
        <v>2169</v>
      </c>
      <c r="E161" s="187" t="s">
        <v>283</v>
      </c>
      <c r="F161" s="188">
        <v>38325.06</v>
      </c>
      <c r="G161" s="188"/>
      <c r="H161" s="187" t="s">
        <v>14</v>
      </c>
      <c r="I161" s="189" t="s">
        <v>15</v>
      </c>
      <c r="J161" s="189"/>
      <c r="K161" s="190" t="s">
        <v>8</v>
      </c>
      <c r="L161" s="191">
        <v>13683637.93</v>
      </c>
    </row>
    <row r="162" spans="1:12" ht="51" hidden="1" x14ac:dyDescent="0.3">
      <c r="A162" s="185" t="s">
        <v>429</v>
      </c>
      <c r="B162" s="186" t="s">
        <v>2170</v>
      </c>
      <c r="C162" s="186" t="s">
        <v>2171</v>
      </c>
      <c r="D162" s="186" t="s">
        <v>2172</v>
      </c>
      <c r="E162" s="187" t="s">
        <v>283</v>
      </c>
      <c r="F162" s="188">
        <v>38325.06</v>
      </c>
      <c r="G162" s="188"/>
      <c r="H162" s="187" t="s">
        <v>14</v>
      </c>
      <c r="I162" s="189" t="s">
        <v>15</v>
      </c>
      <c r="J162" s="189"/>
      <c r="K162" s="190" t="s">
        <v>8</v>
      </c>
      <c r="L162" s="191">
        <v>13721962.99</v>
      </c>
    </row>
    <row r="163" spans="1:12" ht="51" hidden="1" x14ac:dyDescent="0.3">
      <c r="A163" s="185" t="s">
        <v>429</v>
      </c>
      <c r="B163" s="186" t="s">
        <v>2173</v>
      </c>
      <c r="C163" s="186" t="s">
        <v>2174</v>
      </c>
      <c r="D163" s="186" t="s">
        <v>2175</v>
      </c>
      <c r="E163" s="187" t="s">
        <v>283</v>
      </c>
      <c r="F163" s="188">
        <v>38325.06</v>
      </c>
      <c r="G163" s="188"/>
      <c r="H163" s="187" t="s">
        <v>14</v>
      </c>
      <c r="I163" s="189" t="s">
        <v>15</v>
      </c>
      <c r="J163" s="189"/>
      <c r="K163" s="190" t="s">
        <v>8</v>
      </c>
      <c r="L163" s="191">
        <v>13760288.050000001</v>
      </c>
    </row>
    <row r="164" spans="1:12" ht="51" x14ac:dyDescent="0.3">
      <c r="A164" s="185" t="s">
        <v>429</v>
      </c>
      <c r="B164" s="186" t="s">
        <v>2176</v>
      </c>
      <c r="C164" s="186" t="s">
        <v>2126</v>
      </c>
      <c r="D164" s="186" t="s">
        <v>2177</v>
      </c>
      <c r="E164" s="187" t="s">
        <v>42</v>
      </c>
      <c r="F164" s="193" t="s">
        <v>15</v>
      </c>
      <c r="G164" s="193"/>
      <c r="H164" s="187" t="s">
        <v>283</v>
      </c>
      <c r="I164" s="194">
        <v>779682.5</v>
      </c>
      <c r="J164" s="194"/>
      <c r="K164" s="190" t="s">
        <v>8</v>
      </c>
      <c r="L164" s="191">
        <v>12980605.550000001</v>
      </c>
    </row>
    <row r="165" spans="1:12" ht="61.2" x14ac:dyDescent="0.3">
      <c r="A165" s="185" t="s">
        <v>429</v>
      </c>
      <c r="B165" s="186" t="s">
        <v>2176</v>
      </c>
      <c r="C165" s="186" t="s">
        <v>2126</v>
      </c>
      <c r="D165" s="186" t="s">
        <v>2178</v>
      </c>
      <c r="E165" s="187" t="s">
        <v>42</v>
      </c>
      <c r="F165" s="193" t="s">
        <v>15</v>
      </c>
      <c r="G165" s="193"/>
      <c r="H165" s="187" t="s">
        <v>283</v>
      </c>
      <c r="I165" s="194">
        <v>49813.01</v>
      </c>
      <c r="J165" s="194"/>
      <c r="K165" s="190" t="s">
        <v>8</v>
      </c>
      <c r="L165" s="191">
        <v>12930792.539999999</v>
      </c>
    </row>
    <row r="166" spans="1:12" ht="51" x14ac:dyDescent="0.3">
      <c r="A166" s="185" t="s">
        <v>429</v>
      </c>
      <c r="B166" s="186" t="s">
        <v>2176</v>
      </c>
      <c r="C166" s="186" t="s">
        <v>2126</v>
      </c>
      <c r="D166" s="186" t="s">
        <v>2179</v>
      </c>
      <c r="E166" s="187" t="s">
        <v>42</v>
      </c>
      <c r="F166" s="193" t="s">
        <v>15</v>
      </c>
      <c r="G166" s="193"/>
      <c r="H166" s="187" t="s">
        <v>283</v>
      </c>
      <c r="I166" s="194">
        <v>1421.42</v>
      </c>
      <c r="J166" s="194"/>
      <c r="K166" s="190" t="s">
        <v>8</v>
      </c>
      <c r="L166" s="191">
        <v>12929371.119999999</v>
      </c>
    </row>
    <row r="167" spans="1:12" ht="51" x14ac:dyDescent="0.3">
      <c r="A167" s="185" t="s">
        <v>429</v>
      </c>
      <c r="B167" s="186" t="s">
        <v>2176</v>
      </c>
      <c r="C167" s="186" t="s">
        <v>2126</v>
      </c>
      <c r="D167" s="186" t="s">
        <v>2179</v>
      </c>
      <c r="E167" s="187" t="s">
        <v>42</v>
      </c>
      <c r="F167" s="193" t="s">
        <v>15</v>
      </c>
      <c r="G167" s="193"/>
      <c r="H167" s="187" t="s">
        <v>283</v>
      </c>
      <c r="I167" s="194">
        <v>47418.58</v>
      </c>
      <c r="J167" s="194"/>
      <c r="K167" s="190" t="s">
        <v>8</v>
      </c>
      <c r="L167" s="191">
        <v>12881952.539999999</v>
      </c>
    </row>
    <row r="168" spans="1:12" ht="51" x14ac:dyDescent="0.3">
      <c r="A168" s="185" t="s">
        <v>429</v>
      </c>
      <c r="B168" s="186" t="s">
        <v>2176</v>
      </c>
      <c r="C168" s="186" t="s">
        <v>2126</v>
      </c>
      <c r="D168" s="186" t="s">
        <v>2180</v>
      </c>
      <c r="E168" s="187" t="s">
        <v>42</v>
      </c>
      <c r="F168" s="193" t="s">
        <v>15</v>
      </c>
      <c r="G168" s="193"/>
      <c r="H168" s="187" t="s">
        <v>283</v>
      </c>
      <c r="I168" s="194">
        <v>2338.7199999999998</v>
      </c>
      <c r="J168" s="194"/>
      <c r="K168" s="190" t="s">
        <v>8</v>
      </c>
      <c r="L168" s="191">
        <v>12879613.82</v>
      </c>
    </row>
    <row r="169" spans="1:12" ht="51" x14ac:dyDescent="0.3">
      <c r="A169" s="185" t="s">
        <v>429</v>
      </c>
      <c r="B169" s="186" t="s">
        <v>2181</v>
      </c>
      <c r="C169" s="186" t="s">
        <v>2126</v>
      </c>
      <c r="D169" s="186" t="s">
        <v>2134</v>
      </c>
      <c r="E169" s="187" t="s">
        <v>42</v>
      </c>
      <c r="F169" s="193" t="s">
        <v>15</v>
      </c>
      <c r="G169" s="193"/>
      <c r="H169" s="187" t="s">
        <v>283</v>
      </c>
      <c r="I169" s="194">
        <v>19198.95</v>
      </c>
      <c r="J169" s="194"/>
      <c r="K169" s="190" t="s">
        <v>8</v>
      </c>
      <c r="L169" s="191">
        <v>12860414.869999999</v>
      </c>
    </row>
    <row r="170" spans="1:12" ht="51" x14ac:dyDescent="0.3">
      <c r="A170" s="185" t="s">
        <v>429</v>
      </c>
      <c r="B170" s="186" t="s">
        <v>2181</v>
      </c>
      <c r="C170" s="186" t="s">
        <v>2126</v>
      </c>
      <c r="D170" s="186" t="s">
        <v>2182</v>
      </c>
      <c r="E170" s="187" t="s">
        <v>42</v>
      </c>
      <c r="F170" s="193" t="s">
        <v>15</v>
      </c>
      <c r="G170" s="193"/>
      <c r="H170" s="187" t="s">
        <v>283</v>
      </c>
      <c r="I170" s="194">
        <v>2616.3000000000002</v>
      </c>
      <c r="J170" s="194"/>
      <c r="K170" s="190" t="s">
        <v>8</v>
      </c>
      <c r="L170" s="191">
        <v>12857798.57</v>
      </c>
    </row>
    <row r="171" spans="1:12" ht="51" x14ac:dyDescent="0.3">
      <c r="A171" s="185" t="s">
        <v>429</v>
      </c>
      <c r="B171" s="186" t="s">
        <v>2181</v>
      </c>
      <c r="C171" s="186" t="s">
        <v>2126</v>
      </c>
      <c r="D171" s="186" t="s">
        <v>2182</v>
      </c>
      <c r="E171" s="187" t="s">
        <v>42</v>
      </c>
      <c r="F171" s="193" t="s">
        <v>15</v>
      </c>
      <c r="G171" s="193"/>
      <c r="H171" s="187" t="s">
        <v>283</v>
      </c>
      <c r="I171" s="194">
        <v>19109.7</v>
      </c>
      <c r="J171" s="194"/>
      <c r="K171" s="190" t="s">
        <v>8</v>
      </c>
      <c r="L171" s="191">
        <v>12838688.869999999</v>
      </c>
    </row>
    <row r="172" spans="1:12" ht="51" x14ac:dyDescent="0.3">
      <c r="A172" s="185" t="s">
        <v>429</v>
      </c>
      <c r="B172" s="186" t="s">
        <v>2181</v>
      </c>
      <c r="C172" s="186" t="s">
        <v>2126</v>
      </c>
      <c r="D172" s="186" t="s">
        <v>2183</v>
      </c>
      <c r="E172" s="187" t="s">
        <v>42</v>
      </c>
      <c r="F172" s="193" t="s">
        <v>15</v>
      </c>
      <c r="G172" s="193"/>
      <c r="H172" s="187" t="s">
        <v>283</v>
      </c>
      <c r="I172" s="194">
        <v>25239.05</v>
      </c>
      <c r="J172" s="194"/>
      <c r="K172" s="190" t="s">
        <v>8</v>
      </c>
      <c r="L172" s="191">
        <v>12813449.82</v>
      </c>
    </row>
    <row r="173" spans="1:12" ht="51" x14ac:dyDescent="0.3">
      <c r="A173" s="185" t="s">
        <v>429</v>
      </c>
      <c r="B173" s="186" t="s">
        <v>2181</v>
      </c>
      <c r="C173" s="186" t="s">
        <v>2126</v>
      </c>
      <c r="D173" s="186" t="s">
        <v>2132</v>
      </c>
      <c r="E173" s="187" t="s">
        <v>42</v>
      </c>
      <c r="F173" s="193" t="s">
        <v>15</v>
      </c>
      <c r="G173" s="193"/>
      <c r="H173" s="187" t="s">
        <v>283</v>
      </c>
      <c r="I173" s="194">
        <v>4225.1000000000004</v>
      </c>
      <c r="J173" s="194"/>
      <c r="K173" s="190" t="s">
        <v>8</v>
      </c>
      <c r="L173" s="191">
        <v>12809224.720000001</v>
      </c>
    </row>
    <row r="174" spans="1:12" ht="51" x14ac:dyDescent="0.3">
      <c r="A174" s="185" t="s">
        <v>429</v>
      </c>
      <c r="B174" s="186" t="s">
        <v>2181</v>
      </c>
      <c r="C174" s="186" t="s">
        <v>2126</v>
      </c>
      <c r="D174" s="186" t="s">
        <v>2144</v>
      </c>
      <c r="E174" s="187" t="s">
        <v>42</v>
      </c>
      <c r="F174" s="193" t="s">
        <v>15</v>
      </c>
      <c r="G174" s="193"/>
      <c r="H174" s="187" t="s">
        <v>283</v>
      </c>
      <c r="I174" s="194">
        <v>12461.46</v>
      </c>
      <c r="J174" s="194"/>
      <c r="K174" s="190" t="s">
        <v>8</v>
      </c>
      <c r="L174" s="191">
        <v>12796763.26</v>
      </c>
    </row>
    <row r="175" spans="1:12" ht="51" x14ac:dyDescent="0.3">
      <c r="A175" s="185" t="s">
        <v>429</v>
      </c>
      <c r="B175" s="186" t="s">
        <v>2181</v>
      </c>
      <c r="C175" s="186" t="s">
        <v>2126</v>
      </c>
      <c r="D175" s="186" t="s">
        <v>2184</v>
      </c>
      <c r="E175" s="187" t="s">
        <v>42</v>
      </c>
      <c r="F175" s="193" t="s">
        <v>15</v>
      </c>
      <c r="G175" s="193"/>
      <c r="H175" s="187" t="s">
        <v>283</v>
      </c>
      <c r="I175" s="194">
        <v>25938.99</v>
      </c>
      <c r="J175" s="194"/>
      <c r="K175" s="190" t="s">
        <v>8</v>
      </c>
      <c r="L175" s="191">
        <v>12770824.27</v>
      </c>
    </row>
    <row r="176" spans="1:12" ht="61.2" x14ac:dyDescent="0.3">
      <c r="A176" s="185" t="s">
        <v>429</v>
      </c>
      <c r="B176" s="186" t="s">
        <v>2181</v>
      </c>
      <c r="C176" s="186" t="s">
        <v>2126</v>
      </c>
      <c r="D176" s="186" t="s">
        <v>2145</v>
      </c>
      <c r="E176" s="187" t="s">
        <v>42</v>
      </c>
      <c r="F176" s="193" t="s">
        <v>15</v>
      </c>
      <c r="G176" s="193"/>
      <c r="H176" s="187" t="s">
        <v>283</v>
      </c>
      <c r="I176" s="194">
        <v>7907.33</v>
      </c>
      <c r="J176" s="194"/>
      <c r="K176" s="190" t="s">
        <v>8</v>
      </c>
      <c r="L176" s="191">
        <v>12762916.939999999</v>
      </c>
    </row>
    <row r="177" spans="1:12" ht="61.2" x14ac:dyDescent="0.3">
      <c r="A177" s="185" t="s">
        <v>429</v>
      </c>
      <c r="B177" s="186" t="s">
        <v>2181</v>
      </c>
      <c r="C177" s="186" t="s">
        <v>2126</v>
      </c>
      <c r="D177" s="186" t="s">
        <v>2156</v>
      </c>
      <c r="E177" s="187" t="s">
        <v>42</v>
      </c>
      <c r="F177" s="193" t="s">
        <v>15</v>
      </c>
      <c r="G177" s="193"/>
      <c r="H177" s="187" t="s">
        <v>283</v>
      </c>
      <c r="I177" s="194">
        <v>2151.84</v>
      </c>
      <c r="J177" s="194"/>
      <c r="K177" s="190" t="s">
        <v>8</v>
      </c>
      <c r="L177" s="191">
        <v>12760765.1</v>
      </c>
    </row>
    <row r="178" spans="1:12" ht="61.2" x14ac:dyDescent="0.3">
      <c r="A178" s="185" t="s">
        <v>429</v>
      </c>
      <c r="B178" s="186" t="s">
        <v>2181</v>
      </c>
      <c r="C178" s="186" t="s">
        <v>2126</v>
      </c>
      <c r="D178" s="186" t="s">
        <v>2146</v>
      </c>
      <c r="E178" s="187" t="s">
        <v>42</v>
      </c>
      <c r="F178" s="193" t="s">
        <v>15</v>
      </c>
      <c r="G178" s="193"/>
      <c r="H178" s="187" t="s">
        <v>283</v>
      </c>
      <c r="I178" s="194">
        <v>190951.51</v>
      </c>
      <c r="J178" s="194"/>
      <c r="K178" s="190" t="s">
        <v>8</v>
      </c>
      <c r="L178" s="191">
        <v>12569813.59</v>
      </c>
    </row>
    <row r="179" spans="1:12" ht="51" x14ac:dyDescent="0.3">
      <c r="A179" s="185" t="s">
        <v>429</v>
      </c>
      <c r="B179" s="186" t="s">
        <v>2181</v>
      </c>
      <c r="C179" s="186" t="s">
        <v>2126</v>
      </c>
      <c r="D179" s="186" t="s">
        <v>2147</v>
      </c>
      <c r="E179" s="187" t="s">
        <v>42</v>
      </c>
      <c r="F179" s="193" t="s">
        <v>15</v>
      </c>
      <c r="G179" s="193"/>
      <c r="H179" s="187" t="s">
        <v>283</v>
      </c>
      <c r="I179" s="194">
        <v>17000.82</v>
      </c>
      <c r="J179" s="194"/>
      <c r="K179" s="190" t="s">
        <v>8</v>
      </c>
      <c r="L179" s="191">
        <v>12552812.77</v>
      </c>
    </row>
    <row r="180" spans="1:12" ht="61.2" x14ac:dyDescent="0.3">
      <c r="A180" s="185" t="s">
        <v>429</v>
      </c>
      <c r="B180" s="186" t="s">
        <v>2181</v>
      </c>
      <c r="C180" s="186" t="s">
        <v>2126</v>
      </c>
      <c r="D180" s="186" t="s">
        <v>2185</v>
      </c>
      <c r="E180" s="187" t="s">
        <v>42</v>
      </c>
      <c r="F180" s="193" t="s">
        <v>15</v>
      </c>
      <c r="G180" s="193"/>
      <c r="H180" s="187" t="s">
        <v>283</v>
      </c>
      <c r="I180" s="194">
        <v>6183.36</v>
      </c>
      <c r="J180" s="194"/>
      <c r="K180" s="190" t="s">
        <v>8</v>
      </c>
      <c r="L180" s="191">
        <v>12546629.41</v>
      </c>
    </row>
    <row r="181" spans="1:12" ht="61.2" x14ac:dyDescent="0.3">
      <c r="A181" s="185" t="s">
        <v>429</v>
      </c>
      <c r="B181" s="186" t="s">
        <v>2181</v>
      </c>
      <c r="C181" s="186" t="s">
        <v>2126</v>
      </c>
      <c r="D181" s="186" t="s">
        <v>2186</v>
      </c>
      <c r="E181" s="187" t="s">
        <v>42</v>
      </c>
      <c r="F181" s="193" t="s">
        <v>15</v>
      </c>
      <c r="G181" s="193"/>
      <c r="H181" s="187" t="s">
        <v>283</v>
      </c>
      <c r="I181" s="194">
        <v>190328.75</v>
      </c>
      <c r="J181" s="194"/>
      <c r="K181" s="190" t="s">
        <v>8</v>
      </c>
      <c r="L181" s="191">
        <v>12356300.66</v>
      </c>
    </row>
    <row r="182" spans="1:12" ht="51" x14ac:dyDescent="0.3">
      <c r="A182" s="185" t="s">
        <v>429</v>
      </c>
      <c r="B182" s="186" t="s">
        <v>2187</v>
      </c>
      <c r="C182" s="186" t="s">
        <v>2126</v>
      </c>
      <c r="D182" s="186" t="s">
        <v>2188</v>
      </c>
      <c r="E182" s="187" t="s">
        <v>42</v>
      </c>
      <c r="F182" s="193" t="s">
        <v>15</v>
      </c>
      <c r="G182" s="193"/>
      <c r="H182" s="187" t="s">
        <v>283</v>
      </c>
      <c r="I182" s="195">
        <v>900</v>
      </c>
      <c r="J182" s="195"/>
      <c r="K182" s="190" t="s">
        <v>8</v>
      </c>
      <c r="L182" s="191">
        <v>12355400.66</v>
      </c>
    </row>
    <row r="183" spans="1:12" ht="51" x14ac:dyDescent="0.3">
      <c r="A183" s="185" t="s">
        <v>429</v>
      </c>
      <c r="B183" s="186" t="s">
        <v>2189</v>
      </c>
      <c r="C183" s="186" t="s">
        <v>2126</v>
      </c>
      <c r="D183" s="186" t="s">
        <v>2190</v>
      </c>
      <c r="E183" s="187" t="s">
        <v>42</v>
      </c>
      <c r="F183" s="193" t="s">
        <v>15</v>
      </c>
      <c r="G183" s="193"/>
      <c r="H183" s="187" t="s">
        <v>283</v>
      </c>
      <c r="I183" s="194">
        <v>3350.23</v>
      </c>
      <c r="J183" s="194"/>
      <c r="K183" s="190" t="s">
        <v>8</v>
      </c>
      <c r="L183" s="191">
        <v>12352050.43</v>
      </c>
    </row>
    <row r="184" spans="1:12" ht="51" x14ac:dyDescent="0.3">
      <c r="A184" s="185" t="s">
        <v>429</v>
      </c>
      <c r="B184" s="186" t="s">
        <v>2189</v>
      </c>
      <c r="C184" s="186" t="s">
        <v>2126</v>
      </c>
      <c r="D184" s="186" t="s">
        <v>2191</v>
      </c>
      <c r="E184" s="187" t="s">
        <v>42</v>
      </c>
      <c r="F184" s="193" t="s">
        <v>15</v>
      </c>
      <c r="G184" s="193"/>
      <c r="H184" s="187" t="s">
        <v>283</v>
      </c>
      <c r="I184" s="194">
        <v>1565.63</v>
      </c>
      <c r="J184" s="194"/>
      <c r="K184" s="190" t="s">
        <v>8</v>
      </c>
      <c r="L184" s="191">
        <v>12350484.800000001</v>
      </c>
    </row>
    <row r="185" spans="1:12" ht="51" x14ac:dyDescent="0.3">
      <c r="A185" s="185" t="s">
        <v>429</v>
      </c>
      <c r="B185" s="186" t="s">
        <v>2189</v>
      </c>
      <c r="C185" s="186" t="s">
        <v>2126</v>
      </c>
      <c r="D185" s="186" t="s">
        <v>2192</v>
      </c>
      <c r="E185" s="187" t="s">
        <v>42</v>
      </c>
      <c r="F185" s="193" t="s">
        <v>15</v>
      </c>
      <c r="G185" s="193"/>
      <c r="H185" s="187" t="s">
        <v>283</v>
      </c>
      <c r="I185" s="194">
        <v>1618.85</v>
      </c>
      <c r="J185" s="194"/>
      <c r="K185" s="190" t="s">
        <v>8</v>
      </c>
      <c r="L185" s="191">
        <v>12348865.949999999</v>
      </c>
    </row>
    <row r="186" spans="1:12" ht="51" x14ac:dyDescent="0.3">
      <c r="A186" s="185" t="s">
        <v>429</v>
      </c>
      <c r="B186" s="186" t="s">
        <v>2189</v>
      </c>
      <c r="C186" s="186" t="s">
        <v>2126</v>
      </c>
      <c r="D186" s="186" t="s">
        <v>2193</v>
      </c>
      <c r="E186" s="187" t="s">
        <v>42</v>
      </c>
      <c r="F186" s="193" t="s">
        <v>15</v>
      </c>
      <c r="G186" s="193"/>
      <c r="H186" s="187" t="s">
        <v>283</v>
      </c>
      <c r="I186" s="194">
        <v>9625.75</v>
      </c>
      <c r="J186" s="194"/>
      <c r="K186" s="190" t="s">
        <v>8</v>
      </c>
      <c r="L186" s="191">
        <v>12339240.199999999</v>
      </c>
    </row>
    <row r="187" spans="1:12" ht="51" x14ac:dyDescent="0.3">
      <c r="A187" s="185" t="s">
        <v>429</v>
      </c>
      <c r="B187" s="186" t="s">
        <v>2189</v>
      </c>
      <c r="C187" s="186" t="s">
        <v>2126</v>
      </c>
      <c r="D187" s="186" t="s">
        <v>2193</v>
      </c>
      <c r="E187" s="187" t="s">
        <v>42</v>
      </c>
      <c r="F187" s="193" t="s">
        <v>15</v>
      </c>
      <c r="G187" s="193"/>
      <c r="H187" s="187" t="s">
        <v>283</v>
      </c>
      <c r="I187" s="194">
        <v>4811.2</v>
      </c>
      <c r="J187" s="194"/>
      <c r="K187" s="190" t="s">
        <v>8</v>
      </c>
      <c r="L187" s="191">
        <v>12334429</v>
      </c>
    </row>
    <row r="188" spans="1:12" ht="61.2" x14ac:dyDescent="0.3">
      <c r="A188" s="185" t="s">
        <v>429</v>
      </c>
      <c r="B188" s="186" t="s">
        <v>2189</v>
      </c>
      <c r="C188" s="186" t="s">
        <v>2126</v>
      </c>
      <c r="D188" s="186" t="s">
        <v>2194</v>
      </c>
      <c r="E188" s="187" t="s">
        <v>42</v>
      </c>
      <c r="F188" s="193" t="s">
        <v>15</v>
      </c>
      <c r="G188" s="193"/>
      <c r="H188" s="187" t="s">
        <v>283</v>
      </c>
      <c r="I188" s="194">
        <v>4839.1899999999996</v>
      </c>
      <c r="J188" s="194"/>
      <c r="K188" s="190" t="s">
        <v>8</v>
      </c>
      <c r="L188" s="191">
        <v>12329589.810000001</v>
      </c>
    </row>
    <row r="189" spans="1:12" ht="51" x14ac:dyDescent="0.3">
      <c r="A189" s="185" t="s">
        <v>429</v>
      </c>
      <c r="B189" s="186" t="s">
        <v>2189</v>
      </c>
      <c r="C189" s="186" t="s">
        <v>2126</v>
      </c>
      <c r="D189" s="186" t="s">
        <v>2195</v>
      </c>
      <c r="E189" s="187" t="s">
        <v>42</v>
      </c>
      <c r="F189" s="193" t="s">
        <v>15</v>
      </c>
      <c r="G189" s="193"/>
      <c r="H189" s="187" t="s">
        <v>283</v>
      </c>
      <c r="I189" s="195">
        <v>153.75</v>
      </c>
      <c r="J189" s="195"/>
      <c r="K189" s="190" t="s">
        <v>8</v>
      </c>
      <c r="L189" s="191">
        <v>12329436.060000001</v>
      </c>
    </row>
    <row r="190" spans="1:12" ht="51" x14ac:dyDescent="0.3">
      <c r="A190" s="185" t="s">
        <v>429</v>
      </c>
      <c r="B190" s="186" t="s">
        <v>2189</v>
      </c>
      <c r="C190" s="186" t="s">
        <v>2126</v>
      </c>
      <c r="D190" s="186" t="s">
        <v>1928</v>
      </c>
      <c r="E190" s="187" t="s">
        <v>42</v>
      </c>
      <c r="F190" s="193" t="s">
        <v>15</v>
      </c>
      <c r="G190" s="193"/>
      <c r="H190" s="187" t="s">
        <v>283</v>
      </c>
      <c r="I190" s="194">
        <v>17579.05</v>
      </c>
      <c r="J190" s="194"/>
      <c r="K190" s="190" t="s">
        <v>8</v>
      </c>
      <c r="L190" s="191">
        <v>12311857.01</v>
      </c>
    </row>
    <row r="191" spans="1:12" ht="51" x14ac:dyDescent="0.3">
      <c r="A191" s="185" t="s">
        <v>429</v>
      </c>
      <c r="B191" s="186" t="s">
        <v>2189</v>
      </c>
      <c r="C191" s="186" t="s">
        <v>2126</v>
      </c>
      <c r="D191" s="186" t="s">
        <v>1979</v>
      </c>
      <c r="E191" s="187" t="s">
        <v>42</v>
      </c>
      <c r="F191" s="193" t="s">
        <v>15</v>
      </c>
      <c r="G191" s="193"/>
      <c r="H191" s="187" t="s">
        <v>283</v>
      </c>
      <c r="I191" s="194">
        <v>2368.4499999999998</v>
      </c>
      <c r="J191" s="194"/>
      <c r="K191" s="190" t="s">
        <v>8</v>
      </c>
      <c r="L191" s="191">
        <v>12309488.560000001</v>
      </c>
    </row>
    <row r="192" spans="1:12" ht="51" x14ac:dyDescent="0.3">
      <c r="A192" s="185" t="s">
        <v>429</v>
      </c>
      <c r="B192" s="186" t="s">
        <v>2189</v>
      </c>
      <c r="C192" s="186" t="s">
        <v>2126</v>
      </c>
      <c r="D192" s="186" t="s">
        <v>1979</v>
      </c>
      <c r="E192" s="187" t="s">
        <v>42</v>
      </c>
      <c r="F192" s="193" t="s">
        <v>15</v>
      </c>
      <c r="G192" s="193"/>
      <c r="H192" s="187" t="s">
        <v>283</v>
      </c>
      <c r="I192" s="195">
        <v>906.47</v>
      </c>
      <c r="J192" s="195"/>
      <c r="K192" s="190" t="s">
        <v>8</v>
      </c>
      <c r="L192" s="191">
        <v>12308582.09</v>
      </c>
    </row>
    <row r="193" spans="1:12" ht="51" x14ac:dyDescent="0.3">
      <c r="A193" s="185" t="s">
        <v>429</v>
      </c>
      <c r="B193" s="186" t="s">
        <v>2189</v>
      </c>
      <c r="C193" s="186" t="s">
        <v>2126</v>
      </c>
      <c r="D193" s="186" t="s">
        <v>1979</v>
      </c>
      <c r="E193" s="187" t="s">
        <v>42</v>
      </c>
      <c r="F193" s="193" t="s">
        <v>15</v>
      </c>
      <c r="G193" s="193"/>
      <c r="H193" s="187" t="s">
        <v>283</v>
      </c>
      <c r="I193" s="194">
        <v>1754.88</v>
      </c>
      <c r="J193" s="194"/>
      <c r="K193" s="190" t="s">
        <v>8</v>
      </c>
      <c r="L193" s="191">
        <v>12306827.210000001</v>
      </c>
    </row>
    <row r="194" spans="1:12" ht="61.2" x14ac:dyDescent="0.3">
      <c r="A194" s="185" t="s">
        <v>429</v>
      </c>
      <c r="B194" s="186" t="s">
        <v>2189</v>
      </c>
      <c r="C194" s="186" t="s">
        <v>2126</v>
      </c>
      <c r="D194" s="186" t="s">
        <v>2127</v>
      </c>
      <c r="E194" s="187" t="s">
        <v>42</v>
      </c>
      <c r="F194" s="193" t="s">
        <v>15</v>
      </c>
      <c r="G194" s="193"/>
      <c r="H194" s="187" t="s">
        <v>283</v>
      </c>
      <c r="I194" s="194">
        <v>7020.76</v>
      </c>
      <c r="J194" s="194"/>
      <c r="K194" s="190" t="s">
        <v>8</v>
      </c>
      <c r="L194" s="191">
        <v>12299806.449999999</v>
      </c>
    </row>
    <row r="195" spans="1:12" ht="61.2" x14ac:dyDescent="0.3">
      <c r="A195" s="185" t="s">
        <v>429</v>
      </c>
      <c r="B195" s="186" t="s">
        <v>2189</v>
      </c>
      <c r="C195" s="186" t="s">
        <v>2126</v>
      </c>
      <c r="D195" s="186" t="s">
        <v>2194</v>
      </c>
      <c r="E195" s="187" t="s">
        <v>42</v>
      </c>
      <c r="F195" s="193" t="s">
        <v>15</v>
      </c>
      <c r="G195" s="193"/>
      <c r="H195" s="187" t="s">
        <v>283</v>
      </c>
      <c r="I195" s="194">
        <v>16570.57</v>
      </c>
      <c r="J195" s="194"/>
      <c r="K195" s="190" t="s">
        <v>8</v>
      </c>
      <c r="L195" s="191">
        <v>12283235.880000001</v>
      </c>
    </row>
    <row r="196" spans="1:12" ht="51" x14ac:dyDescent="0.3">
      <c r="A196" s="185" t="s">
        <v>429</v>
      </c>
      <c r="B196" s="186" t="s">
        <v>2189</v>
      </c>
      <c r="C196" s="186" t="s">
        <v>2126</v>
      </c>
      <c r="D196" s="186" t="s">
        <v>2196</v>
      </c>
      <c r="E196" s="187" t="s">
        <v>42</v>
      </c>
      <c r="F196" s="193" t="s">
        <v>15</v>
      </c>
      <c r="G196" s="193"/>
      <c r="H196" s="187" t="s">
        <v>283</v>
      </c>
      <c r="I196" s="195">
        <v>533.29</v>
      </c>
      <c r="J196" s="195"/>
      <c r="K196" s="190" t="s">
        <v>8</v>
      </c>
      <c r="L196" s="191">
        <v>12282702.59</v>
      </c>
    </row>
    <row r="197" spans="1:12" ht="51" x14ac:dyDescent="0.3">
      <c r="A197" s="185" t="s">
        <v>429</v>
      </c>
      <c r="B197" s="186" t="s">
        <v>2189</v>
      </c>
      <c r="C197" s="186" t="s">
        <v>2126</v>
      </c>
      <c r="D197" s="186" t="s">
        <v>2195</v>
      </c>
      <c r="E197" s="187" t="s">
        <v>42</v>
      </c>
      <c r="F197" s="193" t="s">
        <v>15</v>
      </c>
      <c r="G197" s="193"/>
      <c r="H197" s="187" t="s">
        <v>283</v>
      </c>
      <c r="I197" s="195">
        <v>727.75</v>
      </c>
      <c r="J197" s="195"/>
      <c r="K197" s="190" t="s">
        <v>8</v>
      </c>
      <c r="L197" s="191">
        <v>12281974.84</v>
      </c>
    </row>
    <row r="198" spans="1:12" ht="51" x14ac:dyDescent="0.3">
      <c r="A198" s="185" t="s">
        <v>429</v>
      </c>
      <c r="B198" s="186" t="s">
        <v>2197</v>
      </c>
      <c r="C198" s="186" t="s">
        <v>2126</v>
      </c>
      <c r="D198" s="186" t="s">
        <v>2191</v>
      </c>
      <c r="E198" s="187" t="s">
        <v>42</v>
      </c>
      <c r="F198" s="193" t="s">
        <v>15</v>
      </c>
      <c r="G198" s="193"/>
      <c r="H198" s="187" t="s">
        <v>283</v>
      </c>
      <c r="I198" s="194">
        <v>3187.5</v>
      </c>
      <c r="J198" s="194"/>
      <c r="K198" s="190" t="s">
        <v>8</v>
      </c>
      <c r="L198" s="191">
        <v>12278787.34</v>
      </c>
    </row>
    <row r="199" spans="1:12" ht="51" x14ac:dyDescent="0.3">
      <c r="A199" s="185" t="s">
        <v>429</v>
      </c>
      <c r="B199" s="186" t="s">
        <v>2197</v>
      </c>
      <c r="C199" s="186" t="s">
        <v>2126</v>
      </c>
      <c r="D199" s="186" t="s">
        <v>2193</v>
      </c>
      <c r="E199" s="187" t="s">
        <v>42</v>
      </c>
      <c r="F199" s="193" t="s">
        <v>15</v>
      </c>
      <c r="G199" s="193"/>
      <c r="H199" s="187" t="s">
        <v>283</v>
      </c>
      <c r="I199" s="194">
        <v>15779.92</v>
      </c>
      <c r="J199" s="194"/>
      <c r="K199" s="190" t="s">
        <v>8</v>
      </c>
      <c r="L199" s="191">
        <v>12263007.42</v>
      </c>
    </row>
    <row r="200" spans="1:12" ht="51" x14ac:dyDescent="0.3">
      <c r="A200" s="185" t="s">
        <v>429</v>
      </c>
      <c r="B200" s="186" t="s">
        <v>2197</v>
      </c>
      <c r="C200" s="186" t="s">
        <v>2126</v>
      </c>
      <c r="D200" s="186" t="s">
        <v>2198</v>
      </c>
      <c r="E200" s="187" t="s">
        <v>42</v>
      </c>
      <c r="F200" s="193" t="s">
        <v>15</v>
      </c>
      <c r="G200" s="193"/>
      <c r="H200" s="187" t="s">
        <v>283</v>
      </c>
      <c r="I200" s="194">
        <v>14436.95</v>
      </c>
      <c r="J200" s="194"/>
      <c r="K200" s="190" t="s">
        <v>8</v>
      </c>
      <c r="L200" s="191">
        <v>12248570.470000001</v>
      </c>
    </row>
    <row r="201" spans="1:12" ht="51" x14ac:dyDescent="0.3">
      <c r="A201" s="185" t="s">
        <v>429</v>
      </c>
      <c r="B201" s="186" t="s">
        <v>2197</v>
      </c>
      <c r="C201" s="186" t="s">
        <v>2126</v>
      </c>
      <c r="D201" s="186" t="s">
        <v>2198</v>
      </c>
      <c r="E201" s="187" t="s">
        <v>42</v>
      </c>
      <c r="F201" s="193" t="s">
        <v>15</v>
      </c>
      <c r="G201" s="193"/>
      <c r="H201" s="187" t="s">
        <v>283</v>
      </c>
      <c r="I201" s="194">
        <v>15779.92</v>
      </c>
      <c r="J201" s="194"/>
      <c r="K201" s="190" t="s">
        <v>8</v>
      </c>
      <c r="L201" s="191">
        <v>12232790.550000001</v>
      </c>
    </row>
    <row r="202" spans="1:12" ht="51" x14ac:dyDescent="0.3">
      <c r="A202" s="185" t="s">
        <v>429</v>
      </c>
      <c r="B202" s="186" t="s">
        <v>2197</v>
      </c>
      <c r="C202" s="186" t="s">
        <v>2126</v>
      </c>
      <c r="D202" s="186" t="s">
        <v>2199</v>
      </c>
      <c r="E202" s="187" t="s">
        <v>42</v>
      </c>
      <c r="F202" s="193" t="s">
        <v>15</v>
      </c>
      <c r="G202" s="193"/>
      <c r="H202" s="187" t="s">
        <v>283</v>
      </c>
      <c r="I202" s="194">
        <v>7672.32</v>
      </c>
      <c r="J202" s="194"/>
      <c r="K202" s="190" t="s">
        <v>8</v>
      </c>
      <c r="L202" s="191">
        <v>12225118.23</v>
      </c>
    </row>
    <row r="203" spans="1:12" ht="51" x14ac:dyDescent="0.3">
      <c r="A203" s="185" t="s">
        <v>429</v>
      </c>
      <c r="B203" s="186" t="s">
        <v>2197</v>
      </c>
      <c r="C203" s="186" t="s">
        <v>2126</v>
      </c>
      <c r="D203" s="186" t="s">
        <v>2200</v>
      </c>
      <c r="E203" s="187" t="s">
        <v>42</v>
      </c>
      <c r="F203" s="193" t="s">
        <v>15</v>
      </c>
      <c r="G203" s="193"/>
      <c r="H203" s="187" t="s">
        <v>283</v>
      </c>
      <c r="I203" s="194">
        <v>1181.82</v>
      </c>
      <c r="J203" s="194"/>
      <c r="K203" s="190" t="s">
        <v>8</v>
      </c>
      <c r="L203" s="191">
        <v>12223936.41</v>
      </c>
    </row>
    <row r="204" spans="1:12" ht="61.2" x14ac:dyDescent="0.3">
      <c r="A204" s="185" t="s">
        <v>429</v>
      </c>
      <c r="B204" s="186" t="s">
        <v>2197</v>
      </c>
      <c r="C204" s="186" t="s">
        <v>2126</v>
      </c>
      <c r="D204" s="186" t="s">
        <v>2194</v>
      </c>
      <c r="E204" s="187" t="s">
        <v>42</v>
      </c>
      <c r="F204" s="193" t="s">
        <v>15</v>
      </c>
      <c r="G204" s="193"/>
      <c r="H204" s="187" t="s">
        <v>283</v>
      </c>
      <c r="I204" s="194">
        <v>16394.599999999999</v>
      </c>
      <c r="J204" s="194"/>
      <c r="K204" s="190" t="s">
        <v>8</v>
      </c>
      <c r="L204" s="191">
        <v>12207541.810000001</v>
      </c>
    </row>
    <row r="205" spans="1:12" ht="51" x14ac:dyDescent="0.3">
      <c r="A205" s="185" t="s">
        <v>429</v>
      </c>
      <c r="B205" s="186" t="s">
        <v>2197</v>
      </c>
      <c r="C205" s="186" t="s">
        <v>2126</v>
      </c>
      <c r="D205" s="186" t="s">
        <v>2201</v>
      </c>
      <c r="E205" s="187" t="s">
        <v>42</v>
      </c>
      <c r="F205" s="193" t="s">
        <v>15</v>
      </c>
      <c r="G205" s="193"/>
      <c r="H205" s="187" t="s">
        <v>283</v>
      </c>
      <c r="I205" s="194">
        <v>16800</v>
      </c>
      <c r="J205" s="194"/>
      <c r="K205" s="190" t="s">
        <v>8</v>
      </c>
      <c r="L205" s="191">
        <v>12190741.810000001</v>
      </c>
    </row>
    <row r="206" spans="1:12" ht="51" x14ac:dyDescent="0.3">
      <c r="A206" s="185" t="s">
        <v>429</v>
      </c>
      <c r="B206" s="186" t="s">
        <v>2197</v>
      </c>
      <c r="C206" s="186" t="s">
        <v>2126</v>
      </c>
      <c r="D206" s="186" t="s">
        <v>2200</v>
      </c>
      <c r="E206" s="187" t="s">
        <v>42</v>
      </c>
      <c r="F206" s="193" t="s">
        <v>15</v>
      </c>
      <c r="G206" s="193"/>
      <c r="H206" s="187" t="s">
        <v>283</v>
      </c>
      <c r="I206" s="194">
        <v>3182.84</v>
      </c>
      <c r="J206" s="194"/>
      <c r="K206" s="190" t="s">
        <v>8</v>
      </c>
      <c r="L206" s="191">
        <v>12187558.970000001</v>
      </c>
    </row>
    <row r="207" spans="1:12" ht="51" x14ac:dyDescent="0.3">
      <c r="A207" s="185" t="s">
        <v>429</v>
      </c>
      <c r="B207" s="186" t="s">
        <v>2197</v>
      </c>
      <c r="C207" s="186" t="s">
        <v>2126</v>
      </c>
      <c r="D207" s="186" t="s">
        <v>2200</v>
      </c>
      <c r="E207" s="187" t="s">
        <v>42</v>
      </c>
      <c r="F207" s="193" t="s">
        <v>15</v>
      </c>
      <c r="G207" s="193"/>
      <c r="H207" s="187" t="s">
        <v>283</v>
      </c>
      <c r="I207" s="194">
        <v>25852.21</v>
      </c>
      <c r="J207" s="194"/>
      <c r="K207" s="190" t="s">
        <v>8</v>
      </c>
      <c r="L207" s="191">
        <v>12161706.76</v>
      </c>
    </row>
    <row r="208" spans="1:12" ht="51" x14ac:dyDescent="0.3">
      <c r="A208" s="185" t="s">
        <v>429</v>
      </c>
      <c r="B208" s="186" t="s">
        <v>2197</v>
      </c>
      <c r="C208" s="186" t="s">
        <v>2126</v>
      </c>
      <c r="D208" s="186" t="s">
        <v>2202</v>
      </c>
      <c r="E208" s="187" t="s">
        <v>42</v>
      </c>
      <c r="F208" s="193" t="s">
        <v>15</v>
      </c>
      <c r="G208" s="193"/>
      <c r="H208" s="187" t="s">
        <v>283</v>
      </c>
      <c r="I208" s="194">
        <v>3324.66</v>
      </c>
      <c r="J208" s="194"/>
      <c r="K208" s="190" t="s">
        <v>8</v>
      </c>
      <c r="L208" s="191">
        <v>12158382.1</v>
      </c>
    </row>
    <row r="209" spans="1:12" ht="51" x14ac:dyDescent="0.3">
      <c r="A209" s="185" t="s">
        <v>429</v>
      </c>
      <c r="B209" s="186" t="s">
        <v>2197</v>
      </c>
      <c r="C209" s="186" t="s">
        <v>2126</v>
      </c>
      <c r="D209" s="186" t="s">
        <v>2202</v>
      </c>
      <c r="E209" s="187" t="s">
        <v>42</v>
      </c>
      <c r="F209" s="193" t="s">
        <v>15</v>
      </c>
      <c r="G209" s="193"/>
      <c r="H209" s="187" t="s">
        <v>283</v>
      </c>
      <c r="I209" s="194">
        <v>9462.49</v>
      </c>
      <c r="J209" s="194"/>
      <c r="K209" s="190" t="s">
        <v>8</v>
      </c>
      <c r="L209" s="191">
        <v>12148919.609999999</v>
      </c>
    </row>
    <row r="210" spans="1:12" ht="51" x14ac:dyDescent="0.3">
      <c r="A210" s="185" t="s">
        <v>429</v>
      </c>
      <c r="B210" s="186" t="s">
        <v>2197</v>
      </c>
      <c r="C210" s="186" t="s">
        <v>2126</v>
      </c>
      <c r="D210" s="186" t="s">
        <v>2203</v>
      </c>
      <c r="E210" s="187" t="s">
        <v>42</v>
      </c>
      <c r="F210" s="193" t="s">
        <v>15</v>
      </c>
      <c r="G210" s="193"/>
      <c r="H210" s="187" t="s">
        <v>283</v>
      </c>
      <c r="I210" s="194">
        <v>20459.439999999999</v>
      </c>
      <c r="J210" s="194"/>
      <c r="K210" s="190" t="s">
        <v>8</v>
      </c>
      <c r="L210" s="191">
        <v>12128460.17</v>
      </c>
    </row>
    <row r="211" spans="1:12" ht="51" x14ac:dyDescent="0.3">
      <c r="A211" s="185" t="s">
        <v>429</v>
      </c>
      <c r="B211" s="186" t="s">
        <v>2197</v>
      </c>
      <c r="C211" s="186" t="s">
        <v>2126</v>
      </c>
      <c r="D211" s="186" t="s">
        <v>2204</v>
      </c>
      <c r="E211" s="187" t="s">
        <v>42</v>
      </c>
      <c r="F211" s="193" t="s">
        <v>15</v>
      </c>
      <c r="G211" s="193"/>
      <c r="H211" s="187" t="s">
        <v>283</v>
      </c>
      <c r="I211" s="194">
        <v>3357.43</v>
      </c>
      <c r="J211" s="194"/>
      <c r="K211" s="190" t="s">
        <v>8</v>
      </c>
      <c r="L211" s="191">
        <v>12125102.74</v>
      </c>
    </row>
    <row r="212" spans="1:12" ht="51" x14ac:dyDescent="0.3">
      <c r="A212" s="185" t="s">
        <v>429</v>
      </c>
      <c r="B212" s="186" t="s">
        <v>2197</v>
      </c>
      <c r="C212" s="186" t="s">
        <v>2126</v>
      </c>
      <c r="D212" s="186" t="s">
        <v>2204</v>
      </c>
      <c r="E212" s="187" t="s">
        <v>42</v>
      </c>
      <c r="F212" s="193" t="s">
        <v>15</v>
      </c>
      <c r="G212" s="193"/>
      <c r="H212" s="187" t="s">
        <v>283</v>
      </c>
      <c r="I212" s="194">
        <v>13621.09</v>
      </c>
      <c r="J212" s="194"/>
      <c r="K212" s="190" t="s">
        <v>8</v>
      </c>
      <c r="L212" s="191">
        <v>12111481.65</v>
      </c>
    </row>
    <row r="213" spans="1:12" ht="61.2" x14ac:dyDescent="0.3">
      <c r="A213" s="185" t="s">
        <v>429</v>
      </c>
      <c r="B213" s="186" t="s">
        <v>2197</v>
      </c>
      <c r="C213" s="186" t="s">
        <v>2126</v>
      </c>
      <c r="D213" s="186" t="s">
        <v>2194</v>
      </c>
      <c r="E213" s="187" t="s">
        <v>42</v>
      </c>
      <c r="F213" s="193" t="s">
        <v>15</v>
      </c>
      <c r="G213" s="193"/>
      <c r="H213" s="187" t="s">
        <v>283</v>
      </c>
      <c r="I213" s="194">
        <v>41646.400000000001</v>
      </c>
      <c r="J213" s="194"/>
      <c r="K213" s="190" t="s">
        <v>8</v>
      </c>
      <c r="L213" s="191">
        <v>12069835.25</v>
      </c>
    </row>
    <row r="214" spans="1:12" ht="61.2" x14ac:dyDescent="0.3">
      <c r="A214" s="185" t="s">
        <v>429</v>
      </c>
      <c r="B214" s="186" t="s">
        <v>2197</v>
      </c>
      <c r="C214" s="186" t="s">
        <v>2126</v>
      </c>
      <c r="D214" s="186" t="s">
        <v>2205</v>
      </c>
      <c r="E214" s="187" t="s">
        <v>42</v>
      </c>
      <c r="F214" s="193" t="s">
        <v>15</v>
      </c>
      <c r="G214" s="193"/>
      <c r="H214" s="187" t="s">
        <v>283</v>
      </c>
      <c r="I214" s="194">
        <v>1283.93</v>
      </c>
      <c r="J214" s="194"/>
      <c r="K214" s="190" t="s">
        <v>8</v>
      </c>
      <c r="L214" s="191">
        <v>12068551.32</v>
      </c>
    </row>
    <row r="215" spans="1:12" ht="51" x14ac:dyDescent="0.3">
      <c r="A215" s="185" t="s">
        <v>429</v>
      </c>
      <c r="B215" s="186" t="s">
        <v>2197</v>
      </c>
      <c r="C215" s="186" t="s">
        <v>2126</v>
      </c>
      <c r="D215" s="186" t="s">
        <v>2179</v>
      </c>
      <c r="E215" s="187" t="s">
        <v>42</v>
      </c>
      <c r="F215" s="193" t="s">
        <v>15</v>
      </c>
      <c r="G215" s="193"/>
      <c r="H215" s="187" t="s">
        <v>283</v>
      </c>
      <c r="I215" s="194">
        <v>23680</v>
      </c>
      <c r="J215" s="194"/>
      <c r="K215" s="190" t="s">
        <v>8</v>
      </c>
      <c r="L215" s="191">
        <v>12044871.32</v>
      </c>
    </row>
    <row r="216" spans="1:12" ht="51" x14ac:dyDescent="0.3">
      <c r="A216" s="185" t="s">
        <v>429</v>
      </c>
      <c r="B216" s="186" t="s">
        <v>2197</v>
      </c>
      <c r="C216" s="186" t="s">
        <v>2126</v>
      </c>
      <c r="D216" s="186" t="s">
        <v>2179</v>
      </c>
      <c r="E216" s="187" t="s">
        <v>42</v>
      </c>
      <c r="F216" s="193" t="s">
        <v>15</v>
      </c>
      <c r="G216" s="193"/>
      <c r="H216" s="187" t="s">
        <v>283</v>
      </c>
      <c r="I216" s="194">
        <v>45880</v>
      </c>
      <c r="J216" s="194"/>
      <c r="K216" s="190" t="s">
        <v>8</v>
      </c>
      <c r="L216" s="191">
        <v>11998991.32</v>
      </c>
    </row>
    <row r="217" spans="1:12" ht="51" x14ac:dyDescent="0.3">
      <c r="A217" s="185" t="s">
        <v>429</v>
      </c>
      <c r="B217" s="186" t="s">
        <v>2197</v>
      </c>
      <c r="C217" s="186" t="s">
        <v>2126</v>
      </c>
      <c r="D217" s="186" t="s">
        <v>2206</v>
      </c>
      <c r="E217" s="187" t="s">
        <v>42</v>
      </c>
      <c r="F217" s="193" t="s">
        <v>15</v>
      </c>
      <c r="G217" s="193"/>
      <c r="H217" s="187" t="s">
        <v>283</v>
      </c>
      <c r="I217" s="194">
        <v>71098.58</v>
      </c>
      <c r="J217" s="194"/>
      <c r="K217" s="190" t="s">
        <v>8</v>
      </c>
      <c r="L217" s="191">
        <v>11927892.74</v>
      </c>
    </row>
    <row r="218" spans="1:12" ht="61.2" x14ac:dyDescent="0.3">
      <c r="A218" s="185" t="s">
        <v>429</v>
      </c>
      <c r="B218" s="186" t="s">
        <v>2197</v>
      </c>
      <c r="C218" s="186" t="s">
        <v>2126</v>
      </c>
      <c r="D218" s="186" t="s">
        <v>1985</v>
      </c>
      <c r="E218" s="187" t="s">
        <v>42</v>
      </c>
      <c r="F218" s="193" t="s">
        <v>15</v>
      </c>
      <c r="G218" s="193"/>
      <c r="H218" s="187" t="s">
        <v>283</v>
      </c>
      <c r="I218" s="194">
        <v>1760</v>
      </c>
      <c r="J218" s="194"/>
      <c r="K218" s="190" t="s">
        <v>8</v>
      </c>
      <c r="L218" s="191">
        <v>11926132.74</v>
      </c>
    </row>
    <row r="219" spans="1:12" ht="61.2" x14ac:dyDescent="0.3">
      <c r="A219" s="185" t="s">
        <v>429</v>
      </c>
      <c r="B219" s="186" t="s">
        <v>2197</v>
      </c>
      <c r="C219" s="186" t="s">
        <v>2126</v>
      </c>
      <c r="D219" s="186" t="s">
        <v>2089</v>
      </c>
      <c r="E219" s="187" t="s">
        <v>42</v>
      </c>
      <c r="F219" s="193" t="s">
        <v>15</v>
      </c>
      <c r="G219" s="193"/>
      <c r="H219" s="187" t="s">
        <v>283</v>
      </c>
      <c r="I219" s="194">
        <v>1760</v>
      </c>
      <c r="J219" s="194"/>
      <c r="K219" s="190" t="s">
        <v>8</v>
      </c>
      <c r="L219" s="191">
        <v>11924372.74</v>
      </c>
    </row>
    <row r="220" spans="1:12" ht="51" x14ac:dyDescent="0.3">
      <c r="A220" s="185" t="s">
        <v>429</v>
      </c>
      <c r="B220" s="186" t="s">
        <v>2197</v>
      </c>
      <c r="C220" s="186" t="s">
        <v>2126</v>
      </c>
      <c r="D220" s="186" t="s">
        <v>2180</v>
      </c>
      <c r="E220" s="187" t="s">
        <v>42</v>
      </c>
      <c r="F220" s="193" t="s">
        <v>15</v>
      </c>
      <c r="G220" s="193"/>
      <c r="H220" s="187" t="s">
        <v>283</v>
      </c>
      <c r="I220" s="194">
        <v>6735.51</v>
      </c>
      <c r="J220" s="194"/>
      <c r="K220" s="190" t="s">
        <v>8</v>
      </c>
      <c r="L220" s="191">
        <v>11917637.23</v>
      </c>
    </row>
    <row r="221" spans="1:12" ht="61.2" x14ac:dyDescent="0.3">
      <c r="A221" s="185" t="s">
        <v>429</v>
      </c>
      <c r="B221" s="186" t="s">
        <v>2207</v>
      </c>
      <c r="C221" s="186" t="s">
        <v>2126</v>
      </c>
      <c r="D221" s="186" t="s">
        <v>2146</v>
      </c>
      <c r="E221" s="187" t="s">
        <v>42</v>
      </c>
      <c r="F221" s="193" t="s">
        <v>15</v>
      </c>
      <c r="G221" s="193"/>
      <c r="H221" s="187" t="s">
        <v>283</v>
      </c>
      <c r="I221" s="194">
        <v>10806.26</v>
      </c>
      <c r="J221" s="194"/>
      <c r="K221" s="190" t="s">
        <v>8</v>
      </c>
      <c r="L221" s="191">
        <v>11906830.970000001</v>
      </c>
    </row>
    <row r="222" spans="1:12" ht="61.2" x14ac:dyDescent="0.3">
      <c r="A222" s="185" t="s">
        <v>429</v>
      </c>
      <c r="B222" s="186" t="s">
        <v>2207</v>
      </c>
      <c r="C222" s="186" t="s">
        <v>2126</v>
      </c>
      <c r="D222" s="186" t="s">
        <v>2208</v>
      </c>
      <c r="E222" s="187" t="s">
        <v>42</v>
      </c>
      <c r="F222" s="193" t="s">
        <v>15</v>
      </c>
      <c r="G222" s="193"/>
      <c r="H222" s="187" t="s">
        <v>283</v>
      </c>
      <c r="I222" s="194">
        <v>6620.88</v>
      </c>
      <c r="J222" s="194"/>
      <c r="K222" s="190" t="s">
        <v>8</v>
      </c>
      <c r="L222" s="191">
        <v>11900210.09</v>
      </c>
    </row>
    <row r="223" spans="1:12" ht="61.2" x14ac:dyDescent="0.3">
      <c r="A223" s="185" t="s">
        <v>429</v>
      </c>
      <c r="B223" s="186" t="s">
        <v>2207</v>
      </c>
      <c r="C223" s="186" t="s">
        <v>2126</v>
      </c>
      <c r="D223" s="186" t="s">
        <v>2209</v>
      </c>
      <c r="E223" s="187" t="s">
        <v>42</v>
      </c>
      <c r="F223" s="193" t="s">
        <v>15</v>
      </c>
      <c r="G223" s="193"/>
      <c r="H223" s="187" t="s">
        <v>283</v>
      </c>
      <c r="I223" s="194">
        <v>140164.14000000001</v>
      </c>
      <c r="J223" s="194"/>
      <c r="K223" s="190" t="s">
        <v>8</v>
      </c>
      <c r="L223" s="191">
        <v>11760045.949999999</v>
      </c>
    </row>
    <row r="224" spans="1:12" ht="61.2" x14ac:dyDescent="0.3">
      <c r="A224" s="185" t="s">
        <v>429</v>
      </c>
      <c r="B224" s="186" t="s">
        <v>2207</v>
      </c>
      <c r="C224" s="186" t="s">
        <v>2126</v>
      </c>
      <c r="D224" s="186" t="s">
        <v>2185</v>
      </c>
      <c r="E224" s="187" t="s">
        <v>42</v>
      </c>
      <c r="F224" s="193" t="s">
        <v>15</v>
      </c>
      <c r="G224" s="193"/>
      <c r="H224" s="187" t="s">
        <v>283</v>
      </c>
      <c r="I224" s="194">
        <v>13481.64</v>
      </c>
      <c r="J224" s="194"/>
      <c r="K224" s="190" t="s">
        <v>8</v>
      </c>
      <c r="L224" s="191">
        <v>11746564.310000001</v>
      </c>
    </row>
    <row r="225" spans="1:12" ht="61.2" x14ac:dyDescent="0.3">
      <c r="A225" s="185" t="s">
        <v>429</v>
      </c>
      <c r="B225" s="186" t="s">
        <v>2207</v>
      </c>
      <c r="C225" s="186" t="s">
        <v>2126</v>
      </c>
      <c r="D225" s="186" t="s">
        <v>2186</v>
      </c>
      <c r="E225" s="187" t="s">
        <v>42</v>
      </c>
      <c r="F225" s="193" t="s">
        <v>15</v>
      </c>
      <c r="G225" s="193"/>
      <c r="H225" s="187" t="s">
        <v>283</v>
      </c>
      <c r="I225" s="194">
        <v>62376.88</v>
      </c>
      <c r="J225" s="194"/>
      <c r="K225" s="190" t="s">
        <v>8</v>
      </c>
      <c r="L225" s="191">
        <v>11684187.43</v>
      </c>
    </row>
    <row r="226" spans="1:12" ht="71.400000000000006" hidden="1" x14ac:dyDescent="0.3">
      <c r="A226" s="185" t="s">
        <v>1666</v>
      </c>
      <c r="B226" s="186" t="s">
        <v>2210</v>
      </c>
      <c r="C226" s="186" t="s">
        <v>2211</v>
      </c>
      <c r="D226" s="186" t="s">
        <v>2212</v>
      </c>
      <c r="E226" s="187" t="s">
        <v>283</v>
      </c>
      <c r="F226" s="188">
        <v>4275</v>
      </c>
      <c r="G226" s="188"/>
      <c r="H226" s="187" t="s">
        <v>14</v>
      </c>
      <c r="I226" s="189" t="s">
        <v>15</v>
      </c>
      <c r="J226" s="189"/>
      <c r="K226" s="190" t="s">
        <v>8</v>
      </c>
      <c r="L226" s="191">
        <v>11688462.43</v>
      </c>
    </row>
    <row r="227" spans="1:12" ht="61.2" hidden="1" x14ac:dyDescent="0.3">
      <c r="A227" s="185" t="s">
        <v>1666</v>
      </c>
      <c r="B227" s="186" t="s">
        <v>2213</v>
      </c>
      <c r="C227" s="186" t="s">
        <v>2214</v>
      </c>
      <c r="D227" s="186" t="s">
        <v>2215</v>
      </c>
      <c r="E227" s="187" t="s">
        <v>283</v>
      </c>
      <c r="F227" s="192">
        <v>915</v>
      </c>
      <c r="G227" s="192"/>
      <c r="H227" s="187" t="s">
        <v>14</v>
      </c>
      <c r="I227" s="189" t="s">
        <v>15</v>
      </c>
      <c r="J227" s="189"/>
      <c r="K227" s="190" t="s">
        <v>8</v>
      </c>
      <c r="L227" s="191">
        <v>11689377.43</v>
      </c>
    </row>
    <row r="228" spans="1:12" ht="51" hidden="1" x14ac:dyDescent="0.3">
      <c r="A228" s="185" t="s">
        <v>239</v>
      </c>
      <c r="B228" s="186" t="s">
        <v>2216</v>
      </c>
      <c r="C228" s="186" t="s">
        <v>2217</v>
      </c>
      <c r="D228" s="186" t="s">
        <v>356</v>
      </c>
      <c r="E228" s="187" t="s">
        <v>283</v>
      </c>
      <c r="F228" s="192">
        <v>495</v>
      </c>
      <c r="G228" s="192"/>
      <c r="H228" s="187" t="s">
        <v>243</v>
      </c>
      <c r="I228" s="189" t="s">
        <v>15</v>
      </c>
      <c r="J228" s="189"/>
      <c r="K228" s="190" t="s">
        <v>8</v>
      </c>
      <c r="L228" s="191">
        <v>11689872.43</v>
      </c>
    </row>
    <row r="229" spans="1:12" ht="61.2" hidden="1" x14ac:dyDescent="0.3">
      <c r="A229" s="185" t="s">
        <v>239</v>
      </c>
      <c r="B229" s="186" t="s">
        <v>2216</v>
      </c>
      <c r="C229" s="186" t="s">
        <v>2218</v>
      </c>
      <c r="D229" s="186" t="s">
        <v>356</v>
      </c>
      <c r="E229" s="187" t="s">
        <v>283</v>
      </c>
      <c r="F229" s="192">
        <v>690</v>
      </c>
      <c r="G229" s="192"/>
      <c r="H229" s="187" t="s">
        <v>243</v>
      </c>
      <c r="I229" s="189" t="s">
        <v>15</v>
      </c>
      <c r="J229" s="189"/>
      <c r="K229" s="190" t="s">
        <v>8</v>
      </c>
      <c r="L229" s="191">
        <v>11690562.43</v>
      </c>
    </row>
    <row r="230" spans="1:12" ht="51" hidden="1" x14ac:dyDescent="0.3">
      <c r="A230" s="185" t="s">
        <v>239</v>
      </c>
      <c r="B230" s="186" t="s">
        <v>2216</v>
      </c>
      <c r="C230" s="186" t="s">
        <v>2219</v>
      </c>
      <c r="D230" s="186" t="s">
        <v>356</v>
      </c>
      <c r="E230" s="187" t="s">
        <v>283</v>
      </c>
      <c r="F230" s="192">
        <v>171</v>
      </c>
      <c r="G230" s="192"/>
      <c r="H230" s="187" t="s">
        <v>243</v>
      </c>
      <c r="I230" s="189" t="s">
        <v>15</v>
      </c>
      <c r="J230" s="189"/>
      <c r="K230" s="190" t="s">
        <v>8</v>
      </c>
      <c r="L230" s="191">
        <v>11690733.43</v>
      </c>
    </row>
    <row r="231" spans="1:12" ht="61.2" hidden="1" x14ac:dyDescent="0.3">
      <c r="A231" s="185" t="s">
        <v>239</v>
      </c>
      <c r="B231" s="186" t="s">
        <v>2216</v>
      </c>
      <c r="C231" s="186" t="s">
        <v>2220</v>
      </c>
      <c r="D231" s="186" t="s">
        <v>356</v>
      </c>
      <c r="E231" s="187" t="s">
        <v>283</v>
      </c>
      <c r="F231" s="192">
        <v>240</v>
      </c>
      <c r="G231" s="192"/>
      <c r="H231" s="187" t="s">
        <v>243</v>
      </c>
      <c r="I231" s="189" t="s">
        <v>15</v>
      </c>
      <c r="J231" s="189"/>
      <c r="K231" s="190" t="s">
        <v>8</v>
      </c>
      <c r="L231" s="191">
        <v>11690973.43</v>
      </c>
    </row>
    <row r="232" spans="1:12" ht="51" hidden="1" x14ac:dyDescent="0.3">
      <c r="A232" s="185" t="s">
        <v>239</v>
      </c>
      <c r="B232" s="186" t="s">
        <v>2216</v>
      </c>
      <c r="C232" s="186" t="s">
        <v>2221</v>
      </c>
      <c r="D232" s="186" t="s">
        <v>356</v>
      </c>
      <c r="E232" s="187" t="s">
        <v>283</v>
      </c>
      <c r="F232" s="192">
        <v>280</v>
      </c>
      <c r="G232" s="192"/>
      <c r="H232" s="187" t="s">
        <v>243</v>
      </c>
      <c r="I232" s="189" t="s">
        <v>15</v>
      </c>
      <c r="J232" s="189"/>
      <c r="K232" s="190" t="s">
        <v>8</v>
      </c>
      <c r="L232" s="191">
        <v>11691253.43</v>
      </c>
    </row>
    <row r="233" spans="1:12" ht="51" hidden="1" x14ac:dyDescent="0.3">
      <c r="A233" s="185" t="s">
        <v>239</v>
      </c>
      <c r="B233" s="186" t="s">
        <v>2216</v>
      </c>
      <c r="C233" s="186" t="s">
        <v>2222</v>
      </c>
      <c r="D233" s="186" t="s">
        <v>356</v>
      </c>
      <c r="E233" s="187" t="s">
        <v>283</v>
      </c>
      <c r="F233" s="188">
        <v>2850</v>
      </c>
      <c r="G233" s="188"/>
      <c r="H233" s="187" t="s">
        <v>243</v>
      </c>
      <c r="I233" s="189" t="s">
        <v>15</v>
      </c>
      <c r="J233" s="189"/>
      <c r="K233" s="190" t="s">
        <v>8</v>
      </c>
      <c r="L233" s="191">
        <v>11694103.43</v>
      </c>
    </row>
    <row r="234" spans="1:12" ht="51" hidden="1" x14ac:dyDescent="0.3">
      <c r="A234" s="185" t="s">
        <v>239</v>
      </c>
      <c r="B234" s="186" t="s">
        <v>2216</v>
      </c>
      <c r="C234" s="186" t="s">
        <v>2222</v>
      </c>
      <c r="D234" s="186" t="s">
        <v>356</v>
      </c>
      <c r="E234" s="187" t="s">
        <v>283</v>
      </c>
      <c r="F234" s="188">
        <v>3040</v>
      </c>
      <c r="G234" s="188"/>
      <c r="H234" s="187" t="s">
        <v>243</v>
      </c>
      <c r="I234" s="189" t="s">
        <v>15</v>
      </c>
      <c r="J234" s="189"/>
      <c r="K234" s="190" t="s">
        <v>8</v>
      </c>
      <c r="L234" s="191">
        <v>11697143.43</v>
      </c>
    </row>
    <row r="235" spans="1:12" ht="51" hidden="1" x14ac:dyDescent="0.3">
      <c r="A235" s="185" t="s">
        <v>239</v>
      </c>
      <c r="B235" s="186" t="s">
        <v>2216</v>
      </c>
      <c r="C235" s="186" t="s">
        <v>2222</v>
      </c>
      <c r="D235" s="186" t="s">
        <v>356</v>
      </c>
      <c r="E235" s="187" t="s">
        <v>283</v>
      </c>
      <c r="F235" s="188">
        <v>3040</v>
      </c>
      <c r="G235" s="188"/>
      <c r="H235" s="187" t="s">
        <v>243</v>
      </c>
      <c r="I235" s="189" t="s">
        <v>15</v>
      </c>
      <c r="J235" s="189"/>
      <c r="K235" s="190" t="s">
        <v>8</v>
      </c>
      <c r="L235" s="191">
        <v>11700183.43</v>
      </c>
    </row>
    <row r="236" spans="1:12" ht="51" hidden="1" x14ac:dyDescent="0.3">
      <c r="A236" s="185" t="s">
        <v>239</v>
      </c>
      <c r="B236" s="186" t="s">
        <v>2216</v>
      </c>
      <c r="C236" s="186" t="s">
        <v>2223</v>
      </c>
      <c r="D236" s="186" t="s">
        <v>356</v>
      </c>
      <c r="E236" s="187" t="s">
        <v>283</v>
      </c>
      <c r="F236" s="192">
        <v>177</v>
      </c>
      <c r="G236" s="192"/>
      <c r="H236" s="187" t="s">
        <v>243</v>
      </c>
      <c r="I236" s="189" t="s">
        <v>15</v>
      </c>
      <c r="J236" s="189"/>
      <c r="K236" s="190" t="s">
        <v>8</v>
      </c>
      <c r="L236" s="191">
        <v>11700360.43</v>
      </c>
    </row>
    <row r="237" spans="1:12" ht="51" hidden="1" x14ac:dyDescent="0.3">
      <c r="A237" s="185" t="s">
        <v>239</v>
      </c>
      <c r="B237" s="186" t="s">
        <v>2216</v>
      </c>
      <c r="C237" s="186" t="s">
        <v>2224</v>
      </c>
      <c r="D237" s="186" t="s">
        <v>356</v>
      </c>
      <c r="E237" s="187" t="s">
        <v>283</v>
      </c>
      <c r="F237" s="192">
        <v>132</v>
      </c>
      <c r="G237" s="192"/>
      <c r="H237" s="187" t="s">
        <v>243</v>
      </c>
      <c r="I237" s="189" t="s">
        <v>15</v>
      </c>
      <c r="J237" s="189"/>
      <c r="K237" s="190" t="s">
        <v>8</v>
      </c>
      <c r="L237" s="191">
        <v>11700492.43</v>
      </c>
    </row>
    <row r="238" spans="1:12" ht="61.2" hidden="1" x14ac:dyDescent="0.3">
      <c r="A238" s="185" t="s">
        <v>239</v>
      </c>
      <c r="B238" s="186" t="s">
        <v>2225</v>
      </c>
      <c r="C238" s="186" t="s">
        <v>2226</v>
      </c>
      <c r="D238" s="186" t="s">
        <v>2227</v>
      </c>
      <c r="E238" s="187" t="s">
        <v>283</v>
      </c>
      <c r="F238" s="188">
        <v>189887.35</v>
      </c>
      <c r="G238" s="188"/>
      <c r="H238" s="187" t="s">
        <v>14</v>
      </c>
      <c r="I238" s="189" t="s">
        <v>15</v>
      </c>
      <c r="J238" s="189"/>
      <c r="K238" s="190" t="s">
        <v>8</v>
      </c>
      <c r="L238" s="191">
        <v>11890379.779999999</v>
      </c>
    </row>
    <row r="239" spans="1:12" ht="61.2" hidden="1" x14ac:dyDescent="0.3">
      <c r="A239" s="185" t="s">
        <v>239</v>
      </c>
      <c r="B239" s="186" t="s">
        <v>2228</v>
      </c>
      <c r="C239" s="186" t="s">
        <v>2226</v>
      </c>
      <c r="D239" s="186" t="s">
        <v>2227</v>
      </c>
      <c r="E239" s="187" t="s">
        <v>283</v>
      </c>
      <c r="F239" s="188">
        <v>253243.78</v>
      </c>
      <c r="G239" s="188"/>
      <c r="H239" s="187" t="s">
        <v>14</v>
      </c>
      <c r="I239" s="189" t="s">
        <v>15</v>
      </c>
      <c r="J239" s="189"/>
      <c r="K239" s="190" t="s">
        <v>8</v>
      </c>
      <c r="L239" s="191">
        <v>12143623.560000001</v>
      </c>
    </row>
    <row r="240" spans="1:12" ht="61.2" hidden="1" x14ac:dyDescent="0.3">
      <c r="A240" s="185" t="s">
        <v>239</v>
      </c>
      <c r="B240" s="186" t="s">
        <v>2225</v>
      </c>
      <c r="C240" s="186" t="s">
        <v>2226</v>
      </c>
      <c r="D240" s="186" t="s">
        <v>2227</v>
      </c>
      <c r="E240" s="187" t="s">
        <v>283</v>
      </c>
      <c r="F240" s="188">
        <v>231647.45</v>
      </c>
      <c r="G240" s="188"/>
      <c r="H240" s="187" t="s">
        <v>14</v>
      </c>
      <c r="I240" s="189" t="s">
        <v>15</v>
      </c>
      <c r="J240" s="189"/>
      <c r="K240" s="190" t="s">
        <v>8</v>
      </c>
      <c r="L240" s="191">
        <v>12375271.01</v>
      </c>
    </row>
    <row r="241" spans="1:12" ht="71.400000000000006" hidden="1" x14ac:dyDescent="0.3">
      <c r="A241" s="185" t="s">
        <v>239</v>
      </c>
      <c r="B241" s="186" t="s">
        <v>2229</v>
      </c>
      <c r="C241" s="186" t="s">
        <v>2230</v>
      </c>
      <c r="D241" s="186" t="s">
        <v>2231</v>
      </c>
      <c r="E241" s="187" t="s">
        <v>283</v>
      </c>
      <c r="F241" s="188">
        <v>84593.9</v>
      </c>
      <c r="G241" s="188"/>
      <c r="H241" s="187" t="s">
        <v>14</v>
      </c>
      <c r="I241" s="189" t="s">
        <v>15</v>
      </c>
      <c r="J241" s="189"/>
      <c r="K241" s="190" t="s">
        <v>8</v>
      </c>
      <c r="L241" s="191">
        <v>12459864.91</v>
      </c>
    </row>
    <row r="242" spans="1:12" ht="71.400000000000006" hidden="1" x14ac:dyDescent="0.3">
      <c r="A242" s="185" t="s">
        <v>239</v>
      </c>
      <c r="B242" s="186" t="s">
        <v>2232</v>
      </c>
      <c r="C242" s="186" t="s">
        <v>2230</v>
      </c>
      <c r="D242" s="186" t="s">
        <v>2231</v>
      </c>
      <c r="E242" s="187" t="s">
        <v>283</v>
      </c>
      <c r="F242" s="188">
        <v>126890.85</v>
      </c>
      <c r="G242" s="188"/>
      <c r="H242" s="187" t="s">
        <v>14</v>
      </c>
      <c r="I242" s="189" t="s">
        <v>15</v>
      </c>
      <c r="J242" s="189"/>
      <c r="K242" s="190" t="s">
        <v>8</v>
      </c>
      <c r="L242" s="191">
        <v>12586755.76</v>
      </c>
    </row>
    <row r="243" spans="1:12" ht="51" x14ac:dyDescent="0.3">
      <c r="A243" s="185" t="s">
        <v>328</v>
      </c>
      <c r="B243" s="186" t="s">
        <v>2233</v>
      </c>
      <c r="C243" s="186" t="s">
        <v>2126</v>
      </c>
      <c r="D243" s="186" t="s">
        <v>2191</v>
      </c>
      <c r="E243" s="187" t="s">
        <v>42</v>
      </c>
      <c r="F243" s="193" t="s">
        <v>15</v>
      </c>
      <c r="G243" s="193"/>
      <c r="H243" s="187" t="s">
        <v>283</v>
      </c>
      <c r="I243" s="194">
        <v>23371.87</v>
      </c>
      <c r="J243" s="194"/>
      <c r="K243" s="190" t="s">
        <v>8</v>
      </c>
      <c r="L243" s="191">
        <v>12563383.890000001</v>
      </c>
    </row>
    <row r="244" spans="1:12" ht="51" x14ac:dyDescent="0.3">
      <c r="A244" s="185" t="s">
        <v>328</v>
      </c>
      <c r="B244" s="186" t="s">
        <v>2234</v>
      </c>
      <c r="C244" s="186" t="s">
        <v>2126</v>
      </c>
      <c r="D244" s="186" t="s">
        <v>1979</v>
      </c>
      <c r="E244" s="187" t="s">
        <v>42</v>
      </c>
      <c r="F244" s="193" t="s">
        <v>15</v>
      </c>
      <c r="G244" s="193"/>
      <c r="H244" s="187" t="s">
        <v>283</v>
      </c>
      <c r="I244" s="195">
        <v>20.2</v>
      </c>
      <c r="J244" s="195"/>
      <c r="K244" s="190" t="s">
        <v>8</v>
      </c>
      <c r="L244" s="191">
        <v>12563363.689999999</v>
      </c>
    </row>
    <row r="245" spans="1:12" ht="51" x14ac:dyDescent="0.3">
      <c r="A245" s="185" t="s">
        <v>328</v>
      </c>
      <c r="B245" s="186" t="s">
        <v>2234</v>
      </c>
      <c r="C245" s="186" t="s">
        <v>2126</v>
      </c>
      <c r="D245" s="186" t="s">
        <v>2004</v>
      </c>
      <c r="E245" s="187" t="s">
        <v>42</v>
      </c>
      <c r="F245" s="193" t="s">
        <v>15</v>
      </c>
      <c r="G245" s="193"/>
      <c r="H245" s="187" t="s">
        <v>283</v>
      </c>
      <c r="I245" s="195">
        <v>906.48</v>
      </c>
      <c r="J245" s="195"/>
      <c r="K245" s="190" t="s">
        <v>8</v>
      </c>
      <c r="L245" s="191">
        <v>12562457.210000001</v>
      </c>
    </row>
    <row r="246" spans="1:12" ht="51" x14ac:dyDescent="0.3">
      <c r="A246" s="185" t="s">
        <v>328</v>
      </c>
      <c r="B246" s="186" t="s">
        <v>2235</v>
      </c>
      <c r="C246" s="186" t="s">
        <v>2126</v>
      </c>
      <c r="D246" s="186" t="s">
        <v>2073</v>
      </c>
      <c r="E246" s="187" t="s">
        <v>42</v>
      </c>
      <c r="F246" s="193" t="s">
        <v>15</v>
      </c>
      <c r="G246" s="193"/>
      <c r="H246" s="187" t="s">
        <v>283</v>
      </c>
      <c r="I246" s="194">
        <v>38325.06</v>
      </c>
      <c r="J246" s="194"/>
      <c r="K246" s="190" t="s">
        <v>8</v>
      </c>
      <c r="L246" s="191">
        <v>12524132.15</v>
      </c>
    </row>
    <row r="247" spans="1:12" ht="51" x14ac:dyDescent="0.3">
      <c r="A247" s="185" t="s">
        <v>328</v>
      </c>
      <c r="B247" s="186" t="s">
        <v>2235</v>
      </c>
      <c r="C247" s="186" t="s">
        <v>2126</v>
      </c>
      <c r="D247" s="186" t="s">
        <v>2080</v>
      </c>
      <c r="E247" s="187" t="s">
        <v>42</v>
      </c>
      <c r="F247" s="193" t="s">
        <v>15</v>
      </c>
      <c r="G247" s="193"/>
      <c r="H247" s="187" t="s">
        <v>283</v>
      </c>
      <c r="I247" s="194">
        <v>38325.06</v>
      </c>
      <c r="J247" s="194"/>
      <c r="K247" s="190" t="s">
        <v>8</v>
      </c>
      <c r="L247" s="191">
        <v>12485807.09</v>
      </c>
    </row>
    <row r="248" spans="1:12" ht="51" x14ac:dyDescent="0.3">
      <c r="A248" s="185" t="s">
        <v>328</v>
      </c>
      <c r="B248" s="186" t="s">
        <v>2235</v>
      </c>
      <c r="C248" s="186" t="s">
        <v>2126</v>
      </c>
      <c r="D248" s="186" t="s">
        <v>2083</v>
      </c>
      <c r="E248" s="187" t="s">
        <v>42</v>
      </c>
      <c r="F248" s="193" t="s">
        <v>15</v>
      </c>
      <c r="G248" s="193"/>
      <c r="H248" s="187" t="s">
        <v>283</v>
      </c>
      <c r="I248" s="194">
        <v>38325.06</v>
      </c>
      <c r="J248" s="194"/>
      <c r="K248" s="190" t="s">
        <v>8</v>
      </c>
      <c r="L248" s="191">
        <v>12447482.029999999</v>
      </c>
    </row>
    <row r="249" spans="1:12" ht="51" x14ac:dyDescent="0.3">
      <c r="A249" s="185" t="s">
        <v>328</v>
      </c>
      <c r="B249" s="186" t="s">
        <v>2235</v>
      </c>
      <c r="C249" s="186" t="s">
        <v>2126</v>
      </c>
      <c r="D249" s="186" t="s">
        <v>2086</v>
      </c>
      <c r="E249" s="187" t="s">
        <v>42</v>
      </c>
      <c r="F249" s="193" t="s">
        <v>15</v>
      </c>
      <c r="G249" s="193"/>
      <c r="H249" s="187" t="s">
        <v>283</v>
      </c>
      <c r="I249" s="194">
        <v>18396.03</v>
      </c>
      <c r="J249" s="194"/>
      <c r="K249" s="190" t="s">
        <v>8</v>
      </c>
      <c r="L249" s="191">
        <v>12429086</v>
      </c>
    </row>
    <row r="250" spans="1:12" ht="61.2" x14ac:dyDescent="0.3">
      <c r="A250" s="185" t="s">
        <v>328</v>
      </c>
      <c r="B250" s="186" t="s">
        <v>2235</v>
      </c>
      <c r="C250" s="186" t="s">
        <v>2126</v>
      </c>
      <c r="D250" s="186" t="s">
        <v>2205</v>
      </c>
      <c r="E250" s="187" t="s">
        <v>42</v>
      </c>
      <c r="F250" s="193" t="s">
        <v>15</v>
      </c>
      <c r="G250" s="193"/>
      <c r="H250" s="187" t="s">
        <v>283</v>
      </c>
      <c r="I250" s="194">
        <v>2380.5500000000002</v>
      </c>
      <c r="J250" s="194"/>
      <c r="K250" s="190" t="s">
        <v>8</v>
      </c>
      <c r="L250" s="191">
        <v>12426705.449999999</v>
      </c>
    </row>
    <row r="251" spans="1:12" ht="51" x14ac:dyDescent="0.3">
      <c r="A251" s="185" t="s">
        <v>328</v>
      </c>
      <c r="B251" s="186" t="s">
        <v>2235</v>
      </c>
      <c r="C251" s="186" t="s">
        <v>2126</v>
      </c>
      <c r="D251" s="186" t="s">
        <v>2236</v>
      </c>
      <c r="E251" s="187" t="s">
        <v>42</v>
      </c>
      <c r="F251" s="193" t="s">
        <v>15</v>
      </c>
      <c r="G251" s="193"/>
      <c r="H251" s="187" t="s">
        <v>283</v>
      </c>
      <c r="I251" s="195">
        <v>607.92999999999995</v>
      </c>
      <c r="J251" s="195"/>
      <c r="K251" s="190" t="s">
        <v>8</v>
      </c>
      <c r="L251" s="191">
        <v>12426097.52</v>
      </c>
    </row>
    <row r="252" spans="1:12" ht="61.2" x14ac:dyDescent="0.3">
      <c r="A252" s="185" t="s">
        <v>328</v>
      </c>
      <c r="B252" s="186" t="s">
        <v>2235</v>
      </c>
      <c r="C252" s="186" t="s">
        <v>2126</v>
      </c>
      <c r="D252" s="186" t="s">
        <v>2237</v>
      </c>
      <c r="E252" s="187" t="s">
        <v>42</v>
      </c>
      <c r="F252" s="193" t="s">
        <v>15</v>
      </c>
      <c r="G252" s="193"/>
      <c r="H252" s="187" t="s">
        <v>283</v>
      </c>
      <c r="I252" s="195">
        <v>167.81</v>
      </c>
      <c r="J252" s="195"/>
      <c r="K252" s="190" t="s">
        <v>8</v>
      </c>
      <c r="L252" s="191">
        <v>12425929.710000001</v>
      </c>
    </row>
    <row r="253" spans="1:12" ht="51" x14ac:dyDescent="0.3">
      <c r="A253" s="185" t="s">
        <v>328</v>
      </c>
      <c r="B253" s="186" t="s">
        <v>2238</v>
      </c>
      <c r="C253" s="186" t="s">
        <v>2126</v>
      </c>
      <c r="D253" s="186" t="s">
        <v>2239</v>
      </c>
      <c r="E253" s="187" t="s">
        <v>42</v>
      </c>
      <c r="F253" s="193" t="s">
        <v>15</v>
      </c>
      <c r="G253" s="193"/>
      <c r="H253" s="187" t="s">
        <v>283</v>
      </c>
      <c r="I253" s="194">
        <v>4166.6000000000004</v>
      </c>
      <c r="J253" s="194"/>
      <c r="K253" s="190" t="s">
        <v>8</v>
      </c>
      <c r="L253" s="191">
        <v>12421763.109999999</v>
      </c>
    </row>
    <row r="254" spans="1:12" ht="51" x14ac:dyDescent="0.3">
      <c r="A254" s="185" t="s">
        <v>328</v>
      </c>
      <c r="B254" s="186" t="s">
        <v>2240</v>
      </c>
      <c r="C254" s="186" t="s">
        <v>2126</v>
      </c>
      <c r="D254" s="186" t="s">
        <v>2241</v>
      </c>
      <c r="E254" s="187" t="s">
        <v>42</v>
      </c>
      <c r="F254" s="193" t="s">
        <v>15</v>
      </c>
      <c r="G254" s="193"/>
      <c r="H254" s="187" t="s">
        <v>283</v>
      </c>
      <c r="I254" s="194">
        <v>18955.36</v>
      </c>
      <c r="J254" s="194"/>
      <c r="K254" s="190" t="s">
        <v>8</v>
      </c>
      <c r="L254" s="191">
        <v>12402807.75</v>
      </c>
    </row>
    <row r="255" spans="1:12" ht="51" x14ac:dyDescent="0.3">
      <c r="A255" s="185" t="s">
        <v>328</v>
      </c>
      <c r="B255" s="186" t="s">
        <v>2240</v>
      </c>
      <c r="C255" s="186" t="s">
        <v>2126</v>
      </c>
      <c r="D255" s="186" t="s">
        <v>2242</v>
      </c>
      <c r="E255" s="187" t="s">
        <v>42</v>
      </c>
      <c r="F255" s="193" t="s">
        <v>15</v>
      </c>
      <c r="G255" s="193"/>
      <c r="H255" s="187" t="s">
        <v>283</v>
      </c>
      <c r="I255" s="194">
        <v>14317.2</v>
      </c>
      <c r="J255" s="194"/>
      <c r="K255" s="190" t="s">
        <v>8</v>
      </c>
      <c r="L255" s="191">
        <v>12388490.550000001</v>
      </c>
    </row>
    <row r="256" spans="1:12" ht="51" x14ac:dyDescent="0.3">
      <c r="A256" s="185" t="s">
        <v>328</v>
      </c>
      <c r="B256" s="186" t="s">
        <v>2240</v>
      </c>
      <c r="C256" s="186" t="s">
        <v>2126</v>
      </c>
      <c r="D256" s="186" t="s">
        <v>1931</v>
      </c>
      <c r="E256" s="187" t="s">
        <v>42</v>
      </c>
      <c r="F256" s="193" t="s">
        <v>15</v>
      </c>
      <c r="G256" s="193"/>
      <c r="H256" s="187" t="s">
        <v>283</v>
      </c>
      <c r="I256" s="194">
        <v>35325</v>
      </c>
      <c r="J256" s="194"/>
      <c r="K256" s="190" t="s">
        <v>8</v>
      </c>
      <c r="L256" s="191">
        <v>12353165.550000001</v>
      </c>
    </row>
    <row r="257" spans="1:12" ht="51" x14ac:dyDescent="0.3">
      <c r="A257" s="185" t="s">
        <v>328</v>
      </c>
      <c r="B257" s="186" t="s">
        <v>2240</v>
      </c>
      <c r="C257" s="186" t="s">
        <v>2126</v>
      </c>
      <c r="D257" s="186" t="s">
        <v>1934</v>
      </c>
      <c r="E257" s="187" t="s">
        <v>42</v>
      </c>
      <c r="F257" s="193" t="s">
        <v>15</v>
      </c>
      <c r="G257" s="193"/>
      <c r="H257" s="187" t="s">
        <v>283</v>
      </c>
      <c r="I257" s="194">
        <v>35325</v>
      </c>
      <c r="J257" s="194"/>
      <c r="K257" s="190" t="s">
        <v>8</v>
      </c>
      <c r="L257" s="191">
        <v>12317840.550000001</v>
      </c>
    </row>
    <row r="258" spans="1:12" ht="51" x14ac:dyDescent="0.3">
      <c r="A258" s="185" t="s">
        <v>328</v>
      </c>
      <c r="B258" s="186" t="s">
        <v>2240</v>
      </c>
      <c r="C258" s="186" t="s">
        <v>2126</v>
      </c>
      <c r="D258" s="186" t="s">
        <v>1937</v>
      </c>
      <c r="E258" s="187" t="s">
        <v>42</v>
      </c>
      <c r="F258" s="193" t="s">
        <v>15</v>
      </c>
      <c r="G258" s="193"/>
      <c r="H258" s="187" t="s">
        <v>283</v>
      </c>
      <c r="I258" s="194">
        <v>17321.02</v>
      </c>
      <c r="J258" s="194"/>
      <c r="K258" s="190" t="s">
        <v>8</v>
      </c>
      <c r="L258" s="191">
        <v>12300519.529999999</v>
      </c>
    </row>
    <row r="259" spans="1:12" ht="51" x14ac:dyDescent="0.3">
      <c r="A259" s="185" t="s">
        <v>328</v>
      </c>
      <c r="B259" s="186" t="s">
        <v>2243</v>
      </c>
      <c r="C259" s="186" t="s">
        <v>2126</v>
      </c>
      <c r="D259" s="186" t="s">
        <v>2244</v>
      </c>
      <c r="E259" s="187" t="s">
        <v>42</v>
      </c>
      <c r="F259" s="193" t="s">
        <v>15</v>
      </c>
      <c r="G259" s="193"/>
      <c r="H259" s="187" t="s">
        <v>283</v>
      </c>
      <c r="I259" s="194">
        <v>17205.45</v>
      </c>
      <c r="J259" s="194"/>
      <c r="K259" s="190" t="s">
        <v>8</v>
      </c>
      <c r="L259" s="191">
        <v>12283314.08</v>
      </c>
    </row>
    <row r="260" spans="1:12" ht="51" x14ac:dyDescent="0.3">
      <c r="A260" s="185" t="s">
        <v>328</v>
      </c>
      <c r="B260" s="186" t="s">
        <v>2243</v>
      </c>
      <c r="C260" s="186" t="s">
        <v>2126</v>
      </c>
      <c r="D260" s="186" t="s">
        <v>2245</v>
      </c>
      <c r="E260" s="187" t="s">
        <v>42</v>
      </c>
      <c r="F260" s="193" t="s">
        <v>15</v>
      </c>
      <c r="G260" s="193"/>
      <c r="H260" s="187" t="s">
        <v>283</v>
      </c>
      <c r="I260" s="194">
        <v>38469.870000000003</v>
      </c>
      <c r="J260" s="194"/>
      <c r="K260" s="190" t="s">
        <v>8</v>
      </c>
      <c r="L260" s="191">
        <v>12244844.210000001</v>
      </c>
    </row>
    <row r="261" spans="1:12" ht="51" x14ac:dyDescent="0.3">
      <c r="A261" s="185" t="s">
        <v>328</v>
      </c>
      <c r="B261" s="186" t="s">
        <v>2243</v>
      </c>
      <c r="C261" s="186" t="s">
        <v>2126</v>
      </c>
      <c r="D261" s="186" t="s">
        <v>2246</v>
      </c>
      <c r="E261" s="187" t="s">
        <v>42</v>
      </c>
      <c r="F261" s="193" t="s">
        <v>15</v>
      </c>
      <c r="G261" s="193"/>
      <c r="H261" s="187" t="s">
        <v>283</v>
      </c>
      <c r="I261" s="194">
        <v>38469.870000000003</v>
      </c>
      <c r="J261" s="194"/>
      <c r="K261" s="190" t="s">
        <v>8</v>
      </c>
      <c r="L261" s="191">
        <v>12206374.34</v>
      </c>
    </row>
    <row r="262" spans="1:12" ht="51" x14ac:dyDescent="0.3">
      <c r="A262" s="185" t="s">
        <v>328</v>
      </c>
      <c r="B262" s="186" t="s">
        <v>2243</v>
      </c>
      <c r="C262" s="186" t="s">
        <v>2126</v>
      </c>
      <c r="D262" s="186" t="s">
        <v>2247</v>
      </c>
      <c r="E262" s="187" t="s">
        <v>42</v>
      </c>
      <c r="F262" s="193" t="s">
        <v>15</v>
      </c>
      <c r="G262" s="193"/>
      <c r="H262" s="187" t="s">
        <v>283</v>
      </c>
      <c r="I262" s="194">
        <v>38469.870000000003</v>
      </c>
      <c r="J262" s="194"/>
      <c r="K262" s="190" t="s">
        <v>8</v>
      </c>
      <c r="L262" s="191">
        <v>12167904.470000001</v>
      </c>
    </row>
    <row r="263" spans="1:12" ht="51" x14ac:dyDescent="0.3">
      <c r="A263" s="185" t="s">
        <v>328</v>
      </c>
      <c r="B263" s="186" t="s">
        <v>2243</v>
      </c>
      <c r="C263" s="186" t="s">
        <v>2126</v>
      </c>
      <c r="D263" s="186" t="s">
        <v>2010</v>
      </c>
      <c r="E263" s="187" t="s">
        <v>42</v>
      </c>
      <c r="F263" s="193" t="s">
        <v>15</v>
      </c>
      <c r="G263" s="193"/>
      <c r="H263" s="187" t="s">
        <v>283</v>
      </c>
      <c r="I263" s="194">
        <v>12043.85</v>
      </c>
      <c r="J263" s="194"/>
      <c r="K263" s="190" t="s">
        <v>8</v>
      </c>
      <c r="L263" s="191">
        <v>12155860.619999999</v>
      </c>
    </row>
    <row r="264" spans="1:12" ht="51" x14ac:dyDescent="0.3">
      <c r="A264" s="185" t="s">
        <v>328</v>
      </c>
      <c r="B264" s="186" t="s">
        <v>2243</v>
      </c>
      <c r="C264" s="186" t="s">
        <v>2126</v>
      </c>
      <c r="D264" s="186" t="s">
        <v>2013</v>
      </c>
      <c r="E264" s="187" t="s">
        <v>42</v>
      </c>
      <c r="F264" s="193" t="s">
        <v>15</v>
      </c>
      <c r="G264" s="193"/>
      <c r="H264" s="187" t="s">
        <v>283</v>
      </c>
      <c r="I264" s="194">
        <v>16627.53</v>
      </c>
      <c r="J264" s="194"/>
      <c r="K264" s="190" t="s">
        <v>8</v>
      </c>
      <c r="L264" s="191">
        <v>12139233.09</v>
      </c>
    </row>
    <row r="265" spans="1:12" ht="51" x14ac:dyDescent="0.3">
      <c r="A265" s="185" t="s">
        <v>328</v>
      </c>
      <c r="B265" s="186" t="s">
        <v>2243</v>
      </c>
      <c r="C265" s="186" t="s">
        <v>2126</v>
      </c>
      <c r="D265" s="186" t="s">
        <v>2195</v>
      </c>
      <c r="E265" s="187" t="s">
        <v>42</v>
      </c>
      <c r="F265" s="193" t="s">
        <v>15</v>
      </c>
      <c r="G265" s="193"/>
      <c r="H265" s="187" t="s">
        <v>283</v>
      </c>
      <c r="I265" s="195">
        <v>459.2</v>
      </c>
      <c r="J265" s="195"/>
      <c r="K265" s="190" t="s">
        <v>8</v>
      </c>
      <c r="L265" s="191">
        <v>12138773.890000001</v>
      </c>
    </row>
    <row r="266" spans="1:12" ht="61.2" x14ac:dyDescent="0.3">
      <c r="A266" s="185" t="s">
        <v>328</v>
      </c>
      <c r="B266" s="186" t="s">
        <v>2243</v>
      </c>
      <c r="C266" s="186" t="s">
        <v>2126</v>
      </c>
      <c r="D266" s="186" t="s">
        <v>2205</v>
      </c>
      <c r="E266" s="187" t="s">
        <v>42</v>
      </c>
      <c r="F266" s="193" t="s">
        <v>15</v>
      </c>
      <c r="G266" s="193"/>
      <c r="H266" s="187" t="s">
        <v>283</v>
      </c>
      <c r="I266" s="195">
        <v>586.07000000000005</v>
      </c>
      <c r="J266" s="195"/>
      <c r="K266" s="190" t="s">
        <v>8</v>
      </c>
      <c r="L266" s="191">
        <v>12138187.82</v>
      </c>
    </row>
    <row r="267" spans="1:12" ht="51" x14ac:dyDescent="0.3">
      <c r="A267" s="185" t="s">
        <v>328</v>
      </c>
      <c r="B267" s="186" t="s">
        <v>2248</v>
      </c>
      <c r="C267" s="186" t="s">
        <v>2126</v>
      </c>
      <c r="D267" s="186" t="s">
        <v>2249</v>
      </c>
      <c r="E267" s="187" t="s">
        <v>42</v>
      </c>
      <c r="F267" s="193" t="s">
        <v>15</v>
      </c>
      <c r="G267" s="193"/>
      <c r="H267" s="187" t="s">
        <v>283</v>
      </c>
      <c r="I267" s="194">
        <v>2772</v>
      </c>
      <c r="J267" s="194"/>
      <c r="K267" s="190" t="s">
        <v>8</v>
      </c>
      <c r="L267" s="191">
        <v>12135415.82</v>
      </c>
    </row>
    <row r="268" spans="1:12" ht="61.2" x14ac:dyDescent="0.3">
      <c r="A268" s="185" t="s">
        <v>328</v>
      </c>
      <c r="B268" s="186" t="s">
        <v>2248</v>
      </c>
      <c r="C268" s="186" t="s">
        <v>2126</v>
      </c>
      <c r="D268" s="186" t="s">
        <v>2218</v>
      </c>
      <c r="E268" s="187" t="s">
        <v>42</v>
      </c>
      <c r="F268" s="193" t="s">
        <v>15</v>
      </c>
      <c r="G268" s="193"/>
      <c r="H268" s="187" t="s">
        <v>283</v>
      </c>
      <c r="I268" s="195">
        <v>690</v>
      </c>
      <c r="J268" s="195"/>
      <c r="K268" s="190" t="s">
        <v>8</v>
      </c>
      <c r="L268" s="191">
        <v>12134725.82</v>
      </c>
    </row>
    <row r="269" spans="1:12" ht="51" x14ac:dyDescent="0.3">
      <c r="A269" s="185" t="s">
        <v>328</v>
      </c>
      <c r="B269" s="186" t="s">
        <v>2250</v>
      </c>
      <c r="C269" s="186" t="s">
        <v>2126</v>
      </c>
      <c r="D269" s="186" t="s">
        <v>2251</v>
      </c>
      <c r="E269" s="187" t="s">
        <v>42</v>
      </c>
      <c r="F269" s="193" t="s">
        <v>15</v>
      </c>
      <c r="G269" s="193"/>
      <c r="H269" s="187" t="s">
        <v>283</v>
      </c>
      <c r="I269" s="194">
        <v>1762.16</v>
      </c>
      <c r="J269" s="194"/>
      <c r="K269" s="190" t="s">
        <v>8</v>
      </c>
      <c r="L269" s="191">
        <v>12132963.66</v>
      </c>
    </row>
    <row r="270" spans="1:12" ht="51" x14ac:dyDescent="0.3">
      <c r="A270" s="185" t="s">
        <v>328</v>
      </c>
      <c r="B270" s="186" t="s">
        <v>2250</v>
      </c>
      <c r="C270" s="186" t="s">
        <v>2126</v>
      </c>
      <c r="D270" s="186" t="s">
        <v>2132</v>
      </c>
      <c r="E270" s="187" t="s">
        <v>42</v>
      </c>
      <c r="F270" s="193" t="s">
        <v>15</v>
      </c>
      <c r="G270" s="193"/>
      <c r="H270" s="187" t="s">
        <v>283</v>
      </c>
      <c r="I270" s="195">
        <v>357.21</v>
      </c>
      <c r="J270" s="195"/>
      <c r="K270" s="190" t="s">
        <v>8</v>
      </c>
      <c r="L270" s="191">
        <v>12132606.449999999</v>
      </c>
    </row>
    <row r="271" spans="1:12" ht="51" x14ac:dyDescent="0.3">
      <c r="A271" s="185" t="s">
        <v>328</v>
      </c>
      <c r="B271" s="186" t="s">
        <v>2250</v>
      </c>
      <c r="C271" s="186" t="s">
        <v>2126</v>
      </c>
      <c r="D271" s="186" t="s">
        <v>1937</v>
      </c>
      <c r="E271" s="187" t="s">
        <v>42</v>
      </c>
      <c r="F271" s="193" t="s">
        <v>15</v>
      </c>
      <c r="G271" s="193"/>
      <c r="H271" s="187" t="s">
        <v>283</v>
      </c>
      <c r="I271" s="194">
        <v>18003.98</v>
      </c>
      <c r="J271" s="194"/>
      <c r="K271" s="190" t="s">
        <v>8</v>
      </c>
      <c r="L271" s="191">
        <v>12114602.470000001</v>
      </c>
    </row>
    <row r="272" spans="1:12" ht="51" x14ac:dyDescent="0.3">
      <c r="A272" s="185" t="s">
        <v>328</v>
      </c>
      <c r="B272" s="186" t="s">
        <v>2250</v>
      </c>
      <c r="C272" s="186" t="s">
        <v>2126</v>
      </c>
      <c r="D272" s="186" t="s">
        <v>1940</v>
      </c>
      <c r="E272" s="187" t="s">
        <v>42</v>
      </c>
      <c r="F272" s="193" t="s">
        <v>15</v>
      </c>
      <c r="G272" s="193"/>
      <c r="H272" s="187" t="s">
        <v>283</v>
      </c>
      <c r="I272" s="195">
        <v>836.03</v>
      </c>
      <c r="J272" s="195"/>
      <c r="K272" s="190" t="s">
        <v>8</v>
      </c>
      <c r="L272" s="191">
        <v>12113766.439999999</v>
      </c>
    </row>
    <row r="273" spans="1:12" ht="51" x14ac:dyDescent="0.3">
      <c r="A273" s="185" t="s">
        <v>328</v>
      </c>
      <c r="B273" s="186" t="s">
        <v>2250</v>
      </c>
      <c r="C273" s="186" t="s">
        <v>2126</v>
      </c>
      <c r="D273" s="186" t="s">
        <v>1940</v>
      </c>
      <c r="E273" s="187" t="s">
        <v>42</v>
      </c>
      <c r="F273" s="193" t="s">
        <v>15</v>
      </c>
      <c r="G273" s="193"/>
      <c r="H273" s="187" t="s">
        <v>283</v>
      </c>
      <c r="I273" s="194">
        <v>8583.9699999999993</v>
      </c>
      <c r="J273" s="194"/>
      <c r="K273" s="190" t="s">
        <v>8</v>
      </c>
      <c r="L273" s="191">
        <v>12105182.470000001</v>
      </c>
    </row>
    <row r="274" spans="1:12" ht="51" x14ac:dyDescent="0.3">
      <c r="A274" s="185" t="s">
        <v>328</v>
      </c>
      <c r="B274" s="186" t="s">
        <v>2250</v>
      </c>
      <c r="C274" s="186" t="s">
        <v>2126</v>
      </c>
      <c r="D274" s="186" t="s">
        <v>2086</v>
      </c>
      <c r="E274" s="187" t="s">
        <v>42</v>
      </c>
      <c r="F274" s="193" t="s">
        <v>15</v>
      </c>
      <c r="G274" s="193"/>
      <c r="H274" s="187" t="s">
        <v>283</v>
      </c>
      <c r="I274" s="194">
        <v>2397.4499999999998</v>
      </c>
      <c r="J274" s="194"/>
      <c r="K274" s="190" t="s">
        <v>8</v>
      </c>
      <c r="L274" s="191">
        <v>12102785.02</v>
      </c>
    </row>
    <row r="275" spans="1:12" ht="61.2" x14ac:dyDescent="0.3">
      <c r="A275" s="185" t="s">
        <v>328</v>
      </c>
      <c r="B275" s="186" t="s">
        <v>2250</v>
      </c>
      <c r="C275" s="186" t="s">
        <v>2126</v>
      </c>
      <c r="D275" s="186" t="s">
        <v>2129</v>
      </c>
      <c r="E275" s="187" t="s">
        <v>42</v>
      </c>
      <c r="F275" s="193" t="s">
        <v>15</v>
      </c>
      <c r="G275" s="193"/>
      <c r="H275" s="187" t="s">
        <v>283</v>
      </c>
      <c r="I275" s="194">
        <v>16406.439999999999</v>
      </c>
      <c r="J275" s="194"/>
      <c r="K275" s="190" t="s">
        <v>8</v>
      </c>
      <c r="L275" s="191">
        <v>12086378.58</v>
      </c>
    </row>
    <row r="276" spans="1:12" ht="51" x14ac:dyDescent="0.3">
      <c r="A276" s="185" t="s">
        <v>328</v>
      </c>
      <c r="B276" s="186" t="s">
        <v>2250</v>
      </c>
      <c r="C276" s="186" t="s">
        <v>2126</v>
      </c>
      <c r="D276" s="186" t="s">
        <v>2251</v>
      </c>
      <c r="E276" s="187" t="s">
        <v>42</v>
      </c>
      <c r="F276" s="193" t="s">
        <v>15</v>
      </c>
      <c r="G276" s="193"/>
      <c r="H276" s="187" t="s">
        <v>283</v>
      </c>
      <c r="I276" s="195">
        <v>585.15</v>
      </c>
      <c r="J276" s="195"/>
      <c r="K276" s="190" t="s">
        <v>8</v>
      </c>
      <c r="L276" s="191">
        <v>12085793.43</v>
      </c>
    </row>
    <row r="277" spans="1:12" ht="51" x14ac:dyDescent="0.3">
      <c r="A277" s="185" t="s">
        <v>328</v>
      </c>
      <c r="B277" s="186" t="s">
        <v>2250</v>
      </c>
      <c r="C277" s="186" t="s">
        <v>2126</v>
      </c>
      <c r="D277" s="186" t="s">
        <v>2132</v>
      </c>
      <c r="E277" s="187" t="s">
        <v>42</v>
      </c>
      <c r="F277" s="193" t="s">
        <v>15</v>
      </c>
      <c r="G277" s="193"/>
      <c r="H277" s="187" t="s">
        <v>283</v>
      </c>
      <c r="I277" s="195">
        <v>118.57</v>
      </c>
      <c r="J277" s="195"/>
      <c r="K277" s="190" t="s">
        <v>8</v>
      </c>
      <c r="L277" s="191">
        <v>12085674.859999999</v>
      </c>
    </row>
    <row r="278" spans="1:12" ht="51" x14ac:dyDescent="0.3">
      <c r="A278" s="185" t="s">
        <v>328</v>
      </c>
      <c r="B278" s="186" t="s">
        <v>2250</v>
      </c>
      <c r="C278" s="186" t="s">
        <v>2126</v>
      </c>
      <c r="D278" s="186" t="s">
        <v>2204</v>
      </c>
      <c r="E278" s="187" t="s">
        <v>42</v>
      </c>
      <c r="F278" s="193" t="s">
        <v>15</v>
      </c>
      <c r="G278" s="193"/>
      <c r="H278" s="187" t="s">
        <v>283</v>
      </c>
      <c r="I278" s="194">
        <v>5076.4399999999996</v>
      </c>
      <c r="J278" s="194"/>
      <c r="K278" s="190" t="s">
        <v>8</v>
      </c>
      <c r="L278" s="191">
        <v>12080598.42</v>
      </c>
    </row>
    <row r="279" spans="1:12" ht="61.2" x14ac:dyDescent="0.3">
      <c r="A279" s="185" t="s">
        <v>328</v>
      </c>
      <c r="B279" s="186" t="s">
        <v>2250</v>
      </c>
      <c r="C279" s="186" t="s">
        <v>2126</v>
      </c>
      <c r="D279" s="186" t="s">
        <v>2129</v>
      </c>
      <c r="E279" s="187" t="s">
        <v>42</v>
      </c>
      <c r="F279" s="193" t="s">
        <v>15</v>
      </c>
      <c r="G279" s="193"/>
      <c r="H279" s="187" t="s">
        <v>283</v>
      </c>
      <c r="I279" s="194">
        <v>2725.41</v>
      </c>
      <c r="J279" s="194"/>
      <c r="K279" s="190" t="s">
        <v>8</v>
      </c>
      <c r="L279" s="191">
        <v>12077873.01</v>
      </c>
    </row>
    <row r="280" spans="1:12" ht="51" x14ac:dyDescent="0.3">
      <c r="A280" s="185" t="s">
        <v>328</v>
      </c>
      <c r="B280" s="186" t="s">
        <v>2252</v>
      </c>
      <c r="C280" s="186" t="s">
        <v>2126</v>
      </c>
      <c r="D280" s="186" t="s">
        <v>2196</v>
      </c>
      <c r="E280" s="187" t="s">
        <v>42</v>
      </c>
      <c r="F280" s="193" t="s">
        <v>15</v>
      </c>
      <c r="G280" s="193"/>
      <c r="H280" s="187" t="s">
        <v>283</v>
      </c>
      <c r="I280" s="194">
        <v>1454.42</v>
      </c>
      <c r="J280" s="194"/>
      <c r="K280" s="190" t="s">
        <v>8</v>
      </c>
      <c r="L280" s="191">
        <v>12076418.59</v>
      </c>
    </row>
    <row r="281" spans="1:12" ht="51" x14ac:dyDescent="0.3">
      <c r="A281" s="185" t="s">
        <v>328</v>
      </c>
      <c r="B281" s="186" t="s">
        <v>2253</v>
      </c>
      <c r="C281" s="186" t="s">
        <v>2126</v>
      </c>
      <c r="D281" s="186" t="s">
        <v>2086</v>
      </c>
      <c r="E281" s="187" t="s">
        <v>42</v>
      </c>
      <c r="F281" s="193" t="s">
        <v>15</v>
      </c>
      <c r="G281" s="193"/>
      <c r="H281" s="187" t="s">
        <v>283</v>
      </c>
      <c r="I281" s="194">
        <v>17374.02</v>
      </c>
      <c r="J281" s="194"/>
      <c r="K281" s="190" t="s">
        <v>8</v>
      </c>
      <c r="L281" s="191">
        <v>12059044.57</v>
      </c>
    </row>
    <row r="282" spans="1:12" ht="61.2" x14ac:dyDescent="0.3">
      <c r="A282" s="185" t="s">
        <v>328</v>
      </c>
      <c r="B282" s="186" t="s">
        <v>2253</v>
      </c>
      <c r="C282" s="186" t="s">
        <v>2126</v>
      </c>
      <c r="D282" s="186" t="s">
        <v>2129</v>
      </c>
      <c r="E282" s="187" t="s">
        <v>42</v>
      </c>
      <c r="F282" s="193" t="s">
        <v>15</v>
      </c>
      <c r="G282" s="193"/>
      <c r="H282" s="187" t="s">
        <v>283</v>
      </c>
      <c r="I282" s="195">
        <v>53.97</v>
      </c>
      <c r="J282" s="195"/>
      <c r="K282" s="190" t="s">
        <v>8</v>
      </c>
      <c r="L282" s="191">
        <v>12058990.6</v>
      </c>
    </row>
    <row r="283" spans="1:12" ht="61.2" x14ac:dyDescent="0.3">
      <c r="A283" s="185" t="s">
        <v>328</v>
      </c>
      <c r="B283" s="186" t="s">
        <v>2253</v>
      </c>
      <c r="C283" s="186" t="s">
        <v>2126</v>
      </c>
      <c r="D283" s="186" t="s">
        <v>2129</v>
      </c>
      <c r="E283" s="187" t="s">
        <v>42</v>
      </c>
      <c r="F283" s="193" t="s">
        <v>15</v>
      </c>
      <c r="G283" s="193"/>
      <c r="H283" s="187" t="s">
        <v>283</v>
      </c>
      <c r="I283" s="194">
        <v>2293.67</v>
      </c>
      <c r="J283" s="194"/>
      <c r="K283" s="190" t="s">
        <v>8</v>
      </c>
      <c r="L283" s="191">
        <v>12056696.93</v>
      </c>
    </row>
    <row r="284" spans="1:12" ht="61.2" x14ac:dyDescent="0.3">
      <c r="A284" s="185" t="s">
        <v>328</v>
      </c>
      <c r="B284" s="186" t="s">
        <v>2253</v>
      </c>
      <c r="C284" s="186" t="s">
        <v>2126</v>
      </c>
      <c r="D284" s="186" t="s">
        <v>2205</v>
      </c>
      <c r="E284" s="187" t="s">
        <v>42</v>
      </c>
      <c r="F284" s="193" t="s">
        <v>15</v>
      </c>
      <c r="G284" s="193"/>
      <c r="H284" s="187" t="s">
        <v>283</v>
      </c>
      <c r="I284" s="195">
        <v>69.48</v>
      </c>
      <c r="J284" s="195"/>
      <c r="K284" s="190" t="s">
        <v>8</v>
      </c>
      <c r="L284" s="191">
        <v>12056627.449999999</v>
      </c>
    </row>
    <row r="285" spans="1:12" ht="51" x14ac:dyDescent="0.3">
      <c r="A285" s="185" t="s">
        <v>328</v>
      </c>
      <c r="B285" s="186" t="s">
        <v>2253</v>
      </c>
      <c r="C285" s="186" t="s">
        <v>2126</v>
      </c>
      <c r="D285" s="186" t="s">
        <v>2254</v>
      </c>
      <c r="E285" s="187" t="s">
        <v>42</v>
      </c>
      <c r="F285" s="193" t="s">
        <v>15</v>
      </c>
      <c r="G285" s="193"/>
      <c r="H285" s="187" t="s">
        <v>283</v>
      </c>
      <c r="I285" s="194">
        <v>1235.46</v>
      </c>
      <c r="J285" s="194"/>
      <c r="K285" s="190" t="s">
        <v>8</v>
      </c>
      <c r="L285" s="191">
        <v>12055391.99</v>
      </c>
    </row>
    <row r="286" spans="1:12" ht="51" x14ac:dyDescent="0.3">
      <c r="A286" s="185" t="s">
        <v>328</v>
      </c>
      <c r="B286" s="186" t="s">
        <v>2253</v>
      </c>
      <c r="C286" s="186" t="s">
        <v>2126</v>
      </c>
      <c r="D286" s="186" t="s">
        <v>2255</v>
      </c>
      <c r="E286" s="187" t="s">
        <v>42</v>
      </c>
      <c r="F286" s="193" t="s">
        <v>15</v>
      </c>
      <c r="G286" s="193"/>
      <c r="H286" s="187" t="s">
        <v>283</v>
      </c>
      <c r="I286" s="194">
        <v>1011.33</v>
      </c>
      <c r="J286" s="194"/>
      <c r="K286" s="190" t="s">
        <v>8</v>
      </c>
      <c r="L286" s="191">
        <v>12054380.66</v>
      </c>
    </row>
    <row r="287" spans="1:12" ht="51" x14ac:dyDescent="0.3">
      <c r="A287" s="185" t="s">
        <v>328</v>
      </c>
      <c r="B287" s="186" t="s">
        <v>2253</v>
      </c>
      <c r="C287" s="186" t="s">
        <v>2126</v>
      </c>
      <c r="D287" s="186" t="s">
        <v>2256</v>
      </c>
      <c r="E287" s="187" t="s">
        <v>42</v>
      </c>
      <c r="F287" s="193" t="s">
        <v>15</v>
      </c>
      <c r="G287" s="193"/>
      <c r="H287" s="187" t="s">
        <v>283</v>
      </c>
      <c r="I287" s="194">
        <v>3316</v>
      </c>
      <c r="J287" s="194"/>
      <c r="K287" s="190" t="s">
        <v>8</v>
      </c>
      <c r="L287" s="191">
        <v>12051064.66</v>
      </c>
    </row>
    <row r="288" spans="1:12" ht="51" x14ac:dyDescent="0.3">
      <c r="A288" s="185" t="s">
        <v>328</v>
      </c>
      <c r="B288" s="186" t="s">
        <v>2253</v>
      </c>
      <c r="C288" s="186" t="s">
        <v>2126</v>
      </c>
      <c r="D288" s="186" t="s">
        <v>2257</v>
      </c>
      <c r="E288" s="187" t="s">
        <v>42</v>
      </c>
      <c r="F288" s="193" t="s">
        <v>15</v>
      </c>
      <c r="G288" s="193"/>
      <c r="H288" s="187" t="s">
        <v>283</v>
      </c>
      <c r="I288" s="194">
        <v>3668.8</v>
      </c>
      <c r="J288" s="194"/>
      <c r="K288" s="190" t="s">
        <v>8</v>
      </c>
      <c r="L288" s="191">
        <v>12047395.859999999</v>
      </c>
    </row>
    <row r="289" spans="1:12" ht="51" x14ac:dyDescent="0.3">
      <c r="A289" s="185" t="s">
        <v>328</v>
      </c>
      <c r="B289" s="186" t="s">
        <v>2253</v>
      </c>
      <c r="C289" s="186" t="s">
        <v>2126</v>
      </c>
      <c r="D289" s="186" t="s">
        <v>2255</v>
      </c>
      <c r="E289" s="187" t="s">
        <v>42</v>
      </c>
      <c r="F289" s="193" t="s">
        <v>15</v>
      </c>
      <c r="G289" s="193"/>
      <c r="H289" s="187" t="s">
        <v>283</v>
      </c>
      <c r="I289" s="195">
        <v>628.66999999999996</v>
      </c>
      <c r="J289" s="195"/>
      <c r="K289" s="190" t="s">
        <v>8</v>
      </c>
      <c r="L289" s="191">
        <v>12046767.189999999</v>
      </c>
    </row>
    <row r="290" spans="1:12" ht="51" x14ac:dyDescent="0.3">
      <c r="A290" s="185" t="s">
        <v>328</v>
      </c>
      <c r="B290" s="186" t="s">
        <v>2253</v>
      </c>
      <c r="C290" s="186" t="s">
        <v>2126</v>
      </c>
      <c r="D290" s="186" t="s">
        <v>2258</v>
      </c>
      <c r="E290" s="187" t="s">
        <v>42</v>
      </c>
      <c r="F290" s="193" t="s">
        <v>15</v>
      </c>
      <c r="G290" s="193"/>
      <c r="H290" s="187" t="s">
        <v>283</v>
      </c>
      <c r="I290" s="194">
        <v>6282.36</v>
      </c>
      <c r="J290" s="194"/>
      <c r="K290" s="190" t="s">
        <v>8</v>
      </c>
      <c r="L290" s="191">
        <v>12040484.83</v>
      </c>
    </row>
    <row r="291" spans="1:12" ht="51" x14ac:dyDescent="0.3">
      <c r="A291" s="185" t="s">
        <v>328</v>
      </c>
      <c r="B291" s="186" t="s">
        <v>2253</v>
      </c>
      <c r="C291" s="186" t="s">
        <v>2126</v>
      </c>
      <c r="D291" s="186" t="s">
        <v>2259</v>
      </c>
      <c r="E291" s="187" t="s">
        <v>42</v>
      </c>
      <c r="F291" s="193" t="s">
        <v>15</v>
      </c>
      <c r="G291" s="193"/>
      <c r="H291" s="187" t="s">
        <v>283</v>
      </c>
      <c r="I291" s="195">
        <v>622.95000000000005</v>
      </c>
      <c r="J291" s="195"/>
      <c r="K291" s="190" t="s">
        <v>8</v>
      </c>
      <c r="L291" s="191">
        <v>12039861.880000001</v>
      </c>
    </row>
    <row r="292" spans="1:12" ht="51" x14ac:dyDescent="0.3">
      <c r="A292" s="185" t="s">
        <v>328</v>
      </c>
      <c r="B292" s="186" t="s">
        <v>2253</v>
      </c>
      <c r="C292" s="186" t="s">
        <v>2126</v>
      </c>
      <c r="D292" s="186" t="s">
        <v>2260</v>
      </c>
      <c r="E292" s="187" t="s">
        <v>42</v>
      </c>
      <c r="F292" s="193" t="s">
        <v>15</v>
      </c>
      <c r="G292" s="193"/>
      <c r="H292" s="187" t="s">
        <v>283</v>
      </c>
      <c r="I292" s="195">
        <v>209.99</v>
      </c>
      <c r="J292" s="195"/>
      <c r="K292" s="190" t="s">
        <v>8</v>
      </c>
      <c r="L292" s="191">
        <v>12039651.890000001</v>
      </c>
    </row>
    <row r="293" spans="1:12" ht="61.2" x14ac:dyDescent="0.3">
      <c r="A293" s="185" t="s">
        <v>328</v>
      </c>
      <c r="B293" s="186" t="s">
        <v>2253</v>
      </c>
      <c r="C293" s="186" t="s">
        <v>2126</v>
      </c>
      <c r="D293" s="186" t="s">
        <v>2261</v>
      </c>
      <c r="E293" s="187" t="s">
        <v>42</v>
      </c>
      <c r="F293" s="193" t="s">
        <v>15</v>
      </c>
      <c r="G293" s="193"/>
      <c r="H293" s="187" t="s">
        <v>283</v>
      </c>
      <c r="I293" s="194">
        <v>1298.3900000000001</v>
      </c>
      <c r="J293" s="194"/>
      <c r="K293" s="190" t="s">
        <v>8</v>
      </c>
      <c r="L293" s="191">
        <v>12038353.5</v>
      </c>
    </row>
    <row r="294" spans="1:12" ht="51" x14ac:dyDescent="0.3">
      <c r="A294" s="185" t="s">
        <v>328</v>
      </c>
      <c r="B294" s="186" t="s">
        <v>2262</v>
      </c>
      <c r="C294" s="186" t="s">
        <v>2126</v>
      </c>
      <c r="D294" s="186" t="s">
        <v>2224</v>
      </c>
      <c r="E294" s="187" t="s">
        <v>42</v>
      </c>
      <c r="F294" s="193" t="s">
        <v>15</v>
      </c>
      <c r="G294" s="193"/>
      <c r="H294" s="187" t="s">
        <v>283</v>
      </c>
      <c r="I294" s="195">
        <v>132</v>
      </c>
      <c r="J294" s="195"/>
      <c r="K294" s="190" t="s">
        <v>8</v>
      </c>
      <c r="L294" s="191">
        <v>12038221.5</v>
      </c>
    </row>
    <row r="295" spans="1:12" ht="51" x14ac:dyDescent="0.3">
      <c r="A295" s="185" t="s">
        <v>328</v>
      </c>
      <c r="B295" s="186" t="s">
        <v>2262</v>
      </c>
      <c r="C295" s="186" t="s">
        <v>2126</v>
      </c>
      <c r="D295" s="186" t="s">
        <v>2219</v>
      </c>
      <c r="E295" s="187" t="s">
        <v>42</v>
      </c>
      <c r="F295" s="193" t="s">
        <v>15</v>
      </c>
      <c r="G295" s="193"/>
      <c r="H295" s="187" t="s">
        <v>283</v>
      </c>
      <c r="I295" s="195">
        <v>171</v>
      </c>
      <c r="J295" s="195"/>
      <c r="K295" s="190" t="s">
        <v>8</v>
      </c>
      <c r="L295" s="191">
        <v>12038050.5</v>
      </c>
    </row>
    <row r="296" spans="1:12" ht="51" x14ac:dyDescent="0.3">
      <c r="A296" s="185" t="s">
        <v>328</v>
      </c>
      <c r="B296" s="186" t="s">
        <v>2262</v>
      </c>
      <c r="C296" s="186" t="s">
        <v>2126</v>
      </c>
      <c r="D296" s="186" t="s">
        <v>2154</v>
      </c>
      <c r="E296" s="187" t="s">
        <v>42</v>
      </c>
      <c r="F296" s="193" t="s">
        <v>15</v>
      </c>
      <c r="G296" s="193"/>
      <c r="H296" s="187" t="s">
        <v>283</v>
      </c>
      <c r="I296" s="194">
        <v>2864.58</v>
      </c>
      <c r="J296" s="194"/>
      <c r="K296" s="190" t="s">
        <v>8</v>
      </c>
      <c r="L296" s="191">
        <v>12035185.92</v>
      </c>
    </row>
    <row r="297" spans="1:12" ht="51" x14ac:dyDescent="0.3">
      <c r="A297" s="185" t="s">
        <v>328</v>
      </c>
      <c r="B297" s="186" t="s">
        <v>2262</v>
      </c>
      <c r="C297" s="186" t="s">
        <v>2126</v>
      </c>
      <c r="D297" s="186" t="s">
        <v>2196</v>
      </c>
      <c r="E297" s="187" t="s">
        <v>42</v>
      </c>
      <c r="F297" s="193" t="s">
        <v>15</v>
      </c>
      <c r="G297" s="193"/>
      <c r="H297" s="187" t="s">
        <v>283</v>
      </c>
      <c r="I297" s="194">
        <v>2424.02</v>
      </c>
      <c r="J297" s="194"/>
      <c r="K297" s="190" t="s">
        <v>8</v>
      </c>
      <c r="L297" s="191">
        <v>12032761.9</v>
      </c>
    </row>
    <row r="298" spans="1:12" ht="51" x14ac:dyDescent="0.3">
      <c r="A298" s="185" t="s">
        <v>328</v>
      </c>
      <c r="B298" s="186" t="s">
        <v>2263</v>
      </c>
      <c r="C298" s="186" t="s">
        <v>2126</v>
      </c>
      <c r="D298" s="186" t="s">
        <v>2264</v>
      </c>
      <c r="E298" s="187" t="s">
        <v>42</v>
      </c>
      <c r="F298" s="193" t="s">
        <v>15</v>
      </c>
      <c r="G298" s="193"/>
      <c r="H298" s="187" t="s">
        <v>283</v>
      </c>
      <c r="I298" s="194">
        <v>10938.64</v>
      </c>
      <c r="J298" s="194"/>
      <c r="K298" s="190" t="s">
        <v>8</v>
      </c>
      <c r="L298" s="191">
        <v>12021823.26</v>
      </c>
    </row>
    <row r="299" spans="1:12" ht="51" x14ac:dyDescent="0.3">
      <c r="A299" s="185" t="s">
        <v>328</v>
      </c>
      <c r="B299" s="186" t="s">
        <v>2263</v>
      </c>
      <c r="C299" s="186" t="s">
        <v>2126</v>
      </c>
      <c r="D299" s="186" t="s">
        <v>2264</v>
      </c>
      <c r="E299" s="187" t="s">
        <v>42</v>
      </c>
      <c r="F299" s="193" t="s">
        <v>15</v>
      </c>
      <c r="G299" s="193"/>
      <c r="H299" s="187" t="s">
        <v>283</v>
      </c>
      <c r="I299" s="194">
        <v>1660.64</v>
      </c>
      <c r="J299" s="194"/>
      <c r="K299" s="190" t="s">
        <v>8</v>
      </c>
      <c r="L299" s="191">
        <v>12020162.619999999</v>
      </c>
    </row>
    <row r="300" spans="1:12" ht="61.2" x14ac:dyDescent="0.3">
      <c r="A300" s="185" t="s">
        <v>328</v>
      </c>
      <c r="B300" s="186" t="s">
        <v>2263</v>
      </c>
      <c r="C300" s="186" t="s">
        <v>2126</v>
      </c>
      <c r="D300" s="186" t="s">
        <v>2129</v>
      </c>
      <c r="E300" s="187" t="s">
        <v>42</v>
      </c>
      <c r="F300" s="193" t="s">
        <v>15</v>
      </c>
      <c r="G300" s="193"/>
      <c r="H300" s="187" t="s">
        <v>283</v>
      </c>
      <c r="I300" s="194">
        <v>2347.63</v>
      </c>
      <c r="J300" s="194"/>
      <c r="K300" s="190" t="s">
        <v>8</v>
      </c>
      <c r="L300" s="191">
        <v>12017814.99</v>
      </c>
    </row>
    <row r="301" spans="1:12" ht="61.2" x14ac:dyDescent="0.3">
      <c r="A301" s="185" t="s">
        <v>328</v>
      </c>
      <c r="B301" s="186" t="s">
        <v>2263</v>
      </c>
      <c r="C301" s="186" t="s">
        <v>2126</v>
      </c>
      <c r="D301" s="186" t="s">
        <v>2205</v>
      </c>
      <c r="E301" s="187" t="s">
        <v>42</v>
      </c>
      <c r="F301" s="193" t="s">
        <v>15</v>
      </c>
      <c r="G301" s="193"/>
      <c r="H301" s="187" t="s">
        <v>283</v>
      </c>
      <c r="I301" s="195">
        <v>51.36</v>
      </c>
      <c r="J301" s="195"/>
      <c r="K301" s="190" t="s">
        <v>8</v>
      </c>
      <c r="L301" s="191">
        <v>12017763.630000001</v>
      </c>
    </row>
    <row r="302" spans="1:12" ht="51" x14ac:dyDescent="0.3">
      <c r="A302" s="185" t="s">
        <v>328</v>
      </c>
      <c r="B302" s="186" t="s">
        <v>2263</v>
      </c>
      <c r="C302" s="186" t="s">
        <v>2126</v>
      </c>
      <c r="D302" s="186" t="s">
        <v>2255</v>
      </c>
      <c r="E302" s="187" t="s">
        <v>42</v>
      </c>
      <c r="F302" s="193" t="s">
        <v>15</v>
      </c>
      <c r="G302" s="193"/>
      <c r="H302" s="187" t="s">
        <v>283</v>
      </c>
      <c r="I302" s="195">
        <v>437.33</v>
      </c>
      <c r="J302" s="195"/>
      <c r="K302" s="190" t="s">
        <v>8</v>
      </c>
      <c r="L302" s="191">
        <v>12017326.300000001</v>
      </c>
    </row>
    <row r="303" spans="1:12" ht="51" x14ac:dyDescent="0.3">
      <c r="A303" s="185" t="s">
        <v>328</v>
      </c>
      <c r="B303" s="186" t="s">
        <v>2263</v>
      </c>
      <c r="C303" s="186" t="s">
        <v>2126</v>
      </c>
      <c r="D303" s="186" t="s">
        <v>2255</v>
      </c>
      <c r="E303" s="187" t="s">
        <v>42</v>
      </c>
      <c r="F303" s="193" t="s">
        <v>15</v>
      </c>
      <c r="G303" s="193"/>
      <c r="H303" s="187" t="s">
        <v>283</v>
      </c>
      <c r="I303" s="195">
        <v>574</v>
      </c>
      <c r="J303" s="195"/>
      <c r="K303" s="190" t="s">
        <v>8</v>
      </c>
      <c r="L303" s="191">
        <v>12016752.300000001</v>
      </c>
    </row>
    <row r="304" spans="1:12" ht="51" x14ac:dyDescent="0.3">
      <c r="A304" s="185" t="s">
        <v>328</v>
      </c>
      <c r="B304" s="186" t="s">
        <v>2263</v>
      </c>
      <c r="C304" s="186" t="s">
        <v>2126</v>
      </c>
      <c r="D304" s="186" t="s">
        <v>2255</v>
      </c>
      <c r="E304" s="187" t="s">
        <v>42</v>
      </c>
      <c r="F304" s="193" t="s">
        <v>15</v>
      </c>
      <c r="G304" s="193"/>
      <c r="H304" s="187" t="s">
        <v>283</v>
      </c>
      <c r="I304" s="194">
        <v>4045.34</v>
      </c>
      <c r="J304" s="194"/>
      <c r="K304" s="190" t="s">
        <v>8</v>
      </c>
      <c r="L304" s="191">
        <v>12012706.960000001</v>
      </c>
    </row>
    <row r="305" spans="1:12" ht="51" x14ac:dyDescent="0.3">
      <c r="A305" s="185" t="s">
        <v>328</v>
      </c>
      <c r="B305" s="186" t="s">
        <v>2263</v>
      </c>
      <c r="C305" s="186" t="s">
        <v>2126</v>
      </c>
      <c r="D305" s="186" t="s">
        <v>2265</v>
      </c>
      <c r="E305" s="187" t="s">
        <v>42</v>
      </c>
      <c r="F305" s="193" t="s">
        <v>15</v>
      </c>
      <c r="G305" s="193"/>
      <c r="H305" s="187" t="s">
        <v>283</v>
      </c>
      <c r="I305" s="195">
        <v>27.63</v>
      </c>
      <c r="J305" s="195"/>
      <c r="K305" s="190" t="s">
        <v>8</v>
      </c>
      <c r="L305" s="191">
        <v>12012679.33</v>
      </c>
    </row>
    <row r="306" spans="1:12" ht="51" x14ac:dyDescent="0.3">
      <c r="A306" s="185" t="s">
        <v>328</v>
      </c>
      <c r="B306" s="186" t="s">
        <v>2263</v>
      </c>
      <c r="C306" s="186" t="s">
        <v>2126</v>
      </c>
      <c r="D306" s="186" t="s">
        <v>2258</v>
      </c>
      <c r="E306" s="187" t="s">
        <v>42</v>
      </c>
      <c r="F306" s="193" t="s">
        <v>15</v>
      </c>
      <c r="G306" s="193"/>
      <c r="H306" s="187" t="s">
        <v>283</v>
      </c>
      <c r="I306" s="195">
        <v>942.35</v>
      </c>
      <c r="J306" s="195"/>
      <c r="K306" s="190" t="s">
        <v>8</v>
      </c>
      <c r="L306" s="191">
        <v>12011736.98</v>
      </c>
    </row>
    <row r="307" spans="1:12" ht="51" x14ac:dyDescent="0.3">
      <c r="A307" s="185" t="s">
        <v>328</v>
      </c>
      <c r="B307" s="186" t="s">
        <v>2263</v>
      </c>
      <c r="C307" s="186" t="s">
        <v>2126</v>
      </c>
      <c r="D307" s="186" t="s">
        <v>2266</v>
      </c>
      <c r="E307" s="187" t="s">
        <v>42</v>
      </c>
      <c r="F307" s="193" t="s">
        <v>15</v>
      </c>
      <c r="G307" s="193"/>
      <c r="H307" s="187" t="s">
        <v>283</v>
      </c>
      <c r="I307" s="195">
        <v>341.2</v>
      </c>
      <c r="J307" s="195"/>
      <c r="K307" s="190" t="s">
        <v>8</v>
      </c>
      <c r="L307" s="191">
        <v>12011395.779999999</v>
      </c>
    </row>
    <row r="308" spans="1:12" ht="51" x14ac:dyDescent="0.3">
      <c r="A308" s="185" t="s">
        <v>328</v>
      </c>
      <c r="B308" s="186" t="s">
        <v>2263</v>
      </c>
      <c r="C308" s="186" t="s">
        <v>2126</v>
      </c>
      <c r="D308" s="186" t="s">
        <v>2266</v>
      </c>
      <c r="E308" s="187" t="s">
        <v>42</v>
      </c>
      <c r="F308" s="193" t="s">
        <v>15</v>
      </c>
      <c r="G308" s="193"/>
      <c r="H308" s="187" t="s">
        <v>283</v>
      </c>
      <c r="I308" s="194">
        <v>2388.4</v>
      </c>
      <c r="J308" s="194"/>
      <c r="K308" s="190" t="s">
        <v>8</v>
      </c>
      <c r="L308" s="191">
        <v>12009007.380000001</v>
      </c>
    </row>
    <row r="309" spans="1:12" ht="51" x14ac:dyDescent="0.3">
      <c r="A309" s="185" t="s">
        <v>328</v>
      </c>
      <c r="B309" s="186" t="s">
        <v>2263</v>
      </c>
      <c r="C309" s="186" t="s">
        <v>2126</v>
      </c>
      <c r="D309" s="186" t="s">
        <v>2259</v>
      </c>
      <c r="E309" s="187" t="s">
        <v>42</v>
      </c>
      <c r="F309" s="193" t="s">
        <v>15</v>
      </c>
      <c r="G309" s="193"/>
      <c r="H309" s="187" t="s">
        <v>283</v>
      </c>
      <c r="I309" s="195">
        <v>140.16</v>
      </c>
      <c r="J309" s="195"/>
      <c r="K309" s="190" t="s">
        <v>8</v>
      </c>
      <c r="L309" s="191">
        <v>12008867.220000001</v>
      </c>
    </row>
    <row r="310" spans="1:12" ht="51" x14ac:dyDescent="0.3">
      <c r="A310" s="185" t="s">
        <v>328</v>
      </c>
      <c r="B310" s="186" t="s">
        <v>2263</v>
      </c>
      <c r="C310" s="186" t="s">
        <v>2126</v>
      </c>
      <c r="D310" s="186" t="s">
        <v>2267</v>
      </c>
      <c r="E310" s="187" t="s">
        <v>42</v>
      </c>
      <c r="F310" s="193" t="s">
        <v>15</v>
      </c>
      <c r="G310" s="193"/>
      <c r="H310" s="187" t="s">
        <v>283</v>
      </c>
      <c r="I310" s="195">
        <v>179.4</v>
      </c>
      <c r="J310" s="195"/>
      <c r="K310" s="190" t="s">
        <v>8</v>
      </c>
      <c r="L310" s="191">
        <v>12008687.82</v>
      </c>
    </row>
    <row r="311" spans="1:12" ht="51" x14ac:dyDescent="0.3">
      <c r="A311" s="185" t="s">
        <v>328</v>
      </c>
      <c r="B311" s="186" t="s">
        <v>2263</v>
      </c>
      <c r="C311" s="186" t="s">
        <v>2126</v>
      </c>
      <c r="D311" s="186" t="s">
        <v>2268</v>
      </c>
      <c r="E311" s="187" t="s">
        <v>42</v>
      </c>
      <c r="F311" s="193" t="s">
        <v>15</v>
      </c>
      <c r="G311" s="193"/>
      <c r="H311" s="187" t="s">
        <v>283</v>
      </c>
      <c r="I311" s="195">
        <v>192</v>
      </c>
      <c r="J311" s="195"/>
      <c r="K311" s="190" t="s">
        <v>8</v>
      </c>
      <c r="L311" s="191">
        <v>12008495.82</v>
      </c>
    </row>
    <row r="312" spans="1:12" ht="51" x14ac:dyDescent="0.3">
      <c r="A312" s="185" t="s">
        <v>328</v>
      </c>
      <c r="B312" s="186" t="s">
        <v>2263</v>
      </c>
      <c r="C312" s="186" t="s">
        <v>2126</v>
      </c>
      <c r="D312" s="186" t="s">
        <v>2260</v>
      </c>
      <c r="E312" s="187" t="s">
        <v>42</v>
      </c>
      <c r="F312" s="193" t="s">
        <v>15</v>
      </c>
      <c r="G312" s="193"/>
      <c r="H312" s="187" t="s">
        <v>283</v>
      </c>
      <c r="I312" s="195">
        <v>34.119999999999997</v>
      </c>
      <c r="J312" s="195"/>
      <c r="K312" s="190" t="s">
        <v>8</v>
      </c>
      <c r="L312" s="191">
        <v>12008461.699999999</v>
      </c>
    </row>
    <row r="313" spans="1:12" ht="61.2" x14ac:dyDescent="0.3">
      <c r="A313" s="185" t="s">
        <v>328</v>
      </c>
      <c r="B313" s="186" t="s">
        <v>2263</v>
      </c>
      <c r="C313" s="186" t="s">
        <v>2126</v>
      </c>
      <c r="D313" s="186" t="s">
        <v>2269</v>
      </c>
      <c r="E313" s="187" t="s">
        <v>42</v>
      </c>
      <c r="F313" s="193" t="s">
        <v>15</v>
      </c>
      <c r="G313" s="193"/>
      <c r="H313" s="187" t="s">
        <v>283</v>
      </c>
      <c r="I313" s="195">
        <v>288</v>
      </c>
      <c r="J313" s="195"/>
      <c r="K313" s="190" t="s">
        <v>8</v>
      </c>
      <c r="L313" s="191">
        <v>12008173.699999999</v>
      </c>
    </row>
    <row r="314" spans="1:12" ht="61.2" x14ac:dyDescent="0.3">
      <c r="A314" s="185" t="s">
        <v>328</v>
      </c>
      <c r="B314" s="186" t="s">
        <v>2263</v>
      </c>
      <c r="C314" s="186" t="s">
        <v>2126</v>
      </c>
      <c r="D314" s="186" t="s">
        <v>2270</v>
      </c>
      <c r="E314" s="187" t="s">
        <v>42</v>
      </c>
      <c r="F314" s="193" t="s">
        <v>15</v>
      </c>
      <c r="G314" s="193"/>
      <c r="H314" s="187" t="s">
        <v>283</v>
      </c>
      <c r="I314" s="195">
        <v>23.32</v>
      </c>
      <c r="J314" s="195"/>
      <c r="K314" s="190" t="s">
        <v>8</v>
      </c>
      <c r="L314" s="191">
        <v>12008150.380000001</v>
      </c>
    </row>
    <row r="315" spans="1:12" ht="51" x14ac:dyDescent="0.3">
      <c r="A315" s="185" t="s">
        <v>328</v>
      </c>
      <c r="B315" s="186" t="s">
        <v>2271</v>
      </c>
      <c r="C315" s="186" t="s">
        <v>2126</v>
      </c>
      <c r="D315" s="186" t="s">
        <v>2264</v>
      </c>
      <c r="E315" s="187" t="s">
        <v>42</v>
      </c>
      <c r="F315" s="193" t="s">
        <v>15</v>
      </c>
      <c r="G315" s="193"/>
      <c r="H315" s="187" t="s">
        <v>283</v>
      </c>
      <c r="I315" s="194">
        <v>1460.28</v>
      </c>
      <c r="J315" s="194"/>
      <c r="K315" s="190" t="s">
        <v>8</v>
      </c>
      <c r="L315" s="191">
        <v>12006690.1</v>
      </c>
    </row>
    <row r="316" spans="1:12" ht="51" x14ac:dyDescent="0.3">
      <c r="A316" s="185" t="s">
        <v>328</v>
      </c>
      <c r="B316" s="186" t="s">
        <v>2271</v>
      </c>
      <c r="C316" s="186" t="s">
        <v>2126</v>
      </c>
      <c r="D316" s="186" t="s">
        <v>2272</v>
      </c>
      <c r="E316" s="187" t="s">
        <v>42</v>
      </c>
      <c r="F316" s="193" t="s">
        <v>15</v>
      </c>
      <c r="G316" s="193"/>
      <c r="H316" s="187" t="s">
        <v>283</v>
      </c>
      <c r="I316" s="194">
        <v>4014.82</v>
      </c>
      <c r="J316" s="194"/>
      <c r="K316" s="190" t="s">
        <v>8</v>
      </c>
      <c r="L316" s="191">
        <v>12002675.279999999</v>
      </c>
    </row>
    <row r="317" spans="1:12" ht="51" x14ac:dyDescent="0.3">
      <c r="A317" s="185" t="s">
        <v>328</v>
      </c>
      <c r="B317" s="186" t="s">
        <v>2273</v>
      </c>
      <c r="C317" s="186" t="s">
        <v>2126</v>
      </c>
      <c r="D317" s="186" t="s">
        <v>2251</v>
      </c>
      <c r="E317" s="187" t="s">
        <v>42</v>
      </c>
      <c r="F317" s="193" t="s">
        <v>15</v>
      </c>
      <c r="G317" s="193"/>
      <c r="H317" s="187" t="s">
        <v>283</v>
      </c>
      <c r="I317" s="194">
        <v>20107.759999999998</v>
      </c>
      <c r="J317" s="194"/>
      <c r="K317" s="190" t="s">
        <v>8</v>
      </c>
      <c r="L317" s="191">
        <v>11982567.52</v>
      </c>
    </row>
    <row r="318" spans="1:12" ht="51" x14ac:dyDescent="0.3">
      <c r="A318" s="185" t="s">
        <v>328</v>
      </c>
      <c r="B318" s="186" t="s">
        <v>2273</v>
      </c>
      <c r="C318" s="186" t="s">
        <v>2126</v>
      </c>
      <c r="D318" s="186" t="s">
        <v>2274</v>
      </c>
      <c r="E318" s="187" t="s">
        <v>42</v>
      </c>
      <c r="F318" s="193" t="s">
        <v>15</v>
      </c>
      <c r="G318" s="193"/>
      <c r="H318" s="187" t="s">
        <v>283</v>
      </c>
      <c r="I318" s="194">
        <v>2306.4699999999998</v>
      </c>
      <c r="J318" s="194"/>
      <c r="K318" s="190" t="s">
        <v>8</v>
      </c>
      <c r="L318" s="191">
        <v>11980261.050000001</v>
      </c>
    </row>
    <row r="319" spans="1:12" ht="51" x14ac:dyDescent="0.3">
      <c r="A319" s="185" t="s">
        <v>328</v>
      </c>
      <c r="B319" s="186" t="s">
        <v>2273</v>
      </c>
      <c r="C319" s="186" t="s">
        <v>2126</v>
      </c>
      <c r="D319" s="186" t="s">
        <v>2274</v>
      </c>
      <c r="E319" s="187" t="s">
        <v>42</v>
      </c>
      <c r="F319" s="193" t="s">
        <v>15</v>
      </c>
      <c r="G319" s="193"/>
      <c r="H319" s="187" t="s">
        <v>283</v>
      </c>
      <c r="I319" s="194">
        <v>1271.81</v>
      </c>
      <c r="J319" s="194"/>
      <c r="K319" s="190" t="s">
        <v>8</v>
      </c>
      <c r="L319" s="191">
        <v>11978989.24</v>
      </c>
    </row>
    <row r="320" spans="1:12" ht="51" x14ac:dyDescent="0.3">
      <c r="A320" s="185" t="s">
        <v>328</v>
      </c>
      <c r="B320" s="186" t="s">
        <v>2273</v>
      </c>
      <c r="C320" s="186" t="s">
        <v>2126</v>
      </c>
      <c r="D320" s="186" t="s">
        <v>2132</v>
      </c>
      <c r="E320" s="187" t="s">
        <v>42</v>
      </c>
      <c r="F320" s="193" t="s">
        <v>15</v>
      </c>
      <c r="G320" s="193"/>
      <c r="H320" s="187" t="s">
        <v>283</v>
      </c>
      <c r="I320" s="194">
        <v>4066.45</v>
      </c>
      <c r="J320" s="194"/>
      <c r="K320" s="190" t="s">
        <v>8</v>
      </c>
      <c r="L320" s="191">
        <v>11974922.789999999</v>
      </c>
    </row>
    <row r="321" spans="1:12" ht="51" x14ac:dyDescent="0.3">
      <c r="A321" s="185" t="s">
        <v>328</v>
      </c>
      <c r="B321" s="186" t="s">
        <v>2273</v>
      </c>
      <c r="C321" s="186" t="s">
        <v>2126</v>
      </c>
      <c r="D321" s="186" t="s">
        <v>2272</v>
      </c>
      <c r="E321" s="187" t="s">
        <v>42</v>
      </c>
      <c r="F321" s="193" t="s">
        <v>15</v>
      </c>
      <c r="G321" s="193"/>
      <c r="H321" s="187" t="s">
        <v>283</v>
      </c>
      <c r="I321" s="194">
        <v>30662.09</v>
      </c>
      <c r="J321" s="194"/>
      <c r="K321" s="190" t="s">
        <v>8</v>
      </c>
      <c r="L321" s="191">
        <v>11944260.699999999</v>
      </c>
    </row>
    <row r="322" spans="1:12" ht="51" x14ac:dyDescent="0.3">
      <c r="A322" s="185" t="s">
        <v>328</v>
      </c>
      <c r="B322" s="186" t="s">
        <v>2273</v>
      </c>
      <c r="C322" s="186" t="s">
        <v>2126</v>
      </c>
      <c r="D322" s="186" t="s">
        <v>2275</v>
      </c>
      <c r="E322" s="187" t="s">
        <v>42</v>
      </c>
      <c r="F322" s="193" t="s">
        <v>15</v>
      </c>
      <c r="G322" s="193"/>
      <c r="H322" s="187" t="s">
        <v>283</v>
      </c>
      <c r="I322" s="194">
        <v>4138.04</v>
      </c>
      <c r="J322" s="194"/>
      <c r="K322" s="190" t="s">
        <v>8</v>
      </c>
      <c r="L322" s="191">
        <v>11940122.66</v>
      </c>
    </row>
    <row r="323" spans="1:12" ht="51" x14ac:dyDescent="0.3">
      <c r="A323" s="185" t="s">
        <v>328</v>
      </c>
      <c r="B323" s="186" t="s">
        <v>2273</v>
      </c>
      <c r="C323" s="186" t="s">
        <v>2126</v>
      </c>
      <c r="D323" s="186" t="s">
        <v>2275</v>
      </c>
      <c r="E323" s="187" t="s">
        <v>42</v>
      </c>
      <c r="F323" s="193" t="s">
        <v>15</v>
      </c>
      <c r="G323" s="193"/>
      <c r="H323" s="187" t="s">
        <v>283</v>
      </c>
      <c r="I323" s="194">
        <v>31603.21</v>
      </c>
      <c r="J323" s="194"/>
      <c r="K323" s="190" t="s">
        <v>8</v>
      </c>
      <c r="L323" s="191">
        <v>11908519.449999999</v>
      </c>
    </row>
    <row r="324" spans="1:12" ht="51" x14ac:dyDescent="0.3">
      <c r="A324" s="185" t="s">
        <v>328</v>
      </c>
      <c r="B324" s="186" t="s">
        <v>2273</v>
      </c>
      <c r="C324" s="186" t="s">
        <v>2126</v>
      </c>
      <c r="D324" s="186" t="s">
        <v>2276</v>
      </c>
      <c r="E324" s="187" t="s">
        <v>42</v>
      </c>
      <c r="F324" s="193" t="s">
        <v>15</v>
      </c>
      <c r="G324" s="193"/>
      <c r="H324" s="187" t="s">
        <v>283</v>
      </c>
      <c r="I324" s="194">
        <v>4138.04</v>
      </c>
      <c r="J324" s="194"/>
      <c r="K324" s="190" t="s">
        <v>8</v>
      </c>
      <c r="L324" s="191">
        <v>11904381.41</v>
      </c>
    </row>
    <row r="325" spans="1:12" ht="51" x14ac:dyDescent="0.3">
      <c r="A325" s="185" t="s">
        <v>328</v>
      </c>
      <c r="B325" s="186" t="s">
        <v>2273</v>
      </c>
      <c r="C325" s="186" t="s">
        <v>2126</v>
      </c>
      <c r="D325" s="186" t="s">
        <v>2276</v>
      </c>
      <c r="E325" s="187" t="s">
        <v>42</v>
      </c>
      <c r="F325" s="193" t="s">
        <v>15</v>
      </c>
      <c r="G325" s="193"/>
      <c r="H325" s="187" t="s">
        <v>283</v>
      </c>
      <c r="I325" s="194">
        <v>31603.21</v>
      </c>
      <c r="J325" s="194"/>
      <c r="K325" s="190" t="s">
        <v>8</v>
      </c>
      <c r="L325" s="191">
        <v>11872778.199999999</v>
      </c>
    </row>
    <row r="326" spans="1:12" ht="51" x14ac:dyDescent="0.3">
      <c r="A326" s="185" t="s">
        <v>328</v>
      </c>
      <c r="B326" s="186" t="s">
        <v>2273</v>
      </c>
      <c r="C326" s="186" t="s">
        <v>2126</v>
      </c>
      <c r="D326" s="186" t="s">
        <v>2277</v>
      </c>
      <c r="E326" s="187" t="s">
        <v>42</v>
      </c>
      <c r="F326" s="193" t="s">
        <v>15</v>
      </c>
      <c r="G326" s="193"/>
      <c r="H326" s="187" t="s">
        <v>283</v>
      </c>
      <c r="I326" s="194">
        <v>4202.13</v>
      </c>
      <c r="J326" s="194"/>
      <c r="K326" s="190" t="s">
        <v>8</v>
      </c>
      <c r="L326" s="191">
        <v>11868576.07</v>
      </c>
    </row>
    <row r="327" spans="1:12" ht="51" x14ac:dyDescent="0.3">
      <c r="A327" s="185" t="s">
        <v>328</v>
      </c>
      <c r="B327" s="186" t="s">
        <v>2273</v>
      </c>
      <c r="C327" s="186" t="s">
        <v>2126</v>
      </c>
      <c r="D327" s="186" t="s">
        <v>2277</v>
      </c>
      <c r="E327" s="187" t="s">
        <v>42</v>
      </c>
      <c r="F327" s="193" t="s">
        <v>15</v>
      </c>
      <c r="G327" s="193"/>
      <c r="H327" s="187" t="s">
        <v>283</v>
      </c>
      <c r="I327" s="194">
        <v>32092.62</v>
      </c>
      <c r="J327" s="194"/>
      <c r="K327" s="190" t="s">
        <v>8</v>
      </c>
      <c r="L327" s="191">
        <v>11836483.449999999</v>
      </c>
    </row>
    <row r="328" spans="1:12" ht="51" x14ac:dyDescent="0.3">
      <c r="A328" s="185" t="s">
        <v>328</v>
      </c>
      <c r="B328" s="186" t="s">
        <v>2273</v>
      </c>
      <c r="C328" s="186" t="s">
        <v>2126</v>
      </c>
      <c r="D328" s="186" t="s">
        <v>2278</v>
      </c>
      <c r="E328" s="187" t="s">
        <v>42</v>
      </c>
      <c r="F328" s="193" t="s">
        <v>15</v>
      </c>
      <c r="G328" s="193"/>
      <c r="H328" s="187" t="s">
        <v>283</v>
      </c>
      <c r="I328" s="194">
        <v>4202.13</v>
      </c>
      <c r="J328" s="194"/>
      <c r="K328" s="190" t="s">
        <v>8</v>
      </c>
      <c r="L328" s="191">
        <v>11832281.32</v>
      </c>
    </row>
    <row r="329" spans="1:12" ht="51" x14ac:dyDescent="0.3">
      <c r="A329" s="185" t="s">
        <v>328</v>
      </c>
      <c r="B329" s="186" t="s">
        <v>2273</v>
      </c>
      <c r="C329" s="186" t="s">
        <v>2126</v>
      </c>
      <c r="D329" s="186" t="s">
        <v>2278</v>
      </c>
      <c r="E329" s="187" t="s">
        <v>42</v>
      </c>
      <c r="F329" s="193" t="s">
        <v>15</v>
      </c>
      <c r="G329" s="193"/>
      <c r="H329" s="187" t="s">
        <v>283</v>
      </c>
      <c r="I329" s="194">
        <v>32092.62</v>
      </c>
      <c r="J329" s="194"/>
      <c r="K329" s="190" t="s">
        <v>8</v>
      </c>
      <c r="L329" s="191">
        <v>11800188.699999999</v>
      </c>
    </row>
    <row r="330" spans="1:12" ht="51" x14ac:dyDescent="0.3">
      <c r="A330" s="185" t="s">
        <v>328</v>
      </c>
      <c r="B330" s="186" t="s">
        <v>2273</v>
      </c>
      <c r="C330" s="186" t="s">
        <v>2126</v>
      </c>
      <c r="D330" s="186" t="s">
        <v>2279</v>
      </c>
      <c r="E330" s="187" t="s">
        <v>42</v>
      </c>
      <c r="F330" s="193" t="s">
        <v>15</v>
      </c>
      <c r="G330" s="193"/>
      <c r="H330" s="187" t="s">
        <v>283</v>
      </c>
      <c r="I330" s="194">
        <v>3368.53</v>
      </c>
      <c r="J330" s="194"/>
      <c r="K330" s="190" t="s">
        <v>8</v>
      </c>
      <c r="L330" s="191">
        <v>11796820.17</v>
      </c>
    </row>
    <row r="331" spans="1:12" ht="51" x14ac:dyDescent="0.3">
      <c r="A331" s="185" t="s">
        <v>328</v>
      </c>
      <c r="B331" s="186" t="s">
        <v>2273</v>
      </c>
      <c r="C331" s="186" t="s">
        <v>2126</v>
      </c>
      <c r="D331" s="186" t="s">
        <v>2279</v>
      </c>
      <c r="E331" s="187" t="s">
        <v>42</v>
      </c>
      <c r="F331" s="193" t="s">
        <v>15</v>
      </c>
      <c r="G331" s="193"/>
      <c r="H331" s="187" t="s">
        <v>283</v>
      </c>
      <c r="I331" s="194">
        <v>20553.82</v>
      </c>
      <c r="J331" s="194"/>
      <c r="K331" s="190" t="s">
        <v>8</v>
      </c>
      <c r="L331" s="191">
        <v>11776266.35</v>
      </c>
    </row>
    <row r="332" spans="1:12" ht="51" x14ac:dyDescent="0.3">
      <c r="A332" s="185" t="s">
        <v>328</v>
      </c>
      <c r="B332" s="186" t="s">
        <v>2273</v>
      </c>
      <c r="C332" s="186" t="s">
        <v>2126</v>
      </c>
      <c r="D332" s="186" t="s">
        <v>2039</v>
      </c>
      <c r="E332" s="187" t="s">
        <v>42</v>
      </c>
      <c r="F332" s="193" t="s">
        <v>15</v>
      </c>
      <c r="G332" s="193"/>
      <c r="H332" s="187" t="s">
        <v>283</v>
      </c>
      <c r="I332" s="194">
        <v>11250.53</v>
      </c>
      <c r="J332" s="194"/>
      <c r="K332" s="190" t="s">
        <v>8</v>
      </c>
      <c r="L332" s="191">
        <v>11765015.82</v>
      </c>
    </row>
    <row r="333" spans="1:12" ht="51" x14ac:dyDescent="0.3">
      <c r="A333" s="185" t="s">
        <v>328</v>
      </c>
      <c r="B333" s="186" t="s">
        <v>2273</v>
      </c>
      <c r="C333" s="186" t="s">
        <v>2126</v>
      </c>
      <c r="D333" s="186" t="s">
        <v>2039</v>
      </c>
      <c r="E333" s="187" t="s">
        <v>42</v>
      </c>
      <c r="F333" s="193" t="s">
        <v>15</v>
      </c>
      <c r="G333" s="193"/>
      <c r="H333" s="187" t="s">
        <v>283</v>
      </c>
      <c r="I333" s="194">
        <v>3449.26</v>
      </c>
      <c r="J333" s="194"/>
      <c r="K333" s="190" t="s">
        <v>8</v>
      </c>
      <c r="L333" s="191">
        <v>11761566.560000001</v>
      </c>
    </row>
    <row r="334" spans="1:12" ht="51" x14ac:dyDescent="0.3">
      <c r="A334" s="185" t="s">
        <v>328</v>
      </c>
      <c r="B334" s="186" t="s">
        <v>2273</v>
      </c>
      <c r="C334" s="186" t="s">
        <v>2126</v>
      </c>
      <c r="D334" s="186" t="s">
        <v>2280</v>
      </c>
      <c r="E334" s="187" t="s">
        <v>42</v>
      </c>
      <c r="F334" s="193" t="s">
        <v>15</v>
      </c>
      <c r="G334" s="193"/>
      <c r="H334" s="187" t="s">
        <v>283</v>
      </c>
      <c r="I334" s="194">
        <v>5094.12</v>
      </c>
      <c r="J334" s="194"/>
      <c r="K334" s="190" t="s">
        <v>8</v>
      </c>
      <c r="L334" s="191">
        <v>11756472.439999999</v>
      </c>
    </row>
    <row r="335" spans="1:12" ht="51" x14ac:dyDescent="0.3">
      <c r="A335" s="185" t="s">
        <v>328</v>
      </c>
      <c r="B335" s="186" t="s">
        <v>2273</v>
      </c>
      <c r="C335" s="186" t="s">
        <v>2126</v>
      </c>
      <c r="D335" s="186" t="s">
        <v>2281</v>
      </c>
      <c r="E335" s="187" t="s">
        <v>42</v>
      </c>
      <c r="F335" s="193" t="s">
        <v>15</v>
      </c>
      <c r="G335" s="193"/>
      <c r="H335" s="187" t="s">
        <v>283</v>
      </c>
      <c r="I335" s="194">
        <v>1157.19</v>
      </c>
      <c r="J335" s="194"/>
      <c r="K335" s="190" t="s">
        <v>8</v>
      </c>
      <c r="L335" s="191">
        <v>11755315.25</v>
      </c>
    </row>
    <row r="336" spans="1:12" ht="51" x14ac:dyDescent="0.3">
      <c r="A336" s="185" t="s">
        <v>328</v>
      </c>
      <c r="B336" s="186" t="s">
        <v>2273</v>
      </c>
      <c r="C336" s="186" t="s">
        <v>2126</v>
      </c>
      <c r="D336" s="186" t="s">
        <v>2282</v>
      </c>
      <c r="E336" s="187" t="s">
        <v>42</v>
      </c>
      <c r="F336" s="193" t="s">
        <v>15</v>
      </c>
      <c r="G336" s="193"/>
      <c r="H336" s="187" t="s">
        <v>283</v>
      </c>
      <c r="I336" s="194">
        <v>7619.69</v>
      </c>
      <c r="J336" s="194"/>
      <c r="K336" s="190" t="s">
        <v>8</v>
      </c>
      <c r="L336" s="191">
        <v>11747695.560000001</v>
      </c>
    </row>
    <row r="337" spans="1:12" ht="51" x14ac:dyDescent="0.3">
      <c r="A337" s="185" t="s">
        <v>328</v>
      </c>
      <c r="B337" s="186" t="s">
        <v>2273</v>
      </c>
      <c r="C337" s="186" t="s">
        <v>2126</v>
      </c>
      <c r="D337" s="186" t="s">
        <v>2283</v>
      </c>
      <c r="E337" s="187" t="s">
        <v>42</v>
      </c>
      <c r="F337" s="193" t="s">
        <v>15</v>
      </c>
      <c r="G337" s="193"/>
      <c r="H337" s="187" t="s">
        <v>283</v>
      </c>
      <c r="I337" s="194">
        <v>4398.92</v>
      </c>
      <c r="J337" s="194"/>
      <c r="K337" s="190" t="s">
        <v>8</v>
      </c>
      <c r="L337" s="191">
        <v>11743296.640000001</v>
      </c>
    </row>
    <row r="338" spans="1:12" ht="51" x14ac:dyDescent="0.3">
      <c r="A338" s="185" t="s">
        <v>328</v>
      </c>
      <c r="B338" s="186" t="s">
        <v>2273</v>
      </c>
      <c r="C338" s="186" t="s">
        <v>2126</v>
      </c>
      <c r="D338" s="186" t="s">
        <v>2284</v>
      </c>
      <c r="E338" s="187" t="s">
        <v>42</v>
      </c>
      <c r="F338" s="193" t="s">
        <v>15</v>
      </c>
      <c r="G338" s="193"/>
      <c r="H338" s="187" t="s">
        <v>283</v>
      </c>
      <c r="I338" s="194">
        <v>6999.98</v>
      </c>
      <c r="J338" s="194"/>
      <c r="K338" s="190" t="s">
        <v>8</v>
      </c>
      <c r="L338" s="191">
        <v>11736296.66</v>
      </c>
    </row>
    <row r="339" spans="1:12" ht="51" x14ac:dyDescent="0.3">
      <c r="A339" s="185" t="s">
        <v>328</v>
      </c>
      <c r="B339" s="186" t="s">
        <v>2285</v>
      </c>
      <c r="C339" s="186" t="s">
        <v>2126</v>
      </c>
      <c r="D339" s="186" t="s">
        <v>2013</v>
      </c>
      <c r="E339" s="187" t="s">
        <v>42</v>
      </c>
      <c r="F339" s="193" t="s">
        <v>15</v>
      </c>
      <c r="G339" s="193"/>
      <c r="H339" s="187" t="s">
        <v>283</v>
      </c>
      <c r="I339" s="194">
        <v>21842.34</v>
      </c>
      <c r="J339" s="194"/>
      <c r="K339" s="190" t="s">
        <v>8</v>
      </c>
      <c r="L339" s="191">
        <v>11714454.32</v>
      </c>
    </row>
    <row r="340" spans="1:12" ht="51" x14ac:dyDescent="0.3">
      <c r="A340" s="185" t="s">
        <v>328</v>
      </c>
      <c r="B340" s="186" t="s">
        <v>2285</v>
      </c>
      <c r="C340" s="186" t="s">
        <v>2126</v>
      </c>
      <c r="D340" s="186" t="s">
        <v>2016</v>
      </c>
      <c r="E340" s="187" t="s">
        <v>42</v>
      </c>
      <c r="F340" s="193" t="s">
        <v>15</v>
      </c>
      <c r="G340" s="193"/>
      <c r="H340" s="187" t="s">
        <v>283</v>
      </c>
      <c r="I340" s="194">
        <v>16627.53</v>
      </c>
      <c r="J340" s="194"/>
      <c r="K340" s="190" t="s">
        <v>8</v>
      </c>
      <c r="L340" s="191">
        <v>11697826.789999999</v>
      </c>
    </row>
    <row r="341" spans="1:12" ht="51" x14ac:dyDescent="0.3">
      <c r="A341" s="185" t="s">
        <v>328</v>
      </c>
      <c r="B341" s="186" t="s">
        <v>2285</v>
      </c>
      <c r="C341" s="186" t="s">
        <v>2126</v>
      </c>
      <c r="D341" s="186" t="s">
        <v>2016</v>
      </c>
      <c r="E341" s="187" t="s">
        <v>42</v>
      </c>
      <c r="F341" s="193" t="s">
        <v>15</v>
      </c>
      <c r="G341" s="193"/>
      <c r="H341" s="187" t="s">
        <v>283</v>
      </c>
      <c r="I341" s="194">
        <v>21842.34</v>
      </c>
      <c r="J341" s="194"/>
      <c r="K341" s="190" t="s">
        <v>8</v>
      </c>
      <c r="L341" s="191">
        <v>11675984.449999999</v>
      </c>
    </row>
    <row r="342" spans="1:12" ht="51" x14ac:dyDescent="0.3">
      <c r="A342" s="185" t="s">
        <v>328</v>
      </c>
      <c r="B342" s="186" t="s">
        <v>2285</v>
      </c>
      <c r="C342" s="186" t="s">
        <v>2126</v>
      </c>
      <c r="D342" s="186" t="s">
        <v>2019</v>
      </c>
      <c r="E342" s="187" t="s">
        <v>42</v>
      </c>
      <c r="F342" s="193" t="s">
        <v>15</v>
      </c>
      <c r="G342" s="193"/>
      <c r="H342" s="187" t="s">
        <v>283</v>
      </c>
      <c r="I342" s="194">
        <v>16627.53</v>
      </c>
      <c r="J342" s="194"/>
      <c r="K342" s="190" t="s">
        <v>8</v>
      </c>
      <c r="L342" s="191">
        <v>11659356.92</v>
      </c>
    </row>
    <row r="343" spans="1:12" ht="51" x14ac:dyDescent="0.3">
      <c r="A343" s="185" t="s">
        <v>328</v>
      </c>
      <c r="B343" s="186" t="s">
        <v>2285</v>
      </c>
      <c r="C343" s="186" t="s">
        <v>2126</v>
      </c>
      <c r="D343" s="186" t="s">
        <v>2019</v>
      </c>
      <c r="E343" s="187" t="s">
        <v>42</v>
      </c>
      <c r="F343" s="193" t="s">
        <v>15</v>
      </c>
      <c r="G343" s="193"/>
      <c r="H343" s="187" t="s">
        <v>283</v>
      </c>
      <c r="I343" s="194">
        <v>21372.15</v>
      </c>
      <c r="J343" s="194"/>
      <c r="K343" s="190" t="s">
        <v>8</v>
      </c>
      <c r="L343" s="191">
        <v>11637984.77</v>
      </c>
    </row>
    <row r="344" spans="1:12" ht="51" x14ac:dyDescent="0.3">
      <c r="A344" s="185" t="s">
        <v>328</v>
      </c>
      <c r="B344" s="186" t="s">
        <v>2285</v>
      </c>
      <c r="C344" s="186" t="s">
        <v>2126</v>
      </c>
      <c r="D344" s="186" t="s">
        <v>2019</v>
      </c>
      <c r="E344" s="187" t="s">
        <v>42</v>
      </c>
      <c r="F344" s="193" t="s">
        <v>15</v>
      </c>
      <c r="G344" s="193"/>
      <c r="H344" s="187" t="s">
        <v>283</v>
      </c>
      <c r="I344" s="195">
        <v>470.19</v>
      </c>
      <c r="J344" s="195"/>
      <c r="K344" s="190" t="s">
        <v>8</v>
      </c>
      <c r="L344" s="191">
        <v>11637514.58</v>
      </c>
    </row>
    <row r="345" spans="1:12" ht="51" x14ac:dyDescent="0.3">
      <c r="A345" s="185" t="s">
        <v>328</v>
      </c>
      <c r="B345" s="186" t="s">
        <v>2285</v>
      </c>
      <c r="C345" s="186" t="s">
        <v>2126</v>
      </c>
      <c r="D345" s="186" t="s">
        <v>2022</v>
      </c>
      <c r="E345" s="187" t="s">
        <v>42</v>
      </c>
      <c r="F345" s="193" t="s">
        <v>15</v>
      </c>
      <c r="G345" s="193"/>
      <c r="H345" s="187" t="s">
        <v>283</v>
      </c>
      <c r="I345" s="194">
        <v>14062.88</v>
      </c>
      <c r="J345" s="194"/>
      <c r="K345" s="190" t="s">
        <v>8</v>
      </c>
      <c r="L345" s="191">
        <v>11623451.699999999</v>
      </c>
    </row>
    <row r="346" spans="1:12" ht="61.2" x14ac:dyDescent="0.3">
      <c r="A346" s="185" t="s">
        <v>328</v>
      </c>
      <c r="B346" s="186" t="s">
        <v>2285</v>
      </c>
      <c r="C346" s="186" t="s">
        <v>2126</v>
      </c>
      <c r="D346" s="186" t="s">
        <v>2286</v>
      </c>
      <c r="E346" s="187" t="s">
        <v>42</v>
      </c>
      <c r="F346" s="193" t="s">
        <v>15</v>
      </c>
      <c r="G346" s="193"/>
      <c r="H346" s="187" t="s">
        <v>283</v>
      </c>
      <c r="I346" s="194">
        <v>71136</v>
      </c>
      <c r="J346" s="194"/>
      <c r="K346" s="190" t="s">
        <v>8</v>
      </c>
      <c r="L346" s="191">
        <v>11552315.699999999</v>
      </c>
    </row>
    <row r="347" spans="1:12" ht="61.2" x14ac:dyDescent="0.3">
      <c r="A347" s="185" t="s">
        <v>328</v>
      </c>
      <c r="B347" s="186" t="s">
        <v>2285</v>
      </c>
      <c r="C347" s="186" t="s">
        <v>2126</v>
      </c>
      <c r="D347" s="186" t="s">
        <v>2205</v>
      </c>
      <c r="E347" s="187" t="s">
        <v>42</v>
      </c>
      <c r="F347" s="193" t="s">
        <v>15</v>
      </c>
      <c r="G347" s="193"/>
      <c r="H347" s="187" t="s">
        <v>283</v>
      </c>
      <c r="I347" s="194">
        <v>2718.9</v>
      </c>
      <c r="J347" s="194"/>
      <c r="K347" s="190" t="s">
        <v>8</v>
      </c>
      <c r="L347" s="191">
        <v>11549596.800000001</v>
      </c>
    </row>
    <row r="348" spans="1:12" ht="51" x14ac:dyDescent="0.3">
      <c r="A348" s="185" t="s">
        <v>328</v>
      </c>
      <c r="B348" s="186" t="s">
        <v>2287</v>
      </c>
      <c r="C348" s="186" t="s">
        <v>2126</v>
      </c>
      <c r="D348" s="186" t="s">
        <v>2001</v>
      </c>
      <c r="E348" s="187" t="s">
        <v>42</v>
      </c>
      <c r="F348" s="193" t="s">
        <v>15</v>
      </c>
      <c r="G348" s="193"/>
      <c r="H348" s="187" t="s">
        <v>283</v>
      </c>
      <c r="I348" s="194">
        <v>2543.1999999999998</v>
      </c>
      <c r="J348" s="194"/>
      <c r="K348" s="190" t="s">
        <v>8</v>
      </c>
      <c r="L348" s="191">
        <v>11547053.6</v>
      </c>
    </row>
    <row r="349" spans="1:12" ht="51" x14ac:dyDescent="0.3">
      <c r="A349" s="185" t="s">
        <v>328</v>
      </c>
      <c r="B349" s="186" t="s">
        <v>2287</v>
      </c>
      <c r="C349" s="186" t="s">
        <v>2126</v>
      </c>
      <c r="D349" s="186" t="s">
        <v>2001</v>
      </c>
      <c r="E349" s="187" t="s">
        <v>42</v>
      </c>
      <c r="F349" s="193" t="s">
        <v>15</v>
      </c>
      <c r="G349" s="193"/>
      <c r="H349" s="187" t="s">
        <v>283</v>
      </c>
      <c r="I349" s="194">
        <v>16156.82</v>
      </c>
      <c r="J349" s="194"/>
      <c r="K349" s="190" t="s">
        <v>8</v>
      </c>
      <c r="L349" s="191">
        <v>11530896.779999999</v>
      </c>
    </row>
    <row r="350" spans="1:12" ht="51" x14ac:dyDescent="0.3">
      <c r="A350" s="185" t="s">
        <v>328</v>
      </c>
      <c r="B350" s="186" t="s">
        <v>2287</v>
      </c>
      <c r="C350" s="186" t="s">
        <v>2126</v>
      </c>
      <c r="D350" s="186" t="s">
        <v>2007</v>
      </c>
      <c r="E350" s="187" t="s">
        <v>42</v>
      </c>
      <c r="F350" s="193" t="s">
        <v>15</v>
      </c>
      <c r="G350" s="193"/>
      <c r="H350" s="187" t="s">
        <v>283</v>
      </c>
      <c r="I350" s="194">
        <v>11557.7</v>
      </c>
      <c r="J350" s="194"/>
      <c r="K350" s="190" t="s">
        <v>8</v>
      </c>
      <c r="L350" s="191">
        <v>11519339.08</v>
      </c>
    </row>
    <row r="351" spans="1:12" ht="51" x14ac:dyDescent="0.3">
      <c r="A351" s="185" t="s">
        <v>328</v>
      </c>
      <c r="B351" s="186" t="s">
        <v>2287</v>
      </c>
      <c r="C351" s="186" t="s">
        <v>2126</v>
      </c>
      <c r="D351" s="186" t="s">
        <v>2206</v>
      </c>
      <c r="E351" s="187" t="s">
        <v>42</v>
      </c>
      <c r="F351" s="193" t="s">
        <v>15</v>
      </c>
      <c r="G351" s="193"/>
      <c r="H351" s="187" t="s">
        <v>283</v>
      </c>
      <c r="I351" s="194">
        <v>43345.5</v>
      </c>
      <c r="J351" s="194"/>
      <c r="K351" s="190" t="s">
        <v>8</v>
      </c>
      <c r="L351" s="191">
        <v>11475993.58</v>
      </c>
    </row>
    <row r="352" spans="1:12" ht="51" x14ac:dyDescent="0.3">
      <c r="A352" s="185" t="s">
        <v>328</v>
      </c>
      <c r="B352" s="186" t="s">
        <v>2287</v>
      </c>
      <c r="C352" s="186" t="s">
        <v>2126</v>
      </c>
      <c r="D352" s="186" t="s">
        <v>1922</v>
      </c>
      <c r="E352" s="187" t="s">
        <v>42</v>
      </c>
      <c r="F352" s="193" t="s">
        <v>15</v>
      </c>
      <c r="G352" s="193"/>
      <c r="H352" s="187" t="s">
        <v>283</v>
      </c>
      <c r="I352" s="194">
        <v>2363.56</v>
      </c>
      <c r="J352" s="194"/>
      <c r="K352" s="190" t="s">
        <v>8</v>
      </c>
      <c r="L352" s="191">
        <v>11473630.02</v>
      </c>
    </row>
    <row r="353" spans="1:12" ht="51" x14ac:dyDescent="0.3">
      <c r="A353" s="185" t="s">
        <v>328</v>
      </c>
      <c r="B353" s="186" t="s">
        <v>2287</v>
      </c>
      <c r="C353" s="186" t="s">
        <v>2126</v>
      </c>
      <c r="D353" s="186" t="s">
        <v>2180</v>
      </c>
      <c r="E353" s="187" t="s">
        <v>42</v>
      </c>
      <c r="F353" s="193" t="s">
        <v>15</v>
      </c>
      <c r="G353" s="193"/>
      <c r="H353" s="187" t="s">
        <v>283</v>
      </c>
      <c r="I353" s="194">
        <v>2075.61</v>
      </c>
      <c r="J353" s="194"/>
      <c r="K353" s="190" t="s">
        <v>8</v>
      </c>
      <c r="L353" s="191">
        <v>11471554.41</v>
      </c>
    </row>
    <row r="354" spans="1:12" ht="51" x14ac:dyDescent="0.3">
      <c r="A354" s="185" t="s">
        <v>328</v>
      </c>
      <c r="B354" s="186" t="s">
        <v>2288</v>
      </c>
      <c r="C354" s="186" t="s">
        <v>2126</v>
      </c>
      <c r="D354" s="186" t="s">
        <v>2274</v>
      </c>
      <c r="E354" s="187" t="s">
        <v>42</v>
      </c>
      <c r="F354" s="193" t="s">
        <v>15</v>
      </c>
      <c r="G354" s="193"/>
      <c r="H354" s="187" t="s">
        <v>283</v>
      </c>
      <c r="I354" s="194">
        <v>19080.98</v>
      </c>
      <c r="J354" s="194"/>
      <c r="K354" s="190" t="s">
        <v>8</v>
      </c>
      <c r="L354" s="191">
        <v>11452473.43</v>
      </c>
    </row>
    <row r="355" spans="1:12" ht="51" x14ac:dyDescent="0.3">
      <c r="A355" s="185" t="s">
        <v>328</v>
      </c>
      <c r="B355" s="186" t="s">
        <v>2288</v>
      </c>
      <c r="C355" s="186" t="s">
        <v>2126</v>
      </c>
      <c r="D355" s="186" t="s">
        <v>2289</v>
      </c>
      <c r="E355" s="187" t="s">
        <v>42</v>
      </c>
      <c r="F355" s="193" t="s">
        <v>15</v>
      </c>
      <c r="G355" s="193"/>
      <c r="H355" s="187" t="s">
        <v>283</v>
      </c>
      <c r="I355" s="194">
        <v>3578.29</v>
      </c>
      <c r="J355" s="194"/>
      <c r="K355" s="190" t="s">
        <v>8</v>
      </c>
      <c r="L355" s="191">
        <v>11448895.140000001</v>
      </c>
    </row>
    <row r="356" spans="1:12" ht="51" x14ac:dyDescent="0.3">
      <c r="A356" s="185" t="s">
        <v>328</v>
      </c>
      <c r="B356" s="186" t="s">
        <v>2288</v>
      </c>
      <c r="C356" s="186" t="s">
        <v>2126</v>
      </c>
      <c r="D356" s="186" t="s">
        <v>2289</v>
      </c>
      <c r="E356" s="187" t="s">
        <v>42</v>
      </c>
      <c r="F356" s="193" t="s">
        <v>15</v>
      </c>
      <c r="G356" s="193"/>
      <c r="H356" s="187" t="s">
        <v>283</v>
      </c>
      <c r="I356" s="194">
        <v>3778.39</v>
      </c>
      <c r="J356" s="194"/>
      <c r="K356" s="190" t="s">
        <v>8</v>
      </c>
      <c r="L356" s="191">
        <v>11445116.75</v>
      </c>
    </row>
    <row r="357" spans="1:12" ht="51" x14ac:dyDescent="0.3">
      <c r="A357" s="185" t="s">
        <v>328</v>
      </c>
      <c r="B357" s="186" t="s">
        <v>2288</v>
      </c>
      <c r="C357" s="186" t="s">
        <v>2126</v>
      </c>
      <c r="D357" s="186" t="s">
        <v>2290</v>
      </c>
      <c r="E357" s="187" t="s">
        <v>42</v>
      </c>
      <c r="F357" s="193" t="s">
        <v>15</v>
      </c>
      <c r="G357" s="193"/>
      <c r="H357" s="187" t="s">
        <v>283</v>
      </c>
      <c r="I357" s="194">
        <v>6438.69</v>
      </c>
      <c r="J357" s="194"/>
      <c r="K357" s="190" t="s">
        <v>8</v>
      </c>
      <c r="L357" s="191">
        <v>11438678.060000001</v>
      </c>
    </row>
    <row r="358" spans="1:12" ht="51" x14ac:dyDescent="0.3">
      <c r="A358" s="185" t="s">
        <v>328</v>
      </c>
      <c r="B358" s="186" t="s">
        <v>2288</v>
      </c>
      <c r="C358" s="186" t="s">
        <v>2126</v>
      </c>
      <c r="D358" s="186" t="s">
        <v>2291</v>
      </c>
      <c r="E358" s="187" t="s">
        <v>42</v>
      </c>
      <c r="F358" s="193" t="s">
        <v>15</v>
      </c>
      <c r="G358" s="193"/>
      <c r="H358" s="187" t="s">
        <v>283</v>
      </c>
      <c r="I358" s="194">
        <v>1633.1</v>
      </c>
      <c r="J358" s="194"/>
      <c r="K358" s="190" t="s">
        <v>8</v>
      </c>
      <c r="L358" s="191">
        <v>11437044.960000001</v>
      </c>
    </row>
    <row r="359" spans="1:12" ht="51" x14ac:dyDescent="0.3">
      <c r="A359" s="185" t="s">
        <v>328</v>
      </c>
      <c r="B359" s="186" t="s">
        <v>2288</v>
      </c>
      <c r="C359" s="186" t="s">
        <v>2126</v>
      </c>
      <c r="D359" s="186" t="s">
        <v>2292</v>
      </c>
      <c r="E359" s="187" t="s">
        <v>42</v>
      </c>
      <c r="F359" s="193" t="s">
        <v>15</v>
      </c>
      <c r="G359" s="193"/>
      <c r="H359" s="187" t="s">
        <v>283</v>
      </c>
      <c r="I359" s="194">
        <v>1983.6</v>
      </c>
      <c r="J359" s="194"/>
      <c r="K359" s="190" t="s">
        <v>8</v>
      </c>
      <c r="L359" s="191">
        <v>11435061.359999999</v>
      </c>
    </row>
    <row r="360" spans="1:12" ht="51" x14ac:dyDescent="0.3">
      <c r="A360" s="185" t="s">
        <v>328</v>
      </c>
      <c r="B360" s="186" t="s">
        <v>2288</v>
      </c>
      <c r="C360" s="186" t="s">
        <v>2126</v>
      </c>
      <c r="D360" s="186" t="s">
        <v>2293</v>
      </c>
      <c r="E360" s="187" t="s">
        <v>42</v>
      </c>
      <c r="F360" s="193" t="s">
        <v>15</v>
      </c>
      <c r="G360" s="193"/>
      <c r="H360" s="187" t="s">
        <v>283</v>
      </c>
      <c r="I360" s="194">
        <v>1328.25</v>
      </c>
      <c r="J360" s="194"/>
      <c r="K360" s="190" t="s">
        <v>8</v>
      </c>
      <c r="L360" s="191">
        <v>11433733.109999999</v>
      </c>
    </row>
    <row r="361" spans="1:12" ht="51" x14ac:dyDescent="0.3">
      <c r="A361" s="185" t="s">
        <v>328</v>
      </c>
      <c r="B361" s="186" t="s">
        <v>2288</v>
      </c>
      <c r="C361" s="186" t="s">
        <v>2126</v>
      </c>
      <c r="D361" s="186" t="s">
        <v>2294</v>
      </c>
      <c r="E361" s="187" t="s">
        <v>42</v>
      </c>
      <c r="F361" s="193" t="s">
        <v>15</v>
      </c>
      <c r="G361" s="193"/>
      <c r="H361" s="187" t="s">
        <v>283</v>
      </c>
      <c r="I361" s="194">
        <v>3272.74</v>
      </c>
      <c r="J361" s="194"/>
      <c r="K361" s="190" t="s">
        <v>8</v>
      </c>
      <c r="L361" s="191">
        <v>11430460.369999999</v>
      </c>
    </row>
    <row r="362" spans="1:12" ht="51" x14ac:dyDescent="0.3">
      <c r="A362" s="185" t="s">
        <v>328</v>
      </c>
      <c r="B362" s="186" t="s">
        <v>2288</v>
      </c>
      <c r="C362" s="186" t="s">
        <v>2126</v>
      </c>
      <c r="D362" s="186" t="s">
        <v>2282</v>
      </c>
      <c r="E362" s="187" t="s">
        <v>42</v>
      </c>
      <c r="F362" s="193" t="s">
        <v>15</v>
      </c>
      <c r="G362" s="193"/>
      <c r="H362" s="187" t="s">
        <v>283</v>
      </c>
      <c r="I362" s="194">
        <v>5247.26</v>
      </c>
      <c r="J362" s="194"/>
      <c r="K362" s="190" t="s">
        <v>8</v>
      </c>
      <c r="L362" s="191">
        <v>11425213.109999999</v>
      </c>
    </row>
    <row r="363" spans="1:12" ht="51" x14ac:dyDescent="0.3">
      <c r="A363" s="185" t="s">
        <v>328</v>
      </c>
      <c r="B363" s="186" t="s">
        <v>2288</v>
      </c>
      <c r="C363" s="186" t="s">
        <v>2126</v>
      </c>
      <c r="D363" s="186" t="s">
        <v>2282</v>
      </c>
      <c r="E363" s="187" t="s">
        <v>42</v>
      </c>
      <c r="F363" s="193" t="s">
        <v>15</v>
      </c>
      <c r="G363" s="193"/>
      <c r="H363" s="187" t="s">
        <v>283</v>
      </c>
      <c r="I363" s="194">
        <v>1116.44</v>
      </c>
      <c r="J363" s="194"/>
      <c r="K363" s="190" t="s">
        <v>8</v>
      </c>
      <c r="L363" s="191">
        <v>11424096.67</v>
      </c>
    </row>
    <row r="364" spans="1:12" ht="51" x14ac:dyDescent="0.3">
      <c r="A364" s="185" t="s">
        <v>328</v>
      </c>
      <c r="B364" s="186" t="s">
        <v>2288</v>
      </c>
      <c r="C364" s="186" t="s">
        <v>2126</v>
      </c>
      <c r="D364" s="186" t="s">
        <v>2282</v>
      </c>
      <c r="E364" s="187" t="s">
        <v>42</v>
      </c>
      <c r="F364" s="193" t="s">
        <v>15</v>
      </c>
      <c r="G364" s="193"/>
      <c r="H364" s="187" t="s">
        <v>283</v>
      </c>
      <c r="I364" s="194">
        <v>10438.700000000001</v>
      </c>
      <c r="J364" s="194"/>
      <c r="K364" s="190" t="s">
        <v>8</v>
      </c>
      <c r="L364" s="191">
        <v>11413657.970000001</v>
      </c>
    </row>
    <row r="365" spans="1:12" ht="51" x14ac:dyDescent="0.3">
      <c r="A365" s="185" t="s">
        <v>328</v>
      </c>
      <c r="B365" s="186" t="s">
        <v>2288</v>
      </c>
      <c r="C365" s="186" t="s">
        <v>2126</v>
      </c>
      <c r="D365" s="186" t="s">
        <v>2284</v>
      </c>
      <c r="E365" s="187" t="s">
        <v>42</v>
      </c>
      <c r="F365" s="193" t="s">
        <v>15</v>
      </c>
      <c r="G365" s="193"/>
      <c r="H365" s="187" t="s">
        <v>283</v>
      </c>
      <c r="I365" s="194">
        <v>9296.42</v>
      </c>
      <c r="J365" s="194"/>
      <c r="K365" s="190" t="s">
        <v>8</v>
      </c>
      <c r="L365" s="191">
        <v>11404361.550000001</v>
      </c>
    </row>
    <row r="366" spans="1:12" ht="61.2" x14ac:dyDescent="0.3">
      <c r="A366" s="185" t="s">
        <v>328</v>
      </c>
      <c r="B366" s="186" t="s">
        <v>2288</v>
      </c>
      <c r="C366" s="186" t="s">
        <v>2126</v>
      </c>
      <c r="D366" s="186" t="s">
        <v>2295</v>
      </c>
      <c r="E366" s="187" t="s">
        <v>42</v>
      </c>
      <c r="F366" s="193" t="s">
        <v>15</v>
      </c>
      <c r="G366" s="193"/>
      <c r="H366" s="187" t="s">
        <v>283</v>
      </c>
      <c r="I366" s="194">
        <v>2677.5</v>
      </c>
      <c r="J366" s="194"/>
      <c r="K366" s="190" t="s">
        <v>8</v>
      </c>
      <c r="L366" s="191">
        <v>11401684.050000001</v>
      </c>
    </row>
    <row r="367" spans="1:12" ht="61.2" x14ac:dyDescent="0.3">
      <c r="A367" s="185" t="s">
        <v>328</v>
      </c>
      <c r="B367" s="186" t="s">
        <v>2288</v>
      </c>
      <c r="C367" s="186" t="s">
        <v>2126</v>
      </c>
      <c r="D367" s="186" t="s">
        <v>2295</v>
      </c>
      <c r="E367" s="187" t="s">
        <v>42</v>
      </c>
      <c r="F367" s="193" t="s">
        <v>15</v>
      </c>
      <c r="G367" s="193"/>
      <c r="H367" s="187" t="s">
        <v>283</v>
      </c>
      <c r="I367" s="194">
        <v>3570</v>
      </c>
      <c r="J367" s="194"/>
      <c r="K367" s="190" t="s">
        <v>8</v>
      </c>
      <c r="L367" s="191">
        <v>11398114.050000001</v>
      </c>
    </row>
    <row r="368" spans="1:12" ht="61.2" x14ac:dyDescent="0.3">
      <c r="A368" s="185" t="s">
        <v>328</v>
      </c>
      <c r="B368" s="186" t="s">
        <v>2288</v>
      </c>
      <c r="C368" s="186" t="s">
        <v>2126</v>
      </c>
      <c r="D368" s="186" t="s">
        <v>2296</v>
      </c>
      <c r="E368" s="187" t="s">
        <v>42</v>
      </c>
      <c r="F368" s="193" t="s">
        <v>15</v>
      </c>
      <c r="G368" s="193"/>
      <c r="H368" s="187" t="s">
        <v>283</v>
      </c>
      <c r="I368" s="194">
        <v>2677.5</v>
      </c>
      <c r="J368" s="194"/>
      <c r="K368" s="190" t="s">
        <v>8</v>
      </c>
      <c r="L368" s="191">
        <v>11395436.550000001</v>
      </c>
    </row>
    <row r="369" spans="1:12" ht="51" x14ac:dyDescent="0.3">
      <c r="A369" s="185" t="s">
        <v>328</v>
      </c>
      <c r="B369" s="186" t="s">
        <v>2288</v>
      </c>
      <c r="C369" s="186" t="s">
        <v>2126</v>
      </c>
      <c r="D369" s="186" t="s">
        <v>2297</v>
      </c>
      <c r="E369" s="187" t="s">
        <v>42</v>
      </c>
      <c r="F369" s="193" t="s">
        <v>15</v>
      </c>
      <c r="G369" s="193"/>
      <c r="H369" s="187" t="s">
        <v>283</v>
      </c>
      <c r="I369" s="194">
        <v>14381.82</v>
      </c>
      <c r="J369" s="194"/>
      <c r="K369" s="190" t="s">
        <v>8</v>
      </c>
      <c r="L369" s="191">
        <v>11381054.73</v>
      </c>
    </row>
    <row r="370" spans="1:12" ht="51" x14ac:dyDescent="0.3">
      <c r="A370" s="185" t="s">
        <v>328</v>
      </c>
      <c r="B370" s="186" t="s">
        <v>2298</v>
      </c>
      <c r="C370" s="186" t="s">
        <v>2126</v>
      </c>
      <c r="D370" s="186" t="s">
        <v>2299</v>
      </c>
      <c r="E370" s="187" t="s">
        <v>42</v>
      </c>
      <c r="F370" s="193" t="s">
        <v>15</v>
      </c>
      <c r="G370" s="193"/>
      <c r="H370" s="187" t="s">
        <v>283</v>
      </c>
      <c r="I370" s="194">
        <v>230395.03</v>
      </c>
      <c r="J370" s="194"/>
      <c r="K370" s="190" t="s">
        <v>8</v>
      </c>
      <c r="L370" s="191">
        <v>11150659.699999999</v>
      </c>
    </row>
    <row r="371" spans="1:12" ht="51" x14ac:dyDescent="0.3">
      <c r="A371" s="185" t="s">
        <v>328</v>
      </c>
      <c r="B371" s="186" t="s">
        <v>2298</v>
      </c>
      <c r="C371" s="186" t="s">
        <v>2126</v>
      </c>
      <c r="D371" s="186" t="s">
        <v>1946</v>
      </c>
      <c r="E371" s="187" t="s">
        <v>42</v>
      </c>
      <c r="F371" s="193" t="s">
        <v>15</v>
      </c>
      <c r="G371" s="193"/>
      <c r="H371" s="187" t="s">
        <v>283</v>
      </c>
      <c r="I371" s="194">
        <v>3721.01</v>
      </c>
      <c r="J371" s="194"/>
      <c r="K371" s="190" t="s">
        <v>8</v>
      </c>
      <c r="L371" s="191">
        <v>11146938.689999999</v>
      </c>
    </row>
    <row r="372" spans="1:12" ht="51" x14ac:dyDescent="0.3">
      <c r="A372" s="185" t="s">
        <v>328</v>
      </c>
      <c r="B372" s="186" t="s">
        <v>2298</v>
      </c>
      <c r="C372" s="186" t="s">
        <v>2126</v>
      </c>
      <c r="D372" s="186" t="s">
        <v>2206</v>
      </c>
      <c r="E372" s="187" t="s">
        <v>42</v>
      </c>
      <c r="F372" s="193" t="s">
        <v>15</v>
      </c>
      <c r="G372" s="193"/>
      <c r="H372" s="187" t="s">
        <v>283</v>
      </c>
      <c r="I372" s="194">
        <v>3955.92</v>
      </c>
      <c r="J372" s="194"/>
      <c r="K372" s="190" t="s">
        <v>8</v>
      </c>
      <c r="L372" s="191">
        <v>11142982.77</v>
      </c>
    </row>
    <row r="373" spans="1:12" ht="51" x14ac:dyDescent="0.3">
      <c r="A373" s="185" t="s">
        <v>328</v>
      </c>
      <c r="B373" s="186" t="s">
        <v>2298</v>
      </c>
      <c r="C373" s="186" t="s">
        <v>2126</v>
      </c>
      <c r="D373" s="186" t="s">
        <v>2300</v>
      </c>
      <c r="E373" s="187" t="s">
        <v>42</v>
      </c>
      <c r="F373" s="193" t="s">
        <v>15</v>
      </c>
      <c r="G373" s="193"/>
      <c r="H373" s="187" t="s">
        <v>283</v>
      </c>
      <c r="I373" s="194">
        <v>4890.17</v>
      </c>
      <c r="J373" s="194"/>
      <c r="K373" s="190" t="s">
        <v>8</v>
      </c>
      <c r="L373" s="191">
        <v>11138092.6</v>
      </c>
    </row>
    <row r="374" spans="1:12" ht="51" x14ac:dyDescent="0.3">
      <c r="A374" s="185" t="s">
        <v>328</v>
      </c>
      <c r="B374" s="186" t="s">
        <v>2298</v>
      </c>
      <c r="C374" s="186" t="s">
        <v>2126</v>
      </c>
      <c r="D374" s="186" t="s">
        <v>2300</v>
      </c>
      <c r="E374" s="187" t="s">
        <v>42</v>
      </c>
      <c r="F374" s="193" t="s">
        <v>15</v>
      </c>
      <c r="G374" s="193"/>
      <c r="H374" s="187" t="s">
        <v>283</v>
      </c>
      <c r="I374" s="194">
        <v>28089.17</v>
      </c>
      <c r="J374" s="194"/>
      <c r="K374" s="190" t="s">
        <v>8</v>
      </c>
      <c r="L374" s="191">
        <v>11110003.43</v>
      </c>
    </row>
    <row r="375" spans="1:12" ht="51" x14ac:dyDescent="0.3">
      <c r="A375" s="185" t="s">
        <v>328</v>
      </c>
      <c r="B375" s="186" t="s">
        <v>2298</v>
      </c>
      <c r="C375" s="186" t="s">
        <v>2126</v>
      </c>
      <c r="D375" s="186" t="s">
        <v>2180</v>
      </c>
      <c r="E375" s="187" t="s">
        <v>42</v>
      </c>
      <c r="F375" s="193" t="s">
        <v>15</v>
      </c>
      <c r="G375" s="193"/>
      <c r="H375" s="187" t="s">
        <v>283</v>
      </c>
      <c r="I375" s="194">
        <v>1768.66</v>
      </c>
      <c r="J375" s="194"/>
      <c r="K375" s="190" t="s">
        <v>8</v>
      </c>
      <c r="L375" s="191">
        <v>11108234.77</v>
      </c>
    </row>
    <row r="376" spans="1:12" ht="51" x14ac:dyDescent="0.3">
      <c r="A376" s="185" t="s">
        <v>328</v>
      </c>
      <c r="B376" s="186" t="s">
        <v>2298</v>
      </c>
      <c r="C376" s="186" t="s">
        <v>2126</v>
      </c>
      <c r="D376" s="186" t="s">
        <v>2300</v>
      </c>
      <c r="E376" s="187" t="s">
        <v>42</v>
      </c>
      <c r="F376" s="193" t="s">
        <v>15</v>
      </c>
      <c r="G376" s="193"/>
      <c r="H376" s="187" t="s">
        <v>283</v>
      </c>
      <c r="I376" s="194">
        <v>19212.25</v>
      </c>
      <c r="J376" s="194"/>
      <c r="K376" s="190" t="s">
        <v>8</v>
      </c>
      <c r="L376" s="191">
        <v>11089022.52</v>
      </c>
    </row>
    <row r="377" spans="1:12" ht="51" x14ac:dyDescent="0.3">
      <c r="A377" s="185" t="s">
        <v>328</v>
      </c>
      <c r="B377" s="186" t="s">
        <v>2298</v>
      </c>
      <c r="C377" s="186" t="s">
        <v>2126</v>
      </c>
      <c r="D377" s="186" t="s">
        <v>2300</v>
      </c>
      <c r="E377" s="187" t="s">
        <v>42</v>
      </c>
      <c r="F377" s="193" t="s">
        <v>15</v>
      </c>
      <c r="G377" s="193"/>
      <c r="H377" s="187" t="s">
        <v>283</v>
      </c>
      <c r="I377" s="194">
        <v>1850</v>
      </c>
      <c r="J377" s="194"/>
      <c r="K377" s="190" t="s">
        <v>8</v>
      </c>
      <c r="L377" s="191">
        <v>11087172.52</v>
      </c>
    </row>
    <row r="378" spans="1:12" ht="51" x14ac:dyDescent="0.3">
      <c r="A378" s="185" t="s">
        <v>328</v>
      </c>
      <c r="B378" s="186" t="s">
        <v>2298</v>
      </c>
      <c r="C378" s="186" t="s">
        <v>2126</v>
      </c>
      <c r="D378" s="186" t="s">
        <v>1922</v>
      </c>
      <c r="E378" s="187" t="s">
        <v>42</v>
      </c>
      <c r="F378" s="193" t="s">
        <v>15</v>
      </c>
      <c r="G378" s="193"/>
      <c r="H378" s="187" t="s">
        <v>283</v>
      </c>
      <c r="I378" s="195">
        <v>627.25</v>
      </c>
      <c r="J378" s="195"/>
      <c r="K378" s="190" t="s">
        <v>8</v>
      </c>
      <c r="L378" s="191">
        <v>11086545.27</v>
      </c>
    </row>
    <row r="379" spans="1:12" ht="51" x14ac:dyDescent="0.3">
      <c r="A379" s="185" t="s">
        <v>328</v>
      </c>
      <c r="B379" s="186" t="s">
        <v>2298</v>
      </c>
      <c r="C379" s="186" t="s">
        <v>2126</v>
      </c>
      <c r="D379" s="186" t="s">
        <v>2180</v>
      </c>
      <c r="E379" s="187" t="s">
        <v>42</v>
      </c>
      <c r="F379" s="193" t="s">
        <v>15</v>
      </c>
      <c r="G379" s="193"/>
      <c r="H379" s="187" t="s">
        <v>283</v>
      </c>
      <c r="I379" s="194">
        <v>1008.57</v>
      </c>
      <c r="J379" s="194"/>
      <c r="K379" s="190" t="s">
        <v>8</v>
      </c>
      <c r="L379" s="191">
        <v>11085536.699999999</v>
      </c>
    </row>
    <row r="380" spans="1:12" ht="51" x14ac:dyDescent="0.3">
      <c r="A380" s="185" t="s">
        <v>328</v>
      </c>
      <c r="B380" s="186" t="s">
        <v>2298</v>
      </c>
      <c r="C380" s="186" t="s">
        <v>2126</v>
      </c>
      <c r="D380" s="186" t="s">
        <v>2301</v>
      </c>
      <c r="E380" s="187" t="s">
        <v>42</v>
      </c>
      <c r="F380" s="193" t="s">
        <v>15</v>
      </c>
      <c r="G380" s="193"/>
      <c r="H380" s="187" t="s">
        <v>283</v>
      </c>
      <c r="I380" s="194">
        <v>35000</v>
      </c>
      <c r="J380" s="194"/>
      <c r="K380" s="190" t="s">
        <v>8</v>
      </c>
      <c r="L380" s="191">
        <v>11050536.699999999</v>
      </c>
    </row>
    <row r="381" spans="1:12" ht="51" x14ac:dyDescent="0.3">
      <c r="A381" s="185" t="s">
        <v>328</v>
      </c>
      <c r="B381" s="186" t="s">
        <v>2298</v>
      </c>
      <c r="C381" s="186" t="s">
        <v>2126</v>
      </c>
      <c r="D381" s="186" t="s">
        <v>2301</v>
      </c>
      <c r="E381" s="187" t="s">
        <v>42</v>
      </c>
      <c r="F381" s="193" t="s">
        <v>15</v>
      </c>
      <c r="G381" s="193"/>
      <c r="H381" s="187" t="s">
        <v>283</v>
      </c>
      <c r="I381" s="194">
        <v>14000</v>
      </c>
      <c r="J381" s="194"/>
      <c r="K381" s="190" t="s">
        <v>8</v>
      </c>
      <c r="L381" s="191">
        <v>11036536.699999999</v>
      </c>
    </row>
    <row r="382" spans="1:12" ht="51" x14ac:dyDescent="0.3">
      <c r="A382" s="185" t="s">
        <v>328</v>
      </c>
      <c r="B382" s="186" t="s">
        <v>2298</v>
      </c>
      <c r="C382" s="186" t="s">
        <v>2126</v>
      </c>
      <c r="D382" s="186" t="s">
        <v>2302</v>
      </c>
      <c r="E382" s="187" t="s">
        <v>42</v>
      </c>
      <c r="F382" s="193" t="s">
        <v>15</v>
      </c>
      <c r="G382" s="193"/>
      <c r="H382" s="187" t="s">
        <v>283</v>
      </c>
      <c r="I382" s="194">
        <v>35000</v>
      </c>
      <c r="J382" s="194"/>
      <c r="K382" s="190" t="s">
        <v>8</v>
      </c>
      <c r="L382" s="191">
        <v>11001536.699999999</v>
      </c>
    </row>
    <row r="383" spans="1:12" ht="51" x14ac:dyDescent="0.3">
      <c r="A383" s="185" t="s">
        <v>328</v>
      </c>
      <c r="B383" s="186" t="s">
        <v>2298</v>
      </c>
      <c r="C383" s="186" t="s">
        <v>2126</v>
      </c>
      <c r="D383" s="186" t="s">
        <v>2300</v>
      </c>
      <c r="E383" s="187" t="s">
        <v>42</v>
      </c>
      <c r="F383" s="193" t="s">
        <v>15</v>
      </c>
      <c r="G383" s="193"/>
      <c r="H383" s="187" t="s">
        <v>283</v>
      </c>
      <c r="I383" s="194">
        <v>6959.08</v>
      </c>
      <c r="J383" s="194"/>
      <c r="K383" s="190" t="s">
        <v>8</v>
      </c>
      <c r="L383" s="191">
        <v>10994577.619999999</v>
      </c>
    </row>
    <row r="384" spans="1:12" ht="51" x14ac:dyDescent="0.3">
      <c r="A384" s="185" t="s">
        <v>328</v>
      </c>
      <c r="B384" s="186" t="s">
        <v>2298</v>
      </c>
      <c r="C384" s="186" t="s">
        <v>2126</v>
      </c>
      <c r="D384" s="186" t="s">
        <v>1922</v>
      </c>
      <c r="E384" s="187" t="s">
        <v>42</v>
      </c>
      <c r="F384" s="193" t="s">
        <v>15</v>
      </c>
      <c r="G384" s="193"/>
      <c r="H384" s="187" t="s">
        <v>283</v>
      </c>
      <c r="I384" s="195">
        <v>290.89999999999998</v>
      </c>
      <c r="J384" s="195"/>
      <c r="K384" s="190" t="s">
        <v>8</v>
      </c>
      <c r="L384" s="191">
        <v>10994286.720000001</v>
      </c>
    </row>
    <row r="385" spans="1:12" ht="51" x14ac:dyDescent="0.3">
      <c r="A385" s="185" t="s">
        <v>328</v>
      </c>
      <c r="B385" s="186" t="s">
        <v>2298</v>
      </c>
      <c r="C385" s="186" t="s">
        <v>2126</v>
      </c>
      <c r="D385" s="186" t="s">
        <v>2180</v>
      </c>
      <c r="E385" s="187" t="s">
        <v>42</v>
      </c>
      <c r="F385" s="193" t="s">
        <v>15</v>
      </c>
      <c r="G385" s="193"/>
      <c r="H385" s="187" t="s">
        <v>283</v>
      </c>
      <c r="I385" s="195">
        <v>304.02999999999997</v>
      </c>
      <c r="J385" s="195"/>
      <c r="K385" s="190" t="s">
        <v>8</v>
      </c>
      <c r="L385" s="191">
        <v>10993982.689999999</v>
      </c>
    </row>
    <row r="386" spans="1:12" ht="51" x14ac:dyDescent="0.3">
      <c r="A386" s="185" t="s">
        <v>328</v>
      </c>
      <c r="B386" s="186" t="s">
        <v>2298</v>
      </c>
      <c r="C386" s="186" t="s">
        <v>2126</v>
      </c>
      <c r="D386" s="186" t="s">
        <v>1996</v>
      </c>
      <c r="E386" s="187" t="s">
        <v>42</v>
      </c>
      <c r="F386" s="193" t="s">
        <v>15</v>
      </c>
      <c r="G386" s="193"/>
      <c r="H386" s="187" t="s">
        <v>283</v>
      </c>
      <c r="I386" s="195">
        <v>904.35</v>
      </c>
      <c r="J386" s="195"/>
      <c r="K386" s="190" t="s">
        <v>8</v>
      </c>
      <c r="L386" s="191">
        <v>10993078.34</v>
      </c>
    </row>
    <row r="387" spans="1:12" ht="51" x14ac:dyDescent="0.3">
      <c r="A387" s="185" t="s">
        <v>328</v>
      </c>
      <c r="B387" s="186" t="s">
        <v>2303</v>
      </c>
      <c r="C387" s="186" t="s">
        <v>2126</v>
      </c>
      <c r="D387" s="186" t="s">
        <v>2304</v>
      </c>
      <c r="E387" s="187" t="s">
        <v>42</v>
      </c>
      <c r="F387" s="193" t="s">
        <v>15</v>
      </c>
      <c r="G387" s="193"/>
      <c r="H387" s="187" t="s">
        <v>283</v>
      </c>
      <c r="I387" s="194">
        <v>5729.17</v>
      </c>
      <c r="J387" s="194"/>
      <c r="K387" s="190" t="s">
        <v>8</v>
      </c>
      <c r="L387" s="191">
        <v>10987349.17</v>
      </c>
    </row>
    <row r="388" spans="1:12" ht="51" x14ac:dyDescent="0.3">
      <c r="A388" s="185" t="s">
        <v>328</v>
      </c>
      <c r="B388" s="186" t="s">
        <v>2303</v>
      </c>
      <c r="C388" s="186" t="s">
        <v>2126</v>
      </c>
      <c r="D388" s="186" t="s">
        <v>2196</v>
      </c>
      <c r="E388" s="187" t="s">
        <v>42</v>
      </c>
      <c r="F388" s="193" t="s">
        <v>15</v>
      </c>
      <c r="G388" s="193"/>
      <c r="H388" s="187" t="s">
        <v>283</v>
      </c>
      <c r="I388" s="194">
        <v>1648.34</v>
      </c>
      <c r="J388" s="194"/>
      <c r="K388" s="190" t="s">
        <v>8</v>
      </c>
      <c r="L388" s="191">
        <v>10985700.83</v>
      </c>
    </row>
    <row r="389" spans="1:12" ht="51" x14ac:dyDescent="0.3">
      <c r="A389" s="185" t="s">
        <v>328</v>
      </c>
      <c r="B389" s="186" t="s">
        <v>2303</v>
      </c>
      <c r="C389" s="186" t="s">
        <v>2126</v>
      </c>
      <c r="D389" s="186" t="s">
        <v>2305</v>
      </c>
      <c r="E389" s="187" t="s">
        <v>42</v>
      </c>
      <c r="F389" s="193" t="s">
        <v>15</v>
      </c>
      <c r="G389" s="193"/>
      <c r="H389" s="187" t="s">
        <v>283</v>
      </c>
      <c r="I389" s="194">
        <v>1039.8699999999999</v>
      </c>
      <c r="J389" s="194"/>
      <c r="K389" s="190" t="s">
        <v>8</v>
      </c>
      <c r="L389" s="191">
        <v>10984660.960000001</v>
      </c>
    </row>
    <row r="390" spans="1:12" ht="51" x14ac:dyDescent="0.3">
      <c r="A390" s="185" t="s">
        <v>328</v>
      </c>
      <c r="B390" s="186" t="s">
        <v>2303</v>
      </c>
      <c r="C390" s="186" t="s">
        <v>2126</v>
      </c>
      <c r="D390" s="186" t="s">
        <v>2305</v>
      </c>
      <c r="E390" s="187" t="s">
        <v>42</v>
      </c>
      <c r="F390" s="193" t="s">
        <v>15</v>
      </c>
      <c r="G390" s="193"/>
      <c r="H390" s="187" t="s">
        <v>283</v>
      </c>
      <c r="I390" s="194">
        <v>1386.5</v>
      </c>
      <c r="J390" s="194"/>
      <c r="K390" s="190" t="s">
        <v>8</v>
      </c>
      <c r="L390" s="191">
        <v>10983274.460000001</v>
      </c>
    </row>
    <row r="391" spans="1:12" ht="51" x14ac:dyDescent="0.3">
      <c r="A391" s="185" t="s">
        <v>328</v>
      </c>
      <c r="B391" s="186" t="s">
        <v>2306</v>
      </c>
      <c r="C391" s="186" t="s">
        <v>2126</v>
      </c>
      <c r="D391" s="186" t="s">
        <v>2239</v>
      </c>
      <c r="E391" s="187" t="s">
        <v>42</v>
      </c>
      <c r="F391" s="193" t="s">
        <v>15</v>
      </c>
      <c r="G391" s="193"/>
      <c r="H391" s="187" t="s">
        <v>283</v>
      </c>
      <c r="I391" s="194">
        <v>4166.6000000000004</v>
      </c>
      <c r="J391" s="194"/>
      <c r="K391" s="190" t="s">
        <v>8</v>
      </c>
      <c r="L391" s="191">
        <v>10979107.859999999</v>
      </c>
    </row>
    <row r="392" spans="1:12" ht="51" x14ac:dyDescent="0.3">
      <c r="A392" s="185" t="s">
        <v>328</v>
      </c>
      <c r="B392" s="186" t="s">
        <v>2306</v>
      </c>
      <c r="C392" s="186" t="s">
        <v>2126</v>
      </c>
      <c r="D392" s="186" t="s">
        <v>2307</v>
      </c>
      <c r="E392" s="187" t="s">
        <v>42</v>
      </c>
      <c r="F392" s="193" t="s">
        <v>15</v>
      </c>
      <c r="G392" s="193"/>
      <c r="H392" s="187" t="s">
        <v>283</v>
      </c>
      <c r="I392" s="194">
        <v>3285</v>
      </c>
      <c r="J392" s="194"/>
      <c r="K392" s="190" t="s">
        <v>8</v>
      </c>
      <c r="L392" s="191">
        <v>10975822.859999999</v>
      </c>
    </row>
    <row r="393" spans="1:12" ht="51" x14ac:dyDescent="0.3">
      <c r="A393" s="185" t="s">
        <v>328</v>
      </c>
      <c r="B393" s="186" t="s">
        <v>2308</v>
      </c>
      <c r="C393" s="186" t="s">
        <v>2126</v>
      </c>
      <c r="D393" s="186" t="s">
        <v>2309</v>
      </c>
      <c r="E393" s="187" t="s">
        <v>42</v>
      </c>
      <c r="F393" s="193" t="s">
        <v>15</v>
      </c>
      <c r="G393" s="193"/>
      <c r="H393" s="187" t="s">
        <v>283</v>
      </c>
      <c r="I393" s="194">
        <v>1070.83</v>
      </c>
      <c r="J393" s="194"/>
      <c r="K393" s="190" t="s">
        <v>8</v>
      </c>
      <c r="L393" s="191">
        <v>10974752.029999999</v>
      </c>
    </row>
    <row r="394" spans="1:12" ht="51" x14ac:dyDescent="0.3">
      <c r="A394" s="185" t="s">
        <v>328</v>
      </c>
      <c r="B394" s="186" t="s">
        <v>2308</v>
      </c>
      <c r="C394" s="186" t="s">
        <v>2126</v>
      </c>
      <c r="D394" s="186" t="s">
        <v>2310</v>
      </c>
      <c r="E394" s="187" t="s">
        <v>42</v>
      </c>
      <c r="F394" s="193" t="s">
        <v>15</v>
      </c>
      <c r="G394" s="193"/>
      <c r="H394" s="187" t="s">
        <v>283</v>
      </c>
      <c r="I394" s="195">
        <v>702.01</v>
      </c>
      <c r="J394" s="195"/>
      <c r="K394" s="190" t="s">
        <v>8</v>
      </c>
      <c r="L394" s="191">
        <v>10974050.02</v>
      </c>
    </row>
    <row r="395" spans="1:12" ht="51" x14ac:dyDescent="0.3">
      <c r="A395" s="185" t="s">
        <v>328</v>
      </c>
      <c r="B395" s="186" t="s">
        <v>2311</v>
      </c>
      <c r="C395" s="186" t="s">
        <v>2126</v>
      </c>
      <c r="D395" s="186" t="s">
        <v>2304</v>
      </c>
      <c r="E395" s="187" t="s">
        <v>42</v>
      </c>
      <c r="F395" s="193" t="s">
        <v>15</v>
      </c>
      <c r="G395" s="193"/>
      <c r="H395" s="187" t="s">
        <v>283</v>
      </c>
      <c r="I395" s="194">
        <v>5729.17</v>
      </c>
      <c r="J395" s="194"/>
      <c r="K395" s="190" t="s">
        <v>8</v>
      </c>
      <c r="L395" s="191">
        <v>10968320.85</v>
      </c>
    </row>
    <row r="396" spans="1:12" ht="51" x14ac:dyDescent="0.3">
      <c r="A396" s="185" t="s">
        <v>328</v>
      </c>
      <c r="B396" s="186" t="s">
        <v>2312</v>
      </c>
      <c r="C396" s="186" t="s">
        <v>2126</v>
      </c>
      <c r="D396" s="186" t="s">
        <v>2305</v>
      </c>
      <c r="E396" s="187" t="s">
        <v>42</v>
      </c>
      <c r="F396" s="193" t="s">
        <v>15</v>
      </c>
      <c r="G396" s="193"/>
      <c r="H396" s="187" t="s">
        <v>283</v>
      </c>
      <c r="I396" s="195">
        <v>693.25</v>
      </c>
      <c r="J396" s="195"/>
      <c r="K396" s="190" t="s">
        <v>8</v>
      </c>
      <c r="L396" s="191">
        <v>10967627.6</v>
      </c>
    </row>
    <row r="397" spans="1:12" ht="51" x14ac:dyDescent="0.3">
      <c r="A397" s="185" t="s">
        <v>328</v>
      </c>
      <c r="B397" s="186" t="s">
        <v>2312</v>
      </c>
      <c r="C397" s="186" t="s">
        <v>2126</v>
      </c>
      <c r="D397" s="186" t="s">
        <v>2313</v>
      </c>
      <c r="E397" s="187" t="s">
        <v>42</v>
      </c>
      <c r="F397" s="193" t="s">
        <v>15</v>
      </c>
      <c r="G397" s="193"/>
      <c r="H397" s="187" t="s">
        <v>283</v>
      </c>
      <c r="I397" s="194">
        <v>1733.12</v>
      </c>
      <c r="J397" s="194"/>
      <c r="K397" s="190" t="s">
        <v>8</v>
      </c>
      <c r="L397" s="191">
        <v>10965894.48</v>
      </c>
    </row>
    <row r="398" spans="1:12" ht="51" x14ac:dyDescent="0.3">
      <c r="A398" s="185" t="s">
        <v>328</v>
      </c>
      <c r="B398" s="186" t="s">
        <v>2312</v>
      </c>
      <c r="C398" s="186" t="s">
        <v>2126</v>
      </c>
      <c r="D398" s="186" t="s">
        <v>2314</v>
      </c>
      <c r="E398" s="187" t="s">
        <v>42</v>
      </c>
      <c r="F398" s="193" t="s">
        <v>15</v>
      </c>
      <c r="G398" s="193"/>
      <c r="H398" s="187" t="s">
        <v>283</v>
      </c>
      <c r="I398" s="194">
        <v>3605.65</v>
      </c>
      <c r="J398" s="194"/>
      <c r="K398" s="190" t="s">
        <v>8</v>
      </c>
      <c r="L398" s="191">
        <v>10962288.83</v>
      </c>
    </row>
    <row r="399" spans="1:12" ht="51" x14ac:dyDescent="0.3">
      <c r="A399" s="185" t="s">
        <v>328</v>
      </c>
      <c r="B399" s="186" t="s">
        <v>2315</v>
      </c>
      <c r="C399" s="186" t="s">
        <v>2126</v>
      </c>
      <c r="D399" s="186" t="s">
        <v>2316</v>
      </c>
      <c r="E399" s="187" t="s">
        <v>42</v>
      </c>
      <c r="F399" s="193" t="s">
        <v>15</v>
      </c>
      <c r="G399" s="193"/>
      <c r="H399" s="187" t="s">
        <v>283</v>
      </c>
      <c r="I399" s="195">
        <v>966.68</v>
      </c>
      <c r="J399" s="195"/>
      <c r="K399" s="190" t="s">
        <v>8</v>
      </c>
      <c r="L399" s="191">
        <v>10961322.15</v>
      </c>
    </row>
    <row r="400" spans="1:12" ht="51" x14ac:dyDescent="0.3">
      <c r="A400" s="185" t="s">
        <v>328</v>
      </c>
      <c r="B400" s="186" t="s">
        <v>2315</v>
      </c>
      <c r="C400" s="186" t="s">
        <v>2126</v>
      </c>
      <c r="D400" s="186" t="s">
        <v>2236</v>
      </c>
      <c r="E400" s="187" t="s">
        <v>42</v>
      </c>
      <c r="F400" s="193" t="s">
        <v>15</v>
      </c>
      <c r="G400" s="193"/>
      <c r="H400" s="187" t="s">
        <v>283</v>
      </c>
      <c r="I400" s="195">
        <v>967.17</v>
      </c>
      <c r="J400" s="195"/>
      <c r="K400" s="190" t="s">
        <v>8</v>
      </c>
      <c r="L400" s="191">
        <v>10960354.98</v>
      </c>
    </row>
    <row r="401" spans="1:12" ht="61.2" x14ac:dyDescent="0.3">
      <c r="A401" s="185" t="s">
        <v>328</v>
      </c>
      <c r="B401" s="186" t="s">
        <v>2315</v>
      </c>
      <c r="C401" s="186" t="s">
        <v>2126</v>
      </c>
      <c r="D401" s="186" t="s">
        <v>2317</v>
      </c>
      <c r="E401" s="187" t="s">
        <v>42</v>
      </c>
      <c r="F401" s="193" t="s">
        <v>15</v>
      </c>
      <c r="G401" s="193"/>
      <c r="H401" s="187" t="s">
        <v>283</v>
      </c>
      <c r="I401" s="195">
        <v>156</v>
      </c>
      <c r="J401" s="195"/>
      <c r="K401" s="190" t="s">
        <v>8</v>
      </c>
      <c r="L401" s="191">
        <v>10960198.98</v>
      </c>
    </row>
    <row r="402" spans="1:12" ht="51" x14ac:dyDescent="0.3">
      <c r="A402" s="185" t="s">
        <v>328</v>
      </c>
      <c r="B402" s="186" t="s">
        <v>2315</v>
      </c>
      <c r="C402" s="186" t="s">
        <v>2126</v>
      </c>
      <c r="D402" s="186" t="s">
        <v>2318</v>
      </c>
      <c r="E402" s="187" t="s">
        <v>42</v>
      </c>
      <c r="F402" s="193" t="s">
        <v>15</v>
      </c>
      <c r="G402" s="193"/>
      <c r="H402" s="187" t="s">
        <v>283</v>
      </c>
      <c r="I402" s="195">
        <v>476.33</v>
      </c>
      <c r="J402" s="195"/>
      <c r="K402" s="190" t="s">
        <v>8</v>
      </c>
      <c r="L402" s="191">
        <v>10959722.65</v>
      </c>
    </row>
    <row r="403" spans="1:12" ht="61.2" x14ac:dyDescent="0.3">
      <c r="A403" s="185" t="s">
        <v>328</v>
      </c>
      <c r="B403" s="186" t="s">
        <v>2315</v>
      </c>
      <c r="C403" s="186" t="s">
        <v>2126</v>
      </c>
      <c r="D403" s="186" t="s">
        <v>2237</v>
      </c>
      <c r="E403" s="187" t="s">
        <v>42</v>
      </c>
      <c r="F403" s="193" t="s">
        <v>15</v>
      </c>
      <c r="G403" s="193"/>
      <c r="H403" s="187" t="s">
        <v>283</v>
      </c>
      <c r="I403" s="194">
        <v>12054.26</v>
      </c>
      <c r="J403" s="194"/>
      <c r="K403" s="190" t="s">
        <v>8</v>
      </c>
      <c r="L403" s="191">
        <v>10947668.390000001</v>
      </c>
    </row>
    <row r="404" spans="1:12" ht="51" x14ac:dyDescent="0.3">
      <c r="A404" s="185" t="s">
        <v>328</v>
      </c>
      <c r="B404" s="186" t="s">
        <v>2315</v>
      </c>
      <c r="C404" s="186" t="s">
        <v>2126</v>
      </c>
      <c r="D404" s="186" t="s">
        <v>2007</v>
      </c>
      <c r="E404" s="187" t="s">
        <v>42</v>
      </c>
      <c r="F404" s="193" t="s">
        <v>15</v>
      </c>
      <c r="G404" s="193"/>
      <c r="H404" s="187" t="s">
        <v>283</v>
      </c>
      <c r="I404" s="194">
        <v>3515.5</v>
      </c>
      <c r="J404" s="194"/>
      <c r="K404" s="190" t="s">
        <v>8</v>
      </c>
      <c r="L404" s="191">
        <v>10944152.890000001</v>
      </c>
    </row>
    <row r="405" spans="1:12" ht="51" x14ac:dyDescent="0.3">
      <c r="A405" s="185" t="s">
        <v>328</v>
      </c>
      <c r="B405" s="186" t="s">
        <v>2315</v>
      </c>
      <c r="C405" s="186" t="s">
        <v>2126</v>
      </c>
      <c r="D405" s="186" t="s">
        <v>2007</v>
      </c>
      <c r="E405" s="187" t="s">
        <v>42</v>
      </c>
      <c r="F405" s="193" t="s">
        <v>15</v>
      </c>
      <c r="G405" s="193"/>
      <c r="H405" s="187" t="s">
        <v>283</v>
      </c>
      <c r="I405" s="194">
        <v>6509.6</v>
      </c>
      <c r="J405" s="194"/>
      <c r="K405" s="190" t="s">
        <v>8</v>
      </c>
      <c r="L405" s="191">
        <v>10937643.289999999</v>
      </c>
    </row>
    <row r="406" spans="1:12" ht="51" x14ac:dyDescent="0.3">
      <c r="A406" s="185" t="s">
        <v>328</v>
      </c>
      <c r="B406" s="186" t="s">
        <v>2315</v>
      </c>
      <c r="C406" s="186" t="s">
        <v>2126</v>
      </c>
      <c r="D406" s="186" t="s">
        <v>2318</v>
      </c>
      <c r="E406" s="187" t="s">
        <v>42</v>
      </c>
      <c r="F406" s="193" t="s">
        <v>15</v>
      </c>
      <c r="G406" s="193"/>
      <c r="H406" s="187" t="s">
        <v>283</v>
      </c>
      <c r="I406" s="194">
        <v>2530.52</v>
      </c>
      <c r="J406" s="194"/>
      <c r="K406" s="190" t="s">
        <v>8</v>
      </c>
      <c r="L406" s="191">
        <v>10935112.77</v>
      </c>
    </row>
    <row r="407" spans="1:12" ht="61.2" x14ac:dyDescent="0.3">
      <c r="A407" s="185" t="s">
        <v>328</v>
      </c>
      <c r="B407" s="186" t="s">
        <v>2315</v>
      </c>
      <c r="C407" s="186" t="s">
        <v>2126</v>
      </c>
      <c r="D407" s="186" t="s">
        <v>2237</v>
      </c>
      <c r="E407" s="187" t="s">
        <v>42</v>
      </c>
      <c r="F407" s="193" t="s">
        <v>15</v>
      </c>
      <c r="G407" s="193"/>
      <c r="H407" s="187" t="s">
        <v>283</v>
      </c>
      <c r="I407" s="195">
        <v>55.94</v>
      </c>
      <c r="J407" s="195"/>
      <c r="K407" s="190" t="s">
        <v>8</v>
      </c>
      <c r="L407" s="191">
        <v>10935056.83</v>
      </c>
    </row>
    <row r="408" spans="1:12" ht="61.2" x14ac:dyDescent="0.3">
      <c r="A408" s="185" t="s">
        <v>328</v>
      </c>
      <c r="B408" s="186" t="s">
        <v>2315</v>
      </c>
      <c r="C408" s="186" t="s">
        <v>2126</v>
      </c>
      <c r="D408" s="186" t="s">
        <v>2194</v>
      </c>
      <c r="E408" s="187" t="s">
        <v>42</v>
      </c>
      <c r="F408" s="193" t="s">
        <v>15</v>
      </c>
      <c r="G408" s="193"/>
      <c r="H408" s="187" t="s">
        <v>283</v>
      </c>
      <c r="I408" s="194">
        <v>4956.51</v>
      </c>
      <c r="J408" s="194"/>
      <c r="K408" s="190" t="s">
        <v>8</v>
      </c>
      <c r="L408" s="191">
        <v>10930100.32</v>
      </c>
    </row>
    <row r="409" spans="1:12" ht="61.2" x14ac:dyDescent="0.3">
      <c r="A409" s="185" t="s">
        <v>328</v>
      </c>
      <c r="B409" s="186" t="s">
        <v>2315</v>
      </c>
      <c r="C409" s="186" t="s">
        <v>2126</v>
      </c>
      <c r="D409" s="186" t="s">
        <v>2205</v>
      </c>
      <c r="E409" s="187" t="s">
        <v>42</v>
      </c>
      <c r="F409" s="193" t="s">
        <v>15</v>
      </c>
      <c r="G409" s="193"/>
      <c r="H409" s="187" t="s">
        <v>283</v>
      </c>
      <c r="I409" s="195">
        <v>155.58000000000001</v>
      </c>
      <c r="J409" s="195"/>
      <c r="K409" s="190" t="s">
        <v>8</v>
      </c>
      <c r="L409" s="191">
        <v>10929944.74</v>
      </c>
    </row>
    <row r="410" spans="1:12" ht="51" x14ac:dyDescent="0.3">
      <c r="A410" s="185" t="s">
        <v>328</v>
      </c>
      <c r="B410" s="186" t="s">
        <v>2319</v>
      </c>
      <c r="C410" s="186" t="s">
        <v>2126</v>
      </c>
      <c r="D410" s="186" t="s">
        <v>2310</v>
      </c>
      <c r="E410" s="187" t="s">
        <v>42</v>
      </c>
      <c r="F410" s="193" t="s">
        <v>15</v>
      </c>
      <c r="G410" s="193"/>
      <c r="H410" s="187" t="s">
        <v>283</v>
      </c>
      <c r="I410" s="195">
        <v>526.5</v>
      </c>
      <c r="J410" s="195"/>
      <c r="K410" s="190" t="s">
        <v>8</v>
      </c>
      <c r="L410" s="191">
        <v>10929418.24</v>
      </c>
    </row>
    <row r="411" spans="1:12" ht="51" hidden="1" x14ac:dyDescent="0.3">
      <c r="A411" s="185" t="s">
        <v>2320</v>
      </c>
      <c r="B411" s="186" t="s">
        <v>2321</v>
      </c>
      <c r="C411" s="186" t="s">
        <v>2322</v>
      </c>
      <c r="D411" s="186" t="s">
        <v>2323</v>
      </c>
      <c r="E411" s="187" t="s">
        <v>283</v>
      </c>
      <c r="F411" s="188">
        <v>11083.31</v>
      </c>
      <c r="G411" s="188"/>
      <c r="H411" s="187" t="s">
        <v>14</v>
      </c>
      <c r="I411" s="189" t="s">
        <v>15</v>
      </c>
      <c r="J411" s="189"/>
      <c r="K411" s="190" t="s">
        <v>8</v>
      </c>
      <c r="L411" s="191">
        <v>10940501.550000001</v>
      </c>
    </row>
    <row r="412" spans="1:12" hidden="1" x14ac:dyDescent="0.3">
      <c r="A412" s="196" t="s">
        <v>353</v>
      </c>
      <c r="B412" s="196"/>
      <c r="C412" s="196"/>
      <c r="D412" s="196"/>
      <c r="E412" s="197">
        <v>3015071.65</v>
      </c>
      <c r="F412" s="197"/>
      <c r="G412" s="197"/>
      <c r="H412" s="197">
        <v>4752432.95</v>
      </c>
      <c r="I412" s="197"/>
      <c r="J412" s="197"/>
      <c r="K412" s="198" t="s">
        <v>8</v>
      </c>
      <c r="L412" s="199">
        <v>10940501.550000001</v>
      </c>
    </row>
    <row r="414" spans="1:12" x14ac:dyDescent="0.3">
      <c r="J414" s="31">
        <f>SUBTOTAL(9,I28:J410)</f>
        <v>4752432.9499999974</v>
      </c>
    </row>
    <row r="416" spans="1:12" x14ac:dyDescent="0.3">
      <c r="J416" s="31">
        <f>J414*1.2</f>
        <v>5702919.5399999963</v>
      </c>
    </row>
  </sheetData>
  <autoFilter ref="B1:D412" xr:uid="{C13C3ABC-6401-4CAC-924D-598D4FB674F6}">
    <filterColumn colId="0">
      <filters>
        <filter val="Вимога-накладна ІБ00-001157 від 20.12.2025 00:00:00_x000a_Списаны ТМЦ"/>
        <filter val="Вимога-накладна ІБ00-001158 від 20.12.2025 11:27:20_x000a_Списаны ТМЦ"/>
        <filter val="Вимога-накладна ІБ00-001174 від 22.12.2025 00:00:00_x000a_Списаны ТМЦ"/>
        <filter val="Вимога-накладна ІБ00-001175 від 22.12.2025 17:34:38_x000a_Списаны ТМЦ"/>
        <filter val="Вимога-накладна ІБ00-001176 від 22.12.2025 17:34:41_x000a_Списаны ТМЦ"/>
        <filter val="Вимога-накладна ІБ00-001177 від 22.12.2025 15:44:44_x000a_Списаны ТМЦ"/>
        <filter val="Вимога-накладна ІБ00-001178 від 22.12.2025 15:50:55_x000a_Списаны ТМЦ"/>
        <filter val="Вимога-накладна ІБ00-001183 від 22.12.2025 22:34:50_x000a_Списаны ТМЦ"/>
        <filter val="Вимога-накладна ІБ00-001215 від 29.12.2025 18:37:54_x000a_Списаны ТМЦ"/>
        <filter val="Вимога-накладна ІБ00-001216 від 29.12.2025 18:37:56_x000a_Списаны ТМЦ"/>
        <filter val="Вимога-накладна ІБ00-001217 від 29.12.2025 18:37:58_x000a_Списаны ТМЦ"/>
        <filter val="Вимога-накладна ІБ00-001218 від 29.12.2025 18:38:01_x000a_Списаны ТМЦ"/>
        <filter val="Вимога-накладна ІБ00-001220 від 29.12.2025 18:38:05_x000a_Списаны ТМЦ"/>
        <filter val="Вимога-накладна ІБ00-001221 від 29.12.2025 18:39:02_x000a_Списаны ТМЦ"/>
        <filter val="Вимога-накладна ІБ00-001222 від 29.12.2025 18:39:05_x000a_Списаны ТМЦ"/>
        <filter val="Вимога-накладна ІБ00-001223 від 29.12.2025 18:39:08_x000a_Списаны ТМЦ"/>
        <filter val="Вимога-накладна ІБ00-001224 від 29.12.2025 18:39:09_x000a_Списаны ТМЦ"/>
        <filter val="Вимога-накладна ІБ00-001225 від 29.12.2025 18:40:00_x000a_Списаны ТМЦ"/>
        <filter val="Вимога-накладна ІБ00-001226 від 29.12.2025 18:41:11_x000a_Списаны ТМЦ"/>
        <filter val="Вимога-накладна ІБ00-001249 від 29.12.2025 18:42:00_x000a_Списаны ТМЦ"/>
        <filter val="Вимога-накладна ІБ00-001250 від 29.12.2025 18:43:19_x000a_Списаны ТМЦ"/>
        <filter val="Вимога-накладна ІБ00-001251 від 29.12.2025 18:45:21_x000a_Списаны ТМЦ"/>
        <filter val="Вимога-накладна ІБ00-001252 від 29.12.2025 22:40:02_x000a_Списаны ТМЦ"/>
        <filter val="Реалізація товарів і послуг ІБ00-000075 від 03.12.2025 00:00:00_x000a_Списаны ТМЦ"/>
        <filter val="Списання товарів ІБ00-000717 від 20.12.2025 18:18:54_x000a_Списаны ТМЦ"/>
        <filter val="Списання товарів ІБ00-000727 від 22.12.2025 15:51:34_x000a_Списаны ТМЦ"/>
        <filter val="Списання товарів ІБ00-000735 від 29.12.2025 18:38:00_x000a_Списаны ТМЦ"/>
        <filter val="Списання товарів ІБ00-000738 від 29.12.2025 18:39:01_x000a_Списаны ТМЦ"/>
        <filter val="Списання товарів ІБ00-000739 від 29.12.2025 18:39:04_x000a_Списаны ТМЦ"/>
        <filter val="Списання товарів ІБ00-000740 від 29.12.2025 18:39:06_x000a_Списаны ТМЦ"/>
        <filter val="Списання товарів ІБ00-000741 від 29.12.2025 22:38:10_x000a_Списаны ТМЦ"/>
        <filter val="Списання товарів ІБ00-000742 від 29.12.2025 22:38:13_x000a_Списаны ТМЦ"/>
        <filter val="Списання товарів ІБ00-000748 від 29.12.2025 22:38:17_x000a_Списаны ТМЦ"/>
        <filter val="Списання товарів ІБ00-000749 від 29.12.2025 22:38:19_x000a_Списаны ТМЦ"/>
        <filter val="Списання товарів ІБ00-000750 від 29.12.2025 22:40:00_x000a_Списаны ТМЦ"/>
        <filter val="Списання товарів ІБ00-000751 від 29.12.2025 22:41:00_x000a_Списаны ТМЦ"/>
      </filters>
    </filterColumn>
  </autoFilter>
  <mergeCells count="830">
    <mergeCell ref="A412:D412"/>
    <mergeCell ref="E412:G412"/>
    <mergeCell ref="H412:J412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1440-3A3E-43A0-8F53-1D879642E7EC}">
  <sheetPr filterMode="1"/>
  <dimension ref="A1:L163"/>
  <sheetViews>
    <sheetView topLeftCell="A133" workbookViewId="0">
      <selection activeCell="J163" sqref="J163"/>
    </sheetView>
  </sheetViews>
  <sheetFormatPr defaultRowHeight="14.4" x14ac:dyDescent="0.3"/>
  <cols>
    <col min="2" max="4" width="23.77734375" customWidth="1"/>
    <col min="10" max="10" width="9.88671875" bestFit="1" customWidth="1"/>
  </cols>
  <sheetData>
    <row r="1" spans="1:12" x14ac:dyDescent="0.3">
      <c r="A1" s="60" t="s">
        <v>0</v>
      </c>
      <c r="B1" s="61" t="s">
        <v>1</v>
      </c>
      <c r="C1" s="61" t="s">
        <v>2</v>
      </c>
      <c r="D1" s="62" t="s">
        <v>3</v>
      </c>
      <c r="E1" s="63" t="s">
        <v>4</v>
      </c>
      <c r="F1" s="63"/>
      <c r="G1" s="63"/>
      <c r="H1" s="64" t="s">
        <v>5</v>
      </c>
      <c r="I1" s="64"/>
      <c r="J1" s="64"/>
      <c r="K1" s="61" t="s">
        <v>6</v>
      </c>
      <c r="L1" s="61"/>
    </row>
    <row r="2" spans="1:12" hidden="1" x14ac:dyDescent="0.3">
      <c r="A2" s="65"/>
      <c r="B2" s="66"/>
      <c r="C2" s="66"/>
      <c r="D2" s="67"/>
      <c r="E2" s="68" t="s">
        <v>7</v>
      </c>
      <c r="F2" s="69"/>
      <c r="G2" s="69"/>
      <c r="H2" s="70" t="s">
        <v>7</v>
      </c>
      <c r="I2" s="71"/>
      <c r="J2" s="71"/>
      <c r="K2" s="65"/>
      <c r="L2" s="72"/>
    </row>
    <row r="3" spans="1:12" ht="71.400000000000006" hidden="1" x14ac:dyDescent="0.3">
      <c r="A3" s="73" t="s">
        <v>9</v>
      </c>
      <c r="B3" s="74" t="s">
        <v>534</v>
      </c>
      <c r="C3" s="74" t="s">
        <v>535</v>
      </c>
      <c r="D3" s="74" t="s">
        <v>536</v>
      </c>
      <c r="E3" s="75" t="s">
        <v>13</v>
      </c>
      <c r="F3" s="76">
        <v>826.68</v>
      </c>
      <c r="G3" s="76"/>
      <c r="H3" s="75" t="s">
        <v>14</v>
      </c>
      <c r="I3" s="77" t="s">
        <v>15</v>
      </c>
      <c r="J3" s="77"/>
      <c r="K3" s="78" t="s">
        <v>8</v>
      </c>
      <c r="L3" s="79">
        <v>214874.02</v>
      </c>
    </row>
    <row r="4" spans="1:12" ht="71.400000000000006" hidden="1" x14ac:dyDescent="0.3">
      <c r="A4" s="73" t="s">
        <v>9</v>
      </c>
      <c r="B4" s="74" t="s">
        <v>534</v>
      </c>
      <c r="C4" s="74" t="s">
        <v>537</v>
      </c>
      <c r="D4" s="74" t="s">
        <v>536</v>
      </c>
      <c r="E4" s="75" t="s">
        <v>13</v>
      </c>
      <c r="F4" s="76">
        <v>826.68</v>
      </c>
      <c r="G4" s="76"/>
      <c r="H4" s="75" t="s">
        <v>14</v>
      </c>
      <c r="I4" s="77" t="s">
        <v>15</v>
      </c>
      <c r="J4" s="77"/>
      <c r="K4" s="78" t="s">
        <v>8</v>
      </c>
      <c r="L4" s="79">
        <v>215700.7</v>
      </c>
    </row>
    <row r="5" spans="1:12" ht="71.400000000000006" hidden="1" x14ac:dyDescent="0.3">
      <c r="A5" s="73" t="s">
        <v>9</v>
      </c>
      <c r="B5" s="74" t="s">
        <v>538</v>
      </c>
      <c r="C5" s="74" t="s">
        <v>539</v>
      </c>
      <c r="D5" s="74" t="s">
        <v>540</v>
      </c>
      <c r="E5" s="75" t="s">
        <v>13</v>
      </c>
      <c r="F5" s="76">
        <v>868.35</v>
      </c>
      <c r="G5" s="76"/>
      <c r="H5" s="75" t="s">
        <v>14</v>
      </c>
      <c r="I5" s="77" t="s">
        <v>15</v>
      </c>
      <c r="J5" s="77"/>
      <c r="K5" s="78" t="s">
        <v>8</v>
      </c>
      <c r="L5" s="79">
        <v>216569.05</v>
      </c>
    </row>
    <row r="6" spans="1:12" ht="61.2" hidden="1" x14ac:dyDescent="0.3">
      <c r="A6" s="73" t="s">
        <v>9</v>
      </c>
      <c r="B6" s="74" t="s">
        <v>541</v>
      </c>
      <c r="C6" s="74" t="s">
        <v>542</v>
      </c>
      <c r="D6" s="74" t="s">
        <v>543</v>
      </c>
      <c r="E6" s="75" t="s">
        <v>13</v>
      </c>
      <c r="F6" s="80">
        <v>16393.37</v>
      </c>
      <c r="G6" s="80"/>
      <c r="H6" s="75" t="s">
        <v>14</v>
      </c>
      <c r="I6" s="77" t="s">
        <v>15</v>
      </c>
      <c r="J6" s="77"/>
      <c r="K6" s="78" t="s">
        <v>8</v>
      </c>
      <c r="L6" s="79">
        <v>232962.42</v>
      </c>
    </row>
    <row r="7" spans="1:12" ht="61.2" hidden="1" x14ac:dyDescent="0.3">
      <c r="A7" s="73" t="s">
        <v>9</v>
      </c>
      <c r="B7" s="74" t="s">
        <v>541</v>
      </c>
      <c r="C7" s="74" t="s">
        <v>544</v>
      </c>
      <c r="D7" s="74" t="s">
        <v>543</v>
      </c>
      <c r="E7" s="75" t="s">
        <v>13</v>
      </c>
      <c r="F7" s="80">
        <v>2131.66</v>
      </c>
      <c r="G7" s="80"/>
      <c r="H7" s="75" t="s">
        <v>14</v>
      </c>
      <c r="I7" s="77" t="s">
        <v>15</v>
      </c>
      <c r="J7" s="77"/>
      <c r="K7" s="78" t="s">
        <v>8</v>
      </c>
      <c r="L7" s="79">
        <v>235094.08</v>
      </c>
    </row>
    <row r="8" spans="1:12" ht="61.2" hidden="1" x14ac:dyDescent="0.3">
      <c r="A8" s="73" t="s">
        <v>9</v>
      </c>
      <c r="B8" s="74" t="s">
        <v>545</v>
      </c>
      <c r="C8" s="74" t="s">
        <v>256</v>
      </c>
      <c r="D8" s="74" t="s">
        <v>543</v>
      </c>
      <c r="E8" s="75" t="s">
        <v>13</v>
      </c>
      <c r="F8" s="76">
        <v>929.3</v>
      </c>
      <c r="G8" s="76"/>
      <c r="H8" s="75" t="s">
        <v>14</v>
      </c>
      <c r="I8" s="77" t="s">
        <v>15</v>
      </c>
      <c r="J8" s="77"/>
      <c r="K8" s="78" t="s">
        <v>8</v>
      </c>
      <c r="L8" s="79">
        <v>236023.38</v>
      </c>
    </row>
    <row r="9" spans="1:12" ht="81.599999999999994" hidden="1" x14ac:dyDescent="0.3">
      <c r="A9" s="73" t="s">
        <v>9</v>
      </c>
      <c r="B9" s="74" t="s">
        <v>545</v>
      </c>
      <c r="C9" s="74" t="s">
        <v>546</v>
      </c>
      <c r="D9" s="74" t="s">
        <v>543</v>
      </c>
      <c r="E9" s="75" t="s">
        <v>13</v>
      </c>
      <c r="F9" s="76">
        <v>184.72</v>
      </c>
      <c r="G9" s="76"/>
      <c r="H9" s="75" t="s">
        <v>14</v>
      </c>
      <c r="I9" s="77" t="s">
        <v>15</v>
      </c>
      <c r="J9" s="77"/>
      <c r="K9" s="78" t="s">
        <v>8</v>
      </c>
      <c r="L9" s="79">
        <v>236208.1</v>
      </c>
    </row>
    <row r="10" spans="1:12" ht="81.599999999999994" hidden="1" x14ac:dyDescent="0.3">
      <c r="A10" s="73" t="s">
        <v>9</v>
      </c>
      <c r="B10" s="74" t="s">
        <v>545</v>
      </c>
      <c r="C10" s="74" t="s">
        <v>547</v>
      </c>
      <c r="D10" s="74" t="s">
        <v>543</v>
      </c>
      <c r="E10" s="75" t="s">
        <v>13</v>
      </c>
      <c r="F10" s="76">
        <v>171.24</v>
      </c>
      <c r="G10" s="76"/>
      <c r="H10" s="75" t="s">
        <v>14</v>
      </c>
      <c r="I10" s="77" t="s">
        <v>15</v>
      </c>
      <c r="J10" s="77"/>
      <c r="K10" s="78" t="s">
        <v>8</v>
      </c>
      <c r="L10" s="79">
        <v>236379.34</v>
      </c>
    </row>
    <row r="11" spans="1:12" ht="71.400000000000006" hidden="1" x14ac:dyDescent="0.3">
      <c r="A11" s="73" t="s">
        <v>9</v>
      </c>
      <c r="B11" s="74" t="s">
        <v>545</v>
      </c>
      <c r="C11" s="74" t="s">
        <v>548</v>
      </c>
      <c r="D11" s="74" t="s">
        <v>543</v>
      </c>
      <c r="E11" s="75" t="s">
        <v>13</v>
      </c>
      <c r="F11" s="76">
        <v>233.64</v>
      </c>
      <c r="G11" s="76"/>
      <c r="H11" s="75" t="s">
        <v>14</v>
      </c>
      <c r="I11" s="77" t="s">
        <v>15</v>
      </c>
      <c r="J11" s="77"/>
      <c r="K11" s="78" t="s">
        <v>8</v>
      </c>
      <c r="L11" s="79">
        <v>236612.98</v>
      </c>
    </row>
    <row r="12" spans="1:12" ht="71.400000000000006" hidden="1" x14ac:dyDescent="0.3">
      <c r="A12" s="73" t="s">
        <v>9</v>
      </c>
      <c r="B12" s="74" t="s">
        <v>545</v>
      </c>
      <c r="C12" s="74" t="s">
        <v>549</v>
      </c>
      <c r="D12" s="74" t="s">
        <v>543</v>
      </c>
      <c r="E12" s="75" t="s">
        <v>13</v>
      </c>
      <c r="F12" s="76">
        <v>38.840000000000003</v>
      </c>
      <c r="G12" s="76"/>
      <c r="H12" s="75" t="s">
        <v>14</v>
      </c>
      <c r="I12" s="77" t="s">
        <v>15</v>
      </c>
      <c r="J12" s="77"/>
      <c r="K12" s="78" t="s">
        <v>8</v>
      </c>
      <c r="L12" s="79">
        <v>236651.82</v>
      </c>
    </row>
    <row r="13" spans="1:12" ht="81.599999999999994" hidden="1" x14ac:dyDescent="0.3">
      <c r="A13" s="73" t="s">
        <v>9</v>
      </c>
      <c r="B13" s="74" t="s">
        <v>545</v>
      </c>
      <c r="C13" s="74" t="s">
        <v>550</v>
      </c>
      <c r="D13" s="74" t="s">
        <v>543</v>
      </c>
      <c r="E13" s="75" t="s">
        <v>13</v>
      </c>
      <c r="F13" s="76">
        <v>24.74</v>
      </c>
      <c r="G13" s="76"/>
      <c r="H13" s="75" t="s">
        <v>14</v>
      </c>
      <c r="I13" s="77" t="s">
        <v>15</v>
      </c>
      <c r="J13" s="77"/>
      <c r="K13" s="78" t="s">
        <v>8</v>
      </c>
      <c r="L13" s="79">
        <v>236676.56</v>
      </c>
    </row>
    <row r="14" spans="1:12" ht="71.400000000000006" hidden="1" x14ac:dyDescent="0.3">
      <c r="A14" s="73" t="s">
        <v>9</v>
      </c>
      <c r="B14" s="74" t="s">
        <v>545</v>
      </c>
      <c r="C14" s="74" t="s">
        <v>551</v>
      </c>
      <c r="D14" s="74" t="s">
        <v>543</v>
      </c>
      <c r="E14" s="75" t="s">
        <v>13</v>
      </c>
      <c r="F14" s="76">
        <v>18.73</v>
      </c>
      <c r="G14" s="76"/>
      <c r="H14" s="75" t="s">
        <v>14</v>
      </c>
      <c r="I14" s="77" t="s">
        <v>15</v>
      </c>
      <c r="J14" s="77"/>
      <c r="K14" s="78" t="s">
        <v>8</v>
      </c>
      <c r="L14" s="79">
        <v>236695.29</v>
      </c>
    </row>
    <row r="15" spans="1:12" ht="71.400000000000006" hidden="1" x14ac:dyDescent="0.3">
      <c r="A15" s="73" t="s">
        <v>9</v>
      </c>
      <c r="B15" s="74" t="s">
        <v>552</v>
      </c>
      <c r="C15" s="74" t="s">
        <v>553</v>
      </c>
      <c r="D15" s="74" t="s">
        <v>554</v>
      </c>
      <c r="E15" s="75" t="s">
        <v>13</v>
      </c>
      <c r="F15" s="76">
        <v>148</v>
      </c>
      <c r="G15" s="76"/>
      <c r="H15" s="75" t="s">
        <v>14</v>
      </c>
      <c r="I15" s="77" t="s">
        <v>15</v>
      </c>
      <c r="J15" s="77"/>
      <c r="K15" s="78" t="s">
        <v>8</v>
      </c>
      <c r="L15" s="79">
        <v>236843.29</v>
      </c>
    </row>
    <row r="16" spans="1:12" ht="71.400000000000006" hidden="1" x14ac:dyDescent="0.3">
      <c r="A16" s="73" t="s">
        <v>9</v>
      </c>
      <c r="B16" s="74" t="s">
        <v>555</v>
      </c>
      <c r="C16" s="74" t="s">
        <v>556</v>
      </c>
      <c r="D16" s="74" t="s">
        <v>557</v>
      </c>
      <c r="E16" s="75" t="s">
        <v>13</v>
      </c>
      <c r="F16" s="80">
        <v>1585</v>
      </c>
      <c r="G16" s="80"/>
      <c r="H16" s="75" t="s">
        <v>14</v>
      </c>
      <c r="I16" s="77" t="s">
        <v>15</v>
      </c>
      <c r="J16" s="77"/>
      <c r="K16" s="78" t="s">
        <v>8</v>
      </c>
      <c r="L16" s="79">
        <v>238428.29</v>
      </c>
    </row>
    <row r="17" spans="1:12" ht="71.400000000000006" hidden="1" x14ac:dyDescent="0.3">
      <c r="A17" s="73" t="s">
        <v>9</v>
      </c>
      <c r="B17" s="74" t="s">
        <v>558</v>
      </c>
      <c r="C17" s="74" t="s">
        <v>559</v>
      </c>
      <c r="D17" s="74" t="s">
        <v>560</v>
      </c>
      <c r="E17" s="75" t="s">
        <v>13</v>
      </c>
      <c r="F17" s="76">
        <v>595.70000000000005</v>
      </c>
      <c r="G17" s="76"/>
      <c r="H17" s="75" t="s">
        <v>14</v>
      </c>
      <c r="I17" s="77" t="s">
        <v>15</v>
      </c>
      <c r="J17" s="77"/>
      <c r="K17" s="78" t="s">
        <v>8</v>
      </c>
      <c r="L17" s="79">
        <v>239023.99</v>
      </c>
    </row>
    <row r="18" spans="1:12" ht="61.2" hidden="1" x14ac:dyDescent="0.3">
      <c r="A18" s="73" t="s">
        <v>9</v>
      </c>
      <c r="B18" s="74" t="s">
        <v>558</v>
      </c>
      <c r="C18" s="74" t="s">
        <v>561</v>
      </c>
      <c r="D18" s="74" t="s">
        <v>560</v>
      </c>
      <c r="E18" s="75" t="s">
        <v>13</v>
      </c>
      <c r="F18" s="76">
        <v>531.5</v>
      </c>
      <c r="G18" s="76"/>
      <c r="H18" s="75" t="s">
        <v>14</v>
      </c>
      <c r="I18" s="77" t="s">
        <v>15</v>
      </c>
      <c r="J18" s="77"/>
      <c r="K18" s="78" t="s">
        <v>8</v>
      </c>
      <c r="L18" s="79">
        <v>239555.49</v>
      </c>
    </row>
    <row r="19" spans="1:12" ht="71.400000000000006" hidden="1" x14ac:dyDescent="0.3">
      <c r="A19" s="73" t="s">
        <v>9</v>
      </c>
      <c r="B19" s="74" t="s">
        <v>558</v>
      </c>
      <c r="C19" s="74" t="s">
        <v>562</v>
      </c>
      <c r="D19" s="74" t="s">
        <v>560</v>
      </c>
      <c r="E19" s="75" t="s">
        <v>13</v>
      </c>
      <c r="F19" s="76">
        <v>310.5</v>
      </c>
      <c r="G19" s="76"/>
      <c r="H19" s="75" t="s">
        <v>14</v>
      </c>
      <c r="I19" s="77" t="s">
        <v>15</v>
      </c>
      <c r="J19" s="77"/>
      <c r="K19" s="78" t="s">
        <v>8</v>
      </c>
      <c r="L19" s="79">
        <v>239865.99</v>
      </c>
    </row>
    <row r="20" spans="1:12" ht="71.400000000000006" hidden="1" x14ac:dyDescent="0.3">
      <c r="A20" s="73" t="s">
        <v>9</v>
      </c>
      <c r="B20" s="74" t="s">
        <v>558</v>
      </c>
      <c r="C20" s="74" t="s">
        <v>563</v>
      </c>
      <c r="D20" s="74" t="s">
        <v>560</v>
      </c>
      <c r="E20" s="75" t="s">
        <v>13</v>
      </c>
      <c r="F20" s="80">
        <v>1698.5</v>
      </c>
      <c r="G20" s="80"/>
      <c r="H20" s="75" t="s">
        <v>14</v>
      </c>
      <c r="I20" s="77" t="s">
        <v>15</v>
      </c>
      <c r="J20" s="77"/>
      <c r="K20" s="78" t="s">
        <v>8</v>
      </c>
      <c r="L20" s="79">
        <v>241564.49</v>
      </c>
    </row>
    <row r="21" spans="1:12" ht="61.2" hidden="1" x14ac:dyDescent="0.3">
      <c r="A21" s="73" t="s">
        <v>9</v>
      </c>
      <c r="B21" s="74" t="s">
        <v>558</v>
      </c>
      <c r="C21" s="74" t="s">
        <v>278</v>
      </c>
      <c r="D21" s="74" t="s">
        <v>560</v>
      </c>
      <c r="E21" s="75" t="s">
        <v>13</v>
      </c>
      <c r="F21" s="80">
        <v>1215.5</v>
      </c>
      <c r="G21" s="80"/>
      <c r="H21" s="75" t="s">
        <v>14</v>
      </c>
      <c r="I21" s="77" t="s">
        <v>15</v>
      </c>
      <c r="J21" s="77"/>
      <c r="K21" s="78" t="s">
        <v>8</v>
      </c>
      <c r="L21" s="79">
        <v>242779.99</v>
      </c>
    </row>
    <row r="22" spans="1:12" ht="61.2" hidden="1" x14ac:dyDescent="0.3">
      <c r="A22" s="73" t="s">
        <v>9</v>
      </c>
      <c r="B22" s="74" t="s">
        <v>558</v>
      </c>
      <c r="C22" s="74" t="s">
        <v>564</v>
      </c>
      <c r="D22" s="74" t="s">
        <v>560</v>
      </c>
      <c r="E22" s="75" t="s">
        <v>13</v>
      </c>
      <c r="F22" s="76">
        <v>120.85</v>
      </c>
      <c r="G22" s="76"/>
      <c r="H22" s="75" t="s">
        <v>14</v>
      </c>
      <c r="I22" s="77" t="s">
        <v>15</v>
      </c>
      <c r="J22" s="77"/>
      <c r="K22" s="78" t="s">
        <v>8</v>
      </c>
      <c r="L22" s="79">
        <v>242900.84</v>
      </c>
    </row>
    <row r="23" spans="1:12" ht="61.2" hidden="1" x14ac:dyDescent="0.3">
      <c r="A23" s="73" t="s">
        <v>9</v>
      </c>
      <c r="B23" s="74" t="s">
        <v>558</v>
      </c>
      <c r="C23" s="74" t="s">
        <v>565</v>
      </c>
      <c r="D23" s="74" t="s">
        <v>560</v>
      </c>
      <c r="E23" s="75" t="s">
        <v>13</v>
      </c>
      <c r="F23" s="76">
        <v>806.25</v>
      </c>
      <c r="G23" s="76"/>
      <c r="H23" s="75" t="s">
        <v>14</v>
      </c>
      <c r="I23" s="77" t="s">
        <v>15</v>
      </c>
      <c r="J23" s="77"/>
      <c r="K23" s="78" t="s">
        <v>8</v>
      </c>
      <c r="L23" s="79">
        <v>243707.09</v>
      </c>
    </row>
    <row r="24" spans="1:12" ht="61.2" hidden="1" x14ac:dyDescent="0.3">
      <c r="A24" s="73" t="s">
        <v>9</v>
      </c>
      <c r="B24" s="74" t="s">
        <v>558</v>
      </c>
      <c r="C24" s="74" t="s">
        <v>566</v>
      </c>
      <c r="D24" s="74" t="s">
        <v>560</v>
      </c>
      <c r="E24" s="75" t="s">
        <v>13</v>
      </c>
      <c r="F24" s="76">
        <v>542.4</v>
      </c>
      <c r="G24" s="76"/>
      <c r="H24" s="75" t="s">
        <v>14</v>
      </c>
      <c r="I24" s="77" t="s">
        <v>15</v>
      </c>
      <c r="J24" s="77"/>
      <c r="K24" s="78" t="s">
        <v>8</v>
      </c>
      <c r="L24" s="79">
        <v>244249.49</v>
      </c>
    </row>
    <row r="25" spans="1:12" ht="61.2" hidden="1" x14ac:dyDescent="0.3">
      <c r="A25" s="73" t="s">
        <v>9</v>
      </c>
      <c r="B25" s="74" t="s">
        <v>558</v>
      </c>
      <c r="C25" s="74" t="s">
        <v>567</v>
      </c>
      <c r="D25" s="74" t="s">
        <v>560</v>
      </c>
      <c r="E25" s="75" t="s">
        <v>13</v>
      </c>
      <c r="F25" s="76">
        <v>334.8</v>
      </c>
      <c r="G25" s="76"/>
      <c r="H25" s="75" t="s">
        <v>14</v>
      </c>
      <c r="I25" s="77" t="s">
        <v>15</v>
      </c>
      <c r="J25" s="77"/>
      <c r="K25" s="78" t="s">
        <v>8</v>
      </c>
      <c r="L25" s="79">
        <v>244584.29</v>
      </c>
    </row>
    <row r="26" spans="1:12" ht="71.400000000000006" hidden="1" x14ac:dyDescent="0.3">
      <c r="A26" s="73" t="s">
        <v>9</v>
      </c>
      <c r="B26" s="74" t="s">
        <v>558</v>
      </c>
      <c r="C26" s="74" t="s">
        <v>568</v>
      </c>
      <c r="D26" s="74" t="s">
        <v>560</v>
      </c>
      <c r="E26" s="75" t="s">
        <v>13</v>
      </c>
      <c r="F26" s="80">
        <v>11280</v>
      </c>
      <c r="G26" s="80"/>
      <c r="H26" s="75" t="s">
        <v>14</v>
      </c>
      <c r="I26" s="77" t="s">
        <v>15</v>
      </c>
      <c r="J26" s="77"/>
      <c r="K26" s="78" t="s">
        <v>8</v>
      </c>
      <c r="L26" s="79">
        <v>255864.29</v>
      </c>
    </row>
    <row r="27" spans="1:12" ht="71.400000000000006" hidden="1" x14ac:dyDescent="0.3">
      <c r="A27" s="73" t="s">
        <v>9</v>
      </c>
      <c r="B27" s="74" t="s">
        <v>558</v>
      </c>
      <c r="C27" s="74" t="s">
        <v>569</v>
      </c>
      <c r="D27" s="74" t="s">
        <v>560</v>
      </c>
      <c r="E27" s="75" t="s">
        <v>13</v>
      </c>
      <c r="F27" s="80">
        <v>13323.75</v>
      </c>
      <c r="G27" s="80"/>
      <c r="H27" s="75" t="s">
        <v>14</v>
      </c>
      <c r="I27" s="77" t="s">
        <v>15</v>
      </c>
      <c r="J27" s="77"/>
      <c r="K27" s="78" t="s">
        <v>8</v>
      </c>
      <c r="L27" s="79">
        <v>269188.03999999998</v>
      </c>
    </row>
    <row r="28" spans="1:12" ht="61.2" hidden="1" x14ac:dyDescent="0.3">
      <c r="A28" s="73" t="s">
        <v>9</v>
      </c>
      <c r="B28" s="74" t="s">
        <v>558</v>
      </c>
      <c r="C28" s="74" t="s">
        <v>570</v>
      </c>
      <c r="D28" s="74" t="s">
        <v>560</v>
      </c>
      <c r="E28" s="75" t="s">
        <v>13</v>
      </c>
      <c r="F28" s="76">
        <v>229.25</v>
      </c>
      <c r="G28" s="76"/>
      <c r="H28" s="75" t="s">
        <v>14</v>
      </c>
      <c r="I28" s="77" t="s">
        <v>15</v>
      </c>
      <c r="J28" s="77"/>
      <c r="K28" s="78" t="s">
        <v>8</v>
      </c>
      <c r="L28" s="79">
        <v>269417.28999999998</v>
      </c>
    </row>
    <row r="29" spans="1:12" ht="61.2" hidden="1" x14ac:dyDescent="0.3">
      <c r="A29" s="73" t="s">
        <v>9</v>
      </c>
      <c r="B29" s="74" t="s">
        <v>558</v>
      </c>
      <c r="C29" s="74" t="s">
        <v>571</v>
      </c>
      <c r="D29" s="74" t="s">
        <v>560</v>
      </c>
      <c r="E29" s="75" t="s">
        <v>13</v>
      </c>
      <c r="F29" s="76">
        <v>156.6</v>
      </c>
      <c r="G29" s="76"/>
      <c r="H29" s="75" t="s">
        <v>14</v>
      </c>
      <c r="I29" s="77" t="s">
        <v>15</v>
      </c>
      <c r="J29" s="77"/>
      <c r="K29" s="78" t="s">
        <v>8</v>
      </c>
      <c r="L29" s="79">
        <v>269573.89</v>
      </c>
    </row>
    <row r="30" spans="1:12" ht="61.2" hidden="1" x14ac:dyDescent="0.3">
      <c r="A30" s="73" t="s">
        <v>9</v>
      </c>
      <c r="B30" s="74" t="s">
        <v>572</v>
      </c>
      <c r="C30" s="74" t="s">
        <v>573</v>
      </c>
      <c r="D30" s="74" t="s">
        <v>560</v>
      </c>
      <c r="E30" s="75" t="s">
        <v>13</v>
      </c>
      <c r="F30" s="76">
        <v>148.22999999999999</v>
      </c>
      <c r="G30" s="76"/>
      <c r="H30" s="75" t="s">
        <v>14</v>
      </c>
      <c r="I30" s="77" t="s">
        <v>15</v>
      </c>
      <c r="J30" s="77"/>
      <c r="K30" s="78" t="s">
        <v>8</v>
      </c>
      <c r="L30" s="79">
        <v>269722.12</v>
      </c>
    </row>
    <row r="31" spans="1:12" ht="61.2" hidden="1" x14ac:dyDescent="0.3">
      <c r="A31" s="73" t="s">
        <v>9</v>
      </c>
      <c r="B31" s="74" t="s">
        <v>558</v>
      </c>
      <c r="C31" s="74" t="s">
        <v>573</v>
      </c>
      <c r="D31" s="74" t="s">
        <v>560</v>
      </c>
      <c r="E31" s="75" t="s">
        <v>13</v>
      </c>
      <c r="F31" s="76">
        <v>766.27</v>
      </c>
      <c r="G31" s="76"/>
      <c r="H31" s="75" t="s">
        <v>14</v>
      </c>
      <c r="I31" s="77" t="s">
        <v>15</v>
      </c>
      <c r="J31" s="77"/>
      <c r="K31" s="78" t="s">
        <v>8</v>
      </c>
      <c r="L31" s="79">
        <v>270488.39</v>
      </c>
    </row>
    <row r="32" spans="1:12" ht="71.400000000000006" hidden="1" x14ac:dyDescent="0.3">
      <c r="A32" s="73" t="s">
        <v>9</v>
      </c>
      <c r="B32" s="74" t="s">
        <v>572</v>
      </c>
      <c r="C32" s="74" t="s">
        <v>574</v>
      </c>
      <c r="D32" s="74" t="s">
        <v>560</v>
      </c>
      <c r="E32" s="75" t="s">
        <v>13</v>
      </c>
      <c r="F32" s="80">
        <v>4770</v>
      </c>
      <c r="G32" s="80"/>
      <c r="H32" s="75" t="s">
        <v>14</v>
      </c>
      <c r="I32" s="77" t="s">
        <v>15</v>
      </c>
      <c r="J32" s="77"/>
      <c r="K32" s="78" t="s">
        <v>8</v>
      </c>
      <c r="L32" s="79">
        <v>275258.39</v>
      </c>
    </row>
    <row r="33" spans="1:12" ht="71.400000000000006" hidden="1" x14ac:dyDescent="0.3">
      <c r="A33" s="73" t="s">
        <v>9</v>
      </c>
      <c r="B33" s="74" t="s">
        <v>572</v>
      </c>
      <c r="C33" s="74" t="s">
        <v>575</v>
      </c>
      <c r="D33" s="74" t="s">
        <v>560</v>
      </c>
      <c r="E33" s="75" t="s">
        <v>13</v>
      </c>
      <c r="F33" s="80">
        <v>2175</v>
      </c>
      <c r="G33" s="80"/>
      <c r="H33" s="75" t="s">
        <v>14</v>
      </c>
      <c r="I33" s="77" t="s">
        <v>15</v>
      </c>
      <c r="J33" s="77"/>
      <c r="K33" s="78" t="s">
        <v>8</v>
      </c>
      <c r="L33" s="79">
        <v>277433.39</v>
      </c>
    </row>
    <row r="34" spans="1:12" ht="61.2" hidden="1" x14ac:dyDescent="0.3">
      <c r="A34" s="73" t="s">
        <v>9</v>
      </c>
      <c r="B34" s="74" t="s">
        <v>572</v>
      </c>
      <c r="C34" s="74" t="s">
        <v>576</v>
      </c>
      <c r="D34" s="74" t="s">
        <v>560</v>
      </c>
      <c r="E34" s="75" t="s">
        <v>13</v>
      </c>
      <c r="F34" s="76">
        <v>725.1</v>
      </c>
      <c r="G34" s="76"/>
      <c r="H34" s="75" t="s">
        <v>14</v>
      </c>
      <c r="I34" s="77" t="s">
        <v>15</v>
      </c>
      <c r="J34" s="77"/>
      <c r="K34" s="78" t="s">
        <v>8</v>
      </c>
      <c r="L34" s="79">
        <v>278158.49</v>
      </c>
    </row>
    <row r="35" spans="1:12" ht="71.400000000000006" hidden="1" x14ac:dyDescent="0.3">
      <c r="A35" s="73" t="s">
        <v>9</v>
      </c>
      <c r="B35" s="74" t="s">
        <v>577</v>
      </c>
      <c r="C35" s="74" t="s">
        <v>578</v>
      </c>
      <c r="D35" s="74" t="s">
        <v>579</v>
      </c>
      <c r="E35" s="75" t="s">
        <v>13</v>
      </c>
      <c r="F35" s="76">
        <v>255.05</v>
      </c>
      <c r="G35" s="76"/>
      <c r="H35" s="75" t="s">
        <v>14</v>
      </c>
      <c r="I35" s="77" t="s">
        <v>15</v>
      </c>
      <c r="J35" s="77"/>
      <c r="K35" s="78" t="s">
        <v>8</v>
      </c>
      <c r="L35" s="79">
        <v>278413.53999999998</v>
      </c>
    </row>
    <row r="36" spans="1:12" ht="71.400000000000006" hidden="1" x14ac:dyDescent="0.3">
      <c r="A36" s="73" t="s">
        <v>9</v>
      </c>
      <c r="B36" s="74" t="s">
        <v>580</v>
      </c>
      <c r="C36" s="74" t="s">
        <v>581</v>
      </c>
      <c r="D36" s="74" t="s">
        <v>582</v>
      </c>
      <c r="E36" s="75" t="s">
        <v>13</v>
      </c>
      <c r="F36" s="76">
        <v>140.1</v>
      </c>
      <c r="G36" s="76"/>
      <c r="H36" s="75" t="s">
        <v>14</v>
      </c>
      <c r="I36" s="77" t="s">
        <v>15</v>
      </c>
      <c r="J36" s="77"/>
      <c r="K36" s="78" t="s">
        <v>8</v>
      </c>
      <c r="L36" s="79">
        <v>278553.64</v>
      </c>
    </row>
    <row r="37" spans="1:12" ht="61.2" hidden="1" x14ac:dyDescent="0.3">
      <c r="A37" s="73" t="s">
        <v>9</v>
      </c>
      <c r="B37" s="74" t="s">
        <v>583</v>
      </c>
      <c r="C37" s="74" t="s">
        <v>584</v>
      </c>
      <c r="D37" s="74" t="s">
        <v>585</v>
      </c>
      <c r="E37" s="75" t="s">
        <v>13</v>
      </c>
      <c r="F37" s="80">
        <v>1966.8</v>
      </c>
      <c r="G37" s="80"/>
      <c r="H37" s="75" t="s">
        <v>14</v>
      </c>
      <c r="I37" s="77" t="s">
        <v>15</v>
      </c>
      <c r="J37" s="77"/>
      <c r="K37" s="78" t="s">
        <v>8</v>
      </c>
      <c r="L37" s="79">
        <v>280520.44</v>
      </c>
    </row>
    <row r="38" spans="1:12" ht="61.2" hidden="1" x14ac:dyDescent="0.3">
      <c r="A38" s="73" t="s">
        <v>9</v>
      </c>
      <c r="B38" s="74" t="s">
        <v>583</v>
      </c>
      <c r="C38" s="74" t="s">
        <v>586</v>
      </c>
      <c r="D38" s="74" t="s">
        <v>585</v>
      </c>
      <c r="E38" s="75" t="s">
        <v>13</v>
      </c>
      <c r="F38" s="80">
        <v>4200</v>
      </c>
      <c r="G38" s="80"/>
      <c r="H38" s="75" t="s">
        <v>14</v>
      </c>
      <c r="I38" s="77" t="s">
        <v>15</v>
      </c>
      <c r="J38" s="77"/>
      <c r="K38" s="78" t="s">
        <v>8</v>
      </c>
      <c r="L38" s="79">
        <v>284720.44</v>
      </c>
    </row>
    <row r="39" spans="1:12" ht="61.2" hidden="1" x14ac:dyDescent="0.3">
      <c r="A39" s="73" t="s">
        <v>9</v>
      </c>
      <c r="B39" s="74" t="s">
        <v>583</v>
      </c>
      <c r="C39" s="74" t="s">
        <v>272</v>
      </c>
      <c r="D39" s="74" t="s">
        <v>585</v>
      </c>
      <c r="E39" s="75" t="s">
        <v>13</v>
      </c>
      <c r="F39" s="80">
        <v>3073.6</v>
      </c>
      <c r="G39" s="80"/>
      <c r="H39" s="75" t="s">
        <v>14</v>
      </c>
      <c r="I39" s="77" t="s">
        <v>15</v>
      </c>
      <c r="J39" s="77"/>
      <c r="K39" s="78" t="s">
        <v>8</v>
      </c>
      <c r="L39" s="79">
        <v>287794.03999999998</v>
      </c>
    </row>
    <row r="40" spans="1:12" ht="61.2" hidden="1" x14ac:dyDescent="0.3">
      <c r="A40" s="73" t="s">
        <v>9</v>
      </c>
      <c r="B40" s="74" t="s">
        <v>587</v>
      </c>
      <c r="C40" s="74" t="s">
        <v>588</v>
      </c>
      <c r="D40" s="74" t="s">
        <v>589</v>
      </c>
      <c r="E40" s="75" t="s">
        <v>13</v>
      </c>
      <c r="F40" s="80">
        <v>5593.12</v>
      </c>
      <c r="G40" s="80"/>
      <c r="H40" s="75" t="s">
        <v>14</v>
      </c>
      <c r="I40" s="77" t="s">
        <v>15</v>
      </c>
      <c r="J40" s="77"/>
      <c r="K40" s="78" t="s">
        <v>8</v>
      </c>
      <c r="L40" s="79">
        <v>293387.15999999997</v>
      </c>
    </row>
    <row r="41" spans="1:12" ht="61.2" hidden="1" x14ac:dyDescent="0.3">
      <c r="A41" s="73" t="s">
        <v>9</v>
      </c>
      <c r="B41" s="74" t="s">
        <v>587</v>
      </c>
      <c r="C41" s="74" t="s">
        <v>590</v>
      </c>
      <c r="D41" s="74" t="s">
        <v>589</v>
      </c>
      <c r="E41" s="75" t="s">
        <v>13</v>
      </c>
      <c r="F41" s="80">
        <v>5985.16</v>
      </c>
      <c r="G41" s="80"/>
      <c r="H41" s="75" t="s">
        <v>14</v>
      </c>
      <c r="I41" s="77" t="s">
        <v>15</v>
      </c>
      <c r="J41" s="77"/>
      <c r="K41" s="78" t="s">
        <v>8</v>
      </c>
      <c r="L41" s="79">
        <v>299372.32</v>
      </c>
    </row>
    <row r="42" spans="1:12" ht="61.2" hidden="1" x14ac:dyDescent="0.3">
      <c r="A42" s="73" t="s">
        <v>591</v>
      </c>
      <c r="B42" s="74" t="s">
        <v>592</v>
      </c>
      <c r="C42" s="74" t="s">
        <v>593</v>
      </c>
      <c r="D42" s="74" t="s">
        <v>567</v>
      </c>
      <c r="E42" s="75" t="s">
        <v>283</v>
      </c>
      <c r="F42" s="81" t="s">
        <v>15</v>
      </c>
      <c r="G42" s="81"/>
      <c r="H42" s="75" t="s">
        <v>13</v>
      </c>
      <c r="I42" s="82">
        <v>167.4</v>
      </c>
      <c r="J42" s="82"/>
      <c r="K42" s="78" t="s">
        <v>8</v>
      </c>
      <c r="L42" s="79">
        <v>299204.92</v>
      </c>
    </row>
    <row r="43" spans="1:12" ht="61.2" hidden="1" x14ac:dyDescent="0.3">
      <c r="A43" s="73" t="s">
        <v>591</v>
      </c>
      <c r="B43" s="74" t="s">
        <v>594</v>
      </c>
      <c r="C43" s="74" t="s">
        <v>595</v>
      </c>
      <c r="D43" s="74" t="s">
        <v>596</v>
      </c>
      <c r="E43" s="75" t="s">
        <v>13</v>
      </c>
      <c r="F43" s="80">
        <v>1452.5</v>
      </c>
      <c r="G43" s="80"/>
      <c r="H43" s="75" t="s">
        <v>14</v>
      </c>
      <c r="I43" s="77" t="s">
        <v>15</v>
      </c>
      <c r="J43" s="77"/>
      <c r="K43" s="78" t="s">
        <v>8</v>
      </c>
      <c r="L43" s="79">
        <v>300657.42</v>
      </c>
    </row>
    <row r="44" spans="1:12" ht="81.599999999999994" hidden="1" x14ac:dyDescent="0.3">
      <c r="A44" s="73" t="s">
        <v>591</v>
      </c>
      <c r="B44" s="74" t="s">
        <v>594</v>
      </c>
      <c r="C44" s="74" t="s">
        <v>266</v>
      </c>
      <c r="D44" s="74" t="s">
        <v>596</v>
      </c>
      <c r="E44" s="75" t="s">
        <v>13</v>
      </c>
      <c r="F44" s="80">
        <v>1150.2</v>
      </c>
      <c r="G44" s="80"/>
      <c r="H44" s="75" t="s">
        <v>14</v>
      </c>
      <c r="I44" s="77" t="s">
        <v>15</v>
      </c>
      <c r="J44" s="77"/>
      <c r="K44" s="78" t="s">
        <v>8</v>
      </c>
      <c r="L44" s="79">
        <v>301807.62</v>
      </c>
    </row>
    <row r="45" spans="1:12" ht="71.400000000000006" hidden="1" x14ac:dyDescent="0.3">
      <c r="A45" s="73" t="s">
        <v>591</v>
      </c>
      <c r="B45" s="74" t="s">
        <v>594</v>
      </c>
      <c r="C45" s="74" t="s">
        <v>597</v>
      </c>
      <c r="D45" s="74" t="s">
        <v>596</v>
      </c>
      <c r="E45" s="75" t="s">
        <v>13</v>
      </c>
      <c r="F45" s="76">
        <v>824</v>
      </c>
      <c r="G45" s="76"/>
      <c r="H45" s="75" t="s">
        <v>14</v>
      </c>
      <c r="I45" s="77" t="s">
        <v>15</v>
      </c>
      <c r="J45" s="77"/>
      <c r="K45" s="78" t="s">
        <v>8</v>
      </c>
      <c r="L45" s="79">
        <v>302631.62</v>
      </c>
    </row>
    <row r="46" spans="1:12" ht="71.400000000000006" hidden="1" x14ac:dyDescent="0.3">
      <c r="A46" s="73" t="s">
        <v>591</v>
      </c>
      <c r="B46" s="74" t="s">
        <v>598</v>
      </c>
      <c r="C46" s="74" t="s">
        <v>599</v>
      </c>
      <c r="D46" s="74" t="s">
        <v>543</v>
      </c>
      <c r="E46" s="75" t="s">
        <v>13</v>
      </c>
      <c r="F46" s="76">
        <v>148.76</v>
      </c>
      <c r="G46" s="76"/>
      <c r="H46" s="75" t="s">
        <v>14</v>
      </c>
      <c r="I46" s="77" t="s">
        <v>15</v>
      </c>
      <c r="J46" s="77"/>
      <c r="K46" s="78" t="s">
        <v>8</v>
      </c>
      <c r="L46" s="79">
        <v>302780.38</v>
      </c>
    </row>
    <row r="47" spans="1:12" ht="71.400000000000006" hidden="1" x14ac:dyDescent="0.3">
      <c r="A47" s="73" t="s">
        <v>591</v>
      </c>
      <c r="B47" s="74" t="s">
        <v>598</v>
      </c>
      <c r="C47" s="74" t="s">
        <v>600</v>
      </c>
      <c r="D47" s="74" t="s">
        <v>543</v>
      </c>
      <c r="E47" s="75" t="s">
        <v>13</v>
      </c>
      <c r="F47" s="76">
        <v>67.37</v>
      </c>
      <c r="G47" s="76"/>
      <c r="H47" s="75" t="s">
        <v>14</v>
      </c>
      <c r="I47" s="77" t="s">
        <v>15</v>
      </c>
      <c r="J47" s="77"/>
      <c r="K47" s="78" t="s">
        <v>8</v>
      </c>
      <c r="L47" s="79">
        <v>302847.75</v>
      </c>
    </row>
    <row r="48" spans="1:12" ht="71.400000000000006" hidden="1" x14ac:dyDescent="0.3">
      <c r="A48" s="73" t="s">
        <v>591</v>
      </c>
      <c r="B48" s="74" t="s">
        <v>598</v>
      </c>
      <c r="C48" s="74" t="s">
        <v>601</v>
      </c>
      <c r="D48" s="74" t="s">
        <v>543</v>
      </c>
      <c r="E48" s="75" t="s">
        <v>13</v>
      </c>
      <c r="F48" s="80">
        <v>2229.5</v>
      </c>
      <c r="G48" s="80"/>
      <c r="H48" s="75" t="s">
        <v>14</v>
      </c>
      <c r="I48" s="77" t="s">
        <v>15</v>
      </c>
      <c r="J48" s="77"/>
      <c r="K48" s="78" t="s">
        <v>8</v>
      </c>
      <c r="L48" s="79">
        <v>305077.25</v>
      </c>
    </row>
    <row r="49" spans="1:12" ht="61.2" hidden="1" x14ac:dyDescent="0.3">
      <c r="A49" s="73" t="s">
        <v>591</v>
      </c>
      <c r="B49" s="74" t="s">
        <v>602</v>
      </c>
      <c r="C49" s="74" t="s">
        <v>603</v>
      </c>
      <c r="D49" s="74" t="s">
        <v>604</v>
      </c>
      <c r="E49" s="75" t="s">
        <v>13</v>
      </c>
      <c r="F49" s="76">
        <v>404</v>
      </c>
      <c r="G49" s="76"/>
      <c r="H49" s="75" t="s">
        <v>14</v>
      </c>
      <c r="I49" s="77" t="s">
        <v>15</v>
      </c>
      <c r="J49" s="77"/>
      <c r="K49" s="78" t="s">
        <v>8</v>
      </c>
      <c r="L49" s="79">
        <v>305481.25</v>
      </c>
    </row>
    <row r="50" spans="1:12" ht="61.2" hidden="1" x14ac:dyDescent="0.3">
      <c r="A50" s="73" t="s">
        <v>591</v>
      </c>
      <c r="B50" s="74" t="s">
        <v>602</v>
      </c>
      <c r="C50" s="74" t="s">
        <v>605</v>
      </c>
      <c r="D50" s="74" t="s">
        <v>604</v>
      </c>
      <c r="E50" s="75" t="s">
        <v>13</v>
      </c>
      <c r="F50" s="76">
        <v>565.1</v>
      </c>
      <c r="G50" s="76"/>
      <c r="H50" s="75" t="s">
        <v>14</v>
      </c>
      <c r="I50" s="77" t="s">
        <v>15</v>
      </c>
      <c r="J50" s="77"/>
      <c r="K50" s="78" t="s">
        <v>8</v>
      </c>
      <c r="L50" s="79">
        <v>306046.34999999998</v>
      </c>
    </row>
    <row r="51" spans="1:12" ht="61.2" hidden="1" x14ac:dyDescent="0.3">
      <c r="A51" s="73" t="s">
        <v>591</v>
      </c>
      <c r="B51" s="74" t="s">
        <v>602</v>
      </c>
      <c r="C51" s="74" t="s">
        <v>606</v>
      </c>
      <c r="D51" s="74" t="s">
        <v>604</v>
      </c>
      <c r="E51" s="75" t="s">
        <v>13</v>
      </c>
      <c r="F51" s="76">
        <v>627.9</v>
      </c>
      <c r="G51" s="76"/>
      <c r="H51" s="75" t="s">
        <v>14</v>
      </c>
      <c r="I51" s="77" t="s">
        <v>15</v>
      </c>
      <c r="J51" s="77"/>
      <c r="K51" s="78" t="s">
        <v>8</v>
      </c>
      <c r="L51" s="79">
        <v>306674.25</v>
      </c>
    </row>
    <row r="52" spans="1:12" ht="71.400000000000006" hidden="1" x14ac:dyDescent="0.3">
      <c r="A52" s="73" t="s">
        <v>591</v>
      </c>
      <c r="B52" s="74" t="s">
        <v>602</v>
      </c>
      <c r="C52" s="74" t="s">
        <v>607</v>
      </c>
      <c r="D52" s="74" t="s">
        <v>604</v>
      </c>
      <c r="E52" s="75" t="s">
        <v>13</v>
      </c>
      <c r="F52" s="76">
        <v>566.79999999999995</v>
      </c>
      <c r="G52" s="76"/>
      <c r="H52" s="75" t="s">
        <v>14</v>
      </c>
      <c r="I52" s="77" t="s">
        <v>15</v>
      </c>
      <c r="J52" s="77"/>
      <c r="K52" s="78" t="s">
        <v>8</v>
      </c>
      <c r="L52" s="79">
        <v>307241.05</v>
      </c>
    </row>
    <row r="53" spans="1:12" ht="61.2" hidden="1" x14ac:dyDescent="0.3">
      <c r="A53" s="73" t="s">
        <v>591</v>
      </c>
      <c r="B53" s="74" t="s">
        <v>608</v>
      </c>
      <c r="C53" s="74" t="s">
        <v>609</v>
      </c>
      <c r="D53" s="74" t="s">
        <v>566</v>
      </c>
      <c r="E53" s="75" t="s">
        <v>283</v>
      </c>
      <c r="F53" s="81" t="s">
        <v>15</v>
      </c>
      <c r="G53" s="81"/>
      <c r="H53" s="75" t="s">
        <v>13</v>
      </c>
      <c r="I53" s="82">
        <v>271.2</v>
      </c>
      <c r="J53" s="82"/>
      <c r="K53" s="78" t="s">
        <v>8</v>
      </c>
      <c r="L53" s="79">
        <v>306969.84999999998</v>
      </c>
    </row>
    <row r="54" spans="1:12" ht="71.400000000000006" x14ac:dyDescent="0.3">
      <c r="A54" s="73" t="s">
        <v>74</v>
      </c>
      <c r="B54" s="74" t="s">
        <v>610</v>
      </c>
      <c r="C54" s="74" t="s">
        <v>611</v>
      </c>
      <c r="D54" s="74" t="s">
        <v>612</v>
      </c>
      <c r="E54" s="75" t="s">
        <v>613</v>
      </c>
      <c r="F54" s="81" t="s">
        <v>15</v>
      </c>
      <c r="G54" s="81"/>
      <c r="H54" s="75" t="s">
        <v>13</v>
      </c>
      <c r="I54" s="83">
        <v>4378.8500000000004</v>
      </c>
      <c r="J54" s="83"/>
      <c r="K54" s="78" t="s">
        <v>8</v>
      </c>
      <c r="L54" s="79">
        <v>302591</v>
      </c>
    </row>
    <row r="55" spans="1:12" ht="61.2" x14ac:dyDescent="0.3">
      <c r="A55" s="73" t="s">
        <v>74</v>
      </c>
      <c r="B55" s="74" t="s">
        <v>610</v>
      </c>
      <c r="C55" s="74" t="s">
        <v>611</v>
      </c>
      <c r="D55" s="74" t="s">
        <v>614</v>
      </c>
      <c r="E55" s="75" t="s">
        <v>613</v>
      </c>
      <c r="F55" s="81" t="s">
        <v>15</v>
      </c>
      <c r="G55" s="81"/>
      <c r="H55" s="75" t="s">
        <v>13</v>
      </c>
      <c r="I55" s="82">
        <v>193.5</v>
      </c>
      <c r="J55" s="82"/>
      <c r="K55" s="78" t="s">
        <v>8</v>
      </c>
      <c r="L55" s="79">
        <v>302397.5</v>
      </c>
    </row>
    <row r="56" spans="1:12" ht="71.400000000000006" x14ac:dyDescent="0.3">
      <c r="A56" s="73" t="s">
        <v>74</v>
      </c>
      <c r="B56" s="74" t="s">
        <v>610</v>
      </c>
      <c r="C56" s="74" t="s">
        <v>611</v>
      </c>
      <c r="D56" s="74" t="s">
        <v>615</v>
      </c>
      <c r="E56" s="75" t="s">
        <v>613</v>
      </c>
      <c r="F56" s="81" t="s">
        <v>15</v>
      </c>
      <c r="G56" s="81"/>
      <c r="H56" s="75" t="s">
        <v>13</v>
      </c>
      <c r="I56" s="82">
        <v>485.85</v>
      </c>
      <c r="J56" s="82"/>
      <c r="K56" s="78" t="s">
        <v>8</v>
      </c>
      <c r="L56" s="79">
        <v>301911.65000000002</v>
      </c>
    </row>
    <row r="57" spans="1:12" ht="61.2" x14ac:dyDescent="0.3">
      <c r="A57" s="73" t="s">
        <v>74</v>
      </c>
      <c r="B57" s="74" t="s">
        <v>610</v>
      </c>
      <c r="C57" s="74" t="s">
        <v>611</v>
      </c>
      <c r="D57" s="74" t="s">
        <v>616</v>
      </c>
      <c r="E57" s="75" t="s">
        <v>613</v>
      </c>
      <c r="F57" s="81" t="s">
        <v>15</v>
      </c>
      <c r="G57" s="81"/>
      <c r="H57" s="75" t="s">
        <v>13</v>
      </c>
      <c r="I57" s="82">
        <v>820.6</v>
      </c>
      <c r="J57" s="82"/>
      <c r="K57" s="78" t="s">
        <v>8</v>
      </c>
      <c r="L57" s="79">
        <v>301091.05</v>
      </c>
    </row>
    <row r="58" spans="1:12" ht="61.2" x14ac:dyDescent="0.3">
      <c r="A58" s="73" t="s">
        <v>74</v>
      </c>
      <c r="B58" s="74" t="s">
        <v>610</v>
      </c>
      <c r="C58" s="74" t="s">
        <v>611</v>
      </c>
      <c r="D58" s="74" t="s">
        <v>617</v>
      </c>
      <c r="E58" s="75" t="s">
        <v>613</v>
      </c>
      <c r="F58" s="81" t="s">
        <v>15</v>
      </c>
      <c r="G58" s="81"/>
      <c r="H58" s="75" t="s">
        <v>13</v>
      </c>
      <c r="I58" s="82">
        <v>391.2</v>
      </c>
      <c r="J58" s="82"/>
      <c r="K58" s="78" t="s">
        <v>8</v>
      </c>
      <c r="L58" s="79">
        <v>300699.84999999998</v>
      </c>
    </row>
    <row r="59" spans="1:12" ht="61.2" x14ac:dyDescent="0.3">
      <c r="A59" s="73" t="s">
        <v>74</v>
      </c>
      <c r="B59" s="74" t="s">
        <v>610</v>
      </c>
      <c r="C59" s="74" t="s">
        <v>611</v>
      </c>
      <c r="D59" s="74" t="s">
        <v>618</v>
      </c>
      <c r="E59" s="75" t="s">
        <v>613</v>
      </c>
      <c r="F59" s="81" t="s">
        <v>15</v>
      </c>
      <c r="G59" s="81"/>
      <c r="H59" s="75" t="s">
        <v>13</v>
      </c>
      <c r="I59" s="82">
        <v>787.5</v>
      </c>
      <c r="J59" s="82"/>
      <c r="K59" s="78" t="s">
        <v>8</v>
      </c>
      <c r="L59" s="79">
        <v>299912.34999999998</v>
      </c>
    </row>
    <row r="60" spans="1:12" ht="61.2" x14ac:dyDescent="0.3">
      <c r="A60" s="73" t="s">
        <v>74</v>
      </c>
      <c r="B60" s="74" t="s">
        <v>610</v>
      </c>
      <c r="C60" s="74" t="s">
        <v>611</v>
      </c>
      <c r="D60" s="74" t="s">
        <v>619</v>
      </c>
      <c r="E60" s="75" t="s">
        <v>613</v>
      </c>
      <c r="F60" s="81" t="s">
        <v>15</v>
      </c>
      <c r="G60" s="81"/>
      <c r="H60" s="75" t="s">
        <v>13</v>
      </c>
      <c r="I60" s="82">
        <v>324</v>
      </c>
      <c r="J60" s="82"/>
      <c r="K60" s="78" t="s">
        <v>8</v>
      </c>
      <c r="L60" s="79">
        <v>299588.34999999998</v>
      </c>
    </row>
    <row r="61" spans="1:12" ht="71.400000000000006" x14ac:dyDescent="0.3">
      <c r="A61" s="73" t="s">
        <v>74</v>
      </c>
      <c r="B61" s="74" t="s">
        <v>610</v>
      </c>
      <c r="C61" s="74" t="s">
        <v>611</v>
      </c>
      <c r="D61" s="74" t="s">
        <v>620</v>
      </c>
      <c r="E61" s="75" t="s">
        <v>613</v>
      </c>
      <c r="F61" s="81" t="s">
        <v>15</v>
      </c>
      <c r="G61" s="81"/>
      <c r="H61" s="75" t="s">
        <v>13</v>
      </c>
      <c r="I61" s="83">
        <v>1278.45</v>
      </c>
      <c r="J61" s="83"/>
      <c r="K61" s="78" t="s">
        <v>8</v>
      </c>
      <c r="L61" s="79">
        <v>298309.90000000002</v>
      </c>
    </row>
    <row r="62" spans="1:12" ht="61.2" x14ac:dyDescent="0.3">
      <c r="A62" s="73" t="s">
        <v>74</v>
      </c>
      <c r="B62" s="74" t="s">
        <v>610</v>
      </c>
      <c r="C62" s="74" t="s">
        <v>611</v>
      </c>
      <c r="D62" s="74" t="s">
        <v>621</v>
      </c>
      <c r="E62" s="75" t="s">
        <v>613</v>
      </c>
      <c r="F62" s="81" t="s">
        <v>15</v>
      </c>
      <c r="G62" s="81"/>
      <c r="H62" s="75" t="s">
        <v>13</v>
      </c>
      <c r="I62" s="83">
        <v>1245.3</v>
      </c>
      <c r="J62" s="83"/>
      <c r="K62" s="78" t="s">
        <v>8</v>
      </c>
      <c r="L62" s="79">
        <v>297064.59999999998</v>
      </c>
    </row>
    <row r="63" spans="1:12" ht="71.400000000000006" x14ac:dyDescent="0.3">
      <c r="A63" s="73" t="s">
        <v>74</v>
      </c>
      <c r="B63" s="74" t="s">
        <v>610</v>
      </c>
      <c r="C63" s="74" t="s">
        <v>611</v>
      </c>
      <c r="D63" s="74" t="s">
        <v>622</v>
      </c>
      <c r="E63" s="75" t="s">
        <v>613</v>
      </c>
      <c r="F63" s="81" t="s">
        <v>15</v>
      </c>
      <c r="G63" s="81"/>
      <c r="H63" s="75" t="s">
        <v>13</v>
      </c>
      <c r="I63" s="82">
        <v>292</v>
      </c>
      <c r="J63" s="82"/>
      <c r="K63" s="78" t="s">
        <v>8</v>
      </c>
      <c r="L63" s="79">
        <v>296772.59999999998</v>
      </c>
    </row>
    <row r="64" spans="1:12" ht="61.2" x14ac:dyDescent="0.3">
      <c r="A64" s="73" t="s">
        <v>74</v>
      </c>
      <c r="B64" s="74" t="s">
        <v>610</v>
      </c>
      <c r="C64" s="74" t="s">
        <v>611</v>
      </c>
      <c r="D64" s="74" t="s">
        <v>623</v>
      </c>
      <c r="E64" s="75" t="s">
        <v>613</v>
      </c>
      <c r="F64" s="81" t="s">
        <v>15</v>
      </c>
      <c r="G64" s="81"/>
      <c r="H64" s="75" t="s">
        <v>13</v>
      </c>
      <c r="I64" s="83">
        <v>2430</v>
      </c>
      <c r="J64" s="83"/>
      <c r="K64" s="78" t="s">
        <v>8</v>
      </c>
      <c r="L64" s="79">
        <v>294342.59999999998</v>
      </c>
    </row>
    <row r="65" spans="1:12" ht="61.2" x14ac:dyDescent="0.3">
      <c r="A65" s="73" t="s">
        <v>74</v>
      </c>
      <c r="B65" s="74" t="s">
        <v>610</v>
      </c>
      <c r="C65" s="74" t="s">
        <v>611</v>
      </c>
      <c r="D65" s="74" t="s">
        <v>624</v>
      </c>
      <c r="E65" s="75" t="s">
        <v>613</v>
      </c>
      <c r="F65" s="81" t="s">
        <v>15</v>
      </c>
      <c r="G65" s="81"/>
      <c r="H65" s="75" t="s">
        <v>13</v>
      </c>
      <c r="I65" s="83">
        <v>3016.7</v>
      </c>
      <c r="J65" s="83"/>
      <c r="K65" s="78" t="s">
        <v>8</v>
      </c>
      <c r="L65" s="79">
        <v>291325.90000000002</v>
      </c>
    </row>
    <row r="66" spans="1:12" ht="61.2" x14ac:dyDescent="0.3">
      <c r="A66" s="73" t="s">
        <v>74</v>
      </c>
      <c r="B66" s="74" t="s">
        <v>610</v>
      </c>
      <c r="C66" s="74" t="s">
        <v>611</v>
      </c>
      <c r="D66" s="74" t="s">
        <v>625</v>
      </c>
      <c r="E66" s="75" t="s">
        <v>613</v>
      </c>
      <c r="F66" s="81" t="s">
        <v>15</v>
      </c>
      <c r="G66" s="81"/>
      <c r="H66" s="75" t="s">
        <v>13</v>
      </c>
      <c r="I66" s="83">
        <v>2370.4</v>
      </c>
      <c r="J66" s="83"/>
      <c r="K66" s="78" t="s">
        <v>8</v>
      </c>
      <c r="L66" s="79">
        <v>288955.5</v>
      </c>
    </row>
    <row r="67" spans="1:12" ht="71.400000000000006" x14ac:dyDescent="0.3">
      <c r="A67" s="73" t="s">
        <v>74</v>
      </c>
      <c r="B67" s="74" t="s">
        <v>610</v>
      </c>
      <c r="C67" s="74" t="s">
        <v>611</v>
      </c>
      <c r="D67" s="74" t="s">
        <v>626</v>
      </c>
      <c r="E67" s="75" t="s">
        <v>613</v>
      </c>
      <c r="F67" s="81" t="s">
        <v>15</v>
      </c>
      <c r="G67" s="81"/>
      <c r="H67" s="75" t="s">
        <v>13</v>
      </c>
      <c r="I67" s="82">
        <v>165.24</v>
      </c>
      <c r="J67" s="82"/>
      <c r="K67" s="78" t="s">
        <v>8</v>
      </c>
      <c r="L67" s="79">
        <v>288790.26</v>
      </c>
    </row>
    <row r="68" spans="1:12" ht="61.2" x14ac:dyDescent="0.3">
      <c r="A68" s="73" t="s">
        <v>74</v>
      </c>
      <c r="B68" s="74" t="s">
        <v>610</v>
      </c>
      <c r="C68" s="74" t="s">
        <v>611</v>
      </c>
      <c r="D68" s="74" t="s">
        <v>627</v>
      </c>
      <c r="E68" s="75" t="s">
        <v>613</v>
      </c>
      <c r="F68" s="81" t="s">
        <v>15</v>
      </c>
      <c r="G68" s="81"/>
      <c r="H68" s="75" t="s">
        <v>13</v>
      </c>
      <c r="I68" s="82">
        <v>582.29999999999995</v>
      </c>
      <c r="J68" s="82"/>
      <c r="K68" s="78" t="s">
        <v>8</v>
      </c>
      <c r="L68" s="79">
        <v>288207.96000000002</v>
      </c>
    </row>
    <row r="69" spans="1:12" ht="61.2" x14ac:dyDescent="0.3">
      <c r="A69" s="73" t="s">
        <v>74</v>
      </c>
      <c r="B69" s="74" t="s">
        <v>610</v>
      </c>
      <c r="C69" s="74" t="s">
        <v>611</v>
      </c>
      <c r="D69" s="74" t="s">
        <v>628</v>
      </c>
      <c r="E69" s="75" t="s">
        <v>613</v>
      </c>
      <c r="F69" s="81" t="s">
        <v>15</v>
      </c>
      <c r="G69" s="81"/>
      <c r="H69" s="75" t="s">
        <v>13</v>
      </c>
      <c r="I69" s="82">
        <v>382.65</v>
      </c>
      <c r="J69" s="82"/>
      <c r="K69" s="78" t="s">
        <v>8</v>
      </c>
      <c r="L69" s="79">
        <v>287825.31</v>
      </c>
    </row>
    <row r="70" spans="1:12" ht="61.2" x14ac:dyDescent="0.3">
      <c r="A70" s="73" t="s">
        <v>74</v>
      </c>
      <c r="B70" s="74" t="s">
        <v>610</v>
      </c>
      <c r="C70" s="74" t="s">
        <v>611</v>
      </c>
      <c r="D70" s="74" t="s">
        <v>629</v>
      </c>
      <c r="E70" s="75" t="s">
        <v>613</v>
      </c>
      <c r="F70" s="81" t="s">
        <v>15</v>
      </c>
      <c r="G70" s="81"/>
      <c r="H70" s="75" t="s">
        <v>13</v>
      </c>
      <c r="I70" s="82">
        <v>188.2</v>
      </c>
      <c r="J70" s="82"/>
      <c r="K70" s="78" t="s">
        <v>8</v>
      </c>
      <c r="L70" s="79">
        <v>287637.11</v>
      </c>
    </row>
    <row r="71" spans="1:12" ht="61.2" x14ac:dyDescent="0.3">
      <c r="A71" s="73" t="s">
        <v>74</v>
      </c>
      <c r="B71" s="74" t="s">
        <v>610</v>
      </c>
      <c r="C71" s="74" t="s">
        <v>611</v>
      </c>
      <c r="D71" s="74" t="s">
        <v>630</v>
      </c>
      <c r="E71" s="75" t="s">
        <v>613</v>
      </c>
      <c r="F71" s="81" t="s">
        <v>15</v>
      </c>
      <c r="G71" s="81"/>
      <c r="H71" s="75" t="s">
        <v>13</v>
      </c>
      <c r="I71" s="82">
        <v>460.2</v>
      </c>
      <c r="J71" s="82"/>
      <c r="K71" s="78" t="s">
        <v>8</v>
      </c>
      <c r="L71" s="79">
        <v>287176.90999999997</v>
      </c>
    </row>
    <row r="72" spans="1:12" ht="61.2" x14ac:dyDescent="0.3">
      <c r="A72" s="73" t="s">
        <v>74</v>
      </c>
      <c r="B72" s="74" t="s">
        <v>610</v>
      </c>
      <c r="C72" s="74" t="s">
        <v>611</v>
      </c>
      <c r="D72" s="74" t="s">
        <v>630</v>
      </c>
      <c r="E72" s="75" t="s">
        <v>613</v>
      </c>
      <c r="F72" s="81" t="s">
        <v>15</v>
      </c>
      <c r="G72" s="81"/>
      <c r="H72" s="75" t="s">
        <v>13</v>
      </c>
      <c r="I72" s="82">
        <v>115.05</v>
      </c>
      <c r="J72" s="82"/>
      <c r="K72" s="78" t="s">
        <v>8</v>
      </c>
      <c r="L72" s="79">
        <v>287061.86</v>
      </c>
    </row>
    <row r="73" spans="1:12" ht="61.2" x14ac:dyDescent="0.3">
      <c r="A73" s="73" t="s">
        <v>74</v>
      </c>
      <c r="B73" s="74" t="s">
        <v>610</v>
      </c>
      <c r="C73" s="74" t="s">
        <v>611</v>
      </c>
      <c r="D73" s="74" t="s">
        <v>631</v>
      </c>
      <c r="E73" s="75" t="s">
        <v>613</v>
      </c>
      <c r="F73" s="81" t="s">
        <v>15</v>
      </c>
      <c r="G73" s="81"/>
      <c r="H73" s="75" t="s">
        <v>13</v>
      </c>
      <c r="I73" s="82">
        <v>393.9</v>
      </c>
      <c r="J73" s="82"/>
      <c r="K73" s="78" t="s">
        <v>8</v>
      </c>
      <c r="L73" s="79">
        <v>286667.96000000002</v>
      </c>
    </row>
    <row r="74" spans="1:12" ht="61.2" x14ac:dyDescent="0.3">
      <c r="A74" s="73" t="s">
        <v>74</v>
      </c>
      <c r="B74" s="74" t="s">
        <v>610</v>
      </c>
      <c r="C74" s="74" t="s">
        <v>611</v>
      </c>
      <c r="D74" s="74" t="s">
        <v>632</v>
      </c>
      <c r="E74" s="75" t="s">
        <v>613</v>
      </c>
      <c r="F74" s="81" t="s">
        <v>15</v>
      </c>
      <c r="G74" s="81"/>
      <c r="H74" s="75" t="s">
        <v>13</v>
      </c>
      <c r="I74" s="82">
        <v>235.85</v>
      </c>
      <c r="J74" s="82"/>
      <c r="K74" s="78" t="s">
        <v>8</v>
      </c>
      <c r="L74" s="79">
        <v>286432.11</v>
      </c>
    </row>
    <row r="75" spans="1:12" ht="61.2" x14ac:dyDescent="0.3">
      <c r="A75" s="73" t="s">
        <v>74</v>
      </c>
      <c r="B75" s="74" t="s">
        <v>610</v>
      </c>
      <c r="C75" s="74" t="s">
        <v>611</v>
      </c>
      <c r="D75" s="74" t="s">
        <v>633</v>
      </c>
      <c r="E75" s="75" t="s">
        <v>613</v>
      </c>
      <c r="F75" s="81" t="s">
        <v>15</v>
      </c>
      <c r="G75" s="81"/>
      <c r="H75" s="75" t="s">
        <v>13</v>
      </c>
      <c r="I75" s="82">
        <v>422.8</v>
      </c>
      <c r="J75" s="82"/>
      <c r="K75" s="78" t="s">
        <v>8</v>
      </c>
      <c r="L75" s="79">
        <v>286009.31</v>
      </c>
    </row>
    <row r="76" spans="1:12" ht="61.2" x14ac:dyDescent="0.3">
      <c r="A76" s="73" t="s">
        <v>74</v>
      </c>
      <c r="B76" s="74" t="s">
        <v>610</v>
      </c>
      <c r="C76" s="74" t="s">
        <v>611</v>
      </c>
      <c r="D76" s="74" t="s">
        <v>634</v>
      </c>
      <c r="E76" s="75" t="s">
        <v>613</v>
      </c>
      <c r="F76" s="81" t="s">
        <v>15</v>
      </c>
      <c r="G76" s="81"/>
      <c r="H76" s="75" t="s">
        <v>13</v>
      </c>
      <c r="I76" s="82">
        <v>266.7</v>
      </c>
      <c r="J76" s="82"/>
      <c r="K76" s="78" t="s">
        <v>8</v>
      </c>
      <c r="L76" s="79">
        <v>285742.61</v>
      </c>
    </row>
    <row r="77" spans="1:12" ht="61.2" x14ac:dyDescent="0.3">
      <c r="A77" s="73" t="s">
        <v>74</v>
      </c>
      <c r="B77" s="74" t="s">
        <v>610</v>
      </c>
      <c r="C77" s="74" t="s">
        <v>611</v>
      </c>
      <c r="D77" s="74" t="s">
        <v>635</v>
      </c>
      <c r="E77" s="75" t="s">
        <v>613</v>
      </c>
      <c r="F77" s="81" t="s">
        <v>15</v>
      </c>
      <c r="G77" s="81"/>
      <c r="H77" s="75" t="s">
        <v>13</v>
      </c>
      <c r="I77" s="82">
        <v>231.7</v>
      </c>
      <c r="J77" s="82"/>
      <c r="K77" s="78" t="s">
        <v>8</v>
      </c>
      <c r="L77" s="79">
        <v>285510.90999999997</v>
      </c>
    </row>
    <row r="78" spans="1:12" ht="61.2" x14ac:dyDescent="0.3">
      <c r="A78" s="73" t="s">
        <v>74</v>
      </c>
      <c r="B78" s="74" t="s">
        <v>610</v>
      </c>
      <c r="C78" s="74" t="s">
        <v>611</v>
      </c>
      <c r="D78" s="74" t="s">
        <v>636</v>
      </c>
      <c r="E78" s="75" t="s">
        <v>613</v>
      </c>
      <c r="F78" s="81" t="s">
        <v>15</v>
      </c>
      <c r="G78" s="81"/>
      <c r="H78" s="75" t="s">
        <v>13</v>
      </c>
      <c r="I78" s="82">
        <v>586.35</v>
      </c>
      <c r="J78" s="82"/>
      <c r="K78" s="78" t="s">
        <v>8</v>
      </c>
      <c r="L78" s="79">
        <v>284924.56</v>
      </c>
    </row>
    <row r="79" spans="1:12" ht="71.400000000000006" x14ac:dyDescent="0.3">
      <c r="A79" s="73" t="s">
        <v>74</v>
      </c>
      <c r="B79" s="74" t="s">
        <v>610</v>
      </c>
      <c r="C79" s="74" t="s">
        <v>611</v>
      </c>
      <c r="D79" s="74" t="s">
        <v>637</v>
      </c>
      <c r="E79" s="75" t="s">
        <v>613</v>
      </c>
      <c r="F79" s="81" t="s">
        <v>15</v>
      </c>
      <c r="G79" s="81"/>
      <c r="H79" s="75" t="s">
        <v>13</v>
      </c>
      <c r="I79" s="83">
        <v>1640.15</v>
      </c>
      <c r="J79" s="83"/>
      <c r="K79" s="78" t="s">
        <v>8</v>
      </c>
      <c r="L79" s="79">
        <v>283284.40999999997</v>
      </c>
    </row>
    <row r="80" spans="1:12" ht="71.400000000000006" x14ac:dyDescent="0.3">
      <c r="A80" s="73" t="s">
        <v>74</v>
      </c>
      <c r="B80" s="74" t="s">
        <v>610</v>
      </c>
      <c r="C80" s="74" t="s">
        <v>611</v>
      </c>
      <c r="D80" s="74" t="s">
        <v>638</v>
      </c>
      <c r="E80" s="75" t="s">
        <v>613</v>
      </c>
      <c r="F80" s="81" t="s">
        <v>15</v>
      </c>
      <c r="G80" s="81"/>
      <c r="H80" s="75" t="s">
        <v>13</v>
      </c>
      <c r="I80" s="82">
        <v>171.2</v>
      </c>
      <c r="J80" s="82"/>
      <c r="K80" s="78" t="s">
        <v>8</v>
      </c>
      <c r="L80" s="79">
        <v>283113.21000000002</v>
      </c>
    </row>
    <row r="81" spans="1:12" ht="61.2" x14ac:dyDescent="0.3">
      <c r="A81" s="73" t="s">
        <v>74</v>
      </c>
      <c r="B81" s="74" t="s">
        <v>610</v>
      </c>
      <c r="C81" s="74" t="s">
        <v>611</v>
      </c>
      <c r="D81" s="74" t="s">
        <v>639</v>
      </c>
      <c r="E81" s="75" t="s">
        <v>613</v>
      </c>
      <c r="F81" s="81" t="s">
        <v>15</v>
      </c>
      <c r="G81" s="81"/>
      <c r="H81" s="75" t="s">
        <v>13</v>
      </c>
      <c r="I81" s="82">
        <v>153.15</v>
      </c>
      <c r="J81" s="82"/>
      <c r="K81" s="78" t="s">
        <v>8</v>
      </c>
      <c r="L81" s="79">
        <v>282960.06</v>
      </c>
    </row>
    <row r="82" spans="1:12" ht="61.2" x14ac:dyDescent="0.3">
      <c r="A82" s="73" t="s">
        <v>74</v>
      </c>
      <c r="B82" s="74" t="s">
        <v>610</v>
      </c>
      <c r="C82" s="74" t="s">
        <v>611</v>
      </c>
      <c r="D82" s="74" t="s">
        <v>640</v>
      </c>
      <c r="E82" s="75" t="s">
        <v>613</v>
      </c>
      <c r="F82" s="81" t="s">
        <v>15</v>
      </c>
      <c r="G82" s="81"/>
      <c r="H82" s="75" t="s">
        <v>13</v>
      </c>
      <c r="I82" s="82">
        <v>696</v>
      </c>
      <c r="J82" s="82"/>
      <c r="K82" s="78" t="s">
        <v>8</v>
      </c>
      <c r="L82" s="79">
        <v>282264.06</v>
      </c>
    </row>
    <row r="83" spans="1:12" ht="61.2" x14ac:dyDescent="0.3">
      <c r="A83" s="73" t="s">
        <v>74</v>
      </c>
      <c r="B83" s="74" t="s">
        <v>610</v>
      </c>
      <c r="C83" s="74" t="s">
        <v>611</v>
      </c>
      <c r="D83" s="74" t="s">
        <v>640</v>
      </c>
      <c r="E83" s="75" t="s">
        <v>613</v>
      </c>
      <c r="F83" s="81" t="s">
        <v>15</v>
      </c>
      <c r="G83" s="81"/>
      <c r="H83" s="75" t="s">
        <v>13</v>
      </c>
      <c r="I83" s="82">
        <v>174</v>
      </c>
      <c r="J83" s="82"/>
      <c r="K83" s="78" t="s">
        <v>8</v>
      </c>
      <c r="L83" s="79">
        <v>282090.06</v>
      </c>
    </row>
    <row r="84" spans="1:12" ht="61.2" x14ac:dyDescent="0.3">
      <c r="A84" s="73" t="s">
        <v>74</v>
      </c>
      <c r="B84" s="74" t="s">
        <v>610</v>
      </c>
      <c r="C84" s="74" t="s">
        <v>611</v>
      </c>
      <c r="D84" s="74" t="s">
        <v>641</v>
      </c>
      <c r="E84" s="75" t="s">
        <v>613</v>
      </c>
      <c r="F84" s="81" t="s">
        <v>15</v>
      </c>
      <c r="G84" s="81"/>
      <c r="H84" s="75" t="s">
        <v>13</v>
      </c>
      <c r="I84" s="82">
        <v>183.8</v>
      </c>
      <c r="J84" s="82"/>
      <c r="K84" s="78" t="s">
        <v>8</v>
      </c>
      <c r="L84" s="79">
        <v>281906.26</v>
      </c>
    </row>
    <row r="85" spans="1:12" ht="61.2" x14ac:dyDescent="0.3">
      <c r="A85" s="73" t="s">
        <v>74</v>
      </c>
      <c r="B85" s="74" t="s">
        <v>610</v>
      </c>
      <c r="C85" s="74" t="s">
        <v>611</v>
      </c>
      <c r="D85" s="74" t="s">
        <v>642</v>
      </c>
      <c r="E85" s="75" t="s">
        <v>613</v>
      </c>
      <c r="F85" s="81" t="s">
        <v>15</v>
      </c>
      <c r="G85" s="81"/>
      <c r="H85" s="75" t="s">
        <v>13</v>
      </c>
      <c r="I85" s="82">
        <v>223.4</v>
      </c>
      <c r="J85" s="82"/>
      <c r="K85" s="78" t="s">
        <v>8</v>
      </c>
      <c r="L85" s="79">
        <v>281682.86</v>
      </c>
    </row>
    <row r="86" spans="1:12" ht="61.2" x14ac:dyDescent="0.3">
      <c r="A86" s="73" t="s">
        <v>74</v>
      </c>
      <c r="B86" s="74" t="s">
        <v>610</v>
      </c>
      <c r="C86" s="74" t="s">
        <v>611</v>
      </c>
      <c r="D86" s="74" t="s">
        <v>643</v>
      </c>
      <c r="E86" s="75" t="s">
        <v>613</v>
      </c>
      <c r="F86" s="81" t="s">
        <v>15</v>
      </c>
      <c r="G86" s="81"/>
      <c r="H86" s="75" t="s">
        <v>13</v>
      </c>
      <c r="I86" s="83">
        <v>4860</v>
      </c>
      <c r="J86" s="83"/>
      <c r="K86" s="78" t="s">
        <v>8</v>
      </c>
      <c r="L86" s="79">
        <v>276822.86</v>
      </c>
    </row>
    <row r="87" spans="1:12" ht="71.400000000000006" x14ac:dyDescent="0.3">
      <c r="A87" s="73" t="s">
        <v>74</v>
      </c>
      <c r="B87" s="74" t="s">
        <v>610</v>
      </c>
      <c r="C87" s="74" t="s">
        <v>611</v>
      </c>
      <c r="D87" s="74" t="s">
        <v>644</v>
      </c>
      <c r="E87" s="75" t="s">
        <v>613</v>
      </c>
      <c r="F87" s="81" t="s">
        <v>15</v>
      </c>
      <c r="G87" s="81"/>
      <c r="H87" s="75" t="s">
        <v>13</v>
      </c>
      <c r="I87" s="83">
        <v>1155.5999999999999</v>
      </c>
      <c r="J87" s="83"/>
      <c r="K87" s="78" t="s">
        <v>8</v>
      </c>
      <c r="L87" s="79">
        <v>275667.26</v>
      </c>
    </row>
    <row r="88" spans="1:12" ht="61.2" x14ac:dyDescent="0.3">
      <c r="A88" s="73" t="s">
        <v>74</v>
      </c>
      <c r="B88" s="74" t="s">
        <v>610</v>
      </c>
      <c r="C88" s="74" t="s">
        <v>611</v>
      </c>
      <c r="D88" s="74" t="s">
        <v>260</v>
      </c>
      <c r="E88" s="75" t="s">
        <v>613</v>
      </c>
      <c r="F88" s="81" t="s">
        <v>15</v>
      </c>
      <c r="G88" s="81"/>
      <c r="H88" s="75" t="s">
        <v>13</v>
      </c>
      <c r="I88" s="82">
        <v>297.5</v>
      </c>
      <c r="J88" s="82"/>
      <c r="K88" s="78" t="s">
        <v>8</v>
      </c>
      <c r="L88" s="79">
        <v>275369.76</v>
      </c>
    </row>
    <row r="89" spans="1:12" ht="61.2" x14ac:dyDescent="0.3">
      <c r="A89" s="73" t="s">
        <v>74</v>
      </c>
      <c r="B89" s="74" t="s">
        <v>610</v>
      </c>
      <c r="C89" s="74" t="s">
        <v>611</v>
      </c>
      <c r="D89" s="74" t="s">
        <v>645</v>
      </c>
      <c r="E89" s="75" t="s">
        <v>613</v>
      </c>
      <c r="F89" s="81" t="s">
        <v>15</v>
      </c>
      <c r="G89" s="81"/>
      <c r="H89" s="75" t="s">
        <v>13</v>
      </c>
      <c r="I89" s="83">
        <v>2490.4</v>
      </c>
      <c r="J89" s="83"/>
      <c r="K89" s="78" t="s">
        <v>8</v>
      </c>
      <c r="L89" s="79">
        <v>272879.35999999999</v>
      </c>
    </row>
    <row r="90" spans="1:12" ht="61.2" x14ac:dyDescent="0.3">
      <c r="A90" s="73" t="s">
        <v>74</v>
      </c>
      <c r="B90" s="74" t="s">
        <v>610</v>
      </c>
      <c r="C90" s="74" t="s">
        <v>611</v>
      </c>
      <c r="D90" s="74" t="s">
        <v>646</v>
      </c>
      <c r="E90" s="75" t="s">
        <v>613</v>
      </c>
      <c r="F90" s="81" t="s">
        <v>15</v>
      </c>
      <c r="G90" s="81"/>
      <c r="H90" s="75" t="s">
        <v>13</v>
      </c>
      <c r="I90" s="83">
        <v>3214.6</v>
      </c>
      <c r="J90" s="83"/>
      <c r="K90" s="78" t="s">
        <v>8</v>
      </c>
      <c r="L90" s="79">
        <v>269664.76</v>
      </c>
    </row>
    <row r="91" spans="1:12" ht="61.2" x14ac:dyDescent="0.3">
      <c r="A91" s="73" t="s">
        <v>74</v>
      </c>
      <c r="B91" s="74" t="s">
        <v>610</v>
      </c>
      <c r="C91" s="74" t="s">
        <v>611</v>
      </c>
      <c r="D91" s="74" t="s">
        <v>647</v>
      </c>
      <c r="E91" s="75" t="s">
        <v>613</v>
      </c>
      <c r="F91" s="81" t="s">
        <v>15</v>
      </c>
      <c r="G91" s="81"/>
      <c r="H91" s="75" t="s">
        <v>13</v>
      </c>
      <c r="I91" s="82">
        <v>636.29999999999995</v>
      </c>
      <c r="J91" s="82"/>
      <c r="K91" s="78" t="s">
        <v>8</v>
      </c>
      <c r="L91" s="79">
        <v>269028.46000000002</v>
      </c>
    </row>
    <row r="92" spans="1:12" ht="61.2" x14ac:dyDescent="0.3">
      <c r="A92" s="73" t="s">
        <v>74</v>
      </c>
      <c r="B92" s="74" t="s">
        <v>610</v>
      </c>
      <c r="C92" s="74" t="s">
        <v>611</v>
      </c>
      <c r="D92" s="74" t="s">
        <v>648</v>
      </c>
      <c r="E92" s="75" t="s">
        <v>613</v>
      </c>
      <c r="F92" s="81" t="s">
        <v>15</v>
      </c>
      <c r="G92" s="81"/>
      <c r="H92" s="75" t="s">
        <v>13</v>
      </c>
      <c r="I92" s="83">
        <v>1567.5</v>
      </c>
      <c r="J92" s="83"/>
      <c r="K92" s="78" t="s">
        <v>8</v>
      </c>
      <c r="L92" s="79">
        <v>267460.96000000002</v>
      </c>
    </row>
    <row r="93" spans="1:12" ht="71.400000000000006" x14ac:dyDescent="0.3">
      <c r="A93" s="73" t="s">
        <v>74</v>
      </c>
      <c r="B93" s="74" t="s">
        <v>610</v>
      </c>
      <c r="C93" s="74" t="s">
        <v>611</v>
      </c>
      <c r="D93" s="74" t="s">
        <v>649</v>
      </c>
      <c r="E93" s="75" t="s">
        <v>613</v>
      </c>
      <c r="F93" s="81" t="s">
        <v>15</v>
      </c>
      <c r="G93" s="81"/>
      <c r="H93" s="75" t="s">
        <v>13</v>
      </c>
      <c r="I93" s="82">
        <v>233.5</v>
      </c>
      <c r="J93" s="82"/>
      <c r="K93" s="78" t="s">
        <v>8</v>
      </c>
      <c r="L93" s="79">
        <v>267227.46000000002</v>
      </c>
    </row>
    <row r="94" spans="1:12" ht="71.400000000000006" x14ac:dyDescent="0.3">
      <c r="A94" s="73" t="s">
        <v>74</v>
      </c>
      <c r="B94" s="74" t="s">
        <v>610</v>
      </c>
      <c r="C94" s="74" t="s">
        <v>611</v>
      </c>
      <c r="D94" s="74" t="s">
        <v>650</v>
      </c>
      <c r="E94" s="75" t="s">
        <v>613</v>
      </c>
      <c r="F94" s="81" t="s">
        <v>15</v>
      </c>
      <c r="G94" s="81"/>
      <c r="H94" s="75" t="s">
        <v>13</v>
      </c>
      <c r="I94" s="82">
        <v>250</v>
      </c>
      <c r="J94" s="82"/>
      <c r="K94" s="78" t="s">
        <v>8</v>
      </c>
      <c r="L94" s="79">
        <v>266977.46000000002</v>
      </c>
    </row>
    <row r="95" spans="1:12" ht="61.2" x14ac:dyDescent="0.3">
      <c r="A95" s="73" t="s">
        <v>74</v>
      </c>
      <c r="B95" s="74" t="s">
        <v>610</v>
      </c>
      <c r="C95" s="74" t="s">
        <v>611</v>
      </c>
      <c r="D95" s="74" t="s">
        <v>651</v>
      </c>
      <c r="E95" s="75" t="s">
        <v>613</v>
      </c>
      <c r="F95" s="81" t="s">
        <v>15</v>
      </c>
      <c r="G95" s="81"/>
      <c r="H95" s="75" t="s">
        <v>13</v>
      </c>
      <c r="I95" s="83">
        <v>3825</v>
      </c>
      <c r="J95" s="83"/>
      <c r="K95" s="78" t="s">
        <v>8</v>
      </c>
      <c r="L95" s="79">
        <v>263152.46000000002</v>
      </c>
    </row>
    <row r="96" spans="1:12" ht="61.2" x14ac:dyDescent="0.3">
      <c r="A96" s="73" t="s">
        <v>74</v>
      </c>
      <c r="B96" s="74" t="s">
        <v>610</v>
      </c>
      <c r="C96" s="74" t="s">
        <v>611</v>
      </c>
      <c r="D96" s="74" t="s">
        <v>652</v>
      </c>
      <c r="E96" s="75" t="s">
        <v>613</v>
      </c>
      <c r="F96" s="81" t="s">
        <v>15</v>
      </c>
      <c r="G96" s="81"/>
      <c r="H96" s="75" t="s">
        <v>13</v>
      </c>
      <c r="I96" s="82">
        <v>453.4</v>
      </c>
      <c r="J96" s="82"/>
      <c r="K96" s="78" t="s">
        <v>8</v>
      </c>
      <c r="L96" s="79">
        <v>262699.06</v>
      </c>
    </row>
    <row r="97" spans="1:12" ht="71.400000000000006" x14ac:dyDescent="0.3">
      <c r="A97" s="73" t="s">
        <v>74</v>
      </c>
      <c r="B97" s="74" t="s">
        <v>610</v>
      </c>
      <c r="C97" s="74" t="s">
        <v>611</v>
      </c>
      <c r="D97" s="74" t="s">
        <v>653</v>
      </c>
      <c r="E97" s="75" t="s">
        <v>613</v>
      </c>
      <c r="F97" s="81" t="s">
        <v>15</v>
      </c>
      <c r="G97" s="81"/>
      <c r="H97" s="75" t="s">
        <v>13</v>
      </c>
      <c r="I97" s="82">
        <v>266.7</v>
      </c>
      <c r="J97" s="82"/>
      <c r="K97" s="78" t="s">
        <v>8</v>
      </c>
      <c r="L97" s="79">
        <v>262432.36</v>
      </c>
    </row>
    <row r="98" spans="1:12" ht="71.400000000000006" x14ac:dyDescent="0.3">
      <c r="A98" s="73" t="s">
        <v>74</v>
      </c>
      <c r="B98" s="74" t="s">
        <v>610</v>
      </c>
      <c r="C98" s="74" t="s">
        <v>611</v>
      </c>
      <c r="D98" s="74" t="s">
        <v>262</v>
      </c>
      <c r="E98" s="75" t="s">
        <v>613</v>
      </c>
      <c r="F98" s="81" t="s">
        <v>15</v>
      </c>
      <c r="G98" s="81"/>
      <c r="H98" s="75" t="s">
        <v>13</v>
      </c>
      <c r="I98" s="82">
        <v>63.4</v>
      </c>
      <c r="J98" s="82"/>
      <c r="K98" s="78" t="s">
        <v>8</v>
      </c>
      <c r="L98" s="79">
        <v>262368.96000000002</v>
      </c>
    </row>
    <row r="99" spans="1:12" ht="61.2" x14ac:dyDescent="0.3">
      <c r="A99" s="73" t="s">
        <v>74</v>
      </c>
      <c r="B99" s="74" t="s">
        <v>610</v>
      </c>
      <c r="C99" s="74" t="s">
        <v>611</v>
      </c>
      <c r="D99" s="74" t="s">
        <v>654</v>
      </c>
      <c r="E99" s="75" t="s">
        <v>613</v>
      </c>
      <c r="F99" s="81" t="s">
        <v>15</v>
      </c>
      <c r="G99" s="81"/>
      <c r="H99" s="75" t="s">
        <v>13</v>
      </c>
      <c r="I99" s="83">
        <v>1458.34</v>
      </c>
      <c r="J99" s="83"/>
      <c r="K99" s="78" t="s">
        <v>8</v>
      </c>
      <c r="L99" s="79">
        <v>260910.62</v>
      </c>
    </row>
    <row r="100" spans="1:12" ht="61.2" x14ac:dyDescent="0.3">
      <c r="A100" s="73" t="s">
        <v>74</v>
      </c>
      <c r="B100" s="74" t="s">
        <v>610</v>
      </c>
      <c r="C100" s="74" t="s">
        <v>611</v>
      </c>
      <c r="D100" s="74" t="s">
        <v>655</v>
      </c>
      <c r="E100" s="75" t="s">
        <v>613</v>
      </c>
      <c r="F100" s="81" t="s">
        <v>15</v>
      </c>
      <c r="G100" s="81"/>
      <c r="H100" s="75" t="s">
        <v>13</v>
      </c>
      <c r="I100" s="83">
        <v>7908.8</v>
      </c>
      <c r="J100" s="83"/>
      <c r="K100" s="78" t="s">
        <v>8</v>
      </c>
      <c r="L100" s="79">
        <v>253001.82</v>
      </c>
    </row>
    <row r="101" spans="1:12" ht="61.2" x14ac:dyDescent="0.3">
      <c r="A101" s="73" t="s">
        <v>74</v>
      </c>
      <c r="B101" s="74" t="s">
        <v>610</v>
      </c>
      <c r="C101" s="74" t="s">
        <v>611</v>
      </c>
      <c r="D101" s="74" t="s">
        <v>656</v>
      </c>
      <c r="E101" s="75" t="s">
        <v>613</v>
      </c>
      <c r="F101" s="81" t="s">
        <v>15</v>
      </c>
      <c r="G101" s="81"/>
      <c r="H101" s="75" t="s">
        <v>13</v>
      </c>
      <c r="I101" s="82">
        <v>788.34</v>
      </c>
      <c r="J101" s="82"/>
      <c r="K101" s="78" t="s">
        <v>8</v>
      </c>
      <c r="L101" s="79">
        <v>252213.48</v>
      </c>
    </row>
    <row r="102" spans="1:12" ht="61.2" x14ac:dyDescent="0.3">
      <c r="A102" s="73" t="s">
        <v>74</v>
      </c>
      <c r="B102" s="74" t="s">
        <v>610</v>
      </c>
      <c r="C102" s="74" t="s">
        <v>611</v>
      </c>
      <c r="D102" s="74" t="s">
        <v>657</v>
      </c>
      <c r="E102" s="75" t="s">
        <v>613</v>
      </c>
      <c r="F102" s="81" t="s">
        <v>15</v>
      </c>
      <c r="G102" s="81"/>
      <c r="H102" s="75" t="s">
        <v>13</v>
      </c>
      <c r="I102" s="83">
        <v>2051.6999999999998</v>
      </c>
      <c r="J102" s="83"/>
      <c r="K102" s="78" t="s">
        <v>8</v>
      </c>
      <c r="L102" s="79">
        <v>250161.78</v>
      </c>
    </row>
    <row r="103" spans="1:12" ht="61.2" x14ac:dyDescent="0.3">
      <c r="A103" s="73" t="s">
        <v>74</v>
      </c>
      <c r="B103" s="74" t="s">
        <v>610</v>
      </c>
      <c r="C103" s="74" t="s">
        <v>611</v>
      </c>
      <c r="D103" s="74" t="s">
        <v>658</v>
      </c>
      <c r="E103" s="75" t="s">
        <v>613</v>
      </c>
      <c r="F103" s="81" t="s">
        <v>15</v>
      </c>
      <c r="G103" s="81"/>
      <c r="H103" s="75" t="s">
        <v>13</v>
      </c>
      <c r="I103" s="83">
        <v>4725</v>
      </c>
      <c r="J103" s="83"/>
      <c r="K103" s="78" t="s">
        <v>8</v>
      </c>
      <c r="L103" s="79">
        <v>245436.78</v>
      </c>
    </row>
    <row r="104" spans="1:12" ht="61.2" x14ac:dyDescent="0.3">
      <c r="A104" s="73" t="s">
        <v>74</v>
      </c>
      <c r="B104" s="74" t="s">
        <v>610</v>
      </c>
      <c r="C104" s="74" t="s">
        <v>611</v>
      </c>
      <c r="D104" s="74" t="s">
        <v>659</v>
      </c>
      <c r="E104" s="75" t="s">
        <v>613</v>
      </c>
      <c r="F104" s="81" t="s">
        <v>15</v>
      </c>
      <c r="G104" s="81"/>
      <c r="H104" s="75" t="s">
        <v>13</v>
      </c>
      <c r="I104" s="82">
        <v>600</v>
      </c>
      <c r="J104" s="82"/>
      <c r="K104" s="78" t="s">
        <v>8</v>
      </c>
      <c r="L104" s="79">
        <v>244836.78</v>
      </c>
    </row>
    <row r="105" spans="1:12" ht="61.2" x14ac:dyDescent="0.3">
      <c r="A105" s="73" t="s">
        <v>74</v>
      </c>
      <c r="B105" s="74" t="s">
        <v>610</v>
      </c>
      <c r="C105" s="74" t="s">
        <v>611</v>
      </c>
      <c r="D105" s="74" t="s">
        <v>660</v>
      </c>
      <c r="E105" s="75" t="s">
        <v>613</v>
      </c>
      <c r="F105" s="81" t="s">
        <v>15</v>
      </c>
      <c r="G105" s="81"/>
      <c r="H105" s="75" t="s">
        <v>13</v>
      </c>
      <c r="I105" s="82">
        <v>375</v>
      </c>
      <c r="J105" s="82"/>
      <c r="K105" s="78" t="s">
        <v>8</v>
      </c>
      <c r="L105" s="79">
        <v>244461.78</v>
      </c>
    </row>
    <row r="106" spans="1:12" ht="71.400000000000006" x14ac:dyDescent="0.3">
      <c r="A106" s="73" t="s">
        <v>74</v>
      </c>
      <c r="B106" s="74" t="s">
        <v>610</v>
      </c>
      <c r="C106" s="74" t="s">
        <v>611</v>
      </c>
      <c r="D106" s="74" t="s">
        <v>559</v>
      </c>
      <c r="E106" s="75" t="s">
        <v>613</v>
      </c>
      <c r="F106" s="81" t="s">
        <v>15</v>
      </c>
      <c r="G106" s="81"/>
      <c r="H106" s="75" t="s">
        <v>13</v>
      </c>
      <c r="I106" s="82">
        <v>297.85000000000002</v>
      </c>
      <c r="J106" s="82"/>
      <c r="K106" s="78" t="s">
        <v>8</v>
      </c>
      <c r="L106" s="79">
        <v>244163.93</v>
      </c>
    </row>
    <row r="107" spans="1:12" ht="61.2" x14ac:dyDescent="0.3">
      <c r="A107" s="73" t="s">
        <v>74</v>
      </c>
      <c r="B107" s="74" t="s">
        <v>610</v>
      </c>
      <c r="C107" s="74" t="s">
        <v>611</v>
      </c>
      <c r="D107" s="74" t="s">
        <v>561</v>
      </c>
      <c r="E107" s="75" t="s">
        <v>613</v>
      </c>
      <c r="F107" s="81" t="s">
        <v>15</v>
      </c>
      <c r="G107" s="81"/>
      <c r="H107" s="75" t="s">
        <v>13</v>
      </c>
      <c r="I107" s="82">
        <v>318.89999999999998</v>
      </c>
      <c r="J107" s="82"/>
      <c r="K107" s="78" t="s">
        <v>8</v>
      </c>
      <c r="L107" s="79">
        <v>243845.03</v>
      </c>
    </row>
    <row r="108" spans="1:12" ht="71.400000000000006" x14ac:dyDescent="0.3">
      <c r="A108" s="73" t="s">
        <v>74</v>
      </c>
      <c r="B108" s="74" t="s">
        <v>610</v>
      </c>
      <c r="C108" s="74" t="s">
        <v>611</v>
      </c>
      <c r="D108" s="74" t="s">
        <v>562</v>
      </c>
      <c r="E108" s="75" t="s">
        <v>613</v>
      </c>
      <c r="F108" s="81" t="s">
        <v>15</v>
      </c>
      <c r="G108" s="81"/>
      <c r="H108" s="75" t="s">
        <v>13</v>
      </c>
      <c r="I108" s="82">
        <v>186.3</v>
      </c>
      <c r="J108" s="82"/>
      <c r="K108" s="78" t="s">
        <v>8</v>
      </c>
      <c r="L108" s="79">
        <v>243658.73</v>
      </c>
    </row>
    <row r="109" spans="1:12" ht="71.400000000000006" x14ac:dyDescent="0.3">
      <c r="A109" s="73" t="s">
        <v>74</v>
      </c>
      <c r="B109" s="74" t="s">
        <v>610</v>
      </c>
      <c r="C109" s="74" t="s">
        <v>611</v>
      </c>
      <c r="D109" s="74" t="s">
        <v>563</v>
      </c>
      <c r="E109" s="75" t="s">
        <v>613</v>
      </c>
      <c r="F109" s="81" t="s">
        <v>15</v>
      </c>
      <c r="G109" s="81"/>
      <c r="H109" s="75" t="s">
        <v>13</v>
      </c>
      <c r="I109" s="83">
        <v>1358.8</v>
      </c>
      <c r="J109" s="83"/>
      <c r="K109" s="78" t="s">
        <v>8</v>
      </c>
      <c r="L109" s="79">
        <v>242299.93</v>
      </c>
    </row>
    <row r="110" spans="1:12" ht="61.2" x14ac:dyDescent="0.3">
      <c r="A110" s="73" t="s">
        <v>74</v>
      </c>
      <c r="B110" s="74" t="s">
        <v>610</v>
      </c>
      <c r="C110" s="74" t="s">
        <v>611</v>
      </c>
      <c r="D110" s="74" t="s">
        <v>278</v>
      </c>
      <c r="E110" s="75" t="s">
        <v>613</v>
      </c>
      <c r="F110" s="81" t="s">
        <v>15</v>
      </c>
      <c r="G110" s="81"/>
      <c r="H110" s="75" t="s">
        <v>13</v>
      </c>
      <c r="I110" s="82">
        <v>243.1</v>
      </c>
      <c r="J110" s="82"/>
      <c r="K110" s="78" t="s">
        <v>8</v>
      </c>
      <c r="L110" s="79">
        <v>242056.83</v>
      </c>
    </row>
    <row r="111" spans="1:12" ht="61.2" x14ac:dyDescent="0.3">
      <c r="A111" s="73" t="s">
        <v>74</v>
      </c>
      <c r="B111" s="74" t="s">
        <v>610</v>
      </c>
      <c r="C111" s="74" t="s">
        <v>611</v>
      </c>
      <c r="D111" s="74" t="s">
        <v>661</v>
      </c>
      <c r="E111" s="75" t="s">
        <v>613</v>
      </c>
      <c r="F111" s="81" t="s">
        <v>15</v>
      </c>
      <c r="G111" s="81"/>
      <c r="H111" s="75" t="s">
        <v>13</v>
      </c>
      <c r="I111" s="82">
        <v>22.57</v>
      </c>
      <c r="J111" s="82"/>
      <c r="K111" s="78" t="s">
        <v>8</v>
      </c>
      <c r="L111" s="79">
        <v>242034.26</v>
      </c>
    </row>
    <row r="112" spans="1:12" ht="71.400000000000006" x14ac:dyDescent="0.3">
      <c r="A112" s="73" t="s">
        <v>74</v>
      </c>
      <c r="B112" s="74" t="s">
        <v>610</v>
      </c>
      <c r="C112" s="74" t="s">
        <v>611</v>
      </c>
      <c r="D112" s="74" t="s">
        <v>569</v>
      </c>
      <c r="E112" s="75" t="s">
        <v>613</v>
      </c>
      <c r="F112" s="81" t="s">
        <v>15</v>
      </c>
      <c r="G112" s="81"/>
      <c r="H112" s="75" t="s">
        <v>13</v>
      </c>
      <c r="I112" s="83">
        <v>12790.8</v>
      </c>
      <c r="J112" s="83"/>
      <c r="K112" s="78" t="s">
        <v>8</v>
      </c>
      <c r="L112" s="79">
        <v>229243.46</v>
      </c>
    </row>
    <row r="113" spans="1:12" ht="61.2" x14ac:dyDescent="0.3">
      <c r="A113" s="73" t="s">
        <v>74</v>
      </c>
      <c r="B113" s="74" t="s">
        <v>610</v>
      </c>
      <c r="C113" s="74" t="s">
        <v>611</v>
      </c>
      <c r="D113" s="74" t="s">
        <v>570</v>
      </c>
      <c r="E113" s="75" t="s">
        <v>613</v>
      </c>
      <c r="F113" s="81" t="s">
        <v>15</v>
      </c>
      <c r="G113" s="81"/>
      <c r="H113" s="75" t="s">
        <v>13</v>
      </c>
      <c r="I113" s="82">
        <v>91.7</v>
      </c>
      <c r="J113" s="82"/>
      <c r="K113" s="78" t="s">
        <v>8</v>
      </c>
      <c r="L113" s="79">
        <v>229151.76</v>
      </c>
    </row>
    <row r="114" spans="1:12" ht="61.2" x14ac:dyDescent="0.3">
      <c r="A114" s="73" t="s">
        <v>74</v>
      </c>
      <c r="B114" s="74" t="s">
        <v>610</v>
      </c>
      <c r="C114" s="74" t="s">
        <v>611</v>
      </c>
      <c r="D114" s="74" t="s">
        <v>571</v>
      </c>
      <c r="E114" s="75" t="s">
        <v>613</v>
      </c>
      <c r="F114" s="81" t="s">
        <v>15</v>
      </c>
      <c r="G114" s="81"/>
      <c r="H114" s="75" t="s">
        <v>13</v>
      </c>
      <c r="I114" s="82">
        <v>78.3</v>
      </c>
      <c r="J114" s="82"/>
      <c r="K114" s="78" t="s">
        <v>8</v>
      </c>
      <c r="L114" s="79">
        <v>229073.46</v>
      </c>
    </row>
    <row r="115" spans="1:12" ht="61.2" x14ac:dyDescent="0.3">
      <c r="A115" s="73" t="s">
        <v>74</v>
      </c>
      <c r="B115" s="74" t="s">
        <v>610</v>
      </c>
      <c r="C115" s="74" t="s">
        <v>611</v>
      </c>
      <c r="D115" s="74" t="s">
        <v>573</v>
      </c>
      <c r="E115" s="75" t="s">
        <v>613</v>
      </c>
      <c r="F115" s="81" t="s">
        <v>15</v>
      </c>
      <c r="G115" s="81"/>
      <c r="H115" s="75" t="s">
        <v>13</v>
      </c>
      <c r="I115" s="82">
        <v>182.9</v>
      </c>
      <c r="J115" s="82"/>
      <c r="K115" s="78" t="s">
        <v>8</v>
      </c>
      <c r="L115" s="79">
        <v>228890.56</v>
      </c>
    </row>
    <row r="116" spans="1:12" ht="71.400000000000006" x14ac:dyDescent="0.3">
      <c r="A116" s="73" t="s">
        <v>74</v>
      </c>
      <c r="B116" s="74" t="s">
        <v>610</v>
      </c>
      <c r="C116" s="74" t="s">
        <v>611</v>
      </c>
      <c r="D116" s="74" t="s">
        <v>574</v>
      </c>
      <c r="E116" s="75" t="s">
        <v>613</v>
      </c>
      <c r="F116" s="81" t="s">
        <v>15</v>
      </c>
      <c r="G116" s="81"/>
      <c r="H116" s="75" t="s">
        <v>13</v>
      </c>
      <c r="I116" s="83">
        <v>4770</v>
      </c>
      <c r="J116" s="83"/>
      <c r="K116" s="78" t="s">
        <v>8</v>
      </c>
      <c r="L116" s="79">
        <v>224120.56</v>
      </c>
    </row>
    <row r="117" spans="1:12" ht="71.400000000000006" x14ac:dyDescent="0.3">
      <c r="A117" s="73" t="s">
        <v>74</v>
      </c>
      <c r="B117" s="74" t="s">
        <v>610</v>
      </c>
      <c r="C117" s="74" t="s">
        <v>611</v>
      </c>
      <c r="D117" s="74" t="s">
        <v>575</v>
      </c>
      <c r="E117" s="75" t="s">
        <v>613</v>
      </c>
      <c r="F117" s="81" t="s">
        <v>15</v>
      </c>
      <c r="G117" s="81"/>
      <c r="H117" s="75" t="s">
        <v>13</v>
      </c>
      <c r="I117" s="83">
        <v>1450</v>
      </c>
      <c r="J117" s="83"/>
      <c r="K117" s="78" t="s">
        <v>8</v>
      </c>
      <c r="L117" s="79">
        <v>222670.56</v>
      </c>
    </row>
    <row r="118" spans="1:12" ht="61.2" x14ac:dyDescent="0.3">
      <c r="A118" s="73" t="s">
        <v>74</v>
      </c>
      <c r="B118" s="74" t="s">
        <v>610</v>
      </c>
      <c r="C118" s="74" t="s">
        <v>611</v>
      </c>
      <c r="D118" s="74" t="s">
        <v>576</v>
      </c>
      <c r="E118" s="75" t="s">
        <v>613</v>
      </c>
      <c r="F118" s="81" t="s">
        <v>15</v>
      </c>
      <c r="G118" s="81"/>
      <c r="H118" s="75" t="s">
        <v>13</v>
      </c>
      <c r="I118" s="82">
        <v>483.4</v>
      </c>
      <c r="J118" s="82"/>
      <c r="K118" s="78" t="s">
        <v>8</v>
      </c>
      <c r="L118" s="79">
        <v>222187.16</v>
      </c>
    </row>
    <row r="119" spans="1:12" ht="61.2" hidden="1" x14ac:dyDescent="0.3">
      <c r="A119" s="73" t="s">
        <v>89</v>
      </c>
      <c r="B119" s="74" t="s">
        <v>90</v>
      </c>
      <c r="C119" s="74" t="s">
        <v>91</v>
      </c>
      <c r="D119" s="74" t="s">
        <v>92</v>
      </c>
      <c r="E119" s="75" t="s">
        <v>13</v>
      </c>
      <c r="F119" s="81" t="s">
        <v>15</v>
      </c>
      <c r="G119" s="81"/>
      <c r="H119" s="75" t="s">
        <v>13</v>
      </c>
      <c r="I119" s="83">
        <v>2500</v>
      </c>
      <c r="J119" s="83"/>
      <c r="K119" s="78" t="s">
        <v>8</v>
      </c>
      <c r="L119" s="79">
        <v>219687.16</v>
      </c>
    </row>
    <row r="120" spans="1:12" ht="71.400000000000006" hidden="1" x14ac:dyDescent="0.3">
      <c r="A120" s="73" t="s">
        <v>89</v>
      </c>
      <c r="B120" s="74" t="s">
        <v>90</v>
      </c>
      <c r="C120" s="74" t="s">
        <v>93</v>
      </c>
      <c r="D120" s="74" t="s">
        <v>94</v>
      </c>
      <c r="E120" s="75" t="s">
        <v>13</v>
      </c>
      <c r="F120" s="81" t="s">
        <v>15</v>
      </c>
      <c r="G120" s="81"/>
      <c r="H120" s="75" t="s">
        <v>13</v>
      </c>
      <c r="I120" s="82">
        <v>750</v>
      </c>
      <c r="J120" s="82"/>
      <c r="K120" s="78" t="s">
        <v>8</v>
      </c>
      <c r="L120" s="79">
        <v>218937.16</v>
      </c>
    </row>
    <row r="121" spans="1:12" ht="61.2" hidden="1" x14ac:dyDescent="0.3">
      <c r="A121" s="73" t="s">
        <v>89</v>
      </c>
      <c r="B121" s="74" t="s">
        <v>90</v>
      </c>
      <c r="C121" s="74" t="s">
        <v>95</v>
      </c>
      <c r="D121" s="74" t="s">
        <v>96</v>
      </c>
      <c r="E121" s="75" t="s">
        <v>13</v>
      </c>
      <c r="F121" s="81" t="s">
        <v>15</v>
      </c>
      <c r="G121" s="81"/>
      <c r="H121" s="75" t="s">
        <v>13</v>
      </c>
      <c r="I121" s="83">
        <v>1009.5</v>
      </c>
      <c r="J121" s="83"/>
      <c r="K121" s="78" t="s">
        <v>8</v>
      </c>
      <c r="L121" s="79">
        <v>217927.66</v>
      </c>
    </row>
    <row r="122" spans="1:12" ht="61.2" hidden="1" x14ac:dyDescent="0.3">
      <c r="A122" s="73" t="s">
        <v>89</v>
      </c>
      <c r="B122" s="74" t="s">
        <v>90</v>
      </c>
      <c r="C122" s="74" t="s">
        <v>97</v>
      </c>
      <c r="D122" s="74" t="s">
        <v>98</v>
      </c>
      <c r="E122" s="75" t="s">
        <v>13</v>
      </c>
      <c r="F122" s="81" t="s">
        <v>15</v>
      </c>
      <c r="G122" s="81"/>
      <c r="H122" s="75" t="s">
        <v>13</v>
      </c>
      <c r="I122" s="82">
        <v>582.5</v>
      </c>
      <c r="J122" s="82"/>
      <c r="K122" s="78" t="s">
        <v>8</v>
      </c>
      <c r="L122" s="79">
        <v>217345.16</v>
      </c>
    </row>
    <row r="123" spans="1:12" ht="61.2" x14ac:dyDescent="0.3">
      <c r="A123" s="73" t="s">
        <v>167</v>
      </c>
      <c r="B123" s="74" t="s">
        <v>662</v>
      </c>
      <c r="C123" s="74" t="s">
        <v>663</v>
      </c>
      <c r="D123" s="74" t="s">
        <v>659</v>
      </c>
      <c r="E123" s="75" t="s">
        <v>42</v>
      </c>
      <c r="F123" s="81" t="s">
        <v>15</v>
      </c>
      <c r="G123" s="81"/>
      <c r="H123" s="75" t="s">
        <v>13</v>
      </c>
      <c r="I123" s="82">
        <v>600</v>
      </c>
      <c r="J123" s="82"/>
      <c r="K123" s="78" t="s">
        <v>8</v>
      </c>
      <c r="L123" s="79">
        <v>216745.16</v>
      </c>
    </row>
    <row r="124" spans="1:12" ht="61.2" x14ac:dyDescent="0.3">
      <c r="A124" s="73" t="s">
        <v>167</v>
      </c>
      <c r="B124" s="74" t="s">
        <v>662</v>
      </c>
      <c r="C124" s="74" t="s">
        <v>663</v>
      </c>
      <c r="D124" s="74" t="s">
        <v>660</v>
      </c>
      <c r="E124" s="75" t="s">
        <v>42</v>
      </c>
      <c r="F124" s="81" t="s">
        <v>15</v>
      </c>
      <c r="G124" s="81"/>
      <c r="H124" s="75" t="s">
        <v>13</v>
      </c>
      <c r="I124" s="82">
        <v>875</v>
      </c>
      <c r="J124" s="82"/>
      <c r="K124" s="78" t="s">
        <v>8</v>
      </c>
      <c r="L124" s="79">
        <v>215870.16</v>
      </c>
    </row>
    <row r="125" spans="1:12" ht="61.2" x14ac:dyDescent="0.3">
      <c r="A125" s="73" t="s">
        <v>167</v>
      </c>
      <c r="B125" s="74" t="s">
        <v>662</v>
      </c>
      <c r="C125" s="74" t="s">
        <v>663</v>
      </c>
      <c r="D125" s="74" t="s">
        <v>664</v>
      </c>
      <c r="E125" s="75" t="s">
        <v>42</v>
      </c>
      <c r="F125" s="81" t="s">
        <v>15</v>
      </c>
      <c r="G125" s="81"/>
      <c r="H125" s="75" t="s">
        <v>13</v>
      </c>
      <c r="I125" s="83">
        <v>2050</v>
      </c>
      <c r="J125" s="83"/>
      <c r="K125" s="78" t="s">
        <v>8</v>
      </c>
      <c r="L125" s="79">
        <v>213820.16</v>
      </c>
    </row>
    <row r="126" spans="1:12" ht="71.400000000000006" x14ac:dyDescent="0.3">
      <c r="A126" s="73" t="s">
        <v>167</v>
      </c>
      <c r="B126" s="74" t="s">
        <v>662</v>
      </c>
      <c r="C126" s="74" t="s">
        <v>663</v>
      </c>
      <c r="D126" s="74" t="s">
        <v>665</v>
      </c>
      <c r="E126" s="75" t="s">
        <v>42</v>
      </c>
      <c r="F126" s="81" t="s">
        <v>15</v>
      </c>
      <c r="G126" s="81"/>
      <c r="H126" s="75" t="s">
        <v>13</v>
      </c>
      <c r="I126" s="82">
        <v>156.6</v>
      </c>
      <c r="J126" s="82"/>
      <c r="K126" s="78" t="s">
        <v>8</v>
      </c>
      <c r="L126" s="79">
        <v>213663.56</v>
      </c>
    </row>
    <row r="127" spans="1:12" ht="71.400000000000006" x14ac:dyDescent="0.3">
      <c r="A127" s="73" t="s">
        <v>167</v>
      </c>
      <c r="B127" s="74" t="s">
        <v>662</v>
      </c>
      <c r="C127" s="74" t="s">
        <v>663</v>
      </c>
      <c r="D127" s="74" t="s">
        <v>562</v>
      </c>
      <c r="E127" s="75" t="s">
        <v>42</v>
      </c>
      <c r="F127" s="81" t="s">
        <v>15</v>
      </c>
      <c r="G127" s="81"/>
      <c r="H127" s="75" t="s">
        <v>13</v>
      </c>
      <c r="I127" s="82">
        <v>124.2</v>
      </c>
      <c r="J127" s="82"/>
      <c r="K127" s="78" t="s">
        <v>8</v>
      </c>
      <c r="L127" s="79">
        <v>213539.36</v>
      </c>
    </row>
    <row r="128" spans="1:12" ht="61.2" x14ac:dyDescent="0.3">
      <c r="A128" s="73" t="s">
        <v>167</v>
      </c>
      <c r="B128" s="74" t="s">
        <v>662</v>
      </c>
      <c r="C128" s="74" t="s">
        <v>663</v>
      </c>
      <c r="D128" s="74" t="s">
        <v>564</v>
      </c>
      <c r="E128" s="75" t="s">
        <v>42</v>
      </c>
      <c r="F128" s="81" t="s">
        <v>15</v>
      </c>
      <c r="G128" s="81"/>
      <c r="H128" s="75" t="s">
        <v>13</v>
      </c>
      <c r="I128" s="82">
        <v>120.85</v>
      </c>
      <c r="J128" s="82"/>
      <c r="K128" s="78" t="s">
        <v>8</v>
      </c>
      <c r="L128" s="79">
        <v>213418.51</v>
      </c>
    </row>
    <row r="129" spans="1:12" ht="71.400000000000006" x14ac:dyDescent="0.3">
      <c r="A129" s="73" t="s">
        <v>167</v>
      </c>
      <c r="B129" s="74" t="s">
        <v>662</v>
      </c>
      <c r="C129" s="74" t="s">
        <v>663</v>
      </c>
      <c r="D129" s="74" t="s">
        <v>666</v>
      </c>
      <c r="E129" s="75" t="s">
        <v>42</v>
      </c>
      <c r="F129" s="81" t="s">
        <v>15</v>
      </c>
      <c r="G129" s="81"/>
      <c r="H129" s="75" t="s">
        <v>13</v>
      </c>
      <c r="I129" s="82">
        <v>508.35</v>
      </c>
      <c r="J129" s="82"/>
      <c r="K129" s="78" t="s">
        <v>8</v>
      </c>
      <c r="L129" s="79">
        <v>212910.16</v>
      </c>
    </row>
    <row r="130" spans="1:12" ht="61.2" x14ac:dyDescent="0.3">
      <c r="A130" s="73" t="s">
        <v>167</v>
      </c>
      <c r="B130" s="74" t="s">
        <v>662</v>
      </c>
      <c r="C130" s="74" t="s">
        <v>663</v>
      </c>
      <c r="D130" s="74" t="s">
        <v>657</v>
      </c>
      <c r="E130" s="75" t="s">
        <v>42</v>
      </c>
      <c r="F130" s="81" t="s">
        <v>15</v>
      </c>
      <c r="G130" s="81"/>
      <c r="H130" s="75" t="s">
        <v>13</v>
      </c>
      <c r="I130" s="83">
        <v>2051.6999999999998</v>
      </c>
      <c r="J130" s="83"/>
      <c r="K130" s="78" t="s">
        <v>8</v>
      </c>
      <c r="L130" s="79">
        <v>210858.46</v>
      </c>
    </row>
    <row r="131" spans="1:12" ht="61.2" x14ac:dyDescent="0.3">
      <c r="A131" s="73" t="s">
        <v>167</v>
      </c>
      <c r="B131" s="74" t="s">
        <v>662</v>
      </c>
      <c r="C131" s="74" t="s">
        <v>663</v>
      </c>
      <c r="D131" s="74" t="s">
        <v>643</v>
      </c>
      <c r="E131" s="75" t="s">
        <v>42</v>
      </c>
      <c r="F131" s="81" t="s">
        <v>15</v>
      </c>
      <c r="G131" s="81"/>
      <c r="H131" s="75" t="s">
        <v>13</v>
      </c>
      <c r="I131" s="83">
        <v>1620</v>
      </c>
      <c r="J131" s="83"/>
      <c r="K131" s="78" t="s">
        <v>8</v>
      </c>
      <c r="L131" s="79">
        <v>209238.46</v>
      </c>
    </row>
    <row r="132" spans="1:12" ht="61.2" x14ac:dyDescent="0.3">
      <c r="A132" s="73" t="s">
        <v>167</v>
      </c>
      <c r="B132" s="74" t="s">
        <v>662</v>
      </c>
      <c r="C132" s="74" t="s">
        <v>663</v>
      </c>
      <c r="D132" s="74" t="s">
        <v>667</v>
      </c>
      <c r="E132" s="75" t="s">
        <v>42</v>
      </c>
      <c r="F132" s="81" t="s">
        <v>15</v>
      </c>
      <c r="G132" s="81"/>
      <c r="H132" s="75" t="s">
        <v>13</v>
      </c>
      <c r="I132" s="82">
        <v>990.75</v>
      </c>
      <c r="J132" s="82"/>
      <c r="K132" s="78" t="s">
        <v>8</v>
      </c>
      <c r="L132" s="79">
        <v>208247.71</v>
      </c>
    </row>
    <row r="133" spans="1:12" ht="71.400000000000006" x14ac:dyDescent="0.3">
      <c r="A133" s="73" t="s">
        <v>167</v>
      </c>
      <c r="B133" s="74" t="s">
        <v>662</v>
      </c>
      <c r="C133" s="74" t="s">
        <v>663</v>
      </c>
      <c r="D133" s="74" t="s">
        <v>668</v>
      </c>
      <c r="E133" s="75" t="s">
        <v>42</v>
      </c>
      <c r="F133" s="81" t="s">
        <v>15</v>
      </c>
      <c r="G133" s="81"/>
      <c r="H133" s="75" t="s">
        <v>13</v>
      </c>
      <c r="I133" s="82">
        <v>205</v>
      </c>
      <c r="J133" s="82"/>
      <c r="K133" s="78" t="s">
        <v>8</v>
      </c>
      <c r="L133" s="79">
        <v>208042.71</v>
      </c>
    </row>
    <row r="134" spans="1:12" ht="61.2" x14ac:dyDescent="0.3">
      <c r="A134" s="73" t="s">
        <v>167</v>
      </c>
      <c r="B134" s="74" t="s">
        <v>662</v>
      </c>
      <c r="C134" s="74" t="s">
        <v>663</v>
      </c>
      <c r="D134" s="74" t="s">
        <v>642</v>
      </c>
      <c r="E134" s="75" t="s">
        <v>42</v>
      </c>
      <c r="F134" s="81" t="s">
        <v>15</v>
      </c>
      <c r="G134" s="81"/>
      <c r="H134" s="75" t="s">
        <v>13</v>
      </c>
      <c r="I134" s="82">
        <v>335.1</v>
      </c>
      <c r="J134" s="82"/>
      <c r="K134" s="78" t="s">
        <v>8</v>
      </c>
      <c r="L134" s="79">
        <v>207707.61</v>
      </c>
    </row>
    <row r="135" spans="1:12" ht="71.400000000000006" x14ac:dyDescent="0.3">
      <c r="A135" s="73" t="s">
        <v>167</v>
      </c>
      <c r="B135" s="74" t="s">
        <v>662</v>
      </c>
      <c r="C135" s="74" t="s">
        <v>663</v>
      </c>
      <c r="D135" s="74" t="s">
        <v>569</v>
      </c>
      <c r="E135" s="75" t="s">
        <v>42</v>
      </c>
      <c r="F135" s="81" t="s">
        <v>15</v>
      </c>
      <c r="G135" s="81"/>
      <c r="H135" s="75" t="s">
        <v>13</v>
      </c>
      <c r="I135" s="82">
        <v>532.95000000000005</v>
      </c>
      <c r="J135" s="82"/>
      <c r="K135" s="78" t="s">
        <v>8</v>
      </c>
      <c r="L135" s="79">
        <v>207174.66</v>
      </c>
    </row>
    <row r="136" spans="1:12" ht="71.400000000000006" x14ac:dyDescent="0.3">
      <c r="A136" s="73" t="s">
        <v>167</v>
      </c>
      <c r="B136" s="74" t="s">
        <v>662</v>
      </c>
      <c r="C136" s="74" t="s">
        <v>663</v>
      </c>
      <c r="D136" s="74" t="s">
        <v>559</v>
      </c>
      <c r="E136" s="75" t="s">
        <v>42</v>
      </c>
      <c r="F136" s="81" t="s">
        <v>15</v>
      </c>
      <c r="G136" s="81"/>
      <c r="H136" s="75" t="s">
        <v>13</v>
      </c>
      <c r="I136" s="82">
        <v>297.85000000000002</v>
      </c>
      <c r="J136" s="82"/>
      <c r="K136" s="78" t="s">
        <v>8</v>
      </c>
      <c r="L136" s="79">
        <v>206876.81</v>
      </c>
    </row>
    <row r="137" spans="1:12" ht="61.2" hidden="1" x14ac:dyDescent="0.3">
      <c r="A137" s="73" t="s">
        <v>245</v>
      </c>
      <c r="B137" s="74" t="s">
        <v>246</v>
      </c>
      <c r="C137" s="74" t="s">
        <v>247</v>
      </c>
      <c r="D137" s="74" t="s">
        <v>248</v>
      </c>
      <c r="E137" s="75" t="s">
        <v>13</v>
      </c>
      <c r="F137" s="81" t="s">
        <v>15</v>
      </c>
      <c r="G137" s="81"/>
      <c r="H137" s="75" t="s">
        <v>13</v>
      </c>
      <c r="I137" s="82">
        <v>360</v>
      </c>
      <c r="J137" s="82"/>
      <c r="K137" s="78" t="s">
        <v>8</v>
      </c>
      <c r="L137" s="79">
        <v>206516.81</v>
      </c>
    </row>
    <row r="138" spans="1:12" ht="61.2" hidden="1" x14ac:dyDescent="0.3">
      <c r="A138" s="73" t="s">
        <v>245</v>
      </c>
      <c r="B138" s="74" t="s">
        <v>246</v>
      </c>
      <c r="C138" s="74" t="s">
        <v>249</v>
      </c>
      <c r="D138" s="74" t="s">
        <v>250</v>
      </c>
      <c r="E138" s="75" t="s">
        <v>13</v>
      </c>
      <c r="F138" s="81" t="s">
        <v>15</v>
      </c>
      <c r="G138" s="81"/>
      <c r="H138" s="75" t="s">
        <v>13</v>
      </c>
      <c r="I138" s="83">
        <v>1106</v>
      </c>
      <c r="J138" s="83"/>
      <c r="K138" s="78" t="s">
        <v>8</v>
      </c>
      <c r="L138" s="79">
        <v>205410.81</v>
      </c>
    </row>
    <row r="139" spans="1:12" ht="61.2" hidden="1" x14ac:dyDescent="0.3">
      <c r="A139" s="73" t="s">
        <v>245</v>
      </c>
      <c r="B139" s="74" t="s">
        <v>246</v>
      </c>
      <c r="C139" s="74" t="s">
        <v>251</v>
      </c>
      <c r="D139" s="74" t="s">
        <v>252</v>
      </c>
      <c r="E139" s="75" t="s">
        <v>13</v>
      </c>
      <c r="F139" s="81" t="s">
        <v>15</v>
      </c>
      <c r="G139" s="81"/>
      <c r="H139" s="75" t="s">
        <v>13</v>
      </c>
      <c r="I139" s="83">
        <v>2750.1</v>
      </c>
      <c r="J139" s="83"/>
      <c r="K139" s="78" t="s">
        <v>8</v>
      </c>
      <c r="L139" s="79">
        <v>202660.71</v>
      </c>
    </row>
    <row r="140" spans="1:12" ht="71.400000000000006" hidden="1" x14ac:dyDescent="0.3">
      <c r="A140" s="73" t="s">
        <v>245</v>
      </c>
      <c r="B140" s="74" t="s">
        <v>246</v>
      </c>
      <c r="C140" s="74" t="s">
        <v>253</v>
      </c>
      <c r="D140" s="74" t="s">
        <v>254</v>
      </c>
      <c r="E140" s="75" t="s">
        <v>13</v>
      </c>
      <c r="F140" s="81" t="s">
        <v>15</v>
      </c>
      <c r="G140" s="81"/>
      <c r="H140" s="75" t="s">
        <v>13</v>
      </c>
      <c r="I140" s="83">
        <v>1516.64</v>
      </c>
      <c r="J140" s="83"/>
      <c r="K140" s="78" t="s">
        <v>8</v>
      </c>
      <c r="L140" s="79">
        <v>201144.07</v>
      </c>
    </row>
    <row r="141" spans="1:12" ht="61.2" hidden="1" x14ac:dyDescent="0.3">
      <c r="A141" s="73" t="s">
        <v>245</v>
      </c>
      <c r="B141" s="74" t="s">
        <v>246</v>
      </c>
      <c r="C141" s="74" t="s">
        <v>255</v>
      </c>
      <c r="D141" s="74" t="s">
        <v>256</v>
      </c>
      <c r="E141" s="75" t="s">
        <v>13</v>
      </c>
      <c r="F141" s="81" t="s">
        <v>15</v>
      </c>
      <c r="G141" s="81"/>
      <c r="H141" s="75" t="s">
        <v>13</v>
      </c>
      <c r="I141" s="82">
        <v>929.3</v>
      </c>
      <c r="J141" s="82"/>
      <c r="K141" s="78" t="s">
        <v>8</v>
      </c>
      <c r="L141" s="79">
        <v>200214.77</v>
      </c>
    </row>
    <row r="142" spans="1:12" ht="61.2" hidden="1" x14ac:dyDescent="0.3">
      <c r="A142" s="73" t="s">
        <v>245</v>
      </c>
      <c r="B142" s="74" t="s">
        <v>246</v>
      </c>
      <c r="C142" s="74" t="s">
        <v>257</v>
      </c>
      <c r="D142" s="74" t="s">
        <v>258</v>
      </c>
      <c r="E142" s="75" t="s">
        <v>13</v>
      </c>
      <c r="F142" s="81" t="s">
        <v>15</v>
      </c>
      <c r="G142" s="81"/>
      <c r="H142" s="75" t="s">
        <v>13</v>
      </c>
      <c r="I142" s="83">
        <v>1755</v>
      </c>
      <c r="J142" s="83"/>
      <c r="K142" s="78" t="s">
        <v>8</v>
      </c>
      <c r="L142" s="79">
        <v>198459.77</v>
      </c>
    </row>
    <row r="143" spans="1:12" ht="61.2" hidden="1" x14ac:dyDescent="0.3">
      <c r="A143" s="73" t="s">
        <v>245</v>
      </c>
      <c r="B143" s="74" t="s">
        <v>246</v>
      </c>
      <c r="C143" s="74" t="s">
        <v>259</v>
      </c>
      <c r="D143" s="74" t="s">
        <v>260</v>
      </c>
      <c r="E143" s="75" t="s">
        <v>13</v>
      </c>
      <c r="F143" s="81" t="s">
        <v>15</v>
      </c>
      <c r="G143" s="81"/>
      <c r="H143" s="75" t="s">
        <v>13</v>
      </c>
      <c r="I143" s="82">
        <v>119</v>
      </c>
      <c r="J143" s="82"/>
      <c r="K143" s="78" t="s">
        <v>8</v>
      </c>
      <c r="L143" s="79">
        <v>198340.77</v>
      </c>
    </row>
    <row r="144" spans="1:12" ht="71.400000000000006" hidden="1" x14ac:dyDescent="0.3">
      <c r="A144" s="73" t="s">
        <v>245</v>
      </c>
      <c r="B144" s="74" t="s">
        <v>246</v>
      </c>
      <c r="C144" s="74" t="s">
        <v>261</v>
      </c>
      <c r="D144" s="74" t="s">
        <v>262</v>
      </c>
      <c r="E144" s="75" t="s">
        <v>13</v>
      </c>
      <c r="F144" s="81" t="s">
        <v>15</v>
      </c>
      <c r="G144" s="81"/>
      <c r="H144" s="75" t="s">
        <v>13</v>
      </c>
      <c r="I144" s="82">
        <v>126.8</v>
      </c>
      <c r="J144" s="82"/>
      <c r="K144" s="78" t="s">
        <v>8</v>
      </c>
      <c r="L144" s="79">
        <v>198213.97</v>
      </c>
    </row>
    <row r="145" spans="1:12" ht="71.400000000000006" hidden="1" x14ac:dyDescent="0.3">
      <c r="A145" s="73" t="s">
        <v>245</v>
      </c>
      <c r="B145" s="74" t="s">
        <v>246</v>
      </c>
      <c r="C145" s="74" t="s">
        <v>263</v>
      </c>
      <c r="D145" s="74" t="s">
        <v>264</v>
      </c>
      <c r="E145" s="75" t="s">
        <v>13</v>
      </c>
      <c r="F145" s="81" t="s">
        <v>15</v>
      </c>
      <c r="G145" s="81"/>
      <c r="H145" s="75" t="s">
        <v>13</v>
      </c>
      <c r="I145" s="83">
        <v>2325</v>
      </c>
      <c r="J145" s="83"/>
      <c r="K145" s="78" t="s">
        <v>8</v>
      </c>
      <c r="L145" s="79">
        <v>195888.97</v>
      </c>
    </row>
    <row r="146" spans="1:12" ht="81.599999999999994" hidden="1" x14ac:dyDescent="0.3">
      <c r="A146" s="73" t="s">
        <v>245</v>
      </c>
      <c r="B146" s="74" t="s">
        <v>246</v>
      </c>
      <c r="C146" s="74" t="s">
        <v>265</v>
      </c>
      <c r="D146" s="74" t="s">
        <v>266</v>
      </c>
      <c r="E146" s="75" t="s">
        <v>13</v>
      </c>
      <c r="F146" s="81" t="s">
        <v>15</v>
      </c>
      <c r="G146" s="81"/>
      <c r="H146" s="75" t="s">
        <v>13</v>
      </c>
      <c r="I146" s="82">
        <v>958.5</v>
      </c>
      <c r="J146" s="82"/>
      <c r="K146" s="78" t="s">
        <v>8</v>
      </c>
      <c r="L146" s="79">
        <v>194930.47</v>
      </c>
    </row>
    <row r="147" spans="1:12" ht="71.400000000000006" hidden="1" x14ac:dyDescent="0.3">
      <c r="A147" s="73" t="s">
        <v>245</v>
      </c>
      <c r="B147" s="74" t="s">
        <v>246</v>
      </c>
      <c r="C147" s="74" t="s">
        <v>267</v>
      </c>
      <c r="D147" s="74" t="s">
        <v>268</v>
      </c>
      <c r="E147" s="75" t="s">
        <v>13</v>
      </c>
      <c r="F147" s="81" t="s">
        <v>15</v>
      </c>
      <c r="G147" s="81"/>
      <c r="H147" s="75" t="s">
        <v>13</v>
      </c>
      <c r="I147" s="82">
        <v>500.83</v>
      </c>
      <c r="J147" s="82"/>
      <c r="K147" s="78" t="s">
        <v>8</v>
      </c>
      <c r="L147" s="79">
        <v>194429.64</v>
      </c>
    </row>
    <row r="148" spans="1:12" ht="61.2" hidden="1" x14ac:dyDescent="0.3">
      <c r="A148" s="73" t="s">
        <v>245</v>
      </c>
      <c r="B148" s="74" t="s">
        <v>246</v>
      </c>
      <c r="C148" s="74" t="s">
        <v>269</v>
      </c>
      <c r="D148" s="74" t="s">
        <v>270</v>
      </c>
      <c r="E148" s="75" t="s">
        <v>13</v>
      </c>
      <c r="F148" s="81" t="s">
        <v>15</v>
      </c>
      <c r="G148" s="81"/>
      <c r="H148" s="75" t="s">
        <v>13</v>
      </c>
      <c r="I148" s="83">
        <v>1283.4000000000001</v>
      </c>
      <c r="J148" s="83"/>
      <c r="K148" s="78" t="s">
        <v>8</v>
      </c>
      <c r="L148" s="79">
        <v>193146.23999999999</v>
      </c>
    </row>
    <row r="149" spans="1:12" ht="61.2" hidden="1" x14ac:dyDescent="0.3">
      <c r="A149" s="73" t="s">
        <v>245</v>
      </c>
      <c r="B149" s="74" t="s">
        <v>246</v>
      </c>
      <c r="C149" s="74" t="s">
        <v>271</v>
      </c>
      <c r="D149" s="74" t="s">
        <v>272</v>
      </c>
      <c r="E149" s="75" t="s">
        <v>13</v>
      </c>
      <c r="F149" s="81" t="s">
        <v>15</v>
      </c>
      <c r="G149" s="81"/>
      <c r="H149" s="75" t="s">
        <v>13</v>
      </c>
      <c r="I149" s="83">
        <v>3073.6</v>
      </c>
      <c r="J149" s="83"/>
      <c r="K149" s="78" t="s">
        <v>8</v>
      </c>
      <c r="L149" s="79">
        <v>190072.64</v>
      </c>
    </row>
    <row r="150" spans="1:12" ht="61.2" hidden="1" x14ac:dyDescent="0.3">
      <c r="A150" s="73" t="s">
        <v>245</v>
      </c>
      <c r="B150" s="74" t="s">
        <v>246</v>
      </c>
      <c r="C150" s="74" t="s">
        <v>273</v>
      </c>
      <c r="D150" s="74" t="s">
        <v>274</v>
      </c>
      <c r="E150" s="75" t="s">
        <v>13</v>
      </c>
      <c r="F150" s="81" t="s">
        <v>15</v>
      </c>
      <c r="G150" s="81"/>
      <c r="H150" s="75" t="s">
        <v>13</v>
      </c>
      <c r="I150" s="82">
        <v>983.4</v>
      </c>
      <c r="J150" s="82"/>
      <c r="K150" s="78" t="s">
        <v>8</v>
      </c>
      <c r="L150" s="79">
        <v>189089.24</v>
      </c>
    </row>
    <row r="151" spans="1:12" ht="61.2" hidden="1" x14ac:dyDescent="0.3">
      <c r="A151" s="73" t="s">
        <v>245</v>
      </c>
      <c r="B151" s="74" t="s">
        <v>246</v>
      </c>
      <c r="C151" s="74" t="s">
        <v>275</v>
      </c>
      <c r="D151" s="74" t="s">
        <v>276</v>
      </c>
      <c r="E151" s="75" t="s">
        <v>13</v>
      </c>
      <c r="F151" s="81" t="s">
        <v>15</v>
      </c>
      <c r="G151" s="81"/>
      <c r="H151" s="75" t="s">
        <v>13</v>
      </c>
      <c r="I151" s="83">
        <v>2000</v>
      </c>
      <c r="J151" s="83"/>
      <c r="K151" s="78" t="s">
        <v>8</v>
      </c>
      <c r="L151" s="79">
        <v>187089.24</v>
      </c>
    </row>
    <row r="152" spans="1:12" ht="61.2" hidden="1" x14ac:dyDescent="0.3">
      <c r="A152" s="73" t="s">
        <v>245</v>
      </c>
      <c r="B152" s="74" t="s">
        <v>246</v>
      </c>
      <c r="C152" s="74" t="s">
        <v>277</v>
      </c>
      <c r="D152" s="74" t="s">
        <v>278</v>
      </c>
      <c r="E152" s="75" t="s">
        <v>13</v>
      </c>
      <c r="F152" s="81" t="s">
        <v>15</v>
      </c>
      <c r="G152" s="81"/>
      <c r="H152" s="75" t="s">
        <v>13</v>
      </c>
      <c r="I152" s="82">
        <v>364.65</v>
      </c>
      <c r="J152" s="82"/>
      <c r="K152" s="78" t="s">
        <v>8</v>
      </c>
      <c r="L152" s="79">
        <v>186724.59</v>
      </c>
    </row>
    <row r="153" spans="1:12" ht="61.2" hidden="1" x14ac:dyDescent="0.3">
      <c r="A153" s="73" t="s">
        <v>328</v>
      </c>
      <c r="B153" s="74" t="s">
        <v>669</v>
      </c>
      <c r="C153" s="74" t="s">
        <v>670</v>
      </c>
      <c r="D153" s="74" t="s">
        <v>671</v>
      </c>
      <c r="E153" s="75" t="s">
        <v>13</v>
      </c>
      <c r="F153" s="76">
        <v>240</v>
      </c>
      <c r="G153" s="76"/>
      <c r="H153" s="75" t="s">
        <v>13</v>
      </c>
      <c r="I153" s="77" t="s">
        <v>15</v>
      </c>
      <c r="J153" s="77"/>
      <c r="K153" s="78" t="s">
        <v>8</v>
      </c>
      <c r="L153" s="79">
        <v>186964.59</v>
      </c>
    </row>
    <row r="154" spans="1:12" ht="61.2" hidden="1" x14ac:dyDescent="0.3">
      <c r="A154" s="73" t="s">
        <v>328</v>
      </c>
      <c r="B154" s="74" t="s">
        <v>669</v>
      </c>
      <c r="C154" s="74" t="s">
        <v>670</v>
      </c>
      <c r="D154" s="74" t="s">
        <v>672</v>
      </c>
      <c r="E154" s="75" t="s">
        <v>13</v>
      </c>
      <c r="F154" s="80">
        <v>1200</v>
      </c>
      <c r="G154" s="80"/>
      <c r="H154" s="75" t="s">
        <v>13</v>
      </c>
      <c r="I154" s="77" t="s">
        <v>15</v>
      </c>
      <c r="J154" s="77"/>
      <c r="K154" s="78" t="s">
        <v>8</v>
      </c>
      <c r="L154" s="79">
        <v>188164.59</v>
      </c>
    </row>
    <row r="155" spans="1:12" ht="61.2" hidden="1" x14ac:dyDescent="0.3">
      <c r="A155" s="73" t="s">
        <v>328</v>
      </c>
      <c r="B155" s="74" t="s">
        <v>669</v>
      </c>
      <c r="C155" s="74" t="s">
        <v>673</v>
      </c>
      <c r="D155" s="74" t="s">
        <v>674</v>
      </c>
      <c r="E155" s="75" t="s">
        <v>13</v>
      </c>
      <c r="F155" s="76">
        <v>330</v>
      </c>
      <c r="G155" s="76"/>
      <c r="H155" s="75" t="s">
        <v>13</v>
      </c>
      <c r="I155" s="77" t="s">
        <v>15</v>
      </c>
      <c r="J155" s="77"/>
      <c r="K155" s="78" t="s">
        <v>8</v>
      </c>
      <c r="L155" s="79">
        <v>188494.59</v>
      </c>
    </row>
    <row r="156" spans="1:12" ht="61.2" hidden="1" x14ac:dyDescent="0.3">
      <c r="A156" s="73" t="s">
        <v>328</v>
      </c>
      <c r="B156" s="74" t="s">
        <v>669</v>
      </c>
      <c r="C156" s="74" t="s">
        <v>673</v>
      </c>
      <c r="D156" s="74" t="s">
        <v>675</v>
      </c>
      <c r="E156" s="75" t="s">
        <v>13</v>
      </c>
      <c r="F156" s="80">
        <v>1650</v>
      </c>
      <c r="G156" s="80"/>
      <c r="H156" s="75" t="s">
        <v>13</v>
      </c>
      <c r="I156" s="77" t="s">
        <v>15</v>
      </c>
      <c r="J156" s="77"/>
      <c r="K156" s="78" t="s">
        <v>8</v>
      </c>
      <c r="L156" s="79">
        <v>190144.59</v>
      </c>
    </row>
    <row r="157" spans="1:12" ht="61.2" hidden="1" x14ac:dyDescent="0.3">
      <c r="A157" s="73" t="s">
        <v>328</v>
      </c>
      <c r="B157" s="74" t="s">
        <v>669</v>
      </c>
      <c r="C157" s="74" t="s">
        <v>676</v>
      </c>
      <c r="D157" s="74" t="s">
        <v>677</v>
      </c>
      <c r="E157" s="75" t="s">
        <v>13</v>
      </c>
      <c r="F157" s="76">
        <v>100</v>
      </c>
      <c r="G157" s="76"/>
      <c r="H157" s="75" t="s">
        <v>13</v>
      </c>
      <c r="I157" s="77" t="s">
        <v>15</v>
      </c>
      <c r="J157" s="77"/>
      <c r="K157" s="78" t="s">
        <v>8</v>
      </c>
      <c r="L157" s="79">
        <v>190244.59</v>
      </c>
    </row>
    <row r="158" spans="1:12" ht="61.2" hidden="1" x14ac:dyDescent="0.3">
      <c r="A158" s="73" t="s">
        <v>328</v>
      </c>
      <c r="B158" s="74" t="s">
        <v>669</v>
      </c>
      <c r="C158" s="74" t="s">
        <v>676</v>
      </c>
      <c r="D158" s="74" t="s">
        <v>678</v>
      </c>
      <c r="E158" s="75" t="s">
        <v>13</v>
      </c>
      <c r="F158" s="76">
        <v>500</v>
      </c>
      <c r="G158" s="76"/>
      <c r="H158" s="75" t="s">
        <v>13</v>
      </c>
      <c r="I158" s="77" t="s">
        <v>15</v>
      </c>
      <c r="J158" s="77"/>
      <c r="K158" s="78" t="s">
        <v>8</v>
      </c>
      <c r="L158" s="79">
        <v>190744.59</v>
      </c>
    </row>
    <row r="159" spans="1:12" hidden="1" x14ac:dyDescent="0.3">
      <c r="A159" s="84" t="s">
        <v>353</v>
      </c>
      <c r="B159" s="84"/>
      <c r="C159" s="84"/>
      <c r="D159" s="84"/>
      <c r="E159" s="85">
        <v>97381.11</v>
      </c>
      <c r="F159" s="85"/>
      <c r="G159" s="85"/>
      <c r="H159" s="85">
        <v>120683.86</v>
      </c>
      <c r="I159" s="85"/>
      <c r="J159" s="85"/>
      <c r="K159" s="86" t="s">
        <v>8</v>
      </c>
      <c r="L159" s="87">
        <v>190744.59</v>
      </c>
    </row>
    <row r="161" spans="10:10" x14ac:dyDescent="0.3">
      <c r="J161" s="31">
        <f>SUBTOTAL(9,I54:J136)</f>
        <v>95251.040000000008</v>
      </c>
    </row>
    <row r="163" spans="10:10" x14ac:dyDescent="0.3">
      <c r="J163" s="31">
        <f>J161*1.2</f>
        <v>114301.24800000001</v>
      </c>
    </row>
  </sheetData>
  <autoFilter ref="B1:D159" xr:uid="{C5B1A59E-F75F-4E6A-8FA1-7AF42B25C580}">
    <filterColumn colId="0">
      <filters>
        <filter val="Передача малоцінних активів в експлуатацію ІБ00-000654 від 20.12.2025 18:19:01_x000a_Списание стоимости малоценных активов"/>
        <filter val="Реалізація товарів і послуг ІБ00-000097 від 16.12.2025 00:00:00_x000a_Списаны ТМЦ"/>
      </filters>
    </filterColumn>
  </autoFilter>
  <mergeCells count="324">
    <mergeCell ref="F157:G157"/>
    <mergeCell ref="I157:J157"/>
    <mergeCell ref="F158:G158"/>
    <mergeCell ref="I158:J158"/>
    <mergeCell ref="A159:D159"/>
    <mergeCell ref="E159:G159"/>
    <mergeCell ref="H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AC2D-A8FC-4322-915D-400ADBC0667E}">
  <sheetPr filterMode="1"/>
  <dimension ref="A1:L34"/>
  <sheetViews>
    <sheetView topLeftCell="A28" workbookViewId="0">
      <selection activeCell="J34" sqref="J34"/>
    </sheetView>
  </sheetViews>
  <sheetFormatPr defaultRowHeight="14.4" x14ac:dyDescent="0.3"/>
  <cols>
    <col min="2" max="4" width="28.5546875" customWidth="1"/>
    <col min="10" max="10" width="9.88671875" bestFit="1" customWidth="1"/>
  </cols>
  <sheetData>
    <row r="1" spans="1:12" x14ac:dyDescent="0.3">
      <c r="A1" s="200" t="s">
        <v>0</v>
      </c>
      <c r="B1" s="201" t="s">
        <v>1</v>
      </c>
      <c r="C1" s="201" t="s">
        <v>2</v>
      </c>
      <c r="D1" s="202" t="s">
        <v>3</v>
      </c>
      <c r="E1" s="203" t="s">
        <v>4</v>
      </c>
      <c r="F1" s="203"/>
      <c r="G1" s="203"/>
      <c r="H1" s="204" t="s">
        <v>5</v>
      </c>
      <c r="I1" s="204"/>
      <c r="J1" s="204"/>
      <c r="K1" s="201" t="s">
        <v>6</v>
      </c>
      <c r="L1" s="201"/>
    </row>
    <row r="2" spans="1:12" hidden="1" x14ac:dyDescent="0.3">
      <c r="A2" s="205"/>
      <c r="B2" s="206"/>
      <c r="C2" s="206"/>
      <c r="D2" s="207"/>
      <c r="E2" s="208" t="s">
        <v>7</v>
      </c>
      <c r="F2" s="209"/>
      <c r="G2" s="209"/>
      <c r="H2" s="210" t="s">
        <v>7</v>
      </c>
      <c r="I2" s="211"/>
      <c r="J2" s="211"/>
      <c r="K2" s="205"/>
      <c r="L2" s="212"/>
    </row>
    <row r="3" spans="1:12" ht="51" hidden="1" x14ac:dyDescent="0.3">
      <c r="A3" s="213" t="s">
        <v>9</v>
      </c>
      <c r="B3" s="214" t="s">
        <v>552</v>
      </c>
      <c r="C3" s="214" t="s">
        <v>2324</v>
      </c>
      <c r="D3" s="214" t="s">
        <v>554</v>
      </c>
      <c r="E3" s="215" t="s">
        <v>283</v>
      </c>
      <c r="F3" s="216">
        <v>762</v>
      </c>
      <c r="G3" s="216"/>
      <c r="H3" s="215" t="s">
        <v>14</v>
      </c>
      <c r="I3" s="217" t="s">
        <v>15</v>
      </c>
      <c r="J3" s="217"/>
      <c r="K3" s="218" t="s">
        <v>8</v>
      </c>
      <c r="L3" s="219">
        <v>576876.96</v>
      </c>
    </row>
    <row r="4" spans="1:12" ht="61.2" hidden="1" x14ac:dyDescent="0.3">
      <c r="A4" s="213" t="s">
        <v>9</v>
      </c>
      <c r="B4" s="214" t="s">
        <v>552</v>
      </c>
      <c r="C4" s="214" t="s">
        <v>2325</v>
      </c>
      <c r="D4" s="214" t="s">
        <v>554</v>
      </c>
      <c r="E4" s="215" t="s">
        <v>283</v>
      </c>
      <c r="F4" s="216">
        <v>204</v>
      </c>
      <c r="G4" s="216"/>
      <c r="H4" s="215" t="s">
        <v>14</v>
      </c>
      <c r="I4" s="217" t="s">
        <v>15</v>
      </c>
      <c r="J4" s="217"/>
      <c r="K4" s="218" t="s">
        <v>8</v>
      </c>
      <c r="L4" s="219">
        <v>577080.96</v>
      </c>
    </row>
    <row r="5" spans="1:12" ht="51" hidden="1" x14ac:dyDescent="0.3">
      <c r="A5" s="213" t="s">
        <v>9</v>
      </c>
      <c r="B5" s="214" t="s">
        <v>2326</v>
      </c>
      <c r="C5" s="214" t="s">
        <v>2327</v>
      </c>
      <c r="D5" s="214" t="s">
        <v>2328</v>
      </c>
      <c r="E5" s="215" t="s">
        <v>283</v>
      </c>
      <c r="F5" s="220">
        <v>363253.28</v>
      </c>
      <c r="G5" s="220"/>
      <c r="H5" s="215" t="s">
        <v>14</v>
      </c>
      <c r="I5" s="217" t="s">
        <v>15</v>
      </c>
      <c r="J5" s="217"/>
      <c r="K5" s="218" t="s">
        <v>8</v>
      </c>
      <c r="L5" s="219">
        <v>940334.24</v>
      </c>
    </row>
    <row r="6" spans="1:12" ht="51" hidden="1" x14ac:dyDescent="0.3">
      <c r="A6" s="213" t="s">
        <v>9</v>
      </c>
      <c r="B6" s="214" t="s">
        <v>2329</v>
      </c>
      <c r="C6" s="214" t="s">
        <v>2330</v>
      </c>
      <c r="D6" s="214" t="s">
        <v>2331</v>
      </c>
      <c r="E6" s="215" t="s">
        <v>283</v>
      </c>
      <c r="F6" s="216">
        <v>650</v>
      </c>
      <c r="G6" s="216"/>
      <c r="H6" s="215" t="s">
        <v>14</v>
      </c>
      <c r="I6" s="217" t="s">
        <v>15</v>
      </c>
      <c r="J6" s="217"/>
      <c r="K6" s="218" t="s">
        <v>8</v>
      </c>
      <c r="L6" s="219">
        <v>940984.24</v>
      </c>
    </row>
    <row r="7" spans="1:12" ht="51" hidden="1" x14ac:dyDescent="0.3">
      <c r="A7" s="213" t="s">
        <v>9</v>
      </c>
      <c r="B7" s="214" t="s">
        <v>2332</v>
      </c>
      <c r="C7" s="214" t="s">
        <v>2324</v>
      </c>
      <c r="D7" s="214" t="s">
        <v>554</v>
      </c>
      <c r="E7" s="215" t="s">
        <v>283</v>
      </c>
      <c r="F7" s="216">
        <v>50</v>
      </c>
      <c r="G7" s="216"/>
      <c r="H7" s="215" t="s">
        <v>14</v>
      </c>
      <c r="I7" s="217" t="s">
        <v>15</v>
      </c>
      <c r="J7" s="217"/>
      <c r="K7" s="218" t="s">
        <v>8</v>
      </c>
      <c r="L7" s="219">
        <v>941034.24</v>
      </c>
    </row>
    <row r="8" spans="1:12" ht="51" hidden="1" x14ac:dyDescent="0.3">
      <c r="A8" s="213" t="s">
        <v>9</v>
      </c>
      <c r="B8" s="214" t="s">
        <v>2333</v>
      </c>
      <c r="C8" s="214" t="s">
        <v>2327</v>
      </c>
      <c r="D8" s="214" t="s">
        <v>2334</v>
      </c>
      <c r="E8" s="215" t="s">
        <v>283</v>
      </c>
      <c r="F8" s="220">
        <v>27416.67</v>
      </c>
      <c r="G8" s="220"/>
      <c r="H8" s="215" t="s">
        <v>14</v>
      </c>
      <c r="I8" s="217" t="s">
        <v>15</v>
      </c>
      <c r="J8" s="217"/>
      <c r="K8" s="218" t="s">
        <v>8</v>
      </c>
      <c r="L8" s="219">
        <v>968450.91</v>
      </c>
    </row>
    <row r="9" spans="1:12" ht="51" hidden="1" x14ac:dyDescent="0.3">
      <c r="A9" s="213" t="s">
        <v>591</v>
      </c>
      <c r="B9" s="214" t="s">
        <v>592</v>
      </c>
      <c r="C9" s="214" t="s">
        <v>593</v>
      </c>
      <c r="D9" s="214" t="s">
        <v>567</v>
      </c>
      <c r="E9" s="215" t="s">
        <v>283</v>
      </c>
      <c r="F9" s="216">
        <v>167.4</v>
      </c>
      <c r="G9" s="216"/>
      <c r="H9" s="215" t="s">
        <v>13</v>
      </c>
      <c r="I9" s="217" t="s">
        <v>15</v>
      </c>
      <c r="J9" s="217"/>
      <c r="K9" s="218" t="s">
        <v>8</v>
      </c>
      <c r="L9" s="219">
        <v>968618.31</v>
      </c>
    </row>
    <row r="10" spans="1:12" ht="61.2" hidden="1" x14ac:dyDescent="0.3">
      <c r="A10" s="213" t="s">
        <v>591</v>
      </c>
      <c r="B10" s="214" t="s">
        <v>608</v>
      </c>
      <c r="C10" s="214" t="s">
        <v>609</v>
      </c>
      <c r="D10" s="214" t="s">
        <v>566</v>
      </c>
      <c r="E10" s="215" t="s">
        <v>283</v>
      </c>
      <c r="F10" s="216">
        <v>271.2</v>
      </c>
      <c r="G10" s="216"/>
      <c r="H10" s="215" t="s">
        <v>13</v>
      </c>
      <c r="I10" s="217" t="s">
        <v>15</v>
      </c>
      <c r="J10" s="217"/>
      <c r="K10" s="218" t="s">
        <v>8</v>
      </c>
      <c r="L10" s="219">
        <v>968889.51</v>
      </c>
    </row>
    <row r="11" spans="1:12" ht="51" hidden="1" x14ac:dyDescent="0.3">
      <c r="A11" s="213" t="s">
        <v>25</v>
      </c>
      <c r="B11" s="214" t="s">
        <v>2335</v>
      </c>
      <c r="C11" s="214" t="s">
        <v>2336</v>
      </c>
      <c r="D11" s="214" t="s">
        <v>2337</v>
      </c>
      <c r="E11" s="215" t="s">
        <v>283</v>
      </c>
      <c r="F11" s="220">
        <v>14677</v>
      </c>
      <c r="G11" s="220"/>
      <c r="H11" s="215" t="s">
        <v>14</v>
      </c>
      <c r="I11" s="217" t="s">
        <v>15</v>
      </c>
      <c r="J11" s="217"/>
      <c r="K11" s="218" t="s">
        <v>8</v>
      </c>
      <c r="L11" s="219">
        <v>983566.51</v>
      </c>
    </row>
    <row r="12" spans="1:12" ht="51" hidden="1" x14ac:dyDescent="0.3">
      <c r="A12" s="213" t="s">
        <v>1412</v>
      </c>
      <c r="B12" s="214" t="s">
        <v>2338</v>
      </c>
      <c r="C12" s="214" t="s">
        <v>2339</v>
      </c>
      <c r="D12" s="214" t="s">
        <v>2340</v>
      </c>
      <c r="E12" s="215" t="s">
        <v>283</v>
      </c>
      <c r="F12" s="220">
        <v>7948.15</v>
      </c>
      <c r="G12" s="220"/>
      <c r="H12" s="215" t="s">
        <v>283</v>
      </c>
      <c r="I12" s="217" t="s">
        <v>15</v>
      </c>
      <c r="J12" s="217"/>
      <c r="K12" s="218" t="s">
        <v>8</v>
      </c>
      <c r="L12" s="219">
        <v>991514.66</v>
      </c>
    </row>
    <row r="13" spans="1:12" ht="51" hidden="1" x14ac:dyDescent="0.3">
      <c r="A13" s="213" t="s">
        <v>1412</v>
      </c>
      <c r="B13" s="214" t="s">
        <v>2338</v>
      </c>
      <c r="C13" s="214" t="s">
        <v>2341</v>
      </c>
      <c r="D13" s="214" t="s">
        <v>2342</v>
      </c>
      <c r="E13" s="215" t="s">
        <v>283</v>
      </c>
      <c r="F13" s="220">
        <v>3849.6</v>
      </c>
      <c r="G13" s="220"/>
      <c r="H13" s="215" t="s">
        <v>13</v>
      </c>
      <c r="I13" s="217" t="s">
        <v>15</v>
      </c>
      <c r="J13" s="217"/>
      <c r="K13" s="218" t="s">
        <v>8</v>
      </c>
      <c r="L13" s="219">
        <v>995364.26</v>
      </c>
    </row>
    <row r="14" spans="1:12" ht="51" x14ac:dyDescent="0.3">
      <c r="A14" s="213" t="s">
        <v>74</v>
      </c>
      <c r="B14" s="214" t="s">
        <v>610</v>
      </c>
      <c r="C14" s="214" t="s">
        <v>611</v>
      </c>
      <c r="D14" s="214" t="s">
        <v>2343</v>
      </c>
      <c r="E14" s="215" t="s">
        <v>613</v>
      </c>
      <c r="F14" s="221" t="s">
        <v>15</v>
      </c>
      <c r="G14" s="221"/>
      <c r="H14" s="215" t="s">
        <v>283</v>
      </c>
      <c r="I14" s="222">
        <v>22770</v>
      </c>
      <c r="J14" s="222"/>
      <c r="K14" s="218" t="s">
        <v>8</v>
      </c>
      <c r="L14" s="219">
        <v>972594.26</v>
      </c>
    </row>
    <row r="15" spans="1:12" ht="61.2" x14ac:dyDescent="0.3">
      <c r="A15" s="213" t="s">
        <v>74</v>
      </c>
      <c r="B15" s="214" t="s">
        <v>610</v>
      </c>
      <c r="C15" s="214" t="s">
        <v>611</v>
      </c>
      <c r="D15" s="214" t="s">
        <v>2344</v>
      </c>
      <c r="E15" s="215" t="s">
        <v>613</v>
      </c>
      <c r="F15" s="221" t="s">
        <v>15</v>
      </c>
      <c r="G15" s="221"/>
      <c r="H15" s="215" t="s">
        <v>283</v>
      </c>
      <c r="I15" s="222">
        <v>7916.7</v>
      </c>
      <c r="J15" s="222"/>
      <c r="K15" s="218" t="s">
        <v>8</v>
      </c>
      <c r="L15" s="219">
        <v>964677.56</v>
      </c>
    </row>
    <row r="16" spans="1:12" ht="51" x14ac:dyDescent="0.3">
      <c r="A16" s="213" t="s">
        <v>74</v>
      </c>
      <c r="B16" s="214" t="s">
        <v>610</v>
      </c>
      <c r="C16" s="214" t="s">
        <v>611</v>
      </c>
      <c r="D16" s="214" t="s">
        <v>2345</v>
      </c>
      <c r="E16" s="215" t="s">
        <v>613</v>
      </c>
      <c r="F16" s="221" t="s">
        <v>15</v>
      </c>
      <c r="G16" s="221"/>
      <c r="H16" s="215" t="s">
        <v>283</v>
      </c>
      <c r="I16" s="222">
        <v>1412.5</v>
      </c>
      <c r="J16" s="222"/>
      <c r="K16" s="218" t="s">
        <v>8</v>
      </c>
      <c r="L16" s="219">
        <v>963265.06</v>
      </c>
    </row>
    <row r="17" spans="1:12" ht="51" x14ac:dyDescent="0.3">
      <c r="A17" s="213" t="s">
        <v>74</v>
      </c>
      <c r="B17" s="214" t="s">
        <v>610</v>
      </c>
      <c r="C17" s="214" t="s">
        <v>611</v>
      </c>
      <c r="D17" s="214" t="s">
        <v>2346</v>
      </c>
      <c r="E17" s="215" t="s">
        <v>613</v>
      </c>
      <c r="F17" s="221" t="s">
        <v>15</v>
      </c>
      <c r="G17" s="221"/>
      <c r="H17" s="215" t="s">
        <v>283</v>
      </c>
      <c r="I17" s="222">
        <v>25050</v>
      </c>
      <c r="J17" s="222"/>
      <c r="K17" s="218" t="s">
        <v>8</v>
      </c>
      <c r="L17" s="219">
        <v>938215.06</v>
      </c>
    </row>
    <row r="18" spans="1:12" ht="61.2" x14ac:dyDescent="0.3">
      <c r="A18" s="213" t="s">
        <v>74</v>
      </c>
      <c r="B18" s="214" t="s">
        <v>610</v>
      </c>
      <c r="C18" s="214" t="s">
        <v>611</v>
      </c>
      <c r="D18" s="214" t="s">
        <v>609</v>
      </c>
      <c r="E18" s="215" t="s">
        <v>613</v>
      </c>
      <c r="F18" s="221" t="s">
        <v>15</v>
      </c>
      <c r="G18" s="221"/>
      <c r="H18" s="215" t="s">
        <v>283</v>
      </c>
      <c r="I18" s="223">
        <v>271.2</v>
      </c>
      <c r="J18" s="223"/>
      <c r="K18" s="218" t="s">
        <v>8</v>
      </c>
      <c r="L18" s="219">
        <v>937943.86</v>
      </c>
    </row>
    <row r="19" spans="1:12" ht="51" x14ac:dyDescent="0.3">
      <c r="A19" s="213" t="s">
        <v>74</v>
      </c>
      <c r="B19" s="214" t="s">
        <v>610</v>
      </c>
      <c r="C19" s="214" t="s">
        <v>611</v>
      </c>
      <c r="D19" s="214" t="s">
        <v>593</v>
      </c>
      <c r="E19" s="215" t="s">
        <v>613</v>
      </c>
      <c r="F19" s="221" t="s">
        <v>15</v>
      </c>
      <c r="G19" s="221"/>
      <c r="H19" s="215" t="s">
        <v>283</v>
      </c>
      <c r="I19" s="223">
        <v>167.4</v>
      </c>
      <c r="J19" s="223"/>
      <c r="K19" s="218" t="s">
        <v>8</v>
      </c>
      <c r="L19" s="219">
        <v>937776.46</v>
      </c>
    </row>
    <row r="20" spans="1:12" ht="51" x14ac:dyDescent="0.3">
      <c r="A20" s="213" t="s">
        <v>74</v>
      </c>
      <c r="B20" s="214" t="s">
        <v>610</v>
      </c>
      <c r="C20" s="214" t="s">
        <v>611</v>
      </c>
      <c r="D20" s="214" t="s">
        <v>2341</v>
      </c>
      <c r="E20" s="215" t="s">
        <v>613</v>
      </c>
      <c r="F20" s="221" t="s">
        <v>15</v>
      </c>
      <c r="G20" s="221"/>
      <c r="H20" s="215" t="s">
        <v>283</v>
      </c>
      <c r="I20" s="222">
        <v>3849.6</v>
      </c>
      <c r="J20" s="222"/>
      <c r="K20" s="218" t="s">
        <v>8</v>
      </c>
      <c r="L20" s="219">
        <v>933926.86</v>
      </c>
    </row>
    <row r="21" spans="1:12" ht="51" x14ac:dyDescent="0.3">
      <c r="A21" s="213" t="s">
        <v>74</v>
      </c>
      <c r="B21" s="214" t="s">
        <v>610</v>
      </c>
      <c r="C21" s="214" t="s">
        <v>611</v>
      </c>
      <c r="D21" s="214" t="s">
        <v>2339</v>
      </c>
      <c r="E21" s="215" t="s">
        <v>613</v>
      </c>
      <c r="F21" s="221" t="s">
        <v>15</v>
      </c>
      <c r="G21" s="221"/>
      <c r="H21" s="215" t="s">
        <v>283</v>
      </c>
      <c r="I21" s="222">
        <v>7948.15</v>
      </c>
      <c r="J21" s="222"/>
      <c r="K21" s="218" t="s">
        <v>8</v>
      </c>
      <c r="L21" s="219">
        <v>925978.71</v>
      </c>
    </row>
    <row r="22" spans="1:12" ht="61.2" x14ac:dyDescent="0.3">
      <c r="A22" s="213" t="s">
        <v>74</v>
      </c>
      <c r="B22" s="214" t="s">
        <v>610</v>
      </c>
      <c r="C22" s="214" t="s">
        <v>611</v>
      </c>
      <c r="D22" s="214" t="s">
        <v>2325</v>
      </c>
      <c r="E22" s="215" t="s">
        <v>613</v>
      </c>
      <c r="F22" s="221" t="s">
        <v>15</v>
      </c>
      <c r="G22" s="221"/>
      <c r="H22" s="215" t="s">
        <v>283</v>
      </c>
      <c r="I22" s="223">
        <v>204</v>
      </c>
      <c r="J22" s="223"/>
      <c r="K22" s="218" t="s">
        <v>8</v>
      </c>
      <c r="L22" s="219">
        <v>925774.71</v>
      </c>
    </row>
    <row r="23" spans="1:12" ht="51" x14ac:dyDescent="0.3">
      <c r="A23" s="213" t="s">
        <v>167</v>
      </c>
      <c r="B23" s="214" t="s">
        <v>2347</v>
      </c>
      <c r="C23" s="214" t="s">
        <v>2348</v>
      </c>
      <c r="D23" s="214" t="s">
        <v>2349</v>
      </c>
      <c r="E23" s="215" t="s">
        <v>42</v>
      </c>
      <c r="F23" s="221" t="s">
        <v>15</v>
      </c>
      <c r="G23" s="221"/>
      <c r="H23" s="215" t="s">
        <v>283</v>
      </c>
      <c r="I23" s="222">
        <v>105358.33</v>
      </c>
      <c r="J23" s="222"/>
      <c r="K23" s="218" t="s">
        <v>8</v>
      </c>
      <c r="L23" s="219">
        <v>820416.38</v>
      </c>
    </row>
    <row r="24" spans="1:12" ht="51" x14ac:dyDescent="0.3">
      <c r="A24" s="213" t="s">
        <v>167</v>
      </c>
      <c r="B24" s="214" t="s">
        <v>2347</v>
      </c>
      <c r="C24" s="214" t="s">
        <v>2348</v>
      </c>
      <c r="D24" s="214" t="s">
        <v>2343</v>
      </c>
      <c r="E24" s="215" t="s">
        <v>42</v>
      </c>
      <c r="F24" s="221" t="s">
        <v>15</v>
      </c>
      <c r="G24" s="221"/>
      <c r="H24" s="215" t="s">
        <v>283</v>
      </c>
      <c r="I24" s="222">
        <v>16170</v>
      </c>
      <c r="J24" s="222"/>
      <c r="K24" s="218" t="s">
        <v>8</v>
      </c>
      <c r="L24" s="219">
        <v>804246.38</v>
      </c>
    </row>
    <row r="25" spans="1:12" ht="51" x14ac:dyDescent="0.3">
      <c r="A25" s="213" t="s">
        <v>167</v>
      </c>
      <c r="B25" s="214" t="s">
        <v>2347</v>
      </c>
      <c r="C25" s="214" t="s">
        <v>2348</v>
      </c>
      <c r="D25" s="214" t="s">
        <v>2327</v>
      </c>
      <c r="E25" s="215" t="s">
        <v>42</v>
      </c>
      <c r="F25" s="221" t="s">
        <v>15</v>
      </c>
      <c r="G25" s="221"/>
      <c r="H25" s="215" t="s">
        <v>283</v>
      </c>
      <c r="I25" s="222">
        <v>390669.95</v>
      </c>
      <c r="J25" s="222"/>
      <c r="K25" s="218" t="s">
        <v>8</v>
      </c>
      <c r="L25" s="219">
        <v>413576.43</v>
      </c>
    </row>
    <row r="26" spans="1:12" ht="61.2" x14ac:dyDescent="0.3">
      <c r="A26" s="213" t="s">
        <v>167</v>
      </c>
      <c r="B26" s="214" t="s">
        <v>2350</v>
      </c>
      <c r="C26" s="214" t="s">
        <v>2348</v>
      </c>
      <c r="D26" s="214" t="s">
        <v>2344</v>
      </c>
      <c r="E26" s="215" t="s">
        <v>42</v>
      </c>
      <c r="F26" s="221" t="s">
        <v>15</v>
      </c>
      <c r="G26" s="221"/>
      <c r="H26" s="215" t="s">
        <v>283</v>
      </c>
      <c r="I26" s="222">
        <v>7916.7</v>
      </c>
      <c r="J26" s="222"/>
      <c r="K26" s="218" t="s">
        <v>8</v>
      </c>
      <c r="L26" s="219">
        <v>405659.73</v>
      </c>
    </row>
    <row r="27" spans="1:12" ht="61.2" x14ac:dyDescent="0.3">
      <c r="A27" s="213" t="s">
        <v>167</v>
      </c>
      <c r="B27" s="214" t="s">
        <v>2350</v>
      </c>
      <c r="C27" s="214" t="s">
        <v>2348</v>
      </c>
      <c r="D27" s="214" t="s">
        <v>2351</v>
      </c>
      <c r="E27" s="215" t="s">
        <v>42</v>
      </c>
      <c r="F27" s="221" t="s">
        <v>15</v>
      </c>
      <c r="G27" s="221"/>
      <c r="H27" s="215" t="s">
        <v>283</v>
      </c>
      <c r="I27" s="222">
        <v>2000</v>
      </c>
      <c r="J27" s="222"/>
      <c r="K27" s="218" t="s">
        <v>8</v>
      </c>
      <c r="L27" s="219">
        <v>403659.73</v>
      </c>
    </row>
    <row r="28" spans="1:12" ht="61.2" x14ac:dyDescent="0.3">
      <c r="A28" s="213" t="s">
        <v>167</v>
      </c>
      <c r="B28" s="214" t="s">
        <v>2350</v>
      </c>
      <c r="C28" s="214" t="s">
        <v>2348</v>
      </c>
      <c r="D28" s="214" t="s">
        <v>2352</v>
      </c>
      <c r="E28" s="215" t="s">
        <v>42</v>
      </c>
      <c r="F28" s="221" t="s">
        <v>15</v>
      </c>
      <c r="G28" s="221"/>
      <c r="H28" s="215" t="s">
        <v>283</v>
      </c>
      <c r="I28" s="222">
        <v>3333.33</v>
      </c>
      <c r="J28" s="222"/>
      <c r="K28" s="218" t="s">
        <v>8</v>
      </c>
      <c r="L28" s="219">
        <v>400326.40000000002</v>
      </c>
    </row>
    <row r="29" spans="1:12" ht="61.2" x14ac:dyDescent="0.3">
      <c r="A29" s="213" t="s">
        <v>167</v>
      </c>
      <c r="B29" s="214" t="s">
        <v>2350</v>
      </c>
      <c r="C29" s="214" t="s">
        <v>2348</v>
      </c>
      <c r="D29" s="214" t="s">
        <v>2353</v>
      </c>
      <c r="E29" s="215" t="s">
        <v>42</v>
      </c>
      <c r="F29" s="221" t="s">
        <v>15</v>
      </c>
      <c r="G29" s="221"/>
      <c r="H29" s="215" t="s">
        <v>283</v>
      </c>
      <c r="I29" s="223">
        <v>510</v>
      </c>
      <c r="J29" s="223"/>
      <c r="K29" s="218" t="s">
        <v>8</v>
      </c>
      <c r="L29" s="219">
        <v>399816.4</v>
      </c>
    </row>
    <row r="30" spans="1:12" hidden="1" x14ac:dyDescent="0.3">
      <c r="A30" s="224" t="s">
        <v>353</v>
      </c>
      <c r="B30" s="224"/>
      <c r="C30" s="224"/>
      <c r="D30" s="224"/>
      <c r="E30" s="225">
        <v>419249.3</v>
      </c>
      <c r="F30" s="225"/>
      <c r="G30" s="225"/>
      <c r="H30" s="225">
        <v>595547.86</v>
      </c>
      <c r="I30" s="225"/>
      <c r="J30" s="225"/>
      <c r="K30" s="226" t="s">
        <v>8</v>
      </c>
      <c r="L30" s="227">
        <v>399816.4</v>
      </c>
    </row>
    <row r="32" spans="1:12" x14ac:dyDescent="0.3">
      <c r="J32" s="31">
        <f>SUBTOTAL(9,I14:J29)</f>
        <v>595547.86</v>
      </c>
    </row>
    <row r="34" spans="10:10" x14ac:dyDescent="0.3">
      <c r="J34" s="31">
        <f>J32*1.2</f>
        <v>714657.43199999991</v>
      </c>
    </row>
  </sheetData>
  <autoFilter ref="B1:D30" xr:uid="{03423871-B74F-4F51-A90B-DB9652A3D372}">
    <filterColumn colId="0">
      <filters>
        <filter val="Вимога-накладна ІБ00-001159 від 20.12.2025 18:18:59_x000a_Списаны ТМЦ"/>
        <filter val="Реалізація товарів і послуг ІБ00-000097 від 16.12.2025 00:00:00_x000a_Списаны ТМЦ"/>
        <filter val="Списання товарів ІБ00-000718 від 20.12.2025 18:19:00_x000a_Списаны ТМЦ"/>
      </filters>
    </filterColumn>
  </autoFilter>
  <mergeCells count="66">
    <mergeCell ref="F28:G28"/>
    <mergeCell ref="I28:J28"/>
    <mergeCell ref="F29:G29"/>
    <mergeCell ref="I29:J29"/>
    <mergeCell ref="A30:D30"/>
    <mergeCell ref="E30:G30"/>
    <mergeCell ref="H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7EC6-8726-44F5-A896-93D2AD74D730}">
  <sheetPr filterMode="1"/>
  <dimension ref="A1:L44"/>
  <sheetViews>
    <sheetView tabSelected="1" topLeftCell="A34" workbookViewId="0">
      <selection activeCell="J44" sqref="J44"/>
    </sheetView>
  </sheetViews>
  <sheetFormatPr defaultRowHeight="14.4" x14ac:dyDescent="0.3"/>
  <cols>
    <col min="2" max="4" width="35.21875" customWidth="1"/>
    <col min="10" max="10" width="9.88671875" bestFit="1" customWidth="1"/>
  </cols>
  <sheetData>
    <row r="1" spans="1:12" x14ac:dyDescent="0.3">
      <c r="A1" s="228" t="s">
        <v>0</v>
      </c>
      <c r="B1" s="229" t="s">
        <v>1</v>
      </c>
      <c r="C1" s="229" t="s">
        <v>2</v>
      </c>
      <c r="D1" s="230" t="s">
        <v>3</v>
      </c>
      <c r="E1" s="231" t="s">
        <v>4</v>
      </c>
      <c r="F1" s="231"/>
      <c r="G1" s="231"/>
      <c r="H1" s="232" t="s">
        <v>5</v>
      </c>
      <c r="I1" s="232"/>
      <c r="J1" s="232"/>
      <c r="K1" s="229" t="s">
        <v>6</v>
      </c>
      <c r="L1" s="229"/>
    </row>
    <row r="2" spans="1:12" hidden="1" x14ac:dyDescent="0.3">
      <c r="A2" s="233"/>
      <c r="B2" s="234"/>
      <c r="C2" s="234"/>
      <c r="D2" s="235"/>
      <c r="E2" s="236" t="s">
        <v>7</v>
      </c>
      <c r="F2" s="237"/>
      <c r="G2" s="237"/>
      <c r="H2" s="238" t="s">
        <v>7</v>
      </c>
      <c r="I2" s="239"/>
      <c r="J2" s="239"/>
      <c r="K2" s="233"/>
      <c r="L2" s="240"/>
    </row>
    <row r="3" spans="1:12" ht="51" x14ac:dyDescent="0.3">
      <c r="A3" s="241" t="s">
        <v>9</v>
      </c>
      <c r="B3" s="242" t="s">
        <v>2354</v>
      </c>
      <c r="C3" s="242" t="s">
        <v>2355</v>
      </c>
      <c r="D3" s="242" t="s">
        <v>2356</v>
      </c>
      <c r="E3" s="243" t="s">
        <v>42</v>
      </c>
      <c r="F3" s="244" t="s">
        <v>15</v>
      </c>
      <c r="G3" s="244"/>
      <c r="H3" s="243" t="s">
        <v>283</v>
      </c>
      <c r="I3" s="245">
        <v>1531.97</v>
      </c>
      <c r="J3" s="245"/>
      <c r="K3" s="246" t="s">
        <v>8</v>
      </c>
      <c r="L3" s="247">
        <v>397625.89</v>
      </c>
    </row>
    <row r="4" spans="1:12" ht="51" x14ac:dyDescent="0.3">
      <c r="A4" s="241" t="s">
        <v>9</v>
      </c>
      <c r="B4" s="242" t="s">
        <v>2354</v>
      </c>
      <c r="C4" s="242" t="s">
        <v>2355</v>
      </c>
      <c r="D4" s="242" t="s">
        <v>2357</v>
      </c>
      <c r="E4" s="243" t="s">
        <v>42</v>
      </c>
      <c r="F4" s="244" t="s">
        <v>15</v>
      </c>
      <c r="G4" s="244"/>
      <c r="H4" s="243" t="s">
        <v>283</v>
      </c>
      <c r="I4" s="245">
        <v>4879.8500000000004</v>
      </c>
      <c r="J4" s="245"/>
      <c r="K4" s="246" t="s">
        <v>8</v>
      </c>
      <c r="L4" s="247">
        <v>392746.04</v>
      </c>
    </row>
    <row r="5" spans="1:12" ht="51" x14ac:dyDescent="0.3">
      <c r="A5" s="241" t="s">
        <v>9</v>
      </c>
      <c r="B5" s="242" t="s">
        <v>2354</v>
      </c>
      <c r="C5" s="242" t="s">
        <v>2355</v>
      </c>
      <c r="D5" s="242" t="s">
        <v>2358</v>
      </c>
      <c r="E5" s="243" t="s">
        <v>42</v>
      </c>
      <c r="F5" s="244" t="s">
        <v>15</v>
      </c>
      <c r="G5" s="244"/>
      <c r="H5" s="243" t="s">
        <v>283</v>
      </c>
      <c r="I5" s="245">
        <v>38529.18</v>
      </c>
      <c r="J5" s="245"/>
      <c r="K5" s="246" t="s">
        <v>8</v>
      </c>
      <c r="L5" s="247">
        <v>354216.86</v>
      </c>
    </row>
    <row r="6" spans="1:12" ht="51" x14ac:dyDescent="0.3">
      <c r="A6" s="241" t="s">
        <v>9</v>
      </c>
      <c r="B6" s="242" t="s">
        <v>2354</v>
      </c>
      <c r="C6" s="242" t="s">
        <v>2355</v>
      </c>
      <c r="D6" s="242" t="s">
        <v>2359</v>
      </c>
      <c r="E6" s="243" t="s">
        <v>42</v>
      </c>
      <c r="F6" s="244" t="s">
        <v>15</v>
      </c>
      <c r="G6" s="244"/>
      <c r="H6" s="243" t="s">
        <v>283</v>
      </c>
      <c r="I6" s="245">
        <v>16446.28</v>
      </c>
      <c r="J6" s="245"/>
      <c r="K6" s="246" t="s">
        <v>8</v>
      </c>
      <c r="L6" s="247">
        <v>337770.58</v>
      </c>
    </row>
    <row r="7" spans="1:12" ht="51" x14ac:dyDescent="0.3">
      <c r="A7" s="241" t="s">
        <v>9</v>
      </c>
      <c r="B7" s="242" t="s">
        <v>2354</v>
      </c>
      <c r="C7" s="242" t="s">
        <v>2355</v>
      </c>
      <c r="D7" s="242" t="s">
        <v>2360</v>
      </c>
      <c r="E7" s="243" t="s">
        <v>42</v>
      </c>
      <c r="F7" s="244" t="s">
        <v>15</v>
      </c>
      <c r="G7" s="244"/>
      <c r="H7" s="243" t="s">
        <v>283</v>
      </c>
      <c r="I7" s="245">
        <v>7624.11</v>
      </c>
      <c r="J7" s="245"/>
      <c r="K7" s="246" t="s">
        <v>8</v>
      </c>
      <c r="L7" s="247">
        <v>330146.46999999997</v>
      </c>
    </row>
    <row r="8" spans="1:12" ht="51" x14ac:dyDescent="0.3">
      <c r="A8" s="241" t="s">
        <v>9</v>
      </c>
      <c r="B8" s="242" t="s">
        <v>2354</v>
      </c>
      <c r="C8" s="242" t="s">
        <v>2355</v>
      </c>
      <c r="D8" s="242" t="s">
        <v>2361</v>
      </c>
      <c r="E8" s="243" t="s">
        <v>42</v>
      </c>
      <c r="F8" s="244" t="s">
        <v>15</v>
      </c>
      <c r="G8" s="244"/>
      <c r="H8" s="243" t="s">
        <v>283</v>
      </c>
      <c r="I8" s="245">
        <v>2061.46</v>
      </c>
      <c r="J8" s="245"/>
      <c r="K8" s="246" t="s">
        <v>8</v>
      </c>
      <c r="L8" s="247">
        <v>328085.01</v>
      </c>
    </row>
    <row r="9" spans="1:12" ht="51" x14ac:dyDescent="0.3">
      <c r="A9" s="241" t="s">
        <v>9</v>
      </c>
      <c r="B9" s="242" t="s">
        <v>2354</v>
      </c>
      <c r="C9" s="242" t="s">
        <v>2355</v>
      </c>
      <c r="D9" s="242" t="s">
        <v>2362</v>
      </c>
      <c r="E9" s="243" t="s">
        <v>42</v>
      </c>
      <c r="F9" s="244" t="s">
        <v>15</v>
      </c>
      <c r="G9" s="244"/>
      <c r="H9" s="243" t="s">
        <v>283</v>
      </c>
      <c r="I9" s="248">
        <v>95.61</v>
      </c>
      <c r="J9" s="248"/>
      <c r="K9" s="246" t="s">
        <v>8</v>
      </c>
      <c r="L9" s="247">
        <v>327989.40000000002</v>
      </c>
    </row>
    <row r="10" spans="1:12" ht="51" x14ac:dyDescent="0.3">
      <c r="A10" s="241" t="s">
        <v>9</v>
      </c>
      <c r="B10" s="242" t="s">
        <v>2354</v>
      </c>
      <c r="C10" s="242" t="s">
        <v>2355</v>
      </c>
      <c r="D10" s="242" t="s">
        <v>2363</v>
      </c>
      <c r="E10" s="243" t="s">
        <v>42</v>
      </c>
      <c r="F10" s="244" t="s">
        <v>15</v>
      </c>
      <c r="G10" s="244"/>
      <c r="H10" s="243" t="s">
        <v>283</v>
      </c>
      <c r="I10" s="245">
        <v>60087.67</v>
      </c>
      <c r="J10" s="245"/>
      <c r="K10" s="246" t="s">
        <v>8</v>
      </c>
      <c r="L10" s="247">
        <v>267901.73</v>
      </c>
    </row>
    <row r="11" spans="1:12" ht="51" x14ac:dyDescent="0.3">
      <c r="A11" s="241" t="s">
        <v>9</v>
      </c>
      <c r="B11" s="242" t="s">
        <v>2354</v>
      </c>
      <c r="C11" s="242" t="s">
        <v>2355</v>
      </c>
      <c r="D11" s="242" t="s">
        <v>2364</v>
      </c>
      <c r="E11" s="243" t="s">
        <v>42</v>
      </c>
      <c r="F11" s="244" t="s">
        <v>15</v>
      </c>
      <c r="G11" s="244"/>
      <c r="H11" s="243" t="s">
        <v>283</v>
      </c>
      <c r="I11" s="245">
        <v>23784.12</v>
      </c>
      <c r="J11" s="245"/>
      <c r="K11" s="246" t="s">
        <v>8</v>
      </c>
      <c r="L11" s="247">
        <v>244117.61</v>
      </c>
    </row>
    <row r="12" spans="1:12" ht="51" x14ac:dyDescent="0.3">
      <c r="A12" s="241" t="s">
        <v>9</v>
      </c>
      <c r="B12" s="242" t="s">
        <v>2354</v>
      </c>
      <c r="C12" s="242" t="s">
        <v>2355</v>
      </c>
      <c r="D12" s="242" t="s">
        <v>2365</v>
      </c>
      <c r="E12" s="243" t="s">
        <v>42</v>
      </c>
      <c r="F12" s="244" t="s">
        <v>15</v>
      </c>
      <c r="G12" s="244"/>
      <c r="H12" s="243" t="s">
        <v>283</v>
      </c>
      <c r="I12" s="245">
        <v>6183.32</v>
      </c>
      <c r="J12" s="245"/>
      <c r="K12" s="246" t="s">
        <v>8</v>
      </c>
      <c r="L12" s="247">
        <v>237934.29</v>
      </c>
    </row>
    <row r="13" spans="1:12" ht="51" x14ac:dyDescent="0.3">
      <c r="A13" s="241" t="s">
        <v>9</v>
      </c>
      <c r="B13" s="242" t="s">
        <v>2354</v>
      </c>
      <c r="C13" s="242" t="s">
        <v>2355</v>
      </c>
      <c r="D13" s="242" t="s">
        <v>2366</v>
      </c>
      <c r="E13" s="243" t="s">
        <v>42</v>
      </c>
      <c r="F13" s="244" t="s">
        <v>15</v>
      </c>
      <c r="G13" s="244"/>
      <c r="H13" s="243" t="s">
        <v>283</v>
      </c>
      <c r="I13" s="245">
        <v>26789.05</v>
      </c>
      <c r="J13" s="245"/>
      <c r="K13" s="246" t="s">
        <v>8</v>
      </c>
      <c r="L13" s="247">
        <v>211145.24</v>
      </c>
    </row>
    <row r="14" spans="1:12" ht="51" x14ac:dyDescent="0.3">
      <c r="A14" s="241" t="s">
        <v>9</v>
      </c>
      <c r="B14" s="242" t="s">
        <v>2367</v>
      </c>
      <c r="C14" s="242" t="s">
        <v>2355</v>
      </c>
      <c r="D14" s="242" t="s">
        <v>2368</v>
      </c>
      <c r="E14" s="243" t="s">
        <v>42</v>
      </c>
      <c r="F14" s="244" t="s">
        <v>15</v>
      </c>
      <c r="G14" s="244"/>
      <c r="H14" s="243" t="s">
        <v>283</v>
      </c>
      <c r="I14" s="245">
        <v>18157.89</v>
      </c>
      <c r="J14" s="245"/>
      <c r="K14" s="246" t="s">
        <v>8</v>
      </c>
      <c r="L14" s="247">
        <v>192987.35</v>
      </c>
    </row>
    <row r="15" spans="1:12" ht="51" x14ac:dyDescent="0.3">
      <c r="A15" s="241" t="s">
        <v>9</v>
      </c>
      <c r="B15" s="242" t="s">
        <v>2367</v>
      </c>
      <c r="C15" s="242" t="s">
        <v>2355</v>
      </c>
      <c r="D15" s="242" t="s">
        <v>2369</v>
      </c>
      <c r="E15" s="243" t="s">
        <v>42</v>
      </c>
      <c r="F15" s="244" t="s">
        <v>15</v>
      </c>
      <c r="G15" s="244"/>
      <c r="H15" s="243" t="s">
        <v>283</v>
      </c>
      <c r="I15" s="245">
        <v>15435</v>
      </c>
      <c r="J15" s="245"/>
      <c r="K15" s="246" t="s">
        <v>8</v>
      </c>
      <c r="L15" s="247">
        <v>177552.35</v>
      </c>
    </row>
    <row r="16" spans="1:12" ht="51" x14ac:dyDescent="0.3">
      <c r="A16" s="241" t="s">
        <v>9</v>
      </c>
      <c r="B16" s="242" t="s">
        <v>2367</v>
      </c>
      <c r="C16" s="242" t="s">
        <v>2355</v>
      </c>
      <c r="D16" s="242" t="s">
        <v>2370</v>
      </c>
      <c r="E16" s="243" t="s">
        <v>42</v>
      </c>
      <c r="F16" s="244" t="s">
        <v>15</v>
      </c>
      <c r="G16" s="244"/>
      <c r="H16" s="243" t="s">
        <v>283</v>
      </c>
      <c r="I16" s="245">
        <v>10492.59</v>
      </c>
      <c r="J16" s="245"/>
      <c r="K16" s="246" t="s">
        <v>8</v>
      </c>
      <c r="L16" s="247">
        <v>167059.76</v>
      </c>
    </row>
    <row r="17" spans="1:12" ht="51" x14ac:dyDescent="0.3">
      <c r="A17" s="241" t="s">
        <v>9</v>
      </c>
      <c r="B17" s="242" t="s">
        <v>2367</v>
      </c>
      <c r="C17" s="242" t="s">
        <v>2355</v>
      </c>
      <c r="D17" s="242" t="s">
        <v>2371</v>
      </c>
      <c r="E17" s="243" t="s">
        <v>42</v>
      </c>
      <c r="F17" s="244" t="s">
        <v>15</v>
      </c>
      <c r="G17" s="244"/>
      <c r="H17" s="243" t="s">
        <v>283</v>
      </c>
      <c r="I17" s="245">
        <v>24729.4</v>
      </c>
      <c r="J17" s="245"/>
      <c r="K17" s="246" t="s">
        <v>8</v>
      </c>
      <c r="L17" s="247">
        <v>142330.35999999999</v>
      </c>
    </row>
    <row r="18" spans="1:12" ht="51" x14ac:dyDescent="0.3">
      <c r="A18" s="241" t="s">
        <v>9</v>
      </c>
      <c r="B18" s="242" t="s">
        <v>2367</v>
      </c>
      <c r="C18" s="242" t="s">
        <v>2355</v>
      </c>
      <c r="D18" s="242" t="s">
        <v>2372</v>
      </c>
      <c r="E18" s="243" t="s">
        <v>42</v>
      </c>
      <c r="F18" s="244" t="s">
        <v>15</v>
      </c>
      <c r="G18" s="244"/>
      <c r="H18" s="243" t="s">
        <v>283</v>
      </c>
      <c r="I18" s="245">
        <v>21148.48</v>
      </c>
      <c r="J18" s="245"/>
      <c r="K18" s="246" t="s">
        <v>8</v>
      </c>
      <c r="L18" s="247">
        <v>121181.88</v>
      </c>
    </row>
    <row r="19" spans="1:12" ht="51" x14ac:dyDescent="0.3">
      <c r="A19" s="241" t="s">
        <v>9</v>
      </c>
      <c r="B19" s="242" t="s">
        <v>2367</v>
      </c>
      <c r="C19" s="242" t="s">
        <v>2355</v>
      </c>
      <c r="D19" s="242" t="s">
        <v>2373</v>
      </c>
      <c r="E19" s="243" t="s">
        <v>42</v>
      </c>
      <c r="F19" s="244" t="s">
        <v>15</v>
      </c>
      <c r="G19" s="244"/>
      <c r="H19" s="243" t="s">
        <v>283</v>
      </c>
      <c r="I19" s="245">
        <v>4003.16</v>
      </c>
      <c r="J19" s="245"/>
      <c r="K19" s="246" t="s">
        <v>8</v>
      </c>
      <c r="L19" s="247">
        <v>117178.72</v>
      </c>
    </row>
    <row r="20" spans="1:12" ht="51" x14ac:dyDescent="0.3">
      <c r="A20" s="241" t="s">
        <v>9</v>
      </c>
      <c r="B20" s="242" t="s">
        <v>2367</v>
      </c>
      <c r="C20" s="242" t="s">
        <v>2355</v>
      </c>
      <c r="D20" s="242" t="s">
        <v>2374</v>
      </c>
      <c r="E20" s="243" t="s">
        <v>42</v>
      </c>
      <c r="F20" s="244" t="s">
        <v>15</v>
      </c>
      <c r="G20" s="244"/>
      <c r="H20" s="243" t="s">
        <v>283</v>
      </c>
      <c r="I20" s="248">
        <v>63.74</v>
      </c>
      <c r="J20" s="248"/>
      <c r="K20" s="246" t="s">
        <v>8</v>
      </c>
      <c r="L20" s="247">
        <v>117114.98</v>
      </c>
    </row>
    <row r="21" spans="1:12" ht="51" x14ac:dyDescent="0.3">
      <c r="A21" s="241" t="s">
        <v>9</v>
      </c>
      <c r="B21" s="242" t="s">
        <v>2367</v>
      </c>
      <c r="C21" s="242" t="s">
        <v>2355</v>
      </c>
      <c r="D21" s="242" t="s">
        <v>2375</v>
      </c>
      <c r="E21" s="243" t="s">
        <v>42</v>
      </c>
      <c r="F21" s="244" t="s">
        <v>15</v>
      </c>
      <c r="G21" s="244"/>
      <c r="H21" s="243" t="s">
        <v>283</v>
      </c>
      <c r="I21" s="248">
        <v>537.12</v>
      </c>
      <c r="J21" s="248"/>
      <c r="K21" s="246" t="s">
        <v>8</v>
      </c>
      <c r="L21" s="247">
        <v>116577.86</v>
      </c>
    </row>
    <row r="22" spans="1:12" ht="51" x14ac:dyDescent="0.3">
      <c r="A22" s="241" t="s">
        <v>9</v>
      </c>
      <c r="B22" s="242" t="s">
        <v>2367</v>
      </c>
      <c r="C22" s="242" t="s">
        <v>2355</v>
      </c>
      <c r="D22" s="242" t="s">
        <v>2376</v>
      </c>
      <c r="E22" s="243" t="s">
        <v>42</v>
      </c>
      <c r="F22" s="244" t="s">
        <v>15</v>
      </c>
      <c r="G22" s="244"/>
      <c r="H22" s="243" t="s">
        <v>283</v>
      </c>
      <c r="I22" s="248">
        <v>141.77000000000001</v>
      </c>
      <c r="J22" s="248"/>
      <c r="K22" s="246" t="s">
        <v>8</v>
      </c>
      <c r="L22" s="247">
        <v>116436.09</v>
      </c>
    </row>
    <row r="23" spans="1:12" ht="51" x14ac:dyDescent="0.3">
      <c r="A23" s="241" t="s">
        <v>9</v>
      </c>
      <c r="B23" s="242" t="s">
        <v>2367</v>
      </c>
      <c r="C23" s="242" t="s">
        <v>2355</v>
      </c>
      <c r="D23" s="242" t="s">
        <v>2377</v>
      </c>
      <c r="E23" s="243" t="s">
        <v>42</v>
      </c>
      <c r="F23" s="244" t="s">
        <v>15</v>
      </c>
      <c r="G23" s="244"/>
      <c r="H23" s="243" t="s">
        <v>283</v>
      </c>
      <c r="I23" s="245">
        <v>4031.77</v>
      </c>
      <c r="J23" s="245"/>
      <c r="K23" s="246" t="s">
        <v>8</v>
      </c>
      <c r="L23" s="247">
        <v>112404.32</v>
      </c>
    </row>
    <row r="24" spans="1:12" ht="51" x14ac:dyDescent="0.3">
      <c r="A24" s="241" t="s">
        <v>9</v>
      </c>
      <c r="B24" s="242" t="s">
        <v>2367</v>
      </c>
      <c r="C24" s="242" t="s">
        <v>2355</v>
      </c>
      <c r="D24" s="242" t="s">
        <v>2378</v>
      </c>
      <c r="E24" s="243" t="s">
        <v>42</v>
      </c>
      <c r="F24" s="244" t="s">
        <v>15</v>
      </c>
      <c r="G24" s="244"/>
      <c r="H24" s="243" t="s">
        <v>283</v>
      </c>
      <c r="I24" s="245">
        <v>8869.15</v>
      </c>
      <c r="J24" s="245"/>
      <c r="K24" s="246" t="s">
        <v>8</v>
      </c>
      <c r="L24" s="247">
        <v>103535.17</v>
      </c>
    </row>
    <row r="25" spans="1:12" ht="51" x14ac:dyDescent="0.3">
      <c r="A25" s="241" t="s">
        <v>9</v>
      </c>
      <c r="B25" s="242" t="s">
        <v>2367</v>
      </c>
      <c r="C25" s="242" t="s">
        <v>2355</v>
      </c>
      <c r="D25" s="242" t="s">
        <v>2379</v>
      </c>
      <c r="E25" s="243" t="s">
        <v>42</v>
      </c>
      <c r="F25" s="244" t="s">
        <v>15</v>
      </c>
      <c r="G25" s="244"/>
      <c r="H25" s="243" t="s">
        <v>283</v>
      </c>
      <c r="I25" s="245">
        <v>37142.33</v>
      </c>
      <c r="J25" s="245"/>
      <c r="K25" s="246" t="s">
        <v>8</v>
      </c>
      <c r="L25" s="247">
        <v>66392.84</v>
      </c>
    </row>
    <row r="26" spans="1:12" ht="51" x14ac:dyDescent="0.3">
      <c r="A26" s="241" t="s">
        <v>9</v>
      </c>
      <c r="B26" s="242" t="s">
        <v>2367</v>
      </c>
      <c r="C26" s="242" t="s">
        <v>2355</v>
      </c>
      <c r="D26" s="242" t="s">
        <v>2380</v>
      </c>
      <c r="E26" s="243" t="s">
        <v>42</v>
      </c>
      <c r="F26" s="244" t="s">
        <v>15</v>
      </c>
      <c r="G26" s="244"/>
      <c r="H26" s="243" t="s">
        <v>283</v>
      </c>
      <c r="I26" s="245">
        <v>14301.98</v>
      </c>
      <c r="J26" s="245"/>
      <c r="K26" s="246" t="s">
        <v>8</v>
      </c>
      <c r="L26" s="247">
        <v>52090.86</v>
      </c>
    </row>
    <row r="27" spans="1:12" ht="51" x14ac:dyDescent="0.3">
      <c r="A27" s="241" t="s">
        <v>9</v>
      </c>
      <c r="B27" s="242" t="s">
        <v>2367</v>
      </c>
      <c r="C27" s="242" t="s">
        <v>2355</v>
      </c>
      <c r="D27" s="242" t="s">
        <v>2381</v>
      </c>
      <c r="E27" s="243" t="s">
        <v>42</v>
      </c>
      <c r="F27" s="244" t="s">
        <v>15</v>
      </c>
      <c r="G27" s="244"/>
      <c r="H27" s="243" t="s">
        <v>283</v>
      </c>
      <c r="I27" s="245">
        <v>32682.5</v>
      </c>
      <c r="J27" s="245"/>
      <c r="K27" s="246" t="s">
        <v>8</v>
      </c>
      <c r="L27" s="247">
        <v>19408.36</v>
      </c>
    </row>
    <row r="28" spans="1:12" ht="51" x14ac:dyDescent="0.3">
      <c r="A28" s="241" t="s">
        <v>9</v>
      </c>
      <c r="B28" s="242" t="s">
        <v>2367</v>
      </c>
      <c r="C28" s="242" t="s">
        <v>2355</v>
      </c>
      <c r="D28" s="242" t="s">
        <v>2382</v>
      </c>
      <c r="E28" s="243" t="s">
        <v>42</v>
      </c>
      <c r="F28" s="244" t="s">
        <v>15</v>
      </c>
      <c r="G28" s="244"/>
      <c r="H28" s="243" t="s">
        <v>283</v>
      </c>
      <c r="I28" s="245">
        <v>19408.36</v>
      </c>
      <c r="J28" s="245"/>
      <c r="K28" s="246"/>
      <c r="L28" s="249"/>
    </row>
    <row r="29" spans="1:12" ht="51" hidden="1" x14ac:dyDescent="0.3">
      <c r="A29" s="241" t="s">
        <v>9</v>
      </c>
      <c r="B29" s="242" t="s">
        <v>2383</v>
      </c>
      <c r="C29" s="242" t="s">
        <v>2384</v>
      </c>
      <c r="D29" s="242" t="s">
        <v>2385</v>
      </c>
      <c r="E29" s="243" t="s">
        <v>283</v>
      </c>
      <c r="F29" s="250">
        <v>161434.37</v>
      </c>
      <c r="G29" s="250"/>
      <c r="H29" s="243" t="s">
        <v>14</v>
      </c>
      <c r="I29" s="251" t="s">
        <v>15</v>
      </c>
      <c r="J29" s="251"/>
      <c r="K29" s="246" t="s">
        <v>8</v>
      </c>
      <c r="L29" s="247">
        <v>518554.61</v>
      </c>
    </row>
    <row r="30" spans="1:12" ht="51" hidden="1" x14ac:dyDescent="0.3">
      <c r="A30" s="241" t="s">
        <v>9</v>
      </c>
      <c r="B30" s="242" t="s">
        <v>2386</v>
      </c>
      <c r="C30" s="242" t="s">
        <v>2387</v>
      </c>
      <c r="D30" s="242" t="s">
        <v>2385</v>
      </c>
      <c r="E30" s="243" t="s">
        <v>283</v>
      </c>
      <c r="F30" s="250">
        <v>26231.58</v>
      </c>
      <c r="G30" s="250"/>
      <c r="H30" s="243" t="s">
        <v>14</v>
      </c>
      <c r="I30" s="251" t="s">
        <v>15</v>
      </c>
      <c r="J30" s="251"/>
      <c r="K30" s="246" t="s">
        <v>8</v>
      </c>
      <c r="L30" s="247">
        <v>544786.18999999994</v>
      </c>
    </row>
    <row r="31" spans="1:12" ht="51" x14ac:dyDescent="0.3">
      <c r="A31" s="241" t="s">
        <v>9</v>
      </c>
      <c r="B31" s="242" t="s">
        <v>2388</v>
      </c>
      <c r="C31" s="242" t="s">
        <v>2389</v>
      </c>
      <c r="D31" s="242" t="s">
        <v>2390</v>
      </c>
      <c r="E31" s="243" t="s">
        <v>42</v>
      </c>
      <c r="F31" s="244" t="s">
        <v>15</v>
      </c>
      <c r="G31" s="244"/>
      <c r="H31" s="243" t="s">
        <v>283</v>
      </c>
      <c r="I31" s="245">
        <v>1950</v>
      </c>
      <c r="J31" s="245"/>
      <c r="K31" s="246" t="s">
        <v>8</v>
      </c>
      <c r="L31" s="247">
        <v>542836.18999999994</v>
      </c>
    </row>
    <row r="32" spans="1:12" ht="51" x14ac:dyDescent="0.3">
      <c r="A32" s="241" t="s">
        <v>9</v>
      </c>
      <c r="B32" s="242" t="s">
        <v>2388</v>
      </c>
      <c r="C32" s="242" t="s">
        <v>2389</v>
      </c>
      <c r="D32" s="242" t="s">
        <v>2391</v>
      </c>
      <c r="E32" s="243" t="s">
        <v>42</v>
      </c>
      <c r="F32" s="244" t="s">
        <v>15</v>
      </c>
      <c r="G32" s="244"/>
      <c r="H32" s="243" t="s">
        <v>283</v>
      </c>
      <c r="I32" s="245">
        <v>7436.99</v>
      </c>
      <c r="J32" s="245"/>
      <c r="K32" s="246" t="s">
        <v>8</v>
      </c>
      <c r="L32" s="247">
        <v>535399.19999999995</v>
      </c>
    </row>
    <row r="33" spans="1:12" ht="51" x14ac:dyDescent="0.3">
      <c r="A33" s="241" t="s">
        <v>9</v>
      </c>
      <c r="B33" s="242" t="s">
        <v>2388</v>
      </c>
      <c r="C33" s="242" t="s">
        <v>2389</v>
      </c>
      <c r="D33" s="242" t="s">
        <v>2392</v>
      </c>
      <c r="E33" s="243" t="s">
        <v>42</v>
      </c>
      <c r="F33" s="244" t="s">
        <v>15</v>
      </c>
      <c r="G33" s="244"/>
      <c r="H33" s="243" t="s">
        <v>283</v>
      </c>
      <c r="I33" s="248">
        <v>401.9</v>
      </c>
      <c r="J33" s="248"/>
      <c r="K33" s="246" t="s">
        <v>8</v>
      </c>
      <c r="L33" s="247">
        <v>534997.30000000005</v>
      </c>
    </row>
    <row r="34" spans="1:12" ht="51" x14ac:dyDescent="0.3">
      <c r="A34" s="241" t="s">
        <v>9</v>
      </c>
      <c r="B34" s="242" t="s">
        <v>2388</v>
      </c>
      <c r="C34" s="242" t="s">
        <v>2389</v>
      </c>
      <c r="D34" s="242" t="s">
        <v>2393</v>
      </c>
      <c r="E34" s="243" t="s">
        <v>42</v>
      </c>
      <c r="F34" s="244" t="s">
        <v>15</v>
      </c>
      <c r="G34" s="244"/>
      <c r="H34" s="243" t="s">
        <v>283</v>
      </c>
      <c r="I34" s="245">
        <v>2614.71</v>
      </c>
      <c r="J34" s="245"/>
      <c r="K34" s="246" t="s">
        <v>8</v>
      </c>
      <c r="L34" s="247">
        <v>532382.59</v>
      </c>
    </row>
    <row r="35" spans="1:12" ht="51" x14ac:dyDescent="0.3">
      <c r="A35" s="241" t="s">
        <v>9</v>
      </c>
      <c r="B35" s="242" t="s">
        <v>2388</v>
      </c>
      <c r="C35" s="242" t="s">
        <v>2389</v>
      </c>
      <c r="D35" s="242" t="s">
        <v>2394</v>
      </c>
      <c r="E35" s="243" t="s">
        <v>42</v>
      </c>
      <c r="F35" s="244" t="s">
        <v>15</v>
      </c>
      <c r="G35" s="244"/>
      <c r="H35" s="243" t="s">
        <v>283</v>
      </c>
      <c r="I35" s="245">
        <v>12998.79</v>
      </c>
      <c r="J35" s="245"/>
      <c r="K35" s="246" t="s">
        <v>8</v>
      </c>
      <c r="L35" s="247">
        <v>519383.8</v>
      </c>
    </row>
    <row r="36" spans="1:12" ht="51" x14ac:dyDescent="0.3">
      <c r="A36" s="241" t="s">
        <v>9</v>
      </c>
      <c r="B36" s="242" t="s">
        <v>2388</v>
      </c>
      <c r="C36" s="242" t="s">
        <v>2389</v>
      </c>
      <c r="D36" s="242" t="s">
        <v>2395</v>
      </c>
      <c r="E36" s="243" t="s">
        <v>42</v>
      </c>
      <c r="F36" s="244" t="s">
        <v>15</v>
      </c>
      <c r="G36" s="244"/>
      <c r="H36" s="243" t="s">
        <v>283</v>
      </c>
      <c r="I36" s="245">
        <v>2434.89</v>
      </c>
      <c r="J36" s="245"/>
      <c r="K36" s="246" t="s">
        <v>8</v>
      </c>
      <c r="L36" s="247">
        <v>516948.91</v>
      </c>
    </row>
    <row r="37" spans="1:12" ht="51" x14ac:dyDescent="0.3">
      <c r="A37" s="241" t="s">
        <v>369</v>
      </c>
      <c r="B37" s="242" t="s">
        <v>2396</v>
      </c>
      <c r="C37" s="242" t="s">
        <v>2389</v>
      </c>
      <c r="D37" s="242" t="s">
        <v>2395</v>
      </c>
      <c r="E37" s="243" t="s">
        <v>42</v>
      </c>
      <c r="F37" s="244" t="s">
        <v>15</v>
      </c>
      <c r="G37" s="244"/>
      <c r="H37" s="243" t="s">
        <v>283</v>
      </c>
      <c r="I37" s="245">
        <v>1288.8</v>
      </c>
      <c r="J37" s="245"/>
      <c r="K37" s="246" t="s">
        <v>8</v>
      </c>
      <c r="L37" s="247">
        <v>515660.11</v>
      </c>
    </row>
    <row r="38" spans="1:12" ht="51" hidden="1" x14ac:dyDescent="0.3">
      <c r="A38" s="241" t="s">
        <v>74</v>
      </c>
      <c r="B38" s="242" t="s">
        <v>2397</v>
      </c>
      <c r="C38" s="242" t="s">
        <v>2398</v>
      </c>
      <c r="D38" s="242" t="s">
        <v>2399</v>
      </c>
      <c r="E38" s="243" t="s">
        <v>283</v>
      </c>
      <c r="F38" s="250">
        <v>1440</v>
      </c>
      <c r="G38" s="250"/>
      <c r="H38" s="243" t="s">
        <v>243</v>
      </c>
      <c r="I38" s="251" t="s">
        <v>15</v>
      </c>
      <c r="J38" s="251"/>
      <c r="K38" s="246" t="s">
        <v>8</v>
      </c>
      <c r="L38" s="247">
        <v>517100.11</v>
      </c>
    </row>
    <row r="39" spans="1:12" ht="51" hidden="1" x14ac:dyDescent="0.3">
      <c r="A39" s="241" t="s">
        <v>429</v>
      </c>
      <c r="B39" s="242" t="s">
        <v>2400</v>
      </c>
      <c r="C39" s="242" t="s">
        <v>2401</v>
      </c>
      <c r="D39" s="242" t="s">
        <v>2402</v>
      </c>
      <c r="E39" s="243" t="s">
        <v>283</v>
      </c>
      <c r="F39" s="250">
        <v>25112.02</v>
      </c>
      <c r="G39" s="250"/>
      <c r="H39" s="243" t="s">
        <v>14</v>
      </c>
      <c r="I39" s="251" t="s">
        <v>15</v>
      </c>
      <c r="J39" s="251"/>
      <c r="K39" s="246" t="s">
        <v>8</v>
      </c>
      <c r="L39" s="247">
        <v>542212.13</v>
      </c>
    </row>
    <row r="40" spans="1:12" hidden="1" x14ac:dyDescent="0.3">
      <c r="A40" s="252" t="s">
        <v>353</v>
      </c>
      <c r="B40" s="252"/>
      <c r="C40" s="252"/>
      <c r="D40" s="252"/>
      <c r="E40" s="253">
        <v>214217.97</v>
      </c>
      <c r="F40" s="253"/>
      <c r="G40" s="253"/>
      <c r="H40" s="253">
        <v>428283.94</v>
      </c>
      <c r="I40" s="253"/>
      <c r="J40" s="253"/>
      <c r="K40" s="254" t="s">
        <v>8</v>
      </c>
      <c r="L40" s="255">
        <v>977669.3</v>
      </c>
    </row>
    <row r="42" spans="1:12" x14ac:dyDescent="0.3">
      <c r="J42" s="31">
        <f>SUBTOTAL(9,I3:J37)</f>
        <v>428283.94</v>
      </c>
    </row>
    <row r="44" spans="1:12" x14ac:dyDescent="0.3">
      <c r="J44" s="31">
        <f>J42*1.2</f>
        <v>513940.728</v>
      </c>
    </row>
  </sheetData>
  <autoFilter ref="B1:D40" xr:uid="{861D81E3-D430-42D2-8650-171F4714C477}">
    <filterColumn colId="0">
      <filters>
        <filter val="Вимога-накладна ІБ00-000795 від 01.12.2025 00:00:00_x000a_Списаны ТМЦ"/>
        <filter val="Вимога-накладна ІБ00-000797 від 01.12.2025 00:00:00_x000a_Списаны ТМЦ"/>
        <filter val="Вимога-накладна ІБ00-001101 від 01.12.2025 18:00:31_x000a_Списаны ТМЦ"/>
        <filter val="Списання товарів ІБ00-000728 від 10.12.2025 18:36:47_x000a_Списаны ТМЦ"/>
      </filters>
    </filterColumn>
  </autoFilter>
  <mergeCells count="86">
    <mergeCell ref="A40:D40"/>
    <mergeCell ref="E40:G40"/>
    <mergeCell ref="H40:J40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Глобино-2_МШП</vt:lpstr>
      <vt:lpstr>Глобино-2_Материал</vt:lpstr>
      <vt:lpstr>Цех_Глобино Виробничий_2051</vt:lpstr>
      <vt:lpstr>Цех екстракції (Глобине)_2051</vt:lpstr>
      <vt:lpstr>Тищенки_МШП</vt:lpstr>
      <vt:lpstr>Тищенки_Материал</vt:lpstr>
      <vt:lpstr>КМД-2_МШП</vt:lpstr>
      <vt:lpstr>КМД-2_Материал</vt:lpstr>
      <vt:lpstr>МХП_Материал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2026-01-21T21:55:29Z</dcterms:modified>
</cp:coreProperties>
</file>
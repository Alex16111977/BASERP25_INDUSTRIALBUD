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Строительство\"/>
    </mc:Choice>
  </mc:AlternateContent>
  <xr:revisionPtr revIDLastSave="0" documentId="13_ncr:1_{7C5E5085-7B64-4E99-A2C1-226772A4D482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Sheet1!$A$1:$J$93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9" i="1" l="1"/>
  <c r="E104" i="1"/>
  <c r="E115" i="1"/>
  <c r="E94" i="1"/>
  <c r="E95" i="1"/>
  <c r="E99" i="1"/>
  <c r="E98" i="1"/>
  <c r="E97" i="1"/>
  <c r="E96" i="1"/>
  <c r="E93" i="1"/>
</calcChain>
</file>

<file path=xl/sharedStrings.xml><?xml version="1.0" encoding="utf-8"?>
<sst xmlns="http://schemas.openxmlformats.org/spreadsheetml/2006/main" count="964" uniqueCount="324">
  <si>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</si>
  <si>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</si>
  <si>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</si>
  <si>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</si>
  <si>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</si>
  <si>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</si>
  <si>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</si>
  <si>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</si>
  <si>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</si>
  <si>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</si>
  <si>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Так</t>
  </si>
  <si>
    <t>01.12.2025 00:00:00</t>
  </si>
  <si>
    <t>ІБ00-000817</t>
  </si>
  <si>
    <t>ГЛОБИНСЬКИЙ ПЕРЕРОБНИЙ ЗАВОД ТОВ</t>
  </si>
  <si>
    <t>грн</t>
  </si>
  <si>
    <t>Виробничий (Глобине-2)</t>
  </si>
  <si>
    <t>ТОВ "ІНДАСТРІАЛБУД"</t>
  </si>
  <si>
    <t>Хлань Елена</t>
  </si>
  <si>
    <t>Акт 12/ГПЗ</t>
  </si>
  <si>
    <t>Ні</t>
  </si>
  <si>
    <t>АСТАРТА АГРО ПРОТЕЇН ТОВ</t>
  </si>
  <si>
    <t xml:space="preserve"> Акт 27/1.14-АР (Котельня)</t>
  </si>
  <si>
    <t>01.12.2025 14:45:02</t>
  </si>
  <si>
    <t>ІБ00-000842</t>
  </si>
  <si>
    <t>КАТЕРИНОПІЛЬСЬКИЙ ЕЛЕВАТОР ТОВ</t>
  </si>
  <si>
    <t>Виробничий (Катеринопіль МХП)</t>
  </si>
  <si>
    <t>Акт 1 № 09/05/2025ВО від 09.05.2025</t>
  </si>
  <si>
    <t>03.12.2025 18:16:13</t>
  </si>
  <si>
    <t>ІБ00-000865</t>
  </si>
  <si>
    <t>05.12.2025 10:47:39</t>
  </si>
  <si>
    <t>ІБ00-000736</t>
  </si>
  <si>
    <t>Акт 11/ГПЗ</t>
  </si>
  <si>
    <t>05.12.2025 10:59:44</t>
  </si>
  <si>
    <t>ІБ00-000825</t>
  </si>
  <si>
    <t xml:space="preserve"> Акт 23/1.14-КМ (Котельня)</t>
  </si>
  <si>
    <t>05.12.2025 11:02:46</t>
  </si>
  <si>
    <t>ІБ00-000826</t>
  </si>
  <si>
    <t xml:space="preserve"> Акт 16/1.1-АР</t>
  </si>
  <si>
    <t>05.12.2025 11:03:27</t>
  </si>
  <si>
    <t>ІБ00-000827</t>
  </si>
  <si>
    <t xml:space="preserve"> Акт 3/1.18-КМ ГРП (Газорегуляторний пункт)</t>
  </si>
  <si>
    <t>05.12.2025 11:08:14</t>
  </si>
  <si>
    <t>ІБ00-000828</t>
  </si>
  <si>
    <t>Акт 37/1.3-КБ(Цех екстракції поз. 3 ГБ)</t>
  </si>
  <si>
    <t>05.12.2025 11:09:02</t>
  </si>
  <si>
    <t>ІБ00-000829</t>
  </si>
  <si>
    <t xml:space="preserve"> Акт 8/1.17-КБ Очисні Споруди</t>
  </si>
  <si>
    <t>05.12.2025 11:09:41</t>
  </si>
  <si>
    <t>ІБ00-000830</t>
  </si>
  <si>
    <t xml:space="preserve"> Акт 6/1.7-КБ </t>
  </si>
  <si>
    <t>05.12.2025 11:10:24</t>
  </si>
  <si>
    <t>ІБ00-000831</t>
  </si>
  <si>
    <t>Акт 96/1.3-КМ(Цех екстракції поз. 3 ГБ)</t>
  </si>
  <si>
    <t>05.12.2025 11:11:05</t>
  </si>
  <si>
    <t>ІБ00-000832</t>
  </si>
  <si>
    <t>Акт 3/1.6-КБ (транспортна галерея)</t>
  </si>
  <si>
    <t>05.12.2025 11:11:37</t>
  </si>
  <si>
    <t>ІБ00-000833</t>
  </si>
  <si>
    <t xml:space="preserve"> Акт 29/1.9-КМ (СПК)</t>
  </si>
  <si>
    <t>05.12.2025 11:12:14</t>
  </si>
  <si>
    <t>ІБ00-000834</t>
  </si>
  <si>
    <t>Акт 44/1.3-ТХ(Цех екстракції поз. 3 ГБ)</t>
  </si>
  <si>
    <t>05.12.2025 11:13:00</t>
  </si>
  <si>
    <t>ІБ00-000835</t>
  </si>
  <si>
    <t>Акт 43/1.3-ТХ (Цех екстракції поз. 3 ГБ)</t>
  </si>
  <si>
    <t>05.12.2025 11:15:29</t>
  </si>
  <si>
    <t>ІБ00-000837</t>
  </si>
  <si>
    <t xml:space="preserve"> Акт 3/1.18-КБ</t>
  </si>
  <si>
    <t xml:space="preserve"> Акт 22/1.10-КБ</t>
  </si>
  <si>
    <t>09.12.2025 09:48:36</t>
  </si>
  <si>
    <t>ІБ00-000848</t>
  </si>
  <si>
    <t>АГРОФІРМА ІМ. ДОВЖЕНКА ТОВ</t>
  </si>
  <si>
    <t>Виробничий (Астарта_Тищенки)</t>
  </si>
  <si>
    <t>Доїльно-молочний блок Акт 4-12</t>
  </si>
  <si>
    <t>09.12.2025 15:00:00</t>
  </si>
  <si>
    <t>ІБ00-000845</t>
  </si>
  <si>
    <t>Корівник №7 АВР № 2-17</t>
  </si>
  <si>
    <t>09.12.2025 16:08:22</t>
  </si>
  <si>
    <t>ІБ00-000846</t>
  </si>
  <si>
    <t>Сепараторна Акт 5-03</t>
  </si>
  <si>
    <t>09.12.2025 16:09:12</t>
  </si>
  <si>
    <t>ІБ00-000847</t>
  </si>
  <si>
    <t>Накопичувальна ємність ДМБ 6-07</t>
  </si>
  <si>
    <t>10.12.2025 09:33:54</t>
  </si>
  <si>
    <t>ІБ00-000864</t>
  </si>
  <si>
    <t>Доїльно-молочний блок Акт 4-13</t>
  </si>
  <si>
    <t xml:space="preserve">КОМРАД ТРЕЙД  ТОВ </t>
  </si>
  <si>
    <t>Аулова Маргарита</t>
  </si>
  <si>
    <t>12.12.2025 11:13:41</t>
  </si>
  <si>
    <t>ІБ00-000836</t>
  </si>
  <si>
    <t>12.12.2025 12:19:42</t>
  </si>
  <si>
    <t>ІБ00-000851</t>
  </si>
  <si>
    <t>12.12.2025 12:20:41</t>
  </si>
  <si>
    <t>ІБ00-000852</t>
  </si>
  <si>
    <t xml:space="preserve"> Акт 5/1.3-АР</t>
  </si>
  <si>
    <t>12.12.2025 12:22:29</t>
  </si>
  <si>
    <t>ІБ00-000853</t>
  </si>
  <si>
    <t xml:space="preserve"> Акт 2/1.10-КМ (СПК)</t>
  </si>
  <si>
    <t>12.12.2025 12:23:17</t>
  </si>
  <si>
    <t>ІБ00-000854</t>
  </si>
  <si>
    <t>Акт 45/1.3-ТХ (Цех екстракції поз. 3 ГБ)</t>
  </si>
  <si>
    <t>12.12.2025 12:24:01</t>
  </si>
  <si>
    <t>ІБ00-000855</t>
  </si>
  <si>
    <t xml:space="preserve"> Акт 7/1.7-КБ </t>
  </si>
  <si>
    <t>12.12.2025 12:24:32</t>
  </si>
  <si>
    <t>ІБ00-000856</t>
  </si>
  <si>
    <t>Акт 97/1.3-КМ(Цех екстракції поз. 3 ГБ)</t>
  </si>
  <si>
    <t>12.12.2025 12:25:13</t>
  </si>
  <si>
    <t>ІБ00-000857</t>
  </si>
  <si>
    <t xml:space="preserve"> Акт 5/1.7-КМ</t>
  </si>
  <si>
    <t>12.12.2025 12:26:09</t>
  </si>
  <si>
    <t>ІБ00-000858</t>
  </si>
  <si>
    <t xml:space="preserve"> Акт 4/1.18-КБ</t>
  </si>
  <si>
    <t>12.12.2025 12:27:25</t>
  </si>
  <si>
    <t>ІБ00-000860</t>
  </si>
  <si>
    <t xml:space="preserve"> Акт 30/1.9-КМ (СПК)</t>
  </si>
  <si>
    <t>12.12.2025 12:28:05</t>
  </si>
  <si>
    <t>ІБ00-000861</t>
  </si>
  <si>
    <t>Акт 13/ГПЗ</t>
  </si>
  <si>
    <t>12.12.2025 12:30:25</t>
  </si>
  <si>
    <t>ІБ00-000862</t>
  </si>
  <si>
    <t xml:space="preserve"> Акт 17/1.1-АР</t>
  </si>
  <si>
    <t>12.12.2025 13:59:19</t>
  </si>
  <si>
    <t>ІБ00-000863</t>
  </si>
  <si>
    <t xml:space="preserve"> Акт 28/1.14-АР (Котельня)</t>
  </si>
  <si>
    <t>16.12.2025 12:04:22</t>
  </si>
  <si>
    <t>ІБ00-000866</t>
  </si>
  <si>
    <t>Корівник №7 АВР № 2-19, без списання</t>
  </si>
  <si>
    <t>16.12.2025 12:04:57</t>
  </si>
  <si>
    <t>ІБ00-000867</t>
  </si>
  <si>
    <t>Сепараторна Акт 5-04</t>
  </si>
  <si>
    <t>16.12.2025 13:00:52</t>
  </si>
  <si>
    <t>ІБ00-000868</t>
  </si>
  <si>
    <t>Доїльно-молочний блок Акт 4-14</t>
  </si>
  <si>
    <t>19.12.2025 10:42:00</t>
  </si>
  <si>
    <t>ІБ00-000874</t>
  </si>
  <si>
    <t xml:space="preserve"> Акт 9/1.17-КБ Очисні Споруди</t>
  </si>
  <si>
    <t>19.12.2025 10:42:38</t>
  </si>
  <si>
    <t>ІБ00-000875</t>
  </si>
  <si>
    <t xml:space="preserve"> Акт 21/1.26_Б</t>
  </si>
  <si>
    <t>19.12.2025 10:43:09</t>
  </si>
  <si>
    <t>ІБ00-000876</t>
  </si>
  <si>
    <t xml:space="preserve"> Акт 6/1.3-АР</t>
  </si>
  <si>
    <t>19.12.2025 10:46:43</t>
  </si>
  <si>
    <t>ІБ00-000877</t>
  </si>
  <si>
    <t xml:space="preserve"> Акт 1/1.10-АР</t>
  </si>
  <si>
    <t>19.12.2025 10:47:45</t>
  </si>
  <si>
    <t>ІБ00-000878</t>
  </si>
  <si>
    <t>Акт 98/1.3-КМ(Цех екстракції поз. 3 ГБ)</t>
  </si>
  <si>
    <t>19.12.2025 10:48:32</t>
  </si>
  <si>
    <t>ІБ00-000879</t>
  </si>
  <si>
    <t xml:space="preserve"> Акт 31/1.9-КМ (СПК)</t>
  </si>
  <si>
    <t>19.12.2025 10:49:31</t>
  </si>
  <si>
    <t>ІБ00-000880</t>
  </si>
  <si>
    <t>Акт 38/1.3-КБ(Цех екстракції поз. 3 ГБ)</t>
  </si>
  <si>
    <t>19.12.2025 10:50:17</t>
  </si>
  <si>
    <t>ІБ00-000881</t>
  </si>
  <si>
    <t xml:space="preserve"> Акт 29/1.14-АР (Котельня)</t>
  </si>
  <si>
    <t>19.12.2025 10:52:10</t>
  </si>
  <si>
    <t>ІБ00-000883</t>
  </si>
  <si>
    <t xml:space="preserve"> Акт 6/1.16-КМ (Пожежний резервуар) (цех)</t>
  </si>
  <si>
    <t>19.12.2025 10:52:55</t>
  </si>
  <si>
    <t>ІБ00-000884</t>
  </si>
  <si>
    <t xml:space="preserve"> Акт 8/1.7-КБ </t>
  </si>
  <si>
    <t>19.12.2025 16:17:14</t>
  </si>
  <si>
    <t>ІБ00-000886</t>
  </si>
  <si>
    <t>Акт 1/1.6-КМ (транспортна галерея)</t>
  </si>
  <si>
    <t>22.12.2025 10:05:38</t>
  </si>
  <si>
    <t>ІБ00-000900</t>
  </si>
  <si>
    <t>Корівник №7 АВР № 2/2 без списання</t>
  </si>
  <si>
    <t>22.12.2025 10:06:30</t>
  </si>
  <si>
    <t>ІБ00-000901</t>
  </si>
  <si>
    <t>Доїльно-молочний блок Акт 4-16 без списання</t>
  </si>
  <si>
    <t>22.12.2025 10:23:12</t>
  </si>
  <si>
    <t>ІБ00-000899</t>
  </si>
  <si>
    <t>Доїльно-молочний блок Акт 4-15</t>
  </si>
  <si>
    <t>22.12.2025 13:35:25</t>
  </si>
  <si>
    <t>ІБ00-000889</t>
  </si>
  <si>
    <t>Проміжна ємність 6-08</t>
  </si>
  <si>
    <t>22.12.2025 13:35:56</t>
  </si>
  <si>
    <t>ІБ00-000890</t>
  </si>
  <si>
    <t>Сепараторна Акт 5-05</t>
  </si>
  <si>
    <t>22.12.2025 13:36:38</t>
  </si>
  <si>
    <t>ІБ00-000891</t>
  </si>
  <si>
    <t>Корівник №7 АВР № 2-18</t>
  </si>
  <si>
    <t>22.12.2025 13:37:31</t>
  </si>
  <si>
    <t>ІБ00-000892</t>
  </si>
  <si>
    <t>Доїльно-молочний блок Акт 4/4 без списання</t>
  </si>
  <si>
    <t>22.12.2025 13:40:08</t>
  </si>
  <si>
    <t>ІБ00-000893</t>
  </si>
  <si>
    <t>Система пожежогасіння 3/1</t>
  </si>
  <si>
    <t>22.12.2025 13:41:15</t>
  </si>
  <si>
    <t>ІБ00-000894</t>
  </si>
  <si>
    <t>Корівник №7 АВР № 2/5</t>
  </si>
  <si>
    <t>22.12.2025 13:43:01</t>
  </si>
  <si>
    <t>ІБ00-000895</t>
  </si>
  <si>
    <t>Корівник №6 АВР № 1/5</t>
  </si>
  <si>
    <t>22.12.2025 13:44:07</t>
  </si>
  <si>
    <t>ІБ00-000896</t>
  </si>
  <si>
    <t>Корівник №7 АВР № 2/4 без списання</t>
  </si>
  <si>
    <t>22.12.2025 13:44:52</t>
  </si>
  <si>
    <t>ІБ00-000897</t>
  </si>
  <si>
    <t>Корівник №6 АВР № 1/4 без списання</t>
  </si>
  <si>
    <t>22.12.2025 16:13:46</t>
  </si>
  <si>
    <t>ІБ00-000885</t>
  </si>
  <si>
    <t xml:space="preserve"> Акт 18/1.1-АР</t>
  </si>
  <si>
    <t>22.12.2025 17:15:45</t>
  </si>
  <si>
    <t>ІБ00-000898</t>
  </si>
  <si>
    <t>Корівник №7 АВР № 2-20</t>
  </si>
  <si>
    <t>23.12.2025 18:39:04</t>
  </si>
  <si>
    <t>ІБ00-000919</t>
  </si>
  <si>
    <t>Акт 2/2 № 09/05/2025ВО від 09.05.2025</t>
  </si>
  <si>
    <t>29.12.2025 10:41:12</t>
  </si>
  <si>
    <t>ІБ00-000873</t>
  </si>
  <si>
    <t xml:space="preserve"> Акт 25/1.1-КБ (АПК)</t>
  </si>
  <si>
    <t>29.12.2025 14:23:30</t>
  </si>
  <si>
    <t>ІБ00-000902</t>
  </si>
  <si>
    <t xml:space="preserve"> Акт 3/1.10-КМ (СПК)</t>
  </si>
  <si>
    <t>29.12.2025 14:25:10</t>
  </si>
  <si>
    <t>ІБ00-000903</t>
  </si>
  <si>
    <t>Акт 101/1.3-КМ(Цех екстракції поз. 3 ГБ)</t>
  </si>
  <si>
    <t>29.12.2025 14:26:04</t>
  </si>
  <si>
    <t>ІБ00-000904</t>
  </si>
  <si>
    <t xml:space="preserve"> Акт 9/1.7-КБ </t>
  </si>
  <si>
    <t>29.12.2025 14:27:50</t>
  </si>
  <si>
    <t>ІБ00-000905</t>
  </si>
  <si>
    <t xml:space="preserve"> Акт 6/1.7-КМ</t>
  </si>
  <si>
    <t>29.12.2025 14:29:19</t>
  </si>
  <si>
    <t>ІБ00-000906</t>
  </si>
  <si>
    <t>Акт 99/1.3-КМ(Цех екстракції поз. 3 ГБ) 0.01 коп</t>
  </si>
  <si>
    <t>29.12.2025 14:30:07</t>
  </si>
  <si>
    <t>ІБ00-000907</t>
  </si>
  <si>
    <t>Акт 46/1.3-ТХ (Цех екстракції поз. 3 ГБ)</t>
  </si>
  <si>
    <t>29.12.2025 14:31:04</t>
  </si>
  <si>
    <t>ІБ00-000908</t>
  </si>
  <si>
    <t xml:space="preserve"> Акт 7/1.16-КМ (Пожежний резервуар) (цех)</t>
  </si>
  <si>
    <t>29.12.2025 14:31:48</t>
  </si>
  <si>
    <t>ІБ00-000909</t>
  </si>
  <si>
    <t xml:space="preserve"> Акт 2/1.10-АР</t>
  </si>
  <si>
    <t>29.12.2025 14:32:33</t>
  </si>
  <si>
    <t>ІБ00-000910</t>
  </si>
  <si>
    <t xml:space="preserve"> Акт 7/1.3-АР</t>
  </si>
  <si>
    <t>29.12.2025 14:33:18</t>
  </si>
  <si>
    <t>ІБ00-000911</t>
  </si>
  <si>
    <t>Акт 100/1.3-КМ(Цех екстракції поз. 3 ГБ) 0.01 коп</t>
  </si>
  <si>
    <t>29.12.2025 14:33:58</t>
  </si>
  <si>
    <t>ІБ00-000912</t>
  </si>
  <si>
    <t xml:space="preserve"> Акт 12/1.25 (Демонтажні роботи) </t>
  </si>
  <si>
    <t>29.12.2025 14:34:39</t>
  </si>
  <si>
    <t>ІБ00-000913</t>
  </si>
  <si>
    <t xml:space="preserve"> Акт 32/1.9-КМ (СПК)</t>
  </si>
  <si>
    <t>29.12.2025 14:35:24</t>
  </si>
  <si>
    <t>ІБ00-000914</t>
  </si>
  <si>
    <t xml:space="preserve"> Акт 30/1.14-АР (Котельня)</t>
  </si>
  <si>
    <t>29.12.2025 14:37:27</t>
  </si>
  <si>
    <t>ІБ00-000915</t>
  </si>
  <si>
    <t xml:space="preserve"> Акт 19/1.1-АР</t>
  </si>
  <si>
    <t>29.12.2025 14:38:19</t>
  </si>
  <si>
    <t>ІБ00-000916</t>
  </si>
  <si>
    <t>Акт 14/ГПЗ</t>
  </si>
  <si>
    <t>30.12.2025 00:00:00</t>
  </si>
  <si>
    <t>ІБ00-000926</t>
  </si>
  <si>
    <t>Акт 2/1.6-КМ (транспортна галерея)</t>
  </si>
  <si>
    <t>ІБ00-000927</t>
  </si>
  <si>
    <t xml:space="preserve"> Акт 3/1.10-АР</t>
  </si>
  <si>
    <t>ІБ00-000928</t>
  </si>
  <si>
    <t>Акт 102/1.3-КМ(Цех екстракції поз. 3 ГБ) 0.01 коп</t>
  </si>
  <si>
    <t>ІБ00-000929</t>
  </si>
  <si>
    <t xml:space="preserve"> Акт 33/1.9-КМ (СПК)</t>
  </si>
  <si>
    <t>ІБ00-000931</t>
  </si>
  <si>
    <t>ІБ00-000934</t>
  </si>
  <si>
    <t xml:space="preserve"> Акт 1/1.22-ЗВК </t>
  </si>
  <si>
    <t>ІБ00-000935</t>
  </si>
  <si>
    <t xml:space="preserve"> Акт 1/1.18-АР ГРП (Газорегуляторний пункт)</t>
  </si>
  <si>
    <t>ІБ00-000936</t>
  </si>
  <si>
    <t xml:space="preserve"> Акт 20/1.1-АР</t>
  </si>
  <si>
    <t>ІБ00-000937</t>
  </si>
  <si>
    <t>Акт 15/ГПЗ</t>
  </si>
  <si>
    <t>ІБ00-000938</t>
  </si>
  <si>
    <t xml:space="preserve"> Акт 1/1.16-АР (Пожежний резервуар) </t>
  </si>
  <si>
    <t>30.12.2025 10:00:00</t>
  </si>
  <si>
    <t>ІБ00-000942</t>
  </si>
  <si>
    <t>НІЖИНСЬКИЙ ЖИРКОМБІНАТ ПрАТ</t>
  </si>
  <si>
    <t>Виробничий (Ніжин-4)</t>
  </si>
  <si>
    <t>Акт 29</t>
  </si>
  <si>
    <t>30.12.2025 10:26:36</t>
  </si>
  <si>
    <t>ІБ00-000922</t>
  </si>
  <si>
    <t>Проміжна ємність 6-09</t>
  </si>
  <si>
    <t>Астарта.Тищенки</t>
  </si>
  <si>
    <t>Глобино-2</t>
  </si>
  <si>
    <t>МХП Катеринополь</t>
  </si>
  <si>
    <t>Нежин-4</t>
  </si>
  <si>
    <t>Вид операції</t>
  </si>
  <si>
    <t>Склад</t>
  </si>
  <si>
    <t>03.12.2025 00:00:00</t>
  </si>
  <si>
    <t>ІБ00-000075</t>
  </si>
  <si>
    <t>Продаж, комісія</t>
  </si>
  <si>
    <t>Астарта_Тищенки</t>
  </si>
  <si>
    <t>пєрєпровєріть</t>
  </si>
  <si>
    <t>ІБ00-000083</t>
  </si>
  <si>
    <t>Цех екстракції (Глобине)</t>
  </si>
  <si>
    <t>вн 30</t>
  </si>
  <si>
    <t>ІБ00-000084</t>
  </si>
  <si>
    <t>ВН 31,32</t>
  </si>
  <si>
    <t>ІБ00-000085</t>
  </si>
  <si>
    <t>ВН 33</t>
  </si>
  <si>
    <t>10.12.2025 00:00:00</t>
  </si>
  <si>
    <t>ІБ00-000078</t>
  </si>
  <si>
    <t>10.12.2025 08:43:40</t>
  </si>
  <si>
    <t>ІБ00-000086</t>
  </si>
  <si>
    <t>11.12.2025 14:16:27</t>
  </si>
  <si>
    <t>ІБ00-000091</t>
  </si>
  <si>
    <t xml:space="preserve"> спец 6</t>
  </si>
  <si>
    <t>12.12.2025 10:01:58</t>
  </si>
  <si>
    <t>ІБ00-000093</t>
  </si>
  <si>
    <t xml:space="preserve"> спец 8</t>
  </si>
  <si>
    <t>12.12.2025 15:48:05</t>
  </si>
  <si>
    <t>ІБ00-000094</t>
  </si>
  <si>
    <t>ЗВК_Глобіне</t>
  </si>
  <si>
    <t>спец 10</t>
  </si>
  <si>
    <t>16.12.2025 00:00:00</t>
  </si>
  <si>
    <t>ІБ00-000097</t>
  </si>
  <si>
    <t>КМД-2</t>
  </si>
  <si>
    <t>Брунага Віктор Олександрович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</si>
</sst>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  <font>
      <sz val="10"/>
      <color indexed="6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5" fillId="0" borderId="0" xfId="0" applyNumberFormat="1" applyFont="1"/>
    <xf numFmtId="4" fontId="1" fillId="0" borderId="0" xfId="0" applyNumberFormat="1" applyFont="1"/>
    <xf numFmtId="0" fontId="6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Sheet1" xfId="1" xr:uid="{21130CCE-22D3-4B17-9239-22D5D6AC75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abSelected="1" topLeftCell="A79" workbookViewId="0">
      <selection activeCell="E99" sqref="E99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8.77734375" bestFit="1" customWidth="1"/>
    <col min="4" max="4" width="33" bestFit="1" customWidth="1"/>
    <col min="5" max="5" width="12.33203125" bestFit="1" customWidth="1"/>
    <col min="6" max="6" width="7.6640625" bestFit="1" customWidth="1"/>
    <col min="7" max="7" width="22.6640625" bestFit="1" customWidth="1"/>
    <col min="8" max="8" width="16.6640625" bestFit="1" customWidth="1"/>
    <col min="9" max="9" width="14.5546875" bestFit="1" customWidth="1"/>
    <col min="10" max="10" width="7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818412.16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10</v>
      </c>
      <c r="B3" s="2" t="s">
        <v>22</v>
      </c>
      <c r="C3" s="2" t="s">
        <v>23</v>
      </c>
      <c r="D3" s="2" t="s">
        <v>24</v>
      </c>
      <c r="E3" s="3">
        <v>259236.64</v>
      </c>
      <c r="F3" s="2" t="s">
        <v>14</v>
      </c>
      <c r="G3" s="2" t="s">
        <v>25</v>
      </c>
      <c r="H3" s="2" t="s">
        <v>16</v>
      </c>
      <c r="I3" s="2" t="s">
        <v>17</v>
      </c>
      <c r="J3" s="2" t="s">
        <v>26</v>
      </c>
    </row>
    <row r="4" spans="1:10" x14ac:dyDescent="0.3">
      <c r="A4" s="2" t="s">
        <v>10</v>
      </c>
      <c r="B4" s="2" t="s">
        <v>27</v>
      </c>
      <c r="C4" s="2" t="s">
        <v>28</v>
      </c>
      <c r="D4" s="2" t="s">
        <v>24</v>
      </c>
      <c r="E4" s="3">
        <v>192890.59</v>
      </c>
      <c r="F4" s="2" t="s">
        <v>14</v>
      </c>
      <c r="G4" s="2" t="s">
        <v>25</v>
      </c>
      <c r="H4" s="2" t="s">
        <v>16</v>
      </c>
      <c r="I4" s="2" t="s">
        <v>17</v>
      </c>
      <c r="J4" s="2" t="s">
        <v>26</v>
      </c>
    </row>
    <row r="5" spans="1:10" x14ac:dyDescent="0.3">
      <c r="A5" s="2" t="s">
        <v>10</v>
      </c>
      <c r="B5" s="2" t="s">
        <v>29</v>
      </c>
      <c r="C5" s="2" t="s">
        <v>30</v>
      </c>
      <c r="D5" s="2" t="s">
        <v>13</v>
      </c>
      <c r="E5" s="3">
        <v>40020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31</v>
      </c>
    </row>
    <row r="6" spans="1:10" x14ac:dyDescent="0.3">
      <c r="A6" s="2" t="s">
        <v>10</v>
      </c>
      <c r="B6" s="2" t="s">
        <v>32</v>
      </c>
      <c r="C6" s="2" t="s">
        <v>33</v>
      </c>
      <c r="D6" s="2" t="s">
        <v>20</v>
      </c>
      <c r="E6" s="3">
        <v>33937.43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34</v>
      </c>
    </row>
    <row r="7" spans="1:10" x14ac:dyDescent="0.3">
      <c r="A7" s="2" t="s">
        <v>10</v>
      </c>
      <c r="B7" s="2" t="s">
        <v>35</v>
      </c>
      <c r="C7" s="2" t="s">
        <v>36</v>
      </c>
      <c r="D7" s="2" t="s">
        <v>20</v>
      </c>
      <c r="E7" s="3">
        <v>68239.320000000007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37</v>
      </c>
    </row>
    <row r="8" spans="1:10" x14ac:dyDescent="0.3">
      <c r="A8" s="2" t="s">
        <v>10</v>
      </c>
      <c r="B8" s="2" t="s">
        <v>38</v>
      </c>
      <c r="C8" s="2" t="s">
        <v>39</v>
      </c>
      <c r="D8" s="2" t="s">
        <v>20</v>
      </c>
      <c r="E8" s="3">
        <v>12471.6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40</v>
      </c>
    </row>
    <row r="9" spans="1:10" x14ac:dyDescent="0.3">
      <c r="A9" s="2" t="s">
        <v>10</v>
      </c>
      <c r="B9" s="2" t="s">
        <v>41</v>
      </c>
      <c r="C9" s="2" t="s">
        <v>42</v>
      </c>
      <c r="D9" s="2" t="s">
        <v>20</v>
      </c>
      <c r="E9" s="3">
        <v>14406.72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43</v>
      </c>
    </row>
    <row r="10" spans="1:10" x14ac:dyDescent="0.3">
      <c r="A10" s="2" t="s">
        <v>10</v>
      </c>
      <c r="B10" s="2" t="s">
        <v>44</v>
      </c>
      <c r="C10" s="2" t="s">
        <v>45</v>
      </c>
      <c r="D10" s="2" t="s">
        <v>20</v>
      </c>
      <c r="E10" s="3">
        <v>278345.02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46</v>
      </c>
    </row>
    <row r="11" spans="1:10" x14ac:dyDescent="0.3">
      <c r="A11" s="2" t="s">
        <v>10</v>
      </c>
      <c r="B11" s="2" t="s">
        <v>47</v>
      </c>
      <c r="C11" s="2" t="s">
        <v>48</v>
      </c>
      <c r="D11" s="2" t="s">
        <v>20</v>
      </c>
      <c r="E11" s="3">
        <v>202946.66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49</v>
      </c>
    </row>
    <row r="12" spans="1:10" x14ac:dyDescent="0.3">
      <c r="A12" s="2" t="s">
        <v>10</v>
      </c>
      <c r="B12" s="2" t="s">
        <v>50</v>
      </c>
      <c r="C12" s="2" t="s">
        <v>51</v>
      </c>
      <c r="D12" s="2" t="s">
        <v>20</v>
      </c>
      <c r="E12" s="3">
        <v>2029788.76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52</v>
      </c>
    </row>
    <row r="13" spans="1:10" x14ac:dyDescent="0.3">
      <c r="A13" s="2" t="s">
        <v>10</v>
      </c>
      <c r="B13" s="2" t="s">
        <v>53</v>
      </c>
      <c r="C13" s="2" t="s">
        <v>54</v>
      </c>
      <c r="D13" s="2" t="s">
        <v>20</v>
      </c>
      <c r="E13" s="3">
        <v>109093.39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55</v>
      </c>
    </row>
    <row r="14" spans="1:10" x14ac:dyDescent="0.3">
      <c r="A14" s="2" t="s">
        <v>10</v>
      </c>
      <c r="B14" s="2" t="s">
        <v>56</v>
      </c>
      <c r="C14" s="2" t="s">
        <v>57</v>
      </c>
      <c r="D14" s="2" t="s">
        <v>20</v>
      </c>
      <c r="E14" s="3">
        <v>586411.27</v>
      </c>
      <c r="F14" s="2" t="s">
        <v>14</v>
      </c>
      <c r="G14" s="2" t="s">
        <v>15</v>
      </c>
      <c r="H14" s="2" t="s">
        <v>16</v>
      </c>
      <c r="I14" s="2" t="s">
        <v>17</v>
      </c>
      <c r="J14" s="2" t="s">
        <v>58</v>
      </c>
    </row>
    <row r="15" spans="1:10" x14ac:dyDescent="0.3">
      <c r="A15" s="2" t="s">
        <v>10</v>
      </c>
      <c r="B15" s="2" t="s">
        <v>59</v>
      </c>
      <c r="C15" s="2" t="s">
        <v>60</v>
      </c>
      <c r="D15" s="2" t="s">
        <v>20</v>
      </c>
      <c r="E15" s="3">
        <v>80672.820000000007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61</v>
      </c>
    </row>
    <row r="16" spans="1:10" x14ac:dyDescent="0.3">
      <c r="A16" s="2" t="s">
        <v>10</v>
      </c>
      <c r="B16" s="2" t="s">
        <v>62</v>
      </c>
      <c r="C16" s="2" t="s">
        <v>63</v>
      </c>
      <c r="D16" s="2" t="s">
        <v>20</v>
      </c>
      <c r="E16" s="3">
        <v>701290.21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64</v>
      </c>
    </row>
    <row r="17" spans="1:10" x14ac:dyDescent="0.3">
      <c r="A17" s="2" t="s">
        <v>10</v>
      </c>
      <c r="B17" s="2" t="s">
        <v>65</v>
      </c>
      <c r="C17" s="2" t="s">
        <v>66</v>
      </c>
      <c r="D17" s="2" t="s">
        <v>20</v>
      </c>
      <c r="E17" s="3">
        <v>33647.89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67</v>
      </c>
    </row>
    <row r="18" spans="1:10" x14ac:dyDescent="0.3">
      <c r="A18" s="2" t="s">
        <v>10</v>
      </c>
      <c r="B18" s="2" t="s">
        <v>69</v>
      </c>
      <c r="C18" s="2" t="s">
        <v>70</v>
      </c>
      <c r="D18" s="2" t="s">
        <v>71</v>
      </c>
      <c r="E18" s="3">
        <v>1624904.72</v>
      </c>
      <c r="F18" s="2" t="s">
        <v>14</v>
      </c>
      <c r="G18" s="2" t="s">
        <v>72</v>
      </c>
      <c r="H18" s="2" t="s">
        <v>16</v>
      </c>
      <c r="I18" s="2" t="s">
        <v>17</v>
      </c>
      <c r="J18" s="2" t="s">
        <v>73</v>
      </c>
    </row>
    <row r="19" spans="1:10" x14ac:dyDescent="0.3">
      <c r="A19" s="2" t="s">
        <v>10</v>
      </c>
      <c r="B19" s="2" t="s">
        <v>74</v>
      </c>
      <c r="C19" s="2" t="s">
        <v>75</v>
      </c>
      <c r="D19" s="2" t="s">
        <v>71</v>
      </c>
      <c r="E19" s="3">
        <v>570778.74</v>
      </c>
      <c r="F19" s="2" t="s">
        <v>14</v>
      </c>
      <c r="G19" s="2" t="s">
        <v>72</v>
      </c>
      <c r="H19" s="2" t="s">
        <v>16</v>
      </c>
      <c r="I19" s="2" t="s">
        <v>17</v>
      </c>
      <c r="J19" s="2" t="s">
        <v>76</v>
      </c>
    </row>
    <row r="20" spans="1:10" x14ac:dyDescent="0.3">
      <c r="A20" s="2" t="s">
        <v>10</v>
      </c>
      <c r="B20" s="2" t="s">
        <v>77</v>
      </c>
      <c r="C20" s="2" t="s">
        <v>78</v>
      </c>
      <c r="D20" s="2" t="s">
        <v>71</v>
      </c>
      <c r="E20" s="3">
        <v>26134.39</v>
      </c>
      <c r="F20" s="2" t="s">
        <v>14</v>
      </c>
      <c r="G20" s="2" t="s">
        <v>72</v>
      </c>
      <c r="H20" s="2" t="s">
        <v>16</v>
      </c>
      <c r="I20" s="2" t="s">
        <v>17</v>
      </c>
      <c r="J20" s="2" t="s">
        <v>79</v>
      </c>
    </row>
    <row r="21" spans="1:10" x14ac:dyDescent="0.3">
      <c r="A21" s="2" t="s">
        <v>10</v>
      </c>
      <c r="B21" s="2" t="s">
        <v>80</v>
      </c>
      <c r="C21" s="2" t="s">
        <v>81</v>
      </c>
      <c r="D21" s="2" t="s">
        <v>71</v>
      </c>
      <c r="E21" s="3">
        <v>455736.88</v>
      </c>
      <c r="F21" s="2" t="s">
        <v>14</v>
      </c>
      <c r="G21" s="2" t="s">
        <v>72</v>
      </c>
      <c r="H21" s="2" t="s">
        <v>16</v>
      </c>
      <c r="I21" s="2" t="s">
        <v>17</v>
      </c>
      <c r="J21" s="2" t="s">
        <v>82</v>
      </c>
    </row>
    <row r="22" spans="1:10" x14ac:dyDescent="0.3">
      <c r="A22" s="2" t="s">
        <v>10</v>
      </c>
      <c r="B22" s="2" t="s">
        <v>83</v>
      </c>
      <c r="C22" s="2" t="s">
        <v>84</v>
      </c>
      <c r="D22" s="2" t="s">
        <v>71</v>
      </c>
      <c r="E22" s="3">
        <v>399191.12</v>
      </c>
      <c r="F22" s="2" t="s">
        <v>14</v>
      </c>
      <c r="G22" s="2" t="s">
        <v>72</v>
      </c>
      <c r="H22" s="2" t="s">
        <v>16</v>
      </c>
      <c r="I22" s="2" t="s">
        <v>17</v>
      </c>
      <c r="J22" s="2" t="s">
        <v>85</v>
      </c>
    </row>
    <row r="23" spans="1:10" x14ac:dyDescent="0.3">
      <c r="A23" s="2" t="s">
        <v>10</v>
      </c>
      <c r="B23" s="2" t="s">
        <v>88</v>
      </c>
      <c r="C23" s="2" t="s">
        <v>89</v>
      </c>
      <c r="D23" s="2" t="s">
        <v>20</v>
      </c>
      <c r="E23" s="3">
        <v>17674.21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68</v>
      </c>
    </row>
    <row r="24" spans="1:10" x14ac:dyDescent="0.3">
      <c r="A24" s="2" t="s">
        <v>10</v>
      </c>
      <c r="B24" s="2" t="s">
        <v>90</v>
      </c>
      <c r="C24" s="2" t="s">
        <v>91</v>
      </c>
      <c r="D24" s="2" t="s">
        <v>20</v>
      </c>
      <c r="E24" s="3">
        <v>115279.27</v>
      </c>
      <c r="F24" s="2" t="s">
        <v>14</v>
      </c>
      <c r="G24" s="2" t="s">
        <v>15</v>
      </c>
      <c r="H24" s="2" t="s">
        <v>16</v>
      </c>
      <c r="I24" s="2" t="s">
        <v>17</v>
      </c>
      <c r="J24" s="2" t="s">
        <v>21</v>
      </c>
    </row>
    <row r="25" spans="1:10" x14ac:dyDescent="0.3">
      <c r="A25" s="2" t="s">
        <v>10</v>
      </c>
      <c r="B25" s="2" t="s">
        <v>92</v>
      </c>
      <c r="C25" s="2" t="s">
        <v>93</v>
      </c>
      <c r="D25" s="2" t="s">
        <v>20</v>
      </c>
      <c r="E25" s="3">
        <v>1502461.01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94</v>
      </c>
    </row>
    <row r="26" spans="1:10" x14ac:dyDescent="0.3">
      <c r="A26" s="2" t="s">
        <v>10</v>
      </c>
      <c r="B26" s="2" t="s">
        <v>95</v>
      </c>
      <c r="C26" s="2" t="s">
        <v>96</v>
      </c>
      <c r="D26" s="2" t="s">
        <v>20</v>
      </c>
      <c r="E26" s="3">
        <v>366486.58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97</v>
      </c>
    </row>
    <row r="27" spans="1:10" x14ac:dyDescent="0.3">
      <c r="A27" s="2" t="s">
        <v>10</v>
      </c>
      <c r="B27" s="2" t="s">
        <v>98</v>
      </c>
      <c r="C27" s="2" t="s">
        <v>99</v>
      </c>
      <c r="D27" s="2" t="s">
        <v>20</v>
      </c>
      <c r="E27" s="3">
        <v>234247.38</v>
      </c>
      <c r="F27" s="2" t="s">
        <v>14</v>
      </c>
      <c r="G27" s="2" t="s">
        <v>15</v>
      </c>
      <c r="H27" s="2" t="s">
        <v>16</v>
      </c>
      <c r="I27" s="2" t="s">
        <v>17</v>
      </c>
      <c r="J27" s="2" t="s">
        <v>100</v>
      </c>
    </row>
    <row r="28" spans="1:10" x14ac:dyDescent="0.3">
      <c r="A28" s="2" t="s">
        <v>10</v>
      </c>
      <c r="B28" s="2" t="s">
        <v>101</v>
      </c>
      <c r="C28" s="2" t="s">
        <v>102</v>
      </c>
      <c r="D28" s="2" t="s">
        <v>20</v>
      </c>
      <c r="E28" s="3">
        <v>92566.93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103</v>
      </c>
    </row>
    <row r="29" spans="1:10" x14ac:dyDescent="0.3">
      <c r="A29" s="2" t="s">
        <v>10</v>
      </c>
      <c r="B29" s="2" t="s">
        <v>104</v>
      </c>
      <c r="C29" s="2" t="s">
        <v>105</v>
      </c>
      <c r="D29" s="2" t="s">
        <v>20</v>
      </c>
      <c r="E29" s="3">
        <v>357290.16</v>
      </c>
      <c r="F29" s="2" t="s">
        <v>14</v>
      </c>
      <c r="G29" s="2" t="s">
        <v>15</v>
      </c>
      <c r="H29" s="2" t="s">
        <v>16</v>
      </c>
      <c r="I29" s="2" t="s">
        <v>17</v>
      </c>
      <c r="J29" s="2" t="s">
        <v>106</v>
      </c>
    </row>
    <row r="30" spans="1:10" x14ac:dyDescent="0.3">
      <c r="A30" s="2" t="s">
        <v>10</v>
      </c>
      <c r="B30" s="2" t="s">
        <v>107</v>
      </c>
      <c r="C30" s="2" t="s">
        <v>108</v>
      </c>
      <c r="D30" s="2" t="s">
        <v>20</v>
      </c>
      <c r="E30" s="3">
        <v>96859.46</v>
      </c>
      <c r="F30" s="2" t="s">
        <v>14</v>
      </c>
      <c r="G30" s="2" t="s">
        <v>15</v>
      </c>
      <c r="H30" s="2" t="s">
        <v>16</v>
      </c>
      <c r="I30" s="2" t="s">
        <v>17</v>
      </c>
      <c r="J30" s="2" t="s">
        <v>109</v>
      </c>
    </row>
    <row r="31" spans="1:10" x14ac:dyDescent="0.3">
      <c r="A31" s="2" t="s">
        <v>10</v>
      </c>
      <c r="B31" s="2" t="s">
        <v>110</v>
      </c>
      <c r="C31" s="2" t="s">
        <v>111</v>
      </c>
      <c r="D31" s="2" t="s">
        <v>20</v>
      </c>
      <c r="E31" s="3">
        <v>31321.91</v>
      </c>
      <c r="F31" s="2" t="s">
        <v>14</v>
      </c>
      <c r="G31" s="2" t="s">
        <v>15</v>
      </c>
      <c r="H31" s="2" t="s">
        <v>16</v>
      </c>
      <c r="I31" s="2" t="s">
        <v>17</v>
      </c>
      <c r="J31" s="2" t="s">
        <v>112</v>
      </c>
    </row>
    <row r="32" spans="1:10" x14ac:dyDescent="0.3">
      <c r="A32" s="2" t="s">
        <v>10</v>
      </c>
      <c r="B32" s="2" t="s">
        <v>113</v>
      </c>
      <c r="C32" s="2" t="s">
        <v>114</v>
      </c>
      <c r="D32" s="2" t="s">
        <v>20</v>
      </c>
      <c r="E32" s="3">
        <v>613237.48</v>
      </c>
      <c r="F32" s="2" t="s">
        <v>14</v>
      </c>
      <c r="G32" s="2" t="s">
        <v>15</v>
      </c>
      <c r="H32" s="2" t="s">
        <v>16</v>
      </c>
      <c r="I32" s="2" t="s">
        <v>17</v>
      </c>
      <c r="J32" s="2" t="s">
        <v>115</v>
      </c>
    </row>
    <row r="33" spans="1:10" x14ac:dyDescent="0.3">
      <c r="A33" s="2" t="s">
        <v>10</v>
      </c>
      <c r="B33" s="2" t="s">
        <v>116</v>
      </c>
      <c r="C33" s="2" t="s">
        <v>117</v>
      </c>
      <c r="D33" s="2" t="s">
        <v>13</v>
      </c>
      <c r="E33" s="3">
        <v>265646.09999999998</v>
      </c>
      <c r="F33" s="2" t="s">
        <v>14</v>
      </c>
      <c r="G33" s="2" t="s">
        <v>15</v>
      </c>
      <c r="H33" s="2" t="s">
        <v>16</v>
      </c>
      <c r="I33" s="2" t="s">
        <v>17</v>
      </c>
      <c r="J33" s="2" t="s">
        <v>118</v>
      </c>
    </row>
    <row r="34" spans="1:10" x14ac:dyDescent="0.3">
      <c r="A34" s="2" t="s">
        <v>10</v>
      </c>
      <c r="B34" s="2" t="s">
        <v>119</v>
      </c>
      <c r="C34" s="2" t="s">
        <v>120</v>
      </c>
      <c r="D34" s="2" t="s">
        <v>20</v>
      </c>
      <c r="E34" s="3">
        <v>141896.04999999999</v>
      </c>
      <c r="F34" s="2" t="s">
        <v>14</v>
      </c>
      <c r="G34" s="2" t="s">
        <v>15</v>
      </c>
      <c r="H34" s="2" t="s">
        <v>16</v>
      </c>
      <c r="I34" s="2" t="s">
        <v>17</v>
      </c>
      <c r="J34" s="2" t="s">
        <v>121</v>
      </c>
    </row>
    <row r="35" spans="1:10" x14ac:dyDescent="0.3">
      <c r="A35" s="2" t="s">
        <v>10</v>
      </c>
      <c r="B35" s="2" t="s">
        <v>122</v>
      </c>
      <c r="C35" s="2" t="s">
        <v>123</v>
      </c>
      <c r="D35" s="2" t="s">
        <v>20</v>
      </c>
      <c r="E35" s="3">
        <v>225261</v>
      </c>
      <c r="F35" s="2" t="s">
        <v>14</v>
      </c>
      <c r="G35" s="2" t="s">
        <v>15</v>
      </c>
      <c r="H35" s="2" t="s">
        <v>16</v>
      </c>
      <c r="I35" s="2" t="s">
        <v>87</v>
      </c>
      <c r="J35" s="2" t="s">
        <v>124</v>
      </c>
    </row>
    <row r="36" spans="1:10" x14ac:dyDescent="0.3">
      <c r="A36" s="2" t="s">
        <v>10</v>
      </c>
      <c r="B36" s="2" t="s">
        <v>125</v>
      </c>
      <c r="C36" s="2" t="s">
        <v>126</v>
      </c>
      <c r="D36" s="2" t="s">
        <v>71</v>
      </c>
      <c r="E36" s="3">
        <v>308684.26</v>
      </c>
      <c r="F36" s="2" t="s">
        <v>14</v>
      </c>
      <c r="G36" s="2" t="s">
        <v>72</v>
      </c>
      <c r="H36" s="2" t="s">
        <v>16</v>
      </c>
      <c r="I36" s="2" t="s">
        <v>17</v>
      </c>
      <c r="J36" s="2" t="s">
        <v>127</v>
      </c>
    </row>
    <row r="37" spans="1:10" x14ac:dyDescent="0.3">
      <c r="A37" s="2" t="s">
        <v>10</v>
      </c>
      <c r="B37" s="2" t="s">
        <v>128</v>
      </c>
      <c r="C37" s="2" t="s">
        <v>129</v>
      </c>
      <c r="D37" s="2" t="s">
        <v>71</v>
      </c>
      <c r="E37" s="3">
        <v>423326.2</v>
      </c>
      <c r="F37" s="2" t="s">
        <v>14</v>
      </c>
      <c r="G37" s="2" t="s">
        <v>72</v>
      </c>
      <c r="H37" s="2" t="s">
        <v>16</v>
      </c>
      <c r="I37" s="2" t="s">
        <v>17</v>
      </c>
      <c r="J37" s="2" t="s">
        <v>130</v>
      </c>
    </row>
    <row r="38" spans="1:10" x14ac:dyDescent="0.3">
      <c r="A38" s="2" t="s">
        <v>10</v>
      </c>
      <c r="B38" s="2" t="s">
        <v>131</v>
      </c>
      <c r="C38" s="2" t="s">
        <v>132</v>
      </c>
      <c r="D38" s="2" t="s">
        <v>71</v>
      </c>
      <c r="E38" s="3">
        <v>725559.98</v>
      </c>
      <c r="F38" s="2" t="s">
        <v>14</v>
      </c>
      <c r="G38" s="2" t="s">
        <v>72</v>
      </c>
      <c r="H38" s="2" t="s">
        <v>16</v>
      </c>
      <c r="I38" s="2" t="s">
        <v>17</v>
      </c>
      <c r="J38" s="2" t="s">
        <v>133</v>
      </c>
    </row>
    <row r="39" spans="1:10" x14ac:dyDescent="0.3">
      <c r="A39" s="2" t="s">
        <v>10</v>
      </c>
      <c r="B39" s="2" t="s">
        <v>134</v>
      </c>
      <c r="C39" s="2" t="s">
        <v>135</v>
      </c>
      <c r="D39" s="2" t="s">
        <v>20</v>
      </c>
      <c r="E39" s="3">
        <v>260781.66</v>
      </c>
      <c r="F39" s="2" t="s">
        <v>14</v>
      </c>
      <c r="G39" s="2" t="s">
        <v>15</v>
      </c>
      <c r="H39" s="2" t="s">
        <v>16</v>
      </c>
      <c r="I39" s="2" t="s">
        <v>17</v>
      </c>
      <c r="J39" s="2" t="s">
        <v>136</v>
      </c>
    </row>
    <row r="40" spans="1:10" x14ac:dyDescent="0.3">
      <c r="A40" s="2" t="s">
        <v>10</v>
      </c>
      <c r="B40" s="2" t="s">
        <v>137</v>
      </c>
      <c r="C40" s="2" t="s">
        <v>138</v>
      </c>
      <c r="D40" s="2" t="s">
        <v>20</v>
      </c>
      <c r="E40" s="3">
        <v>70158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139</v>
      </c>
    </row>
    <row r="41" spans="1:10" x14ac:dyDescent="0.3">
      <c r="A41" s="2" t="s">
        <v>10</v>
      </c>
      <c r="B41" s="2" t="s">
        <v>140</v>
      </c>
      <c r="C41" s="2" t="s">
        <v>141</v>
      </c>
      <c r="D41" s="2" t="s">
        <v>20</v>
      </c>
      <c r="E41" s="3">
        <v>115471.01</v>
      </c>
      <c r="F41" s="2" t="s">
        <v>14</v>
      </c>
      <c r="G41" s="2" t="s">
        <v>15</v>
      </c>
      <c r="H41" s="2" t="s">
        <v>16</v>
      </c>
      <c r="I41" s="2" t="s">
        <v>17</v>
      </c>
      <c r="J41" s="2" t="s">
        <v>142</v>
      </c>
    </row>
    <row r="42" spans="1:10" x14ac:dyDescent="0.3">
      <c r="A42" s="2" t="s">
        <v>10</v>
      </c>
      <c r="B42" s="2" t="s">
        <v>143</v>
      </c>
      <c r="C42" s="2" t="s">
        <v>144</v>
      </c>
      <c r="D42" s="2" t="s">
        <v>20</v>
      </c>
      <c r="E42" s="3">
        <v>113732.2</v>
      </c>
      <c r="F42" s="2" t="s">
        <v>14</v>
      </c>
      <c r="G42" s="2" t="s">
        <v>15</v>
      </c>
      <c r="H42" s="2" t="s">
        <v>16</v>
      </c>
      <c r="I42" s="2" t="s">
        <v>17</v>
      </c>
      <c r="J42" s="2" t="s">
        <v>145</v>
      </c>
    </row>
    <row r="43" spans="1:10" x14ac:dyDescent="0.3">
      <c r="A43" s="2" t="s">
        <v>10</v>
      </c>
      <c r="B43" s="2" t="s">
        <v>146</v>
      </c>
      <c r="C43" s="2" t="s">
        <v>147</v>
      </c>
      <c r="D43" s="2" t="s">
        <v>20</v>
      </c>
      <c r="E43" s="3">
        <v>2004524.33</v>
      </c>
      <c r="F43" s="2" t="s">
        <v>14</v>
      </c>
      <c r="G43" s="2" t="s">
        <v>15</v>
      </c>
      <c r="H43" s="2" t="s">
        <v>16</v>
      </c>
      <c r="I43" s="2" t="s">
        <v>17</v>
      </c>
      <c r="J43" s="2" t="s">
        <v>148</v>
      </c>
    </row>
    <row r="44" spans="1:10" x14ac:dyDescent="0.3">
      <c r="A44" s="2" t="s">
        <v>10</v>
      </c>
      <c r="B44" s="2" t="s">
        <v>149</v>
      </c>
      <c r="C44" s="2" t="s">
        <v>150</v>
      </c>
      <c r="D44" s="2" t="s">
        <v>20</v>
      </c>
      <c r="E44" s="3">
        <v>175735.07</v>
      </c>
      <c r="F44" s="2" t="s">
        <v>14</v>
      </c>
      <c r="G44" s="2" t="s">
        <v>15</v>
      </c>
      <c r="H44" s="2" t="s">
        <v>16</v>
      </c>
      <c r="I44" s="2" t="s">
        <v>17</v>
      </c>
      <c r="J44" s="2" t="s">
        <v>151</v>
      </c>
    </row>
    <row r="45" spans="1:10" x14ac:dyDescent="0.3">
      <c r="A45" s="2" t="s">
        <v>10</v>
      </c>
      <c r="B45" s="2" t="s">
        <v>152</v>
      </c>
      <c r="C45" s="2" t="s">
        <v>153</v>
      </c>
      <c r="D45" s="2" t="s">
        <v>20</v>
      </c>
      <c r="E45" s="3">
        <v>690027.66</v>
      </c>
      <c r="F45" s="2" t="s">
        <v>14</v>
      </c>
      <c r="G45" s="2" t="s">
        <v>15</v>
      </c>
      <c r="H45" s="2" t="s">
        <v>16</v>
      </c>
      <c r="I45" s="2" t="s">
        <v>17</v>
      </c>
      <c r="J45" s="2" t="s">
        <v>154</v>
      </c>
    </row>
    <row r="46" spans="1:10" x14ac:dyDescent="0.3">
      <c r="A46" s="2" t="s">
        <v>10</v>
      </c>
      <c r="B46" s="2" t="s">
        <v>155</v>
      </c>
      <c r="C46" s="2" t="s">
        <v>156</v>
      </c>
      <c r="D46" s="2" t="s">
        <v>20</v>
      </c>
      <c r="E46" s="3">
        <v>1227518.6499999999</v>
      </c>
      <c r="F46" s="2" t="s">
        <v>14</v>
      </c>
      <c r="G46" s="2" t="s">
        <v>15</v>
      </c>
      <c r="H46" s="2" t="s">
        <v>16</v>
      </c>
      <c r="I46" s="2" t="s">
        <v>17</v>
      </c>
      <c r="J46" s="2" t="s">
        <v>157</v>
      </c>
    </row>
    <row r="47" spans="1:10" x14ac:dyDescent="0.3">
      <c r="A47" s="2" t="s">
        <v>10</v>
      </c>
      <c r="B47" s="2" t="s">
        <v>158</v>
      </c>
      <c r="C47" s="2" t="s">
        <v>159</v>
      </c>
      <c r="D47" s="2" t="s">
        <v>20</v>
      </c>
      <c r="E47" s="3">
        <v>54715.13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160</v>
      </c>
    </row>
    <row r="48" spans="1:10" x14ac:dyDescent="0.3">
      <c r="A48" s="2" t="s">
        <v>10</v>
      </c>
      <c r="B48" s="2" t="s">
        <v>161</v>
      </c>
      <c r="C48" s="2" t="s">
        <v>162</v>
      </c>
      <c r="D48" s="2" t="s">
        <v>20</v>
      </c>
      <c r="E48" s="3">
        <v>158004.79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163</v>
      </c>
    </row>
    <row r="49" spans="1:10" x14ac:dyDescent="0.3">
      <c r="A49" s="2" t="s">
        <v>10</v>
      </c>
      <c r="B49" s="2" t="s">
        <v>164</v>
      </c>
      <c r="C49" s="2" t="s">
        <v>165</v>
      </c>
      <c r="D49" s="2" t="s">
        <v>20</v>
      </c>
      <c r="E49" s="3">
        <v>2008864.8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166</v>
      </c>
    </row>
    <row r="50" spans="1:10" x14ac:dyDescent="0.3">
      <c r="A50" s="2" t="s">
        <v>10</v>
      </c>
      <c r="B50" s="2" t="s">
        <v>167</v>
      </c>
      <c r="C50" s="2" t="s">
        <v>168</v>
      </c>
      <c r="D50" s="2" t="s">
        <v>71</v>
      </c>
      <c r="E50" s="3">
        <v>476350.26</v>
      </c>
      <c r="F50" s="2" t="s">
        <v>14</v>
      </c>
      <c r="G50" s="2" t="s">
        <v>72</v>
      </c>
      <c r="H50" s="2" t="s">
        <v>16</v>
      </c>
      <c r="I50" s="2" t="s">
        <v>17</v>
      </c>
      <c r="J50" s="2" t="s">
        <v>169</v>
      </c>
    </row>
    <row r="51" spans="1:10" x14ac:dyDescent="0.3">
      <c r="A51" s="2" t="s">
        <v>10</v>
      </c>
      <c r="B51" s="2" t="s">
        <v>170</v>
      </c>
      <c r="C51" s="2" t="s">
        <v>171</v>
      </c>
      <c r="D51" s="2" t="s">
        <v>71</v>
      </c>
      <c r="E51" s="3">
        <v>388104.24</v>
      </c>
      <c r="F51" s="2" t="s">
        <v>14</v>
      </c>
      <c r="G51" s="2" t="s">
        <v>72</v>
      </c>
      <c r="H51" s="2" t="s">
        <v>16</v>
      </c>
      <c r="I51" s="2" t="s">
        <v>17</v>
      </c>
      <c r="J51" s="2" t="s">
        <v>172</v>
      </c>
    </row>
    <row r="52" spans="1:10" x14ac:dyDescent="0.3">
      <c r="A52" s="2" t="s">
        <v>10</v>
      </c>
      <c r="B52" s="2" t="s">
        <v>173</v>
      </c>
      <c r="C52" s="2" t="s">
        <v>174</v>
      </c>
      <c r="D52" s="2" t="s">
        <v>71</v>
      </c>
      <c r="E52" s="3">
        <v>1160748.53</v>
      </c>
      <c r="F52" s="2" t="s">
        <v>14</v>
      </c>
      <c r="G52" s="2" t="s">
        <v>72</v>
      </c>
      <c r="H52" s="2" t="s">
        <v>16</v>
      </c>
      <c r="I52" s="2" t="s">
        <v>17</v>
      </c>
      <c r="J52" s="2" t="s">
        <v>175</v>
      </c>
    </row>
    <row r="53" spans="1:10" x14ac:dyDescent="0.3">
      <c r="A53" s="2" t="s">
        <v>10</v>
      </c>
      <c r="B53" s="2" t="s">
        <v>176</v>
      </c>
      <c r="C53" s="2" t="s">
        <v>177</v>
      </c>
      <c r="D53" s="2" t="s">
        <v>71</v>
      </c>
      <c r="E53" s="3">
        <v>583659</v>
      </c>
      <c r="F53" s="2" t="s">
        <v>14</v>
      </c>
      <c r="G53" s="2" t="s">
        <v>72</v>
      </c>
      <c r="H53" s="2" t="s">
        <v>16</v>
      </c>
      <c r="I53" s="2" t="s">
        <v>17</v>
      </c>
      <c r="J53" s="2" t="s">
        <v>178</v>
      </c>
    </row>
    <row r="54" spans="1:10" x14ac:dyDescent="0.3">
      <c r="A54" s="2" t="s">
        <v>10</v>
      </c>
      <c r="B54" s="2" t="s">
        <v>179</v>
      </c>
      <c r="C54" s="2" t="s">
        <v>180</v>
      </c>
      <c r="D54" s="2" t="s">
        <v>71</v>
      </c>
      <c r="E54" s="3">
        <v>149513.53</v>
      </c>
      <c r="F54" s="2" t="s">
        <v>14</v>
      </c>
      <c r="G54" s="2" t="s">
        <v>72</v>
      </c>
      <c r="H54" s="2" t="s">
        <v>16</v>
      </c>
      <c r="I54" s="2" t="s">
        <v>17</v>
      </c>
      <c r="J54" s="2" t="s">
        <v>181</v>
      </c>
    </row>
    <row r="55" spans="1:10" x14ac:dyDescent="0.3">
      <c r="A55" s="2" t="s">
        <v>10</v>
      </c>
      <c r="B55" s="2" t="s">
        <v>182</v>
      </c>
      <c r="C55" s="2" t="s">
        <v>183</v>
      </c>
      <c r="D55" s="2" t="s">
        <v>71</v>
      </c>
      <c r="E55" s="3">
        <v>790648.15</v>
      </c>
      <c r="F55" s="2" t="s">
        <v>14</v>
      </c>
      <c r="G55" s="2" t="s">
        <v>72</v>
      </c>
      <c r="H55" s="2" t="s">
        <v>16</v>
      </c>
      <c r="I55" s="2" t="s">
        <v>17</v>
      </c>
      <c r="J55" s="2" t="s">
        <v>184</v>
      </c>
    </row>
    <row r="56" spans="1:10" x14ac:dyDescent="0.3">
      <c r="A56" s="2" t="s">
        <v>10</v>
      </c>
      <c r="B56" s="2" t="s">
        <v>185</v>
      </c>
      <c r="C56" s="2" t="s">
        <v>186</v>
      </c>
      <c r="D56" s="2" t="s">
        <v>71</v>
      </c>
      <c r="E56" s="3">
        <v>20526.77</v>
      </c>
      <c r="F56" s="2" t="s">
        <v>14</v>
      </c>
      <c r="G56" s="2" t="s">
        <v>72</v>
      </c>
      <c r="H56" s="2" t="s">
        <v>16</v>
      </c>
      <c r="I56" s="2" t="s">
        <v>17</v>
      </c>
      <c r="J56" s="2" t="s">
        <v>187</v>
      </c>
    </row>
    <row r="57" spans="1:10" x14ac:dyDescent="0.3">
      <c r="A57" s="2" t="s">
        <v>10</v>
      </c>
      <c r="B57" s="2" t="s">
        <v>188</v>
      </c>
      <c r="C57" s="2" t="s">
        <v>189</v>
      </c>
      <c r="D57" s="2" t="s">
        <v>71</v>
      </c>
      <c r="E57" s="3">
        <v>58097.54</v>
      </c>
      <c r="F57" s="2" t="s">
        <v>14</v>
      </c>
      <c r="G57" s="2" t="s">
        <v>72</v>
      </c>
      <c r="H57" s="2" t="s">
        <v>16</v>
      </c>
      <c r="I57" s="2" t="s">
        <v>17</v>
      </c>
      <c r="J57" s="2" t="s">
        <v>190</v>
      </c>
    </row>
    <row r="58" spans="1:10" x14ac:dyDescent="0.3">
      <c r="A58" s="2" t="s">
        <v>10</v>
      </c>
      <c r="B58" s="2" t="s">
        <v>191</v>
      </c>
      <c r="C58" s="2" t="s">
        <v>192</v>
      </c>
      <c r="D58" s="2" t="s">
        <v>71</v>
      </c>
      <c r="E58" s="3">
        <v>307830.25</v>
      </c>
      <c r="F58" s="2" t="s">
        <v>14</v>
      </c>
      <c r="G58" s="2" t="s">
        <v>72</v>
      </c>
      <c r="H58" s="2" t="s">
        <v>16</v>
      </c>
      <c r="I58" s="2" t="s">
        <v>17</v>
      </c>
      <c r="J58" s="2" t="s">
        <v>193</v>
      </c>
    </row>
    <row r="59" spans="1:10" x14ac:dyDescent="0.3">
      <c r="A59" s="2" t="s">
        <v>10</v>
      </c>
      <c r="B59" s="2" t="s">
        <v>194</v>
      </c>
      <c r="C59" s="2" t="s">
        <v>195</v>
      </c>
      <c r="D59" s="2" t="s">
        <v>71</v>
      </c>
      <c r="E59" s="3">
        <v>67130.570000000007</v>
      </c>
      <c r="F59" s="2" t="s">
        <v>14</v>
      </c>
      <c r="G59" s="2" t="s">
        <v>72</v>
      </c>
      <c r="H59" s="2" t="s">
        <v>16</v>
      </c>
      <c r="I59" s="2" t="s">
        <v>17</v>
      </c>
      <c r="J59" s="2" t="s">
        <v>196</v>
      </c>
    </row>
    <row r="60" spans="1:10" x14ac:dyDescent="0.3">
      <c r="A60" s="2" t="s">
        <v>10</v>
      </c>
      <c r="B60" s="2" t="s">
        <v>197</v>
      </c>
      <c r="C60" s="2" t="s">
        <v>198</v>
      </c>
      <c r="D60" s="2" t="s">
        <v>71</v>
      </c>
      <c r="E60" s="3">
        <v>13760.34</v>
      </c>
      <c r="F60" s="2" t="s">
        <v>14</v>
      </c>
      <c r="G60" s="2" t="s">
        <v>72</v>
      </c>
      <c r="H60" s="2" t="s">
        <v>16</v>
      </c>
      <c r="I60" s="2" t="s">
        <v>17</v>
      </c>
      <c r="J60" s="2" t="s">
        <v>199</v>
      </c>
    </row>
    <row r="61" spans="1:10" x14ac:dyDescent="0.3">
      <c r="A61" s="2" t="s">
        <v>10</v>
      </c>
      <c r="B61" s="2" t="s">
        <v>200</v>
      </c>
      <c r="C61" s="2" t="s">
        <v>201</v>
      </c>
      <c r="D61" s="2" t="s">
        <v>71</v>
      </c>
      <c r="E61" s="3">
        <v>7955.65</v>
      </c>
      <c r="F61" s="2" t="s">
        <v>14</v>
      </c>
      <c r="G61" s="2" t="s">
        <v>72</v>
      </c>
      <c r="H61" s="2" t="s">
        <v>16</v>
      </c>
      <c r="I61" s="2" t="s">
        <v>17</v>
      </c>
      <c r="J61" s="2" t="s">
        <v>202</v>
      </c>
    </row>
    <row r="62" spans="1:10" x14ac:dyDescent="0.3">
      <c r="A62" s="2" t="s">
        <v>10</v>
      </c>
      <c r="B62" s="2" t="s">
        <v>203</v>
      </c>
      <c r="C62" s="2" t="s">
        <v>204</v>
      </c>
      <c r="D62" s="2" t="s">
        <v>20</v>
      </c>
      <c r="E62" s="3">
        <v>1283790.79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205</v>
      </c>
    </row>
    <row r="63" spans="1:10" x14ac:dyDescent="0.3">
      <c r="A63" s="2" t="s">
        <v>10</v>
      </c>
      <c r="B63" s="2" t="s">
        <v>206</v>
      </c>
      <c r="C63" s="2" t="s">
        <v>207</v>
      </c>
      <c r="D63" s="2" t="s">
        <v>71</v>
      </c>
      <c r="E63" s="3">
        <v>1310784.29</v>
      </c>
      <c r="F63" s="2" t="s">
        <v>14</v>
      </c>
      <c r="G63" s="2" t="s">
        <v>72</v>
      </c>
      <c r="H63" s="2" t="s">
        <v>16</v>
      </c>
      <c r="I63" s="2" t="s">
        <v>87</v>
      </c>
      <c r="J63" s="2" t="s">
        <v>208</v>
      </c>
    </row>
    <row r="64" spans="1:10" x14ac:dyDescent="0.3">
      <c r="A64" s="2" t="s">
        <v>10</v>
      </c>
      <c r="B64" s="2" t="s">
        <v>209</v>
      </c>
      <c r="C64" s="2" t="s">
        <v>210</v>
      </c>
      <c r="D64" s="2" t="s">
        <v>24</v>
      </c>
      <c r="E64" s="3">
        <v>94735.61</v>
      </c>
      <c r="F64" s="2" t="s">
        <v>14</v>
      </c>
      <c r="G64" s="2" t="s">
        <v>25</v>
      </c>
      <c r="H64" s="2" t="s">
        <v>16</v>
      </c>
      <c r="I64" s="2" t="s">
        <v>17</v>
      </c>
      <c r="J64" s="2" t="s">
        <v>211</v>
      </c>
    </row>
    <row r="65" spans="1:10" x14ac:dyDescent="0.3">
      <c r="A65" s="2" t="s">
        <v>10</v>
      </c>
      <c r="B65" s="2" t="s">
        <v>212</v>
      </c>
      <c r="C65" s="2" t="s">
        <v>213</v>
      </c>
      <c r="D65" s="2" t="s">
        <v>20</v>
      </c>
      <c r="E65" s="3">
        <v>36400.97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214</v>
      </c>
    </row>
    <row r="66" spans="1:10" x14ac:dyDescent="0.3">
      <c r="A66" s="2" t="s">
        <v>10</v>
      </c>
      <c r="B66" s="2" t="s">
        <v>215</v>
      </c>
      <c r="C66" s="2" t="s">
        <v>216</v>
      </c>
      <c r="D66" s="2" t="s">
        <v>20</v>
      </c>
      <c r="E66" s="3">
        <v>495324.77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217</v>
      </c>
    </row>
    <row r="67" spans="1:10" x14ac:dyDescent="0.3">
      <c r="A67" s="2" t="s">
        <v>10</v>
      </c>
      <c r="B67" s="2" t="s">
        <v>218</v>
      </c>
      <c r="C67" s="2" t="s">
        <v>219</v>
      </c>
      <c r="D67" s="2" t="s">
        <v>20</v>
      </c>
      <c r="E67" s="3">
        <v>1361486.4</v>
      </c>
      <c r="F67" s="2" t="s">
        <v>14</v>
      </c>
      <c r="G67" s="2" t="s">
        <v>15</v>
      </c>
      <c r="H67" s="2" t="s">
        <v>16</v>
      </c>
      <c r="I67" s="2" t="s">
        <v>17</v>
      </c>
      <c r="J67" s="2" t="s">
        <v>220</v>
      </c>
    </row>
    <row r="68" spans="1:10" x14ac:dyDescent="0.3">
      <c r="A68" s="2" t="s">
        <v>10</v>
      </c>
      <c r="B68" s="2" t="s">
        <v>221</v>
      </c>
      <c r="C68" s="2" t="s">
        <v>222</v>
      </c>
      <c r="D68" s="2" t="s">
        <v>20</v>
      </c>
      <c r="E68" s="3">
        <v>29314.99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223</v>
      </c>
    </row>
    <row r="69" spans="1:10" x14ac:dyDescent="0.3">
      <c r="A69" s="2" t="s">
        <v>10</v>
      </c>
      <c r="B69" s="2" t="s">
        <v>224</v>
      </c>
      <c r="C69" s="2" t="s">
        <v>225</v>
      </c>
      <c r="D69" s="2" t="s">
        <v>20</v>
      </c>
      <c r="E69" s="3">
        <v>349444.36</v>
      </c>
      <c r="F69" s="2" t="s">
        <v>14</v>
      </c>
      <c r="G69" s="2" t="s">
        <v>15</v>
      </c>
      <c r="H69" s="2" t="s">
        <v>16</v>
      </c>
      <c r="I69" s="2" t="s">
        <v>17</v>
      </c>
      <c r="J69" s="2" t="s">
        <v>226</v>
      </c>
    </row>
    <row r="70" spans="1:10" x14ac:dyDescent="0.3">
      <c r="A70" s="2" t="s">
        <v>10</v>
      </c>
      <c r="B70" s="2" t="s">
        <v>227</v>
      </c>
      <c r="C70" s="2" t="s">
        <v>228</v>
      </c>
      <c r="D70" s="2" t="s">
        <v>20</v>
      </c>
      <c r="E70" s="3">
        <v>382703.69</v>
      </c>
      <c r="F70" s="2" t="s">
        <v>14</v>
      </c>
      <c r="G70" s="2" t="s">
        <v>15</v>
      </c>
      <c r="H70" s="2" t="s">
        <v>16</v>
      </c>
      <c r="I70" s="2" t="s">
        <v>17</v>
      </c>
      <c r="J70" s="2" t="s">
        <v>229</v>
      </c>
    </row>
    <row r="71" spans="1:10" x14ac:dyDescent="0.3">
      <c r="A71" s="2" t="s">
        <v>10</v>
      </c>
      <c r="B71" s="2" t="s">
        <v>230</v>
      </c>
      <c r="C71" s="2" t="s">
        <v>231</v>
      </c>
      <c r="D71" s="2" t="s">
        <v>20</v>
      </c>
      <c r="E71" s="3">
        <v>63000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232</v>
      </c>
    </row>
    <row r="72" spans="1:10" x14ac:dyDescent="0.3">
      <c r="A72" s="2" t="s">
        <v>10</v>
      </c>
      <c r="B72" s="2" t="s">
        <v>233</v>
      </c>
      <c r="C72" s="2" t="s">
        <v>234</v>
      </c>
      <c r="D72" s="2" t="s">
        <v>20</v>
      </c>
      <c r="E72" s="3">
        <v>412719.01</v>
      </c>
      <c r="F72" s="2" t="s">
        <v>14</v>
      </c>
      <c r="G72" s="2" t="s">
        <v>15</v>
      </c>
      <c r="H72" s="2" t="s">
        <v>16</v>
      </c>
      <c r="I72" s="2" t="s">
        <v>17</v>
      </c>
      <c r="J72" s="2" t="s">
        <v>235</v>
      </c>
    </row>
    <row r="73" spans="1:10" x14ac:dyDescent="0.3">
      <c r="A73" s="2" t="s">
        <v>10</v>
      </c>
      <c r="B73" s="2" t="s">
        <v>236</v>
      </c>
      <c r="C73" s="2" t="s">
        <v>237</v>
      </c>
      <c r="D73" s="2" t="s">
        <v>20</v>
      </c>
      <c r="E73" s="3">
        <v>131674.28</v>
      </c>
      <c r="F73" s="2" t="s">
        <v>14</v>
      </c>
      <c r="G73" s="2" t="s">
        <v>15</v>
      </c>
      <c r="H73" s="2" t="s">
        <v>16</v>
      </c>
      <c r="I73" s="2" t="s">
        <v>17</v>
      </c>
      <c r="J73" s="2" t="s">
        <v>238</v>
      </c>
    </row>
    <row r="74" spans="1:10" x14ac:dyDescent="0.3">
      <c r="A74" s="2" t="s">
        <v>10</v>
      </c>
      <c r="B74" s="2" t="s">
        <v>239</v>
      </c>
      <c r="C74" s="2" t="s">
        <v>240</v>
      </c>
      <c r="D74" s="2" t="s">
        <v>20</v>
      </c>
      <c r="E74" s="3">
        <v>1189348.6399999999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241</v>
      </c>
    </row>
    <row r="75" spans="1:10" x14ac:dyDescent="0.3">
      <c r="A75" s="2" t="s">
        <v>10</v>
      </c>
      <c r="B75" s="2" t="s">
        <v>242</v>
      </c>
      <c r="C75" s="2" t="s">
        <v>243</v>
      </c>
      <c r="D75" s="2" t="s">
        <v>20</v>
      </c>
      <c r="E75" s="3">
        <v>36001.870000000003</v>
      </c>
      <c r="F75" s="2" t="s">
        <v>14</v>
      </c>
      <c r="G75" s="2" t="s">
        <v>15</v>
      </c>
      <c r="H75" s="2" t="s">
        <v>16</v>
      </c>
      <c r="I75" s="2" t="s">
        <v>17</v>
      </c>
      <c r="J75" s="2" t="s">
        <v>244</v>
      </c>
    </row>
    <row r="76" spans="1:10" x14ac:dyDescent="0.3">
      <c r="A76" s="2" t="s">
        <v>10</v>
      </c>
      <c r="B76" s="2" t="s">
        <v>245</v>
      </c>
      <c r="C76" s="2" t="s">
        <v>246</v>
      </c>
      <c r="D76" s="2" t="s">
        <v>20</v>
      </c>
      <c r="E76" s="3">
        <v>58880.06</v>
      </c>
      <c r="F76" s="2" t="s">
        <v>14</v>
      </c>
      <c r="G76" s="2" t="s">
        <v>15</v>
      </c>
      <c r="H76" s="2" t="s">
        <v>16</v>
      </c>
      <c r="I76" s="2" t="s">
        <v>17</v>
      </c>
      <c r="J76" s="2" t="s">
        <v>247</v>
      </c>
    </row>
    <row r="77" spans="1:10" x14ac:dyDescent="0.3">
      <c r="A77" s="2" t="s">
        <v>10</v>
      </c>
      <c r="B77" s="2" t="s">
        <v>248</v>
      </c>
      <c r="C77" s="2" t="s">
        <v>249</v>
      </c>
      <c r="D77" s="2" t="s">
        <v>20</v>
      </c>
      <c r="E77" s="3">
        <v>1024702.63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250</v>
      </c>
    </row>
    <row r="78" spans="1:10" x14ac:dyDescent="0.3">
      <c r="A78" s="2" t="s">
        <v>10</v>
      </c>
      <c r="B78" s="2" t="s">
        <v>251</v>
      </c>
      <c r="C78" s="2" t="s">
        <v>252</v>
      </c>
      <c r="D78" s="2" t="s">
        <v>20</v>
      </c>
      <c r="E78" s="3">
        <v>469981.12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253</v>
      </c>
    </row>
    <row r="79" spans="1:10" x14ac:dyDescent="0.3">
      <c r="A79" s="2" t="s">
        <v>10</v>
      </c>
      <c r="B79" s="2" t="s">
        <v>254</v>
      </c>
      <c r="C79" s="2" t="s">
        <v>255</v>
      </c>
      <c r="D79" s="2" t="s">
        <v>20</v>
      </c>
      <c r="E79" s="3">
        <v>415534.97</v>
      </c>
      <c r="F79" s="2" t="s">
        <v>14</v>
      </c>
      <c r="G79" s="2" t="s">
        <v>15</v>
      </c>
      <c r="H79" s="2" t="s">
        <v>16</v>
      </c>
      <c r="I79" s="2" t="s">
        <v>17</v>
      </c>
      <c r="J79" s="2" t="s">
        <v>256</v>
      </c>
    </row>
    <row r="80" spans="1:10" x14ac:dyDescent="0.3">
      <c r="A80" s="2" t="s">
        <v>10</v>
      </c>
      <c r="B80" s="2" t="s">
        <v>257</v>
      </c>
      <c r="C80" s="2" t="s">
        <v>258</v>
      </c>
      <c r="D80" s="2" t="s">
        <v>13</v>
      </c>
      <c r="E80" s="3">
        <v>432098.53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259</v>
      </c>
    </row>
    <row r="81" spans="1:10" x14ac:dyDescent="0.3">
      <c r="A81" s="2" t="s">
        <v>10</v>
      </c>
      <c r="B81" s="2" t="s">
        <v>260</v>
      </c>
      <c r="C81" s="2" t="s">
        <v>261</v>
      </c>
      <c r="D81" s="2" t="s">
        <v>20</v>
      </c>
      <c r="E81" s="3">
        <v>100485.66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262</v>
      </c>
    </row>
    <row r="82" spans="1:10" x14ac:dyDescent="0.3">
      <c r="A82" s="2" t="s">
        <v>10</v>
      </c>
      <c r="B82" s="2" t="s">
        <v>260</v>
      </c>
      <c r="C82" s="2" t="s">
        <v>263</v>
      </c>
      <c r="D82" s="2" t="s">
        <v>20</v>
      </c>
      <c r="E82" s="3">
        <v>74939.66</v>
      </c>
      <c r="F82" s="2" t="s">
        <v>14</v>
      </c>
      <c r="G82" s="2" t="s">
        <v>15</v>
      </c>
      <c r="H82" s="2" t="s">
        <v>16</v>
      </c>
      <c r="I82" s="2" t="s">
        <v>17</v>
      </c>
      <c r="J82" s="2" t="s">
        <v>264</v>
      </c>
    </row>
    <row r="83" spans="1:10" x14ac:dyDescent="0.3">
      <c r="A83" s="2" t="s">
        <v>10</v>
      </c>
      <c r="B83" s="2" t="s">
        <v>260</v>
      </c>
      <c r="C83" s="2" t="s">
        <v>265</v>
      </c>
      <c r="D83" s="2" t="s">
        <v>20</v>
      </c>
      <c r="E83" s="3">
        <v>319366.3</v>
      </c>
      <c r="F83" s="2" t="s">
        <v>14</v>
      </c>
      <c r="G83" s="2" t="s">
        <v>15</v>
      </c>
      <c r="H83" s="2" t="s">
        <v>16</v>
      </c>
      <c r="I83" s="2" t="s">
        <v>17</v>
      </c>
      <c r="J83" s="2" t="s">
        <v>266</v>
      </c>
    </row>
    <row r="84" spans="1:10" x14ac:dyDescent="0.3">
      <c r="A84" s="2" t="s">
        <v>10</v>
      </c>
      <c r="B84" s="2" t="s">
        <v>260</v>
      </c>
      <c r="C84" s="2" t="s">
        <v>267</v>
      </c>
      <c r="D84" s="2" t="s">
        <v>20</v>
      </c>
      <c r="E84" s="3">
        <v>683262.73</v>
      </c>
      <c r="F84" s="2" t="s">
        <v>14</v>
      </c>
      <c r="G84" s="2" t="s">
        <v>15</v>
      </c>
      <c r="H84" s="2" t="s">
        <v>16</v>
      </c>
      <c r="I84" s="2" t="s">
        <v>17</v>
      </c>
      <c r="J84" s="2" t="s">
        <v>268</v>
      </c>
    </row>
    <row r="85" spans="1:10" x14ac:dyDescent="0.3">
      <c r="A85" s="2" t="s">
        <v>10</v>
      </c>
      <c r="B85" s="2" t="s">
        <v>260</v>
      </c>
      <c r="C85" s="2" t="s">
        <v>269</v>
      </c>
      <c r="D85" s="2" t="s">
        <v>20</v>
      </c>
      <c r="E85" s="3">
        <v>154916.69</v>
      </c>
      <c r="F85" s="2" t="s">
        <v>14</v>
      </c>
      <c r="G85" s="2" t="s">
        <v>15</v>
      </c>
      <c r="H85" s="2" t="s">
        <v>16</v>
      </c>
      <c r="I85" s="2" t="s">
        <v>17</v>
      </c>
      <c r="J85" s="2" t="s">
        <v>151</v>
      </c>
    </row>
    <row r="86" spans="1:10" x14ac:dyDescent="0.3">
      <c r="A86" s="2" t="s">
        <v>10</v>
      </c>
      <c r="B86" s="2" t="s">
        <v>260</v>
      </c>
      <c r="C86" s="2" t="s">
        <v>270</v>
      </c>
      <c r="D86" s="2" t="s">
        <v>20</v>
      </c>
      <c r="E86" s="3">
        <v>146016.98000000001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271</v>
      </c>
    </row>
    <row r="87" spans="1:10" x14ac:dyDescent="0.3">
      <c r="A87" s="2" t="s">
        <v>10</v>
      </c>
      <c r="B87" s="2" t="s">
        <v>260</v>
      </c>
      <c r="C87" s="2" t="s">
        <v>272</v>
      </c>
      <c r="D87" s="2" t="s">
        <v>20</v>
      </c>
      <c r="E87" s="3">
        <v>272882.53999999998</v>
      </c>
      <c r="F87" s="2" t="s">
        <v>14</v>
      </c>
      <c r="G87" s="2" t="s">
        <v>15</v>
      </c>
      <c r="H87" s="2" t="s">
        <v>16</v>
      </c>
      <c r="I87" s="2" t="s">
        <v>17</v>
      </c>
      <c r="J87" s="2" t="s">
        <v>273</v>
      </c>
    </row>
    <row r="88" spans="1:10" x14ac:dyDescent="0.3">
      <c r="A88" s="2" t="s">
        <v>10</v>
      </c>
      <c r="B88" s="2" t="s">
        <v>260</v>
      </c>
      <c r="C88" s="2" t="s">
        <v>274</v>
      </c>
      <c r="D88" s="2" t="s">
        <v>20</v>
      </c>
      <c r="E88" s="3">
        <v>753933.62</v>
      </c>
      <c r="F88" s="2" t="s">
        <v>14</v>
      </c>
      <c r="G88" s="2" t="s">
        <v>15</v>
      </c>
      <c r="H88" s="2" t="s">
        <v>16</v>
      </c>
      <c r="I88" s="2" t="s">
        <v>17</v>
      </c>
      <c r="J88" s="2" t="s">
        <v>275</v>
      </c>
    </row>
    <row r="89" spans="1:10" x14ac:dyDescent="0.3">
      <c r="A89" s="2" t="s">
        <v>10</v>
      </c>
      <c r="B89" s="2" t="s">
        <v>260</v>
      </c>
      <c r="C89" s="2" t="s">
        <v>276</v>
      </c>
      <c r="D89" s="2" t="s">
        <v>13</v>
      </c>
      <c r="E89" s="3">
        <v>199778.53</v>
      </c>
      <c r="F89" s="2" t="s">
        <v>14</v>
      </c>
      <c r="G89" s="2" t="s">
        <v>15</v>
      </c>
      <c r="H89" s="2" t="s">
        <v>16</v>
      </c>
      <c r="I89" s="2" t="s">
        <v>17</v>
      </c>
      <c r="J89" s="2" t="s">
        <v>277</v>
      </c>
    </row>
    <row r="90" spans="1:10" x14ac:dyDescent="0.3">
      <c r="A90" s="2" t="s">
        <v>10</v>
      </c>
      <c r="B90" s="2" t="s">
        <v>260</v>
      </c>
      <c r="C90" s="2" t="s">
        <v>278</v>
      </c>
      <c r="D90" s="2" t="s">
        <v>20</v>
      </c>
      <c r="E90" s="3">
        <v>895731.77</v>
      </c>
      <c r="F90" s="2" t="s">
        <v>14</v>
      </c>
      <c r="G90" s="2" t="s">
        <v>15</v>
      </c>
      <c r="H90" s="2" t="s">
        <v>16</v>
      </c>
      <c r="I90" s="2" t="s">
        <v>17</v>
      </c>
      <c r="J90" s="2" t="s">
        <v>279</v>
      </c>
    </row>
    <row r="91" spans="1:10" x14ac:dyDescent="0.3">
      <c r="A91" s="2" t="s">
        <v>19</v>
      </c>
      <c r="B91" s="2" t="s">
        <v>280</v>
      </c>
      <c r="C91" s="2" t="s">
        <v>281</v>
      </c>
      <c r="D91" s="2" t="s">
        <v>282</v>
      </c>
      <c r="E91" s="3">
        <v>26445</v>
      </c>
      <c r="F91" s="2" t="s">
        <v>14</v>
      </c>
      <c r="G91" s="2" t="s">
        <v>283</v>
      </c>
      <c r="H91" s="2" t="s">
        <v>16</v>
      </c>
      <c r="I91" s="2" t="s">
        <v>87</v>
      </c>
      <c r="J91" s="2" t="s">
        <v>284</v>
      </c>
    </row>
    <row r="92" spans="1:10" x14ac:dyDescent="0.3">
      <c r="A92" s="2" t="s">
        <v>19</v>
      </c>
      <c r="B92" s="2" t="s">
        <v>285</v>
      </c>
      <c r="C92" s="2" t="s">
        <v>286</v>
      </c>
      <c r="D92" s="2" t="s">
        <v>71</v>
      </c>
      <c r="E92" s="3">
        <v>394394.22</v>
      </c>
      <c r="F92" s="2" t="s">
        <v>14</v>
      </c>
      <c r="G92" s="2" t="s">
        <v>72</v>
      </c>
      <c r="H92" s="2" t="s">
        <v>16</v>
      </c>
      <c r="I92" s="2" t="s">
        <v>17</v>
      </c>
      <c r="J92" s="2" t="s">
        <v>287</v>
      </c>
    </row>
    <row r="93" spans="1:10" x14ac:dyDescent="0.3">
      <c r="E93" s="6">
        <f>SUM(E2:E92)</f>
        <v>38560293.119999975</v>
      </c>
    </row>
    <row r="94" spans="1:10" x14ac:dyDescent="0.3">
      <c r="E94" s="5">
        <f>E93-E95</f>
        <v>0</v>
      </c>
    </row>
    <row r="95" spans="1:10" x14ac:dyDescent="0.3">
      <c r="E95" s="6">
        <f>SUM(E96:E99)</f>
        <v>38560293.120000012</v>
      </c>
    </row>
    <row r="96" spans="1:10" x14ac:dyDescent="0.3">
      <c r="E96" s="4">
        <f>E18+E19+E20+E21+E22+E36+E37+E38+E50+E51+E52+E53+E54+E55+E56+E57+E58+E59+E60+E61+E63+E92</f>
        <v>10263819.630000005</v>
      </c>
      <c r="G96" t="s">
        <v>288</v>
      </c>
    </row>
    <row r="97" spans="1:11" x14ac:dyDescent="0.3">
      <c r="E97" s="4">
        <f>E2+E5+E6+E7+E8+E9+E10+E11+E12+E13+E14+E15+E16+E17+E23+E24+E25+E26+E27+E28+E29+E30+E31+E32+E33+E34+E35+E39+E40+E41+E42+E43+E44+E45+E46+E48+E47+E49+E62+E65+E66+E67+E68+E69+E70+E71+E72+E73+E74+E75+E76+E77+E78+E79+E80+E81+E82+E83+E84+E85+E86+E87+E88+E89+E90</f>
        <v>27723165.650000002</v>
      </c>
      <c r="G97" t="s">
        <v>289</v>
      </c>
    </row>
    <row r="98" spans="1:11" x14ac:dyDescent="0.3">
      <c r="E98" s="4">
        <f>E3+E64+E4</f>
        <v>546862.84</v>
      </c>
      <c r="G98" t="s">
        <v>290</v>
      </c>
    </row>
    <row r="99" spans="1:11" x14ac:dyDescent="0.3">
      <c r="E99" s="4">
        <f>E91</f>
        <v>26445</v>
      </c>
      <c r="G99" t="s">
        <v>291</v>
      </c>
    </row>
    <row r="100" spans="1:11" x14ac:dyDescent="0.3">
      <c r="E100" s="4"/>
    </row>
    <row r="102" spans="1:11" x14ac:dyDescent="0.3">
      <c r="A102" s="7" t="s">
        <v>0</v>
      </c>
      <c r="B102" s="7" t="s">
        <v>1</v>
      </c>
      <c r="C102" s="7" t="s">
        <v>2</v>
      </c>
      <c r="D102" s="7" t="s">
        <v>292</v>
      </c>
      <c r="E102" s="7" t="s">
        <v>4</v>
      </c>
      <c r="F102" s="7" t="s">
        <v>5</v>
      </c>
      <c r="G102" s="7" t="s">
        <v>3</v>
      </c>
      <c r="H102" s="7" t="s">
        <v>293</v>
      </c>
      <c r="I102" s="7" t="s">
        <v>7</v>
      </c>
      <c r="J102" s="7" t="s">
        <v>8</v>
      </c>
      <c r="K102" s="7" t="s">
        <v>9</v>
      </c>
    </row>
    <row r="103" spans="1:11" x14ac:dyDescent="0.3">
      <c r="A103" s="2" t="s">
        <v>10</v>
      </c>
      <c r="B103" s="2" t="s">
        <v>294</v>
      </c>
      <c r="C103" s="2" t="s">
        <v>295</v>
      </c>
      <c r="D103" s="2" t="s">
        <v>296</v>
      </c>
      <c r="E103" s="3">
        <v>262409.94</v>
      </c>
      <c r="F103" s="2" t="s">
        <v>14</v>
      </c>
      <c r="G103" s="2" t="s">
        <v>71</v>
      </c>
      <c r="H103" s="2" t="s">
        <v>297</v>
      </c>
      <c r="I103" s="2" t="s">
        <v>16</v>
      </c>
      <c r="J103" s="2" t="s">
        <v>87</v>
      </c>
      <c r="K103" s="2" t="s">
        <v>298</v>
      </c>
    </row>
    <row r="104" spans="1:11" x14ac:dyDescent="0.3">
      <c r="E104" s="4">
        <f>SUM(E103)</f>
        <v>262409.94</v>
      </c>
    </row>
    <row r="106" spans="1:11" x14ac:dyDescent="0.3">
      <c r="A106" s="7" t="s">
        <v>0</v>
      </c>
      <c r="B106" s="7" t="s">
        <v>1</v>
      </c>
      <c r="C106" s="7" t="s">
        <v>2</v>
      </c>
      <c r="D106" s="7" t="s">
        <v>292</v>
      </c>
      <c r="E106" s="7" t="s">
        <v>4</v>
      </c>
      <c r="F106" s="7" t="s">
        <v>5</v>
      </c>
      <c r="G106" s="7" t="s">
        <v>3</v>
      </c>
      <c r="H106" s="7" t="s">
        <v>293</v>
      </c>
      <c r="I106" s="7" t="s">
        <v>7</v>
      </c>
      <c r="J106" s="7" t="s">
        <v>8</v>
      </c>
      <c r="K106" s="7" t="s">
        <v>9</v>
      </c>
    </row>
    <row r="107" spans="1:11" x14ac:dyDescent="0.3">
      <c r="A107" s="2" t="s">
        <v>10</v>
      </c>
      <c r="B107" s="2" t="s">
        <v>11</v>
      </c>
      <c r="C107" s="2" t="s">
        <v>299</v>
      </c>
      <c r="D107" s="2" t="s">
        <v>296</v>
      </c>
      <c r="E107" s="3">
        <v>3950495.65</v>
      </c>
      <c r="F107" s="2" t="s">
        <v>14</v>
      </c>
      <c r="G107" s="2" t="s">
        <v>20</v>
      </c>
      <c r="H107" s="2" t="s">
        <v>300</v>
      </c>
      <c r="I107" s="2" t="s">
        <v>16</v>
      </c>
      <c r="J107" s="2" t="s">
        <v>87</v>
      </c>
      <c r="K107" s="2" t="s">
        <v>301</v>
      </c>
    </row>
    <row r="108" spans="1:11" x14ac:dyDescent="0.3">
      <c r="A108" s="2" t="s">
        <v>10</v>
      </c>
      <c r="B108" s="2" t="s">
        <v>11</v>
      </c>
      <c r="C108" s="2" t="s">
        <v>302</v>
      </c>
      <c r="D108" s="2" t="s">
        <v>296</v>
      </c>
      <c r="E108" s="3">
        <v>1232380.97</v>
      </c>
      <c r="F108" s="2" t="s">
        <v>14</v>
      </c>
      <c r="G108" s="2" t="s">
        <v>20</v>
      </c>
      <c r="H108" s="2" t="s">
        <v>300</v>
      </c>
      <c r="I108" s="2" t="s">
        <v>16</v>
      </c>
      <c r="J108" s="2" t="s">
        <v>87</v>
      </c>
      <c r="K108" s="2" t="s">
        <v>303</v>
      </c>
    </row>
    <row r="109" spans="1:11" x14ac:dyDescent="0.3">
      <c r="A109" s="2" t="s">
        <v>10</v>
      </c>
      <c r="B109" s="2" t="s">
        <v>11</v>
      </c>
      <c r="C109" s="2" t="s">
        <v>304</v>
      </c>
      <c r="D109" s="2" t="s">
        <v>296</v>
      </c>
      <c r="E109" s="3">
        <v>1062775.55</v>
      </c>
      <c r="F109" s="2" t="s">
        <v>14</v>
      </c>
      <c r="G109" s="2" t="s">
        <v>20</v>
      </c>
      <c r="H109" s="2" t="s">
        <v>300</v>
      </c>
      <c r="I109" s="2" t="s">
        <v>16</v>
      </c>
      <c r="J109" s="2" t="s">
        <v>87</v>
      </c>
      <c r="K109" s="2" t="s">
        <v>305</v>
      </c>
    </row>
    <row r="110" spans="1:11" x14ac:dyDescent="0.3">
      <c r="A110" s="2" t="s">
        <v>10</v>
      </c>
      <c r="B110" s="2" t="s">
        <v>306</v>
      </c>
      <c r="C110" s="2" t="s">
        <v>307</v>
      </c>
      <c r="D110" s="2" t="s">
        <v>296</v>
      </c>
      <c r="E110" s="3">
        <v>2839249.93</v>
      </c>
      <c r="F110" s="2" t="s">
        <v>14</v>
      </c>
      <c r="G110" s="2" t="s">
        <v>20</v>
      </c>
      <c r="H110" s="2" t="s">
        <v>300</v>
      </c>
      <c r="I110" s="2" t="s">
        <v>16</v>
      </c>
      <c r="J110" s="2" t="s">
        <v>17</v>
      </c>
      <c r="K110" s="2"/>
    </row>
    <row r="111" spans="1:11" x14ac:dyDescent="0.3">
      <c r="A111" s="2" t="s">
        <v>10</v>
      </c>
      <c r="B111" s="2" t="s">
        <v>308</v>
      </c>
      <c r="C111" s="2" t="s">
        <v>309</v>
      </c>
      <c r="D111" s="2" t="s">
        <v>296</v>
      </c>
      <c r="E111" s="3">
        <v>4578498.97</v>
      </c>
      <c r="F111" s="2" t="s">
        <v>14</v>
      </c>
      <c r="G111" s="2" t="s">
        <v>20</v>
      </c>
      <c r="H111" s="2" t="s">
        <v>300</v>
      </c>
      <c r="I111" s="2" t="s">
        <v>16</v>
      </c>
      <c r="J111" s="2" t="s">
        <v>87</v>
      </c>
      <c r="K111" s="2"/>
    </row>
    <row r="112" spans="1:11" x14ac:dyDescent="0.3">
      <c r="A112" s="2" t="s">
        <v>10</v>
      </c>
      <c r="B112" s="2" t="s">
        <v>310</v>
      </c>
      <c r="C112" s="2" t="s">
        <v>311</v>
      </c>
      <c r="D112" s="2" t="s">
        <v>296</v>
      </c>
      <c r="E112" s="3">
        <v>7019510.2300000004</v>
      </c>
      <c r="F112" s="2" t="s">
        <v>14</v>
      </c>
      <c r="G112" s="2" t="s">
        <v>20</v>
      </c>
      <c r="H112" s="2" t="s">
        <v>300</v>
      </c>
      <c r="I112" s="2" t="s">
        <v>16</v>
      </c>
      <c r="J112" s="2" t="s">
        <v>87</v>
      </c>
      <c r="K112" s="2" t="s">
        <v>312</v>
      </c>
    </row>
    <row r="113" spans="1:11" x14ac:dyDescent="0.3">
      <c r="A113" s="2" t="s">
        <v>10</v>
      </c>
      <c r="B113" s="2" t="s">
        <v>313</v>
      </c>
      <c r="C113" s="2" t="s">
        <v>314</v>
      </c>
      <c r="D113" s="2" t="s">
        <v>296</v>
      </c>
      <c r="E113" s="3">
        <v>20197316.66</v>
      </c>
      <c r="F113" s="2" t="s">
        <v>14</v>
      </c>
      <c r="G113" s="2" t="s">
        <v>20</v>
      </c>
      <c r="H113" s="2" t="s">
        <v>300</v>
      </c>
      <c r="I113" s="2" t="s">
        <v>16</v>
      </c>
      <c r="J113" s="2" t="s">
        <v>87</v>
      </c>
      <c r="K113" s="2" t="s">
        <v>315</v>
      </c>
    </row>
    <row r="114" spans="1:11" x14ac:dyDescent="0.3">
      <c r="A114" s="2" t="s">
        <v>10</v>
      </c>
      <c r="B114" s="2" t="s">
        <v>316</v>
      </c>
      <c r="C114" s="2" t="s">
        <v>317</v>
      </c>
      <c r="D114" s="2" t="s">
        <v>296</v>
      </c>
      <c r="E114" s="3">
        <v>3351744.4</v>
      </c>
      <c r="F114" s="2" t="s">
        <v>14</v>
      </c>
      <c r="G114" s="2" t="s">
        <v>20</v>
      </c>
      <c r="H114" s="2" t="s">
        <v>318</v>
      </c>
      <c r="I114" s="2" t="s">
        <v>16</v>
      </c>
      <c r="J114" s="2" t="s">
        <v>87</v>
      </c>
      <c r="K114" s="2" t="s">
        <v>319</v>
      </c>
    </row>
    <row r="115" spans="1:11" x14ac:dyDescent="0.3">
      <c r="E115" s="4">
        <f>SUM(E107:E114)</f>
        <v>44231972.359999999</v>
      </c>
    </row>
    <row r="117" spans="1:11" x14ac:dyDescent="0.3">
      <c r="A117" s="7" t="s">
        <v>0</v>
      </c>
      <c r="B117" s="7" t="s">
        <v>1</v>
      </c>
      <c r="C117" s="7" t="s">
        <v>2</v>
      </c>
      <c r="D117" s="7" t="s">
        <v>292</v>
      </c>
      <c r="E117" s="7" t="s">
        <v>4</v>
      </c>
      <c r="F117" s="7" t="s">
        <v>5</v>
      </c>
      <c r="G117" s="7" t="s">
        <v>3</v>
      </c>
      <c r="H117" s="7" t="s">
        <v>293</v>
      </c>
      <c r="I117" s="7" t="s">
        <v>7</v>
      </c>
      <c r="J117" s="7" t="s">
        <v>8</v>
      </c>
      <c r="K117" s="7" t="s">
        <v>9</v>
      </c>
    </row>
    <row r="118" spans="1:11" x14ac:dyDescent="0.3">
      <c r="A118" s="2" t="s">
        <v>19</v>
      </c>
      <c r="B118" s="2" t="s">
        <v>320</v>
      </c>
      <c r="C118" s="2" t="s">
        <v>321</v>
      </c>
      <c r="D118" s="2" t="s">
        <v>296</v>
      </c>
      <c r="E118" s="3">
        <v>237750.62</v>
      </c>
      <c r="F118" s="2" t="s">
        <v>14</v>
      </c>
      <c r="G118" s="2" t="s">
        <v>86</v>
      </c>
      <c r="H118" s="2" t="s">
        <v>322</v>
      </c>
      <c r="I118" s="2" t="s">
        <v>16</v>
      </c>
      <c r="J118" s="2" t="s">
        <v>87</v>
      </c>
      <c r="K118" s="2" t="s">
        <v>323</v>
      </c>
    </row>
    <row r="119" spans="1:11" x14ac:dyDescent="0.3">
      <c r="E119" s="4">
        <f>SUM(E118)</f>
        <v>237750.62</v>
      </c>
    </row>
  </sheetData>
  <autoFilter ref="A1:J93" xr:uid="{F8231927-5715-4831-826C-D2389AA06F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2026-02-22T16:47:47Z</dcterms:modified>
</cp:coreProperties>
</file>
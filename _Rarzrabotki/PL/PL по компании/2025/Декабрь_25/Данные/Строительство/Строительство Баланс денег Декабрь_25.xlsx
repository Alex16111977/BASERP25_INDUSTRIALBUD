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Строительство\"/>
    </mc:Choice>
  </mc:AlternateContent>
  <xr:revisionPtr revIDLastSave="0" documentId="13_ncr:1_{D3E3A1F4-E671-46B2-8104-A5AC645ACE57}" xr6:coauthVersionLast="45" xr6:coauthVersionMax="45" xr10:uidLastSave="{00000000-0000-0000-0000-000000000000}"/>
  <bookViews>
    <workbookView xWindow="-108" yWindow="-108" windowWidth="23256" windowHeight="12600" activeTab="4" xr2:uid="{00000000-000D-0000-FFFF-FFFF00000000}"/>
  </bookViews>
  <sheets>
    <sheet name="Ретал ГПУ" sheetId="5" r:id="rId1"/>
    <sheet name="Нежин-4" sheetId="6" r:id="rId2"/>
    <sheet name="МХП Катеринополь" sheetId="4" r:id="rId3"/>
    <sheet name="Глобино 2" sheetId="3" r:id="rId4"/>
    <sheet name="Глобино 2 (2)" sheetId="8" r:id="rId5"/>
    <sheet name="Астарта.Тищенки" sheetId="7" r:id="rId6"/>
  </sheets>
  <externalReferences>
    <externalReference r:id="rId7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5" i="8" l="1"/>
  <c r="B36" i="8"/>
  <c r="B22" i="8"/>
  <c r="B37" i="8" l="1"/>
  <c r="B23" i="8" l="1"/>
  <c r="B12" i="8"/>
  <c r="B5" i="8"/>
  <c r="E42" i="8"/>
  <c r="E37" i="8"/>
  <c r="E36" i="8"/>
  <c r="E33" i="8"/>
  <c r="E32" i="8"/>
  <c r="B31" i="8"/>
  <c r="E30" i="8"/>
  <c r="B29" i="8"/>
  <c r="E29" i="8" s="1"/>
  <c r="E28" i="8"/>
  <c r="E27" i="8"/>
  <c r="E26" i="8"/>
  <c r="B25" i="8"/>
  <c r="F17" i="8"/>
  <c r="G17" i="8" s="1"/>
  <c r="E11" i="8"/>
  <c r="B11" i="8"/>
  <c r="G9" i="8"/>
  <c r="G11" i="8" s="1"/>
  <c r="F6" i="8"/>
  <c r="B4" i="8"/>
  <c r="D3" i="8"/>
  <c r="G17" i="3"/>
  <c r="F17" i="3"/>
  <c r="F6" i="3"/>
  <c r="G11" i="3"/>
  <c r="G9" i="3"/>
  <c r="B23" i="3"/>
  <c r="B17" i="8" l="1"/>
  <c r="E19" i="8"/>
  <c r="B21" i="8"/>
  <c r="E22" i="8"/>
  <c r="E23" i="8"/>
  <c r="E28" i="7"/>
  <c r="B37" i="3"/>
  <c r="E38" i="8" l="1"/>
  <c r="B42" i="8" s="1"/>
  <c r="B43" i="8" s="1"/>
  <c r="C43" i="8" s="1"/>
  <c r="B39" i="3"/>
  <c r="B22" i="3" l="1"/>
  <c r="B29" i="3"/>
  <c r="B12" i="3"/>
  <c r="B24" i="4"/>
  <c r="B37" i="4"/>
  <c r="E36" i="4"/>
  <c r="E28" i="4"/>
  <c r="E27" i="4"/>
  <c r="B36" i="4"/>
  <c r="B38" i="4"/>
  <c r="B10" i="4"/>
  <c r="B10" i="6"/>
  <c r="E15" i="5"/>
  <c r="E34" i="5" l="1"/>
  <c r="B36" i="5"/>
  <c r="B34" i="5"/>
  <c r="E32" i="7" l="1"/>
  <c r="E36" i="7"/>
  <c r="E34" i="6" l="1"/>
  <c r="B10" i="5" l="1"/>
  <c r="E37" i="3" l="1"/>
  <c r="B35" i="4" l="1"/>
  <c r="E35" i="4" s="1"/>
  <c r="E40" i="4"/>
  <c r="E9" i="4"/>
  <c r="B30" i="4"/>
  <c r="B23" i="4"/>
  <c r="E9" i="5" l="1"/>
  <c r="E29" i="7" l="1"/>
  <c r="B24" i="7"/>
  <c r="E33" i="7"/>
  <c r="B30" i="7" l="1"/>
  <c r="E40" i="7" l="1"/>
  <c r="B35" i="7"/>
  <c r="E35" i="7" s="1"/>
  <c r="E31" i="7"/>
  <c r="E27" i="7"/>
  <c r="E26" i="7"/>
  <c r="E25" i="7"/>
  <c r="E22" i="7"/>
  <c r="E21" i="7"/>
  <c r="B20" i="7"/>
  <c r="E10" i="7"/>
  <c r="B10" i="7"/>
  <c r="B3" i="7"/>
  <c r="D2" i="7"/>
  <c r="B4" i="3"/>
  <c r="B16" i="7" l="1"/>
  <c r="E18" i="7" s="1"/>
  <c r="E37" i="7"/>
  <c r="B40" i="7" s="1"/>
  <c r="B41" i="7" s="1"/>
  <c r="C41" i="7" l="1"/>
  <c r="B23" i="5" l="1"/>
  <c r="B23" i="6"/>
  <c r="E29" i="3" l="1"/>
  <c r="E30" i="3" l="1"/>
  <c r="E38" i="6" l="1"/>
  <c r="B33" i="6"/>
  <c r="E33" i="6" s="1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5" i="6" l="1"/>
  <c r="B15" i="6"/>
  <c r="E17" i="6" s="1"/>
  <c r="D3" i="3"/>
  <c r="D2" i="4"/>
  <c r="D2" i="5"/>
  <c r="B38" i="6" l="1"/>
  <c r="B39" i="6" s="1"/>
  <c r="C39" i="6" s="1"/>
  <c r="B4" i="5" l="1"/>
  <c r="E38" i="5" l="1"/>
  <c r="E42" i="3"/>
  <c r="B33" i="5"/>
  <c r="E33" i="5" s="1"/>
  <c r="E30" i="5"/>
  <c r="E29" i="5"/>
  <c r="B28" i="5"/>
  <c r="E26" i="5"/>
  <c r="E25" i="5"/>
  <c r="E24" i="5"/>
  <c r="E21" i="5"/>
  <c r="E20" i="5"/>
  <c r="B19" i="5"/>
  <c r="B9" i="5"/>
  <c r="B3" i="5"/>
  <c r="E35" i="5" l="1"/>
  <c r="B15" i="5"/>
  <c r="B38" i="5" l="1"/>
  <c r="E17" i="5"/>
  <c r="E21" i="4"/>
  <c r="B19" i="4"/>
  <c r="B39" i="5" l="1"/>
  <c r="C39" i="5" s="1"/>
  <c r="E32" i="4"/>
  <c r="E31" i="4"/>
  <c r="E25" i="4"/>
  <c r="E24" i="4"/>
  <c r="E20" i="4"/>
  <c r="B9" i="4"/>
  <c r="B3" i="4"/>
  <c r="B11" i="3"/>
  <c r="E33" i="3"/>
  <c r="E37" i="4" l="1"/>
  <c r="B15" i="4"/>
  <c r="E17" i="4" s="1"/>
  <c r="E32" i="3"/>
  <c r="E27" i="3"/>
  <c r="E26" i="3"/>
  <c r="B31" i="3"/>
  <c r="B36" i="3"/>
  <c r="E36" i="3" s="1"/>
  <c r="E11" i="3"/>
  <c r="B40" i="4" l="1"/>
  <c r="E22" i="3"/>
  <c r="B21" i="3"/>
  <c r="B17" i="3"/>
  <c r="E23" i="3"/>
  <c r="E19" i="3" l="1"/>
  <c r="E26" i="4"/>
  <c r="B41" i="4" s="1"/>
  <c r="C41" i="4" s="1"/>
  <c r="E28" i="3"/>
  <c r="E38" i="3" s="1"/>
  <c r="B42" i="3" s="1"/>
  <c r="B43" i="3" s="1"/>
  <c r="C43" i="3" s="1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i.steblianko</author>
  </authors>
  <commentList>
    <comment ref="B24" authorId="0" shapeId="0" xr:uid="{79DD7A54-D6B5-4CF7-9A1E-ED48034E9410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с учетом Стил</t>
        </r>
      </text>
    </comment>
    <comment ref="B32" authorId="0" shapeId="0" xr:uid="{735ECA42-26BB-4ED1-B184-7F3095DD0D4D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Выплачены в декабре</t>
        </r>
      </text>
    </comment>
  </commentList>
</comments>
</file>

<file path=xl/sharedStrings.xml><?xml version="1.0" encoding="utf-8"?>
<sst xmlns="http://schemas.openxmlformats.org/spreadsheetml/2006/main" count="232" uniqueCount="46">
  <si>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</si>
  <si>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</si>
  <si>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</si>
  <si>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</si>
  <si>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</si>
  <si>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</si>
  <si>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</si>
  <si>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</si>
  <si>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</si>
  <si>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</si>
  <si>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</si>
  <si>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</si>
  <si>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</si>
  <si>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</si>
  <si>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</si>
  <si>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</si>
  <si>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</si>
  <si>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</si>
  <si>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</si>
  <si>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</si>
  <si>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</si>
  <si>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</si>
  <si>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</si>
  <si>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</si>
  <si>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</si>
  <si>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</si>
  <si>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</si>
  <si>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</si>
  <si>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</si>
  <si>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</si>
  <si>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</si>
  <si>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</si>
  <si>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</si>
  <si>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</si>
  <si>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</si>
  <si>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Склады Нежин-4, грн</t>
  </si>
  <si>
    <t>Вложено денег компании в проект, грн</t>
  </si>
  <si>
    <t>Получение кредита</t>
  </si>
  <si>
    <t>Возврат кредита, грн</t>
  </si>
  <si>
    <t>Склады, грн</t>
  </si>
  <si>
    <t>Возврат ФП, грн</t>
  </si>
  <si>
    <t>Возврат кредитной линии</t>
  </si>
  <si>
    <t>Возврат фин.помощи</t>
  </si>
  <si>
    <t>* деньги предприятия в обороте Глобино-2</t>
  </si>
  <si>
    <t>01/09/2024 - 31/12/2025</t>
  </si>
  <si>
    <t>Задолженность  Заказчика  на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</si>
</sst>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3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2598">
    <xf numFmtId="0" fontId="0" fillId="0" borderId="0"/>
    <xf numFmtId="0" fontId="5" fillId="0" borderId="0" applyNumberFormat="0" applyFont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8" fontId="7" fillId="0" borderId="0"/>
    <xf numFmtId="49" fontId="8" fillId="0" borderId="0">
      <alignment horizontal="left" vertical="center" wrapText="1"/>
    </xf>
    <xf numFmtId="0" fontId="9" fillId="0" borderId="0">
      <alignment horizontal="left" vertical="center"/>
    </xf>
    <xf numFmtId="0" fontId="10" fillId="0" borderId="1">
      <alignment horizontal="left" vertical="center" wrapText="1"/>
    </xf>
    <xf numFmtId="0" fontId="9" fillId="0" borderId="1">
      <alignment horizontal="right" vertical="center"/>
    </xf>
    <xf numFmtId="0" fontId="10" fillId="0" borderId="2">
      <alignment horizontal="left" vertical="center" wrapText="1"/>
    </xf>
    <xf numFmtId="0" fontId="10" fillId="0" borderId="3">
      <alignment horizontal="center" vertical="center" wrapText="1"/>
    </xf>
    <xf numFmtId="0" fontId="10" fillId="0" borderId="3">
      <alignment horizontal="right" vertical="center" wrapText="1"/>
    </xf>
    <xf numFmtId="49" fontId="10" fillId="0" borderId="4">
      <alignment horizontal="right" vertical="top" wrapText="1"/>
    </xf>
    <xf numFmtId="0" fontId="11" fillId="0" borderId="3">
      <alignment horizontal="center" vertical="center" wrapText="1"/>
    </xf>
    <xf numFmtId="49" fontId="11" fillId="0" borderId="3">
      <alignment horizontal="left" vertical="center" wrapText="1"/>
    </xf>
    <xf numFmtId="49" fontId="11" fillId="0" borderId="2">
      <alignment horizontal="left" vertical="center" wrapText="1"/>
    </xf>
    <xf numFmtId="0" fontId="11" fillId="0" borderId="3">
      <alignment horizontal="right" vertical="center" wrapText="1"/>
    </xf>
    <xf numFmtId="49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1" fillId="0" borderId="3">
      <alignment horizontal="center" vertical="center" wrapText="1"/>
    </xf>
    <xf numFmtId="0" fontId="9" fillId="0" borderId="1">
      <alignment horizontal="right" vertical="center" wrapText="1"/>
    </xf>
    <xf numFmtId="0" fontId="10" fillId="0" borderId="5">
      <alignment horizontal="left" vertical="center" wrapText="1"/>
    </xf>
    <xf numFmtId="49" fontId="11" fillId="0" borderId="6">
      <alignment horizontal="center" vertical="top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1" fillId="0" borderId="2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1" fillId="0" borderId="3">
      <alignment horizontal="right" vertical="center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2" fillId="0" borderId="10">
      <alignment horizontal="center" vertical="center" wrapText="1"/>
    </xf>
    <xf numFmtId="0" fontId="9" fillId="0" borderId="11">
      <alignment horizontal="center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0" fontId="10" fillId="0" borderId="7">
      <alignment horizontal="left" vertical="center" wrapText="1"/>
    </xf>
    <xf numFmtId="0" fontId="10" fillId="0" borderId="12">
      <alignment horizontal="left" vertical="center" wrapText="1"/>
    </xf>
    <xf numFmtId="0" fontId="10" fillId="0" borderId="13">
      <alignment horizontal="left" vertical="center" wrapText="1"/>
    </xf>
    <xf numFmtId="49" fontId="11" fillId="0" borderId="14">
      <alignment horizontal="left" vertical="center" wrapText="1"/>
    </xf>
    <xf numFmtId="0" fontId="10" fillId="0" borderId="15">
      <alignment horizontal="left" vertical="center" wrapText="1"/>
    </xf>
    <xf numFmtId="0" fontId="10" fillId="0" borderId="16">
      <alignment horizontal="left" vertical="center" wrapText="1"/>
    </xf>
    <xf numFmtId="49" fontId="11" fillId="0" borderId="12">
      <alignment horizontal="right" vertical="center" wrapText="1"/>
    </xf>
    <xf numFmtId="0" fontId="11" fillId="0" borderId="12">
      <alignment horizontal="left" vertical="center" wrapText="1"/>
    </xf>
    <xf numFmtId="49" fontId="10" fillId="0" borderId="17">
      <alignment horizontal="center" vertical="center" wrapText="1"/>
    </xf>
    <xf numFmtId="0" fontId="9" fillId="0" borderId="18">
      <alignment horizontal="center" vertical="center" wrapText="1"/>
    </xf>
    <xf numFmtId="0" fontId="11" fillId="0" borderId="19">
      <alignment horizontal="left" vertical="center" wrapText="1"/>
    </xf>
    <xf numFmtId="49" fontId="11" fillId="0" borderId="19">
      <alignment horizontal="left" wrapText="1"/>
    </xf>
    <xf numFmtId="0" fontId="10" fillId="0" borderId="20">
      <alignment horizontal="left" vertical="center" wrapText="1"/>
    </xf>
    <xf numFmtId="0" fontId="10" fillId="0" borderId="21">
      <alignment horizontal="left" vertical="center" wrapText="1"/>
    </xf>
    <xf numFmtId="49" fontId="11" fillId="0" borderId="22">
      <alignment horizontal="right" vertical="center" wrapText="1"/>
    </xf>
    <xf numFmtId="0" fontId="11" fillId="0" borderId="23">
      <alignment horizontal="left" vertical="center" wrapText="1"/>
    </xf>
    <xf numFmtId="0" fontId="10" fillId="0" borderId="19">
      <alignment horizontal="left" vertical="center" wrapText="1"/>
    </xf>
    <xf numFmtId="49" fontId="11" fillId="0" borderId="7">
      <alignment horizontal="right" vertical="center" wrapText="1"/>
    </xf>
    <xf numFmtId="0" fontId="11" fillId="0" borderId="11">
      <alignment horizontal="left" vertical="center" wrapText="1"/>
    </xf>
    <xf numFmtId="49" fontId="11" fillId="0" borderId="11">
      <alignment horizontal="left" vertical="center" wrapText="1"/>
    </xf>
    <xf numFmtId="49" fontId="11" fillId="0" borderId="2">
      <alignment horizontal="center" vertical="center" wrapText="1"/>
    </xf>
    <xf numFmtId="0" fontId="11" fillId="0" borderId="24">
      <alignment horizontal="left" vertical="center" wrapText="1"/>
    </xf>
    <xf numFmtId="0" fontId="11" fillId="0" borderId="25">
      <alignment horizontal="left" vertical="center" wrapText="1"/>
    </xf>
    <xf numFmtId="0" fontId="11" fillId="0" borderId="10">
      <alignment horizontal="right" vertical="center" wrapText="1"/>
    </xf>
    <xf numFmtId="0" fontId="11" fillId="0" borderId="26">
      <alignment horizontal="left" vertical="center" wrapText="1"/>
    </xf>
    <xf numFmtId="49" fontId="10" fillId="0" borderId="27">
      <alignment horizontal="left" vertical="center" wrapText="1"/>
    </xf>
    <xf numFmtId="0" fontId="10" fillId="0" borderId="28">
      <alignment horizontal="left" vertical="center" wrapText="1"/>
    </xf>
    <xf numFmtId="49" fontId="10" fillId="0" borderId="29">
      <alignment horizontal="right" vertical="center" wrapText="1"/>
    </xf>
    <xf numFmtId="49" fontId="10" fillId="0" borderId="4">
      <alignment horizontal="left" vertical="center" wrapText="1"/>
    </xf>
    <xf numFmtId="49" fontId="10" fillId="0" borderId="7">
      <alignment horizontal="right" vertical="center" wrapText="1"/>
    </xf>
    <xf numFmtId="0" fontId="11" fillId="0" borderId="8">
      <alignment horizontal="left" vertical="center" wrapText="1"/>
    </xf>
    <xf numFmtId="0" fontId="10" fillId="0" borderId="24">
      <alignment horizontal="center" vertical="center" wrapText="1"/>
    </xf>
    <xf numFmtId="0" fontId="11" fillId="0" borderId="9">
      <alignment horizontal="left" vertical="center" wrapText="1"/>
    </xf>
    <xf numFmtId="0" fontId="11" fillId="0" borderId="8">
      <alignment horizontal="left" vertical="center" wrapText="1"/>
    </xf>
    <xf numFmtId="0" fontId="11" fillId="0" borderId="9">
      <alignment horizontal="left" vertical="center" wrapText="1"/>
    </xf>
    <xf numFmtId="49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0" fillId="0" borderId="24">
      <alignment horizontal="left" vertical="center" wrapText="1"/>
    </xf>
    <xf numFmtId="49" fontId="10" fillId="0" borderId="0">
      <alignment horizontal="left" vertical="center"/>
    </xf>
    <xf numFmtId="0" fontId="10" fillId="0" borderId="0">
      <alignment horizontal="left" vertical="center"/>
    </xf>
    <xf numFmtId="0" fontId="10" fillId="0" borderId="25">
      <alignment horizontal="center" vertical="center" wrapText="1"/>
    </xf>
    <xf numFmtId="0" fontId="10" fillId="0" borderId="27">
      <alignment horizontal="left" vertical="center" wrapText="1"/>
    </xf>
    <xf numFmtId="49" fontId="11" fillId="0" borderId="6">
      <alignment horizontal="center" vertical="center" wrapText="1"/>
    </xf>
    <xf numFmtId="0" fontId="10" fillId="0" borderId="30">
      <alignment horizontal="center" vertical="center" wrapText="1"/>
    </xf>
    <xf numFmtId="0" fontId="9" fillId="0" borderId="3">
      <alignment horizontal="center" vertical="center" wrapText="1"/>
    </xf>
    <xf numFmtId="0" fontId="10" fillId="0" borderId="0">
      <alignment horizontal="left" vertical="center" wrapText="1"/>
    </xf>
    <xf numFmtId="0" fontId="13" fillId="0" borderId="0">
      <alignment horizontal="left" vertical="center"/>
    </xf>
    <xf numFmtId="0" fontId="10" fillId="0" borderId="31">
      <alignment horizontal="left" vertical="center" wrapText="1"/>
    </xf>
    <xf numFmtId="0" fontId="9" fillId="0" borderId="11">
      <alignment horizontal="left" vertical="center" wrapText="1"/>
    </xf>
    <xf numFmtId="0" fontId="10" fillId="0" borderId="32">
      <alignment horizontal="left" vertical="center" wrapText="1"/>
    </xf>
    <xf numFmtId="0" fontId="9" fillId="0" borderId="27">
      <alignment horizontal="left" vertical="center" wrapText="1"/>
    </xf>
    <xf numFmtId="0" fontId="10" fillId="0" borderId="4">
      <alignment horizontal="left" vertical="center" wrapText="1"/>
    </xf>
    <xf numFmtId="0" fontId="9" fillId="0" borderId="27">
      <alignment horizontal="center" vertical="center" wrapText="1"/>
    </xf>
    <xf numFmtId="49" fontId="10" fillId="0" borderId="3">
      <alignment horizontal="center" vertical="center" wrapText="1"/>
    </xf>
    <xf numFmtId="0" fontId="9" fillId="0" borderId="27">
      <alignment horizontal="center" vertical="center" wrapText="1"/>
    </xf>
    <xf numFmtId="49" fontId="10" fillId="0" borderId="7">
      <alignment horizontal="center" vertical="center" wrapText="1"/>
    </xf>
    <xf numFmtId="0" fontId="9" fillId="0" borderId="33">
      <alignment horizontal="left" vertical="center" wrapText="1"/>
    </xf>
    <xf numFmtId="49" fontId="10" fillId="0" borderId="2">
      <alignment horizontal="center" vertical="center" wrapText="1"/>
    </xf>
    <xf numFmtId="0" fontId="9" fillId="0" borderId="33">
      <alignment horizontal="center" vertical="center" wrapText="1"/>
    </xf>
    <xf numFmtId="0" fontId="10" fillId="0" borderId="4">
      <alignment horizontal="center" vertical="center" wrapText="1"/>
    </xf>
    <xf numFmtId="0" fontId="9" fillId="0" borderId="33">
      <alignment horizontal="center" vertical="center" wrapText="1"/>
    </xf>
    <xf numFmtId="0" fontId="11" fillId="0" borderId="3">
      <alignment horizontal="center" vertical="center" wrapText="1"/>
    </xf>
    <xf numFmtId="0" fontId="13" fillId="0" borderId="34">
      <alignment horizontal="left" vertical="center" wrapText="1"/>
    </xf>
    <xf numFmtId="49" fontId="11" fillId="0" borderId="3">
      <alignment horizontal="left" vertical="center" wrapText="1"/>
    </xf>
    <xf numFmtId="0" fontId="13" fillId="0" borderId="34">
      <alignment horizontal="center" vertical="center" wrapText="1"/>
    </xf>
    <xf numFmtId="0" fontId="11" fillId="0" borderId="8">
      <alignment horizontal="center" vertical="center" wrapText="1"/>
    </xf>
    <xf numFmtId="0" fontId="13" fillId="0" borderId="34">
      <alignment horizontal="center" vertical="center" wrapText="1"/>
    </xf>
    <xf numFmtId="49" fontId="14" fillId="0" borderId="0">
      <alignment horizontal="center" vertical="center" wrapText="1"/>
    </xf>
    <xf numFmtId="0" fontId="13" fillId="0" borderId="0">
      <alignment horizontal="right" vertical="center"/>
    </xf>
    <xf numFmtId="0" fontId="11" fillId="0" borderId="8">
      <alignment horizontal="right" vertical="center" wrapText="1"/>
    </xf>
    <xf numFmtId="0" fontId="9" fillId="0" borderId="35">
      <alignment horizontal="left" vertical="center" wrapText="1"/>
    </xf>
    <xf numFmtId="0" fontId="11" fillId="0" borderId="9">
      <alignment horizontal="right" vertical="center" wrapText="1"/>
    </xf>
    <xf numFmtId="0" fontId="9" fillId="0" borderId="35">
      <alignment horizontal="center" vertical="center" wrapText="1"/>
    </xf>
    <xf numFmtId="0" fontId="11" fillId="0" borderId="7">
      <alignment horizontal="right" vertical="center" wrapText="1"/>
    </xf>
    <xf numFmtId="0" fontId="9" fillId="0" borderId="35">
      <alignment horizontal="center" vertical="center" wrapText="1"/>
    </xf>
    <xf numFmtId="0" fontId="11" fillId="0" borderId="2">
      <alignment horizontal="left" vertical="center" wrapText="1"/>
    </xf>
    <xf numFmtId="0" fontId="9" fillId="0" borderId="4">
      <alignment horizontal="left" vertical="center" wrapText="1"/>
    </xf>
    <xf numFmtId="0" fontId="11" fillId="0" borderId="3">
      <alignment horizontal="right" vertical="center" wrapText="1"/>
    </xf>
    <xf numFmtId="0" fontId="9" fillId="0" borderId="4">
      <alignment horizontal="center" vertical="center" wrapText="1"/>
    </xf>
    <xf numFmtId="0" fontId="11" fillId="0" borderId="3">
      <alignment horizontal="left" vertical="center" wrapText="1"/>
    </xf>
    <xf numFmtId="0" fontId="9" fillId="0" borderId="4">
      <alignment horizontal="center" vertical="center" wrapText="1"/>
    </xf>
    <xf numFmtId="0" fontId="11" fillId="0" borderId="3">
      <alignment horizontal="center" vertical="center" wrapText="1"/>
    </xf>
    <xf numFmtId="0" fontId="9" fillId="0" borderId="24">
      <alignment horizontal="left" vertical="center" wrapText="1"/>
    </xf>
    <xf numFmtId="49" fontId="11" fillId="0" borderId="3">
      <alignment horizontal="left" vertical="center" wrapText="1"/>
    </xf>
    <xf numFmtId="0" fontId="11" fillId="0" borderId="8">
      <alignment horizontal="center" vertical="center" wrapText="1"/>
    </xf>
    <xf numFmtId="0" fontId="11" fillId="0" borderId="8">
      <alignment horizontal="right" vertical="center" wrapText="1"/>
    </xf>
    <xf numFmtId="0" fontId="9" fillId="0" borderId="0">
      <alignment horizontal="left" vertical="center"/>
    </xf>
    <xf numFmtId="49" fontId="10" fillId="0" borderId="0">
      <alignment horizontal="left" vertical="center" wrapText="1"/>
    </xf>
    <xf numFmtId="0" fontId="9" fillId="0" borderId="0">
      <alignment horizontal="left" vertical="center" wrapText="1"/>
    </xf>
    <xf numFmtId="0" fontId="11" fillId="0" borderId="9">
      <alignment horizontal="right" vertical="center" wrapText="1"/>
    </xf>
    <xf numFmtId="0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11">
      <alignment horizontal="left" vertical="center" wrapText="1"/>
    </xf>
    <xf numFmtId="49" fontId="10" fillId="0" borderId="3">
      <alignment horizontal="right" vertical="center" wrapText="1"/>
    </xf>
    <xf numFmtId="49" fontId="15" fillId="0" borderId="11">
      <alignment horizontal="center" wrapText="1"/>
    </xf>
    <xf numFmtId="49" fontId="8" fillId="0" borderId="0">
      <alignment horizontal="center" vertical="center" wrapText="1"/>
    </xf>
    <xf numFmtId="0" fontId="13" fillId="0" borderId="0">
      <alignment horizontal="left" vertical="center"/>
    </xf>
    <xf numFmtId="49" fontId="15" fillId="0" borderId="10">
      <alignment horizontal="center" wrapText="1"/>
    </xf>
    <xf numFmtId="49" fontId="10" fillId="0" borderId="2">
      <alignment horizontal="left" vertical="center" wrapText="1"/>
    </xf>
    <xf numFmtId="0" fontId="10" fillId="0" borderId="3">
      <alignment horizontal="left" vertical="center" wrapText="1"/>
    </xf>
    <xf numFmtId="49" fontId="10" fillId="0" borderId="4">
      <alignment horizontal="center" vertical="top" wrapText="1"/>
    </xf>
    <xf numFmtId="49" fontId="10" fillId="0" borderId="6">
      <alignment horizontal="center" vertical="top" wrapText="1"/>
    </xf>
    <xf numFmtId="0" fontId="10" fillId="0" borderId="36">
      <alignment horizontal="left" vertical="center" wrapText="1"/>
    </xf>
    <xf numFmtId="0" fontId="10" fillId="0" borderId="4">
      <alignment horizontal="left" vertical="center" wrapText="1"/>
    </xf>
    <xf numFmtId="0" fontId="10" fillId="0" borderId="4">
      <alignment horizontal="right" vertical="top" wrapText="1"/>
    </xf>
    <xf numFmtId="0" fontId="10" fillId="0" borderId="6">
      <alignment horizontal="left" vertical="center" wrapText="1"/>
    </xf>
    <xf numFmtId="0" fontId="10" fillId="0" borderId="37">
      <alignment horizontal="left" vertical="center" wrapText="1"/>
    </xf>
    <xf numFmtId="0" fontId="8" fillId="0" borderId="0">
      <alignment horizontal="center" vertical="center" wrapText="1"/>
    </xf>
    <xf numFmtId="0" fontId="9" fillId="0" borderId="0">
      <alignment horizontal="left" vertical="center" wrapText="1"/>
    </xf>
    <xf numFmtId="49" fontId="10" fillId="0" borderId="11">
      <alignment horizontal="center" vertical="center" wrapText="1"/>
    </xf>
    <xf numFmtId="49" fontId="10" fillId="0" borderId="11">
      <alignment horizontal="right" vertical="center" wrapText="1"/>
    </xf>
    <xf numFmtId="49" fontId="10" fillId="0" borderId="26">
      <alignment horizontal="left" vertical="center" wrapText="1"/>
    </xf>
    <xf numFmtId="0" fontId="10" fillId="0" borderId="11">
      <alignment horizontal="left" vertical="center" wrapText="1"/>
    </xf>
    <xf numFmtId="49" fontId="10" fillId="0" borderId="27">
      <alignment horizontal="center" vertical="top" wrapText="1"/>
    </xf>
    <xf numFmtId="49" fontId="10" fillId="0" borderId="29">
      <alignment horizontal="center" vertical="top" wrapText="1"/>
    </xf>
    <xf numFmtId="0" fontId="10" fillId="0" borderId="27">
      <alignment horizontal="right" vertical="top" wrapText="1"/>
    </xf>
    <xf numFmtId="0" fontId="10" fillId="0" borderId="29">
      <alignment horizontal="left" vertical="center" wrapText="1"/>
    </xf>
    <xf numFmtId="0" fontId="10" fillId="0" borderId="4">
      <alignment horizontal="center" vertical="center" wrapText="1"/>
    </xf>
    <xf numFmtId="0" fontId="10" fillId="0" borderId="4">
      <alignment horizontal="right" vertical="center" wrapText="1"/>
    </xf>
    <xf numFmtId="0" fontId="10" fillId="0" borderId="0">
      <alignment horizontal="center" vertical="center" wrapText="1"/>
    </xf>
    <xf numFmtId="0" fontId="13" fillId="0" borderId="0">
      <alignment horizontal="center" vertical="center" wrapText="1"/>
    </xf>
    <xf numFmtId="0" fontId="10" fillId="0" borderId="6">
      <alignment horizontal="right" vertical="center" wrapText="1"/>
    </xf>
    <xf numFmtId="49" fontId="10" fillId="0" borderId="37">
      <alignment horizontal="left" vertical="center" wrapText="1"/>
    </xf>
    <xf numFmtId="49" fontId="10" fillId="0" borderId="4">
      <alignment horizontal="center" vertical="center" wrapText="1"/>
    </xf>
    <xf numFmtId="49" fontId="10" fillId="0" borderId="4">
      <alignment horizontal="right" vertical="center" wrapText="1"/>
    </xf>
    <xf numFmtId="0" fontId="10" fillId="0" borderId="27">
      <alignment horizontal="center" vertical="center" wrapText="1"/>
    </xf>
    <xf numFmtId="0" fontId="10" fillId="0" borderId="27">
      <alignment horizontal="right" vertical="center" wrapText="1"/>
    </xf>
    <xf numFmtId="0" fontId="10" fillId="0" borderId="29">
      <alignment horizontal="right" vertical="center" wrapText="1"/>
    </xf>
    <xf numFmtId="49" fontId="10" fillId="0" borderId="36">
      <alignment horizontal="left" vertical="center" wrapText="1"/>
    </xf>
    <xf numFmtId="49" fontId="10" fillId="0" borderId="27">
      <alignment horizontal="center" vertical="center" wrapText="1"/>
    </xf>
    <xf numFmtId="49" fontId="10" fillId="0" borderId="27">
      <alignment horizontal="right" vertical="center" wrapText="1"/>
    </xf>
    <xf numFmtId="0" fontId="11" fillId="0" borderId="0">
      <alignment horizontal="right" vertical="center" wrapText="1"/>
    </xf>
    <xf numFmtId="0" fontId="11" fillId="0" borderId="24">
      <alignment horizontal="center" vertical="center" wrapText="1"/>
    </xf>
    <xf numFmtId="0" fontId="11" fillId="0" borderId="24">
      <alignment horizontal="right" vertical="center" wrapText="1"/>
    </xf>
    <xf numFmtId="0" fontId="11" fillId="0" borderId="25">
      <alignment horizontal="right" vertical="center" wrapText="1"/>
    </xf>
    <xf numFmtId="49" fontId="12" fillId="0" borderId="10">
      <alignment horizontal="center" wrapText="1"/>
    </xf>
    <xf numFmtId="49" fontId="11" fillId="0" borderId="2">
      <alignment horizontal="left" vertical="center" wrapText="1"/>
    </xf>
    <xf numFmtId="49" fontId="11" fillId="0" borderId="3">
      <alignment horizontal="right" vertical="center" wrapText="1"/>
    </xf>
    <xf numFmtId="0" fontId="10" fillId="0" borderId="5">
      <alignment horizontal="left" vertical="center" wrapText="1"/>
    </xf>
    <xf numFmtId="0" fontId="10" fillId="0" borderId="1">
      <alignment horizontal="left" vertical="center" wrapText="1"/>
    </xf>
    <xf numFmtId="0" fontId="10" fillId="0" borderId="32">
      <alignment horizontal="left" vertical="center" wrapText="1"/>
    </xf>
    <xf numFmtId="49" fontId="11" fillId="0" borderId="6">
      <alignment horizontal="center" vertical="top" wrapText="1"/>
    </xf>
    <xf numFmtId="49" fontId="10" fillId="0" borderId="0">
      <alignment horizontal="right" vertical="center"/>
    </xf>
    <xf numFmtId="0" fontId="9" fillId="0" borderId="1">
      <alignment horizontal="left" vertical="center"/>
    </xf>
    <xf numFmtId="0" fontId="10" fillId="0" borderId="31">
      <alignment horizontal="left" vertical="center" wrapText="1"/>
    </xf>
    <xf numFmtId="0" fontId="16" fillId="0" borderId="3">
      <alignment horizontal="center" vertical="center" wrapText="1"/>
    </xf>
    <xf numFmtId="49" fontId="16" fillId="0" borderId="3">
      <alignment horizontal="left" vertical="center" wrapText="1"/>
    </xf>
    <xf numFmtId="0" fontId="16" fillId="0" borderId="8">
      <alignment horizontal="center" vertical="center" wrapText="1"/>
    </xf>
    <xf numFmtId="0" fontId="16" fillId="0" borderId="8">
      <alignment horizontal="right" vertical="center" wrapText="1"/>
    </xf>
    <xf numFmtId="0" fontId="16" fillId="0" borderId="9">
      <alignment horizontal="right" vertical="center" wrapText="1"/>
    </xf>
    <xf numFmtId="0" fontId="16" fillId="0" borderId="7">
      <alignment horizontal="right" vertical="center" wrapText="1"/>
    </xf>
    <xf numFmtId="0" fontId="16" fillId="0" borderId="2">
      <alignment horizontal="left" vertical="center" wrapText="1"/>
    </xf>
    <xf numFmtId="0" fontId="16" fillId="0" borderId="3">
      <alignment horizontal="right" vertical="center" wrapText="1"/>
    </xf>
    <xf numFmtId="0" fontId="16" fillId="0" borderId="3">
      <alignment horizontal="left" vertical="center" wrapText="1"/>
    </xf>
    <xf numFmtId="0" fontId="17" fillId="0" borderId="0"/>
    <xf numFmtId="0" fontId="6" fillId="0" borderId="0" applyNumberFormat="0" applyFill="0" applyBorder="0" applyProtection="0">
      <alignment vertical="top" wrapText="1"/>
    </xf>
    <xf numFmtId="0" fontId="18" fillId="0" borderId="0">
      <alignment vertical="top"/>
    </xf>
    <xf numFmtId="0" fontId="19" fillId="0" borderId="0"/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9" fillId="0" borderId="0"/>
    <xf numFmtId="0" fontId="19" fillId="0" borderId="0"/>
    <xf numFmtId="0" fontId="25" fillId="0" borderId="0">
      <alignment horizontal="left"/>
    </xf>
    <xf numFmtId="0" fontId="6" fillId="0" borderId="0" applyNumberFormat="0" applyFill="0" applyBorder="0" applyProtection="0">
      <alignment vertical="top" wrapText="1"/>
    </xf>
    <xf numFmtId="0" fontId="25" fillId="0" borderId="0">
      <alignment horizontal="left"/>
    </xf>
    <xf numFmtId="0" fontId="17" fillId="0" borderId="0"/>
    <xf numFmtId="0" fontId="25" fillId="0" borderId="0">
      <alignment horizontal="left"/>
    </xf>
    <xf numFmtId="0" fontId="31" fillId="0" borderId="0"/>
    <xf numFmtId="0" fontId="25" fillId="0" borderId="0">
      <alignment horizontal="left"/>
    </xf>
    <xf numFmtId="0" fontId="32" fillId="0" borderId="0"/>
    <xf numFmtId="0" fontId="25" fillId="0" borderId="0">
      <alignment horizontal="left"/>
    </xf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5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6" fillId="0" borderId="0"/>
    <xf numFmtId="0" fontId="18" fillId="0" borderId="0">
      <alignment vertical="top"/>
    </xf>
    <xf numFmtId="0" fontId="2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33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5" fillId="0" borderId="0">
      <alignment horizontal="left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9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" fillId="0" borderId="0"/>
  </cellStyleXfs>
  <cellXfs count="86">
    <xf numFmtId="0" fontId="0" fillId="0" borderId="0" xfId="0"/>
    <xf numFmtId="0" fontId="4" fillId="0" borderId="0" xfId="0" applyFont="1"/>
    <xf numFmtId="165" fontId="36" fillId="0" borderId="0" xfId="0" applyNumberFormat="1" applyFont="1"/>
    <xf numFmtId="0" fontId="36" fillId="0" borderId="0" xfId="0" applyFont="1"/>
    <xf numFmtId="165" fontId="36" fillId="0" borderId="0" xfId="0" applyNumberFormat="1" applyFont="1" applyAlignment="1">
      <alignment horizontal="center"/>
    </xf>
    <xf numFmtId="0" fontId="36" fillId="0" borderId="41" xfId="0" applyFont="1" applyBorder="1"/>
    <xf numFmtId="0" fontId="4" fillId="0" borderId="41" xfId="0" applyFont="1" applyBorder="1"/>
    <xf numFmtId="166" fontId="36" fillId="0" borderId="0" xfId="0" applyNumberFormat="1" applyFont="1"/>
    <xf numFmtId="0" fontId="39" fillId="4" borderId="47" xfId="0" applyFont="1" applyFill="1" applyBorder="1" applyAlignment="1">
      <alignment horizontal="centerContinuous"/>
    </xf>
    <xf numFmtId="0" fontId="39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6" fillId="0" borderId="42" xfId="0" applyFont="1" applyBorder="1"/>
    <xf numFmtId="0" fontId="36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6" fillId="0" borderId="38" xfId="0" applyFont="1" applyBorder="1"/>
    <xf numFmtId="4" fontId="5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6" fillId="0" borderId="47" xfId="0" applyFont="1" applyBorder="1"/>
    <xf numFmtId="0" fontId="36" fillId="0" borderId="40" xfId="0" applyFont="1" applyBorder="1"/>
    <xf numFmtId="0" fontId="37" fillId="3" borderId="47" xfId="0" applyFont="1" applyFill="1" applyBorder="1"/>
    <xf numFmtId="0" fontId="36" fillId="3" borderId="50" xfId="0" applyFont="1" applyFill="1" applyBorder="1"/>
    <xf numFmtId="165" fontId="36" fillId="3" borderId="50" xfId="0" applyNumberFormat="1" applyFont="1" applyFill="1" applyBorder="1"/>
    <xf numFmtId="165" fontId="36" fillId="3" borderId="50" xfId="0" applyNumberFormat="1" applyFont="1" applyFill="1" applyBorder="1" applyAlignment="1">
      <alignment horizontal="center"/>
    </xf>
    <xf numFmtId="165" fontId="38" fillId="3" borderId="40" xfId="0" applyNumberFormat="1" applyFont="1" applyFill="1" applyBorder="1"/>
    <xf numFmtId="0" fontId="37" fillId="0" borderId="38" xfId="0" applyFont="1" applyBorder="1"/>
    <xf numFmtId="4" fontId="37" fillId="0" borderId="39" xfId="0" applyNumberFormat="1" applyFont="1" applyBorder="1"/>
    <xf numFmtId="0" fontId="36" fillId="0" borderId="45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5" fillId="2" borderId="46" xfId="0" applyNumberFormat="1" applyFont="1" applyFill="1" applyBorder="1" applyAlignment="1">
      <alignment horizontal="right" vertical="top" wrapText="1"/>
    </xf>
    <xf numFmtId="4" fontId="25" fillId="2" borderId="42" xfId="0" applyNumberFormat="1" applyFont="1" applyFill="1" applyBorder="1" applyAlignment="1">
      <alignment horizontal="right" vertical="top" wrapText="1"/>
    </xf>
    <xf numFmtId="4" fontId="25" fillId="2" borderId="44" xfId="0" applyNumberFormat="1" applyFont="1" applyFill="1" applyBorder="1" applyAlignment="1">
      <alignment horizontal="right" vertical="top" wrapText="1"/>
    </xf>
    <xf numFmtId="0" fontId="36" fillId="0" borderId="43" xfId="0" applyFont="1" applyBorder="1"/>
    <xf numFmtId="0" fontId="36" fillId="0" borderId="48" xfId="0" applyFont="1" applyBorder="1" applyAlignment="1">
      <alignment horizontal="right"/>
    </xf>
    <xf numFmtId="4" fontId="25" fillId="2" borderId="49" xfId="0" applyNumberFormat="1" applyFont="1" applyFill="1" applyBorder="1" applyAlignment="1">
      <alignment horizontal="right" vertical="top" wrapText="1"/>
    </xf>
    <xf numFmtId="165" fontId="36" fillId="0" borderId="51" xfId="0" applyNumberFormat="1" applyFont="1" applyBorder="1" applyAlignment="1">
      <alignment horizontal="center"/>
    </xf>
    <xf numFmtId="165" fontId="36" fillId="0" borderId="52" xfId="0" applyNumberFormat="1" applyFont="1" applyBorder="1"/>
    <xf numFmtId="165" fontId="36" fillId="0" borderId="53" xfId="0" applyNumberFormat="1" applyFont="1" applyBorder="1" applyAlignment="1">
      <alignment horizontal="center"/>
    </xf>
    <xf numFmtId="165" fontId="36" fillId="0" borderId="54" xfId="0" applyNumberFormat="1" applyFont="1" applyBorder="1"/>
    <xf numFmtId="165" fontId="36" fillId="0" borderId="55" xfId="0" applyNumberFormat="1" applyFont="1" applyBorder="1" applyAlignment="1">
      <alignment horizontal="center"/>
    </xf>
    <xf numFmtId="165" fontId="36" fillId="0" borderId="56" xfId="0" applyNumberFormat="1" applyFont="1" applyBorder="1"/>
    <xf numFmtId="165" fontId="37" fillId="0" borderId="55" xfId="0" applyNumberFormat="1" applyFont="1" applyBorder="1" applyAlignment="1">
      <alignment horizontal="left"/>
    </xf>
    <xf numFmtId="165" fontId="36" fillId="0" borderId="57" xfId="0" applyNumberFormat="1" applyFont="1" applyBorder="1" applyAlignment="1">
      <alignment horizontal="center"/>
    </xf>
    <xf numFmtId="165" fontId="36" fillId="0" borderId="58" xfId="0" applyNumberFormat="1" applyFont="1" applyBorder="1"/>
    <xf numFmtId="165" fontId="38" fillId="3" borderId="56" xfId="0" applyNumberFormat="1" applyFont="1" applyFill="1" applyBorder="1"/>
    <xf numFmtId="165" fontId="36" fillId="0" borderId="54" xfId="0" applyNumberFormat="1" applyFont="1" applyBorder="1" applyAlignment="1">
      <alignment horizontal="right"/>
    </xf>
    <xf numFmtId="0" fontId="37" fillId="5" borderId="38" xfId="0" applyFont="1" applyFill="1" applyBorder="1"/>
    <xf numFmtId="4" fontId="37" fillId="5" borderId="39" xfId="0" applyNumberFormat="1" applyFont="1" applyFill="1" applyBorder="1"/>
    <xf numFmtId="0" fontId="36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6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6" fillId="0" borderId="0" xfId="0" applyNumberFormat="1" applyFont="1"/>
    <xf numFmtId="0" fontId="36" fillId="0" borderId="59" xfId="0" applyFont="1" applyBorder="1" applyAlignment="1">
      <alignment horizontal="right"/>
    </xf>
    <xf numFmtId="4" fontId="25" fillId="2" borderId="60" xfId="0" applyNumberFormat="1" applyFont="1" applyFill="1" applyBorder="1" applyAlignment="1">
      <alignment horizontal="right" vertical="top" wrapText="1"/>
    </xf>
    <xf numFmtId="165" fontId="38" fillId="6" borderId="56" xfId="0" applyNumberFormat="1" applyFont="1" applyFill="1" applyBorder="1"/>
    <xf numFmtId="0" fontId="36" fillId="5" borderId="59" xfId="0" applyFont="1" applyFill="1" applyBorder="1"/>
    <xf numFmtId="4" fontId="0" fillId="5" borderId="60" xfId="0" applyNumberFormat="1" applyFont="1" applyFill="1" applyBorder="1" applyAlignment="1">
      <alignment horizontal="right" vertical="top"/>
    </xf>
    <xf numFmtId="0" fontId="36" fillId="0" borderId="61" xfId="0" applyFont="1" applyBorder="1" applyAlignment="1">
      <alignment horizontal="right"/>
    </xf>
    <xf numFmtId="0" fontId="36" fillId="0" borderId="62" xfId="0" applyFont="1" applyBorder="1" applyAlignment="1">
      <alignment horizontal="right"/>
    </xf>
    <xf numFmtId="0" fontId="36" fillId="0" borderId="63" xfId="0" applyFont="1" applyBorder="1" applyAlignment="1">
      <alignment horizontal="right"/>
    </xf>
    <xf numFmtId="4" fontId="25" fillId="2" borderId="64" xfId="0" applyNumberFormat="1" applyFont="1" applyFill="1" applyBorder="1" applyAlignment="1">
      <alignment horizontal="right" vertical="top" wrapText="1"/>
    </xf>
    <xf numFmtId="4" fontId="25" fillId="2" borderId="65" xfId="0" applyNumberFormat="1" applyFont="1" applyFill="1" applyBorder="1" applyAlignment="1">
      <alignment horizontal="right" vertical="top" wrapText="1"/>
    </xf>
    <xf numFmtId="4" fontId="25" fillId="2" borderId="66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6" fillId="0" borderId="55" xfId="0" applyNumberFormat="1" applyFont="1" applyBorder="1" applyAlignment="1">
      <alignment horizontal="left"/>
    </xf>
    <xf numFmtId="0" fontId="36" fillId="3" borderId="47" xfId="0" applyFont="1" applyFill="1" applyBorder="1"/>
    <xf numFmtId="166" fontId="36" fillId="3" borderId="50" xfId="0" applyNumberFormat="1" applyFont="1" applyFill="1" applyBorder="1"/>
    <xf numFmtId="165" fontId="36" fillId="3" borderId="40" xfId="0" applyNumberFormat="1" applyFont="1" applyFill="1" applyBorder="1"/>
    <xf numFmtId="0" fontId="36" fillId="4" borderId="47" xfId="0" applyFont="1" applyFill="1" applyBorder="1"/>
    <xf numFmtId="165" fontId="36" fillId="4" borderId="50" xfId="0" applyNumberFormat="1" applyFont="1" applyFill="1" applyBorder="1" applyAlignment="1">
      <alignment horizontal="center"/>
    </xf>
    <xf numFmtId="165" fontId="36" fillId="4" borderId="40" xfId="0" applyNumberFormat="1" applyFont="1" applyFill="1" applyBorder="1"/>
    <xf numFmtId="166" fontId="40" fillId="4" borderId="50" xfId="0" applyNumberFormat="1" applyFont="1" applyFill="1" applyBorder="1"/>
    <xf numFmtId="172" fontId="38" fillId="4" borderId="50" xfId="0" applyNumberFormat="1" applyFont="1" applyFill="1" applyBorder="1" applyAlignment="1">
      <alignment horizontal="center" vertical="center"/>
    </xf>
    <xf numFmtId="4" fontId="0" fillId="0" borderId="67" xfId="0" applyNumberFormat="1" applyFont="1" applyBorder="1" applyAlignment="1">
      <alignment horizontal="right" vertical="top"/>
    </xf>
    <xf numFmtId="4" fontId="25" fillId="0" borderId="46" xfId="0" applyNumberFormat="1" applyFont="1" applyFill="1" applyBorder="1" applyAlignment="1">
      <alignment horizontal="right" vertical="top" wrapText="1"/>
    </xf>
    <xf numFmtId="4" fontId="25" fillId="0" borderId="42" xfId="0" applyNumberFormat="1" applyFont="1" applyFill="1" applyBorder="1" applyAlignment="1">
      <alignment horizontal="right" vertical="top" wrapText="1"/>
    </xf>
    <xf numFmtId="4" fontId="25" fillId="0" borderId="49" xfId="0" applyNumberFormat="1" applyFont="1" applyFill="1" applyBorder="1" applyAlignment="1">
      <alignment horizontal="right" vertical="top" wrapText="1"/>
    </xf>
    <xf numFmtId="4" fontId="25" fillId="0" borderId="44" xfId="0" applyNumberFormat="1" applyFont="1" applyFill="1" applyBorder="1" applyAlignment="1">
      <alignment horizontal="right" vertical="top" wrapText="1"/>
    </xf>
    <xf numFmtId="3" fontId="37" fillId="0" borderId="39" xfId="0" applyNumberFormat="1" applyFont="1" applyBorder="1"/>
    <xf numFmtId="0" fontId="36" fillId="0" borderId="43" xfId="0" applyFont="1" applyFill="1" applyBorder="1"/>
    <xf numFmtId="4" fontId="0" fillId="0" borderId="44" xfId="0" applyNumberFormat="1" applyFont="1" applyFill="1" applyBorder="1" applyAlignment="1">
      <alignment horizontal="right" vertical="top"/>
    </xf>
    <xf numFmtId="0" fontId="36" fillId="0" borderId="43" xfId="0" applyFont="1" applyFill="1" applyBorder="1" applyAlignment="1">
      <alignment horizontal="right"/>
    </xf>
    <xf numFmtId="4" fontId="0" fillId="0" borderId="68" xfId="0" applyNumberFormat="1" applyFont="1" applyBorder="1" applyAlignment="1">
      <alignment horizontal="right" vertical="top" wrapText="1"/>
    </xf>
    <xf numFmtId="4" fontId="4" fillId="0" borderId="0" xfId="0" applyNumberFormat="1" applyFont="1"/>
  </cellXfs>
  <cellStyles count="42598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32 2" xfId="42597" xr:uid="{26CE24BA-7772-45E7-AE9A-831F54F96B23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topLeftCell="A19" workbookViewId="0">
      <selection activeCell="B33" sqref="B33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01/09/2024 - 31/12/2025</v>
      </c>
      <c r="E2" s="18"/>
      <c r="G2" s="1"/>
      <c r="H2" s="1"/>
    </row>
    <row r="3" spans="1:8" s="3" customFormat="1">
      <c r="A3" s="57" t="s">
        <v>13</v>
      </c>
      <c r="B3" s="58">
        <f>SUM(B4:B7)</f>
        <v>19937962.390000001</v>
      </c>
      <c r="C3" s="2"/>
      <c r="D3" s="49" t="s">
        <v>13</v>
      </c>
      <c r="E3" s="50">
        <v>19949162.640000001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13129109.470000001</v>
      </c>
      <c r="C9" s="2"/>
      <c r="D9" s="51" t="s">
        <v>14</v>
      </c>
      <c r="E9" s="52">
        <f>E3-E15</f>
        <v>13187409.500487071</v>
      </c>
      <c r="G9" s="1"/>
      <c r="H9" s="1"/>
    </row>
    <row r="10" spans="1:8" s="3" customFormat="1" outlineLevel="1">
      <c r="A10" s="5" t="s">
        <v>4</v>
      </c>
      <c r="B10" s="10">
        <f>12886907.9+11000</f>
        <v>12897907.9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231201.57</v>
      </c>
      <c r="C12" s="2"/>
      <c r="D12" s="5"/>
      <c r="E12" s="10"/>
      <c r="G12" s="1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42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6808852.9199999999</v>
      </c>
      <c r="C15" s="2"/>
      <c r="D15" s="14"/>
      <c r="E15" s="15">
        <f>6761753.13951293</f>
        <v>6761753.1395129301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-47099.78048706986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32981.870000000003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32981.870000000003</v>
      </c>
      <c r="C20" s="2"/>
      <c r="D20" s="38"/>
      <c r="E20" s="39">
        <f>B20</f>
        <v>32981.870000000003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34"/>
      <c r="B22" s="65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SUM(B24:B27)</f>
        <v>52916.39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52916.39</v>
      </c>
      <c r="C24" s="2"/>
      <c r="D24" s="38"/>
      <c r="E24" s="39">
        <f>-B24</f>
        <v>-52916.39</v>
      </c>
      <c r="G24" s="1"/>
      <c r="H24" s="1"/>
    </row>
    <row r="25" spans="1:8" s="3" customFormat="1" ht="12.6" customHeight="1">
      <c r="A25" s="27" t="s">
        <v>17</v>
      </c>
      <c r="B25" s="31">
        <v>0</v>
      </c>
      <c r="C25" s="2"/>
      <c r="D25" s="38"/>
      <c r="E25" s="39">
        <f>B25</f>
        <v>0</v>
      </c>
      <c r="G25" s="1"/>
      <c r="H25" s="1"/>
    </row>
    <row r="26" spans="1:8" s="3" customFormat="1">
      <c r="A26" s="27" t="s">
        <v>18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83925.395999999993</v>
      </c>
      <c r="D33" s="38"/>
      <c r="E33" s="39">
        <f>B33</f>
        <v>83925.395999999993</v>
      </c>
    </row>
    <row r="34" spans="1:6">
      <c r="A34" s="59" t="s">
        <v>29</v>
      </c>
      <c r="B34" s="63">
        <f>61334.58</f>
        <v>61334.58</v>
      </c>
      <c r="D34" s="66" t="s">
        <v>30</v>
      </c>
      <c r="E34" s="39">
        <f>-300891.79+B12</f>
        <v>-69690.219999999972</v>
      </c>
    </row>
    <row r="35" spans="1:6">
      <c r="A35" s="60" t="s">
        <v>23</v>
      </c>
      <c r="B35" s="62">
        <v>0</v>
      </c>
      <c r="D35" s="42" t="s">
        <v>25</v>
      </c>
      <c r="E35" s="45">
        <f>SUM(E20:E34)</f>
        <v>-5699.3439999999755</v>
      </c>
      <c r="F35" s="7"/>
    </row>
    <row r="36" spans="1:6" ht="13.8" thickBot="1">
      <c r="A36" s="61" t="s">
        <v>28</v>
      </c>
      <c r="B36" s="64">
        <f>8603.25</f>
        <v>8603.25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6803153.5760000004</v>
      </c>
      <c r="C38" s="21"/>
      <c r="D38" s="22"/>
      <c r="E38" s="69">
        <f>E15</f>
        <v>6761753.1395129301</v>
      </c>
      <c r="F38" s="7"/>
    </row>
    <row r="39" spans="1:6" ht="18.600000000000001" thickBot="1">
      <c r="A39" s="70" t="s">
        <v>32</v>
      </c>
      <c r="B39" s="73">
        <f>B38-E38</f>
        <v>41400.436487070285</v>
      </c>
      <c r="C39" s="74">
        <f>B39/E3</f>
        <v>2.0752969552746241E-3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topLeftCell="A13" workbookViewId="0">
      <selection activeCell="A7" sqref="A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01/09/2024 - 31/12/2025</v>
      </c>
      <c r="E2" s="18"/>
      <c r="G2" s="1"/>
      <c r="H2" s="1"/>
    </row>
    <row r="3" spans="1:8" s="3" customFormat="1">
      <c r="A3" s="57" t="s">
        <v>13</v>
      </c>
      <c r="B3" s="58">
        <f>SUM(B4:B7)</f>
        <v>9731812.3699999992</v>
      </c>
      <c r="C3" s="2"/>
      <c r="D3" s="49" t="s">
        <v>13</v>
      </c>
      <c r="E3" s="50">
        <v>9721882.6199999992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9684396.3699999992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3216</v>
      </c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41920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5860861.4000000004</v>
      </c>
      <c r="C9" s="2"/>
      <c r="D9" s="51" t="s">
        <v>14</v>
      </c>
      <c r="E9" s="52">
        <f>E3-E15</f>
        <v>5824418.9116395861</v>
      </c>
      <c r="H9" s="1"/>
    </row>
    <row r="10" spans="1:8" s="3" customFormat="1" outlineLevel="1">
      <c r="A10" s="5" t="s">
        <v>4</v>
      </c>
      <c r="B10" s="10">
        <f>5362528.45+13000</f>
        <v>5375528.4500000002</v>
      </c>
      <c r="C10" s="2"/>
      <c r="D10" s="5"/>
      <c r="E10" s="10"/>
      <c r="H10" s="1"/>
    </row>
    <row r="11" spans="1:8" s="3" customFormat="1" outlineLevel="1">
      <c r="A11" s="5" t="s">
        <v>5</v>
      </c>
      <c r="B11" s="10">
        <v>163950.45000000001</v>
      </c>
      <c r="C11" s="2"/>
      <c r="D11" s="5"/>
      <c r="E11" s="10"/>
      <c r="H11" s="1"/>
    </row>
    <row r="12" spans="1:8" s="3" customFormat="1" outlineLevel="1">
      <c r="A12" s="5" t="s">
        <v>6</v>
      </c>
      <c r="B12" s="10">
        <v>279462.5</v>
      </c>
      <c r="C12" s="2"/>
      <c r="D12" s="5"/>
      <c r="E12" s="10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H13" s="1"/>
    </row>
    <row r="14" spans="1:8" s="3" customFormat="1" ht="13.8" outlineLevel="1" thickBot="1">
      <c r="A14" s="81" t="s">
        <v>42</v>
      </c>
      <c r="B14" s="82">
        <v>41920</v>
      </c>
      <c r="C14" s="2"/>
      <c r="D14" s="12"/>
      <c r="E14" s="13"/>
      <c r="H14" s="1"/>
    </row>
    <row r="15" spans="1:8" s="3" customFormat="1" ht="13.8" thickBot="1">
      <c r="A15" s="14" t="s">
        <v>7</v>
      </c>
      <c r="B15" s="15">
        <f>B3-B9</f>
        <v>3870950.9699999988</v>
      </c>
      <c r="C15" s="2"/>
      <c r="D15" s="14"/>
      <c r="E15" s="15">
        <v>3897463.7083604131</v>
      </c>
      <c r="H15" s="1"/>
    </row>
    <row r="16" spans="1:8" s="3" customFormat="1" ht="13.8" thickBot="1">
      <c r="C16" s="2"/>
      <c r="D16" s="4"/>
      <c r="E16" s="2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26512.738360414281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26445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26445</v>
      </c>
      <c r="C20" s="2"/>
      <c r="D20" s="38"/>
      <c r="E20" s="39">
        <f>B20</f>
        <v>26445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H21" s="1"/>
    </row>
    <row r="22" spans="1:8" s="3" customFormat="1" ht="13.8" thickBot="1">
      <c r="A22" s="34"/>
      <c r="B22" s="65"/>
      <c r="C22" s="2"/>
      <c r="D22" s="40"/>
      <c r="E22" s="41"/>
      <c r="H22" s="1"/>
    </row>
    <row r="23" spans="1:8" s="3" customFormat="1" ht="13.8" thickBot="1">
      <c r="A23" s="47" t="s">
        <v>34</v>
      </c>
      <c r="B23" s="48">
        <f>SUM(B24:B27)</f>
        <v>26225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15639.99</v>
      </c>
      <c r="C24" s="2"/>
      <c r="D24" s="38"/>
      <c r="E24" s="39">
        <f>-B24</f>
        <v>-15639.99</v>
      </c>
      <c r="G24" s="1"/>
      <c r="H24" s="1"/>
    </row>
    <row r="25" spans="1:8" s="3" customFormat="1" ht="12.6" customHeight="1">
      <c r="A25" s="27" t="s">
        <v>17</v>
      </c>
      <c r="B25" s="31">
        <v>10585.01</v>
      </c>
      <c r="C25" s="2"/>
      <c r="D25" s="38"/>
      <c r="E25" s="39">
        <f>B25</f>
        <v>10585.01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25067.735999999997</v>
      </c>
      <c r="D33" s="38"/>
      <c r="E33" s="39">
        <f>B33</f>
        <v>25067.735999999997</v>
      </c>
    </row>
    <row r="34" spans="1:6">
      <c r="A34" s="59" t="s">
        <v>35</v>
      </c>
      <c r="B34" s="63"/>
      <c r="D34" s="66" t="s">
        <v>30</v>
      </c>
      <c r="E34" s="39">
        <f>-322311.23+B12</f>
        <v>-42848.729999999981</v>
      </c>
    </row>
    <row r="35" spans="1:6">
      <c r="A35" s="60" t="s">
        <v>23</v>
      </c>
      <c r="B35" s="62"/>
      <c r="D35" s="42" t="s">
        <v>25</v>
      </c>
      <c r="E35" s="45">
        <f>SUM(E20:E34)</f>
        <v>3609.0260000000126</v>
      </c>
      <c r="F35" s="7"/>
    </row>
    <row r="36" spans="1:6" ht="13.8" thickBot="1">
      <c r="A36" s="61" t="s">
        <v>28</v>
      </c>
      <c r="B36" s="64">
        <v>20889.78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3874559.9959999989</v>
      </c>
      <c r="C38" s="21"/>
      <c r="D38" s="22"/>
      <c r="E38" s="69">
        <f>E15</f>
        <v>3897463.7083604131</v>
      </c>
      <c r="F38" s="7"/>
    </row>
    <row r="39" spans="1:6" ht="18.600000000000001" thickBot="1">
      <c r="A39" s="70" t="s">
        <v>32</v>
      </c>
      <c r="B39" s="73">
        <f>B38-E38</f>
        <v>-22903.712360414211</v>
      </c>
      <c r="C39" s="74">
        <f>B39/E3</f>
        <v>-2.3558927067578823E-3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41"/>
  <sheetViews>
    <sheetView topLeftCell="A16" workbookViewId="0">
      <selection activeCell="B31" sqref="B31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01/09/2024 - 31/12/2025</v>
      </c>
      <c r="E2" s="18"/>
      <c r="G2" s="1"/>
      <c r="H2" s="1"/>
    </row>
    <row r="3" spans="1:8" s="3" customFormat="1">
      <c r="A3" s="49" t="s">
        <v>13</v>
      </c>
      <c r="B3" s="50">
        <f>SUM(B4:B7)</f>
        <v>45618961.509999998</v>
      </c>
      <c r="C3" s="2"/>
      <c r="D3" s="49" t="s">
        <v>13</v>
      </c>
      <c r="E3" s="50">
        <v>45072409.100000009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45300082.18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222039.33</v>
      </c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69700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33939935.950000003</v>
      </c>
      <c r="C9" s="2"/>
      <c r="D9" s="51" t="s">
        <v>14</v>
      </c>
      <c r="E9" s="52">
        <f>E3-E15</f>
        <v>34044763.286184616</v>
      </c>
      <c r="G9" s="1"/>
      <c r="H9" s="1"/>
    </row>
    <row r="10" spans="1:8" s="3" customFormat="1" outlineLevel="1">
      <c r="A10" s="5" t="s">
        <v>4</v>
      </c>
      <c r="B10" s="10">
        <f>33048690.32+15000</f>
        <v>33063690.32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158658.66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717586.97</v>
      </c>
      <c r="C12" s="2"/>
      <c r="D12" s="5"/>
      <c r="E12" s="10"/>
      <c r="G12" s="1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42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11679025.559999995</v>
      </c>
      <c r="C15" s="2"/>
      <c r="D15" s="14"/>
      <c r="E15" s="15">
        <v>11027645.813815394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-651379.74618460052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-490187.26999999996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15789.28</v>
      </c>
      <c r="C20" s="2"/>
      <c r="D20" s="38"/>
      <c r="E20" s="39">
        <f>B20</f>
        <v>15789.28</v>
      </c>
      <c r="G20" s="1"/>
      <c r="H20" s="1"/>
    </row>
    <row r="21" spans="1:8" s="3" customFormat="1">
      <c r="A21" s="27" t="s">
        <v>27</v>
      </c>
      <c r="B21" s="10">
        <v>505976.55</v>
      </c>
      <c r="C21" s="2"/>
      <c r="D21" s="38"/>
      <c r="E21" s="39">
        <f>-B21</f>
        <v>-505976.55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SUM(B24:B29)</f>
        <v>1418113.89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0">
        <f>896386.22+354858</f>
        <v>1251244.22</v>
      </c>
      <c r="C24" s="2"/>
      <c r="D24" s="38"/>
      <c r="E24" s="39">
        <f>-B24</f>
        <v>-1251244.22</v>
      </c>
      <c r="G24" s="1"/>
      <c r="H24" s="1"/>
    </row>
    <row r="25" spans="1:8" s="3" customFormat="1" ht="12.6" customHeight="1">
      <c r="A25" s="27" t="s">
        <v>17</v>
      </c>
      <c r="B25" s="31">
        <v>97169.67</v>
      </c>
      <c r="C25" s="2"/>
      <c r="D25" s="38"/>
      <c r="E25" s="39">
        <f>B25</f>
        <v>97169.67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>
      <c r="A27" s="83" t="s">
        <v>38</v>
      </c>
      <c r="B27" s="32">
        <v>69700</v>
      </c>
      <c r="C27" s="2"/>
      <c r="D27" s="38"/>
      <c r="E27" s="46">
        <f t="shared" ref="E27:E28" si="0">-B27</f>
        <v>-69700</v>
      </c>
      <c r="G27" s="1"/>
      <c r="H27" s="1"/>
    </row>
    <row r="28" spans="1:8" s="3" customFormat="1">
      <c r="A28" s="83" t="s">
        <v>40</v>
      </c>
      <c r="B28" s="32"/>
      <c r="C28" s="2"/>
      <c r="D28" s="38"/>
      <c r="E28" s="46">
        <f t="shared" si="0"/>
        <v>0</v>
      </c>
      <c r="G28" s="1"/>
      <c r="H28" s="1"/>
    </row>
    <row r="29" spans="1:8" s="3" customFormat="1" ht="13.8" thickBot="1">
      <c r="A29" s="28"/>
      <c r="B29" s="32"/>
      <c r="C29" s="2"/>
      <c r="D29" s="40"/>
      <c r="E29" s="41"/>
      <c r="G29" s="1"/>
      <c r="H29" s="1"/>
    </row>
    <row r="30" spans="1:8" s="3" customFormat="1" ht="13.8" thickBot="1">
      <c r="A30" s="24" t="s">
        <v>11</v>
      </c>
      <c r="B30" s="25">
        <f>B31+B32</f>
        <v>0</v>
      </c>
      <c r="C30" s="2"/>
      <c r="D30" s="40"/>
      <c r="E30" s="41"/>
      <c r="G30" s="1"/>
      <c r="H30" s="1"/>
    </row>
    <row r="31" spans="1:8" s="3" customFormat="1">
      <c r="A31" s="26" t="s">
        <v>20</v>
      </c>
      <c r="B31" s="30"/>
      <c r="C31" s="2"/>
      <c r="D31" s="38"/>
      <c r="E31" s="39">
        <f>-B31</f>
        <v>0</v>
      </c>
      <c r="G31" s="1"/>
      <c r="H31" s="1"/>
    </row>
    <row r="32" spans="1:8" s="3" customFormat="1">
      <c r="A32" s="27" t="s">
        <v>21</v>
      </c>
      <c r="B32" s="31"/>
      <c r="C32" s="2"/>
      <c r="D32" s="38"/>
      <c r="E32" s="39">
        <f>-B32</f>
        <v>0</v>
      </c>
      <c r="G32" s="1"/>
      <c r="H32" s="1"/>
    </row>
    <row r="33" spans="1:8" s="3" customFormat="1">
      <c r="A33" s="6"/>
      <c r="B33" s="31"/>
      <c r="C33" s="2"/>
      <c r="D33" s="40"/>
      <c r="E33" s="41"/>
      <c r="G33" s="1"/>
      <c r="H33" s="1"/>
    </row>
    <row r="34" spans="1:8" ht="13.8" thickBot="1">
      <c r="A34" s="33"/>
      <c r="B34" s="32"/>
      <c r="D34" s="40"/>
      <c r="E34" s="41"/>
    </row>
    <row r="35" spans="1:8" ht="13.8" thickBot="1">
      <c r="A35" s="47" t="s">
        <v>12</v>
      </c>
      <c r="B35" s="48">
        <f>SUM(B36:B38)*1.2</f>
        <v>1233799.9439999999</v>
      </c>
      <c r="D35" s="38"/>
      <c r="E35" s="39">
        <f>B35</f>
        <v>1233799.9439999999</v>
      </c>
    </row>
    <row r="36" spans="1:8">
      <c r="A36" s="54" t="s">
        <v>26</v>
      </c>
      <c r="B36" s="55">
        <f>542212.13</f>
        <v>542212.13</v>
      </c>
      <c r="D36" s="66" t="s">
        <v>30</v>
      </c>
      <c r="E36" s="39">
        <f>-874312.1+B12</f>
        <v>-156725.13</v>
      </c>
    </row>
    <row r="37" spans="1:8">
      <c r="A37" s="27" t="s">
        <v>23</v>
      </c>
      <c r="B37" s="31">
        <f>435457.17</f>
        <v>435457.17</v>
      </c>
      <c r="D37" s="42" t="s">
        <v>25</v>
      </c>
      <c r="E37" s="45">
        <f>SUM(E20:E36)</f>
        <v>-636887.00600000017</v>
      </c>
      <c r="F37" s="7"/>
    </row>
    <row r="38" spans="1:8" ht="13.8" thickBot="1">
      <c r="A38" s="34" t="s">
        <v>28</v>
      </c>
      <c r="B38" s="35">
        <f>50497.32</f>
        <v>50497.32</v>
      </c>
      <c r="D38" s="43"/>
      <c r="E38" s="44"/>
    </row>
    <row r="39" spans="1:8" ht="13.8" thickBot="1"/>
    <row r="40" spans="1:8" ht="13.8" thickBot="1">
      <c r="A40" s="67" t="s">
        <v>31</v>
      </c>
      <c r="B40" s="68">
        <f>B15+E37</f>
        <v>11042138.553999994</v>
      </c>
      <c r="C40" s="21"/>
      <c r="D40" s="22"/>
      <c r="E40" s="69">
        <f>E15</f>
        <v>11027645.813815394</v>
      </c>
      <c r="F40" s="7"/>
    </row>
    <row r="41" spans="1:8" ht="18.600000000000001" thickBot="1">
      <c r="A41" s="70" t="s">
        <v>32</v>
      </c>
      <c r="B41" s="73">
        <f>B40-E40</f>
        <v>14492.740184599534</v>
      </c>
      <c r="C41" s="74">
        <f>B41/E3</f>
        <v>3.2154350020308835E-4</v>
      </c>
      <c r="D41" s="71"/>
      <c r="E41" s="72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topLeftCell="A7" workbookViewId="0">
      <selection activeCell="D37" sqref="D37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44</v>
      </c>
      <c r="B3" s="18"/>
      <c r="C3" s="2"/>
      <c r="D3" s="17" t="str">
        <f>A3</f>
        <v>01/09/2024 - 31/12/2025</v>
      </c>
      <c r="E3" s="18"/>
      <c r="G3" s="1"/>
      <c r="H3" s="1"/>
    </row>
    <row r="4" spans="1:8" s="3" customFormat="1">
      <c r="A4" s="49" t="s">
        <v>13</v>
      </c>
      <c r="B4" s="50">
        <f>SUM(B5:B10)</f>
        <v>699084560.5</v>
      </c>
      <c r="C4" s="2"/>
      <c r="D4" s="49" t="s">
        <v>13</v>
      </c>
      <c r="E4" s="50">
        <v>613294351.45999992</v>
      </c>
      <c r="G4" s="1"/>
      <c r="H4" s="1"/>
    </row>
    <row r="5" spans="1:8" s="3" customFormat="1" outlineLevel="1">
      <c r="A5" s="5" t="s">
        <v>1</v>
      </c>
      <c r="B5" s="10">
        <v>1445411.79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526743898.44</v>
      </c>
      <c r="C6" s="2"/>
      <c r="D6" s="5"/>
      <c r="E6" s="10"/>
      <c r="F6" s="53">
        <f>(B6+B7)*0.03</f>
        <v>17890659.543899998</v>
      </c>
      <c r="G6" s="1"/>
      <c r="H6" s="1"/>
    </row>
    <row r="7" spans="1:8" s="3" customFormat="1" outlineLevel="1">
      <c r="A7" s="5" t="s">
        <v>3</v>
      </c>
      <c r="B7" s="10">
        <v>69611419.689999998</v>
      </c>
      <c r="C7" s="2"/>
      <c r="D7" s="5"/>
      <c r="E7" s="10"/>
      <c r="G7" s="84">
        <v>508302942.33999997</v>
      </c>
      <c r="H7" s="1"/>
    </row>
    <row r="8" spans="1:8" s="3" customFormat="1" outlineLevel="1">
      <c r="A8" s="5" t="s">
        <v>37</v>
      </c>
      <c r="B8" s="10">
        <v>34415786.060000002</v>
      </c>
      <c r="C8" s="2"/>
      <c r="D8" s="5"/>
      <c r="E8" s="10"/>
      <c r="G8" s="84">
        <v>8249370.8399999999</v>
      </c>
      <c r="H8" s="1"/>
    </row>
    <row r="9" spans="1:8" s="3" customFormat="1" outlineLevel="1">
      <c r="A9" s="5" t="s">
        <v>33</v>
      </c>
      <c r="B9" s="10">
        <v>66868044.520000003</v>
      </c>
      <c r="C9" s="2"/>
      <c r="D9" s="5"/>
      <c r="E9" s="11"/>
      <c r="G9" s="85">
        <f>SUM(G7:G8)</f>
        <v>516552313.17999995</v>
      </c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14</v>
      </c>
      <c r="B11" s="52">
        <f>SUM(B12:B16)</f>
        <v>587145934.00999999</v>
      </c>
      <c r="C11" s="2"/>
      <c r="D11" s="51" t="s">
        <v>14</v>
      </c>
      <c r="E11" s="52">
        <f>E4-E17</f>
        <v>468046742.01669806</v>
      </c>
      <c r="G11" s="85">
        <f>G9*0.03</f>
        <v>15496569.395399997</v>
      </c>
      <c r="H11" s="1"/>
    </row>
    <row r="12" spans="1:8" s="3" customFormat="1" outlineLevel="1">
      <c r="A12" s="5" t="s">
        <v>4</v>
      </c>
      <c r="B12" s="82">
        <f>489064584.74+39000</f>
        <v>489103584.74000001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82">
        <v>827180.36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5078077.38</v>
      </c>
      <c r="C14" s="2"/>
      <c r="D14" s="5"/>
      <c r="E14" s="10"/>
      <c r="G14" s="1"/>
      <c r="H14" s="1"/>
    </row>
    <row r="15" spans="1:8" s="3" customFormat="1" outlineLevel="1">
      <c r="A15" s="5" t="s">
        <v>41</v>
      </c>
      <c r="B15" s="10">
        <v>34464209.009999998</v>
      </c>
      <c r="C15" s="2"/>
      <c r="D15" s="5"/>
      <c r="E15" s="10"/>
      <c r="G15" s="1"/>
      <c r="H15" s="1"/>
    </row>
    <row r="16" spans="1:8" s="3" customFormat="1" ht="13.8" outlineLevel="1" thickBot="1">
      <c r="A16" s="81" t="s">
        <v>42</v>
      </c>
      <c r="B16" s="10">
        <v>57672882.520000003</v>
      </c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111938626.49000001</v>
      </c>
      <c r="C17" s="2"/>
      <c r="D17" s="14"/>
      <c r="E17" s="15">
        <v>145247609.44330186</v>
      </c>
      <c r="F17" s="53">
        <f>E4*0.03</f>
        <v>18398830.543799996</v>
      </c>
      <c r="G17" s="85">
        <f>E17-F17</f>
        <v>126848778.89950186</v>
      </c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33308982.953301847</v>
      </c>
      <c r="F19" s="7"/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45</v>
      </c>
      <c r="B21" s="48">
        <f>B22+B23</f>
        <v>36837523.960000001</v>
      </c>
      <c r="C21" s="2"/>
      <c r="D21" s="36"/>
      <c r="E21" s="37"/>
      <c r="G21" s="1"/>
      <c r="H21" s="1"/>
    </row>
    <row r="22" spans="1:8" s="3" customFormat="1">
      <c r="A22" s="26" t="s">
        <v>10</v>
      </c>
      <c r="B22" s="16">
        <f>(35763046.6)+1074477.36-B23</f>
        <v>21340954.564600006</v>
      </c>
      <c r="C22" s="2"/>
      <c r="D22" s="38"/>
      <c r="E22" s="39">
        <f>B22</f>
        <v>21340954.564600006</v>
      </c>
      <c r="G22" s="1"/>
      <c r="H22" s="1"/>
    </row>
    <row r="23" spans="1:8" s="3" customFormat="1">
      <c r="A23" s="27" t="s">
        <v>15</v>
      </c>
      <c r="B23" s="10">
        <f>(E4-96742038.28)*3%</f>
        <v>15496569.395399997</v>
      </c>
      <c r="C23" s="2"/>
      <c r="D23" s="38"/>
      <c r="E23" s="39">
        <f>B23</f>
        <v>15496569.395399997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34</v>
      </c>
      <c r="B25" s="48">
        <f>SUM(B26:B30)</f>
        <v>58743382.684</v>
      </c>
      <c r="C25" s="2"/>
      <c r="D25" s="40"/>
      <c r="E25" s="41"/>
      <c r="G25" s="1"/>
      <c r="H25" s="1"/>
    </row>
    <row r="26" spans="1:8" s="3" customFormat="1">
      <c r="A26" s="26" t="s">
        <v>16</v>
      </c>
      <c r="B26" s="76">
        <v>37047147.579999998</v>
      </c>
      <c r="C26" s="2"/>
      <c r="D26" s="38"/>
      <c r="E26" s="39">
        <f>-B26</f>
        <v>-37047147.579999998</v>
      </c>
      <c r="G26" s="1"/>
      <c r="H26" s="1"/>
    </row>
    <row r="27" spans="1:8" s="3" customFormat="1" ht="12.6" customHeight="1">
      <c r="A27" s="27" t="s">
        <v>17</v>
      </c>
      <c r="B27" s="77">
        <v>11539608.039999999</v>
      </c>
      <c r="C27" s="2"/>
      <c r="D27" s="38"/>
      <c r="E27" s="39">
        <f>B27</f>
        <v>11539608.039999999</v>
      </c>
      <c r="G27" s="1"/>
      <c r="H27" s="1"/>
    </row>
    <row r="28" spans="1:8" s="3" customFormat="1">
      <c r="A28" s="27" t="s">
        <v>18</v>
      </c>
      <c r="B28" s="77">
        <v>961465.06400000001</v>
      </c>
      <c r="C28" s="2"/>
      <c r="D28" s="38"/>
      <c r="E28" s="46">
        <f>-B28</f>
        <v>-961465.06400000001</v>
      </c>
      <c r="G28" s="1"/>
      <c r="H28" s="1"/>
    </row>
    <row r="29" spans="1:8" s="3" customFormat="1">
      <c r="A29" s="83" t="s">
        <v>38</v>
      </c>
      <c r="B29" s="79">
        <f>B9-B16</f>
        <v>9195162</v>
      </c>
      <c r="C29" s="2"/>
      <c r="D29" s="40"/>
      <c r="E29" s="46">
        <f>-B29</f>
        <v>-9195162</v>
      </c>
      <c r="G29" s="1"/>
      <c r="H29" s="1"/>
    </row>
    <row r="30" spans="1:8" s="3" customFormat="1" ht="13.8" thickBot="1">
      <c r="A30" s="83" t="s">
        <v>40</v>
      </c>
      <c r="B30" s="79"/>
      <c r="C30" s="2"/>
      <c r="D30" s="40"/>
      <c r="E30" s="46">
        <f>-B30</f>
        <v>0</v>
      </c>
      <c r="F30" s="3" t="s">
        <v>43</v>
      </c>
      <c r="G30" s="1"/>
      <c r="H30" s="1"/>
    </row>
    <row r="31" spans="1:8" s="3" customFormat="1" ht="13.8" thickBot="1">
      <c r="A31" s="24" t="s">
        <v>11</v>
      </c>
      <c r="B31" s="25">
        <f>B32+B33</f>
        <v>561063</v>
      </c>
      <c r="C31" s="2"/>
      <c r="D31" s="40"/>
      <c r="E31" s="41"/>
      <c r="G31" s="1"/>
      <c r="H31" s="1"/>
    </row>
    <row r="32" spans="1:8" s="3" customFormat="1">
      <c r="A32" s="26" t="s">
        <v>20</v>
      </c>
      <c r="B32" s="76"/>
      <c r="C32" s="2"/>
      <c r="D32" s="38"/>
      <c r="E32" s="39">
        <f>-B32</f>
        <v>0</v>
      </c>
      <c r="G32" s="1"/>
      <c r="H32" s="1"/>
    </row>
    <row r="33" spans="1:8" s="3" customFormat="1">
      <c r="A33" s="27" t="s">
        <v>21</v>
      </c>
      <c r="B33" s="77">
        <v>561063</v>
      </c>
      <c r="C33" s="2"/>
      <c r="D33" s="38"/>
      <c r="E33" s="39">
        <f>-B33</f>
        <v>-561063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12</v>
      </c>
      <c r="B36" s="48">
        <f>SUM(B37:B40)*1.2</f>
        <v>32440889.063999996</v>
      </c>
      <c r="D36" s="38"/>
      <c r="E36" s="39">
        <f>--B36</f>
        <v>32440889.063999996</v>
      </c>
    </row>
    <row r="37" spans="1:8">
      <c r="A37" s="26" t="s">
        <v>22</v>
      </c>
      <c r="B37" s="30">
        <f>24018201.7-B38</f>
        <v>22368715.939999998</v>
      </c>
      <c r="D37" s="66" t="s">
        <v>30</v>
      </c>
      <c r="E37" s="39">
        <f>-4995925.43+B14</f>
        <v>82151.950000000186</v>
      </c>
    </row>
    <row r="38" spans="1:8">
      <c r="A38" s="27" t="s">
        <v>23</v>
      </c>
      <c r="B38" s="31">
        <v>1649485.76</v>
      </c>
      <c r="D38" s="42" t="s">
        <v>25</v>
      </c>
      <c r="E38" s="45">
        <f>SUM(E22:E37)</f>
        <v>33135335.369999997</v>
      </c>
      <c r="F38" s="7"/>
    </row>
    <row r="39" spans="1:8">
      <c r="A39" s="28" t="s">
        <v>28</v>
      </c>
      <c r="B39" s="32">
        <f>547350.76</f>
        <v>547350.76</v>
      </c>
      <c r="D39" s="42"/>
      <c r="E39" s="56"/>
      <c r="F39" s="7"/>
    </row>
    <row r="40" spans="1:8" ht="13.8" thickBot="1">
      <c r="A40" s="34" t="s">
        <v>24</v>
      </c>
      <c r="B40" s="78">
        <v>2468521.7599999998</v>
      </c>
      <c r="D40" s="43"/>
      <c r="E40" s="44"/>
    </row>
    <row r="41" spans="1:8" ht="13.8" thickBot="1"/>
    <row r="42" spans="1:8" ht="13.8" thickBot="1">
      <c r="A42" s="67" t="s">
        <v>31</v>
      </c>
      <c r="B42" s="68">
        <f>B17+E38</f>
        <v>145073961.86000001</v>
      </c>
      <c r="C42" s="21"/>
      <c r="D42" s="22"/>
      <c r="E42" s="69">
        <f>E17</f>
        <v>145247609.44330186</v>
      </c>
      <c r="F42" s="7"/>
    </row>
    <row r="43" spans="1:8" ht="18.600000000000001" thickBot="1">
      <c r="A43" s="70" t="s">
        <v>36</v>
      </c>
      <c r="B43" s="73">
        <f>B42-E42</f>
        <v>-173647.58330184221</v>
      </c>
      <c r="C43" s="74">
        <f>B43/E4</f>
        <v>-2.8313905531407424E-4</v>
      </c>
      <c r="D43" s="71"/>
      <c r="E43" s="72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B0FB-D4E5-4D92-8943-D1F57945C67A}">
  <sheetPr>
    <tabColor rgb="FFFF0000"/>
  </sheetPr>
  <dimension ref="A1:H45"/>
  <sheetViews>
    <sheetView tabSelected="1" topLeftCell="A16" workbookViewId="0">
      <selection activeCell="B45" sqref="B45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44</v>
      </c>
      <c r="B3" s="18"/>
      <c r="C3" s="2"/>
      <c r="D3" s="17" t="str">
        <f>A3</f>
        <v>01/09/2024 - 31/12/2025</v>
      </c>
      <c r="E3" s="18"/>
      <c r="G3" s="1"/>
      <c r="H3" s="1"/>
    </row>
    <row r="4" spans="1:8" s="3" customFormat="1">
      <c r="A4" s="49" t="s">
        <v>13</v>
      </c>
      <c r="B4" s="50">
        <f>SUM(B5:B10)</f>
        <v>741726483.43000007</v>
      </c>
      <c r="C4" s="2"/>
      <c r="D4" s="49" t="s">
        <v>13</v>
      </c>
      <c r="E4" s="50">
        <v>613294351.45999992</v>
      </c>
      <c r="G4" s="1"/>
      <c r="H4" s="1"/>
    </row>
    <row r="5" spans="1:8" s="3" customFormat="1" outlineLevel="1">
      <c r="A5" s="5" t="s">
        <v>1</v>
      </c>
      <c r="B5" s="10">
        <f>1460661.79+120</f>
        <v>1460781.79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534353293.48000002</v>
      </c>
      <c r="C6" s="2"/>
      <c r="D6" s="5"/>
      <c r="E6" s="10"/>
      <c r="F6" s="53">
        <f>(B6+B7)*0.03</f>
        <v>18828357.026999999</v>
      </c>
      <c r="G6" s="1"/>
      <c r="H6" s="1"/>
    </row>
    <row r="7" spans="1:8" s="3" customFormat="1" outlineLevel="1">
      <c r="A7" s="5" t="s">
        <v>3</v>
      </c>
      <c r="B7" s="10">
        <v>93258607.420000002</v>
      </c>
      <c r="C7" s="2"/>
      <c r="D7" s="5"/>
      <c r="E7" s="10"/>
      <c r="G7" s="84">
        <v>523027726.17000002</v>
      </c>
      <c r="H7" s="1"/>
    </row>
    <row r="8" spans="1:8" s="3" customFormat="1" outlineLevel="1">
      <c r="A8" s="5" t="s">
        <v>37</v>
      </c>
      <c r="B8" s="10">
        <v>34415786.060000002</v>
      </c>
      <c r="C8" s="2"/>
      <c r="D8" s="5"/>
      <c r="E8" s="10"/>
      <c r="G8" s="84">
        <v>9308479.2200000007</v>
      </c>
      <c r="H8" s="1"/>
    </row>
    <row r="9" spans="1:8" s="3" customFormat="1" outlineLevel="1">
      <c r="A9" s="5" t="s">
        <v>33</v>
      </c>
      <c r="B9" s="10">
        <v>78238014.680000007</v>
      </c>
      <c r="C9" s="2"/>
      <c r="D9" s="5"/>
      <c r="E9" s="11"/>
      <c r="G9" s="85">
        <f>SUM(G7:G8)</f>
        <v>532336205.39000005</v>
      </c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14</v>
      </c>
      <c r="B11" s="52">
        <f>SUM(B12:B16)</f>
        <v>624124592.23000002</v>
      </c>
      <c r="C11" s="2"/>
      <c r="D11" s="51" t="s">
        <v>14</v>
      </c>
      <c r="E11" s="52">
        <f>E4-E17</f>
        <v>468046742.01669806</v>
      </c>
      <c r="G11" s="85">
        <f>G9*0.03</f>
        <v>15970086.161700001</v>
      </c>
      <c r="H11" s="1"/>
    </row>
    <row r="12" spans="1:8" s="3" customFormat="1" outlineLevel="1">
      <c r="A12" s="5" t="s">
        <v>4</v>
      </c>
      <c r="B12" s="82">
        <f>505357762.04+39000</f>
        <v>505396762.04000002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82">
        <v>827180.36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5198426.1399999997</v>
      </c>
      <c r="C14" s="2"/>
      <c r="D14" s="5"/>
      <c r="E14" s="10"/>
      <c r="G14" s="1"/>
      <c r="H14" s="1"/>
    </row>
    <row r="15" spans="1:8" s="3" customFormat="1" outlineLevel="1">
      <c r="A15" s="5" t="s">
        <v>41</v>
      </c>
      <c r="B15" s="10">
        <v>34464209.009999998</v>
      </c>
      <c r="C15" s="2"/>
      <c r="D15" s="5"/>
      <c r="E15" s="10"/>
      <c r="G15" s="1"/>
      <c r="H15" s="1"/>
    </row>
    <row r="16" spans="1:8" s="3" customFormat="1" ht="13.8" outlineLevel="1" thickBot="1">
      <c r="A16" s="81" t="s">
        <v>42</v>
      </c>
      <c r="B16" s="10">
        <v>78238014.680000007</v>
      </c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117601891.20000005</v>
      </c>
      <c r="C17" s="2"/>
      <c r="D17" s="14"/>
      <c r="E17" s="15">
        <v>145247609.44330186</v>
      </c>
      <c r="F17" s="53">
        <f>E4*0.03</f>
        <v>18398830.543799996</v>
      </c>
      <c r="G17" s="85">
        <f>E17-F17</f>
        <v>126848778.89950186</v>
      </c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27645718.243301809</v>
      </c>
      <c r="F19" s="7"/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45</v>
      </c>
      <c r="B21" s="48">
        <f>B22+B23</f>
        <v>38537568.549999997</v>
      </c>
      <c r="C21" s="2"/>
      <c r="D21" s="36"/>
      <c r="E21" s="37"/>
      <c r="G21" s="1"/>
      <c r="H21" s="1"/>
    </row>
    <row r="22" spans="1:8" s="3" customFormat="1">
      <c r="A22" s="26" t="s">
        <v>10</v>
      </c>
      <c r="B22" s="16">
        <f>(23160470.61+2133585.74)+13243512.2-B23</f>
        <v>22567482.388299994</v>
      </c>
      <c r="C22" s="2"/>
      <c r="D22" s="38"/>
      <c r="E22" s="39">
        <f>B22</f>
        <v>22567482.388299994</v>
      </c>
      <c r="G22" s="1"/>
      <c r="H22" s="1"/>
    </row>
    <row r="23" spans="1:8" s="3" customFormat="1">
      <c r="A23" s="27" t="s">
        <v>15</v>
      </c>
      <c r="B23" s="10">
        <f>(523027726.17+9308479.22)*3%</f>
        <v>15970086.161700001</v>
      </c>
      <c r="C23" s="2"/>
      <c r="D23" s="38"/>
      <c r="E23" s="39">
        <f>B23</f>
        <v>15970086.161700001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34</v>
      </c>
      <c r="B25" s="48">
        <f>SUM(B26:B30)</f>
        <v>49034592.700000003</v>
      </c>
      <c r="C25" s="2"/>
      <c r="D25" s="40"/>
      <c r="E25" s="41"/>
      <c r="G25" s="1"/>
      <c r="H25" s="1"/>
    </row>
    <row r="26" spans="1:8" s="3" customFormat="1">
      <c r="A26" s="26" t="s">
        <v>16</v>
      </c>
      <c r="B26" s="76">
        <v>35089628.079999998</v>
      </c>
      <c r="C26" s="2"/>
      <c r="D26" s="38"/>
      <c r="E26" s="39">
        <f>-B26</f>
        <v>-35089628.079999998</v>
      </c>
      <c r="G26" s="1"/>
      <c r="H26" s="1"/>
    </row>
    <row r="27" spans="1:8" s="3" customFormat="1" ht="12.6" customHeight="1">
      <c r="A27" s="27" t="s">
        <v>17</v>
      </c>
      <c r="B27" s="77">
        <v>13771626.6</v>
      </c>
      <c r="C27" s="2"/>
      <c r="D27" s="38"/>
      <c r="E27" s="39">
        <f>B27</f>
        <v>13771626.6</v>
      </c>
      <c r="G27" s="1"/>
      <c r="H27" s="1"/>
    </row>
    <row r="28" spans="1:8" s="3" customFormat="1">
      <c r="A28" s="27" t="s">
        <v>18</v>
      </c>
      <c r="B28" s="77">
        <v>173338.02</v>
      </c>
      <c r="C28" s="2"/>
      <c r="D28" s="38"/>
      <c r="E28" s="46">
        <f>-B28</f>
        <v>-173338.02</v>
      </c>
      <c r="G28" s="1"/>
      <c r="H28" s="1"/>
    </row>
    <row r="29" spans="1:8" s="3" customFormat="1">
      <c r="A29" s="83" t="s">
        <v>38</v>
      </c>
      <c r="B29" s="79">
        <f>B9-B16</f>
        <v>0</v>
      </c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83" t="s">
        <v>40</v>
      </c>
      <c r="B30" s="79"/>
      <c r="C30" s="2"/>
      <c r="D30" s="40"/>
      <c r="E30" s="46">
        <f>-B30</f>
        <v>0</v>
      </c>
      <c r="F30" s="3" t="s">
        <v>43</v>
      </c>
      <c r="G30" s="1"/>
      <c r="H30" s="1"/>
    </row>
    <row r="31" spans="1:8" s="3" customFormat="1" ht="13.8" thickBot="1">
      <c r="A31" s="24" t="s">
        <v>11</v>
      </c>
      <c r="B31" s="25">
        <f>B32+B33</f>
        <v>679339</v>
      </c>
      <c r="C31" s="2"/>
      <c r="D31" s="40"/>
      <c r="E31" s="41"/>
      <c r="G31" s="1"/>
      <c r="H31" s="1"/>
    </row>
    <row r="32" spans="1:8" s="3" customFormat="1">
      <c r="A32" s="26" t="s">
        <v>20</v>
      </c>
      <c r="B32" s="76"/>
      <c r="C32" s="2"/>
      <c r="D32" s="38"/>
      <c r="E32" s="39">
        <f>-B32</f>
        <v>0</v>
      </c>
      <c r="G32" s="1"/>
      <c r="H32" s="1"/>
    </row>
    <row r="33" spans="1:8" s="3" customFormat="1">
      <c r="A33" s="27" t="s">
        <v>21</v>
      </c>
      <c r="B33" s="77">
        <v>679339</v>
      </c>
      <c r="C33" s="2"/>
      <c r="D33" s="38"/>
      <c r="E33" s="39">
        <f>-B33</f>
        <v>-679339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12</v>
      </c>
      <c r="B36" s="48">
        <f>SUM(B37:B40)*1.2</f>
        <v>29898779.568</v>
      </c>
      <c r="D36" s="38"/>
      <c r="E36" s="39">
        <f>--B36</f>
        <v>29898779.568</v>
      </c>
    </row>
    <row r="37" spans="1:8">
      <c r="A37" s="26" t="s">
        <v>22</v>
      </c>
      <c r="B37" s="30">
        <f>23593519.77-B38</f>
        <v>21944034.009999998</v>
      </c>
      <c r="D37" s="66" t="s">
        <v>30</v>
      </c>
      <c r="E37" s="39">
        <f>-4995925.43+B14</f>
        <v>202500.70999999996</v>
      </c>
    </row>
    <row r="38" spans="1:8">
      <c r="A38" s="27" t="s">
        <v>23</v>
      </c>
      <c r="B38" s="31">
        <v>1649485.76</v>
      </c>
      <c r="D38" s="42" t="s">
        <v>25</v>
      </c>
      <c r="E38" s="45">
        <f>SUM(E22:E37)</f>
        <v>46468170.328000002</v>
      </c>
      <c r="F38" s="7"/>
    </row>
    <row r="39" spans="1:8">
      <c r="A39" s="28" t="s">
        <v>28</v>
      </c>
      <c r="B39" s="32">
        <v>770464.87</v>
      </c>
      <c r="D39" s="42"/>
      <c r="E39" s="56"/>
      <c r="F39" s="7"/>
    </row>
    <row r="40" spans="1:8" ht="13.8" thickBot="1">
      <c r="A40" s="34" t="s">
        <v>24</v>
      </c>
      <c r="B40" s="78">
        <v>551665</v>
      </c>
      <c r="D40" s="43"/>
      <c r="E40" s="44"/>
    </row>
    <row r="41" spans="1:8" ht="13.8" thickBot="1"/>
    <row r="42" spans="1:8" ht="13.8" thickBot="1">
      <c r="A42" s="67" t="s">
        <v>31</v>
      </c>
      <c r="B42" s="68">
        <f>B17+E38</f>
        <v>164070061.52800006</v>
      </c>
      <c r="C42" s="21"/>
      <c r="D42" s="22"/>
      <c r="E42" s="69">
        <f>E17</f>
        <v>145247609.44330186</v>
      </c>
      <c r="F42" s="7"/>
    </row>
    <row r="43" spans="1:8" ht="18.600000000000001" thickBot="1">
      <c r="A43" s="70" t="s">
        <v>36</v>
      </c>
      <c r="B43" s="73">
        <f>B42-E42</f>
        <v>18822452.0846982</v>
      </c>
      <c r="C43" s="74">
        <f>B43/E4</f>
        <v>3.0690731196023141E-2</v>
      </c>
      <c r="D43" s="71"/>
      <c r="E43" s="72"/>
    </row>
    <row r="45" spans="1:8">
      <c r="B45" s="7">
        <f>B43-B23</f>
        <v>2852365.9229981992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6127-6DC0-4592-B3F5-0578EBBDA625}">
  <sheetPr>
    <tabColor rgb="FFFF0000"/>
  </sheetPr>
  <dimension ref="A1:H41"/>
  <sheetViews>
    <sheetView workbookViewId="0">
      <selection activeCell="B38" sqref="B38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01/09/2024 - 31/12/2025</v>
      </c>
      <c r="E2" s="18"/>
      <c r="G2" s="1"/>
      <c r="H2" s="1"/>
    </row>
    <row r="3" spans="1:8" s="3" customFormat="1">
      <c r="A3" s="49" t="s">
        <v>13</v>
      </c>
      <c r="B3" s="50">
        <f>SUM(B4:B8)</f>
        <v>49964824.890000001</v>
      </c>
      <c r="C3" s="2"/>
      <c r="D3" s="49" t="s">
        <v>13</v>
      </c>
      <c r="E3" s="50">
        <v>45647933.840000004</v>
      </c>
      <c r="F3" s="53"/>
      <c r="G3" s="1"/>
      <c r="H3" s="1"/>
    </row>
    <row r="4" spans="1:8" s="3" customFormat="1" outlineLevel="1">
      <c r="A4" s="5" t="s">
        <v>1</v>
      </c>
      <c r="B4" s="10">
        <v>39729.919999999998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42807520.039999999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 t="s">
        <v>37</v>
      </c>
      <c r="B7" s="10">
        <v>3664943.55</v>
      </c>
      <c r="C7" s="2"/>
      <c r="D7" s="5"/>
      <c r="E7" s="10"/>
      <c r="G7" s="1"/>
      <c r="H7" s="1"/>
    </row>
    <row r="8" spans="1:8" s="3" customFormat="1" outlineLevel="1">
      <c r="A8" s="5" t="s">
        <v>33</v>
      </c>
      <c r="B8" s="10">
        <v>3452631.38</v>
      </c>
      <c r="C8" s="2"/>
      <c r="D8" s="5"/>
      <c r="E8" s="11"/>
      <c r="G8" s="1"/>
      <c r="H8" s="1"/>
    </row>
    <row r="9" spans="1:8" s="3" customFormat="1" ht="12" customHeight="1">
      <c r="A9" s="5"/>
      <c r="B9" s="10"/>
      <c r="C9" s="2"/>
      <c r="D9" s="5"/>
      <c r="E9" s="10"/>
      <c r="G9" s="1"/>
      <c r="H9" s="1"/>
    </row>
    <row r="10" spans="1:8" s="3" customFormat="1">
      <c r="A10" s="51" t="s">
        <v>14</v>
      </c>
      <c r="B10" s="52">
        <f>SUM(B11:B15)</f>
        <v>56032256.840000004</v>
      </c>
      <c r="C10" s="2"/>
      <c r="D10" s="51" t="s">
        <v>14</v>
      </c>
      <c r="E10" s="52">
        <f>E3-E16</f>
        <v>42716683.760989249</v>
      </c>
      <c r="G10" s="1"/>
      <c r="H10" s="1"/>
    </row>
    <row r="11" spans="1:8" s="3" customFormat="1" outlineLevel="1">
      <c r="A11" s="5" t="s">
        <v>4</v>
      </c>
      <c r="B11" s="10">
        <v>47512068.100000001</v>
      </c>
      <c r="C11" s="2"/>
      <c r="D11" s="5"/>
      <c r="E11" s="10"/>
      <c r="G11" s="1"/>
      <c r="H11" s="1"/>
    </row>
    <row r="12" spans="1:8" s="3" customFormat="1" outlineLevel="1">
      <c r="A12" s="5" t="s">
        <v>5</v>
      </c>
      <c r="B12" s="10">
        <v>613044.78</v>
      </c>
      <c r="C12" s="2"/>
      <c r="D12" s="5"/>
      <c r="E12" s="10"/>
      <c r="G12" s="1"/>
      <c r="H12" s="1"/>
    </row>
    <row r="13" spans="1:8" s="3" customFormat="1" outlineLevel="1">
      <c r="A13" s="5" t="s">
        <v>6</v>
      </c>
      <c r="B13" s="10">
        <v>789569.03</v>
      </c>
      <c r="C13" s="2"/>
      <c r="D13" s="5"/>
      <c r="E13" s="10"/>
      <c r="G13" s="1"/>
      <c r="H13" s="1"/>
    </row>
    <row r="14" spans="1:8" s="3" customFormat="1" outlineLevel="1">
      <c r="A14" s="5" t="s">
        <v>41</v>
      </c>
      <c r="B14" s="10">
        <v>3664943.55</v>
      </c>
      <c r="C14" s="2"/>
      <c r="D14" s="5"/>
      <c r="E14" s="10"/>
      <c r="G14" s="1"/>
      <c r="H14" s="1"/>
    </row>
    <row r="15" spans="1:8" s="3" customFormat="1" ht="13.8" outlineLevel="1" thickBot="1">
      <c r="A15" s="81" t="s">
        <v>42</v>
      </c>
      <c r="B15" s="10">
        <v>3452631.38</v>
      </c>
      <c r="C15" s="2"/>
      <c r="D15" s="12"/>
      <c r="E15" s="13"/>
      <c r="G15" s="1"/>
      <c r="H15" s="1"/>
    </row>
    <row r="16" spans="1:8" s="3" customFormat="1" ht="13.8" thickBot="1">
      <c r="A16" s="14" t="s">
        <v>7</v>
      </c>
      <c r="B16" s="15">
        <f>B3-B10</f>
        <v>-6067431.950000003</v>
      </c>
      <c r="C16" s="2"/>
      <c r="D16" s="14"/>
      <c r="E16" s="15">
        <v>2931250.079010753</v>
      </c>
      <c r="G16" s="1"/>
      <c r="H16" s="1"/>
    </row>
    <row r="17" spans="1:8" s="3" customFormat="1" ht="13.8" thickBot="1">
      <c r="C17" s="2"/>
      <c r="D17" s="4"/>
      <c r="E17" s="2"/>
      <c r="G17" s="1"/>
      <c r="H17" s="1"/>
    </row>
    <row r="18" spans="1:8" s="3" customFormat="1" ht="13.8" thickBot="1">
      <c r="A18" s="19" t="s">
        <v>9</v>
      </c>
      <c r="B18" s="20"/>
      <c r="C18" s="21"/>
      <c r="D18" s="22"/>
      <c r="E18" s="23">
        <f>E16-B16</f>
        <v>8998682.0290107559</v>
      </c>
      <c r="G18" s="1"/>
      <c r="H18" s="1"/>
    </row>
    <row r="19" spans="1:8" s="3" customFormat="1" ht="13.8" thickBot="1">
      <c r="C19" s="2"/>
      <c r="D19" s="4"/>
      <c r="E19" s="2"/>
      <c r="G19" s="1"/>
      <c r="H19" s="1"/>
    </row>
    <row r="20" spans="1:8" s="3" customFormat="1" ht="13.8" thickBot="1">
      <c r="A20" s="47" t="s">
        <v>45</v>
      </c>
      <c r="B20" s="48">
        <f>B21-B22</f>
        <v>2840413.8</v>
      </c>
      <c r="C20" s="2"/>
      <c r="D20" s="36"/>
      <c r="E20" s="37"/>
      <c r="G20" s="1"/>
      <c r="H20" s="1"/>
    </row>
    <row r="21" spans="1:8" s="3" customFormat="1">
      <c r="A21" s="26" t="s">
        <v>10</v>
      </c>
      <c r="B21" s="16">
        <v>2840413.8</v>
      </c>
      <c r="C21" s="2"/>
      <c r="D21" s="38"/>
      <c r="E21" s="39">
        <f>B21</f>
        <v>2840413.8</v>
      </c>
      <c r="G21" s="1"/>
      <c r="H21" s="1"/>
    </row>
    <row r="22" spans="1:8" s="3" customFormat="1">
      <c r="A22" s="27" t="s">
        <v>27</v>
      </c>
      <c r="B22" s="10"/>
      <c r="C22" s="2"/>
      <c r="D22" s="38"/>
      <c r="E22" s="39">
        <f>-B22</f>
        <v>0</v>
      </c>
      <c r="G22" s="1"/>
      <c r="H22" s="1"/>
    </row>
    <row r="23" spans="1:8" s="3" customFormat="1" ht="13.8" thickBot="1">
      <c r="A23" s="28"/>
      <c r="B23" s="29"/>
      <c r="C23" s="2"/>
      <c r="D23" s="40"/>
      <c r="E23" s="41"/>
      <c r="G23" s="1"/>
      <c r="H23" s="1"/>
    </row>
    <row r="24" spans="1:8" s="3" customFormat="1" ht="13.8" thickBot="1">
      <c r="A24" s="47" t="s">
        <v>34</v>
      </c>
      <c r="B24" s="48">
        <f>SUM(B25:B29)</f>
        <v>10788025.663999999</v>
      </c>
      <c r="C24" s="2"/>
      <c r="D24" s="40"/>
      <c r="E24" s="41"/>
      <c r="G24" s="1"/>
      <c r="H24" s="1"/>
    </row>
    <row r="25" spans="1:8" s="3" customFormat="1">
      <c r="A25" s="26" t="s">
        <v>16</v>
      </c>
      <c r="B25" s="30">
        <v>8720328.5199999996</v>
      </c>
      <c r="C25" s="2"/>
      <c r="D25" s="38"/>
      <c r="E25" s="39">
        <f>-B25</f>
        <v>-8720328.5199999996</v>
      </c>
      <c r="G25" s="1"/>
      <c r="H25" s="1"/>
    </row>
    <row r="26" spans="1:8" s="3" customFormat="1" ht="12.6" customHeight="1">
      <c r="A26" s="27" t="s">
        <v>17</v>
      </c>
      <c r="B26" s="31">
        <v>2412305.59</v>
      </c>
      <c r="C26" s="2"/>
      <c r="D26" s="38"/>
      <c r="E26" s="39">
        <f>B26</f>
        <v>2412305.59</v>
      </c>
      <c r="G26" s="1"/>
      <c r="H26" s="1"/>
    </row>
    <row r="27" spans="1:8" s="3" customFormat="1">
      <c r="A27" s="27" t="s">
        <v>18</v>
      </c>
      <c r="B27" s="31">
        <v>-344608.446</v>
      </c>
      <c r="C27" s="2"/>
      <c r="D27" s="38"/>
      <c r="E27" s="46">
        <f>-B27</f>
        <v>344608.446</v>
      </c>
      <c r="G27" s="1"/>
      <c r="H27" s="1"/>
    </row>
    <row r="28" spans="1:8" s="3" customFormat="1">
      <c r="A28" s="28" t="s">
        <v>38</v>
      </c>
      <c r="B28" s="32"/>
      <c r="C28" s="2"/>
      <c r="D28" s="40"/>
      <c r="E28" s="46">
        <f>-B28</f>
        <v>0</v>
      </c>
      <c r="G28" s="1"/>
      <c r="H28" s="1"/>
    </row>
    <row r="29" spans="1:8" s="3" customFormat="1" ht="13.8" thickBot="1">
      <c r="A29" s="28" t="s">
        <v>40</v>
      </c>
      <c r="B29" s="32"/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24" t="s">
        <v>11</v>
      </c>
      <c r="B30" s="80">
        <f>B31+B32+B33</f>
        <v>301929</v>
      </c>
      <c r="C30" s="2"/>
      <c r="D30" s="40"/>
      <c r="E30" s="41"/>
      <c r="G30" s="1"/>
      <c r="H30" s="1"/>
    </row>
    <row r="31" spans="1:8" s="3" customFormat="1">
      <c r="A31" s="26" t="s">
        <v>20</v>
      </c>
      <c r="B31" s="30"/>
      <c r="C31" s="2"/>
      <c r="D31" s="38"/>
      <c r="E31" s="39">
        <f>-B31</f>
        <v>0</v>
      </c>
      <c r="G31" s="1"/>
      <c r="H31" s="1"/>
    </row>
    <row r="32" spans="1:8" s="3" customFormat="1">
      <c r="A32" s="27" t="s">
        <v>21</v>
      </c>
      <c r="B32" s="31">
        <v>301929</v>
      </c>
      <c r="C32" s="2"/>
      <c r="D32" s="38"/>
      <c r="E32" s="39">
        <f>-B32</f>
        <v>-301929</v>
      </c>
      <c r="G32" s="1"/>
      <c r="H32" s="1"/>
    </row>
    <row r="33" spans="1:8" s="3" customFormat="1">
      <c r="A33" s="27"/>
      <c r="B33" s="31"/>
      <c r="C33" s="2"/>
      <c r="D33" s="40"/>
      <c r="E33" s="39">
        <f>-B33</f>
        <v>0</v>
      </c>
      <c r="G33" s="1"/>
      <c r="H33" s="1"/>
    </row>
    <row r="34" spans="1:8" ht="13.8" thickBot="1">
      <c r="A34" s="33"/>
      <c r="B34" s="32"/>
      <c r="D34" s="40"/>
      <c r="E34" s="41"/>
    </row>
    <row r="35" spans="1:8" ht="13.8" thickBot="1">
      <c r="A35" s="47" t="s">
        <v>12</v>
      </c>
      <c r="B35" s="48">
        <f>SUM(B36:B38)*1.2</f>
        <v>12516093.288000001</v>
      </c>
      <c r="D35" s="38"/>
      <c r="E35" s="39">
        <f>--B35</f>
        <v>12516093.288000001</v>
      </c>
    </row>
    <row r="36" spans="1:8">
      <c r="A36" s="54" t="s">
        <v>39</v>
      </c>
      <c r="B36" s="55">
        <v>10139937.57</v>
      </c>
      <c r="D36" s="66" t="s">
        <v>30</v>
      </c>
      <c r="E36" s="39">
        <f>-935029.44+B13</f>
        <v>-145460.40999999992</v>
      </c>
    </row>
    <row r="37" spans="1:8">
      <c r="A37" s="27" t="s">
        <v>23</v>
      </c>
      <c r="B37" s="31"/>
      <c r="D37" s="42" t="s">
        <v>25</v>
      </c>
      <c r="E37" s="45">
        <f>SUM(E21:E36)</f>
        <v>8945703.1940000001</v>
      </c>
      <c r="F37" s="7"/>
    </row>
    <row r="38" spans="1:8" ht="13.8" thickBot="1">
      <c r="A38" s="34" t="s">
        <v>28</v>
      </c>
      <c r="B38" s="35">
        <v>290140.17</v>
      </c>
      <c r="D38" s="43"/>
      <c r="E38" s="44"/>
    </row>
    <row r="39" spans="1:8" ht="13.8" thickBot="1"/>
    <row r="40" spans="1:8" ht="13.8" thickBot="1">
      <c r="A40" s="67" t="s">
        <v>31</v>
      </c>
      <c r="B40" s="68">
        <f>B16+E37</f>
        <v>2878271.2439999972</v>
      </c>
      <c r="C40" s="21"/>
      <c r="D40" s="22"/>
      <c r="E40" s="69">
        <f>E16</f>
        <v>2931250.079010753</v>
      </c>
      <c r="F40" s="7"/>
    </row>
    <row r="41" spans="1:8" ht="18.600000000000001" thickBot="1">
      <c r="A41" s="70" t="s">
        <v>32</v>
      </c>
      <c r="B41" s="73">
        <f>B40-E40</f>
        <v>-52978.835010755807</v>
      </c>
      <c r="C41" s="74">
        <f>B41/E3</f>
        <v>-1.1605965605464479E-3</v>
      </c>
      <c r="D41" s="71"/>
      <c r="E41" s="7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Ретал ГПУ</vt:lpstr>
      <vt:lpstr>Нежин-4</vt:lpstr>
      <vt:lpstr>МХП Катеринополь</vt:lpstr>
      <vt:lpstr>Глобино 2</vt:lpstr>
      <vt:lpstr>Глобино 2 (2)</vt:lpstr>
      <vt:lpstr>Астарта.Тищенки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2026-02-04T13:26:43Z</dcterms:modified>
</cp:coreProperties>
</file>
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Декабрь_25\Данные\Строительство\"/>
    </mc:Choice>
  </mc:AlternateContent>
  <xr:revisionPtr revIDLastSave="0" documentId="13_ncr:1_{2F0814AA-12D8-4466-B2EE-BBCEF2B3976C}" xr6:coauthVersionLast="45" xr6:coauthVersionMax="45" xr10:uidLastSave="{00000000-0000-0000-0000-000000000000}"/>
  <bookViews>
    <workbookView xWindow="-108" yWindow="-108" windowWidth="23256" windowHeight="12600" activeTab="4" xr2:uid="{00000000-000D-0000-FFFF-FFFF00000000}"/>
  </bookViews>
  <sheets>
    <sheet name="Тищенки" sheetId="1" r:id="rId1"/>
    <sheet name="МХП Катеринополь" sheetId="3" r:id="rId2"/>
    <sheet name="КМД-2" sheetId="2" r:id="rId3"/>
    <sheet name="Нежин-4" sheetId="4" r:id="rId4"/>
    <sheet name="Глобино-2" sheetId="5" r:id="rId5"/>
  </sheets>
  <definedNames>
    <definedName name="_xlnm._FilterDatabase" localSheetId="4" hidden="1">'Глобино-2'!$B$1:$D$392</definedName>
    <definedName name="_xlnm._FilterDatabase" localSheetId="2" hidden="1">'КМД-2'!$B$1:$D$227</definedName>
    <definedName name="_xlnm._FilterDatabase" localSheetId="3" hidden="1">'Нежин-4'!$B$1:$D$20</definedName>
    <definedName name="_xlnm._FilterDatabase" localSheetId="0" hidden="1">Тищенки!$B$1:$D$247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95" i="5" l="1"/>
  <c r="J394" i="5"/>
  <c r="J23" i="4" l="1"/>
  <c r="J22" i="4"/>
  <c r="J231" i="2"/>
  <c r="J230" i="2"/>
  <c r="C4" i="3"/>
  <c r="J250" i="1"/>
  <c r="J249" i="1"/>
</calcChain>
</file>

<file path=xl/sharedStrings.xml><?xml version="1.0" encoding="utf-8"?>
<sst xmlns="http://schemas.openxmlformats.org/spreadsheetml/2006/main" count="7035" uniqueCount="882">
  <si>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</si>
  <si>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</si>
  <si>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</si>
  <si>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</si>
  <si>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</si>
  <si>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</si>
  <si>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</si>
  <si>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</si>
  <si>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Д</t>
  </si>
  <si>
    <t>04.12.2025</t>
  </si>
  <si>
    <t>Авансовий звіт ІБ00-000367 від 04.12.2025 16:17:55
Оприходованы ТМЦ</t>
  </si>
  <si>
    <t>Обл. НДС
Щітка дротяна, чашоподібна 5мм (М14Ч2мм), стальная
Авансовий звіт ІБ00-000367 від 04.12.2025 16:17:55
Астарта_Тищенки</t>
  </si>
  <si>
    <t>Огоновський Дмитро Анатолійович</t>
  </si>
  <si>
    <t>221</t>
  </si>
  <si>
    <t>3721</t>
  </si>
  <si>
    <t xml:space="preserve"> </t>
  </si>
  <si>
    <t>Обл. НДС
Щітка дротяна, чашоподібна D7 5мм (М14Ч2мм), стальная
Авансовий звіт ІБ00-000367 від 04.12.2025 16:17:55
Астарта_Тищенки</t>
  </si>
  <si>
    <t>Обл. НДС
Шпатель 100 мм 
Авансовий звіт ІБ00-000367 від 04.12.2025 16:17:55
Астарта_Тищенки</t>
  </si>
  <si>
    <t>Обл. НДС
Щітка дротяна, SIGMA чашоподібна D75мм (М14х2мм), сталева
Авансовий звіт ІБ00-000367 від 04.12.2025 16:17:55
Астарта_Тищенки</t>
  </si>
  <si>
    <t>Обл. НДС
Саморіз для гіпсокартону по дереву, фосфатований 
Авансовий звіт ІБ00-000367 від 04.12.2025 16:17:55
Астарта_Тищенки</t>
  </si>
  <si>
    <t>Обл. НДС
Диск відрізний по металу/нержав. сталі NINJA ТМ VIROK : Ø= 125 х 22.23 мм, t= 1,6 мм
Авансовий звіт ІБ00-000367 від 04.12.2025 16:17:55
Астарта_Тищенки</t>
  </si>
  <si>
    <t>Обл. НДС
Диск відрізний по металу/нержав. сталі NINJA ТМ VIROK : Ø= 230 х 22.23 мм, t= 2,0 мм
Авансовий звіт ІБ00-000367 від 04.12.2025 16:17:55
Астарта_Тищенки</t>
  </si>
  <si>
    <t>05.12.2025</t>
  </si>
  <si>
    <t>Передача малоцінних активів в експлуатацію ІБ00-000610 від 05.12.2025 00:00:00
Списание стоимости малоценных активов</t>
  </si>
  <si>
    <t>Обл. НДС
Виробничий (Астарта_Тищенки)
Астарта_Тищенки
&lt;...&gt;</t>
  </si>
  <si>
    <t>Обл. НДС
Щітка ручна, пластикова ручка "Гребешок" WERK
Надходження товарів і послуг ІБ00-005004 від 05.09.2025 11:00:00
Астарта_Тищенки</t>
  </si>
  <si>
    <t>231</t>
  </si>
  <si>
    <t>Обл. НДС
Щітка торцева з плет.провол.  75 мм, М14
Авансовий звіт ІБ00-000357 від 18.11.2025 15:56:27
Астарта_Тищенки</t>
  </si>
  <si>
    <t>Обл. НДС
Щітка торцева з плет.провол. 125 мм, М14
Надходження товарів і послуг ІБ00-005005 від 05.09.2025 11:00:00
Астарта_Тищенки</t>
  </si>
  <si>
    <t>Обл. НДС
Щітка вулична
Надходження товарів і послуг ІБ00-006992 від 19.11.2025 11:00:00
Астарта_Тищенки</t>
  </si>
  <si>
    <t>Обл. НДС
Щітка по металу
Надходження товарів і послуг ІБ00-006992 від 19.11.2025 11:00:00
Астарта_Тищенки</t>
  </si>
  <si>
    <t>10.12.2025</t>
  </si>
  <si>
    <t>Надходження товарів і послуг ІБ00-007556 від 10.12.2025 11:00:00
Оприходованы ТМЦ</t>
  </si>
  <si>
    <t>Обл. НДС
Касета-розетка 3гн, з/к з кришками Омега ІР44  16А
Надходження товарів і послуг ІБ00-007556 від 10.12.2025 11:00:00
Астарта_Тищенки</t>
  </si>
  <si>
    <t>УКРСЕРВІС КОМПАНІЯ ТОВ
№23/09/25_Рахунки_Астарта. Тищенки
Рахунок на оплату постачальника ІБ00-006210 від 05.12.2025 17:13:23</t>
  </si>
  <si>
    <t>631</t>
  </si>
  <si>
    <t>Обл. НДС
Вилка пряма з з/к,ІР44
Надходження товарів і послуг ІБ00-007556 від 10.12.2025 11:00:00
Астарта_Тищенки</t>
  </si>
  <si>
    <t>Обл. НДС
Клей монтажний 48А, 300 мл
Надходження товарів і послуг ІБ00-007556 від 10.12.2025 11:00:00
Астарта_Тищенки</t>
  </si>
  <si>
    <t>Обл. НДС
Рукавиці скло/камінь з гумовим надолон, пар
Надходження товарів і послуг ІБ00-007556 від 10.12.2025 11:00:00
Астарта_Тищенки</t>
  </si>
  <si>
    <t>Обл. НДС
Рулетка 10 м*25 мм
Надходження товарів і послуг ІБ00-007556 від 10.12.2025 11:00:00
Астарта_Тищенки</t>
  </si>
  <si>
    <t>Обл. НДС
Жилет сигнальний 
Надходження товарів і послуг ІБ00-007556 від 10.12.2025 11:00:00
Астарта_Тищенки</t>
  </si>
  <si>
    <t>Обл. НДС
Бита Рh2 51мм 
Надходження товарів і послуг ІБ00-007556 від 10.12.2025 11:00:00
Астарта_Тищенки</t>
  </si>
  <si>
    <t>Обл. НДС
Молоток  1000 гр.
Надходження товарів і послуг ІБ00-007556 від 10.12.2025 11:00:00
Астарта_Тищенки</t>
  </si>
  <si>
    <t>Обл. НДС
Каска будівельна помаранчева (Україна)
Надходження товарів і послуг ІБ00-007556 від 10.12.2025 11:00:00
Астарта_Тищенки</t>
  </si>
  <si>
    <t>Обл. НДС
Ножівка по дереву
Надходження товарів і послуг ІБ00-007556 від 10.12.2025 11:00:00
Астарта_Тищенки</t>
  </si>
  <si>
    <t>Обл. НДС
Головка торцева 1/2"  24мм
Надходження товарів і послуг ІБ00-007556 від 10.12.2025 11:00:00
Астарта_Тищенки</t>
  </si>
  <si>
    <t>Обл. НДС
Головка торцева 1/2"  32мм,6-гранна,хром
Надходження товарів і послуг ІБ00-007556 від 10.12.2025 11:00:00
Астарта_Тищенки</t>
  </si>
  <si>
    <t>Обл. НДС
Ключ трубний важільний 65 мм L40 №2 газовий
Надходження товарів і послуг ІБ00-007556 від 10.12.2025 11:00:00
Астарта_Тищенки</t>
  </si>
  <si>
    <t>Обл. НДС
Терка поліуретанова 140*280мм
Надходження товарів і послуг ІБ00-007556 від 10.12.2025 11:00:00
Астарта_Тищенки</t>
  </si>
  <si>
    <t>Обл. НДС
Терка поліуретанова 480*240мм
Надходження товарів і послуг ІБ00-007556 від 10.12.2025 11:00:00
Астарта_Тищенки</t>
  </si>
  <si>
    <t>Обл. НДС
Дюбель з уд.ш 6*60
Надходження товарів і послуг ІБ00-007556 від 10.12.2025 11:00:00
Астарта_Тищенки</t>
  </si>
  <si>
    <t>Надходження товарів і послуг ІБ00-007557 від 10.12.2025 11:00:00
Оприходованы ТМЦ</t>
  </si>
  <si>
    <t>Обл. НДС
Провід ПВС 2*2,5 бухта 100м
Надходження товарів і послуг ІБ00-007557 від 10.12.2025 11:00:00
Астарта_Тищенки</t>
  </si>
  <si>
    <t>УКРСЕРВІС КОМПАНІЯ ТОВ
№23/09/25_Рахунки_Астарта. Тищенки
Рахунок на оплату постачальника ІБ00-006211 від 05.12.2025 17:13:24</t>
  </si>
  <si>
    <t>Обл. НДС
Круг відрізний 230*2,5*22 увігнутий
Надходження товарів і послуг ІБ00-007557 від 10.12.2025 11:00:00
Астарта_Тищенки</t>
  </si>
  <si>
    <t>Обл. НДС
Круг відрізний  125*1,6*22
Надходження товарів і послуг ІБ00-007557 від 10.12.2025 11:00:00
Астарта_Тищенки</t>
  </si>
  <si>
    <t>Обл. НДС
Зубило + 20*200/250 мм бетон цегла
Надходження товарів і послуг ІБ00-007557 від 10.12.2025 11:00:00
Астарта_Тищенки</t>
  </si>
  <si>
    <t>Обл. НДС
Пика + 200/250 мм бетон цегла
Надходження товарів і послуг ІБ00-007557 від 10.12.2025 11:00:00
Астарта_Тищенки</t>
  </si>
  <si>
    <t>Обл. НДС
Бур + 6*100/160 plus1 бетон,цегла
Надходження товарів і послуг ІБ00-007557 від 10.12.2025 11:00:00
Астарта_Тищенки</t>
  </si>
  <si>
    <t>Надходження товарів і послуг ІБ00-007558 від 10.12.2025 11:00:00
Оприходованы ТМЦ</t>
  </si>
  <si>
    <t>Обл. НДС
Електрод  АНО-21 ф 4 (5кг),  пач
Надходження товарів і послуг ІБ00-007558 від 10.12.2025 11:00:00
Астарта_Тищенки</t>
  </si>
  <si>
    <t>УКРСЕРВІС КОМПАНІЯ ТОВ
№23/09/25_Рахунки_Астарта. Тищенки
Рахунок на оплату постачальника ІБ00-006212 від 05.12.2025 17:13:25</t>
  </si>
  <si>
    <t>Обл. НДС
Електрод  АНО-36 ф3  2,5кг (пач)
Надходження товарів і послуг ІБ00-007558 від 10.12.2025 11:00:00
Астарта_Тищенки</t>
  </si>
  <si>
    <t>20.12.2025</t>
  </si>
  <si>
    <t>Передача малоцінних активів в експлуатацію ІБ00-000652 від 20.12.2025 18:18:52
Списание стоимости малоценных активов</t>
  </si>
  <si>
    <t>Обл. НДС
Рулетка 10 м*25 мм
Надходження товарів і послуг ІБ00-006583 від 28.10.2025 11:00:00
Астарта_Тищенки</t>
  </si>
  <si>
    <t>Передача малоцінних активів в експлуатацію ІБ00-000653 від 20.12.2025 18:18:57
Списание стоимости малоценных активов</t>
  </si>
  <si>
    <t>Обл. НДС
Бита Рh2 50мм 
Надходження товарів і послуг ІБ00-006043 від 10.10.2025 11:00:00
Астарта_Тищенки</t>
  </si>
  <si>
    <t>Обл. НДС
Бита Рh2 51мм 
Надходження товарів і послуг ІБ00-006588 від 04.11.2025 11:00:00
Астарта_Тищенки</t>
  </si>
  <si>
    <t>Обл. НДС
Бита торцева магн. Sw8
Надходження товарів і послуг ІБ00-006588 від 04.11.2025 11:00:00
Астарта_Тищенки</t>
  </si>
  <si>
    <t>Обл. НДС
Бокорізи 180 мм 
Надходження товарів і послуг ІБ00-004292 від 01.08.2025 11:00:00
Астарта_Тищенки</t>
  </si>
  <si>
    <t>Обл. НДС
Бур +10*200/260 плюс-1 бетон цегла
Надходження товарів і послуг ІБ00-006043 від 10.10.2025 11:00:00
Астарта_Тищенки</t>
  </si>
  <si>
    <t>Обл. НДС
Бур +12*200/260 5Х
Надходження товарів і послуг ІБ00-006043 від 10.10.2025 11:00:00
Астарта_Тищенки</t>
  </si>
  <si>
    <t>Обл. НДС
Бур +8*200/260 плюс-1 бетон цегла
Надходження товарів і послуг ІБ00-006043 від 10.10.2025 11:00:00
Астарта_Тищенки</t>
  </si>
  <si>
    <t>Обл. НДС
Бур SDS Plus  6*160 по бетону
Надходження товарів і послуг ІБ00-004997 від 02.09.2025 11:00:00
Астарта_Тищенки</t>
  </si>
  <si>
    <t>Обл. НДС
Бур SDS Plus 12*210 мм
Надходження товарів і послуг ІБ00-004997 від 02.09.2025 11:00:00
Астарта_Тищенки</t>
  </si>
  <si>
    <t>Обл. НДС
Бур по бетону22*460 SDS Plus
Надходження товарів і послуг ІБ00-006853 від 01.11.2025 11:00:00
Астарта_Тищенки</t>
  </si>
  <si>
    <t>Обл. НДС
Валик
Надходження товарів і послуг ІБ00-005859 від 01.10.2025 11:00:00
Астарта_Тищенки</t>
  </si>
  <si>
    <t>Обл. НДС
Валик міні 10 см
Надходження товарів і послуг ІБ00-006992 від 19.11.2025 11:00:00
Астарта_Тищенки</t>
  </si>
  <si>
    <t>Обл. НДС
Валік 18 см
Надходження товарів і послуг ІБ00-005485 від 01.09.2025 11:00:00
Астарта_Тищенки</t>
  </si>
  <si>
    <t>Обл. НДС
Валік 18 см
Надходження товарів і послуг ІБ00-006992 від 19.11.2025 11:00:00
Астарта_Тищенки</t>
  </si>
  <si>
    <t>Обл. НДС
Ванночка для валика
Надходження товарів і послуг ІБ00-005859 від 01.10.2025 11:00:00
Астарта_Тищенки</t>
  </si>
  <si>
    <t>Обл. НДС
Вилка пряма 16 А
Надходження товарів і послуг ІБ00-005855 від 01.10.2025 11:00:00
Астарта_Тищенки</t>
  </si>
  <si>
    <t>Обл. НДС
Вилка пряма з з/к,ІР44
Надходження товарів і послуг ІБ00-006234 від 20.10.2025 11:00:00
Астарта_Тищенки</t>
  </si>
  <si>
    <t>Обл. НДС
Витратний матеріал
Авансовий звіт ІБ00-000278 від 02.10.2025 18:25:46
Астарта_Тищенки</t>
  </si>
  <si>
    <t>Обл. НДС
Відбивач плівковий А4 жовтий
Надходження товарів і послуг ІБ00-004626 від 01.08.2025 11:00:00
Астарта_Тищенки</t>
  </si>
  <si>
    <t>Обл. НДС
Відро будівельне 12 л
Надходження товарів і послуг ІБ00-006043 від 10.10.2025 11:00:00
Астарта_Тищенки</t>
  </si>
  <si>
    <t>Обл. НДС
Відро будівельне 12 л
Надходження товарів і послуг ІБ00-006992 від 19.11.2025 11:00:00
Астарта_Тищенки</t>
  </si>
  <si>
    <t>Обл. НДС
Відро будівельне 15 л
Надходження товарів і послуг ІБ00-004287 від 01.08.2025 11:00:00
Астарта_Тищенки</t>
  </si>
  <si>
    <t>Обл. НДС
Держак д/лопати
Надходження товарів і послуг ІБ00-006992 від 19.11.2025 11:00:00
Астарта_Тищенки</t>
  </si>
  <si>
    <t>Обл. НДС
Держак для щіток
Надходження товарів і послуг ІБ00-006992 від 19.11.2025 11:00:00
Астарта_Тищенки</t>
  </si>
  <si>
    <t>Обл. НДС
Диск пильний 190*30*z=48 Eco for Wood (дерево,ДСП,МДФ,ламінат)
Надходження товарів і послуг ІБ00-006043 від 10.10.2025 11:00:00
Астарта_Тищенки</t>
  </si>
  <si>
    <t>22.12.2025</t>
  </si>
  <si>
    <t>Передача малоцінних активів в експлуатацію ІБ00-000668 від 22.12.2025 17:34:36
Списание стоимости малоценных активов</t>
  </si>
  <si>
    <t>Обл. НДС
Лопатка шиномонт 750мм монтіровка
Надходження товарів і послуг ІБ00-006992 від 19.11.2025 11:00:00
Астарта_Тищенки</t>
  </si>
  <si>
    <t>Обл. НДС
Макловиця 50*150 мм
Надходження товарів і послуг ІБ00-006043 від 10.10.2025 11:00:00
Астарта_Тищенки</t>
  </si>
  <si>
    <t>Обл. НДС
Макловиця 50*150 мм
Надходження товарів і послуг ІБ00-006992 від 19.11.2025 11:00:00
Астарта_Тищенки</t>
  </si>
  <si>
    <t>Обл. НДС
Мішок п/п 
Надходження товарів і послуг ІБ00-005004 від 05.09.2025 11:00:00
Астарта_Тищенки</t>
  </si>
  <si>
    <t>Обл. НДС
Ніж висувний 18 мм
Надходження товарів і послуг ІБ00-006992 від 19.11.2025 11:00:00
Астарта_Тищенки</t>
  </si>
  <si>
    <t>Передача малоцінних активів в експлуатацію ІБ00-000669 від 22.12.2025 17:34:39
Списание стоимости малоценных активов</t>
  </si>
  <si>
    <t>Обл. НДС
Круг відрізний по металу 230*2,5*22,23 
Надходження товарів і послуг ІБ00-006236 від 20.10.2025 11:00:00
Астарта_Тищенки</t>
  </si>
  <si>
    <t>Обл. НДС
Електроди "Моноліт РЦ" 3 мм 2,5кг
Надходження товарів і послуг ІБ00-006235 від 20.10.2025 11:00:00
Астарта_Тищенки</t>
  </si>
  <si>
    <t>Передача малоцінних активів в експлуатацію ІБ00-000670 від 22.12.2025 17:34:42
Списание стоимости малоценных активов</t>
  </si>
  <si>
    <t>Обл. НДС
Касета-розетка 3гн, з/к з кришками Омега ІР44  16А
Надходження товарів і послуг ІБ00-005855 від 01.10.2025 11:00:00
Астарта_Тищенки</t>
  </si>
  <si>
    <t>Обл. НДС
Касета-розетка 3гн, з/к з кришками Омега ІР44  16А
Надходження товарів і послуг ІБ00-006234 від 20.10.2025 11:00:00
Астарта_Тищенки</t>
  </si>
  <si>
    <t>Обл. НДС
Ізострічка 19 мм*20 м*0,13 мм, чорна
Надходження товарів і послуг ІБ00-005859 від 01.10.2025 11:00:00
Астарта_Тищенки</t>
  </si>
  <si>
    <t>Передача малоцінних активів в експлуатацію ІБ00-000671 від 22.12.2025 17:34:46
Списание стоимости малоценных активов</t>
  </si>
  <si>
    <t>Обл. НДС
Шуруп г/к по дереву 3,5*55 мм
Надходження товарів і послуг ІБ00-006043 від 10.10.2025 11:00:00
Астарта_Тищенки</t>
  </si>
  <si>
    <t>Обл. НДС
Шуруп г/к по дереву 3,5*55 мм
Надходження товарів і послуг ІБ00-006992 від 19.11.2025 11:00:00
Астарта_Тищенки</t>
  </si>
  <si>
    <t>Обл. НДС
Шуруп г/к по дереву 4,2*76 мм
Надходження товарів і послуг ІБ00-006992 від 19.11.2025 11:00:00
Астарта_Тищенки</t>
  </si>
  <si>
    <t>Обл. НДС
Шнур-жилка каменяра 0,8*100м
Надходження товарів і послуг ІБ00-006992 від 19.11.2025 11:00:00
Астарта_Тищенки</t>
  </si>
  <si>
    <t>Обл. НДС
Хомут затяж. нерж. 12-20
Надходження товарів і послуг ІБ00-005550 від 24.09.2025 11:00:00
Астарта_Тищенки</t>
  </si>
  <si>
    <t>Обл. НДС
ТАЗ будівельний прямокутний 40  л
Надходження товарів і послуг ІБ00-006992 від 19.11.2025 11:00:00
Астарта_Тищенки</t>
  </si>
  <si>
    <t>Обл. НДС
Тестер напруги UNIT-T UT115C
Надходження товарів і послуг ІБ00-004292 від 01.08.2025 11:00:00
Астарта_Тищенки</t>
  </si>
  <si>
    <t>Обл. НДС
Тримач електродів DE-2300  300А
Надходження товарів і послуг ІБ00-005859 від 01.10.2025 11:00:00
Астарта_Тищенки</t>
  </si>
  <si>
    <t>Обл. НДС
Стрейч-плівка 20 мікрон 300м чорна брутто 2,3 кг
Надходження товарів і послуг ІБ00-006992 від 19.11.2025 11:00:00
Астарта_Тищенки</t>
  </si>
  <si>
    <t>Обл. НДС
Стрічка сигнальна 80 мм*200 м
Надходження товарів і послуг ІБ00-004289 від 01.08.2025 11:00:00
Астарта_Тищенки</t>
  </si>
  <si>
    <t>Обл. НДС
Стрічка сигнальна червоно-біла 70х200 м
Надходження товарів і послуг ІБ00-006992 від 19.11.2025 11:00:00
Астарта_Тищенки</t>
  </si>
  <si>
    <t>Обл. НДС
Саморіз для гіпсокартону по дереву, фосфатований 
Авансовий звіт ІБ00-000357 від 18.11.2025 15:56:27
Астарта_Тищенки</t>
  </si>
  <si>
    <t>Обл. НДС
Сверло 16*152 мм по дереву плоскофрезерне
Надходження товарів і послуг ІБ00-006992 від 19.11.2025 11:00:00
Астарта_Тищенки</t>
  </si>
  <si>
    <t>Обл. НДС
Сверло 16*152 мм по дереву плоскофрезерне
Надходження товарів і послуг ІБ00-007231 від 28.11.2025 11:00:00
Астарта_Тищенки</t>
  </si>
  <si>
    <t>Обл. НДС
Сверло перо по дер. 20*152
Надходження товарів і послуг ІБ00-005140 від 10.09.2025 11:00:00
Астарта_Тищенки</t>
  </si>
  <si>
    <t>Обл. НДС
Сверло перо по дер. 20*152
Надходження товарів і послуг ІБ00-006992 від 19.11.2025 11:00:00
Астарта_Тищенки</t>
  </si>
  <si>
    <t>Обл. НДС
Сверло перо по дер. 20*152
Надходження товарів і послуг ІБ00-007231 від 28.11.2025 11:00:00
Астарта_Тищенки</t>
  </si>
  <si>
    <t>Обл. НДС
Сверло по бетону SDS-PLUS 10*150*210 мм
Надходження товарів і послуг ІБ00-005005 від 05.09.2025 11:00:00
Астарта_Тищенки</t>
  </si>
  <si>
    <t>Обл. НДС
Рулетка 5м*25мм Black edition
Надходження товарів і послуг ІБ00-006992 від 19.11.2025 11:00:00
Астарта_Тищенки</t>
  </si>
  <si>
    <t>Обл. НДС
Ручка для валика
Надходження товарів і послуг ІБ00-005485 від 01.09.2025 11:00:00
Астарта_Тищенки</t>
  </si>
  <si>
    <t>Обл. НДС
Ручка для валика
Надходження товарів і послуг ІБ00-005004 від 05.09.2025 11:00:00
Астарта_Тищенки</t>
  </si>
  <si>
    <t>Обл. НДС
Ручка для валика
Надходження товарів і послуг ІБ00-005859 від 01.10.2025 11:00:00
Астарта_Тищенки</t>
  </si>
  <si>
    <t>Обл. НДС
Ручка для валика
Надходження товарів і послуг ІБ00-006992 від 19.11.2025 11:00:00
Астарта_Тищенки</t>
  </si>
  <si>
    <t>Обл. НДС
Рукавички трикотажні помаранчеві з ПВХ крапкою 78412 / 8412
Надходження товарів і послуг ІБ00-006236 від 20.10.2025 11:00:00
Астарта_Тищенки</t>
  </si>
  <si>
    <t>Обл. НДС
Рулетка  5 м*19 мм 
Надходження товарів і послуг ІБ00-006234 від 20.10.2025 11:00:00
Астарта_Тищенки</t>
  </si>
  <si>
    <t>Обл. НДС
Рукавички скло/камінь черв з рифл гум надол  р.10
Надходження товарів і послуг ІБ00-006583 від 28.10.2025 11:00:00
Астарта_Тищенки</t>
  </si>
  <si>
    <t>Обл. НДС
Рукавички скло/камінь черв з рифл гум надол  р.10
Надходження товарів і послуг ІБ00-006990 від 19.11.2025 11:00:00
Астарта_Тищенки</t>
  </si>
  <si>
    <t>Обл. НДС
Взуття чоловіче SEVEN SAFETY S1FUR"  р.42
Надходження товарів і послуг ІБ00-007127 від 01.11.2025 11:00:00
Астарта_Тищенки</t>
  </si>
  <si>
    <t>Обл. НДС
Взуття чоловіче SEVEN SAFETY S1FUR"  р.43
Надходження товарів і послуг ІБ00-007127 від 01.11.2025 11:00:00
Астарта_Тищенки</t>
  </si>
  <si>
    <t>Обл. НДС
Взуття чоловіче SEVEN SAFETY S1FUR"  р.45
Надходження товарів і послуг ІБ00-007127 від 01.11.2025 11:00:00
Астарта_Тищенки</t>
  </si>
  <si>
    <t>Передача малоцінних активів в експлуатацію ІБ00-000674 від 22.12.2025 22:34:52
Списание стоимости малоценных активов</t>
  </si>
  <si>
    <t>Обл. НДС
Круг алмаз. відрізний по металу 230*2,5*22,23
Надходження товарів і послуг ІБ00-005859 від 01.10.2025 11:00:00
Астарта_Тищенки</t>
  </si>
  <si>
    <t>Обл. НДС
Круг відрізний 125*1,6*22
Надходження товарів і послуг ІБ00-006043 від 10.10.2025 11:00:00
Астарта_Тищенки</t>
  </si>
  <si>
    <t>Обл. НДС
Круг відрізний 125*1,6*22
Надходження товарів і послуг ІБ00-006990 від 19.11.2025 11:00:00
Астарта_Тищенки</t>
  </si>
  <si>
    <t>Обл. НДС
Рукавички зварювальника краги червоні (10)
Надходження товарів і послуг ІБ00-006234 від 20.10.2025 11:00:00
Астарта_Тищенки</t>
  </si>
  <si>
    <t>Обл. НДС
Вставка зі штуч.хутра в чол.чоботи р.43-44
Надходження товарів і послуг ІБ00-006043 від 10.10.2025 11:00:00
Астарта_Тищенки</t>
  </si>
  <si>
    <t>Обл. НДС
Вставка зі штуч.хутра в чол.чоботи р.43-44
Надходження товарів і послуг ІБ00-006583 від 28.10.2025 11:00:00
Астарта_Тищенки</t>
  </si>
  <si>
    <t>Обл. НДС
Вставка зі штуч.хутра в чол.чоботи р.45-46
Надходження товарів і послуг ІБ00-006583 від 28.10.2025 11:00:00
Астарта_Тищенки</t>
  </si>
  <si>
    <t>29.12.2025</t>
  </si>
  <si>
    <t>Передача малоцінних активів в експлуатацію ІБ00-000680 від 29.12.2025 18:37:55
Списание стоимости малоценных активов</t>
  </si>
  <si>
    <t>Обл. НДС
Круг відрізний  125*1,6*22
Надходження товарів і послуг ІБ00-006234 від 20.10.2025 11:00:00
Астарта_Тищенки</t>
  </si>
  <si>
    <t>Передача малоцінних активів в експлуатацію ІБ00-000681 від 29.12.2025 18:37:57
Списание стоимости малоценных активов</t>
  </si>
  <si>
    <t>Передача малоцінних активів в експлуатацію ІБ00-000682 від 29.12.2025 18:37:59
Списание стоимости малоценных активов</t>
  </si>
  <si>
    <t>Обл. НДС
Фреза алмазна торцева 100*22,23-14 по бетону Distar/Baumesser
Надходження товарів і послуг ІБ00-006990 від 19.11.2025 11:00:00
Астарта_Тищенки</t>
  </si>
  <si>
    <t>Обл. НДС
Строп СТП-3,0/4000
Надходження товарів і послуг ІБ00-006236 від 20.10.2025 11:00:00
Астарта_Тищенки</t>
  </si>
  <si>
    <t>Обл. НДС
Рукавички краги на підкладці
Надходження товарів і послуг ІБ00-006583 від 28.10.2025 11:00:00
Астарта_Тищенки</t>
  </si>
  <si>
    <t>Обл. НДС
Рівень 100 см
Надходження товарів і послуг ІБ00-006583 від 28.10.2025 11:00:00
Астарта_Тищенки</t>
  </si>
  <si>
    <t>Обл. НДС
Пістолет для  піни, тефлонове покриття,2,1мм
Надходження товарів і послуг ІБ00-005484 від 01.09.2025 11:00:00
Астарта_Тищенки</t>
  </si>
  <si>
    <t>Передача малоцінних активів в експлуатацію ІБ00-000683 від 29.12.2025 18:38:02
Списание стоимости малоценных активов</t>
  </si>
  <si>
    <t>Передача малоцінних активів в експлуатацію ІБ00-000684 від 29.12.2025 18:39:00
Списание стоимости малоценных активов</t>
  </si>
  <si>
    <t>Обл. НДС
Шпатель 100 мм 
Надходження товарів і послуг ІБ00-005004 від 05.09.2025 11:00:00
Астарта_Тищенки</t>
  </si>
  <si>
    <t>Обл. НДС
Шпатель 100 мм 
Надходження товарів і послуг ІБ00-006992 від 19.11.2025 11:00:00
Астарта_Тищенки</t>
  </si>
  <si>
    <t>Обл. НДС
Распіратор
Надходження товарів і послуг ІБ00-005139 від 10.09.2025 11:00:00
Астарта_Тищенки</t>
  </si>
  <si>
    <t>Обл. НДС
Чоботи гумові Vorel робочі з ПВХ, р.43
Надходження товарів і послуг ІБ00-006043 від 10.10.2025 11:00:00
Астарта_Тищенки</t>
  </si>
  <si>
    <t>Обл. НДС
Чоботи гумові Vorel робочі з ПВХ, р.44
Надходження товарів і послуг ІБ00-006043 від 10.10.2025 11:00:00
Астарта_Тищенки</t>
  </si>
  <si>
    <t>Обл. НДС
Чоботи гумові чол.44 р
Надходження товарів і послуг ІБ00-006583 від 28.10.2025 11:00:00
Астарта_Тищенки</t>
  </si>
  <si>
    <t>Обл. НДС
Чоботи гумові чол.45 р
Надходження товарів і послуг ІБ00-006583 від 28.10.2025 11:00:00
Астарта_Тищенки</t>
  </si>
  <si>
    <t>Передача малоцінних активів в експлуатацію ІБ00-000685 від 29.12.2025 18:39:03
Списание стоимости малоценных активов</t>
  </si>
  <si>
    <t>Передача малоцінних активів в експлуатацію ІБ00-000686 від 29.12.2025 18:39:07
Списание стоимости малоценных активов</t>
  </si>
  <si>
    <t>Обл. НДС
Електроди "Моноліт РЦ" 4 мм уп. 5,0 кг
Надходження товарів і послуг ІБ00-006235 від 20.10.2025 11:00:00
Астарта_Тищенки</t>
  </si>
  <si>
    <t>Обл. НДС
Карабін овал.з гвинт.муфтою Oval-S
Надходження товарів і послуг ІБ00-006636 від 22.10.2025 11:00:00
Астарта_Тищенки</t>
  </si>
  <si>
    <t>Передача малоцінних активів в експлуатацію ІБ00-000687 від 29.12.2025 18:39:08
Списание стоимости малоценных активов</t>
  </si>
  <si>
    <t>Передача малоцінних активів в експлуатацію ІБ00-000688 від 29.12.2025 22:38:07
Списание стоимости малоценных активов</t>
  </si>
  <si>
    <t>Обл. НДС
Леза 18 мм сегментні 10 шт
Надходження товарів і послуг ІБ00-006992 від 19.11.2025 11:00:00
Астарта_Тищенки</t>
  </si>
  <si>
    <t>Обл. НДС
Леза 18 мм сегментні, к-т
Надходження товарів і послуг ІБ00-005005 від 05.09.2025 11:00:00
Астарта_Тищенки</t>
  </si>
  <si>
    <t>Передача малоцінних активів в експлуатацію ІБ00-000689 від 29.12.2025 22:38:09
Списание стоимости малоценных активов</t>
  </si>
  <si>
    <t>Обл. НДС
Плівка п/е 150 мк 2с 50м 150кв м
Надходження товарів і послуг ІБ00-004287 від 01.08.2025 11:00:00
Астарта_Тищенки</t>
  </si>
  <si>
    <t>Обл. НДС
Каска будівельна помаранчева (Україна)
Надходження товарів і послуг ІБ00-004289 від 01.08.2025 11:00:00
Астарта_Тищенки</t>
  </si>
  <si>
    <t>Обл. НДС
Каска будівельна, біла
Надходження товарів і послуг ІБ00-004289 від 01.08.2025 11:00:00
Астарта_Тищенки</t>
  </si>
  <si>
    <t>Передача малоцінних активів в експлуатацію ІБ00-000690 від 29.12.2025 22:38:12
Списание стоимости малоценных активов</t>
  </si>
  <si>
    <t>Передача малоцінних активів в експлуатацію ІБ00-000702 від 29.12.2025 22:38:18
Списание стоимости малоценных активов</t>
  </si>
  <si>
    <t>Передача малоцінних активів в експлуатацію ІБ00-000703 від 29.12.2025 22:38:20
Списание стоимости малоценных активов</t>
  </si>
  <si>
    <t>Обл. НДС
Затискач маси прищіпка МК-400 А
Надходження товарів і послуг ІБ00-005855 від 01.10.2025 11:00:00
Астарта_Тищенки</t>
  </si>
  <si>
    <t>Обл. НДС
Електрод  АНО-36 ф4  5 кг (пач)
Надходження товарів і послуг ІБ00-006993 від 19.11.2025 11:00:00
Астарта_Тищенки</t>
  </si>
  <si>
    <t>Обл. НДС
Костюм "ІТР" р. 104-108/170-176
Надходження товарів і послуг ІБ00-006989 від 04.11.2025 11:00:00
Астарта_Тищенки</t>
  </si>
  <si>
    <t>Передача малоцінних активів в експлуатацію ІБ00-000704 від 29.12.2025 22:40:01
Списание стоимости малоценных активов</t>
  </si>
  <si>
    <t>Обл. НДС
Електрод  АНО-36 ф3  2,5кг (пач)
Надходження товарів і послуг ІБ00-006993 від 19.11.2025 11:00:00
Астарта_Тищенки</t>
  </si>
  <si>
    <t>Обл. НДС
Кабель КГ 1*35 зварювальний 300А 
Надходження товарів і послуг ІБ00-006043 від 10.10.2025 11:00:00
Астарта_Тищенки</t>
  </si>
  <si>
    <t>Обл. НДС
Касета-розетка 3гн., з/к з кришками ОМЕГА ІР44 16А
Надходження товарів і послуг ІБ00-006043 від 10.10.2025 11:00:00
Астарта_Тищенки</t>
  </si>
  <si>
    <t>Обл. НДС
Лом будівельний, 1,5 м
Надходження товарів і послуг ІБ00-004292 від 01.08.2025 11:00:00
Астарта_Тищенки</t>
  </si>
  <si>
    <t>Обл. НДС
Лом цвяхотяг слюсарний 700мм
Надходження товарів і послуг ІБ00-004292 від 01.08.2025 11:00:00
Астарта_Тищенки</t>
  </si>
  <si>
    <t>Обл. НДС
Лопата совкова 
Надходження товарів і послуг ІБ00-006992 від 19.11.2025 11:00:00
Астарта_Тищенки</t>
  </si>
  <si>
    <t>Обл. НДС
Маска зварювальника
Надходження товарів і послуг ІБ00-005855 від 01.10.2025 11:00:00
Астарта_Тищенки</t>
  </si>
  <si>
    <t>Обл. НДС
Набір насадок та інструментів CrV 90T 100шт
Надходження товарів і послуг ІБ00-005239 від 15.09.2025 11:00:00
Астарта_Тищенки</t>
  </si>
  <si>
    <t>Обл. НДС
Напилок триграний 250мм
Надходження товарів і послуг ІБ00-005859 від 01.10.2025 11:00:00
Астарта_Тищенки</t>
  </si>
  <si>
    <t>Обл. НДС
Ножівка по дереву 500 мм
Надходження товарів і послуг ІБ00-004287 від 01.08.2025 11:00:00
Астарта_Тищенки</t>
  </si>
  <si>
    <t>Обл. НДС
Ножівка по дереву 500 мм
Надходження товарів і послуг ІБ00-005859 від 01.10.2025 11:00:00
Астарта_Тищенки</t>
  </si>
  <si>
    <t>Обл. НДС
Ножівка по пінобетону 700мм
Надходження товарів і послуг ІБ00-006043 від 10.10.2025 11:00:00
Астарта_Тищенки</t>
  </si>
  <si>
    <t>Обл. НДС
Окуляри захисні
Надходження товарів і послуг ІБ00-006236 від 20.10.2025 11:00:00
Астарта_Тищенки</t>
  </si>
  <si>
    <t>Обл. НДС
Прожектор світлодіодний 100W Магнум 6500К ІР65
Надходження товарів і послуг ІБ00-004292 від 01.08.2025 11:00:00
Астарта_Тищенки</t>
  </si>
  <si>
    <t>Обл. НДС
Піна монтажна  750 мл 
Надходження товарів і послуг ІБ00-005484 від 01.09.2025 11:00:00
Астарта_Тищенки</t>
  </si>
  <si>
    <t>30.12.2025</t>
  </si>
  <si>
    <t>Передача малоцінних активів в експлуатацію ІБ00-000728 від 30.12.2025 20:00:00
Списание стоимости малоценных активов</t>
  </si>
  <si>
    <t>Обл. НДС
Замок (хрестовина)
Авансовий звіт ІБ00-000278 від 02.10.2025 18:25:46
Астарта_Тищенки</t>
  </si>
  <si>
    <t>Обл. НДС
Коробка для к-кту щит 500*300*300
Надходження товарів і послуг ІБ00-004640 від 01.08.2025 11:00:00
Астарта_Тищенки</t>
  </si>
  <si>
    <t>Обл. НДС
Крейда біла 100шт-1кг
Надходження товарів і послуг ІБ00-006234 від 20.10.2025 11:00:00
Астарта_Тищенки</t>
  </si>
  <si>
    <t>Обл. НДС
Ліхтар наголовний 
Надходження товарів і послуг ІБ00-006588 від 04.11.2025 11:00:00
Астарта_Тищенки</t>
  </si>
  <si>
    <t>Обл. НДС
Лом цвяхотяг слюсарний 700мм
Надходження товарів і послуг ІБ00-006992 від 19.11.2025 11:00:00
Астарта_Тищенки</t>
  </si>
  <si>
    <t>Обл. НДС
Мастило WD 200мл
Авансовий звіт ІБ00-000278 від 02.10.2025 18:25:46
Астарта_Тищенки</t>
  </si>
  <si>
    <t>Обл. НДС
Ніж 18мм 
Надходження товарів і послуг ІБ00-005005 від 05.09.2025 11:00:00
Астарта_Тищенки</t>
  </si>
  <si>
    <t>Обл. НДС
Ножиці по металу
Надходження товарів і послуг ІБ00-006992 від 19.11.2025 11:00:00
Астарта_Тищенки</t>
  </si>
  <si>
    <t>Обл. НДС
Очищувач піни монтажної
Надходження товарів і послуг ІБ00-004997 від 02.09.2025 11:00:00
Астарта_Тищенки</t>
  </si>
  <si>
    <t>Обл. НДС
Пензель плоский  2,5"
Надходження товарів і послуг ІБ00-005140 від 10.09.2025 11:00:00
Астарта_Тищенки</t>
  </si>
  <si>
    <t>Обл. НДС
Пензель плоский  2,5"
Надходження товарів і послуг ІБ00-006992 від 19.11.2025 11:00:00
Астарта_Тищенки</t>
  </si>
  <si>
    <t>Обл. НДС
Підошва в зборі з болтами 4шт для MR68H EMR70H
Надходження товарів і послуг ІБ00-004995 від 02.09.2025 11:00:00
Астарта_Тищенки</t>
  </si>
  <si>
    <t>Обл. НДС
Плащ від дощу
Надходження товарів і послуг ІБ00-004292 від 01.08.2025 11:00:00
Астарта_Тищенки</t>
  </si>
  <si>
    <t>Обл. НДС
Праймер д/розпалубки
Надходження товарів і послуг ІБ00-005004 від 05.09.2025 11:00:00
Астарта_Тищенки</t>
  </si>
  <si>
    <t>Обл. НДС
Провід ПВС 2*1,5 бухта 100м
Надходження товарів і послуг ІБ00-006235 від 20.10.2025 11:00:00
Астарта_Тищенки</t>
  </si>
  <si>
    <t>Обл. НДС
Шланг  спіральний ф5*8мм L=20 м 
Надходження товарів і послуг ІБ00-005139 від 10.09.2025 11:00:00
Астарта_Тищенки</t>
  </si>
  <si>
    <t>Обл. НДС
Фарборозпилювач HVLP 1,3-сопло в/б-0,6л пластик
Надходження товарів і послуг ІБ00-005139 від 10.09.2025 11:00:00
Астарта_Тищенки</t>
  </si>
  <si>
    <t>Обл. НДС
Сітка зварна 12,5*12,5мм/0,9мм 1м/30м
Авансовий звіт ІБ00-000357 від 18.11.2025 15:56:27
Астарта_Тищенки</t>
  </si>
  <si>
    <t>Обл. НДС
Скло зварюв. С-4  (110*90)
Надходження товарів і послуг ІБ00-005485 від 01.09.2025 11:00:00
Астарта_Тищенки</t>
  </si>
  <si>
    <t>Обл. НДС
Скоба оббивочна VX-10   1 тис. шт
Надходження товарів і послуг ІБ00-006234 від 20.10.2025 11:00:00
Астарта_Тищенки</t>
  </si>
  <si>
    <t>Обл. НДС
Скотч  200*48мм прозор 38мкм
Надходження товарів і послуг ІБ00-006992 від 19.11.2025 11:00:00
Астарта_Тищенки</t>
  </si>
  <si>
    <t>Обл. НДС
Смазка YUKO Солідол жировий 375 мл Мастило 
Авансовий звіт ІБ00-000357 від 18.11.2025 15:56:27
Астарта_Тищенки</t>
  </si>
  <si>
    <t>Обл. НДС
Різак "Донмет" 142 П пропан 9/6
Надходження товарів і послуг ІБ00-005550 від 24.09.2025 11:00:00
Астарта_Тищенки</t>
  </si>
  <si>
    <t>Обл. НДС
Лампа світлодіодна LED E27 12W 
Надходження товарів і послуг ІБ00-005239 від 15.09.2025 11:00:00
Астарта_Тищенки</t>
  </si>
  <si>
    <t>Передача малоцінних активів в експлуатацію ІБ00-000707 від 30.12.2025 23:00:21
Списание стоимости малоценных активов</t>
  </si>
  <si>
    <t>Обл. НДС
Шпатель 450 мм 
Надходження товарів і послуг ІБ00-005004 від 05.09.2025 11:00:00
Астарта_Тищенки</t>
  </si>
  <si>
    <t>Обл. НДС
Молоток  1000 гр.
Надходження товарів і послуг ІБ00-005854 від 01.10.2025 11:00:00
Астарта_Тищенки</t>
  </si>
  <si>
    <t>Передача малоцінних активів в експлуатацію ІБ00-000708 від 30.12.2025 23:00:24
Списание стоимости малоценных активов</t>
  </si>
  <si>
    <t>Обл. НДС
Шпатель 200 мм 
Надходження товарів і послуг ІБ00-006992 від 19.11.2025 11:00:00
Астарта_Тищенки</t>
  </si>
  <si>
    <t>Обл. НДС
Шпатель 300 мм 
Надходження товарів і послуг ІБ00-006268 від 10.10.2025 11:00:00
Астарта_Тищенки</t>
  </si>
  <si>
    <t>Передача малоцінних активів в експлуатацію ІБ00-000709 від 30.12.2025 23:00:29
Списание стоимости малоценных активов</t>
  </si>
  <si>
    <t>Передача малоцінних активів в експлуатацію ІБ00-000727 від 30.12.2025 23:00:45
Списание стоимости малоценных активов</t>
  </si>
  <si>
    <t>Передача малоцінних активів в експлуатацію ІБ00-000731 від 30.12.2025 23:40:00
Списание стоимости малоценных активов</t>
  </si>
  <si>
    <t>Обл. НДС
Набір ключів комбінованих 6-32 мм 25 шт
Надходження товарів і послуг ІБ00-004287 від 01.08.2025 11:00:00
Астарта_Тищенки</t>
  </si>
  <si>
    <t>Обл. НДС
Окуляри захисні
Надходження товарів і послуг ІБ00-006992 від 19.11.2025 11:00:00
Астарта_Тищенки</t>
  </si>
  <si>
    <t>Обл. НДС
Піна монтажна  850 мл 
Надходження товарів і послуг ІБ00-006990 від 19.11.2025 11:00:00
Астарта_Тищенки</t>
  </si>
  <si>
    <t>Обороти за період та сальдо на кінець</t>
  </si>
  <si>
    <t>Без изменений</t>
  </si>
  <si>
    <t>01.12.2025</t>
  </si>
  <si>
    <t>Надходження товарів і послуг ІБ00-007448 від 01.12.2025 11:00:00
Оприходованы ТМЦ (Зачет аванса поставщику)</t>
  </si>
  <si>
    <t>Обл. НДС
Взуття чоловіче SEVEN SAFETY S1FUR"  р.42
Надходження товарів і послуг ІБ00-007448 від 01.12.2025 11:00:00
КМД-2</t>
  </si>
  <si>
    <t>БРАВО-СП ТОВ
РАХУНКИ_КМД-2
Рахунок на оплату постачальника ІБ00-005175 від 28.10.2025 17:51:57</t>
  </si>
  <si>
    <t>Обл. НДС
Взуття чоловіче SEVEN SAFETY S1FUR"  р.43
Надходження товарів і послуг ІБ00-007448 від 01.12.2025 11:00:00
КМД-2</t>
  </si>
  <si>
    <t>Надходження товарів і послуг ІБ00-007449 від 01.12.2025 11:00:00
Оприходованы ТМЦ (Зачет аванса поставщику)</t>
  </si>
  <si>
    <t>Обл. НДС
Взуття чоловіче SEVEN SAFETY 2107 S1  р.44
Надходження товарів і послуг ІБ00-007449 від 01.12.2025 11:00:00
КМД-2</t>
  </si>
  <si>
    <t>БРАВО-СП ТОВ
РАХУНКИ_КМД-2
Рахунок на оплату постачальника ІБ00-005612 від 01.11.2025 12:00:36</t>
  </si>
  <si>
    <t>Надходження товарів і послуг ІБ00-007450 від 01.12.2025 11:00:00
Оприходованы ТМЦ</t>
  </si>
  <si>
    <t>Обл. НДС
Провід ПВС 2*1,5 (м)
Надходження товарів і послуг ІБ00-007450 від 01.12.2025 11:00:00
КМД-2</t>
  </si>
  <si>
    <t>УКРЕНЕРГО-АЛЬЯНС
РАХУНКИ_КМД-2
Рахунок на оплату постачальника ІБ00-005774 від 19.11.2025 18:00:07</t>
  </si>
  <si>
    <t>Обл. НДС
Коробка монтажна 150*150*80 АВС ІР65
Надходження товарів і послуг ІБ00-007450 від 01.12.2025 11:00:00
КМД-2</t>
  </si>
  <si>
    <t>Надходження товарів і послуг ІБ00-007478 від 01.12.2025 11:00:00
Оприходованы ТМЦ (Зачет аванса поставщику)</t>
  </si>
  <si>
    <t>Обл. НДС
Грунт світло-сірий 400 мл (аерозоль) швидкосохнучий
Надходження товарів і послуг ІБ00-007478 від 01.12.2025 11:00:00
КМД-2</t>
  </si>
  <si>
    <t>Константінов Юрій ФОП
Рахунки_КМД-2
Рахунок на оплату постачальника ІБ00-005613 від 17.11.2025 23:57:07</t>
  </si>
  <si>
    <t>Надходження товарів і послуг ІБ00-007483 від 01.12.2025 11:00:00
Оприходованы ТМЦ (Зачет аванса поставщику)</t>
  </si>
  <si>
    <t>Обл. НДС
Рукавиці трикотаж.покриті латексом
Надходження товарів і послуг ІБ00-007483 від 01.12.2025 11:00:00
КМД-2</t>
  </si>
  <si>
    <t>УКРСЕРВІС КОМПАНІЯ ТОВ
Рахунки_КМД-2
Рахунок на оплату постачальника ІБ00-005616 від 19.11.2025 17:43:59</t>
  </si>
  <si>
    <t>Надходження товарів і послуг ІБ00-007484 від 01.12.2025 11:00:00
Оприходованы ТМЦ (Зачет аванса поставщику)</t>
  </si>
  <si>
    <t>Обл. НДС
Шнур відбивочний 30 м з порошком
Надходження товарів і послуг ІБ00-007484 від 01.12.2025 11:00:00
КМД-2</t>
  </si>
  <si>
    <t>УКРСЕРВІС КОМПАНІЯ ТОВ
Рахунки_КМД-2
Рахунок на оплату постачальника ІБ00-005440 від 04.11.2025 18:47:08</t>
  </si>
  <si>
    <t>Обл. НДС
Бита Рh2 89мм 
Надходження товарів і послуг ІБ00-007484 від 01.12.2025 11:00:00
КМД-2</t>
  </si>
  <si>
    <t>Обл. НДС
Пензель плаский 4*100мм пластик. ручка
Надходження товарів і послуг ІБ00-007484 від 01.12.2025 11:00:00
КМД-2</t>
  </si>
  <si>
    <t>Обл. НДС
Валик 25см ROMA фасадний+ручка 
Надходження товарів і послуг ІБ00-007484 від 01.12.2025 11:00:00
КМД-2</t>
  </si>
  <si>
    <t>Обл. НДС
Розетка 2-а з/к накл. біла
Надходження товарів і послуг ІБ00-007484 від 01.12.2025 11:00:00
КМД-2</t>
  </si>
  <si>
    <t>Обл. НДС
Кутник столярний 300 мм алюм.
Надходження товарів і послуг ІБ00-007484 від 01.12.2025 11:00:00
КМД-2</t>
  </si>
  <si>
    <t>Обл. НДС
Вилка пряма 16 А
Надходження товарів і послуг ІБ00-007484 від 01.12.2025 11:00:00
КМД-2</t>
  </si>
  <si>
    <t>Обл. НДС
Шуруп г/к по дереву 3,5*51 мм
Надходження товарів і послуг ІБ00-007484 від 01.12.2025 11:00:00
КМД-2</t>
  </si>
  <si>
    <t>Обл. НДС
Шуруп  гіпсокарт.дерево 4,2*70
Надходження товарів і послуг ІБ00-007484 від 01.12.2025 11:00:00
КМД-2</t>
  </si>
  <si>
    <t>Обл. НДС
(я-94)BOSCH витратні Круг відрізний 230*2,5*22 увігнутий
Надходження товарів і послуг ІБ00-007484 від 01.12.2025 11:00:00
КМД-2</t>
  </si>
  <si>
    <t>Обл. НДС
Круг алмазний 230 бетон,граніт сегмент
Надходження товарів і послуг ІБ00-007484 від 01.12.2025 11:00:00
КМД-2</t>
  </si>
  <si>
    <t>Обл. НДС
Скотч 48 мм х 200 м
Надходження товарів і послуг ІБ00-007484 від 01.12.2025 11:00:00
КМД-2</t>
  </si>
  <si>
    <t>Обл. НДС
Спрей-змазка 150мл (WD-40)
Надходження товарів і послуг ІБ00-007484 від 01.12.2025 11:00:00
КМД-2</t>
  </si>
  <si>
    <t>Надходження товарів і послуг ІБ00-007484 від 01.12.2025 11:00:00
Оприходованы ТМЦ</t>
  </si>
  <si>
    <t>Обл. НДС
Ніж висувний з сегм.лезом 25мм
Надходження товарів і послуг ІБ00-007484 від 01.12.2025 11:00:00
КМД-2</t>
  </si>
  <si>
    <t>Обл. НДС
Рукав до мотопомпи 50мм д/зливу води
Надходження товарів і послуг ІБ00-007484 від 01.12.2025 11:00:00
КМД-2</t>
  </si>
  <si>
    <t>Обл. НДС
Розетка силова 32А, ІР44 переносна
Надходження товарів і послуг ІБ00-007484 від 01.12.2025 11:00:00
КМД-2</t>
  </si>
  <si>
    <t>Обл. НДС
Вилка силова 32А переносна 
Надходження товарів і послуг ІБ00-007484 від 01.12.2025 11:00:00
КМД-2</t>
  </si>
  <si>
    <t>Надходження товарів і послуг ІБ00-007485 від 01.12.2025 11:00:00
Оприходованы ТМЦ</t>
  </si>
  <si>
    <t>Обл. НДС
Змазка в паливо для 2-х тактних двигунів 1:50  литр
Надходження товарів і послуг ІБ00-007485 від 01.12.2025 11:00:00
КМД-2</t>
  </si>
  <si>
    <t>УКРСЕРВІС КОМПАНІЯ ТОВ
Рахунки_КМД-2
Рахунок на оплату постачальника ІБ00-005931 від 28.11.2025 23:01:02</t>
  </si>
  <si>
    <t>Надходження товарів і послуг ІБ00-007486 від 01.12.2025 11:00:00
Оприходованы ТМЦ (Зачет аванса поставщику)</t>
  </si>
  <si>
    <t>Обл. НДС
Сверло 16*152 мм по дереву плоскофрезерне
Надходження товарів і послуг ІБ00-007486 від 01.12.2025 11:00:00
КМД-2</t>
  </si>
  <si>
    <t>УКРСЕРВІС КОМПАНІЯ ТОВ
Рахунки_КМД-2
Рахунок на оплату постачальника ІБ00-005256 від 28.10.2025 18:30:10</t>
  </si>
  <si>
    <t>Надходження товарів і послуг ІБ00-007487 від 01.12.2025 11:00:00
Оприходованы ТМЦ (Зачет аванса поставщику)</t>
  </si>
  <si>
    <t>Обл. НДС
Подушка ватна 60х60
Надходження товарів і послуг ІБ00-007487 від 01.12.2025 11:00:00
КМД-2</t>
  </si>
  <si>
    <t>УКРСЕРВІС КОМПАНІЯ ТОВ
Рахунки_КМД-2
Рахунок на оплату постачальника ІБ00-005439 від 04.11.2025 18:47:07</t>
  </si>
  <si>
    <t>Обл. НДС
Ковдра
Надходження товарів і послуг ІБ00-007487 від 01.12.2025 11:00:00
КМД-2</t>
  </si>
  <si>
    <t>Обл. НДС
Матрац 190*70
Надходження товарів і послуг ІБ00-007487 від 01.12.2025 11:00:00
КМД-2</t>
  </si>
  <si>
    <t>Надходження товарів і послуг ІБ00-007661 від 01.12.2025 11:00:00
Оприходованы ТМЦ (Зачет аванса поставщику)</t>
  </si>
  <si>
    <t>Обл. НДС
Монтажний набір ROS11/I-25
Надходження товарів і послуг ІБ00-007661 від 01.12.2025 11:00:00
КМД-2</t>
  </si>
  <si>
    <t>Ітеко СІД
Рахунки_КМД-2
Рахунок на оплату постачальника ІБ00-005444 від 07.11.2025 17:50:12</t>
  </si>
  <si>
    <t>Обл. НДС
Монтажний набір ROS11/I-21
Надходження товарів і послуг ІБ00-007661 від 01.12.2025 11:00:00
КМД-2</t>
  </si>
  <si>
    <t>Надходження товарів і послуг ІБ00-008111 від 01.12.2025 11:00:00
Оприходованы ТМЦ (Зачет аванса поставщику)</t>
  </si>
  <si>
    <t>Обл. НДС
Шафа
Надходження товарів і послуг ІБ00-008111 від 01.12.2025 11:00:00
КМД-2</t>
  </si>
  <si>
    <t>Мостовий ФОП
РАХУНКИ_КМД-2
Рахунок на оплату постачальника ІБ00-004875 від 30.09.2025 23:59:59</t>
  </si>
  <si>
    <t>Обл. НДС
Стілець
Надходження товарів і послуг ІБ00-008111 від 01.12.2025 11:00:00
КМД-2</t>
  </si>
  <si>
    <t>Обл. НДС
Стіл
Надходження товарів і послуг ІБ00-008111 від 01.12.2025 11:00:00
КМД-2</t>
  </si>
  <si>
    <t>Надходження товарів і послуг ІБ00-008115 від 01.12.2025 11:00:00
Оприходованы ТМЦ (Зачет аванса поставщику)</t>
  </si>
  <si>
    <t>Обл. НДС
Ємність квадратна 1000л Б/У а обрешітці
Надходження товарів і послуг ІБ00-008115 від 01.12.2025 11:00:00
КМД-2</t>
  </si>
  <si>
    <t>Прокопенко Юлія Миколаївна ФОП
РАХУНКИ_КМД-2
Рахунок на оплату постачальника ІБ00-005177 від 28.10.2025 17:51:58</t>
  </si>
  <si>
    <t>02.12.2025</t>
  </si>
  <si>
    <t>Комплектація номенклатури ІБ00-000043 від 02.12.2025 00:00:00
Комплектация</t>
  </si>
  <si>
    <t>Обл. НДС
Шуруп г/картон по дер.4,2*70 (уп.250шт)
Комплектація номенклатури ІБ00-000043 від 02.12.2025 00:00:00
КМД-2</t>
  </si>
  <si>
    <t>205</t>
  </si>
  <si>
    <t>Надходження товарів і послуг ІБ00-007451 від 02.12.2025 11:00:00
Оприходованы ТМЦ</t>
  </si>
  <si>
    <t>Обл. НДС
Круг відрізний  125*1,6*22
Надходження товарів і послуг ІБ00-007451 від 02.12.2025 11:00:00
КМД-2</t>
  </si>
  <si>
    <t>УКРСЕРВІС КОМПАНІЯ ТОВ
Рахунки_КМД-2
Рахунок на оплату постачальника ІБ00-005930 від 01.12.2025 18:00:24</t>
  </si>
  <si>
    <t>Обл. НДС
WERK Щітка чашкова для кутов.шліфмашин дротяний трос 125мм
Надходження товарів і послуг ІБ00-007451 від 02.12.2025 11:00:00
КМД-2</t>
  </si>
  <si>
    <t>Обл. НДС
Бур + 8*100/160 plus1 бетон,цегла
Надходження товарів і послуг ІБ00-007451 від 02.12.2025 11:00:00
КМД-2</t>
  </si>
  <si>
    <t>Надходження товарів і послуг ІБ00-007623 від 02.12.2025 11:00:00
Оприходованы ТМЦ</t>
  </si>
  <si>
    <t>Обл. НДС
Розетка стаціонарна наружна 125 32А 380В 3Р+N+Е ІР44
Надходження товарів і послуг ІБ00-007623 від 02.12.2025 11:00:00
КМД-2</t>
  </si>
  <si>
    <t>Обл. НДС
Вилка переносна 025 32А 380В 3Р+N+Е ІР44
Надходження товарів і послуг ІБ00-007623 від 02.12.2025 11:00:00
КМД-2</t>
  </si>
  <si>
    <t>Обл. НДС
Перемикач навантаження SSQ 463 "1-0-2" 4р 63А
Надходження товарів і послуг ІБ00-007623 від 02.12.2025 11:00:00
КМД-2</t>
  </si>
  <si>
    <t>Надходження товарів і послуг ІБ00-007646 від 02.12.2025 11:00:00
Оприходованы ТМЦ</t>
  </si>
  <si>
    <t>Обл. НДС
Бита Рh2 51мм 
Надходження товарів і послуг ІБ00-007646 від 02.12.2025 11:00:00
КМД-2</t>
  </si>
  <si>
    <t>УКРСЕРВІС КОМПАНІЯ ТОВ
Рахунки_КМД-2
Рахунок на оплату постачальника ІБ00-006181 від 01.12.2025 23:00:55</t>
  </si>
  <si>
    <t>Обл. НДС
піка SDS max 600 мм
Надходження товарів і послуг ІБ00-007646 від 02.12.2025 11:00:00
КМД-2</t>
  </si>
  <si>
    <t>Обл. НДС
Зубило М25*600мм посилене
Надходження товарів і послуг ІБ00-007646 від 02.12.2025 11:00:00
КМД-2</t>
  </si>
  <si>
    <t>Обл. НДС
Дюбель з ударним шурупом 8*80 потай
Надходження товарів і послуг ІБ00-007646 від 02.12.2025 11:00:00
КМД-2</t>
  </si>
  <si>
    <t>Комплектація номенклатури ІБ00-000042 від 02.12.2025 18:31:29
Комплектация</t>
  </si>
  <si>
    <t>Обл. НДС
Шуруп г/картон по дер.3,5*51 (уп.500шт.)
Комплектація номенклатури ІБ00-000042 від 02.12.2025 18:31:29
КМД-2</t>
  </si>
  <si>
    <t>03.12.2025</t>
  </si>
  <si>
    <t>Надходження товарів і послуг ІБ00-008116 від 03.12.2025 11:00:00
Оприходованы ТМЦ</t>
  </si>
  <si>
    <t>Обл. НДС
Розетка зовнішня 2-а із з/з
Надходження товарів і послуг ІБ00-008116 від 03.12.2025 11:00:00
КМД-2</t>
  </si>
  <si>
    <t>Обл. НДС
Вимикач 2 кл ІР65 сірий
Надходження товарів і послуг ІБ00-008116 від 03.12.2025 11:00:00
КМД-2</t>
  </si>
  <si>
    <t>16.12.2025</t>
  </si>
  <si>
    <t>Реалізація товарів і послуг ІБ00-000097 від 16.12.2025 00:00:00
Списаны ТМЦ</t>
  </si>
  <si>
    <t>&lt;...&gt;
&lt;...&gt;
Себестоимость реализованных покупных запасов</t>
  </si>
  <si>
    <t>Обл. НДС
(я-124)BOSCH витратні Бур + 18*250/300 plus5 бетон,цегла
Надходження товарів і послуг ІБ00-006672 від 01.11.2025 11:00:00
КМД-2</t>
  </si>
  <si>
    <t>943</t>
  </si>
  <si>
    <t>Обл. НДС
Бокорізи 180 мм 
Надходження товарів і послуг ІБ00-006694 від 01.11.2025 12:00:02
КМД-2</t>
  </si>
  <si>
    <t>Обл. НДС
Бур +10*200/260 плюс-1 бетон цегла
Надходження товарів і послуг ІБ00-006672 від 01.11.2025 11:00:00
КМД-2</t>
  </si>
  <si>
    <t>Обл. НДС
Бур +12*200/260 5Х
Надходження товарів і послуг ІБ00-006672 від 01.11.2025 11:00:00
КМД-2</t>
  </si>
  <si>
    <t>Обл. НДС
Відро будівельне 15 л
Надходження товарів і послуг ІБ00-006697 від 01.11.2025 11:00:00
КМД-2</t>
  </si>
  <si>
    <t>Обл. НДС
Гачок для вязки дроту 210 мм
Надходження товарів і послуг ІБ00-006697 від 01.11.2025 11:00:00
КМД-2</t>
  </si>
  <si>
    <t>Обл. НДС
Держак д/лопати
Надходження товарів і послуг ІБ00-006694 від 01.11.2025 12:00:02
КМД-2</t>
  </si>
  <si>
    <t>Обл. НДС
диск пильний 190*20/16мм 48 зуб.
Надходження товарів і послуг ІБ00-006448 від 02.10.2025 11:00:00
КМД-2</t>
  </si>
  <si>
    <t>Обл. НДС
Електроди "Моноліт РЦ" 4 мм 5кг
Надходження товарів і послуг ІБ00-006694 від 01.11.2025 12:00:02
КМД-2</t>
  </si>
  <si>
    <t>Обл. НДС
Жилка будівельна Ф8мм 100метр,
Надходження товарів і послуг ІБ00-006697 від 01.11.2025 11:00:00
КМД-2</t>
  </si>
  <si>
    <t>Обл. НДС
Каністра  20 л
Надходження товарів і послуг ІБ00-006633 від 01.10.2025 11:00:00
КМД-2</t>
  </si>
  <si>
    <t>Обл. НДС
Кувалда 6 кг з ручкою
Надходження товарів і послуг ІБ00-006694 від 01.11.2025 12:00:02
КМД-2</t>
  </si>
  <si>
    <t>Обл. НДС
Лампа LED  50W E40 6500K
Надходження товарів і послуг ІБ00-006673 від 01.11.2025 11:00:00
КМД-2</t>
  </si>
  <si>
    <t>Обл. НДС
Лампа світлодіодна ЕСО А60 куля 7Вт 230В 3000К Е27 ІЕК
Надходження товарів і послуг ІБ00-006449 від 15.10.2025 11:00:00
КМД-2</t>
  </si>
  <si>
    <t>Обл. НДС
Лом цвяхотяг слюсарний 700мм
Надходження товарів і послуг ІБ00-006694 від 01.11.2025 12:00:02
КМД-2</t>
  </si>
  <si>
    <t>Обл. НДС
Лопата 
Надходження товарів і послуг ІБ00-006694 від 01.11.2025 12:00:02
КМД-2</t>
  </si>
  <si>
    <t>Обл. НДС
Лопата совкова 
Надходження товарів і послуг ІБ00-006697 від 01.11.2025 11:00:00
КМД-2</t>
  </si>
  <si>
    <t>Обл. НДС
Лопата совкова 
Надходження товарів і послуг ІБ00-006694 від 01.11.2025 12:00:02
КМД-2</t>
  </si>
  <si>
    <t>Обл. НДС
Лопата штикова
Надходження товарів і послуг ІБ00-006694 від 01.11.2025 12:00:02
КМД-2</t>
  </si>
  <si>
    <t>Обл. НДС
Лопата штикова з держаком 
Надходження товарів і послуг ІБ00-006697 від 01.11.2025 11:00:00
КМД-2</t>
  </si>
  <si>
    <t>Обл. НДС
Маска зварювальника
Надходження товарів і послуг ІБ00-006694 від 01.11.2025 12:00:02
КМД-2</t>
  </si>
  <si>
    <t>Обл. НДС
Молоток  1000 гр.
Надходження товарів і послуг ІБ00-006694 від 01.11.2025 12:00:02
КМД-2</t>
  </si>
  <si>
    <t>Обл. НДС
Молоток  600 гр.
Надходження товарів і послуг ІБ00-006697 від 01.11.2025 11:00:00
КМД-2</t>
  </si>
  <si>
    <t>Обл. НДС
Набір викруток 7 предметів
Надходження товарів і послуг ІБ00-006697 від 01.11.2025 11:00:00
КМД-2</t>
  </si>
  <si>
    <t>Обл. НДС
Набір ключів комбінованих 6-32 мм 25 шт
Надходження товарів і послуг ІБ00-006697 від 01.11.2025 11:00:00
КМД-2</t>
  </si>
  <si>
    <t>Обл. НДС
Набір свердл по дереву 3-10мм 7шт
Надходження товарів і послуг ІБ00-006697 від 01.11.2025 11:00:00
КМД-2</t>
  </si>
  <si>
    <t>Обл. НДС
Ножівка по дереву
Надходження товарів і послуг ІБ00-006697 від 01.11.2025 11:00:00
КМД-2</t>
  </si>
  <si>
    <t>Обл. НДС
Окуляри захисні
Надходження товарів і послуг ІБ00-005640 від 26.09.2025 11:00:00
КМД-2</t>
  </si>
  <si>
    <t>Обл. НДС
Окуляри захисні
Надходження товарів і послуг ІБ00-006694 від 01.11.2025 12:00:02
КМД-2</t>
  </si>
  <si>
    <t>Обл. НДС
Очисник для піни С45 450 мл укр
Надходження товарів і послуг ІБ00-006673 від 01.11.2025 11:00:00
КМД-2</t>
  </si>
  <si>
    <t>Обл. НДС
Піна монтажна  750 мл 
Надходження товарів і послуг ІБ00-006673 від 01.11.2025 11:00:00
КМД-2</t>
  </si>
  <si>
    <t>Обл. НДС
Пістолет для  піни, тефлонове покриття,2,1мм
Надходження товарів і послуг ІБ00-006673 від 01.11.2025 11:00:00
КМД-2</t>
  </si>
  <si>
    <t>Обл. НДС
Плащ від дощу
Надходження товарів і послуг ІБ00-006694 від 01.11.2025 12:00:02
КМД-2</t>
  </si>
  <si>
    <t>Обл. НДС
Рівень 150 см
Надходження товарів і послуг ІБ00-006813 від 01.11.2025 11:00:00
КМД-2</t>
  </si>
  <si>
    <t>Обл. НДС
Рівень 2000мм Spirit
Надходження товарів і послуг ІБ00-006813 від 01.11.2025 11:00:00
КМД-2</t>
  </si>
  <si>
    <t>Обл. НДС
Рукавички краги на підкладці
Надходження товарів і послуг ІБ00-006694 від 01.11.2025 12:00:02
КМД-2</t>
  </si>
  <si>
    <t>Обл. НДС
Рулетка  100м*12,7мм геодез 
Надходження товарів і послуг ІБ00-006618 від 06.10.2025 11:00:00
КМД-2</t>
  </si>
  <si>
    <t>Обл. НДС
Сверло 16*152 мм по дереву плоскофрезерне
Надходження товарів і послуг ІБ00-006672 від 01.11.2025 11:00:00
КМД-2</t>
  </si>
  <si>
    <t>Обл. НДС
Сверло до дерева перове 18*152мм
Надходження товарів і послуг ІБ00-006672 від 01.11.2025 11:00:00
КМД-2</t>
  </si>
  <si>
    <t>Обл. НДС
Скребок для розподілення бетону 
Надходження товарів і послуг ІБ00-006674 від 01.11.2025 11:00:00
КМД-2</t>
  </si>
  <si>
    <t>Обл. НДС
Сокира 1250 гр
Надходження товарів і послуг ІБ00-006694 від 01.11.2025 12:00:02
КМД-2</t>
  </si>
  <si>
    <t>Обл. НДС
Сокира пожежна з держаком 0,4 кг
Надходження товарів і послуг ІБ00-006697 від 01.11.2025 11:00:00
КМД-2</t>
  </si>
  <si>
    <t>Обл. НДС
Стрічка сигнальна червоно-біла 70х200 м
Надходження товарів і послуг ІБ00-006694 від 01.11.2025 12:00:02
КМД-2</t>
  </si>
  <si>
    <t>Обл. НДС
Строп СКП- 2,5/4000
Надходження товарів і послуг ІБ00-006808 від 17.11.2025 11:00:00
КМД-2</t>
  </si>
  <si>
    <t>Обл. НДС
Строп СКП-10,0/4000
Надходження товарів і послуг ІБ00-006618 від 06.10.2025 11:00:00
КМД-2</t>
  </si>
  <si>
    <t>Обл. НДС
Строп СТП-3,0/4000
Надходження товарів і послуг ІБ00-006808 від 17.11.2025 11:00:00
КМД-2</t>
  </si>
  <si>
    <t>Обл. НДС
Строп СТП-6,0/4000
Надходження товарів і послуг ІБ00-006618 від 06.10.2025 11:00:00
КМД-2</t>
  </si>
  <si>
    <t>Обл. НДС
Тент н/ж 2,5кВт  90см
Надходження товарів і послуг ІБ00-006770 від 03.11.2025 11:00:00
КМД-2</t>
  </si>
  <si>
    <t>Обл. НДС
Фіксатор зірочка 30
Надходження товарів і послуг ІБ00-006251 від 28.10.2025 11:00:00
КМД-2</t>
  </si>
  <si>
    <t>Обл. НДС
Фіксатор стійка 30/35
Надходження товарів і послуг ІБ00-006812 від 11.11.2025 11:00:00
КМД-2</t>
  </si>
  <si>
    <t>Обл. НДС
Вилка пряма 16 А
Надходження товарів і послуг ІБ00-005767 від 26.09.2025 18:21:35
КМД-2</t>
  </si>
  <si>
    <t>17.12.2025</t>
  </si>
  <si>
    <t>Переміщення товарів ІБ00-001591 від 17.12.2025 12:13:48
Перемещение ТМЦ</t>
  </si>
  <si>
    <t>Обл. НДС
Вогнегасник ОП-5 (ВП-5)
Переміщення товарів ІБ00-001591 від 17.12.2025 12:13:48
Глобине-2</t>
  </si>
  <si>
    <t>Обл. НДС
Вогнегасник ОП-5 (ВП-5)
Надходження товарів і послуг ІБ00-006697 від 01.11.2025 11:00:00
КМД-2</t>
  </si>
  <si>
    <t>Обл. НДС
Каска будівельна помаранчева (Україна)
Переміщення товарів ІБ00-001591 від 17.12.2025 12:13:48
Глобине-2</t>
  </si>
  <si>
    <t>Обл. НДС
Каска будівельна помаранчева (Україна)
Надходження товарів і послуг ІБ00-006694 від 01.11.2025 12:00:02
КМД-2</t>
  </si>
  <si>
    <t>Обл. НДС
Каска захисна "Універсал" біла
Переміщення товарів ІБ00-001591 від 17.12.2025 12:13:48
Глобине-2</t>
  </si>
  <si>
    <t>Обл. НДС
Каска захисна "Універсал" біла
Надходження товарів і послуг ІБ00-006694 від 01.11.2025 12:00:02
КМД-2</t>
  </si>
  <si>
    <t>Обл. НДС
Ящик для інструментів М100
Переміщення товарів ІБ00-001591 від 17.12.2025 12:13:48
Глобине-2</t>
  </si>
  <si>
    <t>Обл. НДС
Ящик для інструментів М100
Надходження товарів і послуг ІБ00-005641 від 26.09.2025 11:00:00
КМД-2</t>
  </si>
  <si>
    <t>Передача малоцінних активів в експлуатацію ІБ00-000654 від 20.12.2025 18:19:01
Списание стоимости малоценных активов</t>
  </si>
  <si>
    <t>Обл. НДС
Виробничий КМД 2, Путрівка
КМД-2
Амортизація ОЗ загальновиробничого призначення</t>
  </si>
  <si>
    <t>Обл. НДС
Фіксатор Стілець 50/8-24
Надходження товарів і послуг ІБ00-006251 від 28.10.2025 11:00:00
КМД-2</t>
  </si>
  <si>
    <t>Обл. НДС
Патрон Е-27 карболітовий підвісний
Надходження товарів і послуг ІБ00-006672 від 01.11.2025 11:00:00
КМД-2</t>
  </si>
  <si>
    <t>Обл. НДС
Кошма пожежна 1,5м*1,5м (брезент вогнетривкий)
Надходження товарів і послуг ІБ00-006697 від 01.11.2025 11:00:00
КМД-2</t>
  </si>
  <si>
    <t>Обл. НДС
Рулетка 10 м*25 мм
Надходження товарів і послуг ІБ00-006694 від 01.11.2025 12:00:02
КМД-2</t>
  </si>
  <si>
    <t>Обл. НДС
Трубочка до мундштуків АлкоФор в інд уп. 200шт
Надходження товарів і послуг ІБ00-006450 від 15.10.2025 11:00:00
КМД-2</t>
  </si>
  <si>
    <t>25.12.2025</t>
  </si>
  <si>
    <t>Переміщення товарів ІБ00-001666 від 25.12.2025 13:37:15
Перемещение ТМЦ</t>
  </si>
  <si>
    <t>Обл. НДС
Помпа для води
Переміщення товарів ІБ00-001666 від 25.12.2025 13:37:15
Глобине-2</t>
  </si>
  <si>
    <t>Обл. НДС
Помпа для води
Надходження товарів і послуг ІБ00-006453 від 14.10.2025 11:00:00
КМД-2</t>
  </si>
  <si>
    <t>Обл. НДС
Бутиль для води
Переміщення товарів ІБ00-001666 від 25.12.2025 13:37:15
Глобине-2</t>
  </si>
  <si>
    <t>Обл. НДС
Бутиль для води
Надходження товарів і послуг ІБ00-006453 від 14.10.2025 11:00:00
КМД-2</t>
  </si>
  <si>
    <t>Обл. НДС
Рація Baofeng UV 5R
Переміщення товарів ІБ00-001666 від 25.12.2025 13:37:15
Глобине-2</t>
  </si>
  <si>
    <t>Обл. НДС
Рація Baofeng UV 5R
Надходження товарів і послуг ІБ00-006634 від 02.10.2025 11:00:00
КМД-2</t>
  </si>
  <si>
    <t>Обл. НДС
Прожектор світлодіодний 100Вт 80000Lm 6500K
Переміщення товарів ІБ00-001666 від 25.12.2025 13:37:15
Глобине-2</t>
  </si>
  <si>
    <t>Обл. НДС
Прожектор світлодіодний 100Вт 80000Lm 6500K
Надходження товарів і послуг ІБ00-005767 від 26.09.2025 18:21:35
КМД-2</t>
  </si>
  <si>
    <t>Обл. НДС
Провід ПВС 2*1,5 (м)
Переміщення товарів ІБ00-001666 від 25.12.2025 13:37:15
Глобине-2</t>
  </si>
  <si>
    <t>Обл. НДС
Жилет сигнальний 
Переміщення товарів ІБ00-001666 від 25.12.2025 13:37:15
Глобине-2</t>
  </si>
  <si>
    <t>Обл. НДС
Жилет сигнальний 
Надходження товарів і послуг ІБ00-006694 від 01.11.2025 12:00:02
КМД-2</t>
  </si>
  <si>
    <t>Обл. НДС
Плащ від дощу
Переміщення товарів ІБ00-001666 від 25.12.2025 13:37:15
Глобине-2</t>
  </si>
  <si>
    <t>Обл. НДС
Стрічка сигнальна червоно-біла 70х200 м
Переміщення товарів ІБ00-001666 від 25.12.2025 13:37:15
Глобине-2</t>
  </si>
  <si>
    <t>Обл. НДС
Індикатор парів алкоголю алкотестер AlconScan AL5500
Переміщення товарів ІБ00-001666 від 25.12.2025 13:37:15
Глобине-2</t>
  </si>
  <si>
    <t>Обл. НДС
Індикатор парів алкоголю алкотестер AlconScan AL5500
Надходження товарів і послуг ІБ00-006450 від 15.10.2025 11:00:00
КМД-2</t>
  </si>
  <si>
    <t>Обл. НДС
WERK Щітка чашкова для кутов.шліфмашин дротяний трос 125мм
Переміщення товарів ІБ00-001666 від 25.12.2025 13:37:15
Глобине-2</t>
  </si>
  <si>
    <t>Обл. НДС
Диск відрізний по металу 230х2,5х22,2
Переміщення товарів ІБ00-001666 від 25.12.2025 13:37:15
Глобине-2</t>
  </si>
  <si>
    <t>Обл. НДС
Диск відрізний по металу 230х2,5х22,2
Надходження товарів і послуг ІБ00-005640 від 26.09.2025 11:00:00
КМД-2</t>
  </si>
  <si>
    <t>Обл. НДС
Ковдра н/в (50%)
Переміщення товарів ІБ00-001666 від 25.12.2025 13:37:15
Глобине-2</t>
  </si>
  <si>
    <t>Обл. НДС
Ковдра н/в (50%)
Надходження товарів і послуг ІБ00-006671 від 01.11.2025 11:00:00
КМД-2</t>
  </si>
  <si>
    <t>Обл. НДС
Матрац 190*70
Переміщення товарів ІБ00-001666 від 25.12.2025 13:37:15
Глобине-2</t>
  </si>
  <si>
    <t>Обл. НДС
Подушка ватна 60х60
Переміщення товарів ІБ00-001666 від 25.12.2025 13:37:15
Глобине-2</t>
  </si>
  <si>
    <t>Обл. НДС
Подушка ватна 60х60
Надходження товарів і послуг ІБ00-006671 від 01.11.2025 11:00:00
КМД-2</t>
  </si>
  <si>
    <t>Обл. НДС
Стіл
Переміщення товарів ІБ00-001666 від 25.12.2025 13:37:15
Глобине-2</t>
  </si>
  <si>
    <t>Обл. НДС
Стіл
Надходження товарів і послуг ІБ00-006817 від 01.11.2025 11:00:00
КМД-2</t>
  </si>
  <si>
    <t>Обл. НДС
Розетка 2-а з/к накл. біла
Переміщення товарів ІБ00-001666 від 25.12.2025 13:37:15
Глобине-2</t>
  </si>
  <si>
    <t>Переміщення товарів ІБ00-001677 від 29.12.2025 13:19:14
Перемещение ТМЦ</t>
  </si>
  <si>
    <t>Обл. НДС
Ковдра
Переміщення товарів ІБ00-001677 від 29.12.2025 13:19:14
КМД-2</t>
  </si>
  <si>
    <t>Обл. НДС
Ковдра
Надходження товарів і послуг ІБ00-004289 від 16.09.2024 22:20:50
Ніжин-4</t>
  </si>
  <si>
    <t>Обл. НДС
Ковдра
Надходження товарів і послуг ІБ00-004391 від 20.09.2024 18:19:37
Ніжин-4</t>
  </si>
  <si>
    <t>Обл. НДС
Матрас
Переміщення товарів ІБ00-001677 від 29.12.2025 13:19:14
КМД-2</t>
  </si>
  <si>
    <t>Обл. НДС
Матрас
Надходження товарів і послуг ІБ00-004289 від 16.09.2024 22:20:50
Ніжин-4</t>
  </si>
  <si>
    <t>Обл. НДС
Матрас
Надходження товарів і послуг ІБ00-004391 від 20.09.2024 18:19:37
Ніжин-4</t>
  </si>
  <si>
    <t>Обл. НДС
Подушка ватна 60х60
Переміщення товарів ІБ00-001677 від 29.12.2025 13:19:14
КМД-2</t>
  </si>
  <si>
    <t>Обл. НДС
Подушка ватна 60х60
Надходження товарів і послуг ІБ00-004289 від 16.09.2024 22:20:50
Ніжин-4</t>
  </si>
  <si>
    <t>Обл. НДС
Подушка ватна 60х60
Надходження товарів і послуг ІБ00-004391 від 20.09.2024 18:19:37
Ніжин-4</t>
  </si>
  <si>
    <t>Переміщення товарів ІБ00-001754 від 30.12.2025 08:00:00
Перемещение ТМЦ</t>
  </si>
  <si>
    <t>Обл. НДС
Провід ПВСнгд 3х2,5
Переміщення товарів ІБ00-001754 від 30.12.2025 08:00:00
КМД-2</t>
  </si>
  <si>
    <t>Обл. НДС
Провід ПВСнгд 3х2,5
Надходження товарів і послуг ІБ00-006449 від 15.10.2025 11:00:00
КМД-2</t>
  </si>
  <si>
    <t>Обл. НДС
Авт.вимикач 6кА, 3Р, 40А
Переміщення товарів ІБ00-001754 від 30.12.2025 08:00:00
КМД-2</t>
  </si>
  <si>
    <t>Обл. НДС
Авт.вимикач 6кА, 3Р, 40А
Надходження товарів і послуг ІБ00-006449 від 15.10.2025 11:00:00
КМД-2</t>
  </si>
  <si>
    <t>Обл. НДС
Авт.вимикач 6кА, 3Р, 32А
Переміщення товарів ІБ00-001754 від 30.12.2025 08:00:00
КМД-2</t>
  </si>
  <si>
    <t>Обл. НДС
Авт.вимикач 6кА, 3Р, 32А
Надходження товарів і послуг ІБ00-006449 від 15.10.2025 11:00:00
КМД-2</t>
  </si>
  <si>
    <t>Обл. НДС
Монтажний набір ROS11/I-21
Переміщення товарів ІБ00-001754 від 30.12.2025 08:00:00
КМД-2</t>
  </si>
  <si>
    <t>Обл. НДС
Монтажний набір ROS11/I-25
Переміщення товарів ІБ00-001754 від 30.12.2025 08:00:00
КМД-2</t>
  </si>
  <si>
    <t>Обл. НДС
Розетка стаціонарна наружна 125 32А 380В 3Р+N+Е ІР44
Переміщення товарів ІБ00-001754 від 30.12.2025 08:00:00
КМД-2</t>
  </si>
  <si>
    <t>Обл. НДС
Розетка 215 переносна 3Р+РЕ+N 16А 380В ІР44, ІЕК
Переміщення товарів ІБ00-001754 від 30.12.2025 08:00:00
КМД-2</t>
  </si>
  <si>
    <t>Обл. НДС
Розетка 215 переносна 3Р+РЕ+N 16А 380В ІР44, ІЕК
Надходження товарів і послуг ІБ00-006810 від 01.11.2025 11:00:00
КМД-2</t>
  </si>
  <si>
    <t>Обл. НДС
Провід ПВС 4*6,0
Переміщення товарів ІБ00-001754 від 30.12.2025 08:00:00
КМД-2</t>
  </si>
  <si>
    <t>Обл. НДС
Провід ПВС 4*6,0
Надходження товарів і послуг ІБ00-006449 від 15.10.2025 11:00:00
КМД-2</t>
  </si>
  <si>
    <t>Обл. НДС
Дріт ПВС  3* 2,5
Переміщення товарів ІБ00-001754 від 30.12.2025 08:00:00
КМД-2</t>
  </si>
  <si>
    <t>Обл. НДС
Дріт ПВС  3* 2,5
Надходження товарів і послуг ІБ00-005767 від 26.09.2025 18:21:35
КМД-2</t>
  </si>
  <si>
    <t>Обл. НДС
Дріт ПВС  4* 6
Переміщення товарів ІБ00-001754 від 30.12.2025 08:00:00
КМД-2</t>
  </si>
  <si>
    <t>Обл. НДС
Дріт ПВС  4* 6
Надходження товарів і послуг ІБ00-005767 від 26.09.2025 18:21:35
КМД-2</t>
  </si>
  <si>
    <t>Обл. НДС
Прожектор світлодіодний 100Вт 80000Lm 6500K
Переміщення товарів ІБ00-001754 від 30.12.2025 08:00:00
КМД-2</t>
  </si>
  <si>
    <t>Обл. НДС
Лампа LED  50W E40 6500K
Переміщення товарів ІБ00-001754 від 30.12.2025 08:00:00
КМД-2</t>
  </si>
  <si>
    <t>Обл. НДС
Лампа світлодіодна ЕСО А60 куля 7Вт 230В 3000К Е27 ІЕК
Переміщення товарів ІБ00-001754 від 30.12.2025 08:00:00
КМД-2</t>
  </si>
  <si>
    <t>Передача малоцінних активів в експлуатацію ІБ00-000722 від 30.12.2025 23:00:00
Списание стоимости малоценных активов</t>
  </si>
  <si>
    <t>Обл. НДС
Електроди "Моноліт РЦ" 3 мм 2,5кг
Надходження товарів і послуг ІБ00-006694 від 01.11.2025 12:00:02
КМД-2</t>
  </si>
  <si>
    <t>Обл. НДС
Рукавички скло/камінь червон
Надходження товарів і послуг ІБ00-006633 від 01.10.2025 11:00:00
КМД-2</t>
  </si>
  <si>
    <t>Обл. НДС
Круг відрізний  125*1,6*22
Надходження товарів і послуг ІБ00-006448 від 02.10.2025 11:00:00
КМД-2</t>
  </si>
  <si>
    <t>Обл. НДС
Диск відрізний по металу 125х1,2х22,23
Надходження товарів і послуг ІБ00-005640 від 26.09.2025 11:00:00
КМД-2</t>
  </si>
  <si>
    <t>Обл. НДС
Плівка п/е 150 мк 2с 50м 150кв м
Надходження товарів і послуг ІБ00-006694 від 01.11.2025 12:00:02
КМД-2</t>
  </si>
  <si>
    <t>Обл. НДС
Рукавички шкіряний спилок
Надходження товарів і послуг ІБ00-006694 від 01.11.2025 12:00:02
КМД-2</t>
  </si>
  <si>
    <t>Обл. НДС
Чоботи гумові чол.45 р
Надходження товарів і послуг ІБ00-006697 від 01.11.2025 11:00:00
КМД-2</t>
  </si>
  <si>
    <t>Передача малоцінних активів в експлуатацію ІБ00-000721 від 30.12.2025 23:00:39
Списание стоимости малоценных активов</t>
  </si>
  <si>
    <t>Обл. НДС
Рукавиці трикотажні з ПВХ чорні 7клас розм 10
Надходження товарів і послуг ІБ00-006694 від 01.11.2025 12:00:02
КМД-2</t>
  </si>
  <si>
    <t>Обл. НДС
Розетка 3 гнізда з захисними кришками
Надходження товарів і послуг ІБ00-005767 від 26.09.2025 18:21:35
КМД-2</t>
  </si>
  <si>
    <t>Обл. НДС
Крейда біла 100шт-1кг
Надходження товарів і послуг ІБ00-006697 від 01.11.2025 11:00:00
КМД-2</t>
  </si>
  <si>
    <t>Передача малоцінних активів в експлуатацію ІБ00-000733 від 30.12.2025 23:40:02
Списание стоимости малоценных активов</t>
  </si>
  <si>
    <t>Обл. НДС
Чоботи гумові чол.44 р
Надходження товарів і послуг ІБ00-006697 від 01.11.2025 11:00:00
КМД-2</t>
  </si>
  <si>
    <t>Обл. НДС
Чайник електричний
Надходження товарів і послуг ІБ00-006622 від 30.10.2025 11:00:00
КМД-2</t>
  </si>
  <si>
    <t>31.12.2025</t>
  </si>
  <si>
    <t>Передача малоцінних активів в експлуатацію ІБ00-000734 від 31.12.2025 23:00:00
Списание стоимости малоценных активов</t>
  </si>
  <si>
    <t>Обл. НДС
Вилка переносна 015 16А 380В 3Р+N+Е ІР44
Надходження товарів і послуг ІБ00-006810 від 01.11.2025 11:00:00
КМД-2</t>
  </si>
  <si>
    <t>Обл. НДС
Диск відрізний по металу 125х1,6х22
Надходження товарів і послуг ІБ00-005640 від 26.09.2025 11:00:00
КМД-2</t>
  </si>
  <si>
    <t>Обл. НДС
Драбина приставна 2,68м 10сх
Надходження товарів і послуг ІБ00-006673 від 01.11.2025 11:00:00
КМД-2</t>
  </si>
  <si>
    <t>Обл. НДС
Ізострічка ХБ чорна 20 мм*28 м
Надходження товарів і послуг ІБ00-006694 від 01.11.2025 12:00:02
КМД-2</t>
  </si>
  <si>
    <t>Надходження товарів і послуг ІБ00-008175 від 01.12.2025 11:00:00
Оприходованы ТМЦ (Зачет аванса поставщику)</t>
  </si>
  <si>
    <t>Обл. НДС
Електроди "Моноліт РЦ" 3 мм 2,5кг
Надходження товарів і послуг ІБ00-008175 від 01.12.2025 11:00:00
Ніжин-4</t>
  </si>
  <si>
    <t>ІСКРА"БУДМАРКЕТ" ТОВ
Рахунки Ніжин-4
Рахунок на оплату постачальника ІБ00-005473 від 01.11.2025 11:20:20</t>
  </si>
  <si>
    <t>Обл. НДС
Круг відрізний по металу 230*2,0*22,2
Надходження товарів і послуг ІБ00-008175 від 01.12.2025 11:00:00
Ніжин-4</t>
  </si>
  <si>
    <t>Обл. НДС
Круг відрізний по металу 125*1,2*22,23
Надходження товарів і послуг ІБ00-008175 від 01.12.2025 11:00:00
Ніжин-4</t>
  </si>
  <si>
    <t>Передача малоцінних активів в експлуатацію ІБ00-000729 від 30.12.2025 23:30:03
Списание стоимости малоценных активов</t>
  </si>
  <si>
    <t>Обл. НДС
Виробничий (Ніжин-4)
Ніжин-4
Амортизація ОЗ загальновиробничого призначення</t>
  </si>
  <si>
    <t>Обл. НДС
Аптечка виробнича
Надходження товарів і послуг ІБ00-003459 від 24.06.2025 11:00:00
Ніжин-4</t>
  </si>
  <si>
    <t>Обл. НДС
Електроплита спіральна Grunhelm GHP-5613 2.0кВт подвійна вузький тен
Надходження товарів і послуг ІБ00-004222 від 13.09.2024 18:23:04
Ніжин-4</t>
  </si>
  <si>
    <t>Обл. НДС
Електрочайник GRUNHELM
Надходження товарів і послуг ІБ00-003044 від 13.06.2025 11:00:00
Ніжин-4</t>
  </si>
  <si>
    <t>Обл. НДС
Каністра  10 л
Надходження товарів і послуг ІБ00-002425 від 21.05.2025 11:00:00
Ніжин-4</t>
  </si>
  <si>
    <t>Обл. НДС
Каністра  20 л
Надходження товарів і послуг ІБ00-002425 від 21.05.2025 11:00:00
Ніжин-4</t>
  </si>
  <si>
    <t>Передача малоцінних активів в експлуатацію ІБ00-000732 від 31.12.2025 23:31:00
Списание стоимости малоценных активов</t>
  </si>
  <si>
    <t>Надходження товарів і послуг ІБ00-007466 від 01.12.2025 11:00:00
Оприходованы ТМЦ (Зачет аванса поставщику)</t>
  </si>
  <si>
    <t>Обл. НДС
Фарборозпилювач НР⌀1,5 в/бпласт., 600 мл
Надходження товарів і послуг ІБ00-007466 від 01.12.2025 11:00:00
Глобине-2</t>
  </si>
  <si>
    <t>Адаменко Юрій Андрійович ФОП
РАХУНКИ_Глобине-2
Рахунок на оплату постачальника ІБ00-004930 від 01.10.2025 19:00:45</t>
  </si>
  <si>
    <t>Надходження товарів і послуг ІБ00-007686 від 01.12.2025 11:00:00
Оприходованы ТМЦ (Зачет аванса поставщику)</t>
  </si>
  <si>
    <t>Обл. НДС
Паста д/зварювання проти налипання бризг 280г
Надходження товарів і послуг ІБ00-007686 від 01.12.2025 11:00:00
АПК (Глобине)</t>
  </si>
  <si>
    <t>КВлед" ТОВ
Рахунки - Глобино-2
Рахунок на оплату постачальника ІБ00-005760 від 18.11.2025 18:46:49</t>
  </si>
  <si>
    <t>Надходження товарів і послуг ІБ00-008066 від 01.12.2025 11:00:00
Оприходованы ТМЦ</t>
  </si>
  <si>
    <t>Обл. НДС
Стрічка звукоізоляційна самокл.3мм*100мм*30м
Надходження товарів і послуг ІБ00-008066 від 01.12.2025 11:00:00
Глобине-2</t>
  </si>
  <si>
    <t>Дяденко Владислав Миколайович ФОП
Рахунки_Глобино-2
Рахунок на оплату постачальника ІБ00-005938 від 05.11.2025 23:38:04</t>
  </si>
  <si>
    <t>Надходження товарів і послуг ІБ00-008067 від 01.12.2025 11:00:00
Оприходованы ТМЦ (Зачет аванса поставщику)</t>
  </si>
  <si>
    <t>Обл. НДС
Строп СТП-5,0/5000
Надходження товарів і послуг ІБ00-008067 від 01.12.2025 11:00:00
Глобине-2</t>
  </si>
  <si>
    <t>Дяденко Владислав Миколайович ФОП
Рахунки_Глобино-2
Рахунок на оплату постачальника ІБ00-005779 від 01.11.2025 12:01:40</t>
  </si>
  <si>
    <t>Обл. НДС
Строп СТП-3,0/3000
Надходження товарів і послуг ІБ00-008067 від 01.12.2025 11:00:00
Глобине-2</t>
  </si>
  <si>
    <t>Обл. НДС
Шнур поліпропіленовий плетений 16мм 
Надходження товарів і послуг ІБ00-008067 від 01.12.2025 11:00:00
Глобине-2</t>
  </si>
  <si>
    <t>Обл. НДС
Строп СТП-2,0/3000
Надходження товарів і послуг ІБ00-008067 від 01.12.2025 11:00:00
Глобине-2</t>
  </si>
  <si>
    <t>Обл. НДС
Строп СТП-5,0/3500
Надходження товарів і послуг ІБ00-008067 від 01.12.2025 11:00:00
Глобине-2</t>
  </si>
  <si>
    <t>Надходження товарів і послуг ІБ00-008068 від 01.12.2025 11:00:00
Оприходованы ТМЦ (Зачет аванса поставщику)</t>
  </si>
  <si>
    <t>Обл. НДС
Сопло ТІР 3 №517 1225571
Надходження товарів і послуг ІБ00-008068 від 01.12.2025 11:00:00
Глобине-2</t>
  </si>
  <si>
    <t>Сарахман Сітлана Сергіївна ФОП
Рахунки_Глобино-2
Рахунок на оплату постачальника ІБ00-005610 від 13.11.2025 18:56:58</t>
  </si>
  <si>
    <t>Надходження товарів і послуг ІБ00-008152 від 01.12.2025 11:00:00
Оприходованы ТМЦ</t>
  </si>
  <si>
    <t>Обл. НДС
Насадка 8мм 6-гранна
Надходження товарів і послуг ІБ00-008152 від 01.12.2025 11:00:00
Глобине-2</t>
  </si>
  <si>
    <t>Лозовий Микола Миколайович ФОП
РАХУНКИ_Глобино-2
Рахунок на оплату постачальника ІБ00-006390 від 01.12.2025 23:02:14</t>
  </si>
  <si>
    <t>Обл. НДС
Шнур відбивочний 
Надходження товарів і послуг ІБ00-008152 від 01.12.2025 11:00:00
Глобине-2</t>
  </si>
  <si>
    <t>Обл. НДС
Ножиці по металу 250мм
Надходження товарів і послуг ІБ00-008152 від 01.12.2025 11:00:00
Глобине-2</t>
  </si>
  <si>
    <t>Обл. НДС
Жилка буд.1 мм*100 м
Надходження товарів і послуг ІБ00-008152 від 01.12.2025 11:00:00
Глобине-2</t>
  </si>
  <si>
    <t>Надходження товарів і послуг ІБ00-008154 від 01.12.2025 11:00:00
Оприходованы ТМЦ</t>
  </si>
  <si>
    <t>Обл. НДС
СВП Основа 1,5мм
Надходження товарів і послуг ІБ00-008154 від 01.12.2025 11:00:00
Глобине-2</t>
  </si>
  <si>
    <t>Лозовий Микола Миколайович ФОП
РАХУНКИ_Глобино-2
Рахунок на оплату постачальника ІБ00-006127 від 01.12.2025 23:00:27</t>
  </si>
  <si>
    <t>Обл. НДС
СВП Клин нова зелені 
Надходження товарів і послуг ІБ00-008154 від 01.12.2025 11:00:00
Глобине-2</t>
  </si>
  <si>
    <t>Обл. НДС
Хрестики 1,5мм 200шт/уп
Надходження товарів і послуг ІБ00-008154 від 01.12.2025 11:00:00
Глобине-2</t>
  </si>
  <si>
    <t>Обл. НДС
Шпатель 100 мм 
Надходження товарів і послуг ІБ00-008154 від 01.12.2025 11:00:00
Глобине-2</t>
  </si>
  <si>
    <t>Обл. НДС
Міксер для будівельних сумішей
Надходження товарів і послуг ІБ00-008154 від 01.12.2025 11:00:00
Глобине-2</t>
  </si>
  <si>
    <t>Обл. НДС
Диск відрізний алмазний  ф 125 мм
Надходження товарів і послуг ІБ00-008154 від 01.12.2025 11:00:00
Глобине-2</t>
  </si>
  <si>
    <t>Обл. НДС
Губка 23/12/7см
Надходження товарів і послуг ІБ00-008154 від 01.12.2025 11:00:00
Глобине-2</t>
  </si>
  <si>
    <t>Обл. НДС
Диск алмазний 125 х 22,23
Надходження товарів і послуг ІБ00-008154 від 01.12.2025 11:00:00
Глобине-2</t>
  </si>
  <si>
    <t>Обл. НДС
Терка н/ж 130*270 мм зуб 10*10мм
Надходження товарів і послуг ІБ00-008154 від 01.12.2025 11:00:00
Глобине-2</t>
  </si>
  <si>
    <t>Обл. НДС
Ніж 18мм 
Надходження товарів і послуг ІБ00-008154 від 01.12.2025 11:00:00
Глобине-2</t>
  </si>
  <si>
    <t>Обл. НДС
Леза 18 мм сегментні 10 шт
Надходження товарів і послуг ІБ00-008154 від 01.12.2025 11:00:00
Глобине-2</t>
  </si>
  <si>
    <t>Обл. НДС
інструмент д/систем плитки
Надходження товарів і послуг ІБ00-008154 від 01.12.2025 11:00:00
Глобине-2</t>
  </si>
  <si>
    <t>Обл. НДС
СВП інструмент міні пластик
Надходження товарів і послуг ІБ00-008154 від 01.12.2025 11:00:00
Глобине-2</t>
  </si>
  <si>
    <t>Обл. НДС
Рівень 150 см
Надходження товарів і послуг ІБ00-008154 від 01.12.2025 11:00:00
Глобине-2</t>
  </si>
  <si>
    <t>Обл. НДС
Рівень 100 см
Надходження товарів і послуг ІБ00-008154 від 01.12.2025 11:00:00
Глобине-2</t>
  </si>
  <si>
    <t>Обл. НДС
Косинець буд. 350мм 
Надходження товарів і послуг ІБ00-008154 від 01.12.2025 11:00:00
Глобине-2</t>
  </si>
  <si>
    <t>Обл. НДС
Рулетка  5 м*19 мм 
Надходження товарів і послуг ІБ00-008154 від 01.12.2025 11:00:00
Глобине-2</t>
  </si>
  <si>
    <t>Обл. НДС
Окуляри захисні
Надходження товарів і послуг ІБ00-008154 від 01.12.2025 11:00:00
Глобине-2</t>
  </si>
  <si>
    <t>Обл. НДС
Шпатель 300 мм 
Надходження товарів і послуг ІБ00-008154 від 01.12.2025 11:00:00
Глобине-2</t>
  </si>
  <si>
    <t>Надходження товарів і послуг ІБ00-008163 від 01.12.2025 11:00:00
Оприходованы ТМЦ (Зачет аванса поставщику)</t>
  </si>
  <si>
    <t>Обл. НДС
Каска будівельна помаранчева (Україна)
Надходження товарів і послуг ІБ00-008163 від 01.12.2025 11:00:00
Глобине-2</t>
  </si>
  <si>
    <t>УКРСЕРВІС КОМПАНІЯ ТОВ
№15/07/25 від 15.07.2025_Глобино-2
Рахунок на оплату постачальника ІБ00-005763 від 20.11.2025 18:50:46</t>
  </si>
  <si>
    <t>Надходження товарів і послуг ІБ00-007615 від 03.12.2025 11:00:00
Оприходованы ТМЦ</t>
  </si>
  <si>
    <t>Обл. НДС
Взуття чоловіче SEVEN SAFETY 111/02" S1  р.43
Надходження товарів і послуг ІБ00-007615 від 03.12.2025 11:00:00
Глобине-2</t>
  </si>
  <si>
    <t>БРАВО-СП ТОВ
РАХУНКИ_Глобине-2
Рахунок на оплату постачальника ІБ00-005948 від 03.12.2025 18:16:06</t>
  </si>
  <si>
    <t>Обл. НДС
Взуття чоловіче SEVEN SAFETY 111/02" S1  р.44
Надходження товарів і послуг ІБ00-007615 від 03.12.2025 11:00:00
Глобине-2</t>
  </si>
  <si>
    <t>Обл. НДС
Костюм зварювальника брезент. ОП з посиленнями р.104-108/182-188
Надходження товарів і послуг ІБ00-007615 від 03.12.2025 11:00:00
Глобине-2</t>
  </si>
  <si>
    <t>Надходження товарів і послуг ІБ00-007613 від 04.12.2025 11:00:00
Оприходованы ТМЦ</t>
  </si>
  <si>
    <t>Обл. НДС
Жилет сигнальний 
Надходження товарів і послуг ІБ00-007613 від 04.12.2025 11:00:00
Глобине-2</t>
  </si>
  <si>
    <t>БРАВО-СП ТОВ
РАХУНКИ_Глобине-2
Рахунок на оплату постачальника ІБ00-005976 від 03.12.2025 18:16:07</t>
  </si>
  <si>
    <t>Обл. НДС
Каска захисна "Універсал" помаранчева
Надходження товарів і послуг ІБ00-007613 від 04.12.2025 11:00:00
Глобине-2</t>
  </si>
  <si>
    <t>Надходження товарів і послуг ІБ00-007621 від 05.12.2025 11:00:00
Оприходованы ТМЦ</t>
  </si>
  <si>
    <t>Обл. НДС
Тримач електродів DE-2400  400А
Надходження товарів і послуг ІБ00-007621 від 05.12.2025 11:00:00
Глобине-2</t>
  </si>
  <si>
    <t>УКРСЕРВІС КОМПАНІЯ ТОВ
№15/07/25 від 15.07.2025_Глобино-2
Рахунок на оплату постачальника ІБ00-006229 від 05.12.2025 17:13:28</t>
  </si>
  <si>
    <t>12.12.2025</t>
  </si>
  <si>
    <t>Надходження товарів і послуг ІБ00-007673 від 12.12.2025 11:00:00
Оприходованы ТМЦ (Зачет аванса поставщику)</t>
  </si>
  <si>
    <t>Обл. НДС
Якір
Надходження товарів і послуг ІБ00-007673 від 12.12.2025 11:00:00
Глобине-2</t>
  </si>
  <si>
    <t>ЕПОС ТОВ
Рахунки_Глобино-2
Рахунок на оплату постачальника ІБ00-005762 від 27.11.2025 18:01:14</t>
  </si>
  <si>
    <t>Обл. НДС
Колесо зубчате
Надходження товарів і послуг ІБ00-007673 від 12.12.2025 11:00:00
Глобине-2</t>
  </si>
  <si>
    <t>Передача малоцінних активів в експлуатацію ІБ00-000638 від 12.12.2025 15:10:39
Списание стоимости малоценных активов</t>
  </si>
  <si>
    <t>Обл. НДС
Виробничий (Глобине-2)
Глобине-2
Амортизація ОЗ загальновиробничого призначення</t>
  </si>
  <si>
    <t>Обл. НДС
Рукавички трикотажні 
Переміщення товарів ІБ00-001169 від 09.10.2025 11:10:00
Транспортна галерея Естакада 3.3 (Глобине)</t>
  </si>
  <si>
    <t>Обл. НДС
Ручка для валика 25 см
Переміщення товарів ІБ00-001169 від 09.10.2025 11:10:00
Транспортна галерея Естакада 3.3 (Глобине)</t>
  </si>
  <si>
    <t>Обл. НДС
Пензель флейцевий
Переміщення товарів ІБ00-001169 від 09.10.2025 11:10:00
Транспортна галерея Естакада 3.3 (Глобине)</t>
  </si>
  <si>
    <t>Передача малоцінних активів в експлуатацію ІБ00-000630 від 12.12.2025 23:00:09
Списание стоимости малоценных активов</t>
  </si>
  <si>
    <t>Обл. НДС
Лопата совкова 
Надходження товарів і послуг ІБ00-006807 від 11.11.2025 11:00:00
Глобине-2</t>
  </si>
  <si>
    <t>Обл. НДС
Лопата штикова
Надходження товарів і послуг ІБ00-006807 від 11.11.2025 11:00:00
Глобине-2</t>
  </si>
  <si>
    <t>Передача малоцінних активів в експлуатацію ІБ00-000632 від 12.12.2025 23:00:13
Списание стоимости малоценных активов</t>
  </si>
  <si>
    <t>Обл. НДС
Затискач маси прищіпка МК-400 А
Переміщення товарів ІБ00-001116 від 10.10.2025 19:00:01
Транспортна галерея Естакада 3.5 (Глобине)</t>
  </si>
  <si>
    <t>Обл. НДС
Комбінезон
Переміщення товарів ІБ00-001055 від 30.09.2025 11:10:00
Транспортна галерея Естакада 3.5 (Глобине)</t>
  </si>
  <si>
    <t>Передача малоцінних активів в експлуатацію ІБ00-000633 від 12.12.2025 23:00:15
Списание стоимости малоценных активов</t>
  </si>
  <si>
    <t>Обл. НДС
Взуття чоловіче SEVEN SAFETY S1FUR"  р.42
Надходження товарів і послуг ІБ00-006717 від 12.11.2025 11:00:00
Глобине-2</t>
  </si>
  <si>
    <t>Обл. НДС
Взуття чоловіче SEVEN SAFETY S1FUR"  р.43
Надходження товарів і послуг ІБ00-006714 від 11.11.2025 11:00:00
Глобине-2</t>
  </si>
  <si>
    <t>Обл. НДС
Взуття чоловіче SEVEN SAFETY S1FUR"  р.43
Надходження товарів і послуг ІБ00-006717 від 12.11.2025 11:00:00
Глобине-2</t>
  </si>
  <si>
    <t>Обл. НДС
Взуття чоловіче SEVEN SAFETY S1FUR"  р.44
Надходження товарів і послуг ІБ00-006714 від 11.11.2025 11:00:00
Глобине-2</t>
  </si>
  <si>
    <t>Обл. НДС
Взуття чоловіче SEVEN SAFETY S1FUR"  р.45
Надходження товарів і послуг ІБ00-006714 від 11.11.2025 11:00:00
Глобине-2</t>
  </si>
  <si>
    <t>Передача малоцінних активів в експлуатацію ІБ00-000634 від 12.12.2025 23:00:17
Списание стоимости малоценных активов</t>
  </si>
  <si>
    <t>Обл. НДС
Леза 25 мм 5шт
Надходження товарів і послуг ІБ00-006807 від 11.11.2025 11:00:00
Глобине-2</t>
  </si>
  <si>
    <t>Передача малоцінних активів в експлуатацію ІБ00-000635 від 12.12.2025 23:00:19
Списание стоимости малоценных активов</t>
  </si>
  <si>
    <t>Обл. НДС
Електроди "Моноліт РЦ" 4 мм 1кг ОЗЛ-6
Надходження товарів і послуг ІБ00-006701 від 01.11.2025 11:00:00
Глобине-2</t>
  </si>
  <si>
    <t>Передача малоцінних активів в експлуатацію ІБ00-000637 від 12.12.2025 23:00:21
Списание стоимости малоценных активов</t>
  </si>
  <si>
    <t>Обл. НДС
Каска будівельна помаранчева (Україна)
Надходження товарів і послуг ІБ00-006785 від 05.11.2025 11:00:00
Глобине-2</t>
  </si>
  <si>
    <t>Обл. НДС
Костюм зварювальника брезент. ОП з посиленнями р.104-108/182-188
Надходження товарів і послуг ІБ00-006717 від 12.11.2025 11:00:00
Глобине-2</t>
  </si>
  <si>
    <t>Обл. НДС
Круг відрізний 125*1,6*22
Надходження товарів і послуг ІБ00-006712 від 11.11.2025 11:00:00
Глобине-2</t>
  </si>
  <si>
    <t>Обл. НДС
Струбцина магніт д/зварки 22,5кг 102*150*17мм д=28мм
Надходження товарів і послуг ІБ00-006788 від 05.11.2025 11:00:00
Глобине-2</t>
  </si>
  <si>
    <t>Обл. НДС
Н/комбінезон  синій 104-108/182-188
Надходження товарів і послуг ІБ00-006714 від 11.11.2025 11:00:00
Глобине-2</t>
  </si>
  <si>
    <t>Обл. НДС
Кошма пожежна 2м*3 м (брезент вогнетривкий) двошар
Надходження товарів і послуг ІБ00-006370 від 01.10.2025 11:00:00
Глобине-2</t>
  </si>
  <si>
    <t>Передача малоцінних активів в експлуатацію ІБ00-000639 від 12.12.2025 23:00:24
Списание стоимости малоценных активов</t>
  </si>
  <si>
    <t>Обл. НДС
Подовжувач магніт для біт М10
Надходження товарів і послуг ІБ00-004365 від 06.08.2025 11:00:00
СПК (Глобине)</t>
  </si>
  <si>
    <t>Обл. НДС
Пояс запобіжний безлямковий 2ПБ-М (ПБ1-М із стропом-стрічковим К20)
Надходження товарів і послуг ІБ00-006229 від 15.10.2025 11:00:00
СПК (Глобине)</t>
  </si>
  <si>
    <t>Обл. НДС
Провід ПВС 3*2,5 (м)
Надходження товарів і послуг ІБ00-004144 від 23.07.2025 11:00:00
СПК (Глобине)</t>
  </si>
  <si>
    <t>Передача малоцінних активів в експлуатацію ІБ00-000640 від 12.12.2025 23:00:25
Списание стоимости малоценных активов</t>
  </si>
  <si>
    <t>15.12.2025</t>
  </si>
  <si>
    <t>Надходження товарів і послуг ІБ00-008153 від 15.12.2025 11:00:00
Оприходованы ТМЦ</t>
  </si>
  <si>
    <t>Обл. НДС
Світильник акамуляторний 90смд 4000mAh
Надходження товарів і послуг ІБ00-008153 від 15.12.2025 11:00:00
Глобине-2</t>
  </si>
  <si>
    <t>Лозовий Микола Миколайович ФОП
РАХУНКИ_Глобино-2
Рахунок на оплату постачальника ІБ00-006392 від 15.12.2025 17:58:10</t>
  </si>
  <si>
    <t>Надходження товарів і послуг ІБ00-007652 від 16.12.2025 11:00:00
Оприходованы ТМЦ</t>
  </si>
  <si>
    <t>Обл. НДС
Костюм зварювальника брезент. ОП з посиленнями р.104-108/182-188
Надходження товарів і послуг ІБ00-007652 від 16.12.2025 11:00:00
Глобине-2</t>
  </si>
  <si>
    <t>БРАВО-СП ТОВ
РАХУНКИ_Глобине-2
Рахунок на оплату постачальника ІБ00-006251 від 16.12.2025 18:29:25</t>
  </si>
  <si>
    <t>Обл. НДС
Костюм зварювальника брезент. ОП з посиленнями р.104-108/170-176
Надходження товарів і послуг ІБ00-007652 від 16.12.2025 11:00:00
Глобине-2</t>
  </si>
  <si>
    <t>Обл. НДС
Взуття чоловіче SEVEN SAFETY S1FUR"  р.42
Надходження товарів і послуг ІБ00-007652 від 16.12.2025 11:00:00
Глобине-2</t>
  </si>
  <si>
    <t>Обл. НДС
Взуття чоловіче SEVEN SAFETY S1FUR"  р.43
Надходження товарів і послуг ІБ00-007652 від 16.12.2025 11:00:00
Глобине-2</t>
  </si>
  <si>
    <t>Надходження товарів і послуг ІБ00-007727 від 16.12.2025 11:00:00
Оприходованы ТМЦ</t>
  </si>
  <si>
    <t>Обл. НДС
Електрод  УОНІ13/55 д. 4 (5 кг)
Надходження товарів і послуг ІБ00-007727 від 16.12.2025 11:00:00
Глобине-2</t>
  </si>
  <si>
    <t>Дяденко Владислав Миколайович ФОП
Рахунки_Глобино-2
Рахунок на оплату постачальника ІБ00-006339 від 15.12.2025 17:58:07</t>
  </si>
  <si>
    <t>Обл. НДС
Свердло по металу 14,0*108*160мм
Надходження товарів і послуг ІБ00-007727 від 16.12.2025 11:00:00
Глобине-2</t>
  </si>
  <si>
    <t>Надходження товарів і послуг ІБ00-007728 від 16.12.2025 11:00:00
Оприходованы ТМЦ</t>
  </si>
  <si>
    <t>Обл. НДС
Електрод  УОНІ13/55 д. 4 (5 кг)
Надходження товарів і послуг ІБ00-007728 від 16.12.2025 11:00:00
Глобине-2</t>
  </si>
  <si>
    <t>Дяденко Владислав Миколайович ФОП
Рахунки_Глобино-2
Рахунок на оплату постачальника ІБ00-006340 від 15.12.2025 17:58:08</t>
  </si>
  <si>
    <t>Обл. НДС
Електрод  УОНІ13/55, 5 мм  5 кг (кг)
Надходження товарів і послуг ІБ00-007728 від 16.12.2025 11:00:00
Глобине-2</t>
  </si>
  <si>
    <t>18.12.2025</t>
  </si>
  <si>
    <t>Надходження товарів і послуг ІБ00-007653 від 18.12.2025 11:00:00
Оприходованы ТМЦ</t>
  </si>
  <si>
    <t>Обл. НДС
Взуття чоловіче SEVEN SAFETY S1FUR"  р.40
Надходження товарів і послуг ІБ00-007653 від 18.12.2025 11:00:00
Глобине-2</t>
  </si>
  <si>
    <t>БРАВО-СП ТОВ
РАХУНКИ_Глобине-2
Рахунок на оплату постачальника ІБ00-006252 від 17.12.2025 18:18:55</t>
  </si>
  <si>
    <t>Обл. НДС
Взуття чоловіче SEVEN SAFETY S1FUR"  р.41
Надходження товарів і послуг ІБ00-007653 від 18.12.2025 11:00:00
Глобине-2</t>
  </si>
  <si>
    <t>Обл. НДС
Взуття чоловіче SEVEN SAFETY S1FUR"  р.42
Надходження товарів і послуг ІБ00-007653 від 18.12.2025 11:00:00
Глобине-2</t>
  </si>
  <si>
    <t>Обл. НДС
Взуття чоловіче SEVEN SAFETY S1FUR"  р.43
Надходження товарів і послуг ІБ00-007653 від 18.12.2025 11:00:00
Глобине-2</t>
  </si>
  <si>
    <t>Обл. НДС
Взуття чоловіче SEVEN SAFETY S1FUR"  р.44
Надходження товарів і послуг ІБ00-007653 від 18.12.2025 11:00:00
Глобине-2</t>
  </si>
  <si>
    <t>Обл. НДС
Взуття чоловіче SEVEN SAFETY S1FUR"  р.45
Надходження товарів і послуг ІБ00-007653 від 18.12.2025 11:00:00
Глобине-2</t>
  </si>
  <si>
    <t>Обл. НДС
Взуття чоловіче SEVEN SAFETY 2107 S1  р.46
Надходження товарів і послуг ІБ00-007653 від 18.12.2025 11:00:00
Глобине-2</t>
  </si>
  <si>
    <t>Надходження товарів і послуг ІБ00-007760 від 18.12.2025 11:00:00
Оприходованы ТМЦ</t>
  </si>
  <si>
    <t>Обл. НДС
Гайка зажимна 9069, 9020
Надходження товарів і послуг ІБ00-007760 від 18.12.2025 11:00:00
Глобине-2</t>
  </si>
  <si>
    <t>УКРСЕРВІС КОМПАНІЯ ТОВ
№15/07/25 від 15.07.2025_Глобино-2
Рахунок на оплату постачальника ІБ00-006350 від 10.12.2025 18:36:57</t>
  </si>
  <si>
    <t>Обл. НДС
Шайба упорна під відр диск 9558 9565CVR GA9020 GA9030 GA5030
Надходження товарів і послуг ІБ00-007760 від 18.12.2025 11:00:00
Глобине-2</t>
  </si>
  <si>
    <t>Надходження товарів і послуг ІБ00-008065 від 18.12.2025 11:00:00
Оприходованы ТМЦ</t>
  </si>
  <si>
    <t>Обл. НДС
Головка торцева ударна 3/4" 41 мм L=90мм
Надходження товарів і послуг ІБ00-008065 від 18.12.2025 11:00:00
Глобине-2</t>
  </si>
  <si>
    <t>Дяденко Владислав Миколайович ФОП
Рахунки_Глобино-2
Рахунок на оплату постачальника ІБ00-006506 від 16.12.2025 18:29:41</t>
  </si>
  <si>
    <t>Обл. НДС
Головка торцева ударна 3/4" 30 мм L=90мм
Надходження товарів і послуг ІБ00-008065 від 18.12.2025 11:00:00
Глобине-2</t>
  </si>
  <si>
    <t>Обл. НДС
Головка торцева ударна 1/2" 24 мм L=78мм
Надходження товарів і послуг ІБ00-008065 від 18.12.2025 11:00:00
Глобине-2</t>
  </si>
  <si>
    <t>Обл. НДС
Перехідник ударний 3/4"х1/2"  55мм
Надходження товарів і послуг ІБ00-008065 від 18.12.2025 11:00:00
Глобине-2</t>
  </si>
  <si>
    <t>19.12.2025</t>
  </si>
  <si>
    <t>Надходження товарів і послуг ІБ00-007758 від 19.12.2025 11:00:00
Оприходованы ТМЦ</t>
  </si>
  <si>
    <t>Обл. НДС
Тримач електродів DE-2400  400А
Надходження товарів і послуг ІБ00-007758 від 19.12.2025 11:00:00
Глобине-2</t>
  </si>
  <si>
    <t>УКРСЕРВІС КОМПАНІЯ ТОВ
№15/07/25 від 15.07.2025_Глобино-2
Рахунок на оплату постачальника ІБ00-006349 від 17.12.2025 18:19:01</t>
  </si>
  <si>
    <t>Обл. НДС
Кабель звар. КГ 1*25 250А
Надходження товарів і послуг ІБ00-007758 від 19.12.2025 11:00:00
Глобине-2</t>
  </si>
  <si>
    <t>Обл. НДС
Кабель ВВГнг П-3*2,5 бухта 100м
Надходження товарів і послуг ІБ00-007758 від 19.12.2025 11:00:00
Глобине-2</t>
  </si>
  <si>
    <t>Обл. НДС
Вилка пряма з з/к,ІР44
Надходження товарів і послуг ІБ00-007758 від 19.12.2025 11:00:00
Глобине-2</t>
  </si>
  <si>
    <t>Обл. НДС
Касета-розетка 3гн., з/к з кришками ОМЕГА ІР44 16А
Надходження товарів і послуг ІБ00-007758 від 19.12.2025 11:00:00
Глобине-2</t>
  </si>
  <si>
    <t>Обл. НДС
Рулетка 10 м*25 мм
Надходження товарів і послуг ІБ00-007758 від 19.12.2025 11:00:00
Глобине-2</t>
  </si>
  <si>
    <t>Обл. НДС
Рулетка 5м*25мм Black edition
Надходження товарів і послуг ІБ00-007758 від 19.12.2025 11:00:00
Глобине-2</t>
  </si>
  <si>
    <t>Обл. НДС
Маска зварювальника
Надходження товарів і послуг ІБ00-007758 від 19.12.2025 11:00:00
Глобине-2</t>
  </si>
  <si>
    <t>Обл. НДС
Рівень 100 см
Надходження товарів і послуг ІБ00-007758 від 19.12.2025 11:00:00
Глобине-2</t>
  </si>
  <si>
    <t>Обл. НДС
Шнур поліамідний 16мм/разрив 6000кг
Надходження товарів і послуг ІБ00-007758 від 19.12.2025 11:00:00
Глобине-2</t>
  </si>
  <si>
    <t>Обл. НДС
Кувалда 4,0 кг з руч.
Надходження товарів і послуг ІБ00-007758 від 19.12.2025 11:00:00
Глобине-2</t>
  </si>
  <si>
    <t>Обл. НДС
Молоток  500 гр.
Надходження товарів і послуг ІБ00-007758 від 19.12.2025 11:00:00
Глобине-2</t>
  </si>
  <si>
    <t>Обл. НДС
Лом будівельний, 1,5 м
Надходження товарів і послуг ІБ00-007758 від 19.12.2025 11:00:00
Глобине-2</t>
  </si>
  <si>
    <t>Обл. НДС
Лопатка шиномонт 750мм монтіровка
Надходження товарів і послуг ІБ00-007758 від 19.12.2025 11:00:00
Глобине-2</t>
  </si>
  <si>
    <t>Обл. НДС
Кутник будівельний 600*400мм
Надходження товарів і послуг ІБ00-007758 від 19.12.2025 11:00:00
Глобине-2</t>
  </si>
  <si>
    <t>Обл. НДС
Головка 13мм 1/2" 6гр
Надходження товарів і послуг ІБ00-007758 від 19.12.2025 11:00:00
Глобине-2</t>
  </si>
  <si>
    <t>Обл. НДС
Головка 17мм 1/2" 6гр
Надходження товарів і послуг ІБ00-007758 від 19.12.2025 11:00:00
Глобине-2</t>
  </si>
  <si>
    <t>Обл. НДС
Головка 19мм 1/2" 6гр
Надходження товарів і послуг ІБ00-007758 від 19.12.2025 11:00:00
Глобине-2</t>
  </si>
  <si>
    <t>Обл. НДС
Головка шестигранна 24мм,1/2
Надходження товарів і послуг ІБ00-007758 від 19.12.2025 11:00:00
Глобине-2</t>
  </si>
  <si>
    <t>Обл. НДС
Головка ударна 1/2"  30мм
Надходження товарів і послуг ІБ00-007758 від 19.12.2025 11:00:00
Глобине-2</t>
  </si>
  <si>
    <t>Обл. НДС
Строп СТП-2,0/1500
Надходження товарів і послуг ІБ00-007758 від 19.12.2025 11:00:00
Глобине-2</t>
  </si>
  <si>
    <t>Обл. НДС
Набір викруток 7 предметів
Надходження товарів і послуг ІБ00-007758 від 19.12.2025 11:00:00
Глобине-2</t>
  </si>
  <si>
    <t>Обл. НДС
Ключ рожков. 17*19мм
Надходження товарів і послуг ІБ00-007758 від 19.12.2025 11:00:00
Глобине-2</t>
  </si>
  <si>
    <t>Обл. НДС
Тримач електродів DE-2300  300А
Надходження товарів і послуг ІБ00-007758 від 19.12.2025 11:00:00
Глобине-2</t>
  </si>
  <si>
    <t>Обл. НДС
Затискач маси прищіпка МК-250 А
Надходження товарів і послуг ІБ00-007758 від 19.12.2025 11:00:00
Глобине-2</t>
  </si>
  <si>
    <t>Обл. НДС
Ключ трубний важільний 85 мм L500 №3
Надходження товарів і послуг ІБ00-007758 від 19.12.2025 11:00:00
Глобине-2</t>
  </si>
  <si>
    <t>Надходження товарів і послуг ІБ00-007759 від 19.12.2025 11:00:00
Оприходованы ТМЦ (Зачет аванса поставщику)</t>
  </si>
  <si>
    <t>Обл. НДС
Піна монтажна  780 мл 
Надходження товарів і послуг ІБ00-007759 від 19.12.2025 11:00:00
Глобине-2</t>
  </si>
  <si>
    <t>УКРСЕРВІС КОМПАНІЯ ТОВ
№15/07/25 від 15.07.2025_Глобино-2
Рахунок на оплату постачальника ІБ00-006122 від 15.12.2025 17:57:22</t>
  </si>
  <si>
    <t>Обл. НДС
Пензель 30мм
Надходження товарів і послуг ІБ00-007759 від 19.12.2025 11:00:00
Глобине-2</t>
  </si>
  <si>
    <t>Обл. НДС
Пензель 40мм
Надходження товарів і послуг ІБ00-007759 від 19.12.2025 11:00:00
Глобине-2</t>
  </si>
  <si>
    <t>Обл. НДС
Пензель 50мм
Надходження товарів і послуг ІБ00-007759 від 19.12.2025 11:00:00
Глобине-2</t>
  </si>
  <si>
    <t>Обл. НДС
Валик 8*48*250мм ворс 11мм
Надходження товарів і послуг ІБ00-007759 від 19.12.2025 11:00:00
Глобине-2</t>
  </si>
  <si>
    <t>Обл. НДС
Електроди "Моноліт РЦ" 3 мм 1кг
Надходження товарів і послуг ІБ00-007759 від 19.12.2025 11:00:00
Глобине-2</t>
  </si>
  <si>
    <t>Надходження товарів і послуг ІБ00-007759 від 19.12.2025 11:00:00
Оприходованы ТМЦ</t>
  </si>
  <si>
    <t>Обл. НДС
Електроди "Моноліт РЦ" 4 мм 1кг ОЗЛ-6
Надходження товарів і послуг ІБ00-007759 від 19.12.2025 11:00:00
Глобине-2</t>
  </si>
  <si>
    <t>Обл. НДС
Валік 10см ф30 Міді 
Надходження товарів і послуг ІБ00-007759 від 19.12.2025 11:00:00
Глобине-2</t>
  </si>
  <si>
    <t>Обл. НДС
Ручка для валика
Надходження товарів і послуг ІБ00-007759 від 19.12.2025 11:00:00
Глобине-2</t>
  </si>
  <si>
    <t>Обл. НДС
Пензель 60*14 малярний плоский
Надходження товарів і послуг ІБ00-007759 від 19.12.2025 11:00:00
Глобине-2</t>
  </si>
  <si>
    <t>Надходження товарів і послуг ІБ00-007761 від 19.12.2025 11:00:00
Оприходованы ТМЦ</t>
  </si>
  <si>
    <t>Обл. НДС
Щітка по металу
Надходження товарів і послуг ІБ00-007761 від 19.12.2025 11:00:00
Глобине-2</t>
  </si>
  <si>
    <t>УКРСЕРВІС КОМПАНІЯ ТОВ
№15/07/25 від 15.07.2025_Глобино-2
Рахунок на оплату постачальника ІБ00-006351 від 15.12.2025 17:58:09</t>
  </si>
  <si>
    <t>Обл. НДС
Рукавички трикотажні помаранчеві з ПВХ крапкою 78412 / 8412
Надходження товарів і послуг ІБ00-007761 від 19.12.2025 11:00:00
Глобине-2</t>
  </si>
  <si>
    <t>Обл. НДС
Рукавиці скло/камінь з гумовим надолон, пар
Надходження товарів і послуг ІБ00-007761 від 19.12.2025 11:00:00
Глобине-2</t>
  </si>
  <si>
    <t>Обл. НДС
Електроди "Моноліт РЦ" 4 мм уп. 5,0 кг
Надходження товарів і послуг ІБ00-007761 від 19.12.2025 11:00:00
Глобине-2</t>
  </si>
  <si>
    <t>Обл. НДС
Електроди "Моноліт РЦ" 3 мм 2,5кг
Надходження товарів і послуг ІБ00-007761 від 19.12.2025 11:00:00
Глобине-2</t>
  </si>
  <si>
    <t>Обл. НДС
Круг відрізний 230*2,5*22 увігнутий
Надходження товарів і послуг ІБ00-007761 від 19.12.2025 11:00:00
Глобине-2</t>
  </si>
  <si>
    <t>Обл. НДС
Круг відрізний по металу 125*1,0*22,2
Надходження товарів і послуг ІБ00-007761 від 19.12.2025 11:00:00
Глобине-2</t>
  </si>
  <si>
    <t>Обл. НДС
Круг відрізний по металу 150*1,6*22,23
Надходження товарів і послуг ІБ00-007761 від 19.12.2025 11:00:00
Глобине-2</t>
  </si>
  <si>
    <t>Обл. НДС
Круг алмазний 230*22,2 мм Turbо-сегментний
Надходження товарів і послуг ІБ00-007761 від 19.12.2025 11:00:00
Глобине-2</t>
  </si>
  <si>
    <t>Обл. НДС
Круг алмазний 125 бетон, граніт сегмент ВРЕ ЕСО
Надходження товарів і послуг ІБ00-007761 від 19.12.2025 11:00:00
Глобине-2</t>
  </si>
  <si>
    <t>Надходження товарів і послуг ІБ00-008162 від 19.12.2025 11:00:00
Оприходованы ТМЦ</t>
  </si>
  <si>
    <t>Обл. НДС
Головка ударна 1/2"  24мм
Надходження товарів і послуг ІБ00-008162 від 19.12.2025 11:00:00
Глобине-2</t>
  </si>
  <si>
    <t>УКРСЕРВІС КОМПАНІЯ ТОВ
№15/07/25 від 15.07.2025_Глобино-2
Рахунок на оплату постачальника ІБ00-006522 від 15.12.2025 17:58:14</t>
  </si>
  <si>
    <t>Обл. НДС
Маска зварювальника
Надходження товарів і послуг ІБ00-008162 від 19.12.2025 11:00:00
Глобине-2</t>
  </si>
  <si>
    <t>Обл. НДС
Тримач електродів DE-2500  500А
Надходження товарів і послуг ІБ00-008162 від 19.12.2025 11:00:00
Глобине-2</t>
  </si>
  <si>
    <t>Обл. НДС
Затискач маси прищіпка МК-600 А
Надходження товарів і послуг ІБ00-008162 від 19.12.2025 11:00:00
Глобине-2</t>
  </si>
  <si>
    <t>Обл. НДС
Пензель*60
Надходження товарів і послуг ІБ00-008162 від 19.12.2025 11:00:00
Глобине-2</t>
  </si>
  <si>
    <t>Обл. НДС
Фреза алмазна DGS-S 100/22.23.-14 Baumesser Beton
Надходження товарів і послуг ІБ00-008162 від 19.12.2025 11:00:00
Глобине-2</t>
  </si>
  <si>
    <t>Обл. НДС
Фреза алмазна торцева 180*22,23
Надходження товарів і послуг ІБ00-008162 від 19.12.2025 11:00:00
Глобине-2</t>
  </si>
  <si>
    <t>Обл. НДС
Електрод Монолит РЦ 2 мм 1 кг (пач)
Надходження товарів і послуг ІБ00-008162 від 19.12.2025 11:00:00
Глобине-2</t>
  </si>
  <si>
    <t>Переміщення товарів ІБ00-001644 від 20.12.2025 08:00:00
Перемещение ТМЦ</t>
  </si>
  <si>
    <t>Обл. НДС
Окуляри захисні
Переміщення товарів ІБ00-001644 від 20.12.2025 08:00:00
АПК (Глобине)</t>
  </si>
  <si>
    <t>Обл. НДС
Окуляри захисні
Надходження товарів і послуг ІБ00-004144 від 23.07.2025 11:00:00
Насосна Градирня (Глобине)</t>
  </si>
  <si>
    <t>Обл. НДС
Очисник для піни  500 мл
Переміщення товарів ІБ00-001644 від 20.12.2025 08:00:00
АПК (Глобине)</t>
  </si>
  <si>
    <t>Обл. НДС
Очисник для піни  500 мл
Переміщення товарів ІБ00-000997 від 24.09.2025 11:10:00
Насосна Градирня (Глобине)</t>
  </si>
  <si>
    <t>Обл. НДС
Пензель малярний 2"
Переміщення товарів ІБ00-001644 від 20.12.2025 08:00:00
АПК (Глобине)</t>
  </si>
  <si>
    <t>Обл. НДС
Пензель малярний 2"
Переміщення товарів ІБ00-001167 від 09.10.2025 11:10:00
Насосна Градирня (Глобине)</t>
  </si>
  <si>
    <t>Обл. НДС
Рукавиці трикотажні  ХБ/ПЕ з ПВХ візерунком
Переміщення товарів ІБ00-001644 від 20.12.2025 08:00:00
АПК (Глобине)</t>
  </si>
  <si>
    <t>Обл. НДС
Рукавиці трикотажні  ХБ/ПЕ з ПВХ візерунком
Переміщення товарів ІБ00-001006 від 23.09.2025 11:10:00
Насосна Градирня (Глобине)</t>
  </si>
  <si>
    <t>Обл. НДС
Рукавички краги сині з підкладкою
Переміщення товарів ІБ00-001644 від 20.12.2025 08:00:00
АПК (Глобине)</t>
  </si>
  <si>
    <t>Обл. НДС
Рукавички краги сині з підкладкою
Переміщення товарів ІБ00-001119 від 10.10.2025 19:00:00
Насосна Градирня (Глобине)</t>
  </si>
  <si>
    <t>Обл. НДС
Рукавички трикотажні 
Переміщення товарів ІБ00-001644 від 20.12.2025 08:00:00
АПК (Глобине)</t>
  </si>
  <si>
    <t>Обл. НДС
Рукавички трикотажні 
Переміщення товарів ІБ00-001167 від 09.10.2025 11:10:00
Насосна Градирня (Глобине)</t>
  </si>
  <si>
    <t>Переміщення товарів ІБ00-001647 від 20.12.2025 08:00:00
Перемещение ТМЦ</t>
  </si>
  <si>
    <t>Обл. НДС
Електроди "Моноліт РЦ" 4 мм 5кг
Переміщення товарів ІБ00-001647 від 20.12.2025 08:00:00
Глобине-2</t>
  </si>
  <si>
    <t>Обл. НДС
Електроди "Моноліт РЦ" 4 мм 5кг
Переміщення товарів ІБ00-001112 від 15.10.2025 19:00:00
Транспортна галерея Естакада 3.5 (Глобине)</t>
  </si>
  <si>
    <t>Обл. НДС
Круг відрізний  230*2,0*22,23
Переміщення товарів ІБ00-001647 від 20.12.2025 08:00:00
Глобине-2</t>
  </si>
  <si>
    <t>Обл. НДС
Круг відрізний  230*2,0*22,23
Переміщення товарів ІБ00-001055 від 30.09.2025 11:10:00
Транспортна галерея Естакада 3.5 (Глобине)</t>
  </si>
  <si>
    <t>Переміщення товарів ІБ00-001651 від 20.12.2025 08:00:00
Перемещение ТМЦ</t>
  </si>
  <si>
    <t>Обл. НДС
Пістолет для піни
Переміщення товарів ІБ00-001651 від 20.12.2025 08:00:00
Глобине-2</t>
  </si>
  <si>
    <t>Обл. НДС
Пістолет для піни
Переміщення товарів ІБ00-001004 від 23.09.2025 11:10:00
Резервуарний парк соєвої меляси (Глобине)</t>
  </si>
  <si>
    <t>Переміщення товарів ІБ00-001656 від 20.12.2025 08:00:00
Перемещение ТМЦ</t>
  </si>
  <si>
    <t>Обл. НДС
Масло для 2-х тактних двигунів
Переміщення товарів ІБ00-001656 від 20.12.2025 08:00:00
Цех екстракції (Глобине)</t>
  </si>
  <si>
    <t>Обл. НДС
Масло для 2-х тактних двигунів
Переміщення товарів ІБ00-001008 від 23.09.2025 11:10:00
СПК (Глобине)</t>
  </si>
  <si>
    <t>Обл. НДС
Наколінники захисні
Переміщення товарів ІБ00-001656 від 20.12.2025 08:00:00
Цех екстракції (Глобине)</t>
  </si>
  <si>
    <t>Обл. НДС
Наколінники захисні
Переміщення товарів ІБ00-000876 від 11.09.2025 11:10:00
СПК (Глобине)</t>
  </si>
  <si>
    <t>Обл. НДС
Плівка п/е рукав 1500*200 мкм
Переміщення товарів ІБ00-001656 від 20.12.2025 08:00:00
Цех екстракції (Глобине)</t>
  </si>
  <si>
    <t>Обл. НДС
Плівка п/е рукав 1500*200 мкм
Надходження товарів і послуг ІБ00-004373 від 08.08.2025 11:00:00
СПК (Глобине)</t>
  </si>
  <si>
    <t>Обл. НДС
Провід ПВС 3*2,5 (м)
Переміщення товарів ІБ00-001656 від 20.12.2025 08:00:00
Цех екстракції (Глобине)</t>
  </si>
  <si>
    <t>Обл. НДС
Провід ПВС 3*2,5 (м)
Переміщення товарів ІБ00-000998 від 24.09.2025 11:10:00
СПК (Глобине)</t>
  </si>
  <si>
    <t>Обл. НДС
Тримач електродів DE-2400  400А
Переміщення товарів ІБ00-001656 від 20.12.2025 08:00:00
Цех екстракції (Глобине)</t>
  </si>
  <si>
    <t>Обл. НДС
Тримач електродів DE-2400  400А
Переміщення товарів ІБ00-001323 від 18.11.2025 08:00:00
СПК (Глобине)</t>
  </si>
  <si>
    <t>Переміщення товарів ІБ00-001668 від 20.12.2025 08:00:00
Перемещение ТМЦ</t>
  </si>
  <si>
    <t>Обл. НДС
Рівень 100 см
Переміщення товарів ІБ00-001668 від 20.12.2025 08:00:00
Котельна (Глобине)</t>
  </si>
  <si>
    <t>Обл. НДС
Рівень 100 см
Переміщення товарів ІБ00-001141 від 20.10.2025 11:10:00
СПК (Глобине)</t>
  </si>
  <si>
    <t>Обл. НДС
Штекер байонетний  400 А
Переміщення товарів ІБ00-001668 від 20.12.2025 08:00:00
Котельна (Глобине)</t>
  </si>
  <si>
    <t>Обл. НДС
Штекер байонетний  400 А
Переміщення товарів ІБ00-001115 від 10.10.2025 19:00:00
СПК (Глобине)</t>
  </si>
  <si>
    <t>Передача малоцінних активів в експлуатацію ІБ00-000666 від 20.12.2025 12:00:00
Списание стоимости малоценных активов</t>
  </si>
  <si>
    <t>Передача малоцінних активів в експлуатацію ІБ00-000659 від 20.12.2025 16:37:08
Списание стоимости малоценных активов</t>
  </si>
  <si>
    <t>Обл. НДС
Сопло до плазмотрону Р-80 1,5мм нікельоване
Авансовий звіт ІБ00-000356 від 18.11.2025 15:31:57
Глобине-2</t>
  </si>
  <si>
    <t>Обл. НДС
Спрей-змазка 400мл ВД-40
Надходження товарів і послуг ІБ00-006807 від 11.11.2025 11:00:00
Глобине-2</t>
  </si>
  <si>
    <t>Обл. НДС
Стрічка сигнальна червоно-біла 70х200 м
Надходження товарів і послуг ІБ00-006807 від 11.11.2025 11:00:00
Глобине-2</t>
  </si>
  <si>
    <t>Передача малоцінних активів в експлуатацію ІБ00-000655 від 20.12.2025 20:00:00
Списание стоимости малоценных активов</t>
  </si>
  <si>
    <t>Обл. НДС
Валик малярний
Надходження товарів і послуг ІБ00-006807 від 11.11.2025 11:00:00
Глобине-2</t>
  </si>
  <si>
    <t>Передача малоцінних активів в експлуатацію ІБ00-000672 від 20.12.2025 20:00:00
Списание стоимости малоценных активов</t>
  </si>
  <si>
    <t>Передача малоцінних активів в експлуатацію ІБ00-000656 від 20.12.2025 20:12:52
Списание стоимости малоценных активов</t>
  </si>
  <si>
    <t>Обл. НДС
Електрод вольфрам WТ20 D 2.0мм 
Надходження товарів і послуг ІБ00-005105 від 01.09.2025 11:00:00
Глобине-2</t>
  </si>
  <si>
    <t>Передача малоцінних активів в експлуатацію ІБ00-000657 від 20.12.2025 20:12:54
Списание стоимости малоценных активов</t>
  </si>
  <si>
    <t>Обл. НДС
Черевики з метноском р 43
Надходження товарів і послуг ІБ00-005235 від 08.09.2025 11:00:00
Глобине-2</t>
  </si>
  <si>
    <t>Передача малоцінних активів в експлуатацію ІБ00-000658 від 20.12.2025 20:12:57
Списание стоимости малоценных активов</t>
  </si>
  <si>
    <t>Передача малоцінних активів в експлуатацію ІБ00-000660 від 20.12.2025 20:12:59
Списание стоимости малоценных активов</t>
  </si>
  <si>
    <t>Обл. НДС
Окуляри захисні
Надходження товарів і послуг ІБ00-006785 від 05.11.2025 11:00:00
Глобине-2</t>
  </si>
  <si>
    <t>Обл. НДС
Очисник для піни С45 450 мл укр
Надходження товарів і послуг ІБ00-006807 від 11.11.2025 11:00:00
Глобине-2</t>
  </si>
  <si>
    <t>Передача малоцінних активів в експлуатацію ІБ00-000661 від 20.12.2025 20:13:03
Списание стоимости малоценных активов</t>
  </si>
  <si>
    <t>Обл. НДС
Черевики "Профі" ПУ р.46
Надходження товарів і послуг ІБ00-006785 від 05.11.2025 11:00:00
Глобине-2</t>
  </si>
  <si>
    <t>Обл. НДС
Черевики з метноском р 42
Надходження товарів і послуг ІБ00-005235 від 08.09.2025 11:00:00
Глобине-2</t>
  </si>
  <si>
    <t>Обл. НДС
Щітка вугільна Макіта СВ-175
Надходження товарів і послуг ІБ00-006784 від 07.11.2025 11:00:00
Глобине-2</t>
  </si>
  <si>
    <t>Обл. НДС
Фарборозпилювач НР д=1,5 в/б метал., 1000 мл
Надходження товарів і послуг ІБ00-006228 від 23.10.2025 11:00:00
Глобине-2</t>
  </si>
  <si>
    <t>Обл. НДС
Строп СТП-3,0/3000
Надходження товарів і послуг ІБ00-006788 від 05.11.2025 11:00:00
Глобине-2</t>
  </si>
  <si>
    <t>Обл. НДС
Полотно для шабельної пилки
Надходження товарів і послуг ІБ00-006807 від 11.11.2025 11:00:00
Глобине-2</t>
  </si>
  <si>
    <t>Обл. НДС
Полотно для шабельної пилки цегла/бетон І=455мм h=1,5мм 2 зуби/1"
Надходження товарів і послуг ІБ00-006788 від 05.11.2025 11:00:00
Глобине-2</t>
  </si>
  <si>
    <t>Обл. НДС
Круг відрізний армований 230*2,5*22
Надходження товарів і послуг ІБ00-006712 від 11.11.2025 11:00:00
Глобине-2</t>
  </si>
  <si>
    <t>Передача малоцінних активів в експлуатацію ІБ00-000662 від 20.12.2025 20:13:05
Списание стоимости малоценных активов</t>
  </si>
  <si>
    <t>Обл. НДС
Піна монтажна  860 мл 
Надходження товарів і послуг ІБ00-004660 від 22.08.2025 11:00:00
Глобине-2</t>
  </si>
  <si>
    <t>Передача малоцінних активів в експлуатацію ІБ00-000663 від 20.12.2025 20:13:07
Списание стоимости малоценных активов</t>
  </si>
  <si>
    <t>Передача малоцінних активів в експлуатацію ІБ00-000664 від 20.12.2025 20:13:10
Списание стоимости малоценных активов</t>
  </si>
  <si>
    <t>Обл. НДС
Рулетка 5м*25мм Black edition
Надходження товарів і послуг ІБ00-006807 від 11.11.2025 11:00:00
Глобине-2</t>
  </si>
  <si>
    <t>Передача малоцінних активів в експлуатацію ІБ00-000665 від 20.12.2025 20:13:12
Списание стоимости малоценных активов</t>
  </si>
  <si>
    <t>Обл. НДС
Пика + 200/250 мм бетон цегла
Надходження товарів і послуг ІБ00-006807 від 11.11.2025 11:00:00
Глобине-2</t>
  </si>
  <si>
    <t>Обл. НДС
Ручка для валика
Надходження товарів і послуг ІБ00-006807 від 11.11.2025 11:00:00
Глобине-2</t>
  </si>
  <si>
    <t>Обл. НДС
Хомут 3.6х300мм нейлон (100шт) ІЕК
Надходження товарів і послуг ІБ00-006788 від 05.11.2025 11:00:00
Глобине-2</t>
  </si>
  <si>
    <t>24.12.2025</t>
  </si>
  <si>
    <t>Надходження товарів і послуг ІБ00-008062 від 24.12.2025 11:00:00
Оприходованы ТМЦ</t>
  </si>
  <si>
    <t>Обл. НДС
Щітка Макіта СВ-204; 9069, 9059, 9030, 9020, 9049, 1304, 7*18мм
Надходження товарів і послуг ІБ00-008062 від 24.12.2025 11:00:00
Глобине-2</t>
  </si>
  <si>
    <t>Дяденко Владислав Миколайович ФОП
Рахунки_Глобино-2
Рахунок на оплату постачальника ІБ00-006504 від 18.12.2025 19:00:45</t>
  </si>
  <si>
    <t>Обл. НДС
Щітка 6*16мм GWS20-230JH
Надходження товарів і послуг ІБ00-008062 від 24.12.2025 11:00:00
Глобине-2</t>
  </si>
  <si>
    <t>Авансовий звіт ІБ00-000411 від 24.12.2025 12:23:14
Оприходованы ТМЦ</t>
  </si>
  <si>
    <t>Обл. НДС
Клема сварочна
Авансовий звіт ІБ00-000411 від 24.12.2025 12:23:14
Глобине-2</t>
  </si>
  <si>
    <t>Штиченко Олександр Володимирович</t>
  </si>
  <si>
    <t>Обл. НДС
Диск відрізний по плитці
Авансовий звіт ІБ00-000411 від 24.12.2025 12:23:14
Глобине-2</t>
  </si>
  <si>
    <t>Надходження товарів і послуг ІБ00-008150 від 25.12.2025 11:00:00
Оприходованы ТМЦ</t>
  </si>
  <si>
    <t>Обл. НДС
Кабель АВВГ нгд 3*16+1*10 кабель
Надходження товарів і послуг ІБ00-008150 від 25.12.2025 11:00:00
Глобине-2</t>
  </si>
  <si>
    <t>ПЛАТІНУМ ЕЛЕКТРИК ТОВ
№ ВЮ89 від 25.03.2024_Глобине-2
Рахунок на оплату постачальника ІБ00-006521 від 22.12.2025 22:35:15</t>
  </si>
  <si>
    <t>Надходження товарів і послуг ІБ00-008133 від 25.12.2025 11:11:11
Оприходованы ТМЦ</t>
  </si>
  <si>
    <t>Обл. НДС
Диск алмазний 230 х 22,2 
Надходження товарів і послуг ІБ00-008133 від 25.12.2025 11:11:11
АПК (Глобине)</t>
  </si>
  <si>
    <t>Павленко Р.М. ФОП маг. Дюйм
Глобино-2_РАХУНКИ
Рахунок на оплату постачальника ІБ00-000192 від 01.01.2026 11:02:09</t>
  </si>
  <si>
    <t>26.12.2025</t>
  </si>
  <si>
    <t>Переміщення товарів ІБ00-001683 від 26.12.2025 08:00:00
Перемещение ТМЦ</t>
  </si>
  <si>
    <t>Обл. НДС
Пістолет для піни
Переміщення товарів ІБ00-001683 від 26.12.2025 08:00:00
Глобине-2</t>
  </si>
  <si>
    <t>Обл. НДС
Пістолет для піни
Авансовий звіт ІБ00-000323 від 24.10.2025 00:00:00
Глобине-2</t>
  </si>
  <si>
    <t>Переміщення товарів ІБ00-001689 від 26.12.2025 08:00:00
Перемещение ТМЦ</t>
  </si>
  <si>
    <t>Обл. НДС
Електроди "Моноліт РЦ" 3 мм 2,5кг
Переміщення товарів ІБ00-001689 від 26.12.2025 08:00:00
Глобине-2</t>
  </si>
  <si>
    <t>Обл. НДС
Електроди "Моноліт РЦ" 3 мм 2,5кг
Надходження товарів і послуг ІБ00-004365 від 06.08.2025 11:00:00
Котельна (Глобине)</t>
  </si>
  <si>
    <t>Обл. НДС
Електроди "Моноліт РЦ" 4 мм уп. 5,0 кг
Переміщення товарів ІБ00-001689 від 26.12.2025 08:00:00
Глобине-2</t>
  </si>
  <si>
    <t>Обл. НДС
Електроди "Моноліт РЦ" 4 мм уп. 5,0 кг
Надходження товарів і послуг ІБ00-004070 від 08.07.2025 11:00:00
Котельна (Глобине)</t>
  </si>
  <si>
    <t>Надходження товарів і послуг ІБ00-008010 від 26.12.2025 11:00:00
Оприходованы ТМЦ (Зачет аванса поставщику)</t>
  </si>
  <si>
    <t>Обл. НДС
Кабель КГ 1*25 зварювальний 250А (м)
Надходження товарів і послуг ІБ00-008010 від 26.12.2025 11:00:00
Глобине-2</t>
  </si>
  <si>
    <t>СКАЙ-ЕНЕРДЖИ
Рахунки_Глобине-2
Рахунок на оплату постачальника ІБ00-005983 від 11.11.2025 22:53:56</t>
  </si>
  <si>
    <t>Обл. НДС
Кабель ВВГ нгд 3*2,5
Надходження товарів і послуг ІБ00-008010 від 26.12.2025 11:00:00
Глобине-2</t>
  </si>
  <si>
    <t>Обл. НДС
Вилка пряма 16 А
Надходження товарів і послуг ІБ00-008010 від 26.12.2025 11:00:00
Глобине-2</t>
  </si>
  <si>
    <t>Обл. НДС
Колодка 3 гнізда з зазем.
Надходження товарів і послуг ІБ00-008010 від 26.12.2025 11:00:00
Глобине-2</t>
  </si>
  <si>
    <t>Надходження товарів і послуг ІБ00-008010 від 26.12.2025 11:00:00
Оприходованы ТМЦ</t>
  </si>
  <si>
    <t>Обл. НДС
ЯРП 250К ІР54
Надходження товарів і послуг ІБ00-008010 від 26.12.2025 11:00:00
Глобине-2</t>
  </si>
  <si>
    <t>Надходження товарів і послуг ІБ00-008011 від 26.12.2025 11:00:00
Оприходованы ТМЦ (Зачет аванса поставщику)</t>
  </si>
  <si>
    <t>Обл. НДС
Рулетка 10 м*25 мм
Надходження товарів і послуг ІБ00-008011 від 26.12.2025 11:00:00
Глобине-2</t>
  </si>
  <si>
    <t>СКАЙ-ЕНЕРДЖИ
Рахунки_Глобине-2
Рахунок на оплату постачальника ІБ00-005980 від 11.11.2025 22:53:55</t>
  </si>
  <si>
    <t>Обл. НДС
Рулетка  5 м 
Надходження товарів і послуг ІБ00-008011 від 26.12.2025 11:00:00
Глобине-2</t>
  </si>
  <si>
    <t>Обл. НДС
Рівень 100 см
Надходження товарів і послуг ІБ00-008011 від 26.12.2025 11:00:00
Глобине-2</t>
  </si>
  <si>
    <t>Обл. НДС
Кувалда 3 кг 
Надходження товарів і послуг ІБ00-008011 від 26.12.2025 11:00:00
Глобине-2</t>
  </si>
  <si>
    <t>Обл. НДС
Молоток  500 гр.
Надходження товарів і послуг ІБ00-008011 від 26.12.2025 11:00:00
Глобине-2</t>
  </si>
  <si>
    <t>Обл. НДС
Лом будівельний, 1,4 м
Надходження товарів і послуг ІБ00-008011 від 26.12.2025 11:00:00
Глобине-2</t>
  </si>
  <si>
    <t>Обл. НДС
Канат джгутовий кручений D 16 мм, 50 м
Надходження товарів і послуг ІБ00-008011 від 26.12.2025 11:00:00
Глобине-2</t>
  </si>
  <si>
    <t>Обл. НДС
Маска зварювальника "Хамелеон" WН-3300
Надходження товарів і послуг ІБ00-008011 від 26.12.2025 11:00:00
Глобине-2</t>
  </si>
  <si>
    <t>Надходження товарів і послуг ІБ00-008012 від 26.12.2025 11:00:00
Оприходованы ТМЦ (Зачет аванса поставщику)</t>
  </si>
  <si>
    <t>Обл. НДС
Струбцина столярна (тип G) 200 мм
Надходження товарів і послуг ІБ00-008012 від 26.12.2025 11:00:00
Глобине-2</t>
  </si>
  <si>
    <t>СКАЙ-ЕНЕРДЖИ
Рахунки_Глобине-2
Рахунок на оплату постачальника ІБ00-005971 від 11.11.2025 22:53:54</t>
  </si>
  <si>
    <t>Обл. НДС
Строп СТП-3,0/3000
Надходження товарів і послуг ІБ00-008012 від 26.12.2025 11:00:00
Глобине-2</t>
  </si>
  <si>
    <t>Надходження товарів і послуг ІБ00-008012 від 26.12.2025 11:00:00
Оприходованы ТМЦ</t>
  </si>
  <si>
    <t>Обл. НДС
Електрод  АНО-21 ф 4 2,5 кг,  пач
Надходження товарів і послуг ІБ00-008012 від 26.12.2025 11:00:00
Глобине-2</t>
  </si>
  <si>
    <t>Обл. НДС
Рукавиці , пар
Надходження товарів і послуг ІБ00-008012 від 26.12.2025 11:00:00
Глобине-2</t>
  </si>
  <si>
    <t>Обл. НДС
Магніт для зварки стріла 11кг
Надходження товарів і послуг ІБ00-008012 від 26.12.2025 11:00:00
Глобине-2</t>
  </si>
  <si>
    <t>Обл. НДС
Тримач магнітний стріла 22кг 90*90мм
Надходження товарів і послуг ІБ00-008012 від 26.12.2025 11:00:00
Глобине-2</t>
  </si>
  <si>
    <t>Обл. НДС
Електрод  АНО-21 3  2,5кг (пач)
Надходження товарів і послуг ІБ00-008012 від 26.12.2025 11:00:00
Глобине-2</t>
  </si>
  <si>
    <t>Обл. НДС
Магніт для зварки стріла 34кг
Надходження товарів і послуг ІБ00-008012 від 26.12.2025 11:00:00
Глобине-2</t>
  </si>
  <si>
    <t>Обл. НДС
Маска зварювальника
Надходження товарів і послуг ІБ00-008012 від 26.12.2025 11:00:00
Глобине-2</t>
  </si>
  <si>
    <t>Передача малоцінних активів в експлуатацію ІБ00-000675 від 26.12.2025 13:00:03
Списание стоимости малоценных активов</t>
  </si>
  <si>
    <t>Обл. НДС
(я-94)BOSCH витратні Круг відрізний 230*2,5*22 увігнутий
Переміщення товарів ІБ00-001168 від 09.10.2025 11:10:00
Пожежений резервуар (Глобине)</t>
  </si>
  <si>
    <t>Обл. НДС
Бита Рh2 51мм 
Переміщення товарів ІБ00-001108 від 15.10.2025 19:00:00
Пожежений резервуар (Глобине)</t>
  </si>
  <si>
    <t>Обл. НДС
Держак д/лопати
Переміщення товарів ІБ00-000921 від 15.09.2025 11:10:00
Пожежений резервуар (Глобине)</t>
  </si>
  <si>
    <t>Обл. НДС
Затискач маси прищіпка МК-400 А
Переміщення товарів ІБ00-001117 від 10.10.2025 19:00:00
Пожежений резервуар (Глобине)</t>
  </si>
  <si>
    <t>Передача малоцінних активів в експлуатацію ІБ00-000677 від 26.12.2025 13:00:22
Списание стоимости малоценных активов</t>
  </si>
  <si>
    <t>Обл. НДС
Піна монтажна  860 мл 
Надходження товарів і послуг ІБ00-005251 від 11.09.2025 11:00:00
Глобине-2</t>
  </si>
  <si>
    <t>Передача малоцінних активів в експлуатацію ІБ00-000678 від 26.12.2025 15:00:00
Списание стоимости малоценных активов</t>
  </si>
  <si>
    <t>Обл. НДС
Костюм зварювальника брезент. ОП з посиленнями р. 96-100/170-176
Надходження товарів і послуг ІБ00-006717 від 12.11.2025 11:00:00
Глобине-2</t>
  </si>
  <si>
    <t>Надходження товарів і послуг ІБ00-008064 від 29.12.2025 11:00:00
Оприходованы ТМЦ</t>
  </si>
  <si>
    <t>Обл. НДС
Авт.вимикач 6кА, 3Р, 125А
Надходження товарів і послуг ІБ00-008064 від 29.12.2025 11:00:00
Глобине-2</t>
  </si>
  <si>
    <t>Дяденко Владислав Миколайович ФОП
Рахунки_Глобино-2
Рахунок на оплату постачальника ІБ00-006505 від 29.12.2025 22:41:17</t>
  </si>
  <si>
    <t>Обл. НДС
Шина нульова 6*9
Надходження товарів і послуг ІБ00-008064 від 29.12.2025 11:00:00
Глобине-2</t>
  </si>
  <si>
    <t>Надходження товарів і послуг ІБ00-008109 від 29.12.2025 11:00:00
Оприходованы ТМЦ (Зачет аванса поставщику)</t>
  </si>
  <si>
    <t>Обл. НДС
Дріт 1,2 мм покр міддю на касетах 15кг
Надходження товарів і послуг ІБ00-008109 від 29.12.2025 11:00:00
Глобине-2</t>
  </si>
  <si>
    <t>Іврус-Трейд" ТОВ
Рахунки_Глобино-2
Рахунок на оплату постачальника ІБ00-005870 від 27.11.2025 18:51:32</t>
  </si>
  <si>
    <t>Передача малоцінних активів в експлуатацію ІБ00-000676 від 29.12.2025 13:00:10
Списание стоимости малоценных активов</t>
  </si>
  <si>
    <t>Обл. НДС
Черевики "Профі" ПУ р.41
Надходження товарів і послуг ІБ00-006785 від 05.11.2025 11:00:00
Глобине-2</t>
  </si>
  <si>
    <t>Обл. НДС
Черевики "Профі" ПУ р.42
Надходження товарів і послуг ІБ00-006785 від 05.11.2025 11:00:00
Глобине-2</t>
  </si>
  <si>
    <t>Переміщення товарів ІБ00-001733 від 30.12.2025 08:00:00
Перемещение ТМЦ</t>
  </si>
  <si>
    <t>Обл. НДС
Електроди "Моноліт РЦ" 3 мм 2,5кг
Переміщення товарів ІБ00-001733 від 30.12.2025 08:00:00
Глобине-2</t>
  </si>
  <si>
    <t>Обл. НДС
Електроди "Моноліт РЦ" 3 мм 2,5кг
Переміщення товарів ІБ00-001097 від 15.10.2025 18:44:05
Насосна Градирня (Глобине)</t>
  </si>
  <si>
    <t>Обл. НДС
Електроди "Моноліт РЦ" 4 мм 5кг
Переміщення товарів ІБ00-001733 від 30.12.2025 08:00:00
Глобине-2</t>
  </si>
  <si>
    <t>Обл. НДС
Електроди "Моноліт РЦ" 4 мм 5кг
Переміщення товарів ІБ00-001110 від 15.10.2025 19:00:00
Насосна Градирня (Глобине)</t>
  </si>
  <si>
    <t>Обл. НДС
Круг відрізний  125*1,6*22
Переміщення товарів ІБ00-001733 від 30.12.2025 08:00:00
Глобине-2</t>
  </si>
  <si>
    <t>Обл. НДС
Круг відрізний  125*1,6*22
Переміщення товарів ІБ00-001167 від 09.10.2025 11:10:00
Насосна Градирня (Глобине)</t>
  </si>
  <si>
    <t>Обл. НДС
Круг відрізний по металу 230*2,0*22,23
Переміщення товарів ІБ00-001733 від 30.12.2025 08:00:00
Глобине-2</t>
  </si>
  <si>
    <t>Обл. НДС
Круг відрізний по металу 230*2,0*22,23
Переміщення товарів ІБ00-000925 від 15.09.2025 11:10:00
Насосна Градирня (Глобине)</t>
  </si>
  <si>
    <t>Передача малоцінних активів в експлуатацію ІБ00-000699 від 30.12.2025 10:00:00
Списание стоимости малоценных активов</t>
  </si>
  <si>
    <t>Надходження товарів і послуг ІБ00-008063 від 30.12.2025 11:00:00
Оприходованы ТМЦ</t>
  </si>
  <si>
    <t>Обл. НДС
Щітка 6*16мм GWS20-230JH
Надходження товарів і послуг ІБ00-008063 від 30.12.2025 11:00:00
Глобине-2</t>
  </si>
  <si>
    <t>Передача малоцінних активів в експлуатацію ІБ00-000691 від 30.12.2025 22:00:32
Списание стоимости малоценных активов</t>
  </si>
  <si>
    <t>Передача малоцінних активів в експлуатацію ІБ00-000692 від 30.12.2025 22:00:34
Списание стоимости малоценных активов</t>
  </si>
  <si>
    <t>Передача малоцінних активів в експлуатацію ІБ00-000693 від 30.12.2025 22:00:36
Списание стоимости малоценных активов</t>
  </si>
  <si>
    <t>Передача малоцінних активів в експлуатацію ІБ00-000694 від 30.12.2025 22:00:39
Списание стоимости малоценных активов</t>
  </si>
  <si>
    <t>Передача малоцінних активів в експлуатацію ІБ00-000695 від 30.12.2025 23:00:00
Списание стоимости малоценных активов</t>
  </si>
  <si>
    <t>Передача малоцінних активів в експлуатацію ІБ00-000698 від 30.12.2025 23:00:00
Списание стоимости малоценных активов</t>
  </si>
  <si>
    <t>Передача малоцінних активів в експлуатацію ІБ00-000700 від 30.12.2025 23:00:00
Списание стоимости малоценных активов</t>
  </si>
  <si>
    <t>Передача малоцінних активів в експлуатацію ІБ00-000701 від 30.12.2025 23:00:00
Списание стоимости малоценных активов</t>
  </si>
  <si>
    <t>Передача малоцінних активів в експлуатацію ІБ00-000696 від 30.12.2025 23:00:02
Списание стоимости малоценных активов</t>
  </si>
  <si>
    <t>Передача малоцінних активів в експлуатацію ІБ00-000697 від 30.12.2025 23:00:04
Списание стоимости малоценных активов</t>
  </si>
  <si>
    <t>Переміщення товарів ІБ00-001758 від 31.12.2025 08:00:00
Перемещение ТМЦ</t>
  </si>
  <si>
    <t>Обл. НДС
Піна монтажна
Переміщення товарів ІБ00-001758 від 31.12.2025 08:00:00
СПК (Глобине)</t>
  </si>
  <si>
    <t>Обл. НДС
Піна монтажна
Переміщення товарів ІБ00-001053 від 30.09.2025 11:10:00
СПК (Глобине)</t>
  </si>
  <si>
    <t>Переміщення товарів ІБ00-001757 від 31.12.2025 08:00:00
Перемещение ТМЦ</t>
  </si>
  <si>
    <t>Обл. НДС
Піна монтажна  750 мл 
Переміщення товарів ІБ00-001757 від 31.12.2025 08:00:00
СПК (Глобине)</t>
  </si>
  <si>
    <t>Обл. НДС
Піна монтажна  750 мл 
Надходження товарів і послуг ІБ00-005108 від 01.09.2025 11:00:00
Глобине-2</t>
  </si>
  <si>
    <t>Передача малоцінних активів в експлуатацію ІБ00-000710 від 31.12.2025 23:00:00
Списание стоимости малоценных активов</t>
  </si>
  <si>
    <t>Обл. НДС
Молоток  1000 гр.
Надходження товарів і послуг ІБ00-006232 від 15.10.2025 11:00:00
Пожежений резервуар (Глобине)</t>
  </si>
  <si>
    <t>Обл. НДС
Очисник для піни  500 мл
Переміщення товарів ІБ00-000995 від 24.09.2025 11:10:00
Пожежений резервуар (Глобине)</t>
  </si>
  <si>
    <t>Обл. НДС
Піна монтажна
Переміщення товарів ІБ00-000921 від 15.09.2025 11:10:00
Пожежений резервуар (Глобине)</t>
  </si>
  <si>
    <t>Передача малоцінних активів в експлуатацію ІБ00-000711 від 31.12.2025 23:00:00
Списание стоимости малоценных активов</t>
  </si>
  <si>
    <t>Передача малоцінних активів в експлуатацію ІБ00-000712 від 31.12.2025 23:00:00
Списание стоимости малоценных активов</t>
  </si>
  <si>
    <t>Передача малоцінних активів в експлуатацію ІБ00-000713 від 31.12.2025 23:00:00
Списание стоимости малоценных активов</t>
  </si>
  <si>
    <t>Передача малоцінних активів в експлуатацію ІБ00-000714 від 31.12.2025 23:00:00
Списание стоимости малоценных активов</t>
  </si>
  <si>
    <t>Передача малоцінних активів в експлуатацію ІБ00-000715 від 31.12.2025 23:00:00
Списание стоимости малоценных активов</t>
  </si>
  <si>
    <t>Передача малоцінних активів в експлуатацію ІБ00-000716 від 31.12.2025 23:00:00
Списание стоимости малоценных активов</t>
  </si>
  <si>
    <t>Обл. НДС
Костюм зварювальника брезент. ОП з посиленнями р.104-108/170-176
Надходження товарів і послуг ІБ00-006714 від 11.11.2025 11:00:00
Глобине-2</t>
  </si>
  <si>
    <t>Передача малоцінних активів в експлуатацію ІБ00-000717 від 31.12.2025 23:00:00
Списание стоимости малоценных активов</t>
  </si>
  <si>
    <t>Передача малоцінних активів в експлуатацію ІБ00-000718 від 31.12.2025 23:00:00
Списание стоимости малоценных активов</t>
  </si>
  <si>
    <t>Передача малоцінних активів в експлуатацію ІБ00-000719 від 31.12.2025 23:00:00
Списание стоимости малоценных активов</t>
  </si>
  <si>
    <t>Передача малоцінних активів в експлуатацію ІБ00-000720 від 31.12.2025 23:00:00
Списание стоимости малоценных активов</t>
  </si>
  <si>
    <t>Передача малоцінних активів в експлуатацію ІБ00-000723 від 31.12.2025 23:00:00
Списание стоимости малоценных активов</t>
  </si>
  <si>
    <t>Обл. НДС
Пістолет для піни
Переміщення товарів ІБ00-001008 від 23.09.2025 11:10:00
СПК (Глобине)</t>
  </si>
  <si>
    <t>Передача малоцінних активів в експлуатацію ІБ00-000724 від 31.12.2025 23:00:00
Списание стоимости малоценных активов</t>
  </si>
  <si>
    <t>Обл. НДС
Кутник столярний 300 мм алюм.
Переміщення товарів ІБ00-001096 від 15.10.2025 18:44:04
СПК (Глобине)</t>
  </si>
  <si>
    <t>Передача малоцінних активів в експлуатацію ІБ00-000725 від 31.12.2025 23:00:00
Списание стоимости малоценных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</si>
</sst>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21"/>
      <name val="Arial"/>
    </font>
    <font>
      <sz val="8"/>
      <name val="Arial"/>
    </font>
    <font>
      <b/>
      <sz val="10"/>
      <color indexed="21"/>
      <name val="Arial"/>
    </font>
    <font>
      <sz val="8"/>
      <color indexed="2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0"/>
      </left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/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17">
    <xf numFmtId="0" fontId="0" fillId="0" borderId="0" xfId="0"/>
    <xf numFmtId="0" fontId="2" fillId="2" borderId="1" xfId="1" applyNumberFormat="1" applyFont="1" applyFill="1" applyBorder="1" applyAlignment="1">
      <alignment vertical="top"/>
    </xf>
    <xf numFmtId="0" fontId="2" fillId="2" borderId="2" xfId="1" applyNumberFormat="1" applyFont="1" applyFill="1" applyBorder="1" applyAlignment="1">
      <alignment vertical="top"/>
    </xf>
    <xf numFmtId="0" fontId="2" fillId="2" borderId="3" xfId="1" applyNumberFormat="1" applyFont="1" applyFill="1" applyBorder="1" applyAlignment="1">
      <alignment vertical="top"/>
    </xf>
    <xf numFmtId="0" fontId="2" fillId="2" borderId="2" xfId="1" applyNumberFormat="1" applyFont="1" applyFill="1" applyBorder="1" applyAlignment="1">
      <alignment horizontal="center" vertical="top"/>
    </xf>
    <xf numFmtId="0" fontId="2" fillId="2" borderId="4" xfId="1" applyNumberFormat="1" applyFont="1" applyFill="1" applyBorder="1" applyAlignment="1">
      <alignment horizontal="center" vertical="top"/>
    </xf>
    <xf numFmtId="0" fontId="2" fillId="2" borderId="5" xfId="1" applyNumberFormat="1" applyFont="1" applyFill="1" applyBorder="1" applyAlignment="1">
      <alignment vertical="top"/>
    </xf>
    <xf numFmtId="0" fontId="2" fillId="2" borderId="6" xfId="1" applyNumberFormat="1" applyFont="1" applyFill="1" applyBorder="1" applyAlignment="1">
      <alignment vertical="top"/>
    </xf>
    <xf numFmtId="0" fontId="2" fillId="2" borderId="7" xfId="1" applyNumberFormat="1" applyFont="1" applyFill="1" applyBorder="1" applyAlignment="1">
      <alignment vertical="top"/>
    </xf>
    <xf numFmtId="0" fontId="2" fillId="2" borderId="4" xfId="1" applyNumberFormat="1" applyFont="1" applyFill="1" applyBorder="1" applyAlignment="1">
      <alignment vertical="top"/>
    </xf>
    <xf numFmtId="0" fontId="2" fillId="2" borderId="8" xfId="1" applyNumberFormat="1" applyFont="1" applyFill="1" applyBorder="1" applyAlignment="1">
      <alignment vertical="top"/>
    </xf>
    <xf numFmtId="0" fontId="2" fillId="2" borderId="8" xfId="1" applyNumberFormat="1" applyFont="1" applyFill="1" applyBorder="1" applyAlignment="1">
      <alignment vertical="top"/>
    </xf>
    <xf numFmtId="0" fontId="2" fillId="2" borderId="9" xfId="1" applyNumberFormat="1" applyFont="1" applyFill="1" applyBorder="1" applyAlignment="1">
      <alignment vertical="top"/>
    </xf>
    <xf numFmtId="0" fontId="2" fillId="2" borderId="10" xfId="1" applyNumberFormat="1" applyFont="1" applyFill="1" applyBorder="1" applyAlignment="1">
      <alignment vertical="top"/>
    </xf>
    <xf numFmtId="0" fontId="3" fillId="0" borderId="11" xfId="1" applyNumberFormat="1" applyFont="1" applyBorder="1" applyAlignment="1">
      <alignment vertical="top"/>
    </xf>
    <xf numFmtId="0" fontId="3" fillId="0" borderId="11" xfId="1" applyNumberFormat="1" applyFont="1" applyBorder="1" applyAlignment="1">
      <alignment vertical="top" wrapText="1"/>
    </xf>
    <xf numFmtId="0" fontId="3" fillId="0" borderId="11" xfId="1" applyNumberFormat="1" applyFont="1" applyBorder="1" applyAlignment="1">
      <alignment horizontal="left" vertical="top"/>
    </xf>
    <xf numFmtId="2" fontId="3" fillId="0" borderId="11" xfId="1" applyNumberFormat="1" applyFont="1" applyBorder="1" applyAlignment="1">
      <alignment horizontal="right" vertical="top" wrapText="1"/>
    </xf>
    <xf numFmtId="0" fontId="3" fillId="0" borderId="13" xfId="1" applyNumberFormat="1" applyFont="1" applyBorder="1" applyAlignment="1">
      <alignment horizontal="right" vertical="top" wrapText="1"/>
    </xf>
    <xf numFmtId="0" fontId="3" fillId="0" borderId="12" xfId="1" applyNumberFormat="1" applyFont="1" applyBorder="1" applyAlignment="1">
      <alignment horizontal="center" vertical="top"/>
    </xf>
    <xf numFmtId="4" fontId="3" fillId="0" borderId="13" xfId="1" applyNumberFormat="1" applyFont="1" applyBorder="1" applyAlignment="1">
      <alignment horizontal="right" vertical="top" wrapText="1"/>
    </xf>
    <xf numFmtId="0" fontId="3" fillId="0" borderId="11" xfId="1" applyNumberFormat="1" applyFont="1" applyBorder="1" applyAlignment="1">
      <alignment horizontal="right" vertical="top" wrapText="1"/>
    </xf>
    <xf numFmtId="2" fontId="3" fillId="0" borderId="13" xfId="1" applyNumberFormat="1" applyFont="1" applyBorder="1" applyAlignment="1">
      <alignment horizontal="right" vertical="top" wrapText="1"/>
    </xf>
    <xf numFmtId="4" fontId="3" fillId="0" borderId="11" xfId="1" applyNumberFormat="1" applyFont="1" applyBorder="1" applyAlignment="1">
      <alignment horizontal="right" vertical="top" wrapText="1"/>
    </xf>
    <xf numFmtId="4" fontId="3" fillId="0" borderId="13" xfId="1" applyNumberFormat="1" applyFont="1" applyBorder="1" applyAlignment="1">
      <alignment horizontal="right" vertical="top" wrapText="1"/>
    </xf>
    <xf numFmtId="0" fontId="4" fillId="2" borderId="11" xfId="1" applyNumberFormat="1" applyFont="1" applyFill="1" applyBorder="1" applyAlignment="1">
      <alignment vertical="top"/>
    </xf>
    <xf numFmtId="4" fontId="4" fillId="2" borderId="11" xfId="1" applyNumberFormat="1" applyFont="1" applyFill="1" applyBorder="1" applyAlignment="1">
      <alignment horizontal="right" vertical="top" wrapText="1"/>
    </xf>
    <xf numFmtId="0" fontId="4" fillId="2" borderId="12" xfId="1" applyNumberFormat="1" applyFont="1" applyFill="1" applyBorder="1" applyAlignment="1">
      <alignment horizontal="center" vertical="top"/>
    </xf>
    <xf numFmtId="4" fontId="4" fillId="2" borderId="13" xfId="1" applyNumberFormat="1" applyFont="1" applyFill="1" applyBorder="1" applyAlignment="1">
      <alignment horizontal="right" vertical="top" wrapText="1"/>
    </xf>
    <xf numFmtId="4" fontId="0" fillId="0" borderId="0" xfId="0" applyNumberFormat="1"/>
    <xf numFmtId="4" fontId="5" fillId="2" borderId="11" xfId="2" applyNumberFormat="1" applyFont="1" applyFill="1" applyBorder="1" applyAlignment="1">
      <alignment horizontal="right" vertical="top" wrapText="1"/>
    </xf>
    <xf numFmtId="0" fontId="2" fillId="2" borderId="1" xfId="3" applyNumberFormat="1" applyFont="1" applyFill="1" applyBorder="1" applyAlignment="1">
      <alignment vertical="top"/>
    </xf>
    <xf numFmtId="0" fontId="2" fillId="2" borderId="2" xfId="3" applyNumberFormat="1" applyFont="1" applyFill="1" applyBorder="1" applyAlignment="1">
      <alignment vertical="top"/>
    </xf>
    <xf numFmtId="0" fontId="2" fillId="2" borderId="3" xfId="3" applyNumberFormat="1" applyFont="1" applyFill="1" applyBorder="1" applyAlignment="1">
      <alignment vertical="top"/>
    </xf>
    <xf numFmtId="0" fontId="2" fillId="2" borderId="2" xfId="3" applyNumberFormat="1" applyFont="1" applyFill="1" applyBorder="1" applyAlignment="1">
      <alignment horizontal="center" vertical="top"/>
    </xf>
    <xf numFmtId="0" fontId="2" fillId="2" borderId="4" xfId="3" applyNumberFormat="1" applyFont="1" applyFill="1" applyBorder="1" applyAlignment="1">
      <alignment horizontal="center" vertical="top"/>
    </xf>
    <xf numFmtId="0" fontId="2" fillId="2" borderId="5" xfId="3" applyNumberFormat="1" applyFont="1" applyFill="1" applyBorder="1" applyAlignment="1">
      <alignment vertical="top"/>
    </xf>
    <xf numFmtId="0" fontId="2" fillId="2" borderId="6" xfId="3" applyNumberFormat="1" applyFont="1" applyFill="1" applyBorder="1" applyAlignment="1">
      <alignment vertical="top"/>
    </xf>
    <xf numFmtId="0" fontId="2" fillId="2" borderId="7" xfId="3" applyNumberFormat="1" applyFont="1" applyFill="1" applyBorder="1" applyAlignment="1">
      <alignment vertical="top"/>
    </xf>
    <xf numFmtId="0" fontId="2" fillId="2" borderId="4" xfId="3" applyNumberFormat="1" applyFont="1" applyFill="1" applyBorder="1" applyAlignment="1">
      <alignment vertical="top"/>
    </xf>
    <xf numFmtId="0" fontId="2" fillId="2" borderId="8" xfId="3" applyNumberFormat="1" applyFont="1" applyFill="1" applyBorder="1" applyAlignment="1">
      <alignment vertical="top"/>
    </xf>
    <xf numFmtId="0" fontId="2" fillId="2" borderId="8" xfId="3" applyNumberFormat="1" applyFont="1" applyFill="1" applyBorder="1" applyAlignment="1">
      <alignment vertical="top"/>
    </xf>
    <xf numFmtId="0" fontId="2" fillId="2" borderId="9" xfId="3" applyNumberFormat="1" applyFont="1" applyFill="1" applyBorder="1" applyAlignment="1">
      <alignment vertical="top"/>
    </xf>
    <xf numFmtId="0" fontId="2" fillId="2" borderId="10" xfId="3" applyNumberFormat="1" applyFont="1" applyFill="1" applyBorder="1" applyAlignment="1">
      <alignment vertical="top"/>
    </xf>
    <xf numFmtId="0" fontId="3" fillId="0" borderId="11" xfId="3" applyNumberFormat="1" applyFont="1" applyBorder="1" applyAlignment="1">
      <alignment vertical="top"/>
    </xf>
    <xf numFmtId="0" fontId="3" fillId="0" borderId="11" xfId="3" applyNumberFormat="1" applyFont="1" applyBorder="1" applyAlignment="1">
      <alignment vertical="top" wrapText="1"/>
    </xf>
    <xf numFmtId="0" fontId="3" fillId="0" borderId="11" xfId="3" applyNumberFormat="1" applyFont="1" applyBorder="1" applyAlignment="1">
      <alignment horizontal="left" vertical="top"/>
    </xf>
    <xf numFmtId="2" fontId="3" fillId="0" borderId="11" xfId="3" applyNumberFormat="1" applyFont="1" applyBorder="1" applyAlignment="1">
      <alignment horizontal="right" vertical="top" wrapText="1"/>
    </xf>
    <xf numFmtId="0" fontId="3" fillId="0" borderId="13" xfId="3" applyNumberFormat="1" applyFont="1" applyBorder="1" applyAlignment="1">
      <alignment horizontal="right" vertical="top" wrapText="1"/>
    </xf>
    <xf numFmtId="0" fontId="3" fillId="0" borderId="12" xfId="3" applyNumberFormat="1" applyFont="1" applyBorder="1" applyAlignment="1">
      <alignment horizontal="center" vertical="top"/>
    </xf>
    <xf numFmtId="4" fontId="3" fillId="0" borderId="13" xfId="3" applyNumberFormat="1" applyFont="1" applyBorder="1" applyAlignment="1">
      <alignment horizontal="right" vertical="top" wrapText="1"/>
    </xf>
    <xf numFmtId="4" fontId="3" fillId="0" borderId="11" xfId="3" applyNumberFormat="1" applyFont="1" applyBorder="1" applyAlignment="1">
      <alignment horizontal="right" vertical="top" wrapText="1"/>
    </xf>
    <xf numFmtId="0" fontId="3" fillId="0" borderId="11" xfId="3" applyNumberFormat="1" applyFont="1" applyBorder="1" applyAlignment="1">
      <alignment horizontal="right" vertical="top" wrapText="1"/>
    </xf>
    <xf numFmtId="2" fontId="3" fillId="0" borderId="13" xfId="3" applyNumberFormat="1" applyFont="1" applyBorder="1" applyAlignment="1">
      <alignment horizontal="right" vertical="top" wrapText="1"/>
    </xf>
    <xf numFmtId="4" fontId="3" fillId="0" borderId="13" xfId="3" applyNumberFormat="1" applyFont="1" applyBorder="1" applyAlignment="1">
      <alignment horizontal="right" vertical="top" wrapText="1"/>
    </xf>
    <xf numFmtId="0" fontId="4" fillId="2" borderId="11" xfId="3" applyNumberFormat="1" applyFont="1" applyFill="1" applyBorder="1" applyAlignment="1">
      <alignment vertical="top"/>
    </xf>
    <xf numFmtId="4" fontId="4" fillId="2" borderId="11" xfId="3" applyNumberFormat="1" applyFont="1" applyFill="1" applyBorder="1" applyAlignment="1">
      <alignment horizontal="right" vertical="top" wrapText="1"/>
    </xf>
    <xf numFmtId="0" fontId="4" fillId="2" borderId="12" xfId="3" applyNumberFormat="1" applyFont="1" applyFill="1" applyBorder="1" applyAlignment="1">
      <alignment horizontal="center" vertical="top"/>
    </xf>
    <xf numFmtId="4" fontId="4" fillId="2" borderId="13" xfId="3" applyNumberFormat="1" applyFont="1" applyFill="1" applyBorder="1" applyAlignment="1">
      <alignment horizontal="right" vertical="top" wrapText="1"/>
    </xf>
    <xf numFmtId="0" fontId="2" fillId="2" borderId="1" xfId="4" applyNumberFormat="1" applyFont="1" applyFill="1" applyBorder="1" applyAlignment="1">
      <alignment vertical="top"/>
    </xf>
    <xf numFmtId="0" fontId="2" fillId="2" borderId="2" xfId="4" applyNumberFormat="1" applyFont="1" applyFill="1" applyBorder="1" applyAlignment="1">
      <alignment vertical="top"/>
    </xf>
    <xf numFmtId="0" fontId="2" fillId="2" borderId="3" xfId="4" applyNumberFormat="1" applyFont="1" applyFill="1" applyBorder="1" applyAlignment="1">
      <alignment vertical="top"/>
    </xf>
    <xf numFmtId="0" fontId="2" fillId="2" borderId="2" xfId="4" applyNumberFormat="1" applyFont="1" applyFill="1" applyBorder="1" applyAlignment="1">
      <alignment horizontal="center" vertical="top"/>
    </xf>
    <xf numFmtId="0" fontId="2" fillId="2" borderId="4" xfId="4" applyNumberFormat="1" applyFont="1" applyFill="1" applyBorder="1" applyAlignment="1">
      <alignment horizontal="center" vertical="top"/>
    </xf>
    <xf numFmtId="0" fontId="2" fillId="2" borderId="5" xfId="4" applyNumberFormat="1" applyFont="1" applyFill="1" applyBorder="1" applyAlignment="1">
      <alignment vertical="top"/>
    </xf>
    <xf numFmtId="0" fontId="2" fillId="2" borderId="6" xfId="4" applyNumberFormat="1" applyFont="1" applyFill="1" applyBorder="1" applyAlignment="1">
      <alignment vertical="top"/>
    </xf>
    <xf numFmtId="0" fontId="2" fillId="2" borderId="7" xfId="4" applyNumberFormat="1" applyFont="1" applyFill="1" applyBorder="1" applyAlignment="1">
      <alignment vertical="top"/>
    </xf>
    <xf numFmtId="0" fontId="2" fillId="2" borderId="4" xfId="4" applyNumberFormat="1" applyFont="1" applyFill="1" applyBorder="1" applyAlignment="1">
      <alignment vertical="top"/>
    </xf>
    <xf numFmtId="0" fontId="2" fillId="2" borderId="8" xfId="4" applyNumberFormat="1" applyFont="1" applyFill="1" applyBorder="1" applyAlignment="1">
      <alignment vertical="top"/>
    </xf>
    <xf numFmtId="0" fontId="2" fillId="2" borderId="8" xfId="4" applyNumberFormat="1" applyFont="1" applyFill="1" applyBorder="1" applyAlignment="1">
      <alignment vertical="top"/>
    </xf>
    <xf numFmtId="0" fontId="2" fillId="2" borderId="9" xfId="4" applyNumberFormat="1" applyFont="1" applyFill="1" applyBorder="1" applyAlignment="1">
      <alignment vertical="top"/>
    </xf>
    <xf numFmtId="0" fontId="2" fillId="2" borderId="10" xfId="4" applyNumberFormat="1" applyFont="1" applyFill="1" applyBorder="1" applyAlignment="1">
      <alignment vertical="top"/>
    </xf>
    <xf numFmtId="0" fontId="3" fillId="0" borderId="11" xfId="4" applyNumberFormat="1" applyFont="1" applyBorder="1" applyAlignment="1">
      <alignment vertical="top"/>
    </xf>
    <xf numFmtId="0" fontId="3" fillId="0" borderId="11" xfId="4" applyNumberFormat="1" applyFont="1" applyBorder="1" applyAlignment="1">
      <alignment vertical="top" wrapText="1"/>
    </xf>
    <xf numFmtId="0" fontId="3" fillId="0" borderId="11" xfId="4" applyNumberFormat="1" applyFont="1" applyBorder="1" applyAlignment="1">
      <alignment horizontal="left" vertical="top"/>
    </xf>
    <xf numFmtId="4" fontId="3" fillId="0" borderId="11" xfId="4" applyNumberFormat="1" applyFont="1" applyBorder="1" applyAlignment="1">
      <alignment horizontal="right" vertical="top" wrapText="1"/>
    </xf>
    <xf numFmtId="0" fontId="3" fillId="0" borderId="13" xfId="4" applyNumberFormat="1" applyFont="1" applyBorder="1" applyAlignment="1">
      <alignment horizontal="right" vertical="top" wrapText="1"/>
    </xf>
    <xf numFmtId="0" fontId="3" fillId="0" borderId="12" xfId="4" applyNumberFormat="1" applyFont="1" applyBorder="1" applyAlignment="1">
      <alignment horizontal="center" vertical="top"/>
    </xf>
    <xf numFmtId="4" fontId="3" fillId="0" borderId="13" xfId="4" applyNumberFormat="1" applyFont="1" applyBorder="1" applyAlignment="1">
      <alignment horizontal="right" vertical="top" wrapText="1"/>
    </xf>
    <xf numFmtId="2" fontId="3" fillId="0" borderId="11" xfId="4" applyNumberFormat="1" applyFont="1" applyBorder="1" applyAlignment="1">
      <alignment horizontal="right" vertical="top" wrapText="1"/>
    </xf>
    <xf numFmtId="0" fontId="3" fillId="0" borderId="11" xfId="4" applyNumberFormat="1" applyFont="1" applyBorder="1" applyAlignment="1">
      <alignment horizontal="right" vertical="top" wrapText="1"/>
    </xf>
    <xf numFmtId="2" fontId="3" fillId="0" borderId="13" xfId="4" applyNumberFormat="1" applyFont="1" applyBorder="1" applyAlignment="1">
      <alignment horizontal="right" vertical="top" wrapText="1"/>
    </xf>
    <xf numFmtId="4" fontId="3" fillId="0" borderId="13" xfId="4" applyNumberFormat="1" applyFont="1" applyBorder="1" applyAlignment="1">
      <alignment horizontal="right" vertical="top" wrapText="1"/>
    </xf>
    <xf numFmtId="0" fontId="4" fillId="2" borderId="11" xfId="4" applyNumberFormat="1" applyFont="1" applyFill="1" applyBorder="1" applyAlignment="1">
      <alignment vertical="top"/>
    </xf>
    <xf numFmtId="4" fontId="4" fillId="2" borderId="11" xfId="4" applyNumberFormat="1" applyFont="1" applyFill="1" applyBorder="1" applyAlignment="1">
      <alignment horizontal="right" vertical="top" wrapText="1"/>
    </xf>
    <xf numFmtId="0" fontId="4" fillId="2" borderId="12" xfId="4" applyNumberFormat="1" applyFont="1" applyFill="1" applyBorder="1" applyAlignment="1">
      <alignment horizontal="center" vertical="top"/>
    </xf>
    <xf numFmtId="4" fontId="4" fillId="2" borderId="13" xfId="4" applyNumberFormat="1" applyFont="1" applyFill="1" applyBorder="1" applyAlignment="1">
      <alignment horizontal="right" vertical="top" wrapText="1"/>
    </xf>
    <xf numFmtId="0" fontId="2" fillId="2" borderId="1" xfId="5" applyNumberFormat="1" applyFont="1" applyFill="1" applyBorder="1" applyAlignment="1">
      <alignment vertical="top"/>
    </xf>
    <xf numFmtId="0" fontId="2" fillId="2" borderId="2" xfId="5" applyNumberFormat="1" applyFont="1" applyFill="1" applyBorder="1" applyAlignment="1">
      <alignment vertical="top"/>
    </xf>
    <xf numFmtId="0" fontId="2" fillId="2" borderId="3" xfId="5" applyNumberFormat="1" applyFont="1" applyFill="1" applyBorder="1" applyAlignment="1">
      <alignment vertical="top"/>
    </xf>
    <xf numFmtId="0" fontId="2" fillId="2" borderId="2" xfId="5" applyNumberFormat="1" applyFont="1" applyFill="1" applyBorder="1" applyAlignment="1">
      <alignment horizontal="center" vertical="top"/>
    </xf>
    <xf numFmtId="0" fontId="2" fillId="2" borderId="4" xfId="5" applyNumberFormat="1" applyFont="1" applyFill="1" applyBorder="1" applyAlignment="1">
      <alignment horizontal="center" vertical="top"/>
    </xf>
    <xf numFmtId="0" fontId="2" fillId="2" borderId="5" xfId="5" applyNumberFormat="1" applyFont="1" applyFill="1" applyBorder="1" applyAlignment="1">
      <alignment vertical="top"/>
    </xf>
    <xf numFmtId="0" fontId="2" fillId="2" borderId="6" xfId="5" applyNumberFormat="1" applyFont="1" applyFill="1" applyBorder="1" applyAlignment="1">
      <alignment vertical="top"/>
    </xf>
    <xf numFmtId="0" fontId="2" fillId="2" borderId="7" xfId="5" applyNumberFormat="1" applyFont="1" applyFill="1" applyBorder="1" applyAlignment="1">
      <alignment vertical="top"/>
    </xf>
    <xf numFmtId="0" fontId="2" fillId="2" borderId="4" xfId="5" applyNumberFormat="1" applyFont="1" applyFill="1" applyBorder="1" applyAlignment="1">
      <alignment vertical="top"/>
    </xf>
    <xf numFmtId="0" fontId="2" fillId="2" borderId="8" xfId="5" applyNumberFormat="1" applyFont="1" applyFill="1" applyBorder="1" applyAlignment="1">
      <alignment vertical="top"/>
    </xf>
    <xf numFmtId="0" fontId="2" fillId="2" borderId="8" xfId="5" applyNumberFormat="1" applyFont="1" applyFill="1" applyBorder="1" applyAlignment="1">
      <alignment vertical="top"/>
    </xf>
    <xf numFmtId="0" fontId="2" fillId="2" borderId="9" xfId="5" applyNumberFormat="1" applyFont="1" applyFill="1" applyBorder="1" applyAlignment="1">
      <alignment vertical="top"/>
    </xf>
    <xf numFmtId="0" fontId="2" fillId="2" borderId="10" xfId="5" applyNumberFormat="1" applyFont="1" applyFill="1" applyBorder="1" applyAlignment="1">
      <alignment vertical="top"/>
    </xf>
    <xf numFmtId="0" fontId="3" fillId="0" borderId="11" xfId="5" applyNumberFormat="1" applyFont="1" applyBorder="1" applyAlignment="1">
      <alignment vertical="top"/>
    </xf>
    <xf numFmtId="0" fontId="3" fillId="0" borderId="11" xfId="5" applyNumberFormat="1" applyFont="1" applyBorder="1" applyAlignment="1">
      <alignment vertical="top" wrapText="1"/>
    </xf>
    <xf numFmtId="0" fontId="3" fillId="0" borderId="11" xfId="5" applyNumberFormat="1" applyFont="1" applyBorder="1" applyAlignment="1">
      <alignment horizontal="left" vertical="top"/>
    </xf>
    <xf numFmtId="2" fontId="3" fillId="0" borderId="11" xfId="5" applyNumberFormat="1" applyFont="1" applyBorder="1" applyAlignment="1">
      <alignment horizontal="right" vertical="top" wrapText="1"/>
    </xf>
    <xf numFmtId="0" fontId="3" fillId="0" borderId="13" xfId="5" applyNumberFormat="1" applyFont="1" applyBorder="1" applyAlignment="1">
      <alignment horizontal="right" vertical="top" wrapText="1"/>
    </xf>
    <xf numFmtId="0" fontId="3" fillId="0" borderId="12" xfId="5" applyNumberFormat="1" applyFont="1" applyBorder="1" applyAlignment="1">
      <alignment horizontal="center" vertical="top"/>
    </xf>
    <xf numFmtId="4" fontId="3" fillId="0" borderId="13" xfId="5" applyNumberFormat="1" applyFont="1" applyBorder="1" applyAlignment="1">
      <alignment horizontal="right" vertical="top" wrapText="1"/>
    </xf>
    <xf numFmtId="4" fontId="3" fillId="0" borderId="11" xfId="5" applyNumberFormat="1" applyFont="1" applyBorder="1" applyAlignment="1">
      <alignment horizontal="right" vertical="top" wrapText="1"/>
    </xf>
    <xf numFmtId="0" fontId="3" fillId="0" borderId="11" xfId="5" applyNumberFormat="1" applyFont="1" applyBorder="1" applyAlignment="1">
      <alignment horizontal="right" vertical="top" wrapText="1"/>
    </xf>
    <xf numFmtId="2" fontId="3" fillId="0" borderId="13" xfId="5" applyNumberFormat="1" applyFont="1" applyBorder="1" applyAlignment="1">
      <alignment horizontal="right" vertical="top" wrapText="1"/>
    </xf>
    <xf numFmtId="2" fontId="3" fillId="0" borderId="13" xfId="5" applyNumberFormat="1" applyFont="1" applyBorder="1" applyAlignment="1">
      <alignment horizontal="right" vertical="top" wrapText="1"/>
    </xf>
    <xf numFmtId="0" fontId="3" fillId="0" borderId="13" xfId="5" applyNumberFormat="1" applyFont="1" applyBorder="1" applyAlignment="1">
      <alignment horizontal="right" vertical="top" wrapText="1"/>
    </xf>
    <xf numFmtId="4" fontId="3" fillId="0" borderId="13" xfId="5" applyNumberFormat="1" applyFont="1" applyBorder="1" applyAlignment="1">
      <alignment horizontal="right" vertical="top" wrapText="1"/>
    </xf>
    <xf numFmtId="0" fontId="4" fillId="2" borderId="11" xfId="5" applyNumberFormat="1" applyFont="1" applyFill="1" applyBorder="1" applyAlignment="1">
      <alignment vertical="top"/>
    </xf>
    <xf numFmtId="4" fontId="4" fillId="2" borderId="11" xfId="5" applyNumberFormat="1" applyFont="1" applyFill="1" applyBorder="1" applyAlignment="1">
      <alignment horizontal="right" vertical="top" wrapText="1"/>
    </xf>
    <xf numFmtId="0" fontId="4" fillId="2" borderId="12" xfId="5" applyNumberFormat="1" applyFont="1" applyFill="1" applyBorder="1" applyAlignment="1">
      <alignment horizontal="center" vertical="top"/>
    </xf>
    <xf numFmtId="4" fontId="4" fillId="2" borderId="13" xfId="5" applyNumberFormat="1" applyFont="1" applyFill="1" applyBorder="1" applyAlignment="1">
      <alignment horizontal="right" vertical="top" wrapText="1"/>
    </xf>
  </cellXfs>
  <cellStyles count="6">
    <cellStyle name="Обычный" xfId="0" builtinId="0"/>
    <cellStyle name="Обычный_Глобино-2" xfId="5" xr:uid="{A7625132-4CEF-4B60-B0ED-F0BE85134928}"/>
    <cellStyle name="Обычный_КМД-2" xfId="3" xr:uid="{85E305DF-3D0F-4664-8E97-97274D670373}"/>
    <cellStyle name="Обычный_Лист3" xfId="4" xr:uid="{E9F1878B-C55F-48A2-AA66-438425A59756}"/>
    <cellStyle name="Обычный_МХП Катеринополь" xfId="2" xr:uid="{48667265-F350-46A2-A240-B8AF41485E08}"/>
    <cellStyle name="Обычный_Тищенки" xfId="1" xr:uid="{4C4A0728-F197-4FB3-A9E0-A96BEBCF90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250"/>
  <sheetViews>
    <sheetView topLeftCell="A242" workbookViewId="0">
      <selection activeCell="J250" sqref="J250"/>
    </sheetView>
  </sheetViews>
  <sheetFormatPr defaultRowHeight="14.4" x14ac:dyDescent="0.3"/>
  <cols>
    <col min="2" max="4" width="22.5546875" customWidth="1"/>
    <col min="10" max="10" width="9.88671875" bestFit="1" customWidth="1"/>
    <col min="12" max="12" width="10.109375" bestFit="1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/>
      <c r="G1" s="4"/>
      <c r="H1" s="5" t="s">
        <v>5</v>
      </c>
      <c r="I1" s="5"/>
      <c r="J1" s="5"/>
      <c r="K1" s="2" t="s">
        <v>6</v>
      </c>
      <c r="L1" s="2"/>
    </row>
    <row r="2" spans="1:12" x14ac:dyDescent="0.3">
      <c r="A2" s="6"/>
      <c r="B2" s="7"/>
      <c r="C2" s="7"/>
      <c r="D2" s="8"/>
      <c r="E2" s="9" t="s">
        <v>7</v>
      </c>
      <c r="F2" s="10"/>
      <c r="G2" s="10"/>
      <c r="H2" s="11" t="s">
        <v>7</v>
      </c>
      <c r="I2" s="12"/>
      <c r="J2" s="12"/>
      <c r="K2" s="6"/>
      <c r="L2" s="13"/>
    </row>
    <row r="3" spans="1:12" ht="61.2" hidden="1" x14ac:dyDescent="0.3">
      <c r="A3" s="14" t="s">
        <v>9</v>
      </c>
      <c r="B3" s="15" t="s">
        <v>10</v>
      </c>
      <c r="C3" s="15" t="s">
        <v>11</v>
      </c>
      <c r="D3" s="15" t="s">
        <v>12</v>
      </c>
      <c r="E3" s="16" t="s">
        <v>13</v>
      </c>
      <c r="F3" s="17">
        <v>176</v>
      </c>
      <c r="G3" s="17"/>
      <c r="H3" s="16" t="s">
        <v>14</v>
      </c>
      <c r="I3" s="18" t="s">
        <v>15</v>
      </c>
      <c r="J3" s="18"/>
      <c r="K3" s="19" t="s">
        <v>8</v>
      </c>
      <c r="L3" s="20">
        <v>375933.54</v>
      </c>
    </row>
    <row r="4" spans="1:12" ht="61.2" hidden="1" x14ac:dyDescent="0.3">
      <c r="A4" s="14" t="s">
        <v>9</v>
      </c>
      <c r="B4" s="15" t="s">
        <v>10</v>
      </c>
      <c r="C4" s="15" t="s">
        <v>16</v>
      </c>
      <c r="D4" s="15" t="s">
        <v>12</v>
      </c>
      <c r="E4" s="16" t="s">
        <v>13</v>
      </c>
      <c r="F4" s="17">
        <v>170</v>
      </c>
      <c r="G4" s="17"/>
      <c r="H4" s="16" t="s">
        <v>14</v>
      </c>
      <c r="I4" s="18" t="s">
        <v>15</v>
      </c>
      <c r="J4" s="18"/>
      <c r="K4" s="19" t="s">
        <v>8</v>
      </c>
      <c r="L4" s="20">
        <v>376103.54</v>
      </c>
    </row>
    <row r="5" spans="1:12" ht="51" hidden="1" x14ac:dyDescent="0.3">
      <c r="A5" s="14" t="s">
        <v>9</v>
      </c>
      <c r="B5" s="15" t="s">
        <v>10</v>
      </c>
      <c r="C5" s="15" t="s">
        <v>17</v>
      </c>
      <c r="D5" s="15" t="s">
        <v>12</v>
      </c>
      <c r="E5" s="16" t="s">
        <v>13</v>
      </c>
      <c r="F5" s="17">
        <v>52</v>
      </c>
      <c r="G5" s="17"/>
      <c r="H5" s="16" t="s">
        <v>14</v>
      </c>
      <c r="I5" s="18" t="s">
        <v>15</v>
      </c>
      <c r="J5" s="18"/>
      <c r="K5" s="19" t="s">
        <v>8</v>
      </c>
      <c r="L5" s="20">
        <v>376155.54</v>
      </c>
    </row>
    <row r="6" spans="1:12" ht="71.400000000000006" hidden="1" x14ac:dyDescent="0.3">
      <c r="A6" s="14" t="s">
        <v>9</v>
      </c>
      <c r="B6" s="15" t="s">
        <v>10</v>
      </c>
      <c r="C6" s="15" t="s">
        <v>18</v>
      </c>
      <c r="D6" s="15" t="s">
        <v>12</v>
      </c>
      <c r="E6" s="16" t="s">
        <v>13</v>
      </c>
      <c r="F6" s="17">
        <v>216</v>
      </c>
      <c r="G6" s="17"/>
      <c r="H6" s="16" t="s">
        <v>14</v>
      </c>
      <c r="I6" s="18" t="s">
        <v>15</v>
      </c>
      <c r="J6" s="18"/>
      <c r="K6" s="19" t="s">
        <v>8</v>
      </c>
      <c r="L6" s="20">
        <v>376371.54</v>
      </c>
    </row>
    <row r="7" spans="1:12" ht="61.2" hidden="1" x14ac:dyDescent="0.3">
      <c r="A7" s="14" t="s">
        <v>9</v>
      </c>
      <c r="B7" s="15" t="s">
        <v>10</v>
      </c>
      <c r="C7" s="15" t="s">
        <v>19</v>
      </c>
      <c r="D7" s="15" t="s">
        <v>12</v>
      </c>
      <c r="E7" s="16" t="s">
        <v>13</v>
      </c>
      <c r="F7" s="17">
        <v>200</v>
      </c>
      <c r="G7" s="17"/>
      <c r="H7" s="16" t="s">
        <v>14</v>
      </c>
      <c r="I7" s="18" t="s">
        <v>15</v>
      </c>
      <c r="J7" s="18"/>
      <c r="K7" s="19" t="s">
        <v>8</v>
      </c>
      <c r="L7" s="20">
        <v>376571.54</v>
      </c>
    </row>
    <row r="8" spans="1:12" ht="61.2" hidden="1" x14ac:dyDescent="0.3">
      <c r="A8" s="14" t="s">
        <v>9</v>
      </c>
      <c r="B8" s="15" t="s">
        <v>10</v>
      </c>
      <c r="C8" s="15" t="s">
        <v>19</v>
      </c>
      <c r="D8" s="15" t="s">
        <v>12</v>
      </c>
      <c r="E8" s="16" t="s">
        <v>13</v>
      </c>
      <c r="F8" s="17">
        <v>175</v>
      </c>
      <c r="G8" s="17"/>
      <c r="H8" s="16" t="s">
        <v>14</v>
      </c>
      <c r="I8" s="18" t="s">
        <v>15</v>
      </c>
      <c r="J8" s="18"/>
      <c r="K8" s="19" t="s">
        <v>8</v>
      </c>
      <c r="L8" s="20">
        <v>376746.54</v>
      </c>
    </row>
    <row r="9" spans="1:12" ht="81.599999999999994" hidden="1" x14ac:dyDescent="0.3">
      <c r="A9" s="14" t="s">
        <v>9</v>
      </c>
      <c r="B9" s="15" t="s">
        <v>10</v>
      </c>
      <c r="C9" s="15" t="s">
        <v>20</v>
      </c>
      <c r="D9" s="15" t="s">
        <v>12</v>
      </c>
      <c r="E9" s="16" t="s">
        <v>13</v>
      </c>
      <c r="F9" s="17">
        <v>730</v>
      </c>
      <c r="G9" s="17"/>
      <c r="H9" s="16" t="s">
        <v>14</v>
      </c>
      <c r="I9" s="18" t="s">
        <v>15</v>
      </c>
      <c r="J9" s="18"/>
      <c r="K9" s="19" t="s">
        <v>8</v>
      </c>
      <c r="L9" s="20">
        <v>377476.54</v>
      </c>
    </row>
    <row r="10" spans="1:12" ht="81.599999999999994" hidden="1" x14ac:dyDescent="0.3">
      <c r="A10" s="14" t="s">
        <v>9</v>
      </c>
      <c r="B10" s="15" t="s">
        <v>10</v>
      </c>
      <c r="C10" s="15" t="s">
        <v>21</v>
      </c>
      <c r="D10" s="15" t="s">
        <v>12</v>
      </c>
      <c r="E10" s="16" t="s">
        <v>13</v>
      </c>
      <c r="F10" s="17">
        <v>730</v>
      </c>
      <c r="G10" s="17"/>
      <c r="H10" s="16" t="s">
        <v>14</v>
      </c>
      <c r="I10" s="18" t="s">
        <v>15</v>
      </c>
      <c r="J10" s="18"/>
      <c r="K10" s="19" t="s">
        <v>8</v>
      </c>
      <c r="L10" s="20">
        <v>378206.54</v>
      </c>
    </row>
    <row r="11" spans="1:12" ht="71.400000000000006" x14ac:dyDescent="0.3">
      <c r="A11" s="14" t="s">
        <v>22</v>
      </c>
      <c r="B11" s="15" t="s">
        <v>23</v>
      </c>
      <c r="C11" s="15" t="s">
        <v>24</v>
      </c>
      <c r="D11" s="15" t="s">
        <v>25</v>
      </c>
      <c r="E11" s="16" t="s">
        <v>26</v>
      </c>
      <c r="F11" s="21" t="s">
        <v>15</v>
      </c>
      <c r="G11" s="21"/>
      <c r="H11" s="16" t="s">
        <v>13</v>
      </c>
      <c r="I11" s="22">
        <v>126.56</v>
      </c>
      <c r="J11" s="22"/>
      <c r="K11" s="19" t="s">
        <v>8</v>
      </c>
      <c r="L11" s="20">
        <v>378079.98</v>
      </c>
    </row>
    <row r="12" spans="1:12" ht="61.2" x14ac:dyDescent="0.3">
      <c r="A12" s="14" t="s">
        <v>22</v>
      </c>
      <c r="B12" s="15" t="s">
        <v>23</v>
      </c>
      <c r="C12" s="15" t="s">
        <v>24</v>
      </c>
      <c r="D12" s="15" t="s">
        <v>27</v>
      </c>
      <c r="E12" s="16" t="s">
        <v>26</v>
      </c>
      <c r="F12" s="21" t="s">
        <v>15</v>
      </c>
      <c r="G12" s="21"/>
      <c r="H12" s="16" t="s">
        <v>13</v>
      </c>
      <c r="I12" s="22">
        <v>414.72</v>
      </c>
      <c r="J12" s="22"/>
      <c r="K12" s="19" t="s">
        <v>8</v>
      </c>
      <c r="L12" s="20">
        <v>377665.26</v>
      </c>
    </row>
    <row r="13" spans="1:12" ht="71.400000000000006" x14ac:dyDescent="0.3">
      <c r="A13" s="14" t="s">
        <v>22</v>
      </c>
      <c r="B13" s="15" t="s">
        <v>23</v>
      </c>
      <c r="C13" s="15" t="s">
        <v>24</v>
      </c>
      <c r="D13" s="15" t="s">
        <v>28</v>
      </c>
      <c r="E13" s="16" t="s">
        <v>26</v>
      </c>
      <c r="F13" s="21" t="s">
        <v>15</v>
      </c>
      <c r="G13" s="21"/>
      <c r="H13" s="16" t="s">
        <v>13</v>
      </c>
      <c r="I13" s="22">
        <v>274.77</v>
      </c>
      <c r="J13" s="22"/>
      <c r="K13" s="19" t="s">
        <v>8</v>
      </c>
      <c r="L13" s="20">
        <v>377390.49</v>
      </c>
    </row>
    <row r="14" spans="1:12" ht="61.2" x14ac:dyDescent="0.3">
      <c r="A14" s="14" t="s">
        <v>22</v>
      </c>
      <c r="B14" s="15" t="s">
        <v>23</v>
      </c>
      <c r="C14" s="15" t="s">
        <v>24</v>
      </c>
      <c r="D14" s="15" t="s">
        <v>29</v>
      </c>
      <c r="E14" s="16" t="s">
        <v>26</v>
      </c>
      <c r="F14" s="21" t="s">
        <v>15</v>
      </c>
      <c r="G14" s="21"/>
      <c r="H14" s="16" t="s">
        <v>13</v>
      </c>
      <c r="I14" s="22">
        <v>425</v>
      </c>
      <c r="J14" s="22"/>
      <c r="K14" s="19" t="s">
        <v>8</v>
      </c>
      <c r="L14" s="20">
        <v>376965.49</v>
      </c>
    </row>
    <row r="15" spans="1:12" ht="71.400000000000006" x14ac:dyDescent="0.3">
      <c r="A15" s="14" t="s">
        <v>22</v>
      </c>
      <c r="B15" s="15" t="s">
        <v>23</v>
      </c>
      <c r="C15" s="15" t="s">
        <v>24</v>
      </c>
      <c r="D15" s="15" t="s">
        <v>18</v>
      </c>
      <c r="E15" s="16" t="s">
        <v>26</v>
      </c>
      <c r="F15" s="21" t="s">
        <v>15</v>
      </c>
      <c r="G15" s="21"/>
      <c r="H15" s="16" t="s">
        <v>13</v>
      </c>
      <c r="I15" s="22">
        <v>216</v>
      </c>
      <c r="J15" s="22"/>
      <c r="K15" s="19" t="s">
        <v>8</v>
      </c>
      <c r="L15" s="20">
        <v>376749.49</v>
      </c>
    </row>
    <row r="16" spans="1:12" ht="61.2" x14ac:dyDescent="0.3">
      <c r="A16" s="14" t="s">
        <v>22</v>
      </c>
      <c r="B16" s="15" t="s">
        <v>23</v>
      </c>
      <c r="C16" s="15" t="s">
        <v>24</v>
      </c>
      <c r="D16" s="15" t="s">
        <v>11</v>
      </c>
      <c r="E16" s="16" t="s">
        <v>26</v>
      </c>
      <c r="F16" s="21" t="s">
        <v>15</v>
      </c>
      <c r="G16" s="21"/>
      <c r="H16" s="16" t="s">
        <v>13</v>
      </c>
      <c r="I16" s="22">
        <v>176</v>
      </c>
      <c r="J16" s="22"/>
      <c r="K16" s="19" t="s">
        <v>8</v>
      </c>
      <c r="L16" s="20">
        <v>376573.49</v>
      </c>
    </row>
    <row r="17" spans="1:12" ht="61.2" x14ac:dyDescent="0.3">
      <c r="A17" s="14" t="s">
        <v>22</v>
      </c>
      <c r="B17" s="15" t="s">
        <v>23</v>
      </c>
      <c r="C17" s="15" t="s">
        <v>24</v>
      </c>
      <c r="D17" s="15" t="s">
        <v>16</v>
      </c>
      <c r="E17" s="16" t="s">
        <v>26</v>
      </c>
      <c r="F17" s="21" t="s">
        <v>15</v>
      </c>
      <c r="G17" s="21"/>
      <c r="H17" s="16" t="s">
        <v>13</v>
      </c>
      <c r="I17" s="22">
        <v>170</v>
      </c>
      <c r="J17" s="22"/>
      <c r="K17" s="19" t="s">
        <v>8</v>
      </c>
      <c r="L17" s="20">
        <v>376403.49</v>
      </c>
    </row>
    <row r="18" spans="1:12" ht="61.2" x14ac:dyDescent="0.3">
      <c r="A18" s="14" t="s">
        <v>22</v>
      </c>
      <c r="B18" s="15" t="s">
        <v>23</v>
      </c>
      <c r="C18" s="15" t="s">
        <v>24</v>
      </c>
      <c r="D18" s="15" t="s">
        <v>30</v>
      </c>
      <c r="E18" s="16" t="s">
        <v>26</v>
      </c>
      <c r="F18" s="21" t="s">
        <v>15</v>
      </c>
      <c r="G18" s="21"/>
      <c r="H18" s="16" t="s">
        <v>13</v>
      </c>
      <c r="I18" s="22">
        <v>367</v>
      </c>
      <c r="J18" s="22"/>
      <c r="K18" s="19" t="s">
        <v>8</v>
      </c>
      <c r="L18" s="20">
        <v>376036.49</v>
      </c>
    </row>
    <row r="19" spans="1:12" ht="71.400000000000006" hidden="1" x14ac:dyDescent="0.3">
      <c r="A19" s="14" t="s">
        <v>31</v>
      </c>
      <c r="B19" s="15" t="s">
        <v>32</v>
      </c>
      <c r="C19" s="15" t="s">
        <v>33</v>
      </c>
      <c r="D19" s="15" t="s">
        <v>34</v>
      </c>
      <c r="E19" s="16" t="s">
        <v>13</v>
      </c>
      <c r="F19" s="23">
        <v>6696</v>
      </c>
      <c r="G19" s="23"/>
      <c r="H19" s="16" t="s">
        <v>35</v>
      </c>
      <c r="I19" s="18" t="s">
        <v>15</v>
      </c>
      <c r="J19" s="18"/>
      <c r="K19" s="19" t="s">
        <v>8</v>
      </c>
      <c r="L19" s="20">
        <v>382732.49</v>
      </c>
    </row>
    <row r="20" spans="1:12" ht="61.2" hidden="1" x14ac:dyDescent="0.3">
      <c r="A20" s="14" t="s">
        <v>31</v>
      </c>
      <c r="B20" s="15" t="s">
        <v>32</v>
      </c>
      <c r="C20" s="15" t="s">
        <v>36</v>
      </c>
      <c r="D20" s="15" t="s">
        <v>34</v>
      </c>
      <c r="E20" s="16" t="s">
        <v>13</v>
      </c>
      <c r="F20" s="23">
        <v>1612.5</v>
      </c>
      <c r="G20" s="23"/>
      <c r="H20" s="16" t="s">
        <v>35</v>
      </c>
      <c r="I20" s="18" t="s">
        <v>15</v>
      </c>
      <c r="J20" s="18"/>
      <c r="K20" s="19" t="s">
        <v>8</v>
      </c>
      <c r="L20" s="20">
        <v>384344.99</v>
      </c>
    </row>
    <row r="21" spans="1:12" ht="61.2" hidden="1" x14ac:dyDescent="0.3">
      <c r="A21" s="14" t="s">
        <v>31</v>
      </c>
      <c r="B21" s="15" t="s">
        <v>32</v>
      </c>
      <c r="C21" s="15" t="s">
        <v>37</v>
      </c>
      <c r="D21" s="15" t="s">
        <v>34</v>
      </c>
      <c r="E21" s="16" t="s">
        <v>13</v>
      </c>
      <c r="F21" s="17">
        <v>283.39999999999998</v>
      </c>
      <c r="G21" s="17"/>
      <c r="H21" s="16" t="s">
        <v>35</v>
      </c>
      <c r="I21" s="18" t="s">
        <v>15</v>
      </c>
      <c r="J21" s="18"/>
      <c r="K21" s="19" t="s">
        <v>8</v>
      </c>
      <c r="L21" s="20">
        <v>384628.39</v>
      </c>
    </row>
    <row r="22" spans="1:12" ht="71.400000000000006" hidden="1" x14ac:dyDescent="0.3">
      <c r="A22" s="14" t="s">
        <v>31</v>
      </c>
      <c r="B22" s="15" t="s">
        <v>32</v>
      </c>
      <c r="C22" s="15" t="s">
        <v>38</v>
      </c>
      <c r="D22" s="15" t="s">
        <v>34</v>
      </c>
      <c r="E22" s="16" t="s">
        <v>13</v>
      </c>
      <c r="F22" s="23">
        <v>4750</v>
      </c>
      <c r="G22" s="23"/>
      <c r="H22" s="16" t="s">
        <v>35</v>
      </c>
      <c r="I22" s="18" t="s">
        <v>15</v>
      </c>
      <c r="J22" s="18"/>
      <c r="K22" s="19" t="s">
        <v>8</v>
      </c>
      <c r="L22" s="20">
        <v>389378.39</v>
      </c>
    </row>
    <row r="23" spans="1:12" ht="61.2" hidden="1" x14ac:dyDescent="0.3">
      <c r="A23" s="14" t="s">
        <v>31</v>
      </c>
      <c r="B23" s="15" t="s">
        <v>32</v>
      </c>
      <c r="C23" s="15" t="s">
        <v>39</v>
      </c>
      <c r="D23" s="15" t="s">
        <v>34</v>
      </c>
      <c r="E23" s="16" t="s">
        <v>13</v>
      </c>
      <c r="F23" s="23">
        <v>3963</v>
      </c>
      <c r="G23" s="23"/>
      <c r="H23" s="16" t="s">
        <v>35</v>
      </c>
      <c r="I23" s="18" t="s">
        <v>15</v>
      </c>
      <c r="J23" s="18"/>
      <c r="K23" s="19" t="s">
        <v>8</v>
      </c>
      <c r="L23" s="20">
        <v>393341.39</v>
      </c>
    </row>
    <row r="24" spans="1:12" ht="61.2" hidden="1" x14ac:dyDescent="0.3">
      <c r="A24" s="14" t="s">
        <v>31</v>
      </c>
      <c r="B24" s="15" t="s">
        <v>32</v>
      </c>
      <c r="C24" s="15" t="s">
        <v>40</v>
      </c>
      <c r="D24" s="15" t="s">
        <v>34</v>
      </c>
      <c r="E24" s="16" t="s">
        <v>13</v>
      </c>
      <c r="F24" s="23">
        <v>2500.5</v>
      </c>
      <c r="G24" s="23"/>
      <c r="H24" s="16" t="s">
        <v>35</v>
      </c>
      <c r="I24" s="18" t="s">
        <v>15</v>
      </c>
      <c r="J24" s="18"/>
      <c r="K24" s="19" t="s">
        <v>8</v>
      </c>
      <c r="L24" s="20">
        <v>395841.89</v>
      </c>
    </row>
    <row r="25" spans="1:12" ht="61.2" hidden="1" x14ac:dyDescent="0.3">
      <c r="A25" s="14" t="s">
        <v>31</v>
      </c>
      <c r="B25" s="15" t="s">
        <v>32</v>
      </c>
      <c r="C25" s="15" t="s">
        <v>41</v>
      </c>
      <c r="D25" s="15" t="s">
        <v>34</v>
      </c>
      <c r="E25" s="16" t="s">
        <v>13</v>
      </c>
      <c r="F25" s="17">
        <v>404</v>
      </c>
      <c r="G25" s="17"/>
      <c r="H25" s="16" t="s">
        <v>35</v>
      </c>
      <c r="I25" s="18" t="s">
        <v>15</v>
      </c>
      <c r="J25" s="18"/>
      <c r="K25" s="19" t="s">
        <v>8</v>
      </c>
      <c r="L25" s="20">
        <v>396245.89</v>
      </c>
    </row>
    <row r="26" spans="1:12" ht="61.2" hidden="1" x14ac:dyDescent="0.3">
      <c r="A26" s="14" t="s">
        <v>31</v>
      </c>
      <c r="B26" s="15" t="s">
        <v>32</v>
      </c>
      <c r="C26" s="15" t="s">
        <v>42</v>
      </c>
      <c r="D26" s="15" t="s">
        <v>34</v>
      </c>
      <c r="E26" s="16" t="s">
        <v>13</v>
      </c>
      <c r="F26" s="23">
        <v>1333.5</v>
      </c>
      <c r="G26" s="23"/>
      <c r="H26" s="16" t="s">
        <v>35</v>
      </c>
      <c r="I26" s="18" t="s">
        <v>15</v>
      </c>
      <c r="J26" s="18"/>
      <c r="K26" s="19" t="s">
        <v>8</v>
      </c>
      <c r="L26" s="20">
        <v>397579.39</v>
      </c>
    </row>
    <row r="27" spans="1:12" ht="71.400000000000006" hidden="1" x14ac:dyDescent="0.3">
      <c r="A27" s="14" t="s">
        <v>31</v>
      </c>
      <c r="B27" s="15" t="s">
        <v>32</v>
      </c>
      <c r="C27" s="15" t="s">
        <v>43</v>
      </c>
      <c r="D27" s="15" t="s">
        <v>34</v>
      </c>
      <c r="E27" s="16" t="s">
        <v>13</v>
      </c>
      <c r="F27" s="23">
        <v>1250</v>
      </c>
      <c r="G27" s="23"/>
      <c r="H27" s="16" t="s">
        <v>35</v>
      </c>
      <c r="I27" s="18" t="s">
        <v>15</v>
      </c>
      <c r="J27" s="18"/>
      <c r="K27" s="19" t="s">
        <v>8</v>
      </c>
      <c r="L27" s="20">
        <v>398829.39</v>
      </c>
    </row>
    <row r="28" spans="1:12" ht="61.2" hidden="1" x14ac:dyDescent="0.3">
      <c r="A28" s="14" t="s">
        <v>31</v>
      </c>
      <c r="B28" s="15" t="s">
        <v>32</v>
      </c>
      <c r="C28" s="15" t="s">
        <v>44</v>
      </c>
      <c r="D28" s="15" t="s">
        <v>34</v>
      </c>
      <c r="E28" s="16" t="s">
        <v>13</v>
      </c>
      <c r="F28" s="17">
        <v>600</v>
      </c>
      <c r="G28" s="17"/>
      <c r="H28" s="16" t="s">
        <v>35</v>
      </c>
      <c r="I28" s="18" t="s">
        <v>15</v>
      </c>
      <c r="J28" s="18"/>
      <c r="K28" s="19" t="s">
        <v>8</v>
      </c>
      <c r="L28" s="20">
        <v>399429.39</v>
      </c>
    </row>
    <row r="29" spans="1:12" ht="61.2" hidden="1" x14ac:dyDescent="0.3">
      <c r="A29" s="14" t="s">
        <v>31</v>
      </c>
      <c r="B29" s="15" t="s">
        <v>32</v>
      </c>
      <c r="C29" s="15" t="s">
        <v>45</v>
      </c>
      <c r="D29" s="15" t="s">
        <v>34</v>
      </c>
      <c r="E29" s="16" t="s">
        <v>13</v>
      </c>
      <c r="F29" s="17">
        <v>219.8</v>
      </c>
      <c r="G29" s="17"/>
      <c r="H29" s="16" t="s">
        <v>35</v>
      </c>
      <c r="I29" s="18" t="s">
        <v>15</v>
      </c>
      <c r="J29" s="18"/>
      <c r="K29" s="19" t="s">
        <v>8</v>
      </c>
      <c r="L29" s="20">
        <v>399649.19</v>
      </c>
    </row>
    <row r="30" spans="1:12" ht="71.400000000000006" hidden="1" x14ac:dyDescent="0.3">
      <c r="A30" s="14" t="s">
        <v>31</v>
      </c>
      <c r="B30" s="15" t="s">
        <v>32</v>
      </c>
      <c r="C30" s="15" t="s">
        <v>46</v>
      </c>
      <c r="D30" s="15" t="s">
        <v>34</v>
      </c>
      <c r="E30" s="16" t="s">
        <v>13</v>
      </c>
      <c r="F30" s="17">
        <v>414.5</v>
      </c>
      <c r="G30" s="17"/>
      <c r="H30" s="16" t="s">
        <v>35</v>
      </c>
      <c r="I30" s="18" t="s">
        <v>15</v>
      </c>
      <c r="J30" s="18"/>
      <c r="K30" s="19" t="s">
        <v>8</v>
      </c>
      <c r="L30" s="20">
        <v>400063.69</v>
      </c>
    </row>
    <row r="31" spans="1:12" ht="71.400000000000006" hidden="1" x14ac:dyDescent="0.3">
      <c r="A31" s="14" t="s">
        <v>31</v>
      </c>
      <c r="B31" s="15" t="s">
        <v>32</v>
      </c>
      <c r="C31" s="15" t="s">
        <v>47</v>
      </c>
      <c r="D31" s="15" t="s">
        <v>34</v>
      </c>
      <c r="E31" s="16" t="s">
        <v>13</v>
      </c>
      <c r="F31" s="17">
        <v>800</v>
      </c>
      <c r="G31" s="17"/>
      <c r="H31" s="16" t="s">
        <v>35</v>
      </c>
      <c r="I31" s="18" t="s">
        <v>15</v>
      </c>
      <c r="J31" s="18"/>
      <c r="K31" s="19" t="s">
        <v>8</v>
      </c>
      <c r="L31" s="20">
        <v>400863.69</v>
      </c>
    </row>
    <row r="32" spans="1:12" ht="61.2" hidden="1" x14ac:dyDescent="0.3">
      <c r="A32" s="14" t="s">
        <v>31</v>
      </c>
      <c r="B32" s="15" t="s">
        <v>32</v>
      </c>
      <c r="C32" s="15" t="s">
        <v>48</v>
      </c>
      <c r="D32" s="15" t="s">
        <v>34</v>
      </c>
      <c r="E32" s="16" t="s">
        <v>13</v>
      </c>
      <c r="F32" s="23">
        <v>2382</v>
      </c>
      <c r="G32" s="23"/>
      <c r="H32" s="16" t="s">
        <v>35</v>
      </c>
      <c r="I32" s="18" t="s">
        <v>15</v>
      </c>
      <c r="J32" s="18"/>
      <c r="K32" s="19" t="s">
        <v>8</v>
      </c>
      <c r="L32" s="20">
        <v>403245.69</v>
      </c>
    </row>
    <row r="33" spans="1:12" ht="61.2" hidden="1" x14ac:dyDescent="0.3">
      <c r="A33" s="14" t="s">
        <v>31</v>
      </c>
      <c r="B33" s="15" t="s">
        <v>32</v>
      </c>
      <c r="C33" s="15" t="s">
        <v>49</v>
      </c>
      <c r="D33" s="15" t="s">
        <v>34</v>
      </c>
      <c r="E33" s="16" t="s">
        <v>13</v>
      </c>
      <c r="F33" s="23">
        <v>5146.5</v>
      </c>
      <c r="G33" s="23"/>
      <c r="H33" s="16" t="s">
        <v>35</v>
      </c>
      <c r="I33" s="18" t="s">
        <v>15</v>
      </c>
      <c r="J33" s="18"/>
      <c r="K33" s="19" t="s">
        <v>8</v>
      </c>
      <c r="L33" s="20">
        <v>408392.19</v>
      </c>
    </row>
    <row r="34" spans="1:12" ht="61.2" hidden="1" x14ac:dyDescent="0.3">
      <c r="A34" s="14" t="s">
        <v>31</v>
      </c>
      <c r="B34" s="15" t="s">
        <v>32</v>
      </c>
      <c r="C34" s="15" t="s">
        <v>50</v>
      </c>
      <c r="D34" s="15" t="s">
        <v>34</v>
      </c>
      <c r="E34" s="16" t="s">
        <v>13</v>
      </c>
      <c r="F34" s="17">
        <v>281.5</v>
      </c>
      <c r="G34" s="17"/>
      <c r="H34" s="16" t="s">
        <v>35</v>
      </c>
      <c r="I34" s="18" t="s">
        <v>15</v>
      </c>
      <c r="J34" s="18"/>
      <c r="K34" s="19" t="s">
        <v>8</v>
      </c>
      <c r="L34" s="20">
        <v>408673.69</v>
      </c>
    </row>
    <row r="35" spans="1:12" ht="61.2" hidden="1" x14ac:dyDescent="0.3">
      <c r="A35" s="14" t="s">
        <v>31</v>
      </c>
      <c r="B35" s="15" t="s">
        <v>51</v>
      </c>
      <c r="C35" s="15" t="s">
        <v>52</v>
      </c>
      <c r="D35" s="15" t="s">
        <v>53</v>
      </c>
      <c r="E35" s="16" t="s">
        <v>13</v>
      </c>
      <c r="F35" s="23">
        <v>9717.4500000000007</v>
      </c>
      <c r="G35" s="23"/>
      <c r="H35" s="16" t="s">
        <v>35</v>
      </c>
      <c r="I35" s="18" t="s">
        <v>15</v>
      </c>
      <c r="J35" s="18"/>
      <c r="K35" s="19" t="s">
        <v>8</v>
      </c>
      <c r="L35" s="20">
        <v>418391.14</v>
      </c>
    </row>
    <row r="36" spans="1:12" ht="71.400000000000006" hidden="1" x14ac:dyDescent="0.3">
      <c r="A36" s="14" t="s">
        <v>31</v>
      </c>
      <c r="B36" s="15" t="s">
        <v>51</v>
      </c>
      <c r="C36" s="15" t="s">
        <v>54</v>
      </c>
      <c r="D36" s="15" t="s">
        <v>53</v>
      </c>
      <c r="E36" s="16" t="s">
        <v>13</v>
      </c>
      <c r="F36" s="23">
        <v>10610</v>
      </c>
      <c r="G36" s="23"/>
      <c r="H36" s="16" t="s">
        <v>35</v>
      </c>
      <c r="I36" s="18" t="s">
        <v>15</v>
      </c>
      <c r="J36" s="18"/>
      <c r="K36" s="19" t="s">
        <v>8</v>
      </c>
      <c r="L36" s="20">
        <v>429001.14</v>
      </c>
    </row>
    <row r="37" spans="1:12" ht="61.2" hidden="1" x14ac:dyDescent="0.3">
      <c r="A37" s="14" t="s">
        <v>31</v>
      </c>
      <c r="B37" s="15" t="s">
        <v>51</v>
      </c>
      <c r="C37" s="15" t="s">
        <v>55</v>
      </c>
      <c r="D37" s="15" t="s">
        <v>53</v>
      </c>
      <c r="E37" s="16" t="s">
        <v>13</v>
      </c>
      <c r="F37" s="23">
        <v>2905</v>
      </c>
      <c r="G37" s="23"/>
      <c r="H37" s="16" t="s">
        <v>35</v>
      </c>
      <c r="I37" s="18" t="s">
        <v>15</v>
      </c>
      <c r="J37" s="18"/>
      <c r="K37" s="19" t="s">
        <v>8</v>
      </c>
      <c r="L37" s="20">
        <v>431906.14</v>
      </c>
    </row>
    <row r="38" spans="1:12" ht="71.400000000000006" hidden="1" x14ac:dyDescent="0.3">
      <c r="A38" s="14" t="s">
        <v>31</v>
      </c>
      <c r="B38" s="15" t="s">
        <v>51</v>
      </c>
      <c r="C38" s="15" t="s">
        <v>56</v>
      </c>
      <c r="D38" s="15" t="s">
        <v>53</v>
      </c>
      <c r="E38" s="16" t="s">
        <v>13</v>
      </c>
      <c r="F38" s="17">
        <v>547.35</v>
      </c>
      <c r="G38" s="17"/>
      <c r="H38" s="16" t="s">
        <v>35</v>
      </c>
      <c r="I38" s="18" t="s">
        <v>15</v>
      </c>
      <c r="J38" s="18"/>
      <c r="K38" s="19" t="s">
        <v>8</v>
      </c>
      <c r="L38" s="20">
        <v>432453.49</v>
      </c>
    </row>
    <row r="39" spans="1:12" ht="61.2" hidden="1" x14ac:dyDescent="0.3">
      <c r="A39" s="14" t="s">
        <v>31</v>
      </c>
      <c r="B39" s="15" t="s">
        <v>51</v>
      </c>
      <c r="C39" s="15" t="s">
        <v>57</v>
      </c>
      <c r="D39" s="15" t="s">
        <v>53</v>
      </c>
      <c r="E39" s="16" t="s">
        <v>13</v>
      </c>
      <c r="F39" s="17">
        <v>547.35</v>
      </c>
      <c r="G39" s="17"/>
      <c r="H39" s="16" t="s">
        <v>35</v>
      </c>
      <c r="I39" s="18" t="s">
        <v>15</v>
      </c>
      <c r="J39" s="18"/>
      <c r="K39" s="19" t="s">
        <v>8</v>
      </c>
      <c r="L39" s="20">
        <v>433000.84</v>
      </c>
    </row>
    <row r="40" spans="1:12" ht="71.400000000000006" hidden="1" x14ac:dyDescent="0.3">
      <c r="A40" s="14" t="s">
        <v>31</v>
      </c>
      <c r="B40" s="15" t="s">
        <v>51</v>
      </c>
      <c r="C40" s="15" t="s">
        <v>58</v>
      </c>
      <c r="D40" s="15" t="s">
        <v>53</v>
      </c>
      <c r="E40" s="16" t="s">
        <v>13</v>
      </c>
      <c r="F40" s="17">
        <v>770.5</v>
      </c>
      <c r="G40" s="17"/>
      <c r="H40" s="16" t="s">
        <v>35</v>
      </c>
      <c r="I40" s="18" t="s">
        <v>15</v>
      </c>
      <c r="J40" s="18"/>
      <c r="K40" s="19" t="s">
        <v>8</v>
      </c>
      <c r="L40" s="20">
        <v>433771.34</v>
      </c>
    </row>
    <row r="41" spans="1:12" ht="71.400000000000006" hidden="1" x14ac:dyDescent="0.3">
      <c r="A41" s="14" t="s">
        <v>31</v>
      </c>
      <c r="B41" s="15" t="s">
        <v>59</v>
      </c>
      <c r="C41" s="15" t="s">
        <v>60</v>
      </c>
      <c r="D41" s="15" t="s">
        <v>61</v>
      </c>
      <c r="E41" s="16" t="s">
        <v>13</v>
      </c>
      <c r="F41" s="23">
        <v>26688</v>
      </c>
      <c r="G41" s="23"/>
      <c r="H41" s="16" t="s">
        <v>35</v>
      </c>
      <c r="I41" s="18" t="s">
        <v>15</v>
      </c>
      <c r="J41" s="18"/>
      <c r="K41" s="19" t="s">
        <v>8</v>
      </c>
      <c r="L41" s="20">
        <v>460459.34</v>
      </c>
    </row>
    <row r="42" spans="1:12" ht="71.400000000000006" hidden="1" x14ac:dyDescent="0.3">
      <c r="A42" s="14" t="s">
        <v>31</v>
      </c>
      <c r="B42" s="15" t="s">
        <v>59</v>
      </c>
      <c r="C42" s="15" t="s">
        <v>62</v>
      </c>
      <c r="D42" s="15" t="s">
        <v>61</v>
      </c>
      <c r="E42" s="16" t="s">
        <v>13</v>
      </c>
      <c r="F42" s="23">
        <v>13728</v>
      </c>
      <c r="G42" s="23"/>
      <c r="H42" s="16" t="s">
        <v>35</v>
      </c>
      <c r="I42" s="18" t="s">
        <v>15</v>
      </c>
      <c r="J42" s="18"/>
      <c r="K42" s="19" t="s">
        <v>8</v>
      </c>
      <c r="L42" s="20">
        <v>474187.34</v>
      </c>
    </row>
    <row r="43" spans="1:12" ht="61.2" x14ac:dyDescent="0.3">
      <c r="A43" s="14" t="s">
        <v>63</v>
      </c>
      <c r="B43" s="15" t="s">
        <v>64</v>
      </c>
      <c r="C43" s="15" t="s">
        <v>24</v>
      </c>
      <c r="D43" s="15" t="s">
        <v>65</v>
      </c>
      <c r="E43" s="16" t="s">
        <v>26</v>
      </c>
      <c r="F43" s="21" t="s">
        <v>15</v>
      </c>
      <c r="G43" s="21"/>
      <c r="H43" s="16" t="s">
        <v>13</v>
      </c>
      <c r="I43" s="24">
        <v>1981.5</v>
      </c>
      <c r="J43" s="24"/>
      <c r="K43" s="19" t="s">
        <v>8</v>
      </c>
      <c r="L43" s="20">
        <v>472205.84</v>
      </c>
    </row>
    <row r="44" spans="1:12" ht="61.2" x14ac:dyDescent="0.3">
      <c r="A44" s="14" t="s">
        <v>63</v>
      </c>
      <c r="B44" s="15" t="s">
        <v>66</v>
      </c>
      <c r="C44" s="15" t="s">
        <v>24</v>
      </c>
      <c r="D44" s="15" t="s">
        <v>67</v>
      </c>
      <c r="E44" s="16" t="s">
        <v>26</v>
      </c>
      <c r="F44" s="21" t="s">
        <v>15</v>
      </c>
      <c r="G44" s="21"/>
      <c r="H44" s="16" t="s">
        <v>13</v>
      </c>
      <c r="I44" s="22">
        <v>69</v>
      </c>
      <c r="J44" s="22"/>
      <c r="K44" s="19" t="s">
        <v>8</v>
      </c>
      <c r="L44" s="20">
        <v>472136.84</v>
      </c>
    </row>
    <row r="45" spans="1:12" ht="61.2" x14ac:dyDescent="0.3">
      <c r="A45" s="14" t="s">
        <v>63</v>
      </c>
      <c r="B45" s="15" t="s">
        <v>66</v>
      </c>
      <c r="C45" s="15" t="s">
        <v>24</v>
      </c>
      <c r="D45" s="15" t="s">
        <v>68</v>
      </c>
      <c r="E45" s="16" t="s">
        <v>26</v>
      </c>
      <c r="F45" s="21" t="s">
        <v>15</v>
      </c>
      <c r="G45" s="21"/>
      <c r="H45" s="16" t="s">
        <v>13</v>
      </c>
      <c r="I45" s="22">
        <v>242.4</v>
      </c>
      <c r="J45" s="22"/>
      <c r="K45" s="19" t="s">
        <v>8</v>
      </c>
      <c r="L45" s="20">
        <v>471894.44</v>
      </c>
    </row>
    <row r="46" spans="1:12" ht="61.2" x14ac:dyDescent="0.3">
      <c r="A46" s="14" t="s">
        <v>63</v>
      </c>
      <c r="B46" s="15" t="s">
        <v>66</v>
      </c>
      <c r="C46" s="15" t="s">
        <v>24</v>
      </c>
      <c r="D46" s="15" t="s">
        <v>69</v>
      </c>
      <c r="E46" s="16" t="s">
        <v>26</v>
      </c>
      <c r="F46" s="21" t="s">
        <v>15</v>
      </c>
      <c r="G46" s="21"/>
      <c r="H46" s="16" t="s">
        <v>13</v>
      </c>
      <c r="I46" s="24">
        <v>1120</v>
      </c>
      <c r="J46" s="24"/>
      <c r="K46" s="19" t="s">
        <v>8</v>
      </c>
      <c r="L46" s="20">
        <v>470774.44</v>
      </c>
    </row>
    <row r="47" spans="1:12" ht="61.2" x14ac:dyDescent="0.3">
      <c r="A47" s="14" t="s">
        <v>63</v>
      </c>
      <c r="B47" s="15" t="s">
        <v>66</v>
      </c>
      <c r="C47" s="15" t="s">
        <v>24</v>
      </c>
      <c r="D47" s="15" t="s">
        <v>70</v>
      </c>
      <c r="E47" s="16" t="s">
        <v>26</v>
      </c>
      <c r="F47" s="21" t="s">
        <v>15</v>
      </c>
      <c r="G47" s="21"/>
      <c r="H47" s="16" t="s">
        <v>13</v>
      </c>
      <c r="I47" s="22">
        <v>433.85</v>
      </c>
      <c r="J47" s="22"/>
      <c r="K47" s="19" t="s">
        <v>8</v>
      </c>
      <c r="L47" s="20">
        <v>470340.59</v>
      </c>
    </row>
    <row r="48" spans="1:12" ht="71.400000000000006" x14ac:dyDescent="0.3">
      <c r="A48" s="14" t="s">
        <v>63</v>
      </c>
      <c r="B48" s="15" t="s">
        <v>66</v>
      </c>
      <c r="C48" s="15" t="s">
        <v>24</v>
      </c>
      <c r="D48" s="15" t="s">
        <v>71</v>
      </c>
      <c r="E48" s="16" t="s">
        <v>26</v>
      </c>
      <c r="F48" s="21" t="s">
        <v>15</v>
      </c>
      <c r="G48" s="21"/>
      <c r="H48" s="16" t="s">
        <v>13</v>
      </c>
      <c r="I48" s="22">
        <v>809.75</v>
      </c>
      <c r="J48" s="22"/>
      <c r="K48" s="19" t="s">
        <v>8</v>
      </c>
      <c r="L48" s="20">
        <v>469530.84</v>
      </c>
    </row>
    <row r="49" spans="1:12" ht="61.2" x14ac:dyDescent="0.3">
      <c r="A49" s="14" t="s">
        <v>63</v>
      </c>
      <c r="B49" s="15" t="s">
        <v>66</v>
      </c>
      <c r="C49" s="15" t="s">
        <v>24</v>
      </c>
      <c r="D49" s="15" t="s">
        <v>72</v>
      </c>
      <c r="E49" s="16" t="s">
        <v>26</v>
      </c>
      <c r="F49" s="21" t="s">
        <v>15</v>
      </c>
      <c r="G49" s="21"/>
      <c r="H49" s="16" t="s">
        <v>13</v>
      </c>
      <c r="I49" s="24">
        <v>3077.25</v>
      </c>
      <c r="J49" s="24"/>
      <c r="K49" s="19" t="s">
        <v>8</v>
      </c>
      <c r="L49" s="20">
        <v>466453.59</v>
      </c>
    </row>
    <row r="50" spans="1:12" ht="71.400000000000006" x14ac:dyDescent="0.3">
      <c r="A50" s="14" t="s">
        <v>63</v>
      </c>
      <c r="B50" s="15" t="s">
        <v>66</v>
      </c>
      <c r="C50" s="15" t="s">
        <v>24</v>
      </c>
      <c r="D50" s="15" t="s">
        <v>73</v>
      </c>
      <c r="E50" s="16" t="s">
        <v>26</v>
      </c>
      <c r="F50" s="21" t="s">
        <v>15</v>
      </c>
      <c r="G50" s="21"/>
      <c r="H50" s="16" t="s">
        <v>13</v>
      </c>
      <c r="I50" s="22">
        <v>614</v>
      </c>
      <c r="J50" s="22"/>
      <c r="K50" s="19" t="s">
        <v>8</v>
      </c>
      <c r="L50" s="20">
        <v>465839.59</v>
      </c>
    </row>
    <row r="51" spans="1:12" ht="61.2" x14ac:dyDescent="0.3">
      <c r="A51" s="14" t="s">
        <v>63</v>
      </c>
      <c r="B51" s="15" t="s">
        <v>66</v>
      </c>
      <c r="C51" s="15" t="s">
        <v>24</v>
      </c>
      <c r="D51" s="15" t="s">
        <v>74</v>
      </c>
      <c r="E51" s="16" t="s">
        <v>26</v>
      </c>
      <c r="F51" s="21" t="s">
        <v>15</v>
      </c>
      <c r="G51" s="21"/>
      <c r="H51" s="16" t="s">
        <v>13</v>
      </c>
      <c r="I51" s="22">
        <v>269.69</v>
      </c>
      <c r="J51" s="22"/>
      <c r="K51" s="19" t="s">
        <v>8</v>
      </c>
      <c r="L51" s="20">
        <v>465569.9</v>
      </c>
    </row>
    <row r="52" spans="1:12" ht="61.2" x14ac:dyDescent="0.3">
      <c r="A52" s="14" t="s">
        <v>63</v>
      </c>
      <c r="B52" s="15" t="s">
        <v>66</v>
      </c>
      <c r="C52" s="15" t="s">
        <v>24</v>
      </c>
      <c r="D52" s="15" t="s">
        <v>75</v>
      </c>
      <c r="E52" s="16" t="s">
        <v>26</v>
      </c>
      <c r="F52" s="21" t="s">
        <v>15</v>
      </c>
      <c r="G52" s="21"/>
      <c r="H52" s="16" t="s">
        <v>13</v>
      </c>
      <c r="I52" s="22">
        <v>539.38</v>
      </c>
      <c r="J52" s="22"/>
      <c r="K52" s="19" t="s">
        <v>8</v>
      </c>
      <c r="L52" s="20">
        <v>465030.52</v>
      </c>
    </row>
    <row r="53" spans="1:12" ht="61.2" x14ac:dyDescent="0.3">
      <c r="A53" s="14" t="s">
        <v>63</v>
      </c>
      <c r="B53" s="15" t="s">
        <v>66</v>
      </c>
      <c r="C53" s="15" t="s">
        <v>24</v>
      </c>
      <c r="D53" s="15" t="s">
        <v>76</v>
      </c>
      <c r="E53" s="16" t="s">
        <v>26</v>
      </c>
      <c r="F53" s="21" t="s">
        <v>15</v>
      </c>
      <c r="G53" s="21"/>
      <c r="H53" s="16" t="s">
        <v>13</v>
      </c>
      <c r="I53" s="24">
        <v>2450</v>
      </c>
      <c r="J53" s="24"/>
      <c r="K53" s="19" t="s">
        <v>8</v>
      </c>
      <c r="L53" s="20">
        <v>462580.52</v>
      </c>
    </row>
    <row r="54" spans="1:12" ht="61.2" x14ac:dyDescent="0.3">
      <c r="A54" s="14" t="s">
        <v>63</v>
      </c>
      <c r="B54" s="15" t="s">
        <v>66</v>
      </c>
      <c r="C54" s="15" t="s">
        <v>24</v>
      </c>
      <c r="D54" s="15" t="s">
        <v>77</v>
      </c>
      <c r="E54" s="16" t="s">
        <v>26</v>
      </c>
      <c r="F54" s="21" t="s">
        <v>15</v>
      </c>
      <c r="G54" s="21"/>
      <c r="H54" s="16" t="s">
        <v>13</v>
      </c>
      <c r="I54" s="22">
        <v>505.5</v>
      </c>
      <c r="J54" s="22"/>
      <c r="K54" s="19" t="s">
        <v>8</v>
      </c>
      <c r="L54" s="20">
        <v>462075.02</v>
      </c>
    </row>
    <row r="55" spans="1:12" ht="61.2" x14ac:dyDescent="0.3">
      <c r="A55" s="14" t="s">
        <v>63</v>
      </c>
      <c r="B55" s="15" t="s">
        <v>66</v>
      </c>
      <c r="C55" s="15" t="s">
        <v>24</v>
      </c>
      <c r="D55" s="15" t="s">
        <v>78</v>
      </c>
      <c r="E55" s="16" t="s">
        <v>26</v>
      </c>
      <c r="F55" s="21" t="s">
        <v>15</v>
      </c>
      <c r="G55" s="21"/>
      <c r="H55" s="16" t="s">
        <v>13</v>
      </c>
      <c r="I55" s="22">
        <v>650</v>
      </c>
      <c r="J55" s="22"/>
      <c r="K55" s="19" t="s">
        <v>8</v>
      </c>
      <c r="L55" s="20">
        <v>461425.02</v>
      </c>
    </row>
    <row r="56" spans="1:12" ht="61.2" x14ac:dyDescent="0.3">
      <c r="A56" s="14" t="s">
        <v>63</v>
      </c>
      <c r="B56" s="15" t="s">
        <v>66</v>
      </c>
      <c r="C56" s="15" t="s">
        <v>24</v>
      </c>
      <c r="D56" s="15" t="s">
        <v>79</v>
      </c>
      <c r="E56" s="16" t="s">
        <v>26</v>
      </c>
      <c r="F56" s="21" t="s">
        <v>15</v>
      </c>
      <c r="G56" s="21"/>
      <c r="H56" s="16" t="s">
        <v>13</v>
      </c>
      <c r="I56" s="22">
        <v>648.5</v>
      </c>
      <c r="J56" s="22"/>
      <c r="K56" s="19" t="s">
        <v>8</v>
      </c>
      <c r="L56" s="20">
        <v>460776.52</v>
      </c>
    </row>
    <row r="57" spans="1:12" ht="61.2" x14ac:dyDescent="0.3">
      <c r="A57" s="14" t="s">
        <v>63</v>
      </c>
      <c r="B57" s="15" t="s">
        <v>66</v>
      </c>
      <c r="C57" s="15" t="s">
        <v>24</v>
      </c>
      <c r="D57" s="15" t="s">
        <v>80</v>
      </c>
      <c r="E57" s="16" t="s">
        <v>26</v>
      </c>
      <c r="F57" s="21" t="s">
        <v>15</v>
      </c>
      <c r="G57" s="21"/>
      <c r="H57" s="16" t="s">
        <v>13</v>
      </c>
      <c r="I57" s="24">
        <v>1314</v>
      </c>
      <c r="J57" s="24"/>
      <c r="K57" s="19" t="s">
        <v>8</v>
      </c>
      <c r="L57" s="20">
        <v>459462.52</v>
      </c>
    </row>
    <row r="58" spans="1:12" ht="61.2" x14ac:dyDescent="0.3">
      <c r="A58" s="14" t="s">
        <v>63</v>
      </c>
      <c r="B58" s="15" t="s">
        <v>66</v>
      </c>
      <c r="C58" s="15" t="s">
        <v>24</v>
      </c>
      <c r="D58" s="15" t="s">
        <v>81</v>
      </c>
      <c r="E58" s="16" t="s">
        <v>26</v>
      </c>
      <c r="F58" s="21" t="s">
        <v>15</v>
      </c>
      <c r="G58" s="21"/>
      <c r="H58" s="16" t="s">
        <v>13</v>
      </c>
      <c r="I58" s="22">
        <v>256.75</v>
      </c>
      <c r="J58" s="22"/>
      <c r="K58" s="19" t="s">
        <v>8</v>
      </c>
      <c r="L58" s="20">
        <v>459205.77</v>
      </c>
    </row>
    <row r="59" spans="1:12" ht="61.2" x14ac:dyDescent="0.3">
      <c r="A59" s="14" t="s">
        <v>63</v>
      </c>
      <c r="B59" s="15" t="s">
        <v>66</v>
      </c>
      <c r="C59" s="15" t="s">
        <v>24</v>
      </c>
      <c r="D59" s="15" t="s">
        <v>82</v>
      </c>
      <c r="E59" s="16" t="s">
        <v>26</v>
      </c>
      <c r="F59" s="21" t="s">
        <v>15</v>
      </c>
      <c r="G59" s="21"/>
      <c r="H59" s="16" t="s">
        <v>13</v>
      </c>
      <c r="I59" s="22">
        <v>542</v>
      </c>
      <c r="J59" s="22"/>
      <c r="K59" s="19" t="s">
        <v>8</v>
      </c>
      <c r="L59" s="20">
        <v>458663.77</v>
      </c>
    </row>
    <row r="60" spans="1:12" ht="61.2" x14ac:dyDescent="0.3">
      <c r="A60" s="14" t="s">
        <v>63</v>
      </c>
      <c r="B60" s="15" t="s">
        <v>66</v>
      </c>
      <c r="C60" s="15" t="s">
        <v>24</v>
      </c>
      <c r="D60" s="15" t="s">
        <v>83</v>
      </c>
      <c r="E60" s="16" t="s">
        <v>26</v>
      </c>
      <c r="F60" s="21" t="s">
        <v>15</v>
      </c>
      <c r="G60" s="21"/>
      <c r="H60" s="16" t="s">
        <v>13</v>
      </c>
      <c r="I60" s="24">
        <v>1075</v>
      </c>
      <c r="J60" s="24"/>
      <c r="K60" s="19" t="s">
        <v>8</v>
      </c>
      <c r="L60" s="20">
        <v>457588.77</v>
      </c>
    </row>
    <row r="61" spans="1:12" ht="51" x14ac:dyDescent="0.3">
      <c r="A61" s="14" t="s">
        <v>63</v>
      </c>
      <c r="B61" s="15" t="s">
        <v>66</v>
      </c>
      <c r="C61" s="15" t="s">
        <v>24</v>
      </c>
      <c r="D61" s="15" t="s">
        <v>84</v>
      </c>
      <c r="E61" s="16" t="s">
        <v>26</v>
      </c>
      <c r="F61" s="21" t="s">
        <v>15</v>
      </c>
      <c r="G61" s="21"/>
      <c r="H61" s="16" t="s">
        <v>13</v>
      </c>
      <c r="I61" s="22">
        <v>278</v>
      </c>
      <c r="J61" s="22"/>
      <c r="K61" s="19" t="s">
        <v>8</v>
      </c>
      <c r="L61" s="20">
        <v>457310.77</v>
      </c>
    </row>
    <row r="62" spans="1:12" ht="61.2" x14ac:dyDescent="0.3">
      <c r="A62" s="14" t="s">
        <v>63</v>
      </c>
      <c r="B62" s="15" t="s">
        <v>66</v>
      </c>
      <c r="C62" s="15" t="s">
        <v>24</v>
      </c>
      <c r="D62" s="15" t="s">
        <v>85</v>
      </c>
      <c r="E62" s="16" t="s">
        <v>26</v>
      </c>
      <c r="F62" s="21" t="s">
        <v>15</v>
      </c>
      <c r="G62" s="21"/>
      <c r="H62" s="16" t="s">
        <v>13</v>
      </c>
      <c r="I62" s="24">
        <v>1584</v>
      </c>
      <c r="J62" s="24"/>
      <c r="K62" s="19" t="s">
        <v>8</v>
      </c>
      <c r="L62" s="20">
        <v>455726.77</v>
      </c>
    </row>
    <row r="63" spans="1:12" ht="61.2" x14ac:dyDescent="0.3">
      <c r="A63" s="14" t="s">
        <v>63</v>
      </c>
      <c r="B63" s="15" t="s">
        <v>66</v>
      </c>
      <c r="C63" s="15" t="s">
        <v>24</v>
      </c>
      <c r="D63" s="15" t="s">
        <v>86</v>
      </c>
      <c r="E63" s="16" t="s">
        <v>26</v>
      </c>
      <c r="F63" s="21" t="s">
        <v>15</v>
      </c>
      <c r="G63" s="21"/>
      <c r="H63" s="16" t="s">
        <v>13</v>
      </c>
      <c r="I63" s="22">
        <v>805</v>
      </c>
      <c r="J63" s="22"/>
      <c r="K63" s="19" t="s">
        <v>8</v>
      </c>
      <c r="L63" s="20">
        <v>454921.77</v>
      </c>
    </row>
    <row r="64" spans="1:12" ht="61.2" x14ac:dyDescent="0.3">
      <c r="A64" s="14" t="s">
        <v>63</v>
      </c>
      <c r="B64" s="15" t="s">
        <v>66</v>
      </c>
      <c r="C64" s="15" t="s">
        <v>24</v>
      </c>
      <c r="D64" s="15" t="s">
        <v>87</v>
      </c>
      <c r="E64" s="16" t="s">
        <v>26</v>
      </c>
      <c r="F64" s="21" t="s">
        <v>15</v>
      </c>
      <c r="G64" s="21"/>
      <c r="H64" s="16" t="s">
        <v>13</v>
      </c>
      <c r="I64" s="22">
        <v>805</v>
      </c>
      <c r="J64" s="22"/>
      <c r="K64" s="19" t="s">
        <v>8</v>
      </c>
      <c r="L64" s="20">
        <v>454116.77</v>
      </c>
    </row>
    <row r="65" spans="1:12" ht="61.2" x14ac:dyDescent="0.3">
      <c r="A65" s="14" t="s">
        <v>63</v>
      </c>
      <c r="B65" s="15" t="s">
        <v>66</v>
      </c>
      <c r="C65" s="15" t="s">
        <v>24</v>
      </c>
      <c r="D65" s="15" t="s">
        <v>88</v>
      </c>
      <c r="E65" s="16" t="s">
        <v>26</v>
      </c>
      <c r="F65" s="21" t="s">
        <v>15</v>
      </c>
      <c r="G65" s="21"/>
      <c r="H65" s="16" t="s">
        <v>13</v>
      </c>
      <c r="I65" s="22">
        <v>293.39999999999998</v>
      </c>
      <c r="J65" s="22"/>
      <c r="K65" s="19" t="s">
        <v>8</v>
      </c>
      <c r="L65" s="20">
        <v>453823.37</v>
      </c>
    </row>
    <row r="66" spans="1:12" ht="61.2" x14ac:dyDescent="0.3">
      <c r="A66" s="14" t="s">
        <v>63</v>
      </c>
      <c r="B66" s="15" t="s">
        <v>66</v>
      </c>
      <c r="C66" s="15" t="s">
        <v>24</v>
      </c>
      <c r="D66" s="15" t="s">
        <v>89</v>
      </c>
      <c r="E66" s="16" t="s">
        <v>26</v>
      </c>
      <c r="F66" s="21" t="s">
        <v>15</v>
      </c>
      <c r="G66" s="21"/>
      <c r="H66" s="16" t="s">
        <v>13</v>
      </c>
      <c r="I66" s="22">
        <v>810</v>
      </c>
      <c r="J66" s="22"/>
      <c r="K66" s="19" t="s">
        <v>8</v>
      </c>
      <c r="L66" s="20">
        <v>453013.37</v>
      </c>
    </row>
    <row r="67" spans="1:12" ht="61.2" x14ac:dyDescent="0.3">
      <c r="A67" s="14" t="s">
        <v>63</v>
      </c>
      <c r="B67" s="15" t="s">
        <v>66</v>
      </c>
      <c r="C67" s="15" t="s">
        <v>24</v>
      </c>
      <c r="D67" s="15" t="s">
        <v>90</v>
      </c>
      <c r="E67" s="16" t="s">
        <v>26</v>
      </c>
      <c r="F67" s="21" t="s">
        <v>15</v>
      </c>
      <c r="G67" s="21"/>
      <c r="H67" s="16" t="s">
        <v>13</v>
      </c>
      <c r="I67" s="22">
        <v>166.75</v>
      </c>
      <c r="J67" s="22"/>
      <c r="K67" s="19" t="s">
        <v>8</v>
      </c>
      <c r="L67" s="20">
        <v>452846.62</v>
      </c>
    </row>
    <row r="68" spans="1:12" ht="81.599999999999994" x14ac:dyDescent="0.3">
      <c r="A68" s="14" t="s">
        <v>63</v>
      </c>
      <c r="B68" s="15" t="s">
        <v>66</v>
      </c>
      <c r="C68" s="15" t="s">
        <v>24</v>
      </c>
      <c r="D68" s="15" t="s">
        <v>20</v>
      </c>
      <c r="E68" s="16" t="s">
        <v>26</v>
      </c>
      <c r="F68" s="21" t="s">
        <v>15</v>
      </c>
      <c r="G68" s="21"/>
      <c r="H68" s="16" t="s">
        <v>13</v>
      </c>
      <c r="I68" s="22">
        <v>730</v>
      </c>
      <c r="J68" s="22"/>
      <c r="K68" s="19" t="s">
        <v>8</v>
      </c>
      <c r="L68" s="20">
        <v>452116.62</v>
      </c>
    </row>
    <row r="69" spans="1:12" ht="81.599999999999994" x14ac:dyDescent="0.3">
      <c r="A69" s="14" t="s">
        <v>63</v>
      </c>
      <c r="B69" s="15" t="s">
        <v>66</v>
      </c>
      <c r="C69" s="15" t="s">
        <v>24</v>
      </c>
      <c r="D69" s="15" t="s">
        <v>21</v>
      </c>
      <c r="E69" s="16" t="s">
        <v>26</v>
      </c>
      <c r="F69" s="21" t="s">
        <v>15</v>
      </c>
      <c r="G69" s="21"/>
      <c r="H69" s="16" t="s">
        <v>13</v>
      </c>
      <c r="I69" s="22">
        <v>730</v>
      </c>
      <c r="J69" s="22"/>
      <c r="K69" s="19" t="s">
        <v>8</v>
      </c>
      <c r="L69" s="20">
        <v>451386.62</v>
      </c>
    </row>
    <row r="70" spans="1:12" ht="81.599999999999994" x14ac:dyDescent="0.3">
      <c r="A70" s="14" t="s">
        <v>63</v>
      </c>
      <c r="B70" s="15" t="s">
        <v>66</v>
      </c>
      <c r="C70" s="15" t="s">
        <v>24</v>
      </c>
      <c r="D70" s="15" t="s">
        <v>91</v>
      </c>
      <c r="E70" s="16" t="s">
        <v>26</v>
      </c>
      <c r="F70" s="21" t="s">
        <v>15</v>
      </c>
      <c r="G70" s="21"/>
      <c r="H70" s="16" t="s">
        <v>13</v>
      </c>
      <c r="I70" s="24">
        <v>2082.25</v>
      </c>
      <c r="J70" s="24"/>
      <c r="K70" s="19" t="s">
        <v>8</v>
      </c>
      <c r="L70" s="20">
        <v>449304.37</v>
      </c>
    </row>
    <row r="71" spans="1:12" ht="71.400000000000006" x14ac:dyDescent="0.3">
      <c r="A71" s="14" t="s">
        <v>92</v>
      </c>
      <c r="B71" s="15" t="s">
        <v>93</v>
      </c>
      <c r="C71" s="15" t="s">
        <v>24</v>
      </c>
      <c r="D71" s="15" t="s">
        <v>94</v>
      </c>
      <c r="E71" s="16" t="s">
        <v>26</v>
      </c>
      <c r="F71" s="21" t="s">
        <v>15</v>
      </c>
      <c r="G71" s="21"/>
      <c r="H71" s="16" t="s">
        <v>13</v>
      </c>
      <c r="I71" s="22">
        <v>537.6</v>
      </c>
      <c r="J71" s="22"/>
      <c r="K71" s="19" t="s">
        <v>8</v>
      </c>
      <c r="L71" s="20">
        <v>448766.77</v>
      </c>
    </row>
    <row r="72" spans="1:12" ht="61.2" x14ac:dyDescent="0.3">
      <c r="A72" s="14" t="s">
        <v>92</v>
      </c>
      <c r="B72" s="15" t="s">
        <v>93</v>
      </c>
      <c r="C72" s="15" t="s">
        <v>24</v>
      </c>
      <c r="D72" s="15" t="s">
        <v>95</v>
      </c>
      <c r="E72" s="16" t="s">
        <v>26</v>
      </c>
      <c r="F72" s="21" t="s">
        <v>15</v>
      </c>
      <c r="G72" s="21"/>
      <c r="H72" s="16" t="s">
        <v>13</v>
      </c>
      <c r="I72" s="22">
        <v>504.25</v>
      </c>
      <c r="J72" s="22"/>
      <c r="K72" s="19" t="s">
        <v>8</v>
      </c>
      <c r="L72" s="20">
        <v>448262.52</v>
      </c>
    </row>
    <row r="73" spans="1:12" ht="61.2" x14ac:dyDescent="0.3">
      <c r="A73" s="14" t="s">
        <v>92</v>
      </c>
      <c r="B73" s="15" t="s">
        <v>93</v>
      </c>
      <c r="C73" s="15" t="s">
        <v>24</v>
      </c>
      <c r="D73" s="15" t="s">
        <v>96</v>
      </c>
      <c r="E73" s="16" t="s">
        <v>26</v>
      </c>
      <c r="F73" s="21" t="s">
        <v>15</v>
      </c>
      <c r="G73" s="21"/>
      <c r="H73" s="16" t="s">
        <v>13</v>
      </c>
      <c r="I73" s="24">
        <v>2017</v>
      </c>
      <c r="J73" s="24"/>
      <c r="K73" s="19" t="s">
        <v>8</v>
      </c>
      <c r="L73" s="20">
        <v>446245.52</v>
      </c>
    </row>
    <row r="74" spans="1:12" ht="61.2" x14ac:dyDescent="0.3">
      <c r="A74" s="14" t="s">
        <v>92</v>
      </c>
      <c r="B74" s="15" t="s">
        <v>93</v>
      </c>
      <c r="C74" s="15" t="s">
        <v>24</v>
      </c>
      <c r="D74" s="15" t="s">
        <v>97</v>
      </c>
      <c r="E74" s="16" t="s">
        <v>26</v>
      </c>
      <c r="F74" s="21" t="s">
        <v>15</v>
      </c>
      <c r="G74" s="21"/>
      <c r="H74" s="16" t="s">
        <v>13</v>
      </c>
      <c r="I74" s="22">
        <v>141.78</v>
      </c>
      <c r="J74" s="22"/>
      <c r="K74" s="19" t="s">
        <v>8</v>
      </c>
      <c r="L74" s="20">
        <v>446103.74</v>
      </c>
    </row>
    <row r="75" spans="1:12" ht="61.2" x14ac:dyDescent="0.3">
      <c r="A75" s="14" t="s">
        <v>92</v>
      </c>
      <c r="B75" s="15" t="s">
        <v>93</v>
      </c>
      <c r="C75" s="15" t="s">
        <v>24</v>
      </c>
      <c r="D75" s="15" t="s">
        <v>98</v>
      </c>
      <c r="E75" s="16" t="s">
        <v>26</v>
      </c>
      <c r="F75" s="21" t="s">
        <v>15</v>
      </c>
      <c r="G75" s="21"/>
      <c r="H75" s="16" t="s">
        <v>13</v>
      </c>
      <c r="I75" s="22">
        <v>45.55</v>
      </c>
      <c r="J75" s="22"/>
      <c r="K75" s="19" t="s">
        <v>8</v>
      </c>
      <c r="L75" s="20">
        <v>446058.19</v>
      </c>
    </row>
    <row r="76" spans="1:12" ht="71.400000000000006" x14ac:dyDescent="0.3">
      <c r="A76" s="14" t="s">
        <v>92</v>
      </c>
      <c r="B76" s="15" t="s">
        <v>99</v>
      </c>
      <c r="C76" s="15" t="s">
        <v>24</v>
      </c>
      <c r="D76" s="15" t="s">
        <v>100</v>
      </c>
      <c r="E76" s="16" t="s">
        <v>26</v>
      </c>
      <c r="F76" s="21" t="s">
        <v>15</v>
      </c>
      <c r="G76" s="21"/>
      <c r="H76" s="16" t="s">
        <v>13</v>
      </c>
      <c r="I76" s="24">
        <v>2070</v>
      </c>
      <c r="J76" s="24"/>
      <c r="K76" s="19" t="s">
        <v>8</v>
      </c>
      <c r="L76" s="20">
        <v>443988.19</v>
      </c>
    </row>
    <row r="77" spans="1:12" ht="71.400000000000006" x14ac:dyDescent="0.3">
      <c r="A77" s="14" t="s">
        <v>92</v>
      </c>
      <c r="B77" s="15" t="s">
        <v>99</v>
      </c>
      <c r="C77" s="15" t="s">
        <v>24</v>
      </c>
      <c r="D77" s="15" t="s">
        <v>101</v>
      </c>
      <c r="E77" s="16" t="s">
        <v>26</v>
      </c>
      <c r="F77" s="21" t="s">
        <v>15</v>
      </c>
      <c r="G77" s="21"/>
      <c r="H77" s="16" t="s">
        <v>13</v>
      </c>
      <c r="I77" s="22">
        <v>457.6</v>
      </c>
      <c r="J77" s="22"/>
      <c r="K77" s="19" t="s">
        <v>8</v>
      </c>
      <c r="L77" s="20">
        <v>443530.59</v>
      </c>
    </row>
    <row r="78" spans="1:12" ht="71.400000000000006" x14ac:dyDescent="0.3">
      <c r="A78" s="14" t="s">
        <v>92</v>
      </c>
      <c r="B78" s="15" t="s">
        <v>102</v>
      </c>
      <c r="C78" s="15" t="s">
        <v>24</v>
      </c>
      <c r="D78" s="15" t="s">
        <v>103</v>
      </c>
      <c r="E78" s="16" t="s">
        <v>26</v>
      </c>
      <c r="F78" s="21" t="s">
        <v>15</v>
      </c>
      <c r="G78" s="21"/>
      <c r="H78" s="16" t="s">
        <v>13</v>
      </c>
      <c r="I78" s="24">
        <v>1339.2</v>
      </c>
      <c r="J78" s="24"/>
      <c r="K78" s="19" t="s">
        <v>8</v>
      </c>
      <c r="L78" s="20">
        <v>442191.39</v>
      </c>
    </row>
    <row r="79" spans="1:12" ht="71.400000000000006" x14ac:dyDescent="0.3">
      <c r="A79" s="14" t="s">
        <v>92</v>
      </c>
      <c r="B79" s="15" t="s">
        <v>102</v>
      </c>
      <c r="C79" s="15" t="s">
        <v>24</v>
      </c>
      <c r="D79" s="15" t="s">
        <v>104</v>
      </c>
      <c r="E79" s="16" t="s">
        <v>26</v>
      </c>
      <c r="F79" s="21" t="s">
        <v>15</v>
      </c>
      <c r="G79" s="21"/>
      <c r="H79" s="16" t="s">
        <v>13</v>
      </c>
      <c r="I79" s="24">
        <v>2901.6</v>
      </c>
      <c r="J79" s="24"/>
      <c r="K79" s="19" t="s">
        <v>8</v>
      </c>
      <c r="L79" s="20">
        <v>439289.79</v>
      </c>
    </row>
    <row r="80" spans="1:12" ht="71.400000000000006" x14ac:dyDescent="0.3">
      <c r="A80" s="14" t="s">
        <v>92</v>
      </c>
      <c r="B80" s="15" t="s">
        <v>102</v>
      </c>
      <c r="C80" s="15" t="s">
        <v>24</v>
      </c>
      <c r="D80" s="15" t="s">
        <v>105</v>
      </c>
      <c r="E80" s="16" t="s">
        <v>26</v>
      </c>
      <c r="F80" s="21" t="s">
        <v>15</v>
      </c>
      <c r="G80" s="21"/>
      <c r="H80" s="16" t="s">
        <v>13</v>
      </c>
      <c r="I80" s="22">
        <v>168.25</v>
      </c>
      <c r="J80" s="22"/>
      <c r="K80" s="19" t="s">
        <v>8</v>
      </c>
      <c r="L80" s="20">
        <v>439121.54</v>
      </c>
    </row>
    <row r="81" spans="1:12" ht="61.2" x14ac:dyDescent="0.3">
      <c r="A81" s="14" t="s">
        <v>92</v>
      </c>
      <c r="B81" s="15" t="s">
        <v>106</v>
      </c>
      <c r="C81" s="15" t="s">
        <v>24</v>
      </c>
      <c r="D81" s="15" t="s">
        <v>107</v>
      </c>
      <c r="E81" s="16" t="s">
        <v>26</v>
      </c>
      <c r="F81" s="21" t="s">
        <v>15</v>
      </c>
      <c r="G81" s="21"/>
      <c r="H81" s="16" t="s">
        <v>13</v>
      </c>
      <c r="I81" s="22">
        <v>483.4</v>
      </c>
      <c r="J81" s="22"/>
      <c r="K81" s="19" t="s">
        <v>8</v>
      </c>
      <c r="L81" s="20">
        <v>438638.14</v>
      </c>
    </row>
    <row r="82" spans="1:12" ht="61.2" x14ac:dyDescent="0.3">
      <c r="A82" s="14" t="s">
        <v>92</v>
      </c>
      <c r="B82" s="15" t="s">
        <v>106</v>
      </c>
      <c r="C82" s="15" t="s">
        <v>24</v>
      </c>
      <c r="D82" s="15" t="s">
        <v>108</v>
      </c>
      <c r="E82" s="16" t="s">
        <v>26</v>
      </c>
      <c r="F82" s="21" t="s">
        <v>15</v>
      </c>
      <c r="G82" s="21"/>
      <c r="H82" s="16" t="s">
        <v>13</v>
      </c>
      <c r="I82" s="22">
        <v>966.8</v>
      </c>
      <c r="J82" s="22"/>
      <c r="K82" s="19" t="s">
        <v>8</v>
      </c>
      <c r="L82" s="20">
        <v>437671.34</v>
      </c>
    </row>
    <row r="83" spans="1:12" ht="61.2" x14ac:dyDescent="0.3">
      <c r="A83" s="14" t="s">
        <v>92</v>
      </c>
      <c r="B83" s="15" t="s">
        <v>106</v>
      </c>
      <c r="C83" s="15" t="s">
        <v>24</v>
      </c>
      <c r="D83" s="15" t="s">
        <v>109</v>
      </c>
      <c r="E83" s="16" t="s">
        <v>26</v>
      </c>
      <c r="F83" s="21" t="s">
        <v>15</v>
      </c>
      <c r="G83" s="21"/>
      <c r="H83" s="16" t="s">
        <v>13</v>
      </c>
      <c r="I83" s="24">
        <v>1204.5</v>
      </c>
      <c r="J83" s="24"/>
      <c r="K83" s="19" t="s">
        <v>8</v>
      </c>
      <c r="L83" s="20">
        <v>436466.84</v>
      </c>
    </row>
    <row r="84" spans="1:12" ht="61.2" x14ac:dyDescent="0.3">
      <c r="A84" s="14" t="s">
        <v>92</v>
      </c>
      <c r="B84" s="15" t="s">
        <v>106</v>
      </c>
      <c r="C84" s="15" t="s">
        <v>24</v>
      </c>
      <c r="D84" s="15" t="s">
        <v>110</v>
      </c>
      <c r="E84" s="16" t="s">
        <v>26</v>
      </c>
      <c r="F84" s="21" t="s">
        <v>15</v>
      </c>
      <c r="G84" s="21"/>
      <c r="H84" s="16" t="s">
        <v>13</v>
      </c>
      <c r="I84" s="22">
        <v>657</v>
      </c>
      <c r="J84" s="22"/>
      <c r="K84" s="19" t="s">
        <v>8</v>
      </c>
      <c r="L84" s="20">
        <v>435809.84</v>
      </c>
    </row>
    <row r="85" spans="1:12" ht="61.2" x14ac:dyDescent="0.3">
      <c r="A85" s="14" t="s">
        <v>92</v>
      </c>
      <c r="B85" s="15" t="s">
        <v>106</v>
      </c>
      <c r="C85" s="15" t="s">
        <v>24</v>
      </c>
      <c r="D85" s="15" t="s">
        <v>111</v>
      </c>
      <c r="E85" s="16" t="s">
        <v>26</v>
      </c>
      <c r="F85" s="21" t="s">
        <v>15</v>
      </c>
      <c r="G85" s="21"/>
      <c r="H85" s="16" t="s">
        <v>13</v>
      </c>
      <c r="I85" s="22">
        <v>342.17</v>
      </c>
      <c r="J85" s="22"/>
      <c r="K85" s="19" t="s">
        <v>8</v>
      </c>
      <c r="L85" s="20">
        <v>435467.67</v>
      </c>
    </row>
    <row r="86" spans="1:12" ht="71.400000000000006" x14ac:dyDescent="0.3">
      <c r="A86" s="14" t="s">
        <v>92</v>
      </c>
      <c r="B86" s="15" t="s">
        <v>106</v>
      </c>
      <c r="C86" s="15" t="s">
        <v>24</v>
      </c>
      <c r="D86" s="15" t="s">
        <v>112</v>
      </c>
      <c r="E86" s="16" t="s">
        <v>26</v>
      </c>
      <c r="F86" s="21" t="s">
        <v>15</v>
      </c>
      <c r="G86" s="21"/>
      <c r="H86" s="16" t="s">
        <v>13</v>
      </c>
      <c r="I86" s="24">
        <v>3675.5</v>
      </c>
      <c r="J86" s="24"/>
      <c r="K86" s="19" t="s">
        <v>8</v>
      </c>
      <c r="L86" s="20">
        <v>431792.17</v>
      </c>
    </row>
    <row r="87" spans="1:12" ht="61.2" x14ac:dyDescent="0.3">
      <c r="A87" s="14" t="s">
        <v>92</v>
      </c>
      <c r="B87" s="15" t="s">
        <v>106</v>
      </c>
      <c r="C87" s="15" t="s">
        <v>24</v>
      </c>
      <c r="D87" s="15" t="s">
        <v>113</v>
      </c>
      <c r="E87" s="16" t="s">
        <v>26</v>
      </c>
      <c r="F87" s="21" t="s">
        <v>15</v>
      </c>
      <c r="G87" s="21"/>
      <c r="H87" s="16" t="s">
        <v>13</v>
      </c>
      <c r="I87" s="24">
        <v>1757.1</v>
      </c>
      <c r="J87" s="24"/>
      <c r="K87" s="19" t="s">
        <v>8</v>
      </c>
      <c r="L87" s="20">
        <v>430035.07</v>
      </c>
    </row>
    <row r="88" spans="1:12" ht="71.400000000000006" x14ac:dyDescent="0.3">
      <c r="A88" s="14" t="s">
        <v>92</v>
      </c>
      <c r="B88" s="15" t="s">
        <v>106</v>
      </c>
      <c r="C88" s="15" t="s">
        <v>24</v>
      </c>
      <c r="D88" s="15" t="s">
        <v>114</v>
      </c>
      <c r="E88" s="16" t="s">
        <v>26</v>
      </c>
      <c r="F88" s="21" t="s">
        <v>15</v>
      </c>
      <c r="G88" s="21"/>
      <c r="H88" s="16" t="s">
        <v>13</v>
      </c>
      <c r="I88" s="24">
        <v>1121.2</v>
      </c>
      <c r="J88" s="24"/>
      <c r="K88" s="19" t="s">
        <v>8</v>
      </c>
      <c r="L88" s="20">
        <v>428913.87</v>
      </c>
    </row>
    <row r="89" spans="1:12" ht="71.400000000000006" x14ac:dyDescent="0.3">
      <c r="A89" s="14" t="s">
        <v>92</v>
      </c>
      <c r="B89" s="15" t="s">
        <v>106</v>
      </c>
      <c r="C89" s="15" t="s">
        <v>24</v>
      </c>
      <c r="D89" s="15" t="s">
        <v>115</v>
      </c>
      <c r="E89" s="16" t="s">
        <v>26</v>
      </c>
      <c r="F89" s="21" t="s">
        <v>15</v>
      </c>
      <c r="G89" s="21"/>
      <c r="H89" s="16" t="s">
        <v>13</v>
      </c>
      <c r="I89" s="22">
        <v>625.04999999999995</v>
      </c>
      <c r="J89" s="22"/>
      <c r="K89" s="19" t="s">
        <v>8</v>
      </c>
      <c r="L89" s="20">
        <v>428288.82</v>
      </c>
    </row>
    <row r="90" spans="1:12" ht="61.2" x14ac:dyDescent="0.3">
      <c r="A90" s="14" t="s">
        <v>92</v>
      </c>
      <c r="B90" s="15" t="s">
        <v>106</v>
      </c>
      <c r="C90" s="15" t="s">
        <v>24</v>
      </c>
      <c r="D90" s="15" t="s">
        <v>116</v>
      </c>
      <c r="E90" s="16" t="s">
        <v>26</v>
      </c>
      <c r="F90" s="21" t="s">
        <v>15</v>
      </c>
      <c r="G90" s="21"/>
      <c r="H90" s="16" t="s">
        <v>13</v>
      </c>
      <c r="I90" s="22">
        <v>190.2</v>
      </c>
      <c r="J90" s="22"/>
      <c r="K90" s="19" t="s">
        <v>8</v>
      </c>
      <c r="L90" s="20">
        <v>428098.62</v>
      </c>
    </row>
    <row r="91" spans="1:12" ht="71.400000000000006" x14ac:dyDescent="0.3">
      <c r="A91" s="14" t="s">
        <v>92</v>
      </c>
      <c r="B91" s="15" t="s">
        <v>106</v>
      </c>
      <c r="C91" s="15" t="s">
        <v>24</v>
      </c>
      <c r="D91" s="15" t="s">
        <v>117</v>
      </c>
      <c r="E91" s="16" t="s">
        <v>26</v>
      </c>
      <c r="F91" s="21" t="s">
        <v>15</v>
      </c>
      <c r="G91" s="21"/>
      <c r="H91" s="16" t="s">
        <v>13</v>
      </c>
      <c r="I91" s="22">
        <v>63.4</v>
      </c>
      <c r="J91" s="22"/>
      <c r="K91" s="19" t="s">
        <v>8</v>
      </c>
      <c r="L91" s="20">
        <v>428035.22</v>
      </c>
    </row>
    <row r="92" spans="1:12" ht="61.2" x14ac:dyDescent="0.3">
      <c r="A92" s="14" t="s">
        <v>92</v>
      </c>
      <c r="B92" s="15" t="s">
        <v>106</v>
      </c>
      <c r="C92" s="15" t="s">
        <v>24</v>
      </c>
      <c r="D92" s="15" t="s">
        <v>118</v>
      </c>
      <c r="E92" s="16" t="s">
        <v>26</v>
      </c>
      <c r="F92" s="21" t="s">
        <v>15</v>
      </c>
      <c r="G92" s="21"/>
      <c r="H92" s="16" t="s">
        <v>13</v>
      </c>
      <c r="I92" s="22">
        <v>350</v>
      </c>
      <c r="J92" s="22"/>
      <c r="K92" s="19" t="s">
        <v>8</v>
      </c>
      <c r="L92" s="20">
        <v>427685.22</v>
      </c>
    </row>
    <row r="93" spans="1:12" ht="61.2" x14ac:dyDescent="0.3">
      <c r="A93" s="14" t="s">
        <v>92</v>
      </c>
      <c r="B93" s="15" t="s">
        <v>106</v>
      </c>
      <c r="C93" s="15" t="s">
        <v>24</v>
      </c>
      <c r="D93" s="15" t="s">
        <v>19</v>
      </c>
      <c r="E93" s="16" t="s">
        <v>26</v>
      </c>
      <c r="F93" s="21" t="s">
        <v>15</v>
      </c>
      <c r="G93" s="21"/>
      <c r="H93" s="16" t="s">
        <v>13</v>
      </c>
      <c r="I93" s="22">
        <v>375</v>
      </c>
      <c r="J93" s="22"/>
      <c r="K93" s="19" t="s">
        <v>8</v>
      </c>
      <c r="L93" s="20">
        <v>427310.22</v>
      </c>
    </row>
    <row r="94" spans="1:12" ht="71.400000000000006" x14ac:dyDescent="0.3">
      <c r="A94" s="14" t="s">
        <v>92</v>
      </c>
      <c r="B94" s="15" t="s">
        <v>106</v>
      </c>
      <c r="C94" s="15" t="s">
        <v>24</v>
      </c>
      <c r="D94" s="15" t="s">
        <v>119</v>
      </c>
      <c r="E94" s="16" t="s">
        <v>26</v>
      </c>
      <c r="F94" s="21" t="s">
        <v>15</v>
      </c>
      <c r="G94" s="21"/>
      <c r="H94" s="16" t="s">
        <v>13</v>
      </c>
      <c r="I94" s="22">
        <v>373.6</v>
      </c>
      <c r="J94" s="22"/>
      <c r="K94" s="19" t="s">
        <v>8</v>
      </c>
      <c r="L94" s="20">
        <v>426936.62</v>
      </c>
    </row>
    <row r="95" spans="1:12" ht="71.400000000000006" x14ac:dyDescent="0.3">
      <c r="A95" s="14" t="s">
        <v>92</v>
      </c>
      <c r="B95" s="15" t="s">
        <v>106</v>
      </c>
      <c r="C95" s="15" t="s">
        <v>24</v>
      </c>
      <c r="D95" s="15" t="s">
        <v>120</v>
      </c>
      <c r="E95" s="16" t="s">
        <v>26</v>
      </c>
      <c r="F95" s="21" t="s">
        <v>15</v>
      </c>
      <c r="G95" s="21"/>
      <c r="H95" s="16" t="s">
        <v>13</v>
      </c>
      <c r="I95" s="22">
        <v>93.4</v>
      </c>
      <c r="J95" s="22"/>
      <c r="K95" s="19" t="s">
        <v>8</v>
      </c>
      <c r="L95" s="20">
        <v>426843.22</v>
      </c>
    </row>
    <row r="96" spans="1:12" ht="61.2" x14ac:dyDescent="0.3">
      <c r="A96" s="14" t="s">
        <v>92</v>
      </c>
      <c r="B96" s="15" t="s">
        <v>106</v>
      </c>
      <c r="C96" s="15" t="s">
        <v>24</v>
      </c>
      <c r="D96" s="15" t="s">
        <v>121</v>
      </c>
      <c r="E96" s="16" t="s">
        <v>26</v>
      </c>
      <c r="F96" s="21" t="s">
        <v>15</v>
      </c>
      <c r="G96" s="21"/>
      <c r="H96" s="16" t="s">
        <v>13</v>
      </c>
      <c r="I96" s="22">
        <v>276</v>
      </c>
      <c r="J96" s="22"/>
      <c r="K96" s="19" t="s">
        <v>8</v>
      </c>
      <c r="L96" s="20">
        <v>426567.22</v>
      </c>
    </row>
    <row r="97" spans="1:12" ht="61.2" x14ac:dyDescent="0.3">
      <c r="A97" s="14" t="s">
        <v>92</v>
      </c>
      <c r="B97" s="15" t="s">
        <v>106</v>
      </c>
      <c r="C97" s="15" t="s">
        <v>24</v>
      </c>
      <c r="D97" s="15" t="s">
        <v>122</v>
      </c>
      <c r="E97" s="16" t="s">
        <v>26</v>
      </c>
      <c r="F97" s="21" t="s">
        <v>15</v>
      </c>
      <c r="G97" s="21"/>
      <c r="H97" s="16" t="s">
        <v>13</v>
      </c>
      <c r="I97" s="22">
        <v>331.2</v>
      </c>
      <c r="J97" s="22"/>
      <c r="K97" s="19" t="s">
        <v>8</v>
      </c>
      <c r="L97" s="20">
        <v>426236.02</v>
      </c>
    </row>
    <row r="98" spans="1:12" ht="61.2" x14ac:dyDescent="0.3">
      <c r="A98" s="14" t="s">
        <v>92</v>
      </c>
      <c r="B98" s="15" t="s">
        <v>106</v>
      </c>
      <c r="C98" s="15" t="s">
        <v>24</v>
      </c>
      <c r="D98" s="15" t="s">
        <v>123</v>
      </c>
      <c r="E98" s="16" t="s">
        <v>26</v>
      </c>
      <c r="F98" s="21" t="s">
        <v>15</v>
      </c>
      <c r="G98" s="21"/>
      <c r="H98" s="16" t="s">
        <v>13</v>
      </c>
      <c r="I98" s="22">
        <v>220.8</v>
      </c>
      <c r="J98" s="22"/>
      <c r="K98" s="19" t="s">
        <v>8</v>
      </c>
      <c r="L98" s="20">
        <v>426015.22</v>
      </c>
    </row>
    <row r="99" spans="1:12" ht="71.400000000000006" x14ac:dyDescent="0.3">
      <c r="A99" s="14" t="s">
        <v>92</v>
      </c>
      <c r="B99" s="15" t="s">
        <v>106</v>
      </c>
      <c r="C99" s="15" t="s">
        <v>24</v>
      </c>
      <c r="D99" s="15" t="s">
        <v>124</v>
      </c>
      <c r="E99" s="16" t="s">
        <v>26</v>
      </c>
      <c r="F99" s="21" t="s">
        <v>15</v>
      </c>
      <c r="G99" s="21"/>
      <c r="H99" s="16" t="s">
        <v>13</v>
      </c>
      <c r="I99" s="22">
        <v>114.64</v>
      </c>
      <c r="J99" s="22"/>
      <c r="K99" s="19" t="s">
        <v>8</v>
      </c>
      <c r="L99" s="20">
        <v>425900.58</v>
      </c>
    </row>
    <row r="100" spans="1:12" ht="61.2" x14ac:dyDescent="0.3">
      <c r="A100" s="14" t="s">
        <v>92</v>
      </c>
      <c r="B100" s="15" t="s">
        <v>106</v>
      </c>
      <c r="C100" s="15" t="s">
        <v>24</v>
      </c>
      <c r="D100" s="15" t="s">
        <v>125</v>
      </c>
      <c r="E100" s="16" t="s">
        <v>26</v>
      </c>
      <c r="F100" s="21" t="s">
        <v>15</v>
      </c>
      <c r="G100" s="21"/>
      <c r="H100" s="16" t="s">
        <v>13</v>
      </c>
      <c r="I100" s="24">
        <v>3510</v>
      </c>
      <c r="J100" s="24"/>
      <c r="K100" s="19" t="s">
        <v>8</v>
      </c>
      <c r="L100" s="20">
        <v>422390.58</v>
      </c>
    </row>
    <row r="101" spans="1:12" ht="61.2" x14ac:dyDescent="0.3">
      <c r="A101" s="14" t="s">
        <v>92</v>
      </c>
      <c r="B101" s="15" t="s">
        <v>106</v>
      </c>
      <c r="C101" s="15" t="s">
        <v>24</v>
      </c>
      <c r="D101" s="15" t="s">
        <v>126</v>
      </c>
      <c r="E101" s="16" t="s">
        <v>26</v>
      </c>
      <c r="F101" s="21" t="s">
        <v>15</v>
      </c>
      <c r="G101" s="21"/>
      <c r="H101" s="16" t="s">
        <v>13</v>
      </c>
      <c r="I101" s="22">
        <v>682.5</v>
      </c>
      <c r="J101" s="22"/>
      <c r="K101" s="19" t="s">
        <v>8</v>
      </c>
      <c r="L101" s="20">
        <v>421708.08</v>
      </c>
    </row>
    <row r="102" spans="1:12" ht="61.2" x14ac:dyDescent="0.3">
      <c r="A102" s="14" t="s">
        <v>92</v>
      </c>
      <c r="B102" s="15" t="s">
        <v>106</v>
      </c>
      <c r="C102" s="15" t="s">
        <v>24</v>
      </c>
      <c r="D102" s="15" t="s">
        <v>127</v>
      </c>
      <c r="E102" s="16" t="s">
        <v>26</v>
      </c>
      <c r="F102" s="21" t="s">
        <v>15</v>
      </c>
      <c r="G102" s="21"/>
      <c r="H102" s="16" t="s">
        <v>13</v>
      </c>
      <c r="I102" s="22">
        <v>102.51</v>
      </c>
      <c r="J102" s="22"/>
      <c r="K102" s="19" t="s">
        <v>8</v>
      </c>
      <c r="L102" s="20">
        <v>421605.57</v>
      </c>
    </row>
    <row r="103" spans="1:12" ht="61.2" x14ac:dyDescent="0.3">
      <c r="A103" s="14" t="s">
        <v>92</v>
      </c>
      <c r="B103" s="15" t="s">
        <v>106</v>
      </c>
      <c r="C103" s="15" t="s">
        <v>24</v>
      </c>
      <c r="D103" s="15" t="s">
        <v>128</v>
      </c>
      <c r="E103" s="16" t="s">
        <v>26</v>
      </c>
      <c r="F103" s="21" t="s">
        <v>15</v>
      </c>
      <c r="G103" s="21"/>
      <c r="H103" s="16" t="s">
        <v>13</v>
      </c>
      <c r="I103" s="22">
        <v>632.25</v>
      </c>
      <c r="J103" s="22"/>
      <c r="K103" s="19" t="s">
        <v>8</v>
      </c>
      <c r="L103" s="20">
        <v>420973.32</v>
      </c>
    </row>
    <row r="104" spans="1:12" ht="61.2" x14ac:dyDescent="0.3">
      <c r="A104" s="14" t="s">
        <v>92</v>
      </c>
      <c r="B104" s="15" t="s">
        <v>106</v>
      </c>
      <c r="C104" s="15" t="s">
        <v>24</v>
      </c>
      <c r="D104" s="15" t="s">
        <v>129</v>
      </c>
      <c r="E104" s="16" t="s">
        <v>26</v>
      </c>
      <c r="F104" s="21" t="s">
        <v>15</v>
      </c>
      <c r="G104" s="21"/>
      <c r="H104" s="16" t="s">
        <v>13</v>
      </c>
      <c r="I104" s="24">
        <v>2208</v>
      </c>
      <c r="J104" s="24"/>
      <c r="K104" s="19" t="s">
        <v>8</v>
      </c>
      <c r="L104" s="20">
        <v>418765.32</v>
      </c>
    </row>
    <row r="105" spans="1:12" ht="81.599999999999994" x14ac:dyDescent="0.3">
      <c r="A105" s="14" t="s">
        <v>92</v>
      </c>
      <c r="B105" s="15" t="s">
        <v>106</v>
      </c>
      <c r="C105" s="15" t="s">
        <v>24</v>
      </c>
      <c r="D105" s="15" t="s">
        <v>130</v>
      </c>
      <c r="E105" s="16" t="s">
        <v>26</v>
      </c>
      <c r="F105" s="21" t="s">
        <v>15</v>
      </c>
      <c r="G105" s="21"/>
      <c r="H105" s="16" t="s">
        <v>13</v>
      </c>
      <c r="I105" s="24">
        <v>1110</v>
      </c>
      <c r="J105" s="24"/>
      <c r="K105" s="19" t="s">
        <v>8</v>
      </c>
      <c r="L105" s="20">
        <v>417655.32</v>
      </c>
    </row>
    <row r="106" spans="1:12" ht="61.2" x14ac:dyDescent="0.3">
      <c r="A106" s="14" t="s">
        <v>92</v>
      </c>
      <c r="B106" s="15" t="s">
        <v>106</v>
      </c>
      <c r="C106" s="15" t="s">
        <v>24</v>
      </c>
      <c r="D106" s="15" t="s">
        <v>131</v>
      </c>
      <c r="E106" s="16" t="s">
        <v>26</v>
      </c>
      <c r="F106" s="21" t="s">
        <v>15</v>
      </c>
      <c r="G106" s="21"/>
      <c r="H106" s="16" t="s">
        <v>13</v>
      </c>
      <c r="I106" s="22">
        <v>95.85</v>
      </c>
      <c r="J106" s="22"/>
      <c r="K106" s="19" t="s">
        <v>8</v>
      </c>
      <c r="L106" s="20">
        <v>417559.47</v>
      </c>
    </row>
    <row r="107" spans="1:12" ht="71.400000000000006" x14ac:dyDescent="0.3">
      <c r="A107" s="14" t="s">
        <v>92</v>
      </c>
      <c r="B107" s="15" t="s">
        <v>106</v>
      </c>
      <c r="C107" s="15" t="s">
        <v>24</v>
      </c>
      <c r="D107" s="15" t="s">
        <v>132</v>
      </c>
      <c r="E107" s="16" t="s">
        <v>26</v>
      </c>
      <c r="F107" s="21" t="s">
        <v>15</v>
      </c>
      <c r="G107" s="21"/>
      <c r="H107" s="16" t="s">
        <v>13</v>
      </c>
      <c r="I107" s="24">
        <v>3000</v>
      </c>
      <c r="J107" s="24"/>
      <c r="K107" s="19" t="s">
        <v>8</v>
      </c>
      <c r="L107" s="20">
        <v>414559.47</v>
      </c>
    </row>
    <row r="108" spans="1:12" ht="71.400000000000006" x14ac:dyDescent="0.3">
      <c r="A108" s="14" t="s">
        <v>92</v>
      </c>
      <c r="B108" s="15" t="s">
        <v>106</v>
      </c>
      <c r="C108" s="15" t="s">
        <v>24</v>
      </c>
      <c r="D108" s="15" t="s">
        <v>133</v>
      </c>
      <c r="E108" s="16" t="s">
        <v>26</v>
      </c>
      <c r="F108" s="21" t="s">
        <v>15</v>
      </c>
      <c r="G108" s="21"/>
      <c r="H108" s="16" t="s">
        <v>13</v>
      </c>
      <c r="I108" s="24">
        <v>2280</v>
      </c>
      <c r="J108" s="24"/>
      <c r="K108" s="19" t="s">
        <v>8</v>
      </c>
      <c r="L108" s="20">
        <v>412279.47</v>
      </c>
    </row>
    <row r="109" spans="1:12" ht="71.400000000000006" x14ac:dyDescent="0.3">
      <c r="A109" s="14" t="s">
        <v>92</v>
      </c>
      <c r="B109" s="15" t="s">
        <v>106</v>
      </c>
      <c r="C109" s="15" t="s">
        <v>24</v>
      </c>
      <c r="D109" s="15" t="s">
        <v>134</v>
      </c>
      <c r="E109" s="16" t="s">
        <v>26</v>
      </c>
      <c r="F109" s="21" t="s">
        <v>15</v>
      </c>
      <c r="G109" s="21"/>
      <c r="H109" s="16" t="s">
        <v>13</v>
      </c>
      <c r="I109" s="24">
        <v>1486.7</v>
      </c>
      <c r="J109" s="24"/>
      <c r="K109" s="19" t="s">
        <v>8</v>
      </c>
      <c r="L109" s="20">
        <v>410792.77</v>
      </c>
    </row>
    <row r="110" spans="1:12" ht="71.400000000000006" x14ac:dyDescent="0.3">
      <c r="A110" s="14" t="s">
        <v>92</v>
      </c>
      <c r="B110" s="15" t="s">
        <v>106</v>
      </c>
      <c r="C110" s="15" t="s">
        <v>24</v>
      </c>
      <c r="D110" s="15" t="s">
        <v>135</v>
      </c>
      <c r="E110" s="16" t="s">
        <v>26</v>
      </c>
      <c r="F110" s="21" t="s">
        <v>15</v>
      </c>
      <c r="G110" s="21"/>
      <c r="H110" s="16" t="s">
        <v>13</v>
      </c>
      <c r="I110" s="24">
        <v>1486.7</v>
      </c>
      <c r="J110" s="24"/>
      <c r="K110" s="19" t="s">
        <v>8</v>
      </c>
      <c r="L110" s="20">
        <v>409306.07</v>
      </c>
    </row>
    <row r="111" spans="1:12" ht="71.400000000000006" x14ac:dyDescent="0.3">
      <c r="A111" s="14" t="s">
        <v>92</v>
      </c>
      <c r="B111" s="15" t="s">
        <v>106</v>
      </c>
      <c r="C111" s="15" t="s">
        <v>24</v>
      </c>
      <c r="D111" s="15" t="s">
        <v>136</v>
      </c>
      <c r="E111" s="16" t="s">
        <v>26</v>
      </c>
      <c r="F111" s="21" t="s">
        <v>15</v>
      </c>
      <c r="G111" s="21"/>
      <c r="H111" s="16" t="s">
        <v>13</v>
      </c>
      <c r="I111" s="24">
        <v>1486.7</v>
      </c>
      <c r="J111" s="24"/>
      <c r="K111" s="19" t="s">
        <v>8</v>
      </c>
      <c r="L111" s="20">
        <v>407819.37</v>
      </c>
    </row>
    <row r="112" spans="1:12" ht="71.400000000000006" x14ac:dyDescent="0.3">
      <c r="A112" s="14" t="s">
        <v>92</v>
      </c>
      <c r="B112" s="15" t="s">
        <v>137</v>
      </c>
      <c r="C112" s="15" t="s">
        <v>24</v>
      </c>
      <c r="D112" s="15" t="s">
        <v>138</v>
      </c>
      <c r="E112" s="16" t="s">
        <v>26</v>
      </c>
      <c r="F112" s="21" t="s">
        <v>15</v>
      </c>
      <c r="G112" s="21"/>
      <c r="H112" s="16" t="s">
        <v>13</v>
      </c>
      <c r="I112" s="24">
        <v>2070</v>
      </c>
      <c r="J112" s="24"/>
      <c r="K112" s="19" t="s">
        <v>8</v>
      </c>
      <c r="L112" s="20">
        <v>405749.37</v>
      </c>
    </row>
    <row r="113" spans="1:12" ht="61.2" x14ac:dyDescent="0.3">
      <c r="A113" s="14" t="s">
        <v>92</v>
      </c>
      <c r="B113" s="15" t="s">
        <v>137</v>
      </c>
      <c r="C113" s="15" t="s">
        <v>24</v>
      </c>
      <c r="D113" s="15" t="s">
        <v>139</v>
      </c>
      <c r="E113" s="16" t="s">
        <v>26</v>
      </c>
      <c r="F113" s="21" t="s">
        <v>15</v>
      </c>
      <c r="G113" s="21"/>
      <c r="H113" s="16" t="s">
        <v>13</v>
      </c>
      <c r="I113" s="22">
        <v>772.5</v>
      </c>
      <c r="J113" s="22"/>
      <c r="K113" s="19" t="s">
        <v>8</v>
      </c>
      <c r="L113" s="20">
        <v>404976.87</v>
      </c>
    </row>
    <row r="114" spans="1:12" ht="61.2" x14ac:dyDescent="0.3">
      <c r="A114" s="14" t="s">
        <v>92</v>
      </c>
      <c r="B114" s="15" t="s">
        <v>137</v>
      </c>
      <c r="C114" s="15" t="s">
        <v>24</v>
      </c>
      <c r="D114" s="15" t="s">
        <v>140</v>
      </c>
      <c r="E114" s="16" t="s">
        <v>26</v>
      </c>
      <c r="F114" s="21" t="s">
        <v>15</v>
      </c>
      <c r="G114" s="21"/>
      <c r="H114" s="16" t="s">
        <v>13</v>
      </c>
      <c r="I114" s="24">
        <v>3631.25</v>
      </c>
      <c r="J114" s="24"/>
      <c r="K114" s="19" t="s">
        <v>8</v>
      </c>
      <c r="L114" s="20">
        <v>401345.62</v>
      </c>
    </row>
    <row r="115" spans="1:12" ht="71.400000000000006" x14ac:dyDescent="0.3">
      <c r="A115" s="14" t="s">
        <v>92</v>
      </c>
      <c r="B115" s="15" t="s">
        <v>137</v>
      </c>
      <c r="C115" s="15" t="s">
        <v>24</v>
      </c>
      <c r="D115" s="15" t="s">
        <v>141</v>
      </c>
      <c r="E115" s="16" t="s">
        <v>26</v>
      </c>
      <c r="F115" s="21" t="s">
        <v>15</v>
      </c>
      <c r="G115" s="21"/>
      <c r="H115" s="16" t="s">
        <v>13</v>
      </c>
      <c r="I115" s="24">
        <v>1289.5</v>
      </c>
      <c r="J115" s="24"/>
      <c r="K115" s="19" t="s">
        <v>8</v>
      </c>
      <c r="L115" s="20">
        <v>400056.12</v>
      </c>
    </row>
    <row r="116" spans="1:12" ht="71.400000000000006" x14ac:dyDescent="0.3">
      <c r="A116" s="14" t="s">
        <v>92</v>
      </c>
      <c r="B116" s="15" t="s">
        <v>137</v>
      </c>
      <c r="C116" s="15" t="s">
        <v>24</v>
      </c>
      <c r="D116" s="15" t="s">
        <v>133</v>
      </c>
      <c r="E116" s="16" t="s">
        <v>26</v>
      </c>
      <c r="F116" s="21" t="s">
        <v>15</v>
      </c>
      <c r="G116" s="21"/>
      <c r="H116" s="16" t="s">
        <v>13</v>
      </c>
      <c r="I116" s="24">
        <v>2730</v>
      </c>
      <c r="J116" s="24"/>
      <c r="K116" s="19" t="s">
        <v>8</v>
      </c>
      <c r="L116" s="20">
        <v>397326.12</v>
      </c>
    </row>
    <row r="117" spans="1:12" ht="71.400000000000006" x14ac:dyDescent="0.3">
      <c r="A117" s="14" t="s">
        <v>92</v>
      </c>
      <c r="B117" s="15" t="s">
        <v>137</v>
      </c>
      <c r="C117" s="15" t="s">
        <v>24</v>
      </c>
      <c r="D117" s="15" t="s">
        <v>142</v>
      </c>
      <c r="E117" s="16" t="s">
        <v>26</v>
      </c>
      <c r="F117" s="21" t="s">
        <v>15</v>
      </c>
      <c r="G117" s="21"/>
      <c r="H117" s="16" t="s">
        <v>13</v>
      </c>
      <c r="I117" s="22">
        <v>555</v>
      </c>
      <c r="J117" s="22"/>
      <c r="K117" s="19" t="s">
        <v>8</v>
      </c>
      <c r="L117" s="20">
        <v>396771.12</v>
      </c>
    </row>
    <row r="118" spans="1:12" ht="71.400000000000006" x14ac:dyDescent="0.3">
      <c r="A118" s="14" t="s">
        <v>92</v>
      </c>
      <c r="B118" s="15" t="s">
        <v>137</v>
      </c>
      <c r="C118" s="15" t="s">
        <v>24</v>
      </c>
      <c r="D118" s="15" t="s">
        <v>143</v>
      </c>
      <c r="E118" s="16" t="s">
        <v>26</v>
      </c>
      <c r="F118" s="21" t="s">
        <v>15</v>
      </c>
      <c r="G118" s="21"/>
      <c r="H118" s="16" t="s">
        <v>13</v>
      </c>
      <c r="I118" s="22">
        <v>185</v>
      </c>
      <c r="J118" s="22"/>
      <c r="K118" s="19" t="s">
        <v>8</v>
      </c>
      <c r="L118" s="20">
        <v>396586.12</v>
      </c>
    </row>
    <row r="119" spans="1:12" ht="71.400000000000006" x14ac:dyDescent="0.3">
      <c r="A119" s="14" t="s">
        <v>92</v>
      </c>
      <c r="B119" s="15" t="s">
        <v>137</v>
      </c>
      <c r="C119" s="15" t="s">
        <v>24</v>
      </c>
      <c r="D119" s="15" t="s">
        <v>144</v>
      </c>
      <c r="E119" s="16" t="s">
        <v>26</v>
      </c>
      <c r="F119" s="21" t="s">
        <v>15</v>
      </c>
      <c r="G119" s="21"/>
      <c r="H119" s="16" t="s">
        <v>13</v>
      </c>
      <c r="I119" s="22">
        <v>185</v>
      </c>
      <c r="J119" s="22"/>
      <c r="K119" s="19" t="s">
        <v>8</v>
      </c>
      <c r="L119" s="20">
        <v>396401.12</v>
      </c>
    </row>
    <row r="120" spans="1:12" ht="61.2" x14ac:dyDescent="0.3">
      <c r="A120" s="14" t="s">
        <v>145</v>
      </c>
      <c r="B120" s="15" t="s">
        <v>146</v>
      </c>
      <c r="C120" s="15" t="s">
        <v>24</v>
      </c>
      <c r="D120" s="15" t="s">
        <v>140</v>
      </c>
      <c r="E120" s="16" t="s">
        <v>26</v>
      </c>
      <c r="F120" s="21" t="s">
        <v>15</v>
      </c>
      <c r="G120" s="21"/>
      <c r="H120" s="16" t="s">
        <v>13</v>
      </c>
      <c r="I120" s="22">
        <v>726.25</v>
      </c>
      <c r="J120" s="22"/>
      <c r="K120" s="19" t="s">
        <v>8</v>
      </c>
      <c r="L120" s="20">
        <v>395674.87</v>
      </c>
    </row>
    <row r="121" spans="1:12" ht="61.2" x14ac:dyDescent="0.3">
      <c r="A121" s="14" t="s">
        <v>145</v>
      </c>
      <c r="B121" s="15" t="s">
        <v>146</v>
      </c>
      <c r="C121" s="15" t="s">
        <v>24</v>
      </c>
      <c r="D121" s="15" t="s">
        <v>147</v>
      </c>
      <c r="E121" s="16" t="s">
        <v>26</v>
      </c>
      <c r="F121" s="21" t="s">
        <v>15</v>
      </c>
      <c r="G121" s="21"/>
      <c r="H121" s="16" t="s">
        <v>13</v>
      </c>
      <c r="I121" s="22">
        <v>309</v>
      </c>
      <c r="J121" s="22"/>
      <c r="K121" s="19" t="s">
        <v>8</v>
      </c>
      <c r="L121" s="20">
        <v>395365.87</v>
      </c>
    </row>
    <row r="122" spans="1:12" ht="71.400000000000006" x14ac:dyDescent="0.3">
      <c r="A122" s="14" t="s">
        <v>145</v>
      </c>
      <c r="B122" s="15" t="s">
        <v>148</v>
      </c>
      <c r="C122" s="15" t="s">
        <v>24</v>
      </c>
      <c r="D122" s="15" t="s">
        <v>38</v>
      </c>
      <c r="E122" s="16" t="s">
        <v>26</v>
      </c>
      <c r="F122" s="21" t="s">
        <v>15</v>
      </c>
      <c r="G122" s="21"/>
      <c r="H122" s="16" t="s">
        <v>13</v>
      </c>
      <c r="I122" s="22">
        <v>237.5</v>
      </c>
      <c r="J122" s="22"/>
      <c r="K122" s="19" t="s">
        <v>8</v>
      </c>
      <c r="L122" s="20">
        <v>395128.37</v>
      </c>
    </row>
    <row r="123" spans="1:12" ht="81.599999999999994" x14ac:dyDescent="0.3">
      <c r="A123" s="14" t="s">
        <v>145</v>
      </c>
      <c r="B123" s="15" t="s">
        <v>149</v>
      </c>
      <c r="C123" s="15" t="s">
        <v>24</v>
      </c>
      <c r="D123" s="15" t="s">
        <v>150</v>
      </c>
      <c r="E123" s="16" t="s">
        <v>26</v>
      </c>
      <c r="F123" s="21" t="s">
        <v>15</v>
      </c>
      <c r="G123" s="21"/>
      <c r="H123" s="16" t="s">
        <v>13</v>
      </c>
      <c r="I123" s="22">
        <v>712.55</v>
      </c>
      <c r="J123" s="22"/>
      <c r="K123" s="19" t="s">
        <v>8</v>
      </c>
      <c r="L123" s="20">
        <v>394415.82</v>
      </c>
    </row>
    <row r="124" spans="1:12" ht="61.2" x14ac:dyDescent="0.3">
      <c r="A124" s="14" t="s">
        <v>145</v>
      </c>
      <c r="B124" s="15" t="s">
        <v>149</v>
      </c>
      <c r="C124" s="15" t="s">
        <v>24</v>
      </c>
      <c r="D124" s="15" t="s">
        <v>151</v>
      </c>
      <c r="E124" s="16" t="s">
        <v>26</v>
      </c>
      <c r="F124" s="21" t="s">
        <v>15</v>
      </c>
      <c r="G124" s="21"/>
      <c r="H124" s="16" t="s">
        <v>13</v>
      </c>
      <c r="I124" s="24">
        <v>1102.4000000000001</v>
      </c>
      <c r="J124" s="24"/>
      <c r="K124" s="19" t="s">
        <v>8</v>
      </c>
      <c r="L124" s="20">
        <v>393313.42</v>
      </c>
    </row>
    <row r="125" spans="1:12" ht="71.400000000000006" x14ac:dyDescent="0.3">
      <c r="A125" s="14" t="s">
        <v>145</v>
      </c>
      <c r="B125" s="15" t="s">
        <v>149</v>
      </c>
      <c r="C125" s="15" t="s">
        <v>24</v>
      </c>
      <c r="D125" s="15" t="s">
        <v>38</v>
      </c>
      <c r="E125" s="16" t="s">
        <v>26</v>
      </c>
      <c r="F125" s="21" t="s">
        <v>15</v>
      </c>
      <c r="G125" s="21"/>
      <c r="H125" s="16" t="s">
        <v>13</v>
      </c>
      <c r="I125" s="24">
        <v>1567.5</v>
      </c>
      <c r="J125" s="24"/>
      <c r="K125" s="19" t="s">
        <v>8</v>
      </c>
      <c r="L125" s="20">
        <v>391745.92</v>
      </c>
    </row>
    <row r="126" spans="1:12" ht="61.2" x14ac:dyDescent="0.3">
      <c r="A126" s="14" t="s">
        <v>145</v>
      </c>
      <c r="B126" s="15" t="s">
        <v>149</v>
      </c>
      <c r="C126" s="15" t="s">
        <v>24</v>
      </c>
      <c r="D126" s="15" t="s">
        <v>152</v>
      </c>
      <c r="E126" s="16" t="s">
        <v>26</v>
      </c>
      <c r="F126" s="21" t="s">
        <v>15</v>
      </c>
      <c r="G126" s="21"/>
      <c r="H126" s="16" t="s">
        <v>13</v>
      </c>
      <c r="I126" s="22">
        <v>312.2</v>
      </c>
      <c r="J126" s="22"/>
      <c r="K126" s="19" t="s">
        <v>8</v>
      </c>
      <c r="L126" s="20">
        <v>391433.72</v>
      </c>
    </row>
    <row r="127" spans="1:12" ht="61.2" x14ac:dyDescent="0.3">
      <c r="A127" s="14" t="s">
        <v>145</v>
      </c>
      <c r="B127" s="15" t="s">
        <v>149</v>
      </c>
      <c r="C127" s="15" t="s">
        <v>24</v>
      </c>
      <c r="D127" s="15" t="s">
        <v>153</v>
      </c>
      <c r="E127" s="16" t="s">
        <v>26</v>
      </c>
      <c r="F127" s="21" t="s">
        <v>15</v>
      </c>
      <c r="G127" s="21"/>
      <c r="H127" s="16" t="s">
        <v>13</v>
      </c>
      <c r="I127" s="24">
        <v>1791</v>
      </c>
      <c r="J127" s="24"/>
      <c r="K127" s="19" t="s">
        <v>8</v>
      </c>
      <c r="L127" s="20">
        <v>389642.72</v>
      </c>
    </row>
    <row r="128" spans="1:12" ht="71.400000000000006" x14ac:dyDescent="0.3">
      <c r="A128" s="14" t="s">
        <v>145</v>
      </c>
      <c r="B128" s="15" t="s">
        <v>149</v>
      </c>
      <c r="C128" s="15" t="s">
        <v>24</v>
      </c>
      <c r="D128" s="15" t="s">
        <v>154</v>
      </c>
      <c r="E128" s="16" t="s">
        <v>26</v>
      </c>
      <c r="F128" s="21" t="s">
        <v>15</v>
      </c>
      <c r="G128" s="21"/>
      <c r="H128" s="16" t="s">
        <v>13</v>
      </c>
      <c r="I128" s="22">
        <v>385.2</v>
      </c>
      <c r="J128" s="22"/>
      <c r="K128" s="19" t="s">
        <v>8</v>
      </c>
      <c r="L128" s="20">
        <v>389257.52</v>
      </c>
    </row>
    <row r="129" spans="1:12" ht="71.400000000000006" x14ac:dyDescent="0.3">
      <c r="A129" s="14" t="s">
        <v>145</v>
      </c>
      <c r="B129" s="15" t="s">
        <v>155</v>
      </c>
      <c r="C129" s="15" t="s">
        <v>24</v>
      </c>
      <c r="D129" s="15" t="s">
        <v>54</v>
      </c>
      <c r="E129" s="16" t="s">
        <v>26</v>
      </c>
      <c r="F129" s="21" t="s">
        <v>15</v>
      </c>
      <c r="G129" s="21"/>
      <c r="H129" s="16" t="s">
        <v>13</v>
      </c>
      <c r="I129" s="24">
        <v>2652.5</v>
      </c>
      <c r="J129" s="24"/>
      <c r="K129" s="19" t="s">
        <v>8</v>
      </c>
      <c r="L129" s="20">
        <v>386605.02</v>
      </c>
    </row>
    <row r="130" spans="1:12" ht="61.2" x14ac:dyDescent="0.3">
      <c r="A130" s="14" t="s">
        <v>145</v>
      </c>
      <c r="B130" s="15" t="s">
        <v>155</v>
      </c>
      <c r="C130" s="15" t="s">
        <v>24</v>
      </c>
      <c r="D130" s="15" t="s">
        <v>147</v>
      </c>
      <c r="E130" s="16" t="s">
        <v>26</v>
      </c>
      <c r="F130" s="21" t="s">
        <v>15</v>
      </c>
      <c r="G130" s="21"/>
      <c r="H130" s="16" t="s">
        <v>13</v>
      </c>
      <c r="I130" s="22">
        <v>92.7</v>
      </c>
      <c r="J130" s="22"/>
      <c r="K130" s="19" t="s">
        <v>8</v>
      </c>
      <c r="L130" s="20">
        <v>386512.32</v>
      </c>
    </row>
    <row r="131" spans="1:12" ht="61.2" x14ac:dyDescent="0.3">
      <c r="A131" s="14" t="s">
        <v>145</v>
      </c>
      <c r="B131" s="15" t="s">
        <v>155</v>
      </c>
      <c r="C131" s="15" t="s">
        <v>24</v>
      </c>
      <c r="D131" s="15" t="s">
        <v>55</v>
      </c>
      <c r="E131" s="16" t="s">
        <v>26</v>
      </c>
      <c r="F131" s="21" t="s">
        <v>15</v>
      </c>
      <c r="G131" s="21"/>
      <c r="H131" s="16" t="s">
        <v>13</v>
      </c>
      <c r="I131" s="22">
        <v>464.8</v>
      </c>
      <c r="J131" s="22"/>
      <c r="K131" s="19" t="s">
        <v>8</v>
      </c>
      <c r="L131" s="20">
        <v>386047.52</v>
      </c>
    </row>
    <row r="132" spans="1:12" ht="61.2" x14ac:dyDescent="0.3">
      <c r="A132" s="14" t="s">
        <v>145</v>
      </c>
      <c r="B132" s="15" t="s">
        <v>156</v>
      </c>
      <c r="C132" s="15" t="s">
        <v>24</v>
      </c>
      <c r="D132" s="15" t="s">
        <v>151</v>
      </c>
      <c r="E132" s="16" t="s">
        <v>26</v>
      </c>
      <c r="F132" s="21" t="s">
        <v>15</v>
      </c>
      <c r="G132" s="21"/>
      <c r="H132" s="16" t="s">
        <v>13</v>
      </c>
      <c r="I132" s="24">
        <v>2204.8000000000002</v>
      </c>
      <c r="J132" s="24"/>
      <c r="K132" s="19" t="s">
        <v>8</v>
      </c>
      <c r="L132" s="20">
        <v>383842.72</v>
      </c>
    </row>
    <row r="133" spans="1:12" ht="71.400000000000006" x14ac:dyDescent="0.3">
      <c r="A133" s="14" t="s">
        <v>145</v>
      </c>
      <c r="B133" s="15" t="s">
        <v>156</v>
      </c>
      <c r="C133" s="15" t="s">
        <v>24</v>
      </c>
      <c r="D133" s="15" t="s">
        <v>28</v>
      </c>
      <c r="E133" s="16" t="s">
        <v>26</v>
      </c>
      <c r="F133" s="21" t="s">
        <v>15</v>
      </c>
      <c r="G133" s="21"/>
      <c r="H133" s="16" t="s">
        <v>13</v>
      </c>
      <c r="I133" s="22">
        <v>137.38999999999999</v>
      </c>
      <c r="J133" s="22"/>
      <c r="K133" s="19" t="s">
        <v>8</v>
      </c>
      <c r="L133" s="20">
        <v>383705.33</v>
      </c>
    </row>
    <row r="134" spans="1:12" ht="61.2" x14ac:dyDescent="0.3">
      <c r="A134" s="14" t="s">
        <v>145</v>
      </c>
      <c r="B134" s="15" t="s">
        <v>156</v>
      </c>
      <c r="C134" s="15" t="s">
        <v>24</v>
      </c>
      <c r="D134" s="15" t="s">
        <v>157</v>
      </c>
      <c r="E134" s="16" t="s">
        <v>26</v>
      </c>
      <c r="F134" s="21" t="s">
        <v>15</v>
      </c>
      <c r="G134" s="21"/>
      <c r="H134" s="16" t="s">
        <v>13</v>
      </c>
      <c r="I134" s="22">
        <v>81.900000000000006</v>
      </c>
      <c r="J134" s="22"/>
      <c r="K134" s="19" t="s">
        <v>8</v>
      </c>
      <c r="L134" s="20">
        <v>383623.43</v>
      </c>
    </row>
    <row r="135" spans="1:12" ht="61.2" x14ac:dyDescent="0.3">
      <c r="A135" s="14" t="s">
        <v>145</v>
      </c>
      <c r="B135" s="15" t="s">
        <v>156</v>
      </c>
      <c r="C135" s="15" t="s">
        <v>24</v>
      </c>
      <c r="D135" s="15" t="s">
        <v>158</v>
      </c>
      <c r="E135" s="16" t="s">
        <v>26</v>
      </c>
      <c r="F135" s="21" t="s">
        <v>15</v>
      </c>
      <c r="G135" s="21"/>
      <c r="H135" s="16" t="s">
        <v>13</v>
      </c>
      <c r="I135" s="24">
        <v>1023</v>
      </c>
      <c r="J135" s="24"/>
      <c r="K135" s="19" t="s">
        <v>8</v>
      </c>
      <c r="L135" s="20">
        <v>382600.43</v>
      </c>
    </row>
    <row r="136" spans="1:12" ht="51" x14ac:dyDescent="0.3">
      <c r="A136" s="14" t="s">
        <v>145</v>
      </c>
      <c r="B136" s="15" t="s">
        <v>156</v>
      </c>
      <c r="C136" s="15" t="s">
        <v>24</v>
      </c>
      <c r="D136" s="15" t="s">
        <v>17</v>
      </c>
      <c r="E136" s="16" t="s">
        <v>26</v>
      </c>
      <c r="F136" s="21" t="s">
        <v>15</v>
      </c>
      <c r="G136" s="21"/>
      <c r="H136" s="16" t="s">
        <v>13</v>
      </c>
      <c r="I136" s="22">
        <v>52</v>
      </c>
      <c r="J136" s="22"/>
      <c r="K136" s="19" t="s">
        <v>8</v>
      </c>
      <c r="L136" s="20">
        <v>382548.43</v>
      </c>
    </row>
    <row r="137" spans="1:12" ht="81.599999999999994" x14ac:dyDescent="0.3">
      <c r="A137" s="14" t="s">
        <v>145</v>
      </c>
      <c r="B137" s="15" t="s">
        <v>156</v>
      </c>
      <c r="C137" s="15" t="s">
        <v>24</v>
      </c>
      <c r="D137" s="15" t="s">
        <v>150</v>
      </c>
      <c r="E137" s="16" t="s">
        <v>26</v>
      </c>
      <c r="F137" s="21" t="s">
        <v>15</v>
      </c>
      <c r="G137" s="21"/>
      <c r="H137" s="16" t="s">
        <v>13</v>
      </c>
      <c r="I137" s="24">
        <v>3562.75</v>
      </c>
      <c r="J137" s="24"/>
      <c r="K137" s="19" t="s">
        <v>8</v>
      </c>
      <c r="L137" s="20">
        <v>378985.68</v>
      </c>
    </row>
    <row r="138" spans="1:12" ht="71.400000000000006" x14ac:dyDescent="0.3">
      <c r="A138" s="14" t="s">
        <v>145</v>
      </c>
      <c r="B138" s="15" t="s">
        <v>156</v>
      </c>
      <c r="C138" s="15" t="s">
        <v>24</v>
      </c>
      <c r="D138" s="15" t="s">
        <v>133</v>
      </c>
      <c r="E138" s="16" t="s">
        <v>26</v>
      </c>
      <c r="F138" s="21" t="s">
        <v>15</v>
      </c>
      <c r="G138" s="21"/>
      <c r="H138" s="16" t="s">
        <v>13</v>
      </c>
      <c r="I138" s="22">
        <v>990</v>
      </c>
      <c r="J138" s="22"/>
      <c r="K138" s="19" t="s">
        <v>8</v>
      </c>
      <c r="L138" s="20">
        <v>377995.68</v>
      </c>
    </row>
    <row r="139" spans="1:12" ht="61.2" x14ac:dyDescent="0.3">
      <c r="A139" s="14" t="s">
        <v>145</v>
      </c>
      <c r="B139" s="15" t="s">
        <v>156</v>
      </c>
      <c r="C139" s="15" t="s">
        <v>24</v>
      </c>
      <c r="D139" s="15" t="s">
        <v>39</v>
      </c>
      <c r="E139" s="16" t="s">
        <v>26</v>
      </c>
      <c r="F139" s="21" t="s">
        <v>15</v>
      </c>
      <c r="G139" s="21"/>
      <c r="H139" s="16" t="s">
        <v>13</v>
      </c>
      <c r="I139" s="22">
        <v>990.75</v>
      </c>
      <c r="J139" s="22"/>
      <c r="K139" s="19" t="s">
        <v>8</v>
      </c>
      <c r="L139" s="20">
        <v>377004.93</v>
      </c>
    </row>
    <row r="140" spans="1:12" ht="61.2" x14ac:dyDescent="0.3">
      <c r="A140" s="14" t="s">
        <v>145</v>
      </c>
      <c r="B140" s="15" t="s">
        <v>156</v>
      </c>
      <c r="C140" s="15" t="s">
        <v>24</v>
      </c>
      <c r="D140" s="15" t="s">
        <v>153</v>
      </c>
      <c r="E140" s="16" t="s">
        <v>26</v>
      </c>
      <c r="F140" s="21" t="s">
        <v>15</v>
      </c>
      <c r="G140" s="21"/>
      <c r="H140" s="16" t="s">
        <v>13</v>
      </c>
      <c r="I140" s="24">
        <v>1791</v>
      </c>
      <c r="J140" s="24"/>
      <c r="K140" s="19" t="s">
        <v>8</v>
      </c>
      <c r="L140" s="20">
        <v>375213.93</v>
      </c>
    </row>
    <row r="141" spans="1:12" ht="61.2" x14ac:dyDescent="0.3">
      <c r="A141" s="14" t="s">
        <v>145</v>
      </c>
      <c r="B141" s="15" t="s">
        <v>156</v>
      </c>
      <c r="C141" s="15" t="s">
        <v>24</v>
      </c>
      <c r="D141" s="15" t="s">
        <v>159</v>
      </c>
      <c r="E141" s="16" t="s">
        <v>26</v>
      </c>
      <c r="F141" s="21" t="s">
        <v>15</v>
      </c>
      <c r="G141" s="21"/>
      <c r="H141" s="16" t="s">
        <v>13</v>
      </c>
      <c r="I141" s="22">
        <v>73.400000000000006</v>
      </c>
      <c r="J141" s="22"/>
      <c r="K141" s="19" t="s">
        <v>8</v>
      </c>
      <c r="L141" s="20">
        <v>375140.53</v>
      </c>
    </row>
    <row r="142" spans="1:12" ht="71.400000000000006" x14ac:dyDescent="0.3">
      <c r="A142" s="14" t="s">
        <v>145</v>
      </c>
      <c r="B142" s="15" t="s">
        <v>156</v>
      </c>
      <c r="C142" s="15" t="s">
        <v>24</v>
      </c>
      <c r="D142" s="15" t="s">
        <v>160</v>
      </c>
      <c r="E142" s="16" t="s">
        <v>26</v>
      </c>
      <c r="F142" s="21" t="s">
        <v>15</v>
      </c>
      <c r="G142" s="21"/>
      <c r="H142" s="16" t="s">
        <v>13</v>
      </c>
      <c r="I142" s="22">
        <v>955.05</v>
      </c>
      <c r="J142" s="22"/>
      <c r="K142" s="19" t="s">
        <v>8</v>
      </c>
      <c r="L142" s="20">
        <v>374185.48</v>
      </c>
    </row>
    <row r="143" spans="1:12" ht="71.400000000000006" x14ac:dyDescent="0.3">
      <c r="A143" s="14" t="s">
        <v>145</v>
      </c>
      <c r="B143" s="15" t="s">
        <v>156</v>
      </c>
      <c r="C143" s="15" t="s">
        <v>24</v>
      </c>
      <c r="D143" s="15" t="s">
        <v>161</v>
      </c>
      <c r="E143" s="16" t="s">
        <v>26</v>
      </c>
      <c r="F143" s="21" t="s">
        <v>15</v>
      </c>
      <c r="G143" s="21"/>
      <c r="H143" s="16" t="s">
        <v>13</v>
      </c>
      <c r="I143" s="22">
        <v>955.05</v>
      </c>
      <c r="J143" s="22"/>
      <c r="K143" s="19" t="s">
        <v>8</v>
      </c>
      <c r="L143" s="20">
        <v>373230.43</v>
      </c>
    </row>
    <row r="144" spans="1:12" ht="61.2" x14ac:dyDescent="0.3">
      <c r="A144" s="14" t="s">
        <v>145</v>
      </c>
      <c r="B144" s="15" t="s">
        <v>156</v>
      </c>
      <c r="C144" s="15" t="s">
        <v>24</v>
      </c>
      <c r="D144" s="15" t="s">
        <v>162</v>
      </c>
      <c r="E144" s="16" t="s">
        <v>26</v>
      </c>
      <c r="F144" s="21" t="s">
        <v>15</v>
      </c>
      <c r="G144" s="21"/>
      <c r="H144" s="16" t="s">
        <v>13</v>
      </c>
      <c r="I144" s="22">
        <v>636.70000000000005</v>
      </c>
      <c r="J144" s="22"/>
      <c r="K144" s="19" t="s">
        <v>8</v>
      </c>
      <c r="L144" s="20">
        <v>372593.73</v>
      </c>
    </row>
    <row r="145" spans="1:12" ht="61.2" x14ac:dyDescent="0.3">
      <c r="A145" s="14" t="s">
        <v>145</v>
      </c>
      <c r="B145" s="15" t="s">
        <v>156</v>
      </c>
      <c r="C145" s="15" t="s">
        <v>24</v>
      </c>
      <c r="D145" s="15" t="s">
        <v>163</v>
      </c>
      <c r="E145" s="16" t="s">
        <v>26</v>
      </c>
      <c r="F145" s="21" t="s">
        <v>15</v>
      </c>
      <c r="G145" s="21"/>
      <c r="H145" s="16" t="s">
        <v>13</v>
      </c>
      <c r="I145" s="22">
        <v>636.70000000000005</v>
      </c>
      <c r="J145" s="22"/>
      <c r="K145" s="19" t="s">
        <v>8</v>
      </c>
      <c r="L145" s="20">
        <v>371957.03</v>
      </c>
    </row>
    <row r="146" spans="1:12" ht="71.400000000000006" x14ac:dyDescent="0.3">
      <c r="A146" s="14" t="s">
        <v>145</v>
      </c>
      <c r="B146" s="15" t="s">
        <v>164</v>
      </c>
      <c r="C146" s="15" t="s">
        <v>24</v>
      </c>
      <c r="D146" s="15" t="s">
        <v>54</v>
      </c>
      <c r="E146" s="16" t="s">
        <v>26</v>
      </c>
      <c r="F146" s="21" t="s">
        <v>15</v>
      </c>
      <c r="G146" s="21"/>
      <c r="H146" s="16" t="s">
        <v>13</v>
      </c>
      <c r="I146" s="22">
        <v>318.3</v>
      </c>
      <c r="J146" s="22"/>
      <c r="K146" s="19" t="s">
        <v>8</v>
      </c>
      <c r="L146" s="20">
        <v>371638.73</v>
      </c>
    </row>
    <row r="147" spans="1:12" ht="71.400000000000006" x14ac:dyDescent="0.3">
      <c r="A147" s="14" t="s">
        <v>145</v>
      </c>
      <c r="B147" s="15" t="s">
        <v>165</v>
      </c>
      <c r="C147" s="15" t="s">
        <v>24</v>
      </c>
      <c r="D147" s="15" t="s">
        <v>166</v>
      </c>
      <c r="E147" s="16" t="s">
        <v>26</v>
      </c>
      <c r="F147" s="21" t="s">
        <v>15</v>
      </c>
      <c r="G147" s="21"/>
      <c r="H147" s="16" t="s">
        <v>13</v>
      </c>
      <c r="I147" s="24">
        <v>1334.4</v>
      </c>
      <c r="J147" s="24"/>
      <c r="K147" s="19" t="s">
        <v>8</v>
      </c>
      <c r="L147" s="20">
        <v>370304.33</v>
      </c>
    </row>
    <row r="148" spans="1:12" ht="71.400000000000006" x14ac:dyDescent="0.3">
      <c r="A148" s="14" t="s">
        <v>145</v>
      </c>
      <c r="B148" s="15" t="s">
        <v>165</v>
      </c>
      <c r="C148" s="15" t="s">
        <v>24</v>
      </c>
      <c r="D148" s="15" t="s">
        <v>167</v>
      </c>
      <c r="E148" s="16" t="s">
        <v>26</v>
      </c>
      <c r="F148" s="21" t="s">
        <v>15</v>
      </c>
      <c r="G148" s="21"/>
      <c r="H148" s="16" t="s">
        <v>13</v>
      </c>
      <c r="I148" s="22">
        <v>170.57</v>
      </c>
      <c r="J148" s="22"/>
      <c r="K148" s="19" t="s">
        <v>8</v>
      </c>
      <c r="L148" s="20">
        <v>370133.76000000001</v>
      </c>
    </row>
    <row r="149" spans="1:12" ht="61.2" x14ac:dyDescent="0.3">
      <c r="A149" s="14" t="s">
        <v>145</v>
      </c>
      <c r="B149" s="15" t="s">
        <v>165</v>
      </c>
      <c r="C149" s="15" t="s">
        <v>24</v>
      </c>
      <c r="D149" s="15" t="s">
        <v>40</v>
      </c>
      <c r="E149" s="16" t="s">
        <v>26</v>
      </c>
      <c r="F149" s="21" t="s">
        <v>15</v>
      </c>
      <c r="G149" s="21"/>
      <c r="H149" s="16" t="s">
        <v>13</v>
      </c>
      <c r="I149" s="24">
        <v>2500.5</v>
      </c>
      <c r="J149" s="24"/>
      <c r="K149" s="19" t="s">
        <v>8</v>
      </c>
      <c r="L149" s="20">
        <v>367633.26</v>
      </c>
    </row>
    <row r="150" spans="1:12" ht="71.400000000000006" x14ac:dyDescent="0.3">
      <c r="A150" s="14" t="s">
        <v>145</v>
      </c>
      <c r="B150" s="15" t="s">
        <v>168</v>
      </c>
      <c r="C150" s="15" t="s">
        <v>24</v>
      </c>
      <c r="D150" s="15" t="s">
        <v>54</v>
      </c>
      <c r="E150" s="16" t="s">
        <v>26</v>
      </c>
      <c r="F150" s="21" t="s">
        <v>15</v>
      </c>
      <c r="G150" s="21"/>
      <c r="H150" s="16" t="s">
        <v>13</v>
      </c>
      <c r="I150" s="22">
        <v>954.9</v>
      </c>
      <c r="J150" s="22"/>
      <c r="K150" s="19" t="s">
        <v>8</v>
      </c>
      <c r="L150" s="20">
        <v>366678.36</v>
      </c>
    </row>
    <row r="151" spans="1:12" ht="61.2" x14ac:dyDescent="0.3">
      <c r="A151" s="14" t="s">
        <v>145</v>
      </c>
      <c r="B151" s="15" t="s">
        <v>169</v>
      </c>
      <c r="C151" s="15" t="s">
        <v>24</v>
      </c>
      <c r="D151" s="15" t="s">
        <v>170</v>
      </c>
      <c r="E151" s="16" t="s">
        <v>26</v>
      </c>
      <c r="F151" s="21" t="s">
        <v>15</v>
      </c>
      <c r="G151" s="21"/>
      <c r="H151" s="16" t="s">
        <v>13</v>
      </c>
      <c r="I151" s="22">
        <v>189.2</v>
      </c>
      <c r="J151" s="22"/>
      <c r="K151" s="19" t="s">
        <v>8</v>
      </c>
      <c r="L151" s="20">
        <v>366489.16</v>
      </c>
    </row>
    <row r="152" spans="1:12" ht="61.2" x14ac:dyDescent="0.3">
      <c r="A152" s="14" t="s">
        <v>145</v>
      </c>
      <c r="B152" s="15" t="s">
        <v>169</v>
      </c>
      <c r="C152" s="15" t="s">
        <v>24</v>
      </c>
      <c r="D152" s="15" t="s">
        <v>171</v>
      </c>
      <c r="E152" s="16" t="s">
        <v>26</v>
      </c>
      <c r="F152" s="21" t="s">
        <v>15</v>
      </c>
      <c r="G152" s="21"/>
      <c r="H152" s="16" t="s">
        <v>13</v>
      </c>
      <c r="I152" s="22">
        <v>67.06</v>
      </c>
      <c r="J152" s="22"/>
      <c r="K152" s="19" t="s">
        <v>8</v>
      </c>
      <c r="L152" s="20">
        <v>366422.1</v>
      </c>
    </row>
    <row r="153" spans="1:12" ht="71.400000000000006" x14ac:dyDescent="0.3">
      <c r="A153" s="14" t="s">
        <v>145</v>
      </c>
      <c r="B153" s="15" t="s">
        <v>172</v>
      </c>
      <c r="C153" s="15" t="s">
        <v>24</v>
      </c>
      <c r="D153" s="15" t="s">
        <v>173</v>
      </c>
      <c r="E153" s="16" t="s">
        <v>26</v>
      </c>
      <c r="F153" s="21" t="s">
        <v>15</v>
      </c>
      <c r="G153" s="21"/>
      <c r="H153" s="16" t="s">
        <v>13</v>
      </c>
      <c r="I153" s="24">
        <v>1370.85</v>
      </c>
      <c r="J153" s="24"/>
      <c r="K153" s="19" t="s">
        <v>8</v>
      </c>
      <c r="L153" s="20">
        <v>365051.25</v>
      </c>
    </row>
    <row r="154" spans="1:12" ht="71.400000000000006" x14ac:dyDescent="0.3">
      <c r="A154" s="14" t="s">
        <v>145</v>
      </c>
      <c r="B154" s="15" t="s">
        <v>172</v>
      </c>
      <c r="C154" s="15" t="s">
        <v>24</v>
      </c>
      <c r="D154" s="15" t="s">
        <v>166</v>
      </c>
      <c r="E154" s="16" t="s">
        <v>26</v>
      </c>
      <c r="F154" s="21" t="s">
        <v>15</v>
      </c>
      <c r="G154" s="21"/>
      <c r="H154" s="16" t="s">
        <v>13</v>
      </c>
      <c r="I154" s="22">
        <v>889.6</v>
      </c>
      <c r="J154" s="22"/>
      <c r="K154" s="19" t="s">
        <v>8</v>
      </c>
      <c r="L154" s="20">
        <v>364161.65</v>
      </c>
    </row>
    <row r="155" spans="1:12" ht="61.2" x14ac:dyDescent="0.3">
      <c r="A155" s="14" t="s">
        <v>145</v>
      </c>
      <c r="B155" s="15" t="s">
        <v>172</v>
      </c>
      <c r="C155" s="15" t="s">
        <v>24</v>
      </c>
      <c r="D155" s="15" t="s">
        <v>55</v>
      </c>
      <c r="E155" s="16" t="s">
        <v>26</v>
      </c>
      <c r="F155" s="21" t="s">
        <v>15</v>
      </c>
      <c r="G155" s="21"/>
      <c r="H155" s="16" t="s">
        <v>13</v>
      </c>
      <c r="I155" s="22">
        <v>145.25</v>
      </c>
      <c r="J155" s="22"/>
      <c r="K155" s="19" t="s">
        <v>8</v>
      </c>
      <c r="L155" s="20">
        <v>364016.4</v>
      </c>
    </row>
    <row r="156" spans="1:12" ht="71.400000000000006" x14ac:dyDescent="0.3">
      <c r="A156" s="14" t="s">
        <v>145</v>
      </c>
      <c r="B156" s="15" t="s">
        <v>172</v>
      </c>
      <c r="C156" s="15" t="s">
        <v>24</v>
      </c>
      <c r="D156" s="15" t="s">
        <v>174</v>
      </c>
      <c r="E156" s="16" t="s">
        <v>26</v>
      </c>
      <c r="F156" s="21" t="s">
        <v>15</v>
      </c>
      <c r="G156" s="21"/>
      <c r="H156" s="16" t="s">
        <v>13</v>
      </c>
      <c r="I156" s="24">
        <v>4375</v>
      </c>
      <c r="J156" s="24"/>
      <c r="K156" s="19" t="s">
        <v>8</v>
      </c>
      <c r="L156" s="20">
        <v>359641.4</v>
      </c>
    </row>
    <row r="157" spans="1:12" ht="71.400000000000006" x14ac:dyDescent="0.3">
      <c r="A157" s="14" t="s">
        <v>145</v>
      </c>
      <c r="B157" s="15" t="s">
        <v>172</v>
      </c>
      <c r="C157" s="15" t="s">
        <v>24</v>
      </c>
      <c r="D157" s="15" t="s">
        <v>43</v>
      </c>
      <c r="E157" s="16" t="s">
        <v>26</v>
      </c>
      <c r="F157" s="21" t="s">
        <v>15</v>
      </c>
      <c r="G157" s="21"/>
      <c r="H157" s="16" t="s">
        <v>13</v>
      </c>
      <c r="I157" s="24">
        <v>1250</v>
      </c>
      <c r="J157" s="24"/>
      <c r="K157" s="19" t="s">
        <v>8</v>
      </c>
      <c r="L157" s="20">
        <v>358391.4</v>
      </c>
    </row>
    <row r="158" spans="1:12" ht="61.2" x14ac:dyDescent="0.3">
      <c r="A158" s="14" t="s">
        <v>145</v>
      </c>
      <c r="B158" s="15" t="s">
        <v>172</v>
      </c>
      <c r="C158" s="15" t="s">
        <v>24</v>
      </c>
      <c r="D158" s="15" t="s">
        <v>175</v>
      </c>
      <c r="E158" s="16" t="s">
        <v>26</v>
      </c>
      <c r="F158" s="21" t="s">
        <v>15</v>
      </c>
      <c r="G158" s="21"/>
      <c r="H158" s="16" t="s">
        <v>13</v>
      </c>
      <c r="I158" s="24">
        <v>1346</v>
      </c>
      <c r="J158" s="24"/>
      <c r="K158" s="19" t="s">
        <v>8</v>
      </c>
      <c r="L158" s="20">
        <v>357045.4</v>
      </c>
    </row>
    <row r="159" spans="1:12" ht="61.2" x14ac:dyDescent="0.3">
      <c r="A159" s="14" t="s">
        <v>145</v>
      </c>
      <c r="B159" s="15" t="s">
        <v>172</v>
      </c>
      <c r="C159" s="15" t="s">
        <v>24</v>
      </c>
      <c r="D159" s="15" t="s">
        <v>36</v>
      </c>
      <c r="E159" s="16" t="s">
        <v>26</v>
      </c>
      <c r="F159" s="21" t="s">
        <v>15</v>
      </c>
      <c r="G159" s="21"/>
      <c r="H159" s="16" t="s">
        <v>13</v>
      </c>
      <c r="I159" s="22">
        <v>537.5</v>
      </c>
      <c r="J159" s="22"/>
      <c r="K159" s="19" t="s">
        <v>8</v>
      </c>
      <c r="L159" s="20">
        <v>356507.9</v>
      </c>
    </row>
    <row r="160" spans="1:12" ht="61.2" x14ac:dyDescent="0.3">
      <c r="A160" s="14" t="s">
        <v>145</v>
      </c>
      <c r="B160" s="15" t="s">
        <v>172</v>
      </c>
      <c r="C160" s="15" t="s">
        <v>24</v>
      </c>
      <c r="D160" s="15" t="s">
        <v>45</v>
      </c>
      <c r="E160" s="16" t="s">
        <v>26</v>
      </c>
      <c r="F160" s="21" t="s">
        <v>15</v>
      </c>
      <c r="G160" s="21"/>
      <c r="H160" s="16" t="s">
        <v>13</v>
      </c>
      <c r="I160" s="22">
        <v>219.8</v>
      </c>
      <c r="J160" s="22"/>
      <c r="K160" s="19" t="s">
        <v>8</v>
      </c>
      <c r="L160" s="20">
        <v>356288.1</v>
      </c>
    </row>
    <row r="161" spans="1:12" ht="71.400000000000006" x14ac:dyDescent="0.3">
      <c r="A161" s="14" t="s">
        <v>145</v>
      </c>
      <c r="B161" s="15" t="s">
        <v>172</v>
      </c>
      <c r="C161" s="15" t="s">
        <v>24</v>
      </c>
      <c r="D161" s="15" t="s">
        <v>46</v>
      </c>
      <c r="E161" s="16" t="s">
        <v>26</v>
      </c>
      <c r="F161" s="21" t="s">
        <v>15</v>
      </c>
      <c r="G161" s="21"/>
      <c r="H161" s="16" t="s">
        <v>13</v>
      </c>
      <c r="I161" s="22">
        <v>414.5</v>
      </c>
      <c r="J161" s="22"/>
      <c r="K161" s="19" t="s">
        <v>8</v>
      </c>
      <c r="L161" s="20">
        <v>355873.6</v>
      </c>
    </row>
    <row r="162" spans="1:12" ht="81.599999999999994" x14ac:dyDescent="0.3">
      <c r="A162" s="14" t="s">
        <v>145</v>
      </c>
      <c r="B162" s="15" t="s">
        <v>176</v>
      </c>
      <c r="C162" s="15" t="s">
        <v>24</v>
      </c>
      <c r="D162" s="15" t="s">
        <v>150</v>
      </c>
      <c r="E162" s="16" t="s">
        <v>26</v>
      </c>
      <c r="F162" s="21" t="s">
        <v>15</v>
      </c>
      <c r="G162" s="21"/>
      <c r="H162" s="16" t="s">
        <v>13</v>
      </c>
      <c r="I162" s="24">
        <v>1425.1</v>
      </c>
      <c r="J162" s="24"/>
      <c r="K162" s="19" t="s">
        <v>8</v>
      </c>
      <c r="L162" s="20">
        <v>354448.5</v>
      </c>
    </row>
    <row r="163" spans="1:12" ht="71.400000000000006" x14ac:dyDescent="0.3">
      <c r="A163" s="14" t="s">
        <v>145</v>
      </c>
      <c r="B163" s="15" t="s">
        <v>176</v>
      </c>
      <c r="C163" s="15" t="s">
        <v>24</v>
      </c>
      <c r="D163" s="15" t="s">
        <v>38</v>
      </c>
      <c r="E163" s="16" t="s">
        <v>26</v>
      </c>
      <c r="F163" s="21" t="s">
        <v>15</v>
      </c>
      <c r="G163" s="21"/>
      <c r="H163" s="16" t="s">
        <v>13</v>
      </c>
      <c r="I163" s="22">
        <v>760</v>
      </c>
      <c r="J163" s="22"/>
      <c r="K163" s="19" t="s">
        <v>8</v>
      </c>
      <c r="L163" s="20">
        <v>353688.5</v>
      </c>
    </row>
    <row r="164" spans="1:12" ht="61.2" x14ac:dyDescent="0.3">
      <c r="A164" s="14" t="s">
        <v>145</v>
      </c>
      <c r="B164" s="15" t="s">
        <v>177</v>
      </c>
      <c r="C164" s="15" t="s">
        <v>24</v>
      </c>
      <c r="D164" s="15" t="s">
        <v>36</v>
      </c>
      <c r="E164" s="16" t="s">
        <v>26</v>
      </c>
      <c r="F164" s="21" t="s">
        <v>15</v>
      </c>
      <c r="G164" s="21"/>
      <c r="H164" s="16" t="s">
        <v>13</v>
      </c>
      <c r="I164" s="22">
        <v>161.25</v>
      </c>
      <c r="J164" s="22"/>
      <c r="K164" s="19" t="s">
        <v>8</v>
      </c>
      <c r="L164" s="20">
        <v>353527.25</v>
      </c>
    </row>
    <row r="165" spans="1:12" ht="71.400000000000006" x14ac:dyDescent="0.3">
      <c r="A165" s="14" t="s">
        <v>145</v>
      </c>
      <c r="B165" s="15" t="s">
        <v>178</v>
      </c>
      <c r="C165" s="15" t="s">
        <v>24</v>
      </c>
      <c r="D165" s="15" t="s">
        <v>179</v>
      </c>
      <c r="E165" s="16" t="s">
        <v>26</v>
      </c>
      <c r="F165" s="21" t="s">
        <v>15</v>
      </c>
      <c r="G165" s="21"/>
      <c r="H165" s="16" t="s">
        <v>13</v>
      </c>
      <c r="I165" s="22">
        <v>723</v>
      </c>
      <c r="J165" s="22"/>
      <c r="K165" s="19" t="s">
        <v>8</v>
      </c>
      <c r="L165" s="20">
        <v>352804.25</v>
      </c>
    </row>
    <row r="166" spans="1:12" ht="61.2" x14ac:dyDescent="0.3">
      <c r="A166" s="14" t="s">
        <v>145</v>
      </c>
      <c r="B166" s="15" t="s">
        <v>178</v>
      </c>
      <c r="C166" s="15" t="s">
        <v>24</v>
      </c>
      <c r="D166" s="15" t="s">
        <v>180</v>
      </c>
      <c r="E166" s="16" t="s">
        <v>26</v>
      </c>
      <c r="F166" s="21" t="s">
        <v>15</v>
      </c>
      <c r="G166" s="21"/>
      <c r="H166" s="16" t="s">
        <v>13</v>
      </c>
      <c r="I166" s="24">
        <v>8896</v>
      </c>
      <c r="J166" s="24"/>
      <c r="K166" s="19" t="s">
        <v>8</v>
      </c>
      <c r="L166" s="20">
        <v>343908.25</v>
      </c>
    </row>
    <row r="167" spans="1:12" ht="71.400000000000006" x14ac:dyDescent="0.3">
      <c r="A167" s="14" t="s">
        <v>145</v>
      </c>
      <c r="B167" s="15" t="s">
        <v>178</v>
      </c>
      <c r="C167" s="15" t="s">
        <v>24</v>
      </c>
      <c r="D167" s="15" t="s">
        <v>104</v>
      </c>
      <c r="E167" s="16" t="s">
        <v>26</v>
      </c>
      <c r="F167" s="21" t="s">
        <v>15</v>
      </c>
      <c r="G167" s="21"/>
      <c r="H167" s="16" t="s">
        <v>13</v>
      </c>
      <c r="I167" s="24">
        <v>1562.4</v>
      </c>
      <c r="J167" s="24"/>
      <c r="K167" s="19" t="s">
        <v>8</v>
      </c>
      <c r="L167" s="20">
        <v>342345.85</v>
      </c>
    </row>
    <row r="168" spans="1:12" ht="71.400000000000006" x14ac:dyDescent="0.3">
      <c r="A168" s="14" t="s">
        <v>145</v>
      </c>
      <c r="B168" s="15" t="s">
        <v>178</v>
      </c>
      <c r="C168" s="15" t="s">
        <v>24</v>
      </c>
      <c r="D168" s="15" t="s">
        <v>54</v>
      </c>
      <c r="E168" s="16" t="s">
        <v>26</v>
      </c>
      <c r="F168" s="21" t="s">
        <v>15</v>
      </c>
      <c r="G168" s="21"/>
      <c r="H168" s="16" t="s">
        <v>13</v>
      </c>
      <c r="I168" s="24">
        <v>2652.5</v>
      </c>
      <c r="J168" s="24"/>
      <c r="K168" s="19" t="s">
        <v>8</v>
      </c>
      <c r="L168" s="20">
        <v>339693.35</v>
      </c>
    </row>
    <row r="169" spans="1:12" ht="71.400000000000006" x14ac:dyDescent="0.3">
      <c r="A169" s="14" t="s">
        <v>145</v>
      </c>
      <c r="B169" s="15" t="s">
        <v>178</v>
      </c>
      <c r="C169" s="15" t="s">
        <v>24</v>
      </c>
      <c r="D169" s="15" t="s">
        <v>181</v>
      </c>
      <c r="E169" s="16" t="s">
        <v>26</v>
      </c>
      <c r="F169" s="21" t="s">
        <v>15</v>
      </c>
      <c r="G169" s="21"/>
      <c r="H169" s="16" t="s">
        <v>13</v>
      </c>
      <c r="I169" s="24">
        <v>2064.17</v>
      </c>
      <c r="J169" s="24"/>
      <c r="K169" s="19" t="s">
        <v>8</v>
      </c>
      <c r="L169" s="20">
        <v>337629.18</v>
      </c>
    </row>
    <row r="170" spans="1:12" ht="71.400000000000006" x14ac:dyDescent="0.3">
      <c r="A170" s="14" t="s">
        <v>145</v>
      </c>
      <c r="B170" s="15" t="s">
        <v>182</v>
      </c>
      <c r="C170" s="15" t="s">
        <v>24</v>
      </c>
      <c r="D170" s="15" t="s">
        <v>101</v>
      </c>
      <c r="E170" s="16" t="s">
        <v>26</v>
      </c>
      <c r="F170" s="21" t="s">
        <v>15</v>
      </c>
      <c r="G170" s="21"/>
      <c r="H170" s="16" t="s">
        <v>13</v>
      </c>
      <c r="I170" s="24">
        <v>2516.8000000000002</v>
      </c>
      <c r="J170" s="24"/>
      <c r="K170" s="19" t="s">
        <v>8</v>
      </c>
      <c r="L170" s="20">
        <v>335112.38</v>
      </c>
    </row>
    <row r="171" spans="1:12" ht="71.400000000000006" x14ac:dyDescent="0.3">
      <c r="A171" s="14" t="s">
        <v>145</v>
      </c>
      <c r="B171" s="15" t="s">
        <v>182</v>
      </c>
      <c r="C171" s="15" t="s">
        <v>24</v>
      </c>
      <c r="D171" s="15" t="s">
        <v>183</v>
      </c>
      <c r="E171" s="16" t="s">
        <v>26</v>
      </c>
      <c r="F171" s="21" t="s">
        <v>15</v>
      </c>
      <c r="G171" s="21"/>
      <c r="H171" s="16" t="s">
        <v>13</v>
      </c>
      <c r="I171" s="24">
        <v>10296</v>
      </c>
      <c r="J171" s="24"/>
      <c r="K171" s="19" t="s">
        <v>8</v>
      </c>
      <c r="L171" s="20">
        <v>324816.38</v>
      </c>
    </row>
    <row r="172" spans="1:12" ht="71.400000000000006" x14ac:dyDescent="0.3">
      <c r="A172" s="14" t="s">
        <v>145</v>
      </c>
      <c r="B172" s="15" t="s">
        <v>182</v>
      </c>
      <c r="C172" s="15" t="s">
        <v>24</v>
      </c>
      <c r="D172" s="15" t="s">
        <v>184</v>
      </c>
      <c r="E172" s="16" t="s">
        <v>26</v>
      </c>
      <c r="F172" s="21" t="s">
        <v>15</v>
      </c>
      <c r="G172" s="21"/>
      <c r="H172" s="16" t="s">
        <v>13</v>
      </c>
      <c r="I172" s="24">
        <v>5417</v>
      </c>
      <c r="J172" s="24"/>
      <c r="K172" s="19" t="s">
        <v>8</v>
      </c>
      <c r="L172" s="20">
        <v>319399.38</v>
      </c>
    </row>
    <row r="173" spans="1:12" ht="71.400000000000006" x14ac:dyDescent="0.3">
      <c r="A173" s="14" t="s">
        <v>145</v>
      </c>
      <c r="B173" s="15" t="s">
        <v>182</v>
      </c>
      <c r="C173" s="15" t="s">
        <v>24</v>
      </c>
      <c r="D173" s="15" t="s">
        <v>185</v>
      </c>
      <c r="E173" s="16" t="s">
        <v>26</v>
      </c>
      <c r="F173" s="21" t="s">
        <v>15</v>
      </c>
      <c r="G173" s="21"/>
      <c r="H173" s="16" t="s">
        <v>13</v>
      </c>
      <c r="I173" s="24">
        <v>2008.8</v>
      </c>
      <c r="J173" s="24"/>
      <c r="K173" s="19" t="s">
        <v>8</v>
      </c>
      <c r="L173" s="20">
        <v>317390.58</v>
      </c>
    </row>
    <row r="174" spans="1:12" ht="61.2" x14ac:dyDescent="0.3">
      <c r="A174" s="14" t="s">
        <v>145</v>
      </c>
      <c r="B174" s="15" t="s">
        <v>182</v>
      </c>
      <c r="C174" s="15" t="s">
        <v>24</v>
      </c>
      <c r="D174" s="15" t="s">
        <v>55</v>
      </c>
      <c r="E174" s="16" t="s">
        <v>26</v>
      </c>
      <c r="F174" s="21" t="s">
        <v>15</v>
      </c>
      <c r="G174" s="21"/>
      <c r="H174" s="16" t="s">
        <v>13</v>
      </c>
      <c r="I174" s="22">
        <v>348.6</v>
      </c>
      <c r="J174" s="22"/>
      <c r="K174" s="19" t="s">
        <v>8</v>
      </c>
      <c r="L174" s="20">
        <v>317041.98</v>
      </c>
    </row>
    <row r="175" spans="1:12" ht="71.400000000000006" x14ac:dyDescent="0.3">
      <c r="A175" s="14" t="s">
        <v>145</v>
      </c>
      <c r="B175" s="15" t="s">
        <v>182</v>
      </c>
      <c r="C175" s="15" t="s">
        <v>24</v>
      </c>
      <c r="D175" s="15" t="s">
        <v>100</v>
      </c>
      <c r="E175" s="16" t="s">
        <v>26</v>
      </c>
      <c r="F175" s="21" t="s">
        <v>15</v>
      </c>
      <c r="G175" s="21"/>
      <c r="H175" s="16" t="s">
        <v>13</v>
      </c>
      <c r="I175" s="24">
        <v>2070</v>
      </c>
      <c r="J175" s="24"/>
      <c r="K175" s="19" t="s">
        <v>8</v>
      </c>
      <c r="L175" s="20">
        <v>314971.98</v>
      </c>
    </row>
    <row r="176" spans="1:12" ht="61.2" x14ac:dyDescent="0.3">
      <c r="A176" s="14" t="s">
        <v>145</v>
      </c>
      <c r="B176" s="15" t="s">
        <v>182</v>
      </c>
      <c r="C176" s="15" t="s">
        <v>24</v>
      </c>
      <c r="D176" s="15" t="s">
        <v>186</v>
      </c>
      <c r="E176" s="16" t="s">
        <v>26</v>
      </c>
      <c r="F176" s="21" t="s">
        <v>15</v>
      </c>
      <c r="G176" s="21"/>
      <c r="H176" s="16" t="s">
        <v>13</v>
      </c>
      <c r="I176" s="22">
        <v>838</v>
      </c>
      <c r="J176" s="22"/>
      <c r="K176" s="19" t="s">
        <v>8</v>
      </c>
      <c r="L176" s="20">
        <v>314133.98</v>
      </c>
    </row>
    <row r="177" spans="1:12" ht="71.400000000000006" x14ac:dyDescent="0.3">
      <c r="A177" s="14" t="s">
        <v>145</v>
      </c>
      <c r="B177" s="15" t="s">
        <v>182</v>
      </c>
      <c r="C177" s="15" t="s">
        <v>24</v>
      </c>
      <c r="D177" s="15" t="s">
        <v>187</v>
      </c>
      <c r="E177" s="16" t="s">
        <v>26</v>
      </c>
      <c r="F177" s="21" t="s">
        <v>15</v>
      </c>
      <c r="G177" s="21"/>
      <c r="H177" s="16" t="s">
        <v>13</v>
      </c>
      <c r="I177" s="22">
        <v>582.29999999999995</v>
      </c>
      <c r="J177" s="22"/>
      <c r="K177" s="19" t="s">
        <v>8</v>
      </c>
      <c r="L177" s="20">
        <v>313551.68</v>
      </c>
    </row>
    <row r="178" spans="1:12" ht="61.2" x14ac:dyDescent="0.3">
      <c r="A178" s="14" t="s">
        <v>145</v>
      </c>
      <c r="B178" s="15" t="s">
        <v>182</v>
      </c>
      <c r="C178" s="15" t="s">
        <v>24</v>
      </c>
      <c r="D178" s="15" t="s">
        <v>188</v>
      </c>
      <c r="E178" s="16" t="s">
        <v>26</v>
      </c>
      <c r="F178" s="21" t="s">
        <v>15</v>
      </c>
      <c r="G178" s="21"/>
      <c r="H178" s="16" t="s">
        <v>13</v>
      </c>
      <c r="I178" s="22">
        <v>694</v>
      </c>
      <c r="J178" s="22"/>
      <c r="K178" s="19" t="s">
        <v>8</v>
      </c>
      <c r="L178" s="20">
        <v>312857.68</v>
      </c>
    </row>
    <row r="179" spans="1:12" ht="61.2" x14ac:dyDescent="0.3">
      <c r="A179" s="14" t="s">
        <v>145</v>
      </c>
      <c r="B179" s="15" t="s">
        <v>182</v>
      </c>
      <c r="C179" s="15" t="s">
        <v>24</v>
      </c>
      <c r="D179" s="15" t="s">
        <v>189</v>
      </c>
      <c r="E179" s="16" t="s">
        <v>26</v>
      </c>
      <c r="F179" s="21" t="s">
        <v>15</v>
      </c>
      <c r="G179" s="21"/>
      <c r="H179" s="16" t="s">
        <v>13</v>
      </c>
      <c r="I179" s="22">
        <v>634.20000000000005</v>
      </c>
      <c r="J179" s="22"/>
      <c r="K179" s="19" t="s">
        <v>8</v>
      </c>
      <c r="L179" s="20">
        <v>312223.48</v>
      </c>
    </row>
    <row r="180" spans="1:12" ht="71.400000000000006" x14ac:dyDescent="0.3">
      <c r="A180" s="14" t="s">
        <v>145</v>
      </c>
      <c r="B180" s="15" t="s">
        <v>182</v>
      </c>
      <c r="C180" s="15" t="s">
        <v>24</v>
      </c>
      <c r="D180" s="15" t="s">
        <v>190</v>
      </c>
      <c r="E180" s="16" t="s">
        <v>26</v>
      </c>
      <c r="F180" s="21" t="s">
        <v>15</v>
      </c>
      <c r="G180" s="21"/>
      <c r="H180" s="16" t="s">
        <v>13</v>
      </c>
      <c r="I180" s="24">
        <v>3456.21</v>
      </c>
      <c r="J180" s="24"/>
      <c r="K180" s="19" t="s">
        <v>8</v>
      </c>
      <c r="L180" s="20">
        <v>308767.27</v>
      </c>
    </row>
    <row r="181" spans="1:12" ht="61.2" x14ac:dyDescent="0.3">
      <c r="A181" s="14" t="s">
        <v>145</v>
      </c>
      <c r="B181" s="15" t="s">
        <v>182</v>
      </c>
      <c r="C181" s="15" t="s">
        <v>24</v>
      </c>
      <c r="D181" s="15" t="s">
        <v>191</v>
      </c>
      <c r="E181" s="16" t="s">
        <v>26</v>
      </c>
      <c r="F181" s="21" t="s">
        <v>15</v>
      </c>
      <c r="G181" s="21"/>
      <c r="H181" s="16" t="s">
        <v>13</v>
      </c>
      <c r="I181" s="22">
        <v>124.6</v>
      </c>
      <c r="J181" s="22"/>
      <c r="K181" s="19" t="s">
        <v>8</v>
      </c>
      <c r="L181" s="20">
        <v>308642.67</v>
      </c>
    </row>
    <row r="182" spans="1:12" ht="61.2" x14ac:dyDescent="0.3">
      <c r="A182" s="14" t="s">
        <v>145</v>
      </c>
      <c r="B182" s="15" t="s">
        <v>182</v>
      </c>
      <c r="C182" s="15" t="s">
        <v>24</v>
      </c>
      <c r="D182" s="15" t="s">
        <v>192</v>
      </c>
      <c r="E182" s="16" t="s">
        <v>26</v>
      </c>
      <c r="F182" s="21" t="s">
        <v>15</v>
      </c>
      <c r="G182" s="21"/>
      <c r="H182" s="16" t="s">
        <v>13</v>
      </c>
      <c r="I182" s="22">
        <v>330.05</v>
      </c>
      <c r="J182" s="22"/>
      <c r="K182" s="19" t="s">
        <v>8</v>
      </c>
      <c r="L182" s="20">
        <v>308312.62</v>
      </c>
    </row>
    <row r="183" spans="1:12" ht="61.2" x14ac:dyDescent="0.3">
      <c r="A183" s="14" t="s">
        <v>145</v>
      </c>
      <c r="B183" s="15" t="s">
        <v>182</v>
      </c>
      <c r="C183" s="15" t="s">
        <v>24</v>
      </c>
      <c r="D183" s="15" t="s">
        <v>193</v>
      </c>
      <c r="E183" s="16" t="s">
        <v>26</v>
      </c>
      <c r="F183" s="21" t="s">
        <v>15</v>
      </c>
      <c r="G183" s="21"/>
      <c r="H183" s="16" t="s">
        <v>13</v>
      </c>
      <c r="I183" s="22">
        <v>390.05</v>
      </c>
      <c r="J183" s="22"/>
      <c r="K183" s="19" t="s">
        <v>8</v>
      </c>
      <c r="L183" s="20">
        <v>307922.57</v>
      </c>
    </row>
    <row r="184" spans="1:12" ht="61.2" x14ac:dyDescent="0.3">
      <c r="A184" s="14" t="s">
        <v>145</v>
      </c>
      <c r="B184" s="15" t="s">
        <v>182</v>
      </c>
      <c r="C184" s="15" t="s">
        <v>24</v>
      </c>
      <c r="D184" s="15" t="s">
        <v>194</v>
      </c>
      <c r="E184" s="16" t="s">
        <v>26</v>
      </c>
      <c r="F184" s="21" t="s">
        <v>15</v>
      </c>
      <c r="G184" s="21"/>
      <c r="H184" s="16" t="s">
        <v>13</v>
      </c>
      <c r="I184" s="22">
        <v>543.79999999999995</v>
      </c>
      <c r="J184" s="22"/>
      <c r="K184" s="19" t="s">
        <v>8</v>
      </c>
      <c r="L184" s="20">
        <v>307378.77</v>
      </c>
    </row>
    <row r="185" spans="1:12" ht="61.2" x14ac:dyDescent="0.3">
      <c r="A185" s="14" t="s">
        <v>145</v>
      </c>
      <c r="B185" s="15" t="s">
        <v>182</v>
      </c>
      <c r="C185" s="15" t="s">
        <v>24</v>
      </c>
      <c r="D185" s="15" t="s">
        <v>195</v>
      </c>
      <c r="E185" s="16" t="s">
        <v>26</v>
      </c>
      <c r="F185" s="21" t="s">
        <v>15</v>
      </c>
      <c r="G185" s="21"/>
      <c r="H185" s="16" t="s">
        <v>13</v>
      </c>
      <c r="I185" s="22">
        <v>600</v>
      </c>
      <c r="J185" s="22"/>
      <c r="K185" s="19" t="s">
        <v>8</v>
      </c>
      <c r="L185" s="20">
        <v>306778.77</v>
      </c>
    </row>
    <row r="186" spans="1:12" ht="61.2" x14ac:dyDescent="0.3">
      <c r="A186" s="14" t="s">
        <v>145</v>
      </c>
      <c r="B186" s="15" t="s">
        <v>182</v>
      </c>
      <c r="C186" s="15" t="s">
        <v>24</v>
      </c>
      <c r="D186" s="15" t="s">
        <v>52</v>
      </c>
      <c r="E186" s="16" t="s">
        <v>26</v>
      </c>
      <c r="F186" s="21" t="s">
        <v>15</v>
      </c>
      <c r="G186" s="21"/>
      <c r="H186" s="16" t="s">
        <v>13</v>
      </c>
      <c r="I186" s="24">
        <v>6478.3</v>
      </c>
      <c r="J186" s="24"/>
      <c r="K186" s="19" t="s">
        <v>8</v>
      </c>
      <c r="L186" s="20">
        <v>300300.46999999997</v>
      </c>
    </row>
    <row r="187" spans="1:12" ht="71.400000000000006" x14ac:dyDescent="0.3">
      <c r="A187" s="14" t="s">
        <v>145</v>
      </c>
      <c r="B187" s="15" t="s">
        <v>182</v>
      </c>
      <c r="C187" s="15" t="s">
        <v>24</v>
      </c>
      <c r="D187" s="15" t="s">
        <v>38</v>
      </c>
      <c r="E187" s="16" t="s">
        <v>26</v>
      </c>
      <c r="F187" s="21" t="s">
        <v>15</v>
      </c>
      <c r="G187" s="21"/>
      <c r="H187" s="16" t="s">
        <v>13</v>
      </c>
      <c r="I187" s="24">
        <v>2185</v>
      </c>
      <c r="J187" s="24"/>
      <c r="K187" s="19" t="s">
        <v>8</v>
      </c>
      <c r="L187" s="20">
        <v>298115.46999999997</v>
      </c>
    </row>
    <row r="188" spans="1:12" ht="61.2" x14ac:dyDescent="0.3">
      <c r="A188" s="14" t="s">
        <v>145</v>
      </c>
      <c r="B188" s="15" t="s">
        <v>182</v>
      </c>
      <c r="C188" s="15" t="s">
        <v>24</v>
      </c>
      <c r="D188" s="15" t="s">
        <v>39</v>
      </c>
      <c r="E188" s="16" t="s">
        <v>26</v>
      </c>
      <c r="F188" s="21" t="s">
        <v>15</v>
      </c>
      <c r="G188" s="21"/>
      <c r="H188" s="16" t="s">
        <v>13</v>
      </c>
      <c r="I188" s="24">
        <v>1981.5</v>
      </c>
      <c r="J188" s="24"/>
      <c r="K188" s="19" t="s">
        <v>8</v>
      </c>
      <c r="L188" s="20">
        <v>296133.96999999997</v>
      </c>
    </row>
    <row r="189" spans="1:12" ht="61.2" x14ac:dyDescent="0.3">
      <c r="A189" s="14" t="s">
        <v>145</v>
      </c>
      <c r="B189" s="15" t="s">
        <v>182</v>
      </c>
      <c r="C189" s="15" t="s">
        <v>24</v>
      </c>
      <c r="D189" s="15" t="s">
        <v>151</v>
      </c>
      <c r="E189" s="16" t="s">
        <v>26</v>
      </c>
      <c r="F189" s="21" t="s">
        <v>15</v>
      </c>
      <c r="G189" s="21"/>
      <c r="H189" s="16" t="s">
        <v>13</v>
      </c>
      <c r="I189" s="24">
        <v>3307.2</v>
      </c>
      <c r="J189" s="24"/>
      <c r="K189" s="19" t="s">
        <v>8</v>
      </c>
      <c r="L189" s="20">
        <v>292826.77</v>
      </c>
    </row>
    <row r="190" spans="1:12" ht="71.400000000000006" x14ac:dyDescent="0.3">
      <c r="A190" s="14" t="s">
        <v>145</v>
      </c>
      <c r="B190" s="15" t="s">
        <v>182</v>
      </c>
      <c r="C190" s="15" t="s">
        <v>24</v>
      </c>
      <c r="D190" s="15" t="s">
        <v>196</v>
      </c>
      <c r="E190" s="16" t="s">
        <v>26</v>
      </c>
      <c r="F190" s="21" t="s">
        <v>15</v>
      </c>
      <c r="G190" s="21"/>
      <c r="H190" s="16" t="s">
        <v>13</v>
      </c>
      <c r="I190" s="22">
        <v>524.70000000000005</v>
      </c>
      <c r="J190" s="22"/>
      <c r="K190" s="19" t="s">
        <v>8</v>
      </c>
      <c r="L190" s="20">
        <v>292302.07</v>
      </c>
    </row>
    <row r="191" spans="1:12" ht="61.2" x14ac:dyDescent="0.3">
      <c r="A191" s="14" t="s">
        <v>145</v>
      </c>
      <c r="B191" s="15" t="s">
        <v>182</v>
      </c>
      <c r="C191" s="15" t="s">
        <v>24</v>
      </c>
      <c r="D191" s="15" t="s">
        <v>197</v>
      </c>
      <c r="E191" s="16" t="s">
        <v>26</v>
      </c>
      <c r="F191" s="21" t="s">
        <v>15</v>
      </c>
      <c r="G191" s="21"/>
      <c r="H191" s="16" t="s">
        <v>13</v>
      </c>
      <c r="I191" s="22">
        <v>405</v>
      </c>
      <c r="J191" s="22"/>
      <c r="K191" s="19" t="s">
        <v>8</v>
      </c>
      <c r="L191" s="20">
        <v>291897.07</v>
      </c>
    </row>
    <row r="192" spans="1:12" ht="71.400000000000006" x14ac:dyDescent="0.3">
      <c r="A192" s="14" t="s">
        <v>198</v>
      </c>
      <c r="B192" s="15" t="s">
        <v>199</v>
      </c>
      <c r="C192" s="15" t="s">
        <v>24</v>
      </c>
      <c r="D192" s="15" t="s">
        <v>58</v>
      </c>
      <c r="E192" s="16" t="s">
        <v>26</v>
      </c>
      <c r="F192" s="21" t="s">
        <v>15</v>
      </c>
      <c r="G192" s="21"/>
      <c r="H192" s="16" t="s">
        <v>13</v>
      </c>
      <c r="I192" s="22">
        <v>770.5</v>
      </c>
      <c r="J192" s="22"/>
      <c r="K192" s="19" t="s">
        <v>8</v>
      </c>
      <c r="L192" s="20">
        <v>291126.57</v>
      </c>
    </row>
    <row r="193" spans="1:12" ht="71.400000000000006" x14ac:dyDescent="0.3">
      <c r="A193" s="14" t="s">
        <v>198</v>
      </c>
      <c r="B193" s="15" t="s">
        <v>199</v>
      </c>
      <c r="C193" s="15" t="s">
        <v>24</v>
      </c>
      <c r="D193" s="15" t="s">
        <v>183</v>
      </c>
      <c r="E193" s="16" t="s">
        <v>26</v>
      </c>
      <c r="F193" s="21" t="s">
        <v>15</v>
      </c>
      <c r="G193" s="21"/>
      <c r="H193" s="16" t="s">
        <v>13</v>
      </c>
      <c r="I193" s="22">
        <v>228.8</v>
      </c>
      <c r="J193" s="22"/>
      <c r="K193" s="19" t="s">
        <v>8</v>
      </c>
      <c r="L193" s="20">
        <v>290897.77</v>
      </c>
    </row>
    <row r="194" spans="1:12" ht="71.400000000000006" x14ac:dyDescent="0.3">
      <c r="A194" s="14" t="s">
        <v>198</v>
      </c>
      <c r="B194" s="15" t="s">
        <v>199</v>
      </c>
      <c r="C194" s="15" t="s">
        <v>24</v>
      </c>
      <c r="D194" s="15" t="s">
        <v>166</v>
      </c>
      <c r="E194" s="16" t="s">
        <v>26</v>
      </c>
      <c r="F194" s="21" t="s">
        <v>15</v>
      </c>
      <c r="G194" s="21"/>
      <c r="H194" s="16" t="s">
        <v>13</v>
      </c>
      <c r="I194" s="24">
        <v>3558.4</v>
      </c>
      <c r="J194" s="24"/>
      <c r="K194" s="19" t="s">
        <v>8</v>
      </c>
      <c r="L194" s="20">
        <v>287339.37</v>
      </c>
    </row>
    <row r="195" spans="1:12" ht="51" x14ac:dyDescent="0.3">
      <c r="A195" s="14" t="s">
        <v>198</v>
      </c>
      <c r="B195" s="15" t="s">
        <v>199</v>
      </c>
      <c r="C195" s="15" t="s">
        <v>24</v>
      </c>
      <c r="D195" s="15" t="s">
        <v>200</v>
      </c>
      <c r="E195" s="16" t="s">
        <v>26</v>
      </c>
      <c r="F195" s="21" t="s">
        <v>15</v>
      </c>
      <c r="G195" s="21"/>
      <c r="H195" s="16" t="s">
        <v>13</v>
      </c>
      <c r="I195" s="22">
        <v>195</v>
      </c>
      <c r="J195" s="22"/>
      <c r="K195" s="19" t="s">
        <v>8</v>
      </c>
      <c r="L195" s="20">
        <v>287144.37</v>
      </c>
    </row>
    <row r="196" spans="1:12" ht="71.400000000000006" x14ac:dyDescent="0.3">
      <c r="A196" s="14" t="s">
        <v>198</v>
      </c>
      <c r="B196" s="15" t="s">
        <v>199</v>
      </c>
      <c r="C196" s="15" t="s">
        <v>24</v>
      </c>
      <c r="D196" s="15" t="s">
        <v>56</v>
      </c>
      <c r="E196" s="16" t="s">
        <v>26</v>
      </c>
      <c r="F196" s="21" t="s">
        <v>15</v>
      </c>
      <c r="G196" s="21"/>
      <c r="H196" s="16" t="s">
        <v>13</v>
      </c>
      <c r="I196" s="22">
        <v>547.35</v>
      </c>
      <c r="J196" s="22"/>
      <c r="K196" s="19" t="s">
        <v>8</v>
      </c>
      <c r="L196" s="20">
        <v>286597.02</v>
      </c>
    </row>
    <row r="197" spans="1:12" ht="71.400000000000006" x14ac:dyDescent="0.3">
      <c r="A197" s="14" t="s">
        <v>198</v>
      </c>
      <c r="B197" s="15" t="s">
        <v>199</v>
      </c>
      <c r="C197" s="15" t="s">
        <v>24</v>
      </c>
      <c r="D197" s="15" t="s">
        <v>105</v>
      </c>
      <c r="E197" s="16" t="s">
        <v>26</v>
      </c>
      <c r="F197" s="21" t="s">
        <v>15</v>
      </c>
      <c r="G197" s="21"/>
      <c r="H197" s="16" t="s">
        <v>13</v>
      </c>
      <c r="I197" s="22">
        <v>100.95</v>
      </c>
      <c r="J197" s="22"/>
      <c r="K197" s="19" t="s">
        <v>8</v>
      </c>
      <c r="L197" s="20">
        <v>286496.07</v>
      </c>
    </row>
    <row r="198" spans="1:12" ht="71.400000000000006" x14ac:dyDescent="0.3">
      <c r="A198" s="14" t="s">
        <v>198</v>
      </c>
      <c r="B198" s="15" t="s">
        <v>199</v>
      </c>
      <c r="C198" s="15" t="s">
        <v>24</v>
      </c>
      <c r="D198" s="15" t="s">
        <v>167</v>
      </c>
      <c r="E198" s="16" t="s">
        <v>26</v>
      </c>
      <c r="F198" s="21" t="s">
        <v>15</v>
      </c>
      <c r="G198" s="21"/>
      <c r="H198" s="16" t="s">
        <v>13</v>
      </c>
      <c r="I198" s="22">
        <v>511.71</v>
      </c>
      <c r="J198" s="22"/>
      <c r="K198" s="19" t="s">
        <v>8</v>
      </c>
      <c r="L198" s="20">
        <v>285984.36</v>
      </c>
    </row>
    <row r="199" spans="1:12" ht="61.2" x14ac:dyDescent="0.3">
      <c r="A199" s="14" t="s">
        <v>198</v>
      </c>
      <c r="B199" s="15" t="s">
        <v>199</v>
      </c>
      <c r="C199" s="15" t="s">
        <v>24</v>
      </c>
      <c r="D199" s="15" t="s">
        <v>37</v>
      </c>
      <c r="E199" s="16" t="s">
        <v>26</v>
      </c>
      <c r="F199" s="21" t="s">
        <v>15</v>
      </c>
      <c r="G199" s="21"/>
      <c r="H199" s="16" t="s">
        <v>13</v>
      </c>
      <c r="I199" s="22">
        <v>283.39999999999998</v>
      </c>
      <c r="J199" s="22"/>
      <c r="K199" s="19" t="s">
        <v>8</v>
      </c>
      <c r="L199" s="20">
        <v>285700.96000000002</v>
      </c>
    </row>
    <row r="200" spans="1:12" ht="71.400000000000006" x14ac:dyDescent="0.3">
      <c r="A200" s="14" t="s">
        <v>198</v>
      </c>
      <c r="B200" s="15" t="s">
        <v>199</v>
      </c>
      <c r="C200" s="15" t="s">
        <v>24</v>
      </c>
      <c r="D200" s="15" t="s">
        <v>201</v>
      </c>
      <c r="E200" s="16" t="s">
        <v>26</v>
      </c>
      <c r="F200" s="21" t="s">
        <v>15</v>
      </c>
      <c r="G200" s="21"/>
      <c r="H200" s="16" t="s">
        <v>13</v>
      </c>
      <c r="I200" s="22">
        <v>25</v>
      </c>
      <c r="J200" s="22"/>
      <c r="K200" s="19" t="s">
        <v>8</v>
      </c>
      <c r="L200" s="20">
        <v>285675.96000000002</v>
      </c>
    </row>
    <row r="201" spans="1:12" ht="61.2" x14ac:dyDescent="0.3">
      <c r="A201" s="14" t="s">
        <v>198</v>
      </c>
      <c r="B201" s="15" t="s">
        <v>199</v>
      </c>
      <c r="C201" s="15" t="s">
        <v>24</v>
      </c>
      <c r="D201" s="15" t="s">
        <v>202</v>
      </c>
      <c r="E201" s="16" t="s">
        <v>26</v>
      </c>
      <c r="F201" s="21" t="s">
        <v>15</v>
      </c>
      <c r="G201" s="21"/>
      <c r="H201" s="16" t="s">
        <v>13</v>
      </c>
      <c r="I201" s="22">
        <v>270</v>
      </c>
      <c r="J201" s="22"/>
      <c r="K201" s="19" t="s">
        <v>8</v>
      </c>
      <c r="L201" s="20">
        <v>285405.96000000002</v>
      </c>
    </row>
    <row r="202" spans="1:12" ht="61.2" x14ac:dyDescent="0.3">
      <c r="A202" s="14" t="s">
        <v>198</v>
      </c>
      <c r="B202" s="15" t="s">
        <v>199</v>
      </c>
      <c r="C202" s="15" t="s">
        <v>24</v>
      </c>
      <c r="D202" s="15" t="s">
        <v>170</v>
      </c>
      <c r="E202" s="16" t="s">
        <v>26</v>
      </c>
      <c r="F202" s="21" t="s">
        <v>15</v>
      </c>
      <c r="G202" s="21"/>
      <c r="H202" s="16" t="s">
        <v>13</v>
      </c>
      <c r="I202" s="22">
        <v>94.6</v>
      </c>
      <c r="J202" s="22"/>
      <c r="K202" s="19" t="s">
        <v>8</v>
      </c>
      <c r="L202" s="20">
        <v>285311.35999999999</v>
      </c>
    </row>
    <row r="203" spans="1:12" ht="61.2" x14ac:dyDescent="0.3">
      <c r="A203" s="14" t="s">
        <v>198</v>
      </c>
      <c r="B203" s="15" t="s">
        <v>199</v>
      </c>
      <c r="C203" s="15" t="s">
        <v>24</v>
      </c>
      <c r="D203" s="15" t="s">
        <v>203</v>
      </c>
      <c r="E203" s="16" t="s">
        <v>26</v>
      </c>
      <c r="F203" s="21" t="s">
        <v>15</v>
      </c>
      <c r="G203" s="21"/>
      <c r="H203" s="16" t="s">
        <v>13</v>
      </c>
      <c r="I203" s="22">
        <v>379.8</v>
      </c>
      <c r="J203" s="22"/>
      <c r="K203" s="19" t="s">
        <v>8</v>
      </c>
      <c r="L203" s="20">
        <v>284931.56</v>
      </c>
    </row>
    <row r="204" spans="1:12" ht="61.2" x14ac:dyDescent="0.3">
      <c r="A204" s="14" t="s">
        <v>198</v>
      </c>
      <c r="B204" s="15" t="s">
        <v>199</v>
      </c>
      <c r="C204" s="15" t="s">
        <v>24</v>
      </c>
      <c r="D204" s="15" t="s">
        <v>186</v>
      </c>
      <c r="E204" s="16" t="s">
        <v>26</v>
      </c>
      <c r="F204" s="21" t="s">
        <v>15</v>
      </c>
      <c r="G204" s="21"/>
      <c r="H204" s="16" t="s">
        <v>13</v>
      </c>
      <c r="I204" s="22">
        <v>838</v>
      </c>
      <c r="J204" s="22"/>
      <c r="K204" s="19" t="s">
        <v>8</v>
      </c>
      <c r="L204" s="20">
        <v>284093.56</v>
      </c>
    </row>
    <row r="205" spans="1:12" ht="71.400000000000006" x14ac:dyDescent="0.3">
      <c r="A205" s="14" t="s">
        <v>198</v>
      </c>
      <c r="B205" s="15" t="s">
        <v>199</v>
      </c>
      <c r="C205" s="15" t="s">
        <v>24</v>
      </c>
      <c r="D205" s="15" t="s">
        <v>204</v>
      </c>
      <c r="E205" s="16" t="s">
        <v>26</v>
      </c>
      <c r="F205" s="21" t="s">
        <v>15</v>
      </c>
      <c r="G205" s="21"/>
      <c r="H205" s="16" t="s">
        <v>13</v>
      </c>
      <c r="I205" s="22">
        <v>582.29999999999995</v>
      </c>
      <c r="J205" s="22"/>
      <c r="K205" s="19" t="s">
        <v>8</v>
      </c>
      <c r="L205" s="20">
        <v>283511.26</v>
      </c>
    </row>
    <row r="206" spans="1:12" ht="51" x14ac:dyDescent="0.3">
      <c r="A206" s="14" t="s">
        <v>198</v>
      </c>
      <c r="B206" s="15" t="s">
        <v>199</v>
      </c>
      <c r="C206" s="15" t="s">
        <v>24</v>
      </c>
      <c r="D206" s="15" t="s">
        <v>205</v>
      </c>
      <c r="E206" s="16" t="s">
        <v>26</v>
      </c>
      <c r="F206" s="21" t="s">
        <v>15</v>
      </c>
      <c r="G206" s="21"/>
      <c r="H206" s="16" t="s">
        <v>13</v>
      </c>
      <c r="I206" s="22">
        <v>90</v>
      </c>
      <c r="J206" s="22"/>
      <c r="K206" s="19" t="s">
        <v>8</v>
      </c>
      <c r="L206" s="20">
        <v>283421.26</v>
      </c>
    </row>
    <row r="207" spans="1:12" ht="61.2" x14ac:dyDescent="0.3">
      <c r="A207" s="14" t="s">
        <v>198</v>
      </c>
      <c r="B207" s="15" t="s">
        <v>199</v>
      </c>
      <c r="C207" s="15" t="s">
        <v>24</v>
      </c>
      <c r="D207" s="15" t="s">
        <v>206</v>
      </c>
      <c r="E207" s="16" t="s">
        <v>26</v>
      </c>
      <c r="F207" s="21" t="s">
        <v>15</v>
      </c>
      <c r="G207" s="21"/>
      <c r="H207" s="16" t="s">
        <v>13</v>
      </c>
      <c r="I207" s="22">
        <v>518.57000000000005</v>
      </c>
      <c r="J207" s="22"/>
      <c r="K207" s="19" t="s">
        <v>8</v>
      </c>
      <c r="L207" s="20">
        <v>282902.69</v>
      </c>
    </row>
    <row r="208" spans="1:12" ht="61.2" x14ac:dyDescent="0.3">
      <c r="A208" s="14" t="s">
        <v>198</v>
      </c>
      <c r="B208" s="15" t="s">
        <v>199</v>
      </c>
      <c r="C208" s="15" t="s">
        <v>24</v>
      </c>
      <c r="D208" s="15" t="s">
        <v>98</v>
      </c>
      <c r="E208" s="16" t="s">
        <v>26</v>
      </c>
      <c r="F208" s="21" t="s">
        <v>15</v>
      </c>
      <c r="G208" s="21"/>
      <c r="H208" s="16" t="s">
        <v>13</v>
      </c>
      <c r="I208" s="22">
        <v>409.95</v>
      </c>
      <c r="J208" s="22"/>
      <c r="K208" s="19" t="s">
        <v>8</v>
      </c>
      <c r="L208" s="20">
        <v>282492.74</v>
      </c>
    </row>
    <row r="209" spans="1:12" ht="61.2" x14ac:dyDescent="0.3">
      <c r="A209" s="14" t="s">
        <v>198</v>
      </c>
      <c r="B209" s="15" t="s">
        <v>199</v>
      </c>
      <c r="C209" s="15" t="s">
        <v>24</v>
      </c>
      <c r="D209" s="15" t="s">
        <v>207</v>
      </c>
      <c r="E209" s="16" t="s">
        <v>26</v>
      </c>
      <c r="F209" s="21" t="s">
        <v>15</v>
      </c>
      <c r="G209" s="21"/>
      <c r="H209" s="16" t="s">
        <v>13</v>
      </c>
      <c r="I209" s="22">
        <v>564.75</v>
      </c>
      <c r="J209" s="22"/>
      <c r="K209" s="19" t="s">
        <v>8</v>
      </c>
      <c r="L209" s="20">
        <v>281927.99</v>
      </c>
    </row>
    <row r="210" spans="1:12" ht="61.2" x14ac:dyDescent="0.3">
      <c r="A210" s="14" t="s">
        <v>198</v>
      </c>
      <c r="B210" s="15" t="s">
        <v>199</v>
      </c>
      <c r="C210" s="15" t="s">
        <v>24</v>
      </c>
      <c r="D210" s="15" t="s">
        <v>208</v>
      </c>
      <c r="E210" s="16" t="s">
        <v>26</v>
      </c>
      <c r="F210" s="21" t="s">
        <v>15</v>
      </c>
      <c r="G210" s="21"/>
      <c r="H210" s="16" t="s">
        <v>13</v>
      </c>
      <c r="I210" s="22">
        <v>323.63</v>
      </c>
      <c r="J210" s="22"/>
      <c r="K210" s="19" t="s">
        <v>8</v>
      </c>
      <c r="L210" s="20">
        <v>281604.36</v>
      </c>
    </row>
    <row r="211" spans="1:12" ht="61.2" x14ac:dyDescent="0.3">
      <c r="A211" s="14" t="s">
        <v>198</v>
      </c>
      <c r="B211" s="15" t="s">
        <v>199</v>
      </c>
      <c r="C211" s="15" t="s">
        <v>24</v>
      </c>
      <c r="D211" s="15" t="s">
        <v>209</v>
      </c>
      <c r="E211" s="16" t="s">
        <v>26</v>
      </c>
      <c r="F211" s="21" t="s">
        <v>15</v>
      </c>
      <c r="G211" s="21"/>
      <c r="H211" s="16" t="s">
        <v>13</v>
      </c>
      <c r="I211" s="22">
        <v>115.2</v>
      </c>
      <c r="J211" s="22"/>
      <c r="K211" s="19" t="s">
        <v>8</v>
      </c>
      <c r="L211" s="20">
        <v>281489.15999999997</v>
      </c>
    </row>
    <row r="212" spans="1:12" ht="61.2" x14ac:dyDescent="0.3">
      <c r="A212" s="14" t="s">
        <v>198</v>
      </c>
      <c r="B212" s="15" t="s">
        <v>199</v>
      </c>
      <c r="C212" s="15" t="s">
        <v>24</v>
      </c>
      <c r="D212" s="15" t="s">
        <v>210</v>
      </c>
      <c r="E212" s="16" t="s">
        <v>26</v>
      </c>
      <c r="F212" s="21" t="s">
        <v>15</v>
      </c>
      <c r="G212" s="21"/>
      <c r="H212" s="16" t="s">
        <v>13</v>
      </c>
      <c r="I212" s="22">
        <v>587</v>
      </c>
      <c r="J212" s="22"/>
      <c r="K212" s="19" t="s">
        <v>8</v>
      </c>
      <c r="L212" s="20">
        <v>280902.15999999997</v>
      </c>
    </row>
    <row r="213" spans="1:12" ht="71.400000000000006" x14ac:dyDescent="0.3">
      <c r="A213" s="14" t="s">
        <v>198</v>
      </c>
      <c r="B213" s="15" t="s">
        <v>199</v>
      </c>
      <c r="C213" s="15" t="s">
        <v>24</v>
      </c>
      <c r="D213" s="15" t="s">
        <v>211</v>
      </c>
      <c r="E213" s="16" t="s">
        <v>26</v>
      </c>
      <c r="F213" s="21" t="s">
        <v>15</v>
      </c>
      <c r="G213" s="21"/>
      <c r="H213" s="16" t="s">
        <v>13</v>
      </c>
      <c r="I213" s="24">
        <v>5507.5</v>
      </c>
      <c r="J213" s="24"/>
      <c r="K213" s="19" t="s">
        <v>8</v>
      </c>
      <c r="L213" s="20">
        <v>275394.65999999997</v>
      </c>
    </row>
    <row r="214" spans="1:12" ht="61.2" x14ac:dyDescent="0.3">
      <c r="A214" s="14" t="s">
        <v>198</v>
      </c>
      <c r="B214" s="15" t="s">
        <v>199</v>
      </c>
      <c r="C214" s="15" t="s">
        <v>24</v>
      </c>
      <c r="D214" s="15" t="s">
        <v>212</v>
      </c>
      <c r="E214" s="16" t="s">
        <v>26</v>
      </c>
      <c r="F214" s="21" t="s">
        <v>15</v>
      </c>
      <c r="G214" s="21"/>
      <c r="H214" s="16" t="s">
        <v>13</v>
      </c>
      <c r="I214" s="24">
        <v>1487.5</v>
      </c>
      <c r="J214" s="24"/>
      <c r="K214" s="19" t="s">
        <v>8</v>
      </c>
      <c r="L214" s="20">
        <v>273907.15999999997</v>
      </c>
    </row>
    <row r="215" spans="1:12" ht="61.2" x14ac:dyDescent="0.3">
      <c r="A215" s="14" t="s">
        <v>198</v>
      </c>
      <c r="B215" s="15" t="s">
        <v>199</v>
      </c>
      <c r="C215" s="15" t="s">
        <v>24</v>
      </c>
      <c r="D215" s="15" t="s">
        <v>213</v>
      </c>
      <c r="E215" s="16" t="s">
        <v>26</v>
      </c>
      <c r="F215" s="21" t="s">
        <v>15</v>
      </c>
      <c r="G215" s="21"/>
      <c r="H215" s="16" t="s">
        <v>13</v>
      </c>
      <c r="I215" s="24">
        <v>5653.56</v>
      </c>
      <c r="J215" s="24"/>
      <c r="K215" s="19" t="s">
        <v>8</v>
      </c>
      <c r="L215" s="20">
        <v>268253.59999999998</v>
      </c>
    </row>
    <row r="216" spans="1:12" ht="71.400000000000006" x14ac:dyDescent="0.3">
      <c r="A216" s="14" t="s">
        <v>198</v>
      </c>
      <c r="B216" s="15" t="s">
        <v>199</v>
      </c>
      <c r="C216" s="15" t="s">
        <v>24</v>
      </c>
      <c r="D216" s="15" t="s">
        <v>154</v>
      </c>
      <c r="E216" s="16" t="s">
        <v>26</v>
      </c>
      <c r="F216" s="21" t="s">
        <v>15</v>
      </c>
      <c r="G216" s="21"/>
      <c r="H216" s="16" t="s">
        <v>13</v>
      </c>
      <c r="I216" s="22">
        <v>770.4</v>
      </c>
      <c r="J216" s="22"/>
      <c r="K216" s="19" t="s">
        <v>8</v>
      </c>
      <c r="L216" s="20">
        <v>267483.2</v>
      </c>
    </row>
    <row r="217" spans="1:12" ht="61.2" x14ac:dyDescent="0.3">
      <c r="A217" s="14" t="s">
        <v>198</v>
      </c>
      <c r="B217" s="15" t="s">
        <v>199</v>
      </c>
      <c r="C217" s="15" t="s">
        <v>24</v>
      </c>
      <c r="D217" s="15" t="s">
        <v>214</v>
      </c>
      <c r="E217" s="16" t="s">
        <v>26</v>
      </c>
      <c r="F217" s="21" t="s">
        <v>15</v>
      </c>
      <c r="G217" s="21"/>
      <c r="H217" s="16" t="s">
        <v>13</v>
      </c>
      <c r="I217" s="22">
        <v>954.17</v>
      </c>
      <c r="J217" s="22"/>
      <c r="K217" s="19" t="s">
        <v>8</v>
      </c>
      <c r="L217" s="20">
        <v>266529.03000000003</v>
      </c>
    </row>
    <row r="218" spans="1:12" ht="71.400000000000006" x14ac:dyDescent="0.3">
      <c r="A218" s="14" t="s">
        <v>198</v>
      </c>
      <c r="B218" s="15" t="s">
        <v>199</v>
      </c>
      <c r="C218" s="15" t="s">
        <v>24</v>
      </c>
      <c r="D218" s="15" t="s">
        <v>215</v>
      </c>
      <c r="E218" s="16" t="s">
        <v>26</v>
      </c>
      <c r="F218" s="21" t="s">
        <v>15</v>
      </c>
      <c r="G218" s="21"/>
      <c r="H218" s="16" t="s">
        <v>13</v>
      </c>
      <c r="I218" s="22">
        <v>694.3</v>
      </c>
      <c r="J218" s="22"/>
      <c r="K218" s="19" t="s">
        <v>8</v>
      </c>
      <c r="L218" s="20">
        <v>265834.73</v>
      </c>
    </row>
    <row r="219" spans="1:12" ht="81.599999999999994" x14ac:dyDescent="0.3">
      <c r="A219" s="14" t="s">
        <v>198</v>
      </c>
      <c r="B219" s="15" t="s">
        <v>199</v>
      </c>
      <c r="C219" s="15" t="s">
        <v>24</v>
      </c>
      <c r="D219" s="15" t="s">
        <v>150</v>
      </c>
      <c r="E219" s="16" t="s">
        <v>26</v>
      </c>
      <c r="F219" s="21" t="s">
        <v>15</v>
      </c>
      <c r="G219" s="21"/>
      <c r="H219" s="16" t="s">
        <v>13</v>
      </c>
      <c r="I219" s="24">
        <v>1425.1</v>
      </c>
      <c r="J219" s="24"/>
      <c r="K219" s="19" t="s">
        <v>8</v>
      </c>
      <c r="L219" s="20">
        <v>264409.63</v>
      </c>
    </row>
    <row r="220" spans="1:12" ht="71.400000000000006" x14ac:dyDescent="0.3">
      <c r="A220" s="14" t="s">
        <v>198</v>
      </c>
      <c r="B220" s="15" t="s">
        <v>199</v>
      </c>
      <c r="C220" s="15" t="s">
        <v>24</v>
      </c>
      <c r="D220" s="15" t="s">
        <v>216</v>
      </c>
      <c r="E220" s="16" t="s">
        <v>26</v>
      </c>
      <c r="F220" s="21" t="s">
        <v>15</v>
      </c>
      <c r="G220" s="21"/>
      <c r="H220" s="16" t="s">
        <v>13</v>
      </c>
      <c r="I220" s="24">
        <v>2215.8000000000002</v>
      </c>
      <c r="J220" s="24"/>
      <c r="K220" s="19" t="s">
        <v>8</v>
      </c>
      <c r="L220" s="20">
        <v>262193.83</v>
      </c>
    </row>
    <row r="221" spans="1:12" ht="61.2" x14ac:dyDescent="0.3">
      <c r="A221" s="14" t="s">
        <v>198</v>
      </c>
      <c r="B221" s="15" t="s">
        <v>199</v>
      </c>
      <c r="C221" s="15" t="s">
        <v>24</v>
      </c>
      <c r="D221" s="15" t="s">
        <v>48</v>
      </c>
      <c r="E221" s="16" t="s">
        <v>26</v>
      </c>
      <c r="F221" s="21" t="s">
        <v>15</v>
      </c>
      <c r="G221" s="21"/>
      <c r="H221" s="16" t="s">
        <v>13</v>
      </c>
      <c r="I221" s="22">
        <v>238.2</v>
      </c>
      <c r="J221" s="22"/>
      <c r="K221" s="19" t="s">
        <v>8</v>
      </c>
      <c r="L221" s="20">
        <v>261955.63</v>
      </c>
    </row>
    <row r="222" spans="1:12" ht="61.2" x14ac:dyDescent="0.3">
      <c r="A222" s="14" t="s">
        <v>198</v>
      </c>
      <c r="B222" s="15" t="s">
        <v>199</v>
      </c>
      <c r="C222" s="15" t="s">
        <v>24</v>
      </c>
      <c r="D222" s="15" t="s">
        <v>217</v>
      </c>
      <c r="E222" s="16" t="s">
        <v>26</v>
      </c>
      <c r="F222" s="21" t="s">
        <v>15</v>
      </c>
      <c r="G222" s="21"/>
      <c r="H222" s="16" t="s">
        <v>13</v>
      </c>
      <c r="I222" s="22">
        <v>774.4</v>
      </c>
      <c r="J222" s="22"/>
      <c r="K222" s="19" t="s">
        <v>8</v>
      </c>
      <c r="L222" s="20">
        <v>261181.23</v>
      </c>
    </row>
    <row r="223" spans="1:12" ht="61.2" x14ac:dyDescent="0.3">
      <c r="A223" s="14" t="s">
        <v>198</v>
      </c>
      <c r="B223" s="15" t="s">
        <v>199</v>
      </c>
      <c r="C223" s="15" t="s">
        <v>24</v>
      </c>
      <c r="D223" s="15" t="s">
        <v>218</v>
      </c>
      <c r="E223" s="16" t="s">
        <v>26</v>
      </c>
      <c r="F223" s="21" t="s">
        <v>15</v>
      </c>
      <c r="G223" s="21"/>
      <c r="H223" s="16" t="s">
        <v>13</v>
      </c>
      <c r="I223" s="22">
        <v>208.5</v>
      </c>
      <c r="J223" s="22"/>
      <c r="K223" s="19" t="s">
        <v>8</v>
      </c>
      <c r="L223" s="20">
        <v>260972.73</v>
      </c>
    </row>
    <row r="224" spans="1:12" ht="71.400000000000006" x14ac:dyDescent="0.3">
      <c r="A224" s="14" t="s">
        <v>198</v>
      </c>
      <c r="B224" s="15" t="s">
        <v>199</v>
      </c>
      <c r="C224" s="15" t="s">
        <v>24</v>
      </c>
      <c r="D224" s="15" t="s">
        <v>219</v>
      </c>
      <c r="E224" s="16" t="s">
        <v>26</v>
      </c>
      <c r="F224" s="21" t="s">
        <v>15</v>
      </c>
      <c r="G224" s="21"/>
      <c r="H224" s="16" t="s">
        <v>13</v>
      </c>
      <c r="I224" s="22">
        <v>333</v>
      </c>
      <c r="J224" s="22"/>
      <c r="K224" s="19" t="s">
        <v>8</v>
      </c>
      <c r="L224" s="20">
        <v>260639.73</v>
      </c>
    </row>
    <row r="225" spans="1:12" ht="61.2" x14ac:dyDescent="0.3">
      <c r="A225" s="14" t="s">
        <v>198</v>
      </c>
      <c r="B225" s="15" t="s">
        <v>199</v>
      </c>
      <c r="C225" s="15" t="s">
        <v>24</v>
      </c>
      <c r="D225" s="15" t="s">
        <v>220</v>
      </c>
      <c r="E225" s="16" t="s">
        <v>26</v>
      </c>
      <c r="F225" s="21" t="s">
        <v>15</v>
      </c>
      <c r="G225" s="21"/>
      <c r="H225" s="16" t="s">
        <v>13</v>
      </c>
      <c r="I225" s="22">
        <v>641.9</v>
      </c>
      <c r="J225" s="22"/>
      <c r="K225" s="19" t="s">
        <v>8</v>
      </c>
      <c r="L225" s="20">
        <v>259997.83</v>
      </c>
    </row>
    <row r="226" spans="1:12" ht="61.2" x14ac:dyDescent="0.3">
      <c r="A226" s="14" t="s">
        <v>198</v>
      </c>
      <c r="B226" s="15" t="s">
        <v>199</v>
      </c>
      <c r="C226" s="15" t="s">
        <v>24</v>
      </c>
      <c r="D226" s="15" t="s">
        <v>221</v>
      </c>
      <c r="E226" s="16" t="s">
        <v>26</v>
      </c>
      <c r="F226" s="21" t="s">
        <v>15</v>
      </c>
      <c r="G226" s="21"/>
      <c r="H226" s="16" t="s">
        <v>13</v>
      </c>
      <c r="I226" s="22">
        <v>109</v>
      </c>
      <c r="J226" s="22"/>
      <c r="K226" s="19" t="s">
        <v>8</v>
      </c>
      <c r="L226" s="20">
        <v>259888.83</v>
      </c>
    </row>
    <row r="227" spans="1:12" ht="61.2" x14ac:dyDescent="0.3">
      <c r="A227" s="14" t="s">
        <v>198</v>
      </c>
      <c r="B227" s="15" t="s">
        <v>199</v>
      </c>
      <c r="C227" s="15" t="s">
        <v>24</v>
      </c>
      <c r="D227" s="15" t="s">
        <v>152</v>
      </c>
      <c r="E227" s="16" t="s">
        <v>26</v>
      </c>
      <c r="F227" s="21" t="s">
        <v>15</v>
      </c>
      <c r="G227" s="21"/>
      <c r="H227" s="16" t="s">
        <v>13</v>
      </c>
      <c r="I227" s="22">
        <v>780.5</v>
      </c>
      <c r="J227" s="22"/>
      <c r="K227" s="19" t="s">
        <v>8</v>
      </c>
      <c r="L227" s="20">
        <v>259108.33</v>
      </c>
    </row>
    <row r="228" spans="1:12" ht="71.400000000000006" x14ac:dyDescent="0.3">
      <c r="A228" s="14" t="s">
        <v>198</v>
      </c>
      <c r="B228" s="15" t="s">
        <v>199</v>
      </c>
      <c r="C228" s="15" t="s">
        <v>24</v>
      </c>
      <c r="D228" s="15" t="s">
        <v>222</v>
      </c>
      <c r="E228" s="16" t="s">
        <v>26</v>
      </c>
      <c r="F228" s="21" t="s">
        <v>15</v>
      </c>
      <c r="G228" s="21"/>
      <c r="H228" s="16" t="s">
        <v>13</v>
      </c>
      <c r="I228" s="24">
        <v>1877.84</v>
      </c>
      <c r="J228" s="24"/>
      <c r="K228" s="19" t="s">
        <v>8</v>
      </c>
      <c r="L228" s="20">
        <v>257230.49</v>
      </c>
    </row>
    <row r="229" spans="1:12" ht="71.400000000000006" x14ac:dyDescent="0.3">
      <c r="A229" s="14" t="s">
        <v>198</v>
      </c>
      <c r="B229" s="15" t="s">
        <v>199</v>
      </c>
      <c r="C229" s="15" t="s">
        <v>24</v>
      </c>
      <c r="D229" s="15" t="s">
        <v>196</v>
      </c>
      <c r="E229" s="16" t="s">
        <v>26</v>
      </c>
      <c r="F229" s="21" t="s">
        <v>15</v>
      </c>
      <c r="G229" s="21"/>
      <c r="H229" s="16" t="s">
        <v>13</v>
      </c>
      <c r="I229" s="22">
        <v>524.70000000000005</v>
      </c>
      <c r="J229" s="22"/>
      <c r="K229" s="19" t="s">
        <v>8</v>
      </c>
      <c r="L229" s="20">
        <v>256705.79</v>
      </c>
    </row>
    <row r="230" spans="1:12" ht="71.400000000000006" x14ac:dyDescent="0.3">
      <c r="A230" s="14" t="s">
        <v>198</v>
      </c>
      <c r="B230" s="15" t="s">
        <v>199</v>
      </c>
      <c r="C230" s="15" t="s">
        <v>24</v>
      </c>
      <c r="D230" s="15" t="s">
        <v>223</v>
      </c>
      <c r="E230" s="16" t="s">
        <v>26</v>
      </c>
      <c r="F230" s="21" t="s">
        <v>15</v>
      </c>
      <c r="G230" s="21"/>
      <c r="H230" s="16" t="s">
        <v>13</v>
      </c>
      <c r="I230" s="22">
        <v>36.08</v>
      </c>
      <c r="J230" s="22"/>
      <c r="K230" s="19" t="s">
        <v>8</v>
      </c>
      <c r="L230" s="20">
        <v>256669.71</v>
      </c>
    </row>
    <row r="231" spans="1:12" ht="61.2" x14ac:dyDescent="0.3">
      <c r="A231" s="14" t="s">
        <v>198</v>
      </c>
      <c r="B231" s="15" t="s">
        <v>224</v>
      </c>
      <c r="C231" s="15" t="s">
        <v>24</v>
      </c>
      <c r="D231" s="15" t="s">
        <v>225</v>
      </c>
      <c r="E231" s="16" t="s">
        <v>26</v>
      </c>
      <c r="F231" s="21" t="s">
        <v>15</v>
      </c>
      <c r="G231" s="21"/>
      <c r="H231" s="16" t="s">
        <v>13</v>
      </c>
      <c r="I231" s="22">
        <v>279.55</v>
      </c>
      <c r="J231" s="22"/>
      <c r="K231" s="19" t="s">
        <v>8</v>
      </c>
      <c r="L231" s="20">
        <v>256390.16</v>
      </c>
    </row>
    <row r="232" spans="1:12" ht="61.2" x14ac:dyDescent="0.3">
      <c r="A232" s="14" t="s">
        <v>198</v>
      </c>
      <c r="B232" s="15" t="s">
        <v>224</v>
      </c>
      <c r="C232" s="15" t="s">
        <v>24</v>
      </c>
      <c r="D232" s="15" t="s">
        <v>226</v>
      </c>
      <c r="E232" s="16" t="s">
        <v>26</v>
      </c>
      <c r="F232" s="21" t="s">
        <v>15</v>
      </c>
      <c r="G232" s="21"/>
      <c r="H232" s="16" t="s">
        <v>13</v>
      </c>
      <c r="I232" s="24">
        <v>1912.5</v>
      </c>
      <c r="J232" s="24"/>
      <c r="K232" s="19" t="s">
        <v>8</v>
      </c>
      <c r="L232" s="20">
        <v>254477.66</v>
      </c>
    </row>
    <row r="233" spans="1:12" ht="61.2" x14ac:dyDescent="0.3">
      <c r="A233" s="14" t="s">
        <v>198</v>
      </c>
      <c r="B233" s="15" t="s">
        <v>227</v>
      </c>
      <c r="C233" s="15" t="s">
        <v>24</v>
      </c>
      <c r="D233" s="15" t="s">
        <v>228</v>
      </c>
      <c r="E233" s="16" t="s">
        <v>26</v>
      </c>
      <c r="F233" s="21" t="s">
        <v>15</v>
      </c>
      <c r="G233" s="21"/>
      <c r="H233" s="16" t="s">
        <v>13</v>
      </c>
      <c r="I233" s="24">
        <v>1296</v>
      </c>
      <c r="J233" s="24"/>
      <c r="K233" s="19" t="s">
        <v>8</v>
      </c>
      <c r="L233" s="20">
        <v>253181.66</v>
      </c>
    </row>
    <row r="234" spans="1:12" ht="61.2" x14ac:dyDescent="0.3">
      <c r="A234" s="14" t="s">
        <v>198</v>
      </c>
      <c r="B234" s="15" t="s">
        <v>227</v>
      </c>
      <c r="C234" s="15" t="s">
        <v>24</v>
      </c>
      <c r="D234" s="15" t="s">
        <v>229</v>
      </c>
      <c r="E234" s="16" t="s">
        <v>26</v>
      </c>
      <c r="F234" s="21" t="s">
        <v>15</v>
      </c>
      <c r="G234" s="21"/>
      <c r="H234" s="16" t="s">
        <v>13</v>
      </c>
      <c r="I234" s="22">
        <v>305.10000000000002</v>
      </c>
      <c r="J234" s="22"/>
      <c r="K234" s="19" t="s">
        <v>8</v>
      </c>
      <c r="L234" s="20">
        <v>252876.56</v>
      </c>
    </row>
    <row r="235" spans="1:12" ht="61.2" x14ac:dyDescent="0.3">
      <c r="A235" s="14" t="s">
        <v>198</v>
      </c>
      <c r="B235" s="15" t="s">
        <v>230</v>
      </c>
      <c r="C235" s="15" t="s">
        <v>24</v>
      </c>
      <c r="D235" s="15" t="s">
        <v>36</v>
      </c>
      <c r="E235" s="16" t="s">
        <v>26</v>
      </c>
      <c r="F235" s="21" t="s">
        <v>15</v>
      </c>
      <c r="G235" s="21"/>
      <c r="H235" s="16" t="s">
        <v>13</v>
      </c>
      <c r="I235" s="22">
        <v>376.25</v>
      </c>
      <c r="J235" s="22"/>
      <c r="K235" s="19" t="s">
        <v>8</v>
      </c>
      <c r="L235" s="20">
        <v>252500.31</v>
      </c>
    </row>
    <row r="236" spans="1:12" ht="61.2" x14ac:dyDescent="0.3">
      <c r="A236" s="14" t="s">
        <v>198</v>
      </c>
      <c r="B236" s="15" t="s">
        <v>231</v>
      </c>
      <c r="C236" s="15" t="s">
        <v>24</v>
      </c>
      <c r="D236" s="15" t="s">
        <v>41</v>
      </c>
      <c r="E236" s="16" t="s">
        <v>26</v>
      </c>
      <c r="F236" s="21" t="s">
        <v>15</v>
      </c>
      <c r="G236" s="21"/>
      <c r="H236" s="16" t="s">
        <v>13</v>
      </c>
      <c r="I236" s="22">
        <v>404</v>
      </c>
      <c r="J236" s="22"/>
      <c r="K236" s="19" t="s">
        <v>8</v>
      </c>
      <c r="L236" s="20">
        <v>252096.31</v>
      </c>
    </row>
    <row r="237" spans="1:12" ht="71.400000000000006" x14ac:dyDescent="0.3">
      <c r="A237" s="14" t="s">
        <v>198</v>
      </c>
      <c r="B237" s="15" t="s">
        <v>232</v>
      </c>
      <c r="C237" s="15" t="s">
        <v>24</v>
      </c>
      <c r="D237" s="15" t="s">
        <v>33</v>
      </c>
      <c r="E237" s="16" t="s">
        <v>26</v>
      </c>
      <c r="F237" s="21" t="s">
        <v>15</v>
      </c>
      <c r="G237" s="21"/>
      <c r="H237" s="16" t="s">
        <v>13</v>
      </c>
      <c r="I237" s="24">
        <v>6696</v>
      </c>
      <c r="J237" s="24"/>
      <c r="K237" s="19" t="s">
        <v>8</v>
      </c>
      <c r="L237" s="20">
        <v>245400.31</v>
      </c>
    </row>
    <row r="238" spans="1:12" ht="71.400000000000006" x14ac:dyDescent="0.3">
      <c r="A238" s="14" t="s">
        <v>198</v>
      </c>
      <c r="B238" s="15" t="s">
        <v>232</v>
      </c>
      <c r="C238" s="15" t="s">
        <v>24</v>
      </c>
      <c r="D238" s="15" t="s">
        <v>47</v>
      </c>
      <c r="E238" s="16" t="s">
        <v>26</v>
      </c>
      <c r="F238" s="21" t="s">
        <v>15</v>
      </c>
      <c r="G238" s="21"/>
      <c r="H238" s="16" t="s">
        <v>13</v>
      </c>
      <c r="I238" s="22">
        <v>800</v>
      </c>
      <c r="J238" s="22"/>
      <c r="K238" s="19" t="s">
        <v>8</v>
      </c>
      <c r="L238" s="20">
        <v>244600.31</v>
      </c>
    </row>
    <row r="239" spans="1:12" ht="61.2" x14ac:dyDescent="0.3">
      <c r="A239" s="14" t="s">
        <v>198</v>
      </c>
      <c r="B239" s="15" t="s">
        <v>232</v>
      </c>
      <c r="C239" s="15" t="s">
        <v>24</v>
      </c>
      <c r="D239" s="15" t="s">
        <v>188</v>
      </c>
      <c r="E239" s="16" t="s">
        <v>26</v>
      </c>
      <c r="F239" s="21" t="s">
        <v>15</v>
      </c>
      <c r="G239" s="21"/>
      <c r="H239" s="16" t="s">
        <v>13</v>
      </c>
      <c r="I239" s="22">
        <v>277.60000000000002</v>
      </c>
      <c r="J239" s="22"/>
      <c r="K239" s="19" t="s">
        <v>8</v>
      </c>
      <c r="L239" s="20">
        <v>244322.71</v>
      </c>
    </row>
    <row r="240" spans="1:12" ht="61.2" x14ac:dyDescent="0.3">
      <c r="A240" s="14" t="s">
        <v>198</v>
      </c>
      <c r="B240" s="15" t="s">
        <v>232</v>
      </c>
      <c r="C240" s="15" t="s">
        <v>24</v>
      </c>
      <c r="D240" s="15" t="s">
        <v>42</v>
      </c>
      <c r="E240" s="16" t="s">
        <v>26</v>
      </c>
      <c r="F240" s="21" t="s">
        <v>15</v>
      </c>
      <c r="G240" s="21"/>
      <c r="H240" s="16" t="s">
        <v>13</v>
      </c>
      <c r="I240" s="24">
        <v>1333.5</v>
      </c>
      <c r="J240" s="24"/>
      <c r="K240" s="19" t="s">
        <v>8</v>
      </c>
      <c r="L240" s="20">
        <v>242989.21</v>
      </c>
    </row>
    <row r="241" spans="1:12" ht="71.400000000000006" x14ac:dyDescent="0.3">
      <c r="A241" s="14" t="s">
        <v>198</v>
      </c>
      <c r="B241" s="15" t="s">
        <v>232</v>
      </c>
      <c r="C241" s="15" t="s">
        <v>24</v>
      </c>
      <c r="D241" s="15" t="s">
        <v>233</v>
      </c>
      <c r="E241" s="16" t="s">
        <v>26</v>
      </c>
      <c r="F241" s="21" t="s">
        <v>15</v>
      </c>
      <c r="G241" s="21"/>
      <c r="H241" s="16" t="s">
        <v>13</v>
      </c>
      <c r="I241" s="24">
        <v>2583.35</v>
      </c>
      <c r="J241" s="24"/>
      <c r="K241" s="19" t="s">
        <v>8</v>
      </c>
      <c r="L241" s="20">
        <v>240405.86</v>
      </c>
    </row>
    <row r="242" spans="1:12" ht="61.2" x14ac:dyDescent="0.3">
      <c r="A242" s="14" t="s">
        <v>198</v>
      </c>
      <c r="B242" s="15" t="s">
        <v>232</v>
      </c>
      <c r="C242" s="15" t="s">
        <v>24</v>
      </c>
      <c r="D242" s="15" t="s">
        <v>194</v>
      </c>
      <c r="E242" s="16" t="s">
        <v>26</v>
      </c>
      <c r="F242" s="21" t="s">
        <v>15</v>
      </c>
      <c r="G242" s="21"/>
      <c r="H242" s="16" t="s">
        <v>13</v>
      </c>
      <c r="I242" s="24">
        <v>1087.5999999999999</v>
      </c>
      <c r="J242" s="24"/>
      <c r="K242" s="19" t="s">
        <v>8</v>
      </c>
      <c r="L242" s="20">
        <v>239318.26</v>
      </c>
    </row>
    <row r="243" spans="1:12" ht="61.2" x14ac:dyDescent="0.3">
      <c r="A243" s="14" t="s">
        <v>198</v>
      </c>
      <c r="B243" s="15" t="s">
        <v>232</v>
      </c>
      <c r="C243" s="15" t="s">
        <v>24</v>
      </c>
      <c r="D243" s="15" t="s">
        <v>234</v>
      </c>
      <c r="E243" s="16" t="s">
        <v>26</v>
      </c>
      <c r="F243" s="21" t="s">
        <v>15</v>
      </c>
      <c r="G243" s="21"/>
      <c r="H243" s="16" t="s">
        <v>13</v>
      </c>
      <c r="I243" s="24">
        <v>2297.5</v>
      </c>
      <c r="J243" s="24"/>
      <c r="K243" s="19" t="s">
        <v>8</v>
      </c>
      <c r="L243" s="20">
        <v>237020.76</v>
      </c>
    </row>
    <row r="244" spans="1:12" ht="61.2" x14ac:dyDescent="0.3">
      <c r="A244" s="14" t="s">
        <v>198</v>
      </c>
      <c r="B244" s="15" t="s">
        <v>232</v>
      </c>
      <c r="C244" s="15" t="s">
        <v>24</v>
      </c>
      <c r="D244" s="15" t="s">
        <v>57</v>
      </c>
      <c r="E244" s="16" t="s">
        <v>26</v>
      </c>
      <c r="F244" s="21" t="s">
        <v>15</v>
      </c>
      <c r="G244" s="21"/>
      <c r="H244" s="16" t="s">
        <v>13</v>
      </c>
      <c r="I244" s="22">
        <v>547.35</v>
      </c>
      <c r="J244" s="22"/>
      <c r="K244" s="19" t="s">
        <v>8</v>
      </c>
      <c r="L244" s="20">
        <v>236473.41</v>
      </c>
    </row>
    <row r="245" spans="1:12" ht="61.2" x14ac:dyDescent="0.3">
      <c r="A245" s="14" t="s">
        <v>198</v>
      </c>
      <c r="B245" s="15" t="s">
        <v>232</v>
      </c>
      <c r="C245" s="15" t="s">
        <v>24</v>
      </c>
      <c r="D245" s="15" t="s">
        <v>235</v>
      </c>
      <c r="E245" s="16" t="s">
        <v>26</v>
      </c>
      <c r="F245" s="21" t="s">
        <v>15</v>
      </c>
      <c r="G245" s="21"/>
      <c r="H245" s="16" t="s">
        <v>13</v>
      </c>
      <c r="I245" s="24">
        <v>8191.95</v>
      </c>
      <c r="J245" s="24"/>
      <c r="K245" s="19" t="s">
        <v>8</v>
      </c>
      <c r="L245" s="20">
        <v>228281.46</v>
      </c>
    </row>
    <row r="246" spans="1:12" ht="71.400000000000006" x14ac:dyDescent="0.3">
      <c r="A246" s="14" t="s">
        <v>198</v>
      </c>
      <c r="B246" s="15" t="s">
        <v>232</v>
      </c>
      <c r="C246" s="15" t="s">
        <v>24</v>
      </c>
      <c r="D246" s="15" t="s">
        <v>185</v>
      </c>
      <c r="E246" s="16" t="s">
        <v>26</v>
      </c>
      <c r="F246" s="21" t="s">
        <v>15</v>
      </c>
      <c r="G246" s="21"/>
      <c r="H246" s="16" t="s">
        <v>13</v>
      </c>
      <c r="I246" s="22">
        <v>223.2</v>
      </c>
      <c r="J246" s="22"/>
      <c r="K246" s="19" t="s">
        <v>8</v>
      </c>
      <c r="L246" s="20">
        <v>228058.26</v>
      </c>
    </row>
    <row r="247" spans="1:12" x14ac:dyDescent="0.3">
      <c r="A247" s="25" t="s">
        <v>236</v>
      </c>
      <c r="B247" s="25"/>
      <c r="C247" s="25"/>
      <c r="D247" s="25"/>
      <c r="E247" s="26">
        <v>100599.85</v>
      </c>
      <c r="F247" s="26"/>
      <c r="G247" s="26"/>
      <c r="H247" s="26">
        <v>248299.13</v>
      </c>
      <c r="I247" s="26"/>
      <c r="J247" s="26"/>
      <c r="K247" s="27" t="s">
        <v>8</v>
      </c>
      <c r="L247" s="28">
        <v>228058.26</v>
      </c>
    </row>
    <row r="249" spans="1:12" x14ac:dyDescent="0.3">
      <c r="J249" s="29">
        <f>SUBTOTAL(9,I11:J246)</f>
        <v>248299.12999999998</v>
      </c>
    </row>
    <row r="250" spans="1:12" x14ac:dyDescent="0.3">
      <c r="J250" s="29">
        <f>J249*1.2</f>
        <v>297958.95599999995</v>
      </c>
    </row>
  </sheetData>
  <autoFilter ref="B1:D247" xr:uid="{E44922FE-C440-4474-8B4C-553F4B12AEF4}">
    <filterColumn colId="0">
      <filters blank="1">
        <filter val="Передача малоцінних активів в експлуатацію ІБ00-000610 від 05.12.2025 00:00:00_x000a_Списание стоимости малоценных активов"/>
        <filter val="Передача малоцінних активів в експлуатацію ІБ00-000652 від 20.12.2025 18:18:52_x000a_Списание стоимости малоценных активов"/>
        <filter val="Передача малоцінних активів в експлуатацію ІБ00-000653 від 20.12.2025 18:18:57_x000a_Списание стоимости малоценных активов"/>
        <filter val="Передача малоцінних активів в експлуатацію ІБ00-000668 від 22.12.2025 17:34:36_x000a_Списание стоимости малоценных активов"/>
        <filter val="Передача малоцінних активів в експлуатацію ІБ00-000669 від 22.12.2025 17:34:39_x000a_Списание стоимости малоценных активов"/>
        <filter val="Передача малоцінних активів в експлуатацію ІБ00-000670 від 22.12.2025 17:34:42_x000a_Списание стоимости малоценных активов"/>
        <filter val="Передача малоцінних активів в експлуатацію ІБ00-000671 від 22.12.2025 17:34:46_x000a_Списание стоимости малоценных активов"/>
        <filter val="Передача малоцінних активів в експлуатацію ІБ00-000674 від 22.12.2025 22:34:52_x000a_Списание стоимости малоценных активов"/>
        <filter val="Передача малоцінних активів в експлуатацію ІБ00-000680 від 29.12.2025 18:37:55_x000a_Списание стоимости малоценных активов"/>
        <filter val="Передача малоцінних активів в експлуатацію ІБ00-000681 від 29.12.2025 18:37:57_x000a_Списание стоимости малоценных активов"/>
        <filter val="Передача малоцінних активів в експлуатацію ІБ00-000682 від 29.12.2025 18:37:59_x000a_Списание стоимости малоценных активов"/>
        <filter val="Передача малоцінних активів в експлуатацію ІБ00-000683 від 29.12.2025 18:38:02_x000a_Списание стоимости малоценных активов"/>
        <filter val="Передача малоцінних активів в експлуатацію ІБ00-000684 від 29.12.2025 18:39:00_x000a_Списание стоимости малоценных активов"/>
        <filter val="Передача малоцінних активів в експлуатацію ІБ00-000685 від 29.12.2025 18:39:03_x000a_Списание стоимости малоценных активов"/>
        <filter val="Передача малоцінних активів в експлуатацію ІБ00-000686 від 29.12.2025 18:39:07_x000a_Списание стоимости малоценных активов"/>
        <filter val="Передача малоцінних активів в експлуатацію ІБ00-000687 від 29.12.2025 18:39:08_x000a_Списание стоимости малоценных активов"/>
        <filter val="Передача малоцінних активів в експлуатацію ІБ00-000688 від 29.12.2025 22:38:07_x000a_Списание стоимости малоценных активов"/>
        <filter val="Передача малоцінних активів в експлуатацію ІБ00-000689 від 29.12.2025 22:38:09_x000a_Списание стоимости малоценных активов"/>
        <filter val="Передача малоцінних активів в експлуатацію ІБ00-000690 від 29.12.2025 22:38:12_x000a_Списание стоимости малоценных активов"/>
        <filter val="Передача малоцінних активів в експлуатацію ІБ00-000702 від 29.12.2025 22:38:18_x000a_Списание стоимости малоценных активов"/>
        <filter val="Передача малоцінних активів в експлуатацію ІБ00-000703 від 29.12.2025 22:38:20_x000a_Списание стоимости малоценных активов"/>
        <filter val="Передача малоцінних активів в експлуатацію ІБ00-000704 від 29.12.2025 22:40:01_x000a_Списание стоимости малоценных активов"/>
        <filter val="Передача малоцінних активів в експлуатацію ІБ00-000707 від 30.12.2025 23:00:21_x000a_Списание стоимости малоценных активов"/>
        <filter val="Передача малоцінних активів в експлуатацію ІБ00-000708 від 30.12.2025 23:00:24_x000a_Списание стоимости малоценных активов"/>
        <filter val="Передача малоцінних активів в експлуатацію ІБ00-000709 від 30.12.2025 23:00:29_x000a_Списание стоимости малоценных активов"/>
        <filter val="Передача малоцінних активів в експлуатацію ІБ00-000727 від 30.12.2025 23:00:45_x000a_Списание стоимости малоценных активов"/>
        <filter val="Передача малоцінних активів в експлуатацію ІБ00-000728 від 30.12.2025 20:00:00_x000a_Списание стоимости малоценных активов"/>
        <filter val="Передача малоцінних активів в експлуатацію ІБ00-000731 від 30.12.2025 23:40:00_x000a_Списание стоимости малоценных активов"/>
      </filters>
    </filterColumn>
  </autoFilter>
  <mergeCells count="500">
    <mergeCell ref="A247:D247"/>
    <mergeCell ref="E247:G247"/>
    <mergeCell ref="H247:J247"/>
    <mergeCell ref="F244:G244"/>
    <mergeCell ref="I244:J244"/>
    <mergeCell ref="F245:G245"/>
    <mergeCell ref="I245:J245"/>
    <mergeCell ref="F246:G246"/>
    <mergeCell ref="I246:J246"/>
    <mergeCell ref="F241:G241"/>
    <mergeCell ref="I241:J241"/>
    <mergeCell ref="F242:G242"/>
    <mergeCell ref="I242:J242"/>
    <mergeCell ref="F243:G243"/>
    <mergeCell ref="I243:J243"/>
    <mergeCell ref="F238:G238"/>
    <mergeCell ref="I238:J238"/>
    <mergeCell ref="F239:G239"/>
    <mergeCell ref="I239:J239"/>
    <mergeCell ref="F240:G240"/>
    <mergeCell ref="I240:J240"/>
    <mergeCell ref="F235:G235"/>
    <mergeCell ref="I235:J235"/>
    <mergeCell ref="F236:G236"/>
    <mergeCell ref="I236:J236"/>
    <mergeCell ref="F237:G237"/>
    <mergeCell ref="I237:J237"/>
    <mergeCell ref="F232:G232"/>
    <mergeCell ref="I232:J232"/>
    <mergeCell ref="F233:G233"/>
    <mergeCell ref="I233:J233"/>
    <mergeCell ref="F234:G234"/>
    <mergeCell ref="I234:J234"/>
    <mergeCell ref="F229:G229"/>
    <mergeCell ref="I229:J229"/>
    <mergeCell ref="F230:G230"/>
    <mergeCell ref="I230:J230"/>
    <mergeCell ref="F231:G231"/>
    <mergeCell ref="I231:J231"/>
    <mergeCell ref="F226:G226"/>
    <mergeCell ref="I226:J226"/>
    <mergeCell ref="F227:G227"/>
    <mergeCell ref="I227:J227"/>
    <mergeCell ref="F228:G228"/>
    <mergeCell ref="I228:J228"/>
    <mergeCell ref="F223:G223"/>
    <mergeCell ref="I223:J223"/>
    <mergeCell ref="F224:G224"/>
    <mergeCell ref="I224:J224"/>
    <mergeCell ref="F225:G225"/>
    <mergeCell ref="I225:J225"/>
    <mergeCell ref="F220:G220"/>
    <mergeCell ref="I220:J220"/>
    <mergeCell ref="F221:G221"/>
    <mergeCell ref="I221:J221"/>
    <mergeCell ref="F222:G222"/>
    <mergeCell ref="I222:J222"/>
    <mergeCell ref="F217:G217"/>
    <mergeCell ref="I217:J217"/>
    <mergeCell ref="F218:G218"/>
    <mergeCell ref="I218:J218"/>
    <mergeCell ref="F219:G219"/>
    <mergeCell ref="I219:J219"/>
    <mergeCell ref="F214:G214"/>
    <mergeCell ref="I214:J214"/>
    <mergeCell ref="F215:G215"/>
    <mergeCell ref="I215:J215"/>
    <mergeCell ref="F216:G216"/>
    <mergeCell ref="I216:J216"/>
    <mergeCell ref="F211:G211"/>
    <mergeCell ref="I211:J211"/>
    <mergeCell ref="F212:G212"/>
    <mergeCell ref="I212:J212"/>
    <mergeCell ref="F213:G213"/>
    <mergeCell ref="I213:J213"/>
    <mergeCell ref="F208:G208"/>
    <mergeCell ref="I208:J208"/>
    <mergeCell ref="F209:G209"/>
    <mergeCell ref="I209:J209"/>
    <mergeCell ref="F210:G210"/>
    <mergeCell ref="I210:J210"/>
    <mergeCell ref="F205:G205"/>
    <mergeCell ref="I205:J205"/>
    <mergeCell ref="F206:G206"/>
    <mergeCell ref="I206:J206"/>
    <mergeCell ref="F207:G207"/>
    <mergeCell ref="I207:J207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86EF-4CD0-4C95-A3A1-80E83137AE04}">
  <dimension ref="B2:C4"/>
  <sheetViews>
    <sheetView workbookViewId="0">
      <selection activeCell="E7" sqref="E7"/>
    </sheetView>
  </sheetViews>
  <sheetFormatPr defaultRowHeight="14.4" x14ac:dyDescent="0.3"/>
  <sheetData>
    <row r="2" spans="2:3" x14ac:dyDescent="0.3">
      <c r="B2" t="s">
        <v>237</v>
      </c>
    </row>
    <row r="4" spans="2:3" x14ac:dyDescent="0.3">
      <c r="B4" s="30">
        <v>9613.9500000000007</v>
      </c>
      <c r="C4" s="29">
        <f>B4*1.2</f>
        <v>11536.74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46F1B-79D6-42EF-B627-C58FA7FE44C2}">
  <sheetPr filterMode="1"/>
  <dimension ref="A1:L232"/>
  <sheetViews>
    <sheetView topLeftCell="A221" workbookViewId="0">
      <selection activeCell="J231" sqref="J231"/>
    </sheetView>
  </sheetViews>
  <sheetFormatPr defaultRowHeight="14.4" x14ac:dyDescent="0.3"/>
  <cols>
    <col min="2" max="4" width="26.6640625" customWidth="1"/>
    <col min="10" max="10" width="9.88671875" bestFit="1" customWidth="1"/>
  </cols>
  <sheetData>
    <row r="1" spans="1:12" x14ac:dyDescent="0.3">
      <c r="A1" s="31" t="s">
        <v>0</v>
      </c>
      <c r="B1" s="32" t="s">
        <v>1</v>
      </c>
      <c r="C1" s="32" t="s">
        <v>2</v>
      </c>
      <c r="D1" s="33" t="s">
        <v>3</v>
      </c>
      <c r="E1" s="34" t="s">
        <v>4</v>
      </c>
      <c r="F1" s="34"/>
      <c r="G1" s="34"/>
      <c r="H1" s="35" t="s">
        <v>5</v>
      </c>
      <c r="I1" s="35"/>
      <c r="J1" s="35"/>
      <c r="K1" s="32" t="s">
        <v>6</v>
      </c>
      <c r="L1" s="32"/>
    </row>
    <row r="2" spans="1:12" hidden="1" x14ac:dyDescent="0.3">
      <c r="A2" s="36"/>
      <c r="B2" s="37"/>
      <c r="C2" s="37"/>
      <c r="D2" s="38"/>
      <c r="E2" s="39" t="s">
        <v>7</v>
      </c>
      <c r="F2" s="40"/>
      <c r="G2" s="40"/>
      <c r="H2" s="41" t="s">
        <v>7</v>
      </c>
      <c r="I2" s="42"/>
      <c r="J2" s="42"/>
      <c r="K2" s="36"/>
      <c r="L2" s="43"/>
    </row>
    <row r="3" spans="1:12" ht="61.2" hidden="1" x14ac:dyDescent="0.3">
      <c r="A3" s="44" t="s">
        <v>238</v>
      </c>
      <c r="B3" s="45" t="s">
        <v>239</v>
      </c>
      <c r="C3" s="45" t="s">
        <v>240</v>
      </c>
      <c r="D3" s="45" t="s">
        <v>241</v>
      </c>
      <c r="E3" s="46" t="s">
        <v>13</v>
      </c>
      <c r="F3" s="47">
        <v>826.68</v>
      </c>
      <c r="G3" s="47"/>
      <c r="H3" s="46" t="s">
        <v>35</v>
      </c>
      <c r="I3" s="48" t="s">
        <v>15</v>
      </c>
      <c r="J3" s="48"/>
      <c r="K3" s="49" t="s">
        <v>8</v>
      </c>
      <c r="L3" s="50">
        <v>214874.02</v>
      </c>
    </row>
    <row r="4" spans="1:12" ht="61.2" hidden="1" x14ac:dyDescent="0.3">
      <c r="A4" s="44" t="s">
        <v>238</v>
      </c>
      <c r="B4" s="45" t="s">
        <v>239</v>
      </c>
      <c r="C4" s="45" t="s">
        <v>242</v>
      </c>
      <c r="D4" s="45" t="s">
        <v>241</v>
      </c>
      <c r="E4" s="46" t="s">
        <v>13</v>
      </c>
      <c r="F4" s="47">
        <v>826.68</v>
      </c>
      <c r="G4" s="47"/>
      <c r="H4" s="46" t="s">
        <v>35</v>
      </c>
      <c r="I4" s="48" t="s">
        <v>15</v>
      </c>
      <c r="J4" s="48"/>
      <c r="K4" s="49" t="s">
        <v>8</v>
      </c>
      <c r="L4" s="50">
        <v>215700.7</v>
      </c>
    </row>
    <row r="5" spans="1:12" ht="61.2" hidden="1" x14ac:dyDescent="0.3">
      <c r="A5" s="44" t="s">
        <v>238</v>
      </c>
      <c r="B5" s="45" t="s">
        <v>243</v>
      </c>
      <c r="C5" s="45" t="s">
        <v>244</v>
      </c>
      <c r="D5" s="45" t="s">
        <v>245</v>
      </c>
      <c r="E5" s="46" t="s">
        <v>13</v>
      </c>
      <c r="F5" s="47">
        <v>868.35</v>
      </c>
      <c r="G5" s="47"/>
      <c r="H5" s="46" t="s">
        <v>35</v>
      </c>
      <c r="I5" s="48" t="s">
        <v>15</v>
      </c>
      <c r="J5" s="48"/>
      <c r="K5" s="49" t="s">
        <v>8</v>
      </c>
      <c r="L5" s="50">
        <v>216569.05</v>
      </c>
    </row>
    <row r="6" spans="1:12" ht="51" hidden="1" x14ac:dyDescent="0.3">
      <c r="A6" s="44" t="s">
        <v>238</v>
      </c>
      <c r="B6" s="45" t="s">
        <v>246</v>
      </c>
      <c r="C6" s="45" t="s">
        <v>247</v>
      </c>
      <c r="D6" s="45" t="s">
        <v>248</v>
      </c>
      <c r="E6" s="46" t="s">
        <v>13</v>
      </c>
      <c r="F6" s="47">
        <v>929.3</v>
      </c>
      <c r="G6" s="47"/>
      <c r="H6" s="46" t="s">
        <v>35</v>
      </c>
      <c r="I6" s="48" t="s">
        <v>15</v>
      </c>
      <c r="J6" s="48"/>
      <c r="K6" s="49" t="s">
        <v>8</v>
      </c>
      <c r="L6" s="50">
        <v>217498.35</v>
      </c>
    </row>
    <row r="7" spans="1:12" ht="61.2" hidden="1" x14ac:dyDescent="0.3">
      <c r="A7" s="44" t="s">
        <v>238</v>
      </c>
      <c r="B7" s="45" t="s">
        <v>246</v>
      </c>
      <c r="C7" s="45" t="s">
        <v>249</v>
      </c>
      <c r="D7" s="45" t="s">
        <v>248</v>
      </c>
      <c r="E7" s="46" t="s">
        <v>13</v>
      </c>
      <c r="F7" s="47">
        <v>233.64</v>
      </c>
      <c r="G7" s="47"/>
      <c r="H7" s="46" t="s">
        <v>35</v>
      </c>
      <c r="I7" s="48" t="s">
        <v>15</v>
      </c>
      <c r="J7" s="48"/>
      <c r="K7" s="49" t="s">
        <v>8</v>
      </c>
      <c r="L7" s="50">
        <v>217731.99</v>
      </c>
    </row>
    <row r="8" spans="1:12" ht="61.2" hidden="1" x14ac:dyDescent="0.3">
      <c r="A8" s="44" t="s">
        <v>238</v>
      </c>
      <c r="B8" s="45" t="s">
        <v>250</v>
      </c>
      <c r="C8" s="45" t="s">
        <v>251</v>
      </c>
      <c r="D8" s="45" t="s">
        <v>252</v>
      </c>
      <c r="E8" s="46" t="s">
        <v>13</v>
      </c>
      <c r="F8" s="47">
        <v>148</v>
      </c>
      <c r="G8" s="47"/>
      <c r="H8" s="46" t="s">
        <v>35</v>
      </c>
      <c r="I8" s="48" t="s">
        <v>15</v>
      </c>
      <c r="J8" s="48"/>
      <c r="K8" s="49" t="s">
        <v>8</v>
      </c>
      <c r="L8" s="50">
        <v>217879.99</v>
      </c>
    </row>
    <row r="9" spans="1:12" ht="51" hidden="1" x14ac:dyDescent="0.3">
      <c r="A9" s="44" t="s">
        <v>238</v>
      </c>
      <c r="B9" s="45" t="s">
        <v>253</v>
      </c>
      <c r="C9" s="45" t="s">
        <v>254</v>
      </c>
      <c r="D9" s="45" t="s">
        <v>255</v>
      </c>
      <c r="E9" s="46" t="s">
        <v>13</v>
      </c>
      <c r="F9" s="51">
        <v>1585</v>
      </c>
      <c r="G9" s="51"/>
      <c r="H9" s="46" t="s">
        <v>35</v>
      </c>
      <c r="I9" s="48" t="s">
        <v>15</v>
      </c>
      <c r="J9" s="48"/>
      <c r="K9" s="49" t="s">
        <v>8</v>
      </c>
      <c r="L9" s="50">
        <v>219464.99</v>
      </c>
    </row>
    <row r="10" spans="1:12" ht="51" hidden="1" x14ac:dyDescent="0.3">
      <c r="A10" s="44" t="s">
        <v>238</v>
      </c>
      <c r="B10" s="45" t="s">
        <v>256</v>
      </c>
      <c r="C10" s="45" t="s">
        <v>257</v>
      </c>
      <c r="D10" s="45" t="s">
        <v>258</v>
      </c>
      <c r="E10" s="46" t="s">
        <v>13</v>
      </c>
      <c r="F10" s="47">
        <v>595.70000000000005</v>
      </c>
      <c r="G10" s="47"/>
      <c r="H10" s="46" t="s">
        <v>35</v>
      </c>
      <c r="I10" s="48" t="s">
        <v>15</v>
      </c>
      <c r="J10" s="48"/>
      <c r="K10" s="49" t="s">
        <v>8</v>
      </c>
      <c r="L10" s="50">
        <v>220060.69</v>
      </c>
    </row>
    <row r="11" spans="1:12" ht="51" hidden="1" x14ac:dyDescent="0.3">
      <c r="A11" s="44" t="s">
        <v>238</v>
      </c>
      <c r="B11" s="45" t="s">
        <v>256</v>
      </c>
      <c r="C11" s="45" t="s">
        <v>259</v>
      </c>
      <c r="D11" s="45" t="s">
        <v>258</v>
      </c>
      <c r="E11" s="46" t="s">
        <v>13</v>
      </c>
      <c r="F11" s="47">
        <v>531.5</v>
      </c>
      <c r="G11" s="47"/>
      <c r="H11" s="46" t="s">
        <v>35</v>
      </c>
      <c r="I11" s="48" t="s">
        <v>15</v>
      </c>
      <c r="J11" s="48"/>
      <c r="K11" s="49" t="s">
        <v>8</v>
      </c>
      <c r="L11" s="50">
        <v>220592.19</v>
      </c>
    </row>
    <row r="12" spans="1:12" ht="61.2" hidden="1" x14ac:dyDescent="0.3">
      <c r="A12" s="44" t="s">
        <v>238</v>
      </c>
      <c r="B12" s="45" t="s">
        <v>256</v>
      </c>
      <c r="C12" s="45" t="s">
        <v>260</v>
      </c>
      <c r="D12" s="45" t="s">
        <v>258</v>
      </c>
      <c r="E12" s="46" t="s">
        <v>13</v>
      </c>
      <c r="F12" s="47">
        <v>310.5</v>
      </c>
      <c r="G12" s="47"/>
      <c r="H12" s="46" t="s">
        <v>35</v>
      </c>
      <c r="I12" s="48" t="s">
        <v>15</v>
      </c>
      <c r="J12" s="48"/>
      <c r="K12" s="49" t="s">
        <v>8</v>
      </c>
      <c r="L12" s="50">
        <v>220902.69</v>
      </c>
    </row>
    <row r="13" spans="1:12" ht="51" hidden="1" x14ac:dyDescent="0.3">
      <c r="A13" s="44" t="s">
        <v>238</v>
      </c>
      <c r="B13" s="45" t="s">
        <v>256</v>
      </c>
      <c r="C13" s="45" t="s">
        <v>261</v>
      </c>
      <c r="D13" s="45" t="s">
        <v>258</v>
      </c>
      <c r="E13" s="46" t="s">
        <v>13</v>
      </c>
      <c r="F13" s="51">
        <v>1698.5</v>
      </c>
      <c r="G13" s="51"/>
      <c r="H13" s="46" t="s">
        <v>35</v>
      </c>
      <c r="I13" s="48" t="s">
        <v>15</v>
      </c>
      <c r="J13" s="48"/>
      <c r="K13" s="49" t="s">
        <v>8</v>
      </c>
      <c r="L13" s="50">
        <v>222601.19</v>
      </c>
    </row>
    <row r="14" spans="1:12" ht="51" hidden="1" x14ac:dyDescent="0.3">
      <c r="A14" s="44" t="s">
        <v>238</v>
      </c>
      <c r="B14" s="45" t="s">
        <v>256</v>
      </c>
      <c r="C14" s="45" t="s">
        <v>262</v>
      </c>
      <c r="D14" s="45" t="s">
        <v>258</v>
      </c>
      <c r="E14" s="46" t="s">
        <v>13</v>
      </c>
      <c r="F14" s="51">
        <v>1215.5</v>
      </c>
      <c r="G14" s="51"/>
      <c r="H14" s="46" t="s">
        <v>35</v>
      </c>
      <c r="I14" s="48" t="s">
        <v>15</v>
      </c>
      <c r="J14" s="48"/>
      <c r="K14" s="49" t="s">
        <v>8</v>
      </c>
      <c r="L14" s="50">
        <v>223816.69</v>
      </c>
    </row>
    <row r="15" spans="1:12" ht="51" hidden="1" x14ac:dyDescent="0.3">
      <c r="A15" s="44" t="s">
        <v>238</v>
      </c>
      <c r="B15" s="45" t="s">
        <v>256</v>
      </c>
      <c r="C15" s="45" t="s">
        <v>263</v>
      </c>
      <c r="D15" s="45" t="s">
        <v>258</v>
      </c>
      <c r="E15" s="46" t="s">
        <v>13</v>
      </c>
      <c r="F15" s="47">
        <v>120.85</v>
      </c>
      <c r="G15" s="47"/>
      <c r="H15" s="46" t="s">
        <v>35</v>
      </c>
      <c r="I15" s="48" t="s">
        <v>15</v>
      </c>
      <c r="J15" s="48"/>
      <c r="K15" s="49" t="s">
        <v>8</v>
      </c>
      <c r="L15" s="50">
        <v>223937.54</v>
      </c>
    </row>
    <row r="16" spans="1:12" ht="51" hidden="1" x14ac:dyDescent="0.3">
      <c r="A16" s="44" t="s">
        <v>238</v>
      </c>
      <c r="B16" s="45" t="s">
        <v>256</v>
      </c>
      <c r="C16" s="45" t="s">
        <v>264</v>
      </c>
      <c r="D16" s="45" t="s">
        <v>258</v>
      </c>
      <c r="E16" s="46" t="s">
        <v>13</v>
      </c>
      <c r="F16" s="47">
        <v>806.25</v>
      </c>
      <c r="G16" s="47"/>
      <c r="H16" s="46" t="s">
        <v>35</v>
      </c>
      <c r="I16" s="48" t="s">
        <v>15</v>
      </c>
      <c r="J16" s="48"/>
      <c r="K16" s="49" t="s">
        <v>8</v>
      </c>
      <c r="L16" s="50">
        <v>224743.79</v>
      </c>
    </row>
    <row r="17" spans="1:12" ht="51" hidden="1" x14ac:dyDescent="0.3">
      <c r="A17" s="44" t="s">
        <v>238</v>
      </c>
      <c r="B17" s="45" t="s">
        <v>256</v>
      </c>
      <c r="C17" s="45" t="s">
        <v>265</v>
      </c>
      <c r="D17" s="45" t="s">
        <v>258</v>
      </c>
      <c r="E17" s="46" t="s">
        <v>13</v>
      </c>
      <c r="F17" s="47">
        <v>542.4</v>
      </c>
      <c r="G17" s="47"/>
      <c r="H17" s="46" t="s">
        <v>35</v>
      </c>
      <c r="I17" s="48" t="s">
        <v>15</v>
      </c>
      <c r="J17" s="48"/>
      <c r="K17" s="49" t="s">
        <v>8</v>
      </c>
      <c r="L17" s="50">
        <v>225286.19</v>
      </c>
    </row>
    <row r="18" spans="1:12" ht="51" hidden="1" x14ac:dyDescent="0.3">
      <c r="A18" s="44" t="s">
        <v>238</v>
      </c>
      <c r="B18" s="45" t="s">
        <v>256</v>
      </c>
      <c r="C18" s="45" t="s">
        <v>266</v>
      </c>
      <c r="D18" s="45" t="s">
        <v>258</v>
      </c>
      <c r="E18" s="46" t="s">
        <v>13</v>
      </c>
      <c r="F18" s="47">
        <v>334.8</v>
      </c>
      <c r="G18" s="47"/>
      <c r="H18" s="46" t="s">
        <v>35</v>
      </c>
      <c r="I18" s="48" t="s">
        <v>15</v>
      </c>
      <c r="J18" s="48"/>
      <c r="K18" s="49" t="s">
        <v>8</v>
      </c>
      <c r="L18" s="50">
        <v>225620.99</v>
      </c>
    </row>
    <row r="19" spans="1:12" ht="61.2" hidden="1" x14ac:dyDescent="0.3">
      <c r="A19" s="44" t="s">
        <v>238</v>
      </c>
      <c r="B19" s="45" t="s">
        <v>256</v>
      </c>
      <c r="C19" s="45" t="s">
        <v>267</v>
      </c>
      <c r="D19" s="45" t="s">
        <v>258</v>
      </c>
      <c r="E19" s="46" t="s">
        <v>13</v>
      </c>
      <c r="F19" s="51">
        <v>11280</v>
      </c>
      <c r="G19" s="51"/>
      <c r="H19" s="46" t="s">
        <v>35</v>
      </c>
      <c r="I19" s="48" t="s">
        <v>15</v>
      </c>
      <c r="J19" s="48"/>
      <c r="K19" s="49" t="s">
        <v>8</v>
      </c>
      <c r="L19" s="50">
        <v>236900.99</v>
      </c>
    </row>
    <row r="20" spans="1:12" ht="61.2" hidden="1" x14ac:dyDescent="0.3">
      <c r="A20" s="44" t="s">
        <v>238</v>
      </c>
      <c r="B20" s="45" t="s">
        <v>256</v>
      </c>
      <c r="C20" s="45" t="s">
        <v>268</v>
      </c>
      <c r="D20" s="45" t="s">
        <v>258</v>
      </c>
      <c r="E20" s="46" t="s">
        <v>13</v>
      </c>
      <c r="F20" s="51">
        <v>13323.75</v>
      </c>
      <c r="G20" s="51"/>
      <c r="H20" s="46" t="s">
        <v>35</v>
      </c>
      <c r="I20" s="48" t="s">
        <v>15</v>
      </c>
      <c r="J20" s="48"/>
      <c r="K20" s="49" t="s">
        <v>8</v>
      </c>
      <c r="L20" s="50">
        <v>250224.74</v>
      </c>
    </row>
    <row r="21" spans="1:12" ht="51" hidden="1" x14ac:dyDescent="0.3">
      <c r="A21" s="44" t="s">
        <v>238</v>
      </c>
      <c r="B21" s="45" t="s">
        <v>256</v>
      </c>
      <c r="C21" s="45" t="s">
        <v>269</v>
      </c>
      <c r="D21" s="45" t="s">
        <v>258</v>
      </c>
      <c r="E21" s="46" t="s">
        <v>13</v>
      </c>
      <c r="F21" s="47">
        <v>229.25</v>
      </c>
      <c r="G21" s="47"/>
      <c r="H21" s="46" t="s">
        <v>35</v>
      </c>
      <c r="I21" s="48" t="s">
        <v>15</v>
      </c>
      <c r="J21" s="48"/>
      <c r="K21" s="49" t="s">
        <v>8</v>
      </c>
      <c r="L21" s="50">
        <v>250453.99</v>
      </c>
    </row>
    <row r="22" spans="1:12" ht="51" hidden="1" x14ac:dyDescent="0.3">
      <c r="A22" s="44" t="s">
        <v>238</v>
      </c>
      <c r="B22" s="45" t="s">
        <v>256</v>
      </c>
      <c r="C22" s="45" t="s">
        <v>270</v>
      </c>
      <c r="D22" s="45" t="s">
        <v>258</v>
      </c>
      <c r="E22" s="46" t="s">
        <v>13</v>
      </c>
      <c r="F22" s="47">
        <v>156.6</v>
      </c>
      <c r="G22" s="47"/>
      <c r="H22" s="46" t="s">
        <v>35</v>
      </c>
      <c r="I22" s="48" t="s">
        <v>15</v>
      </c>
      <c r="J22" s="48"/>
      <c r="K22" s="49" t="s">
        <v>8</v>
      </c>
      <c r="L22" s="50">
        <v>250610.59</v>
      </c>
    </row>
    <row r="23" spans="1:12" ht="51" hidden="1" x14ac:dyDescent="0.3">
      <c r="A23" s="44" t="s">
        <v>238</v>
      </c>
      <c r="B23" s="45" t="s">
        <v>271</v>
      </c>
      <c r="C23" s="45" t="s">
        <v>272</v>
      </c>
      <c r="D23" s="45" t="s">
        <v>258</v>
      </c>
      <c r="E23" s="46" t="s">
        <v>13</v>
      </c>
      <c r="F23" s="47">
        <v>148.22999999999999</v>
      </c>
      <c r="G23" s="47"/>
      <c r="H23" s="46" t="s">
        <v>35</v>
      </c>
      <c r="I23" s="48" t="s">
        <v>15</v>
      </c>
      <c r="J23" s="48"/>
      <c r="K23" s="49" t="s">
        <v>8</v>
      </c>
      <c r="L23" s="50">
        <v>250758.82</v>
      </c>
    </row>
    <row r="24" spans="1:12" ht="51" hidden="1" x14ac:dyDescent="0.3">
      <c r="A24" s="44" t="s">
        <v>238</v>
      </c>
      <c r="B24" s="45" t="s">
        <v>256</v>
      </c>
      <c r="C24" s="45" t="s">
        <v>272</v>
      </c>
      <c r="D24" s="45" t="s">
        <v>258</v>
      </c>
      <c r="E24" s="46" t="s">
        <v>13</v>
      </c>
      <c r="F24" s="47">
        <v>766.27</v>
      </c>
      <c r="G24" s="47"/>
      <c r="H24" s="46" t="s">
        <v>35</v>
      </c>
      <c r="I24" s="48" t="s">
        <v>15</v>
      </c>
      <c r="J24" s="48"/>
      <c r="K24" s="49" t="s">
        <v>8</v>
      </c>
      <c r="L24" s="50">
        <v>251525.09</v>
      </c>
    </row>
    <row r="25" spans="1:12" ht="61.2" hidden="1" x14ac:dyDescent="0.3">
      <c r="A25" s="44" t="s">
        <v>238</v>
      </c>
      <c r="B25" s="45" t="s">
        <v>271</v>
      </c>
      <c r="C25" s="45" t="s">
        <v>273</v>
      </c>
      <c r="D25" s="45" t="s">
        <v>258</v>
      </c>
      <c r="E25" s="46" t="s">
        <v>13</v>
      </c>
      <c r="F25" s="51">
        <v>4770</v>
      </c>
      <c r="G25" s="51"/>
      <c r="H25" s="46" t="s">
        <v>35</v>
      </c>
      <c r="I25" s="48" t="s">
        <v>15</v>
      </c>
      <c r="J25" s="48"/>
      <c r="K25" s="49" t="s">
        <v>8</v>
      </c>
      <c r="L25" s="50">
        <v>256295.09</v>
      </c>
    </row>
    <row r="26" spans="1:12" ht="51" hidden="1" x14ac:dyDescent="0.3">
      <c r="A26" s="44" t="s">
        <v>238</v>
      </c>
      <c r="B26" s="45" t="s">
        <v>271</v>
      </c>
      <c r="C26" s="45" t="s">
        <v>274</v>
      </c>
      <c r="D26" s="45" t="s">
        <v>258</v>
      </c>
      <c r="E26" s="46" t="s">
        <v>13</v>
      </c>
      <c r="F26" s="51">
        <v>2175</v>
      </c>
      <c r="G26" s="51"/>
      <c r="H26" s="46" t="s">
        <v>35</v>
      </c>
      <c r="I26" s="48" t="s">
        <v>15</v>
      </c>
      <c r="J26" s="48"/>
      <c r="K26" s="49" t="s">
        <v>8</v>
      </c>
      <c r="L26" s="50">
        <v>258470.09</v>
      </c>
    </row>
    <row r="27" spans="1:12" ht="51" hidden="1" x14ac:dyDescent="0.3">
      <c r="A27" s="44" t="s">
        <v>238</v>
      </c>
      <c r="B27" s="45" t="s">
        <v>271</v>
      </c>
      <c r="C27" s="45" t="s">
        <v>275</v>
      </c>
      <c r="D27" s="45" t="s">
        <v>258</v>
      </c>
      <c r="E27" s="46" t="s">
        <v>13</v>
      </c>
      <c r="F27" s="47">
        <v>725.1</v>
      </c>
      <c r="G27" s="47"/>
      <c r="H27" s="46" t="s">
        <v>35</v>
      </c>
      <c r="I27" s="48" t="s">
        <v>15</v>
      </c>
      <c r="J27" s="48"/>
      <c r="K27" s="49" t="s">
        <v>8</v>
      </c>
      <c r="L27" s="50">
        <v>259195.19</v>
      </c>
    </row>
    <row r="28" spans="1:12" ht="61.2" hidden="1" x14ac:dyDescent="0.3">
      <c r="A28" s="44" t="s">
        <v>238</v>
      </c>
      <c r="B28" s="45" t="s">
        <v>276</v>
      </c>
      <c r="C28" s="45" t="s">
        <v>277</v>
      </c>
      <c r="D28" s="45" t="s">
        <v>278</v>
      </c>
      <c r="E28" s="46" t="s">
        <v>13</v>
      </c>
      <c r="F28" s="47">
        <v>255.05</v>
      </c>
      <c r="G28" s="47"/>
      <c r="H28" s="46" t="s">
        <v>35</v>
      </c>
      <c r="I28" s="48" t="s">
        <v>15</v>
      </c>
      <c r="J28" s="48"/>
      <c r="K28" s="49" t="s">
        <v>8</v>
      </c>
      <c r="L28" s="50">
        <v>259450.23999999999</v>
      </c>
    </row>
    <row r="29" spans="1:12" ht="61.2" hidden="1" x14ac:dyDescent="0.3">
      <c r="A29" s="44" t="s">
        <v>238</v>
      </c>
      <c r="B29" s="45" t="s">
        <v>279</v>
      </c>
      <c r="C29" s="45" t="s">
        <v>280</v>
      </c>
      <c r="D29" s="45" t="s">
        <v>281</v>
      </c>
      <c r="E29" s="46" t="s">
        <v>13</v>
      </c>
      <c r="F29" s="47">
        <v>140.1</v>
      </c>
      <c r="G29" s="47"/>
      <c r="H29" s="46" t="s">
        <v>35</v>
      </c>
      <c r="I29" s="48" t="s">
        <v>15</v>
      </c>
      <c r="J29" s="48"/>
      <c r="K29" s="49" t="s">
        <v>8</v>
      </c>
      <c r="L29" s="50">
        <v>259590.34</v>
      </c>
    </row>
    <row r="30" spans="1:12" ht="51" hidden="1" x14ac:dyDescent="0.3">
      <c r="A30" s="44" t="s">
        <v>238</v>
      </c>
      <c r="B30" s="45" t="s">
        <v>282</v>
      </c>
      <c r="C30" s="45" t="s">
        <v>283</v>
      </c>
      <c r="D30" s="45" t="s">
        <v>284</v>
      </c>
      <c r="E30" s="46" t="s">
        <v>13</v>
      </c>
      <c r="F30" s="51">
        <v>1966.8</v>
      </c>
      <c r="G30" s="51"/>
      <c r="H30" s="46" t="s">
        <v>35</v>
      </c>
      <c r="I30" s="48" t="s">
        <v>15</v>
      </c>
      <c r="J30" s="48"/>
      <c r="K30" s="49" t="s">
        <v>8</v>
      </c>
      <c r="L30" s="50">
        <v>261557.14</v>
      </c>
    </row>
    <row r="31" spans="1:12" ht="51" hidden="1" x14ac:dyDescent="0.3">
      <c r="A31" s="44" t="s">
        <v>238</v>
      </c>
      <c r="B31" s="45" t="s">
        <v>282</v>
      </c>
      <c r="C31" s="45" t="s">
        <v>285</v>
      </c>
      <c r="D31" s="45" t="s">
        <v>284</v>
      </c>
      <c r="E31" s="46" t="s">
        <v>13</v>
      </c>
      <c r="F31" s="51">
        <v>4200</v>
      </c>
      <c r="G31" s="51"/>
      <c r="H31" s="46" t="s">
        <v>35</v>
      </c>
      <c r="I31" s="48" t="s">
        <v>15</v>
      </c>
      <c r="J31" s="48"/>
      <c r="K31" s="49" t="s">
        <v>8</v>
      </c>
      <c r="L31" s="50">
        <v>265757.14</v>
      </c>
    </row>
    <row r="32" spans="1:12" ht="51" hidden="1" x14ac:dyDescent="0.3">
      <c r="A32" s="44" t="s">
        <v>238</v>
      </c>
      <c r="B32" s="45" t="s">
        <v>282</v>
      </c>
      <c r="C32" s="45" t="s">
        <v>286</v>
      </c>
      <c r="D32" s="45" t="s">
        <v>284</v>
      </c>
      <c r="E32" s="46" t="s">
        <v>13</v>
      </c>
      <c r="F32" s="51">
        <v>3073.6</v>
      </c>
      <c r="G32" s="51"/>
      <c r="H32" s="46" t="s">
        <v>35</v>
      </c>
      <c r="I32" s="48" t="s">
        <v>15</v>
      </c>
      <c r="J32" s="48"/>
      <c r="K32" s="49" t="s">
        <v>8</v>
      </c>
      <c r="L32" s="50">
        <v>268830.74</v>
      </c>
    </row>
    <row r="33" spans="1:12" ht="51" hidden="1" x14ac:dyDescent="0.3">
      <c r="A33" s="44" t="s">
        <v>238</v>
      </c>
      <c r="B33" s="45" t="s">
        <v>287</v>
      </c>
      <c r="C33" s="45" t="s">
        <v>288</v>
      </c>
      <c r="D33" s="45" t="s">
        <v>289</v>
      </c>
      <c r="E33" s="46" t="s">
        <v>13</v>
      </c>
      <c r="F33" s="51">
        <v>5593.12</v>
      </c>
      <c r="G33" s="51"/>
      <c r="H33" s="46" t="s">
        <v>35</v>
      </c>
      <c r="I33" s="48" t="s">
        <v>15</v>
      </c>
      <c r="J33" s="48"/>
      <c r="K33" s="49" t="s">
        <v>8</v>
      </c>
      <c r="L33" s="50">
        <v>274423.86</v>
      </c>
    </row>
    <row r="34" spans="1:12" ht="51" hidden="1" x14ac:dyDescent="0.3">
      <c r="A34" s="44" t="s">
        <v>238</v>
      </c>
      <c r="B34" s="45" t="s">
        <v>287</v>
      </c>
      <c r="C34" s="45" t="s">
        <v>290</v>
      </c>
      <c r="D34" s="45" t="s">
        <v>289</v>
      </c>
      <c r="E34" s="46" t="s">
        <v>13</v>
      </c>
      <c r="F34" s="51">
        <v>5985.16</v>
      </c>
      <c r="G34" s="51"/>
      <c r="H34" s="46" t="s">
        <v>35</v>
      </c>
      <c r="I34" s="48" t="s">
        <v>15</v>
      </c>
      <c r="J34" s="48"/>
      <c r="K34" s="49" t="s">
        <v>8</v>
      </c>
      <c r="L34" s="50">
        <v>280409.02</v>
      </c>
    </row>
    <row r="35" spans="1:12" ht="51" hidden="1" x14ac:dyDescent="0.3">
      <c r="A35" s="44" t="s">
        <v>238</v>
      </c>
      <c r="B35" s="45" t="s">
        <v>291</v>
      </c>
      <c r="C35" s="45" t="s">
        <v>292</v>
      </c>
      <c r="D35" s="45" t="s">
        <v>293</v>
      </c>
      <c r="E35" s="46" t="s">
        <v>13</v>
      </c>
      <c r="F35" s="51">
        <v>2500</v>
      </c>
      <c r="G35" s="51"/>
      <c r="H35" s="46" t="s">
        <v>35</v>
      </c>
      <c r="I35" s="48" t="s">
        <v>15</v>
      </c>
      <c r="J35" s="48"/>
      <c r="K35" s="49" t="s">
        <v>8</v>
      </c>
      <c r="L35" s="50">
        <v>282909.02</v>
      </c>
    </row>
    <row r="36" spans="1:12" ht="51" hidden="1" x14ac:dyDescent="0.3">
      <c r="A36" s="44" t="s">
        <v>238</v>
      </c>
      <c r="B36" s="45" t="s">
        <v>291</v>
      </c>
      <c r="C36" s="45" t="s">
        <v>294</v>
      </c>
      <c r="D36" s="45" t="s">
        <v>293</v>
      </c>
      <c r="E36" s="46" t="s">
        <v>13</v>
      </c>
      <c r="F36" s="51">
        <v>3000</v>
      </c>
      <c r="G36" s="51"/>
      <c r="H36" s="46" t="s">
        <v>35</v>
      </c>
      <c r="I36" s="48" t="s">
        <v>15</v>
      </c>
      <c r="J36" s="48"/>
      <c r="K36" s="49" t="s">
        <v>8</v>
      </c>
      <c r="L36" s="50">
        <v>285909.02</v>
      </c>
    </row>
    <row r="37" spans="1:12" ht="51" hidden="1" x14ac:dyDescent="0.3">
      <c r="A37" s="44" t="s">
        <v>238</v>
      </c>
      <c r="B37" s="45" t="s">
        <v>291</v>
      </c>
      <c r="C37" s="45" t="s">
        <v>295</v>
      </c>
      <c r="D37" s="45" t="s">
        <v>293</v>
      </c>
      <c r="E37" s="46" t="s">
        <v>13</v>
      </c>
      <c r="F37" s="51">
        <v>1600</v>
      </c>
      <c r="G37" s="51"/>
      <c r="H37" s="46" t="s">
        <v>35</v>
      </c>
      <c r="I37" s="48" t="s">
        <v>15</v>
      </c>
      <c r="J37" s="48"/>
      <c r="K37" s="49" t="s">
        <v>8</v>
      </c>
      <c r="L37" s="50">
        <v>287509.02</v>
      </c>
    </row>
    <row r="38" spans="1:12" ht="61.2" hidden="1" x14ac:dyDescent="0.3">
      <c r="A38" s="44" t="s">
        <v>238</v>
      </c>
      <c r="B38" s="45" t="s">
        <v>296</v>
      </c>
      <c r="C38" s="45" t="s">
        <v>297</v>
      </c>
      <c r="D38" s="45" t="s">
        <v>298</v>
      </c>
      <c r="E38" s="46" t="s">
        <v>13</v>
      </c>
      <c r="F38" s="51">
        <v>5500</v>
      </c>
      <c r="G38" s="51"/>
      <c r="H38" s="46" t="s">
        <v>35</v>
      </c>
      <c r="I38" s="48" t="s">
        <v>15</v>
      </c>
      <c r="J38" s="48"/>
      <c r="K38" s="49" t="s">
        <v>8</v>
      </c>
      <c r="L38" s="50">
        <v>293009.02</v>
      </c>
    </row>
    <row r="39" spans="1:12" ht="61.2" x14ac:dyDescent="0.3">
      <c r="A39" s="44" t="s">
        <v>299</v>
      </c>
      <c r="B39" s="45" t="s">
        <v>300</v>
      </c>
      <c r="C39" s="45" t="s">
        <v>301</v>
      </c>
      <c r="D39" s="45" t="s">
        <v>266</v>
      </c>
      <c r="E39" s="46" t="s">
        <v>302</v>
      </c>
      <c r="F39" s="52" t="s">
        <v>15</v>
      </c>
      <c r="G39" s="52"/>
      <c r="H39" s="46" t="s">
        <v>13</v>
      </c>
      <c r="I39" s="53">
        <v>167.4</v>
      </c>
      <c r="J39" s="53"/>
      <c r="K39" s="49" t="s">
        <v>8</v>
      </c>
      <c r="L39" s="50">
        <v>292841.62</v>
      </c>
    </row>
    <row r="40" spans="1:12" ht="51" hidden="1" x14ac:dyDescent="0.3">
      <c r="A40" s="44" t="s">
        <v>299</v>
      </c>
      <c r="B40" s="45" t="s">
        <v>303</v>
      </c>
      <c r="C40" s="45" t="s">
        <v>304</v>
      </c>
      <c r="D40" s="45" t="s">
        <v>305</v>
      </c>
      <c r="E40" s="46" t="s">
        <v>13</v>
      </c>
      <c r="F40" s="51">
        <v>1452.5</v>
      </c>
      <c r="G40" s="51"/>
      <c r="H40" s="46" t="s">
        <v>35</v>
      </c>
      <c r="I40" s="48" t="s">
        <v>15</v>
      </c>
      <c r="J40" s="48"/>
      <c r="K40" s="49" t="s">
        <v>8</v>
      </c>
      <c r="L40" s="50">
        <v>294294.12</v>
      </c>
    </row>
    <row r="41" spans="1:12" ht="71.400000000000006" hidden="1" x14ac:dyDescent="0.3">
      <c r="A41" s="44" t="s">
        <v>299</v>
      </c>
      <c r="B41" s="45" t="s">
        <v>303</v>
      </c>
      <c r="C41" s="45" t="s">
        <v>306</v>
      </c>
      <c r="D41" s="45" t="s">
        <v>305</v>
      </c>
      <c r="E41" s="46" t="s">
        <v>13</v>
      </c>
      <c r="F41" s="51">
        <v>1150.2</v>
      </c>
      <c r="G41" s="51"/>
      <c r="H41" s="46" t="s">
        <v>35</v>
      </c>
      <c r="I41" s="48" t="s">
        <v>15</v>
      </c>
      <c r="J41" s="48"/>
      <c r="K41" s="49" t="s">
        <v>8</v>
      </c>
      <c r="L41" s="50">
        <v>295444.32</v>
      </c>
    </row>
    <row r="42" spans="1:12" ht="51" hidden="1" x14ac:dyDescent="0.3">
      <c r="A42" s="44" t="s">
        <v>299</v>
      </c>
      <c r="B42" s="45" t="s">
        <v>303</v>
      </c>
      <c r="C42" s="45" t="s">
        <v>307</v>
      </c>
      <c r="D42" s="45" t="s">
        <v>305</v>
      </c>
      <c r="E42" s="46" t="s">
        <v>13</v>
      </c>
      <c r="F42" s="47">
        <v>824</v>
      </c>
      <c r="G42" s="47"/>
      <c r="H42" s="46" t="s">
        <v>35</v>
      </c>
      <c r="I42" s="48" t="s">
        <v>15</v>
      </c>
      <c r="J42" s="48"/>
      <c r="K42" s="49" t="s">
        <v>8</v>
      </c>
      <c r="L42" s="50">
        <v>296268.32</v>
      </c>
    </row>
    <row r="43" spans="1:12" ht="61.2" hidden="1" x14ac:dyDescent="0.3">
      <c r="A43" s="44" t="s">
        <v>299</v>
      </c>
      <c r="B43" s="45" t="s">
        <v>308</v>
      </c>
      <c r="C43" s="45" t="s">
        <v>309</v>
      </c>
      <c r="D43" s="45" t="s">
        <v>248</v>
      </c>
      <c r="E43" s="46" t="s">
        <v>13</v>
      </c>
      <c r="F43" s="47">
        <v>148.76</v>
      </c>
      <c r="G43" s="47"/>
      <c r="H43" s="46" t="s">
        <v>35</v>
      </c>
      <c r="I43" s="48" t="s">
        <v>15</v>
      </c>
      <c r="J43" s="48"/>
      <c r="K43" s="49" t="s">
        <v>8</v>
      </c>
      <c r="L43" s="50">
        <v>296417.08</v>
      </c>
    </row>
    <row r="44" spans="1:12" ht="61.2" hidden="1" x14ac:dyDescent="0.3">
      <c r="A44" s="44" t="s">
        <v>299</v>
      </c>
      <c r="B44" s="45" t="s">
        <v>308</v>
      </c>
      <c r="C44" s="45" t="s">
        <v>310</v>
      </c>
      <c r="D44" s="45" t="s">
        <v>248</v>
      </c>
      <c r="E44" s="46" t="s">
        <v>13</v>
      </c>
      <c r="F44" s="47">
        <v>67.37</v>
      </c>
      <c r="G44" s="47"/>
      <c r="H44" s="46" t="s">
        <v>35</v>
      </c>
      <c r="I44" s="48" t="s">
        <v>15</v>
      </c>
      <c r="J44" s="48"/>
      <c r="K44" s="49" t="s">
        <v>8</v>
      </c>
      <c r="L44" s="50">
        <v>296484.45</v>
      </c>
    </row>
    <row r="45" spans="1:12" ht="61.2" hidden="1" x14ac:dyDescent="0.3">
      <c r="A45" s="44" t="s">
        <v>299</v>
      </c>
      <c r="B45" s="45" t="s">
        <v>308</v>
      </c>
      <c r="C45" s="45" t="s">
        <v>311</v>
      </c>
      <c r="D45" s="45" t="s">
        <v>248</v>
      </c>
      <c r="E45" s="46" t="s">
        <v>13</v>
      </c>
      <c r="F45" s="51">
        <v>2229.5</v>
      </c>
      <c r="G45" s="51"/>
      <c r="H45" s="46" t="s">
        <v>35</v>
      </c>
      <c r="I45" s="48" t="s">
        <v>15</v>
      </c>
      <c r="J45" s="48"/>
      <c r="K45" s="49" t="s">
        <v>8</v>
      </c>
      <c r="L45" s="50">
        <v>298713.95</v>
      </c>
    </row>
    <row r="46" spans="1:12" ht="51" hidden="1" x14ac:dyDescent="0.3">
      <c r="A46" s="44" t="s">
        <v>299</v>
      </c>
      <c r="B46" s="45" t="s">
        <v>312</v>
      </c>
      <c r="C46" s="45" t="s">
        <v>313</v>
      </c>
      <c r="D46" s="45" t="s">
        <v>314</v>
      </c>
      <c r="E46" s="46" t="s">
        <v>13</v>
      </c>
      <c r="F46" s="47">
        <v>404</v>
      </c>
      <c r="G46" s="47"/>
      <c r="H46" s="46" t="s">
        <v>35</v>
      </c>
      <c r="I46" s="48" t="s">
        <v>15</v>
      </c>
      <c r="J46" s="48"/>
      <c r="K46" s="49" t="s">
        <v>8</v>
      </c>
      <c r="L46" s="50">
        <v>299117.95</v>
      </c>
    </row>
    <row r="47" spans="1:12" ht="51" hidden="1" x14ac:dyDescent="0.3">
      <c r="A47" s="44" t="s">
        <v>299</v>
      </c>
      <c r="B47" s="45" t="s">
        <v>312</v>
      </c>
      <c r="C47" s="45" t="s">
        <v>315</v>
      </c>
      <c r="D47" s="45" t="s">
        <v>314</v>
      </c>
      <c r="E47" s="46" t="s">
        <v>13</v>
      </c>
      <c r="F47" s="47">
        <v>565.1</v>
      </c>
      <c r="G47" s="47"/>
      <c r="H47" s="46" t="s">
        <v>35</v>
      </c>
      <c r="I47" s="48" t="s">
        <v>15</v>
      </c>
      <c r="J47" s="48"/>
      <c r="K47" s="49" t="s">
        <v>8</v>
      </c>
      <c r="L47" s="50">
        <v>299683.05</v>
      </c>
    </row>
    <row r="48" spans="1:12" ht="51" hidden="1" x14ac:dyDescent="0.3">
      <c r="A48" s="44" t="s">
        <v>299</v>
      </c>
      <c r="B48" s="45" t="s">
        <v>312</v>
      </c>
      <c r="C48" s="45" t="s">
        <v>316</v>
      </c>
      <c r="D48" s="45" t="s">
        <v>314</v>
      </c>
      <c r="E48" s="46" t="s">
        <v>13</v>
      </c>
      <c r="F48" s="47">
        <v>627.9</v>
      </c>
      <c r="G48" s="47"/>
      <c r="H48" s="46" t="s">
        <v>35</v>
      </c>
      <c r="I48" s="48" t="s">
        <v>15</v>
      </c>
      <c r="J48" s="48"/>
      <c r="K48" s="49" t="s">
        <v>8</v>
      </c>
      <c r="L48" s="50">
        <v>300310.95</v>
      </c>
    </row>
    <row r="49" spans="1:12" ht="61.2" hidden="1" x14ac:dyDescent="0.3">
      <c r="A49" s="44" t="s">
        <v>299</v>
      </c>
      <c r="B49" s="45" t="s">
        <v>312</v>
      </c>
      <c r="C49" s="45" t="s">
        <v>317</v>
      </c>
      <c r="D49" s="45" t="s">
        <v>314</v>
      </c>
      <c r="E49" s="46" t="s">
        <v>13</v>
      </c>
      <c r="F49" s="47">
        <v>566.79999999999995</v>
      </c>
      <c r="G49" s="47"/>
      <c r="H49" s="46" t="s">
        <v>35</v>
      </c>
      <c r="I49" s="48" t="s">
        <v>15</v>
      </c>
      <c r="J49" s="48"/>
      <c r="K49" s="49" t="s">
        <v>8</v>
      </c>
      <c r="L49" s="50">
        <v>300877.75</v>
      </c>
    </row>
    <row r="50" spans="1:12" ht="61.2" x14ac:dyDescent="0.3">
      <c r="A50" s="44" t="s">
        <v>299</v>
      </c>
      <c r="B50" s="45" t="s">
        <v>318</v>
      </c>
      <c r="C50" s="45" t="s">
        <v>319</v>
      </c>
      <c r="D50" s="45" t="s">
        <v>265</v>
      </c>
      <c r="E50" s="46" t="s">
        <v>302</v>
      </c>
      <c r="F50" s="52" t="s">
        <v>15</v>
      </c>
      <c r="G50" s="52"/>
      <c r="H50" s="46" t="s">
        <v>13</v>
      </c>
      <c r="I50" s="53">
        <v>271.2</v>
      </c>
      <c r="J50" s="53"/>
      <c r="K50" s="49" t="s">
        <v>8</v>
      </c>
      <c r="L50" s="50">
        <v>300606.55</v>
      </c>
    </row>
    <row r="51" spans="1:12" ht="51" hidden="1" x14ac:dyDescent="0.3">
      <c r="A51" s="44" t="s">
        <v>320</v>
      </c>
      <c r="B51" s="45" t="s">
        <v>321</v>
      </c>
      <c r="C51" s="45" t="s">
        <v>322</v>
      </c>
      <c r="D51" s="45" t="s">
        <v>248</v>
      </c>
      <c r="E51" s="46" t="s">
        <v>13</v>
      </c>
      <c r="F51" s="47">
        <v>490.02</v>
      </c>
      <c r="G51" s="47"/>
      <c r="H51" s="46" t="s">
        <v>35</v>
      </c>
      <c r="I51" s="48" t="s">
        <v>15</v>
      </c>
      <c r="J51" s="48"/>
      <c r="K51" s="49" t="s">
        <v>8</v>
      </c>
      <c r="L51" s="50">
        <v>301096.57</v>
      </c>
    </row>
    <row r="52" spans="1:12" ht="51" hidden="1" x14ac:dyDescent="0.3">
      <c r="A52" s="44" t="s">
        <v>320</v>
      </c>
      <c r="B52" s="45" t="s">
        <v>321</v>
      </c>
      <c r="C52" s="45" t="s">
        <v>323</v>
      </c>
      <c r="D52" s="45" t="s">
        <v>248</v>
      </c>
      <c r="E52" s="46" t="s">
        <v>13</v>
      </c>
      <c r="F52" s="47">
        <v>273</v>
      </c>
      <c r="G52" s="47"/>
      <c r="H52" s="46" t="s">
        <v>35</v>
      </c>
      <c r="I52" s="48" t="s">
        <v>15</v>
      </c>
      <c r="J52" s="48"/>
      <c r="K52" s="49" t="s">
        <v>8</v>
      </c>
      <c r="L52" s="50">
        <v>301369.57</v>
      </c>
    </row>
    <row r="53" spans="1:12" ht="61.2" x14ac:dyDescent="0.3">
      <c r="A53" s="44" t="s">
        <v>324</v>
      </c>
      <c r="B53" s="45" t="s">
        <v>325</v>
      </c>
      <c r="C53" s="45" t="s">
        <v>326</v>
      </c>
      <c r="D53" s="45" t="s">
        <v>327</v>
      </c>
      <c r="E53" s="46" t="s">
        <v>328</v>
      </c>
      <c r="F53" s="52" t="s">
        <v>15</v>
      </c>
      <c r="G53" s="52"/>
      <c r="H53" s="46" t="s">
        <v>13</v>
      </c>
      <c r="I53" s="54">
        <v>4378.8500000000004</v>
      </c>
      <c r="J53" s="54"/>
      <c r="K53" s="49" t="s">
        <v>8</v>
      </c>
      <c r="L53" s="50">
        <v>296990.71999999997</v>
      </c>
    </row>
    <row r="54" spans="1:12" ht="51" x14ac:dyDescent="0.3">
      <c r="A54" s="44" t="s">
        <v>324</v>
      </c>
      <c r="B54" s="45" t="s">
        <v>325</v>
      </c>
      <c r="C54" s="45" t="s">
        <v>326</v>
      </c>
      <c r="D54" s="45" t="s">
        <v>329</v>
      </c>
      <c r="E54" s="46" t="s">
        <v>328</v>
      </c>
      <c r="F54" s="52" t="s">
        <v>15</v>
      </c>
      <c r="G54" s="52"/>
      <c r="H54" s="46" t="s">
        <v>13</v>
      </c>
      <c r="I54" s="53">
        <v>193.5</v>
      </c>
      <c r="J54" s="53"/>
      <c r="K54" s="49" t="s">
        <v>8</v>
      </c>
      <c r="L54" s="50">
        <v>296797.21999999997</v>
      </c>
    </row>
    <row r="55" spans="1:12" ht="51" x14ac:dyDescent="0.3">
      <c r="A55" s="44" t="s">
        <v>324</v>
      </c>
      <c r="B55" s="45" t="s">
        <v>325</v>
      </c>
      <c r="C55" s="45" t="s">
        <v>326</v>
      </c>
      <c r="D55" s="45" t="s">
        <v>330</v>
      </c>
      <c r="E55" s="46" t="s">
        <v>328</v>
      </c>
      <c r="F55" s="52" t="s">
        <v>15</v>
      </c>
      <c r="G55" s="52"/>
      <c r="H55" s="46" t="s">
        <v>13</v>
      </c>
      <c r="I55" s="53">
        <v>485.85</v>
      </c>
      <c r="J55" s="53"/>
      <c r="K55" s="49" t="s">
        <v>8</v>
      </c>
      <c r="L55" s="50">
        <v>296311.37</v>
      </c>
    </row>
    <row r="56" spans="1:12" ht="51" x14ac:dyDescent="0.3">
      <c r="A56" s="44" t="s">
        <v>324</v>
      </c>
      <c r="B56" s="45" t="s">
        <v>325</v>
      </c>
      <c r="C56" s="45" t="s">
        <v>326</v>
      </c>
      <c r="D56" s="45" t="s">
        <v>331</v>
      </c>
      <c r="E56" s="46" t="s">
        <v>328</v>
      </c>
      <c r="F56" s="52" t="s">
        <v>15</v>
      </c>
      <c r="G56" s="52"/>
      <c r="H56" s="46" t="s">
        <v>13</v>
      </c>
      <c r="I56" s="53">
        <v>820.6</v>
      </c>
      <c r="J56" s="53"/>
      <c r="K56" s="49" t="s">
        <v>8</v>
      </c>
      <c r="L56" s="50">
        <v>295490.77</v>
      </c>
    </row>
    <row r="57" spans="1:12" ht="51" x14ac:dyDescent="0.3">
      <c r="A57" s="44" t="s">
        <v>324</v>
      </c>
      <c r="B57" s="45" t="s">
        <v>325</v>
      </c>
      <c r="C57" s="45" t="s">
        <v>326</v>
      </c>
      <c r="D57" s="45" t="s">
        <v>332</v>
      </c>
      <c r="E57" s="46" t="s">
        <v>328</v>
      </c>
      <c r="F57" s="52" t="s">
        <v>15</v>
      </c>
      <c r="G57" s="52"/>
      <c r="H57" s="46" t="s">
        <v>13</v>
      </c>
      <c r="I57" s="53">
        <v>391.2</v>
      </c>
      <c r="J57" s="53"/>
      <c r="K57" s="49" t="s">
        <v>8</v>
      </c>
      <c r="L57" s="50">
        <v>295099.57</v>
      </c>
    </row>
    <row r="58" spans="1:12" ht="51" x14ac:dyDescent="0.3">
      <c r="A58" s="44" t="s">
        <v>324</v>
      </c>
      <c r="B58" s="45" t="s">
        <v>325</v>
      </c>
      <c r="C58" s="45" t="s">
        <v>326</v>
      </c>
      <c r="D58" s="45" t="s">
        <v>333</v>
      </c>
      <c r="E58" s="46" t="s">
        <v>328</v>
      </c>
      <c r="F58" s="52" t="s">
        <v>15</v>
      </c>
      <c r="G58" s="52"/>
      <c r="H58" s="46" t="s">
        <v>13</v>
      </c>
      <c r="I58" s="53">
        <v>787.5</v>
      </c>
      <c r="J58" s="53"/>
      <c r="K58" s="49" t="s">
        <v>8</v>
      </c>
      <c r="L58" s="50">
        <v>294312.07</v>
      </c>
    </row>
    <row r="59" spans="1:12" ht="51" x14ac:dyDescent="0.3">
      <c r="A59" s="44" t="s">
        <v>324</v>
      </c>
      <c r="B59" s="45" t="s">
        <v>325</v>
      </c>
      <c r="C59" s="45" t="s">
        <v>326</v>
      </c>
      <c r="D59" s="45" t="s">
        <v>334</v>
      </c>
      <c r="E59" s="46" t="s">
        <v>328</v>
      </c>
      <c r="F59" s="52" t="s">
        <v>15</v>
      </c>
      <c r="G59" s="52"/>
      <c r="H59" s="46" t="s">
        <v>13</v>
      </c>
      <c r="I59" s="53">
        <v>324</v>
      </c>
      <c r="J59" s="53"/>
      <c r="K59" s="49" t="s">
        <v>8</v>
      </c>
      <c r="L59" s="50">
        <v>293988.07</v>
      </c>
    </row>
    <row r="60" spans="1:12" ht="51" x14ac:dyDescent="0.3">
      <c r="A60" s="44" t="s">
        <v>324</v>
      </c>
      <c r="B60" s="45" t="s">
        <v>325</v>
      </c>
      <c r="C60" s="45" t="s">
        <v>326</v>
      </c>
      <c r="D60" s="45" t="s">
        <v>335</v>
      </c>
      <c r="E60" s="46" t="s">
        <v>328</v>
      </c>
      <c r="F60" s="52" t="s">
        <v>15</v>
      </c>
      <c r="G60" s="52"/>
      <c r="H60" s="46" t="s">
        <v>13</v>
      </c>
      <c r="I60" s="54">
        <v>1278.45</v>
      </c>
      <c r="J60" s="54"/>
      <c r="K60" s="49" t="s">
        <v>8</v>
      </c>
      <c r="L60" s="50">
        <v>292709.62</v>
      </c>
    </row>
    <row r="61" spans="1:12" ht="51" x14ac:dyDescent="0.3">
      <c r="A61" s="44" t="s">
        <v>324</v>
      </c>
      <c r="B61" s="45" t="s">
        <v>325</v>
      </c>
      <c r="C61" s="45" t="s">
        <v>326</v>
      </c>
      <c r="D61" s="45" t="s">
        <v>336</v>
      </c>
      <c r="E61" s="46" t="s">
        <v>328</v>
      </c>
      <c r="F61" s="52" t="s">
        <v>15</v>
      </c>
      <c r="G61" s="52"/>
      <c r="H61" s="46" t="s">
        <v>13</v>
      </c>
      <c r="I61" s="54">
        <v>1245.3</v>
      </c>
      <c r="J61" s="54"/>
      <c r="K61" s="49" t="s">
        <v>8</v>
      </c>
      <c r="L61" s="50">
        <v>291464.32000000001</v>
      </c>
    </row>
    <row r="62" spans="1:12" ht="51" x14ac:dyDescent="0.3">
      <c r="A62" s="44" t="s">
        <v>324</v>
      </c>
      <c r="B62" s="45" t="s">
        <v>325</v>
      </c>
      <c r="C62" s="45" t="s">
        <v>326</v>
      </c>
      <c r="D62" s="45" t="s">
        <v>337</v>
      </c>
      <c r="E62" s="46" t="s">
        <v>328</v>
      </c>
      <c r="F62" s="52" t="s">
        <v>15</v>
      </c>
      <c r="G62" s="52"/>
      <c r="H62" s="46" t="s">
        <v>13</v>
      </c>
      <c r="I62" s="53">
        <v>292</v>
      </c>
      <c r="J62" s="53"/>
      <c r="K62" s="49" t="s">
        <v>8</v>
      </c>
      <c r="L62" s="50">
        <v>291172.32</v>
      </c>
    </row>
    <row r="63" spans="1:12" ht="51" x14ac:dyDescent="0.3">
      <c r="A63" s="44" t="s">
        <v>324</v>
      </c>
      <c r="B63" s="45" t="s">
        <v>325</v>
      </c>
      <c r="C63" s="45" t="s">
        <v>326</v>
      </c>
      <c r="D63" s="45" t="s">
        <v>338</v>
      </c>
      <c r="E63" s="46" t="s">
        <v>328</v>
      </c>
      <c r="F63" s="52" t="s">
        <v>15</v>
      </c>
      <c r="G63" s="52"/>
      <c r="H63" s="46" t="s">
        <v>13</v>
      </c>
      <c r="I63" s="54">
        <v>2430</v>
      </c>
      <c r="J63" s="54"/>
      <c r="K63" s="49" t="s">
        <v>8</v>
      </c>
      <c r="L63" s="50">
        <v>288742.32</v>
      </c>
    </row>
    <row r="64" spans="1:12" ht="51" x14ac:dyDescent="0.3">
      <c r="A64" s="44" t="s">
        <v>324</v>
      </c>
      <c r="B64" s="45" t="s">
        <v>325</v>
      </c>
      <c r="C64" s="45" t="s">
        <v>326</v>
      </c>
      <c r="D64" s="45" t="s">
        <v>339</v>
      </c>
      <c r="E64" s="46" t="s">
        <v>328</v>
      </c>
      <c r="F64" s="52" t="s">
        <v>15</v>
      </c>
      <c r="G64" s="52"/>
      <c r="H64" s="46" t="s">
        <v>13</v>
      </c>
      <c r="I64" s="54">
        <v>3016.7</v>
      </c>
      <c r="J64" s="54"/>
      <c r="K64" s="49" t="s">
        <v>8</v>
      </c>
      <c r="L64" s="50">
        <v>285725.62</v>
      </c>
    </row>
    <row r="65" spans="1:12" ht="51" x14ac:dyDescent="0.3">
      <c r="A65" s="44" t="s">
        <v>324</v>
      </c>
      <c r="B65" s="45" t="s">
        <v>325</v>
      </c>
      <c r="C65" s="45" t="s">
        <v>326</v>
      </c>
      <c r="D65" s="45" t="s">
        <v>340</v>
      </c>
      <c r="E65" s="46" t="s">
        <v>328</v>
      </c>
      <c r="F65" s="52" t="s">
        <v>15</v>
      </c>
      <c r="G65" s="52"/>
      <c r="H65" s="46" t="s">
        <v>13</v>
      </c>
      <c r="I65" s="54">
        <v>2370.4</v>
      </c>
      <c r="J65" s="54"/>
      <c r="K65" s="49" t="s">
        <v>8</v>
      </c>
      <c r="L65" s="50">
        <v>283355.21999999997</v>
      </c>
    </row>
    <row r="66" spans="1:12" ht="61.2" x14ac:dyDescent="0.3">
      <c r="A66" s="44" t="s">
        <v>324</v>
      </c>
      <c r="B66" s="45" t="s">
        <v>325</v>
      </c>
      <c r="C66" s="45" t="s">
        <v>326</v>
      </c>
      <c r="D66" s="45" t="s">
        <v>341</v>
      </c>
      <c r="E66" s="46" t="s">
        <v>328</v>
      </c>
      <c r="F66" s="52" t="s">
        <v>15</v>
      </c>
      <c r="G66" s="52"/>
      <c r="H66" s="46" t="s">
        <v>13</v>
      </c>
      <c r="I66" s="53">
        <v>165.24</v>
      </c>
      <c r="J66" s="53"/>
      <c r="K66" s="49" t="s">
        <v>8</v>
      </c>
      <c r="L66" s="50">
        <v>283189.98</v>
      </c>
    </row>
    <row r="67" spans="1:12" ht="51" x14ac:dyDescent="0.3">
      <c r="A67" s="44" t="s">
        <v>324</v>
      </c>
      <c r="B67" s="45" t="s">
        <v>325</v>
      </c>
      <c r="C67" s="45" t="s">
        <v>326</v>
      </c>
      <c r="D67" s="45" t="s">
        <v>342</v>
      </c>
      <c r="E67" s="46" t="s">
        <v>328</v>
      </c>
      <c r="F67" s="52" t="s">
        <v>15</v>
      </c>
      <c r="G67" s="52"/>
      <c r="H67" s="46" t="s">
        <v>13</v>
      </c>
      <c r="I67" s="53">
        <v>582.29999999999995</v>
      </c>
      <c r="J67" s="53"/>
      <c r="K67" s="49" t="s">
        <v>8</v>
      </c>
      <c r="L67" s="50">
        <v>282607.68</v>
      </c>
    </row>
    <row r="68" spans="1:12" ht="51" x14ac:dyDescent="0.3">
      <c r="A68" s="44" t="s">
        <v>324</v>
      </c>
      <c r="B68" s="45" t="s">
        <v>325</v>
      </c>
      <c r="C68" s="45" t="s">
        <v>326</v>
      </c>
      <c r="D68" s="45" t="s">
        <v>343</v>
      </c>
      <c r="E68" s="46" t="s">
        <v>328</v>
      </c>
      <c r="F68" s="52" t="s">
        <v>15</v>
      </c>
      <c r="G68" s="52"/>
      <c r="H68" s="46" t="s">
        <v>13</v>
      </c>
      <c r="I68" s="53">
        <v>382.65</v>
      </c>
      <c r="J68" s="53"/>
      <c r="K68" s="49" t="s">
        <v>8</v>
      </c>
      <c r="L68" s="50">
        <v>282225.03000000003</v>
      </c>
    </row>
    <row r="69" spans="1:12" ht="51" x14ac:dyDescent="0.3">
      <c r="A69" s="44" t="s">
        <v>324</v>
      </c>
      <c r="B69" s="45" t="s">
        <v>325</v>
      </c>
      <c r="C69" s="45" t="s">
        <v>326</v>
      </c>
      <c r="D69" s="45" t="s">
        <v>344</v>
      </c>
      <c r="E69" s="46" t="s">
        <v>328</v>
      </c>
      <c r="F69" s="52" t="s">
        <v>15</v>
      </c>
      <c r="G69" s="52"/>
      <c r="H69" s="46" t="s">
        <v>13</v>
      </c>
      <c r="I69" s="53">
        <v>188.2</v>
      </c>
      <c r="J69" s="53"/>
      <c r="K69" s="49" t="s">
        <v>8</v>
      </c>
      <c r="L69" s="50">
        <v>282036.83</v>
      </c>
    </row>
    <row r="70" spans="1:12" ht="51" x14ac:dyDescent="0.3">
      <c r="A70" s="44" t="s">
        <v>324</v>
      </c>
      <c r="B70" s="45" t="s">
        <v>325</v>
      </c>
      <c r="C70" s="45" t="s">
        <v>326</v>
      </c>
      <c r="D70" s="45" t="s">
        <v>345</v>
      </c>
      <c r="E70" s="46" t="s">
        <v>328</v>
      </c>
      <c r="F70" s="52" t="s">
        <v>15</v>
      </c>
      <c r="G70" s="52"/>
      <c r="H70" s="46" t="s">
        <v>13</v>
      </c>
      <c r="I70" s="53">
        <v>460.2</v>
      </c>
      <c r="J70" s="53"/>
      <c r="K70" s="49" t="s">
        <v>8</v>
      </c>
      <c r="L70" s="50">
        <v>281576.63</v>
      </c>
    </row>
    <row r="71" spans="1:12" ht="51" x14ac:dyDescent="0.3">
      <c r="A71" s="44" t="s">
        <v>324</v>
      </c>
      <c r="B71" s="45" t="s">
        <v>325</v>
      </c>
      <c r="C71" s="45" t="s">
        <v>326</v>
      </c>
      <c r="D71" s="45" t="s">
        <v>345</v>
      </c>
      <c r="E71" s="46" t="s">
        <v>328</v>
      </c>
      <c r="F71" s="52" t="s">
        <v>15</v>
      </c>
      <c r="G71" s="52"/>
      <c r="H71" s="46" t="s">
        <v>13</v>
      </c>
      <c r="I71" s="53">
        <v>115.05</v>
      </c>
      <c r="J71" s="53"/>
      <c r="K71" s="49" t="s">
        <v>8</v>
      </c>
      <c r="L71" s="50">
        <v>281461.58</v>
      </c>
    </row>
    <row r="72" spans="1:12" ht="51" x14ac:dyDescent="0.3">
      <c r="A72" s="44" t="s">
        <v>324</v>
      </c>
      <c r="B72" s="45" t="s">
        <v>325</v>
      </c>
      <c r="C72" s="45" t="s">
        <v>326</v>
      </c>
      <c r="D72" s="45" t="s">
        <v>346</v>
      </c>
      <c r="E72" s="46" t="s">
        <v>328</v>
      </c>
      <c r="F72" s="52" t="s">
        <v>15</v>
      </c>
      <c r="G72" s="52"/>
      <c r="H72" s="46" t="s">
        <v>13</v>
      </c>
      <c r="I72" s="53">
        <v>393.9</v>
      </c>
      <c r="J72" s="53"/>
      <c r="K72" s="49" t="s">
        <v>8</v>
      </c>
      <c r="L72" s="50">
        <v>281067.68</v>
      </c>
    </row>
    <row r="73" spans="1:12" ht="51" x14ac:dyDescent="0.3">
      <c r="A73" s="44" t="s">
        <v>324</v>
      </c>
      <c r="B73" s="45" t="s">
        <v>325</v>
      </c>
      <c r="C73" s="45" t="s">
        <v>326</v>
      </c>
      <c r="D73" s="45" t="s">
        <v>347</v>
      </c>
      <c r="E73" s="46" t="s">
        <v>328</v>
      </c>
      <c r="F73" s="52" t="s">
        <v>15</v>
      </c>
      <c r="G73" s="52"/>
      <c r="H73" s="46" t="s">
        <v>13</v>
      </c>
      <c r="I73" s="53">
        <v>235.85</v>
      </c>
      <c r="J73" s="53"/>
      <c r="K73" s="49" t="s">
        <v>8</v>
      </c>
      <c r="L73" s="50">
        <v>280831.83</v>
      </c>
    </row>
    <row r="74" spans="1:12" ht="51" x14ac:dyDescent="0.3">
      <c r="A74" s="44" t="s">
        <v>324</v>
      </c>
      <c r="B74" s="45" t="s">
        <v>325</v>
      </c>
      <c r="C74" s="45" t="s">
        <v>326</v>
      </c>
      <c r="D74" s="45" t="s">
        <v>348</v>
      </c>
      <c r="E74" s="46" t="s">
        <v>328</v>
      </c>
      <c r="F74" s="52" t="s">
        <v>15</v>
      </c>
      <c r="G74" s="52"/>
      <c r="H74" s="46" t="s">
        <v>13</v>
      </c>
      <c r="I74" s="53">
        <v>422.8</v>
      </c>
      <c r="J74" s="53"/>
      <c r="K74" s="49" t="s">
        <v>8</v>
      </c>
      <c r="L74" s="50">
        <v>280409.03000000003</v>
      </c>
    </row>
    <row r="75" spans="1:12" ht="51" x14ac:dyDescent="0.3">
      <c r="A75" s="44" t="s">
        <v>324</v>
      </c>
      <c r="B75" s="45" t="s">
        <v>325</v>
      </c>
      <c r="C75" s="45" t="s">
        <v>326</v>
      </c>
      <c r="D75" s="45" t="s">
        <v>349</v>
      </c>
      <c r="E75" s="46" t="s">
        <v>328</v>
      </c>
      <c r="F75" s="52" t="s">
        <v>15</v>
      </c>
      <c r="G75" s="52"/>
      <c r="H75" s="46" t="s">
        <v>13</v>
      </c>
      <c r="I75" s="53">
        <v>266.7</v>
      </c>
      <c r="J75" s="53"/>
      <c r="K75" s="49" t="s">
        <v>8</v>
      </c>
      <c r="L75" s="50">
        <v>280142.33</v>
      </c>
    </row>
    <row r="76" spans="1:12" ht="51" x14ac:dyDescent="0.3">
      <c r="A76" s="44" t="s">
        <v>324</v>
      </c>
      <c r="B76" s="45" t="s">
        <v>325</v>
      </c>
      <c r="C76" s="45" t="s">
        <v>326</v>
      </c>
      <c r="D76" s="45" t="s">
        <v>350</v>
      </c>
      <c r="E76" s="46" t="s">
        <v>328</v>
      </c>
      <c r="F76" s="52" t="s">
        <v>15</v>
      </c>
      <c r="G76" s="52"/>
      <c r="H76" s="46" t="s">
        <v>13</v>
      </c>
      <c r="I76" s="53">
        <v>231.7</v>
      </c>
      <c r="J76" s="53"/>
      <c r="K76" s="49" t="s">
        <v>8</v>
      </c>
      <c r="L76" s="50">
        <v>279910.63</v>
      </c>
    </row>
    <row r="77" spans="1:12" ht="51" x14ac:dyDescent="0.3">
      <c r="A77" s="44" t="s">
        <v>324</v>
      </c>
      <c r="B77" s="45" t="s">
        <v>325</v>
      </c>
      <c r="C77" s="45" t="s">
        <v>326</v>
      </c>
      <c r="D77" s="45" t="s">
        <v>351</v>
      </c>
      <c r="E77" s="46" t="s">
        <v>328</v>
      </c>
      <c r="F77" s="52" t="s">
        <v>15</v>
      </c>
      <c r="G77" s="52"/>
      <c r="H77" s="46" t="s">
        <v>13</v>
      </c>
      <c r="I77" s="53">
        <v>586.35</v>
      </c>
      <c r="J77" s="53"/>
      <c r="K77" s="49" t="s">
        <v>8</v>
      </c>
      <c r="L77" s="50">
        <v>279324.28000000003</v>
      </c>
    </row>
    <row r="78" spans="1:12" ht="61.2" x14ac:dyDescent="0.3">
      <c r="A78" s="44" t="s">
        <v>324</v>
      </c>
      <c r="B78" s="45" t="s">
        <v>325</v>
      </c>
      <c r="C78" s="45" t="s">
        <v>326</v>
      </c>
      <c r="D78" s="45" t="s">
        <v>352</v>
      </c>
      <c r="E78" s="46" t="s">
        <v>328</v>
      </c>
      <c r="F78" s="52" t="s">
        <v>15</v>
      </c>
      <c r="G78" s="52"/>
      <c r="H78" s="46" t="s">
        <v>13</v>
      </c>
      <c r="I78" s="54">
        <v>1640.15</v>
      </c>
      <c r="J78" s="54"/>
      <c r="K78" s="49" t="s">
        <v>8</v>
      </c>
      <c r="L78" s="50">
        <v>277684.13</v>
      </c>
    </row>
    <row r="79" spans="1:12" ht="51" x14ac:dyDescent="0.3">
      <c r="A79" s="44" t="s">
        <v>324</v>
      </c>
      <c r="B79" s="45" t="s">
        <v>325</v>
      </c>
      <c r="C79" s="45" t="s">
        <v>326</v>
      </c>
      <c r="D79" s="45" t="s">
        <v>353</v>
      </c>
      <c r="E79" s="46" t="s">
        <v>328</v>
      </c>
      <c r="F79" s="52" t="s">
        <v>15</v>
      </c>
      <c r="G79" s="52"/>
      <c r="H79" s="46" t="s">
        <v>13</v>
      </c>
      <c r="I79" s="53">
        <v>171.2</v>
      </c>
      <c r="J79" s="53"/>
      <c r="K79" s="49" t="s">
        <v>8</v>
      </c>
      <c r="L79" s="50">
        <v>277512.93</v>
      </c>
    </row>
    <row r="80" spans="1:12" ht="51" x14ac:dyDescent="0.3">
      <c r="A80" s="44" t="s">
        <v>324</v>
      </c>
      <c r="B80" s="45" t="s">
        <v>325</v>
      </c>
      <c r="C80" s="45" t="s">
        <v>326</v>
      </c>
      <c r="D80" s="45" t="s">
        <v>354</v>
      </c>
      <c r="E80" s="46" t="s">
        <v>328</v>
      </c>
      <c r="F80" s="52" t="s">
        <v>15</v>
      </c>
      <c r="G80" s="52"/>
      <c r="H80" s="46" t="s">
        <v>13</v>
      </c>
      <c r="I80" s="53">
        <v>153.15</v>
      </c>
      <c r="J80" s="53"/>
      <c r="K80" s="49" t="s">
        <v>8</v>
      </c>
      <c r="L80" s="50">
        <v>277359.78000000003</v>
      </c>
    </row>
    <row r="81" spans="1:12" ht="51" x14ac:dyDescent="0.3">
      <c r="A81" s="44" t="s">
        <v>324</v>
      </c>
      <c r="B81" s="45" t="s">
        <v>325</v>
      </c>
      <c r="C81" s="45" t="s">
        <v>326</v>
      </c>
      <c r="D81" s="45" t="s">
        <v>355</v>
      </c>
      <c r="E81" s="46" t="s">
        <v>328</v>
      </c>
      <c r="F81" s="52" t="s">
        <v>15</v>
      </c>
      <c r="G81" s="52"/>
      <c r="H81" s="46" t="s">
        <v>13</v>
      </c>
      <c r="I81" s="53">
        <v>696</v>
      </c>
      <c r="J81" s="53"/>
      <c r="K81" s="49" t="s">
        <v>8</v>
      </c>
      <c r="L81" s="50">
        <v>276663.78000000003</v>
      </c>
    </row>
    <row r="82" spans="1:12" ht="51" x14ac:dyDescent="0.3">
      <c r="A82" s="44" t="s">
        <v>324</v>
      </c>
      <c r="B82" s="45" t="s">
        <v>325</v>
      </c>
      <c r="C82" s="45" t="s">
        <v>326</v>
      </c>
      <c r="D82" s="45" t="s">
        <v>355</v>
      </c>
      <c r="E82" s="46" t="s">
        <v>328</v>
      </c>
      <c r="F82" s="52" t="s">
        <v>15</v>
      </c>
      <c r="G82" s="52"/>
      <c r="H82" s="46" t="s">
        <v>13</v>
      </c>
      <c r="I82" s="53">
        <v>174</v>
      </c>
      <c r="J82" s="53"/>
      <c r="K82" s="49" t="s">
        <v>8</v>
      </c>
      <c r="L82" s="50">
        <v>276489.78000000003</v>
      </c>
    </row>
    <row r="83" spans="1:12" ht="51" x14ac:dyDescent="0.3">
      <c r="A83" s="44" t="s">
        <v>324</v>
      </c>
      <c r="B83" s="45" t="s">
        <v>325</v>
      </c>
      <c r="C83" s="45" t="s">
        <v>326</v>
      </c>
      <c r="D83" s="45" t="s">
        <v>356</v>
      </c>
      <c r="E83" s="46" t="s">
        <v>328</v>
      </c>
      <c r="F83" s="52" t="s">
        <v>15</v>
      </c>
      <c r="G83" s="52"/>
      <c r="H83" s="46" t="s">
        <v>13</v>
      </c>
      <c r="I83" s="53">
        <v>183.8</v>
      </c>
      <c r="J83" s="53"/>
      <c r="K83" s="49" t="s">
        <v>8</v>
      </c>
      <c r="L83" s="50">
        <v>276305.98</v>
      </c>
    </row>
    <row r="84" spans="1:12" ht="51" x14ac:dyDescent="0.3">
      <c r="A84" s="44" t="s">
        <v>324</v>
      </c>
      <c r="B84" s="45" t="s">
        <v>325</v>
      </c>
      <c r="C84" s="45" t="s">
        <v>326</v>
      </c>
      <c r="D84" s="45" t="s">
        <v>357</v>
      </c>
      <c r="E84" s="46" t="s">
        <v>328</v>
      </c>
      <c r="F84" s="52" t="s">
        <v>15</v>
      </c>
      <c r="G84" s="52"/>
      <c r="H84" s="46" t="s">
        <v>13</v>
      </c>
      <c r="I84" s="53">
        <v>223.4</v>
      </c>
      <c r="J84" s="53"/>
      <c r="K84" s="49" t="s">
        <v>8</v>
      </c>
      <c r="L84" s="50">
        <v>276082.58</v>
      </c>
    </row>
    <row r="85" spans="1:12" ht="51" x14ac:dyDescent="0.3">
      <c r="A85" s="44" t="s">
        <v>324</v>
      </c>
      <c r="B85" s="45" t="s">
        <v>325</v>
      </c>
      <c r="C85" s="45" t="s">
        <v>326</v>
      </c>
      <c r="D85" s="45" t="s">
        <v>358</v>
      </c>
      <c r="E85" s="46" t="s">
        <v>328</v>
      </c>
      <c r="F85" s="52" t="s">
        <v>15</v>
      </c>
      <c r="G85" s="52"/>
      <c r="H85" s="46" t="s">
        <v>13</v>
      </c>
      <c r="I85" s="54">
        <v>4860</v>
      </c>
      <c r="J85" s="54"/>
      <c r="K85" s="49" t="s">
        <v>8</v>
      </c>
      <c r="L85" s="50">
        <v>271222.58</v>
      </c>
    </row>
    <row r="86" spans="1:12" ht="61.2" x14ac:dyDescent="0.3">
      <c r="A86" s="44" t="s">
        <v>324</v>
      </c>
      <c r="B86" s="45" t="s">
        <v>325</v>
      </c>
      <c r="C86" s="45" t="s">
        <v>326</v>
      </c>
      <c r="D86" s="45" t="s">
        <v>359</v>
      </c>
      <c r="E86" s="46" t="s">
        <v>328</v>
      </c>
      <c r="F86" s="52" t="s">
        <v>15</v>
      </c>
      <c r="G86" s="52"/>
      <c r="H86" s="46" t="s">
        <v>13</v>
      </c>
      <c r="I86" s="54">
        <v>1155.5999999999999</v>
      </c>
      <c r="J86" s="54"/>
      <c r="K86" s="49" t="s">
        <v>8</v>
      </c>
      <c r="L86" s="50">
        <v>270066.98</v>
      </c>
    </row>
    <row r="87" spans="1:12" ht="51" x14ac:dyDescent="0.3">
      <c r="A87" s="44" t="s">
        <v>324</v>
      </c>
      <c r="B87" s="45" t="s">
        <v>325</v>
      </c>
      <c r="C87" s="45" t="s">
        <v>326</v>
      </c>
      <c r="D87" s="45" t="s">
        <v>360</v>
      </c>
      <c r="E87" s="46" t="s">
        <v>328</v>
      </c>
      <c r="F87" s="52" t="s">
        <v>15</v>
      </c>
      <c r="G87" s="52"/>
      <c r="H87" s="46" t="s">
        <v>13</v>
      </c>
      <c r="I87" s="53">
        <v>297.5</v>
      </c>
      <c r="J87" s="53"/>
      <c r="K87" s="49" t="s">
        <v>8</v>
      </c>
      <c r="L87" s="50">
        <v>269769.48</v>
      </c>
    </row>
    <row r="88" spans="1:12" ht="51" x14ac:dyDescent="0.3">
      <c r="A88" s="44" t="s">
        <v>324</v>
      </c>
      <c r="B88" s="45" t="s">
        <v>325</v>
      </c>
      <c r="C88" s="45" t="s">
        <v>326</v>
      </c>
      <c r="D88" s="45" t="s">
        <v>361</v>
      </c>
      <c r="E88" s="46" t="s">
        <v>328</v>
      </c>
      <c r="F88" s="52" t="s">
        <v>15</v>
      </c>
      <c r="G88" s="52"/>
      <c r="H88" s="46" t="s">
        <v>13</v>
      </c>
      <c r="I88" s="54">
        <v>2490.4</v>
      </c>
      <c r="J88" s="54"/>
      <c r="K88" s="49" t="s">
        <v>8</v>
      </c>
      <c r="L88" s="50">
        <v>267279.08</v>
      </c>
    </row>
    <row r="89" spans="1:12" ht="51" x14ac:dyDescent="0.3">
      <c r="A89" s="44" t="s">
        <v>324</v>
      </c>
      <c r="B89" s="45" t="s">
        <v>325</v>
      </c>
      <c r="C89" s="45" t="s">
        <v>326</v>
      </c>
      <c r="D89" s="45" t="s">
        <v>362</v>
      </c>
      <c r="E89" s="46" t="s">
        <v>328</v>
      </c>
      <c r="F89" s="52" t="s">
        <v>15</v>
      </c>
      <c r="G89" s="52"/>
      <c r="H89" s="46" t="s">
        <v>13</v>
      </c>
      <c r="I89" s="54">
        <v>3214.6</v>
      </c>
      <c r="J89" s="54"/>
      <c r="K89" s="49" t="s">
        <v>8</v>
      </c>
      <c r="L89" s="50">
        <v>264064.48</v>
      </c>
    </row>
    <row r="90" spans="1:12" ht="51" x14ac:dyDescent="0.3">
      <c r="A90" s="44" t="s">
        <v>324</v>
      </c>
      <c r="B90" s="45" t="s">
        <v>325</v>
      </c>
      <c r="C90" s="45" t="s">
        <v>326</v>
      </c>
      <c r="D90" s="45" t="s">
        <v>363</v>
      </c>
      <c r="E90" s="46" t="s">
        <v>328</v>
      </c>
      <c r="F90" s="52" t="s">
        <v>15</v>
      </c>
      <c r="G90" s="52"/>
      <c r="H90" s="46" t="s">
        <v>13</v>
      </c>
      <c r="I90" s="53">
        <v>636.29999999999995</v>
      </c>
      <c r="J90" s="53"/>
      <c r="K90" s="49" t="s">
        <v>8</v>
      </c>
      <c r="L90" s="50">
        <v>263428.18</v>
      </c>
    </row>
    <row r="91" spans="1:12" ht="51" x14ac:dyDescent="0.3">
      <c r="A91" s="44" t="s">
        <v>324</v>
      </c>
      <c r="B91" s="45" t="s">
        <v>325</v>
      </c>
      <c r="C91" s="45" t="s">
        <v>326</v>
      </c>
      <c r="D91" s="45" t="s">
        <v>364</v>
      </c>
      <c r="E91" s="46" t="s">
        <v>328</v>
      </c>
      <c r="F91" s="52" t="s">
        <v>15</v>
      </c>
      <c r="G91" s="52"/>
      <c r="H91" s="46" t="s">
        <v>13</v>
      </c>
      <c r="I91" s="54">
        <v>1567.5</v>
      </c>
      <c r="J91" s="54"/>
      <c r="K91" s="49" t="s">
        <v>8</v>
      </c>
      <c r="L91" s="50">
        <v>261860.68</v>
      </c>
    </row>
    <row r="92" spans="1:12" ht="61.2" x14ac:dyDescent="0.3">
      <c r="A92" s="44" t="s">
        <v>324</v>
      </c>
      <c r="B92" s="45" t="s">
        <v>325</v>
      </c>
      <c r="C92" s="45" t="s">
        <v>326</v>
      </c>
      <c r="D92" s="45" t="s">
        <v>365</v>
      </c>
      <c r="E92" s="46" t="s">
        <v>328</v>
      </c>
      <c r="F92" s="52" t="s">
        <v>15</v>
      </c>
      <c r="G92" s="52"/>
      <c r="H92" s="46" t="s">
        <v>13</v>
      </c>
      <c r="I92" s="53">
        <v>233.5</v>
      </c>
      <c r="J92" s="53"/>
      <c r="K92" s="49" t="s">
        <v>8</v>
      </c>
      <c r="L92" s="50">
        <v>261627.18</v>
      </c>
    </row>
    <row r="93" spans="1:12" ht="51" x14ac:dyDescent="0.3">
      <c r="A93" s="44" t="s">
        <v>324</v>
      </c>
      <c r="B93" s="45" t="s">
        <v>325</v>
      </c>
      <c r="C93" s="45" t="s">
        <v>326</v>
      </c>
      <c r="D93" s="45" t="s">
        <v>366</v>
      </c>
      <c r="E93" s="46" t="s">
        <v>328</v>
      </c>
      <c r="F93" s="52" t="s">
        <v>15</v>
      </c>
      <c r="G93" s="52"/>
      <c r="H93" s="46" t="s">
        <v>13</v>
      </c>
      <c r="I93" s="53">
        <v>250</v>
      </c>
      <c r="J93" s="53"/>
      <c r="K93" s="49" t="s">
        <v>8</v>
      </c>
      <c r="L93" s="50">
        <v>261377.18</v>
      </c>
    </row>
    <row r="94" spans="1:12" ht="51" x14ac:dyDescent="0.3">
      <c r="A94" s="44" t="s">
        <v>324</v>
      </c>
      <c r="B94" s="45" t="s">
        <v>325</v>
      </c>
      <c r="C94" s="45" t="s">
        <v>326</v>
      </c>
      <c r="D94" s="45" t="s">
        <v>367</v>
      </c>
      <c r="E94" s="46" t="s">
        <v>328</v>
      </c>
      <c r="F94" s="52" t="s">
        <v>15</v>
      </c>
      <c r="G94" s="52"/>
      <c r="H94" s="46" t="s">
        <v>13</v>
      </c>
      <c r="I94" s="54">
        <v>3825</v>
      </c>
      <c r="J94" s="54"/>
      <c r="K94" s="49" t="s">
        <v>8</v>
      </c>
      <c r="L94" s="50">
        <v>257552.18</v>
      </c>
    </row>
    <row r="95" spans="1:12" ht="51" x14ac:dyDescent="0.3">
      <c r="A95" s="44" t="s">
        <v>324</v>
      </c>
      <c r="B95" s="45" t="s">
        <v>325</v>
      </c>
      <c r="C95" s="45" t="s">
        <v>326</v>
      </c>
      <c r="D95" s="45" t="s">
        <v>368</v>
      </c>
      <c r="E95" s="46" t="s">
        <v>328</v>
      </c>
      <c r="F95" s="52" t="s">
        <v>15</v>
      </c>
      <c r="G95" s="52"/>
      <c r="H95" s="46" t="s">
        <v>13</v>
      </c>
      <c r="I95" s="53">
        <v>453.4</v>
      </c>
      <c r="J95" s="53"/>
      <c r="K95" s="49" t="s">
        <v>8</v>
      </c>
      <c r="L95" s="50">
        <v>257098.78</v>
      </c>
    </row>
    <row r="96" spans="1:12" ht="51" x14ac:dyDescent="0.3">
      <c r="A96" s="44" t="s">
        <v>324</v>
      </c>
      <c r="B96" s="45" t="s">
        <v>325</v>
      </c>
      <c r="C96" s="45" t="s">
        <v>326</v>
      </c>
      <c r="D96" s="45" t="s">
        <v>369</v>
      </c>
      <c r="E96" s="46" t="s">
        <v>328</v>
      </c>
      <c r="F96" s="52" t="s">
        <v>15</v>
      </c>
      <c r="G96" s="52"/>
      <c r="H96" s="46" t="s">
        <v>13</v>
      </c>
      <c r="I96" s="53">
        <v>266.7</v>
      </c>
      <c r="J96" s="53"/>
      <c r="K96" s="49" t="s">
        <v>8</v>
      </c>
      <c r="L96" s="50">
        <v>256832.08</v>
      </c>
    </row>
    <row r="97" spans="1:12" ht="61.2" x14ac:dyDescent="0.3">
      <c r="A97" s="44" t="s">
        <v>324</v>
      </c>
      <c r="B97" s="45" t="s">
        <v>325</v>
      </c>
      <c r="C97" s="45" t="s">
        <v>326</v>
      </c>
      <c r="D97" s="45" t="s">
        <v>370</v>
      </c>
      <c r="E97" s="46" t="s">
        <v>328</v>
      </c>
      <c r="F97" s="52" t="s">
        <v>15</v>
      </c>
      <c r="G97" s="52"/>
      <c r="H97" s="46" t="s">
        <v>13</v>
      </c>
      <c r="I97" s="53">
        <v>63.4</v>
      </c>
      <c r="J97" s="53"/>
      <c r="K97" s="49" t="s">
        <v>8</v>
      </c>
      <c r="L97" s="50">
        <v>256768.68</v>
      </c>
    </row>
    <row r="98" spans="1:12" ht="51" x14ac:dyDescent="0.3">
      <c r="A98" s="44" t="s">
        <v>324</v>
      </c>
      <c r="B98" s="45" t="s">
        <v>325</v>
      </c>
      <c r="C98" s="45" t="s">
        <v>326</v>
      </c>
      <c r="D98" s="45" t="s">
        <v>371</v>
      </c>
      <c r="E98" s="46" t="s">
        <v>328</v>
      </c>
      <c r="F98" s="52" t="s">
        <v>15</v>
      </c>
      <c r="G98" s="52"/>
      <c r="H98" s="46" t="s">
        <v>13</v>
      </c>
      <c r="I98" s="54">
        <v>1458.34</v>
      </c>
      <c r="J98" s="54"/>
      <c r="K98" s="49" t="s">
        <v>8</v>
      </c>
      <c r="L98" s="50">
        <v>255310.34</v>
      </c>
    </row>
    <row r="99" spans="1:12" ht="51" x14ac:dyDescent="0.3">
      <c r="A99" s="44" t="s">
        <v>324</v>
      </c>
      <c r="B99" s="45" t="s">
        <v>325</v>
      </c>
      <c r="C99" s="45" t="s">
        <v>326</v>
      </c>
      <c r="D99" s="45" t="s">
        <v>372</v>
      </c>
      <c r="E99" s="46" t="s">
        <v>328</v>
      </c>
      <c r="F99" s="52" t="s">
        <v>15</v>
      </c>
      <c r="G99" s="52"/>
      <c r="H99" s="46" t="s">
        <v>13</v>
      </c>
      <c r="I99" s="54">
        <v>7908.8</v>
      </c>
      <c r="J99" s="54"/>
      <c r="K99" s="49" t="s">
        <v>8</v>
      </c>
      <c r="L99" s="50">
        <v>247401.54</v>
      </c>
    </row>
    <row r="100" spans="1:12" ht="51" x14ac:dyDescent="0.3">
      <c r="A100" s="44" t="s">
        <v>324</v>
      </c>
      <c r="B100" s="45" t="s">
        <v>325</v>
      </c>
      <c r="C100" s="45" t="s">
        <v>326</v>
      </c>
      <c r="D100" s="45" t="s">
        <v>373</v>
      </c>
      <c r="E100" s="46" t="s">
        <v>328</v>
      </c>
      <c r="F100" s="52" t="s">
        <v>15</v>
      </c>
      <c r="G100" s="52"/>
      <c r="H100" s="46" t="s">
        <v>13</v>
      </c>
      <c r="I100" s="53">
        <v>788.34</v>
      </c>
      <c r="J100" s="53"/>
      <c r="K100" s="49" t="s">
        <v>8</v>
      </c>
      <c r="L100" s="50">
        <v>246613.2</v>
      </c>
    </row>
    <row r="101" spans="1:12" ht="51" x14ac:dyDescent="0.3">
      <c r="A101" s="44" t="s">
        <v>324</v>
      </c>
      <c r="B101" s="45" t="s">
        <v>325</v>
      </c>
      <c r="C101" s="45" t="s">
        <v>326</v>
      </c>
      <c r="D101" s="45" t="s">
        <v>374</v>
      </c>
      <c r="E101" s="46" t="s">
        <v>328</v>
      </c>
      <c r="F101" s="52" t="s">
        <v>15</v>
      </c>
      <c r="G101" s="52"/>
      <c r="H101" s="46" t="s">
        <v>13</v>
      </c>
      <c r="I101" s="54">
        <v>2051.6999999999998</v>
      </c>
      <c r="J101" s="54"/>
      <c r="K101" s="49" t="s">
        <v>8</v>
      </c>
      <c r="L101" s="50">
        <v>244561.5</v>
      </c>
    </row>
    <row r="102" spans="1:12" ht="51" x14ac:dyDescent="0.3">
      <c r="A102" s="44" t="s">
        <v>324</v>
      </c>
      <c r="B102" s="45" t="s">
        <v>325</v>
      </c>
      <c r="C102" s="45" t="s">
        <v>326</v>
      </c>
      <c r="D102" s="45" t="s">
        <v>375</v>
      </c>
      <c r="E102" s="46" t="s">
        <v>328</v>
      </c>
      <c r="F102" s="52" t="s">
        <v>15</v>
      </c>
      <c r="G102" s="52"/>
      <c r="H102" s="46" t="s">
        <v>13</v>
      </c>
      <c r="I102" s="54">
        <v>4725</v>
      </c>
      <c r="J102" s="54"/>
      <c r="K102" s="49" t="s">
        <v>8</v>
      </c>
      <c r="L102" s="50">
        <v>239836.5</v>
      </c>
    </row>
    <row r="103" spans="1:12" ht="51" x14ac:dyDescent="0.3">
      <c r="A103" s="44" t="s">
        <v>324</v>
      </c>
      <c r="B103" s="45" t="s">
        <v>325</v>
      </c>
      <c r="C103" s="45" t="s">
        <v>326</v>
      </c>
      <c r="D103" s="45" t="s">
        <v>376</v>
      </c>
      <c r="E103" s="46" t="s">
        <v>328</v>
      </c>
      <c r="F103" s="52" t="s">
        <v>15</v>
      </c>
      <c r="G103" s="52"/>
      <c r="H103" s="46" t="s">
        <v>13</v>
      </c>
      <c r="I103" s="53">
        <v>600</v>
      </c>
      <c r="J103" s="53"/>
      <c r="K103" s="49" t="s">
        <v>8</v>
      </c>
      <c r="L103" s="50">
        <v>239236.5</v>
      </c>
    </row>
    <row r="104" spans="1:12" ht="51" x14ac:dyDescent="0.3">
      <c r="A104" s="44" t="s">
        <v>324</v>
      </c>
      <c r="B104" s="45" t="s">
        <v>325</v>
      </c>
      <c r="C104" s="45" t="s">
        <v>326</v>
      </c>
      <c r="D104" s="45" t="s">
        <v>377</v>
      </c>
      <c r="E104" s="46" t="s">
        <v>328</v>
      </c>
      <c r="F104" s="52" t="s">
        <v>15</v>
      </c>
      <c r="G104" s="52"/>
      <c r="H104" s="46" t="s">
        <v>13</v>
      </c>
      <c r="I104" s="53">
        <v>375</v>
      </c>
      <c r="J104" s="53"/>
      <c r="K104" s="49" t="s">
        <v>8</v>
      </c>
      <c r="L104" s="50">
        <v>238861.5</v>
      </c>
    </row>
    <row r="105" spans="1:12" ht="51" x14ac:dyDescent="0.3">
      <c r="A105" s="44" t="s">
        <v>324</v>
      </c>
      <c r="B105" s="45" t="s">
        <v>325</v>
      </c>
      <c r="C105" s="45" t="s">
        <v>326</v>
      </c>
      <c r="D105" s="45" t="s">
        <v>257</v>
      </c>
      <c r="E105" s="46" t="s">
        <v>328</v>
      </c>
      <c r="F105" s="52" t="s">
        <v>15</v>
      </c>
      <c r="G105" s="52"/>
      <c r="H105" s="46" t="s">
        <v>13</v>
      </c>
      <c r="I105" s="53">
        <v>297.85000000000002</v>
      </c>
      <c r="J105" s="53"/>
      <c r="K105" s="49" t="s">
        <v>8</v>
      </c>
      <c r="L105" s="50">
        <v>238563.65</v>
      </c>
    </row>
    <row r="106" spans="1:12" ht="51" x14ac:dyDescent="0.3">
      <c r="A106" s="44" t="s">
        <v>324</v>
      </c>
      <c r="B106" s="45" t="s">
        <v>325</v>
      </c>
      <c r="C106" s="45" t="s">
        <v>326</v>
      </c>
      <c r="D106" s="45" t="s">
        <v>259</v>
      </c>
      <c r="E106" s="46" t="s">
        <v>328</v>
      </c>
      <c r="F106" s="52" t="s">
        <v>15</v>
      </c>
      <c r="G106" s="52"/>
      <c r="H106" s="46" t="s">
        <v>13</v>
      </c>
      <c r="I106" s="53">
        <v>318.89999999999998</v>
      </c>
      <c r="J106" s="53"/>
      <c r="K106" s="49" t="s">
        <v>8</v>
      </c>
      <c r="L106" s="50">
        <v>238244.75</v>
      </c>
    </row>
    <row r="107" spans="1:12" ht="61.2" x14ac:dyDescent="0.3">
      <c r="A107" s="44" t="s">
        <v>324</v>
      </c>
      <c r="B107" s="45" t="s">
        <v>325</v>
      </c>
      <c r="C107" s="45" t="s">
        <v>326</v>
      </c>
      <c r="D107" s="45" t="s">
        <v>260</v>
      </c>
      <c r="E107" s="46" t="s">
        <v>328</v>
      </c>
      <c r="F107" s="52" t="s">
        <v>15</v>
      </c>
      <c r="G107" s="52"/>
      <c r="H107" s="46" t="s">
        <v>13</v>
      </c>
      <c r="I107" s="53">
        <v>186.3</v>
      </c>
      <c r="J107" s="53"/>
      <c r="K107" s="49" t="s">
        <v>8</v>
      </c>
      <c r="L107" s="50">
        <v>238058.45</v>
      </c>
    </row>
    <row r="108" spans="1:12" ht="51" x14ac:dyDescent="0.3">
      <c r="A108" s="44" t="s">
        <v>324</v>
      </c>
      <c r="B108" s="45" t="s">
        <v>325</v>
      </c>
      <c r="C108" s="45" t="s">
        <v>326</v>
      </c>
      <c r="D108" s="45" t="s">
        <v>261</v>
      </c>
      <c r="E108" s="46" t="s">
        <v>328</v>
      </c>
      <c r="F108" s="52" t="s">
        <v>15</v>
      </c>
      <c r="G108" s="52"/>
      <c r="H108" s="46" t="s">
        <v>13</v>
      </c>
      <c r="I108" s="54">
        <v>1358.8</v>
      </c>
      <c r="J108" s="54"/>
      <c r="K108" s="49" t="s">
        <v>8</v>
      </c>
      <c r="L108" s="50">
        <v>236699.65</v>
      </c>
    </row>
    <row r="109" spans="1:12" ht="51" x14ac:dyDescent="0.3">
      <c r="A109" s="44" t="s">
        <v>324</v>
      </c>
      <c r="B109" s="45" t="s">
        <v>325</v>
      </c>
      <c r="C109" s="45" t="s">
        <v>326</v>
      </c>
      <c r="D109" s="45" t="s">
        <v>262</v>
      </c>
      <c r="E109" s="46" t="s">
        <v>328</v>
      </c>
      <c r="F109" s="52" t="s">
        <v>15</v>
      </c>
      <c r="G109" s="52"/>
      <c r="H109" s="46" t="s">
        <v>13</v>
      </c>
      <c r="I109" s="53">
        <v>243.1</v>
      </c>
      <c r="J109" s="53"/>
      <c r="K109" s="49" t="s">
        <v>8</v>
      </c>
      <c r="L109" s="50">
        <v>236456.55</v>
      </c>
    </row>
    <row r="110" spans="1:12" ht="51" x14ac:dyDescent="0.3">
      <c r="A110" s="44" t="s">
        <v>324</v>
      </c>
      <c r="B110" s="45" t="s">
        <v>325</v>
      </c>
      <c r="C110" s="45" t="s">
        <v>326</v>
      </c>
      <c r="D110" s="45" t="s">
        <v>378</v>
      </c>
      <c r="E110" s="46" t="s">
        <v>328</v>
      </c>
      <c r="F110" s="52" t="s">
        <v>15</v>
      </c>
      <c r="G110" s="52"/>
      <c r="H110" s="46" t="s">
        <v>13</v>
      </c>
      <c r="I110" s="53">
        <v>22.57</v>
      </c>
      <c r="J110" s="53"/>
      <c r="K110" s="49" t="s">
        <v>8</v>
      </c>
      <c r="L110" s="50">
        <v>236433.98</v>
      </c>
    </row>
    <row r="111" spans="1:12" ht="61.2" x14ac:dyDescent="0.3">
      <c r="A111" s="44" t="s">
        <v>324</v>
      </c>
      <c r="B111" s="45" t="s">
        <v>325</v>
      </c>
      <c r="C111" s="45" t="s">
        <v>326</v>
      </c>
      <c r="D111" s="45" t="s">
        <v>268</v>
      </c>
      <c r="E111" s="46" t="s">
        <v>328</v>
      </c>
      <c r="F111" s="52" t="s">
        <v>15</v>
      </c>
      <c r="G111" s="52"/>
      <c r="H111" s="46" t="s">
        <v>13</v>
      </c>
      <c r="I111" s="54">
        <v>12790.8</v>
      </c>
      <c r="J111" s="54"/>
      <c r="K111" s="49" t="s">
        <v>8</v>
      </c>
      <c r="L111" s="50">
        <v>223643.18</v>
      </c>
    </row>
    <row r="112" spans="1:12" ht="51" x14ac:dyDescent="0.3">
      <c r="A112" s="44" t="s">
        <v>324</v>
      </c>
      <c r="B112" s="45" t="s">
        <v>325</v>
      </c>
      <c r="C112" s="45" t="s">
        <v>326</v>
      </c>
      <c r="D112" s="45" t="s">
        <v>269</v>
      </c>
      <c r="E112" s="46" t="s">
        <v>328</v>
      </c>
      <c r="F112" s="52" t="s">
        <v>15</v>
      </c>
      <c r="G112" s="52"/>
      <c r="H112" s="46" t="s">
        <v>13</v>
      </c>
      <c r="I112" s="53">
        <v>91.7</v>
      </c>
      <c r="J112" s="53"/>
      <c r="K112" s="49" t="s">
        <v>8</v>
      </c>
      <c r="L112" s="50">
        <v>223551.48</v>
      </c>
    </row>
    <row r="113" spans="1:12" ht="51" x14ac:dyDescent="0.3">
      <c r="A113" s="44" t="s">
        <v>324</v>
      </c>
      <c r="B113" s="45" t="s">
        <v>325</v>
      </c>
      <c r="C113" s="45" t="s">
        <v>326</v>
      </c>
      <c r="D113" s="45" t="s">
        <v>270</v>
      </c>
      <c r="E113" s="46" t="s">
        <v>328</v>
      </c>
      <c r="F113" s="52" t="s">
        <v>15</v>
      </c>
      <c r="G113" s="52"/>
      <c r="H113" s="46" t="s">
        <v>13</v>
      </c>
      <c r="I113" s="53">
        <v>78.3</v>
      </c>
      <c r="J113" s="53"/>
      <c r="K113" s="49" t="s">
        <v>8</v>
      </c>
      <c r="L113" s="50">
        <v>223473.18</v>
      </c>
    </row>
    <row r="114" spans="1:12" ht="51" x14ac:dyDescent="0.3">
      <c r="A114" s="44" t="s">
        <v>324</v>
      </c>
      <c r="B114" s="45" t="s">
        <v>325</v>
      </c>
      <c r="C114" s="45" t="s">
        <v>326</v>
      </c>
      <c r="D114" s="45" t="s">
        <v>272</v>
      </c>
      <c r="E114" s="46" t="s">
        <v>328</v>
      </c>
      <c r="F114" s="52" t="s">
        <v>15</v>
      </c>
      <c r="G114" s="52"/>
      <c r="H114" s="46" t="s">
        <v>13</v>
      </c>
      <c r="I114" s="53">
        <v>182.9</v>
      </c>
      <c r="J114" s="53"/>
      <c r="K114" s="49" t="s">
        <v>8</v>
      </c>
      <c r="L114" s="50">
        <v>223290.28</v>
      </c>
    </row>
    <row r="115" spans="1:12" ht="61.2" x14ac:dyDescent="0.3">
      <c r="A115" s="44" t="s">
        <v>324</v>
      </c>
      <c r="B115" s="45" t="s">
        <v>325</v>
      </c>
      <c r="C115" s="45" t="s">
        <v>326</v>
      </c>
      <c r="D115" s="45" t="s">
        <v>273</v>
      </c>
      <c r="E115" s="46" t="s">
        <v>328</v>
      </c>
      <c r="F115" s="52" t="s">
        <v>15</v>
      </c>
      <c r="G115" s="52"/>
      <c r="H115" s="46" t="s">
        <v>13</v>
      </c>
      <c r="I115" s="54">
        <v>4770</v>
      </c>
      <c r="J115" s="54"/>
      <c r="K115" s="49" t="s">
        <v>8</v>
      </c>
      <c r="L115" s="50">
        <v>218520.28</v>
      </c>
    </row>
    <row r="116" spans="1:12" ht="51" x14ac:dyDescent="0.3">
      <c r="A116" s="44" t="s">
        <v>324</v>
      </c>
      <c r="B116" s="45" t="s">
        <v>325</v>
      </c>
      <c r="C116" s="45" t="s">
        <v>326</v>
      </c>
      <c r="D116" s="45" t="s">
        <v>274</v>
      </c>
      <c r="E116" s="46" t="s">
        <v>328</v>
      </c>
      <c r="F116" s="52" t="s">
        <v>15</v>
      </c>
      <c r="G116" s="52"/>
      <c r="H116" s="46" t="s">
        <v>13</v>
      </c>
      <c r="I116" s="54">
        <v>1450</v>
      </c>
      <c r="J116" s="54"/>
      <c r="K116" s="49" t="s">
        <v>8</v>
      </c>
      <c r="L116" s="50">
        <v>217070.28</v>
      </c>
    </row>
    <row r="117" spans="1:12" ht="51" x14ac:dyDescent="0.3">
      <c r="A117" s="44" t="s">
        <v>324</v>
      </c>
      <c r="B117" s="45" t="s">
        <v>325</v>
      </c>
      <c r="C117" s="45" t="s">
        <v>326</v>
      </c>
      <c r="D117" s="45" t="s">
        <v>275</v>
      </c>
      <c r="E117" s="46" t="s">
        <v>328</v>
      </c>
      <c r="F117" s="52" t="s">
        <v>15</v>
      </c>
      <c r="G117" s="52"/>
      <c r="H117" s="46" t="s">
        <v>13</v>
      </c>
      <c r="I117" s="53">
        <v>483.4</v>
      </c>
      <c r="J117" s="53"/>
      <c r="K117" s="49" t="s">
        <v>8</v>
      </c>
      <c r="L117" s="50">
        <v>216586.88</v>
      </c>
    </row>
    <row r="118" spans="1:12" ht="61.2" x14ac:dyDescent="0.3">
      <c r="A118" s="44" t="s">
        <v>324</v>
      </c>
      <c r="B118" s="45" t="s">
        <v>325</v>
      </c>
      <c r="C118" s="45" t="s">
        <v>326</v>
      </c>
      <c r="D118" s="45" t="s">
        <v>297</v>
      </c>
      <c r="E118" s="46" t="s">
        <v>328</v>
      </c>
      <c r="F118" s="52" t="s">
        <v>15</v>
      </c>
      <c r="G118" s="52"/>
      <c r="H118" s="46" t="s">
        <v>13</v>
      </c>
      <c r="I118" s="54">
        <v>5500</v>
      </c>
      <c r="J118" s="54"/>
      <c r="K118" s="49" t="s">
        <v>8</v>
      </c>
      <c r="L118" s="50">
        <v>211086.88</v>
      </c>
    </row>
    <row r="119" spans="1:12" ht="51" hidden="1" x14ac:dyDescent="0.3">
      <c r="A119" s="44" t="s">
        <v>379</v>
      </c>
      <c r="B119" s="45" t="s">
        <v>380</v>
      </c>
      <c r="C119" s="45" t="s">
        <v>381</v>
      </c>
      <c r="D119" s="45" t="s">
        <v>382</v>
      </c>
      <c r="E119" s="46" t="s">
        <v>13</v>
      </c>
      <c r="F119" s="52" t="s">
        <v>15</v>
      </c>
      <c r="G119" s="52"/>
      <c r="H119" s="46" t="s">
        <v>13</v>
      </c>
      <c r="I119" s="54">
        <v>2500</v>
      </c>
      <c r="J119" s="54"/>
      <c r="K119" s="49" t="s">
        <v>8</v>
      </c>
      <c r="L119" s="50">
        <v>208586.88</v>
      </c>
    </row>
    <row r="120" spans="1:12" ht="61.2" hidden="1" x14ac:dyDescent="0.3">
      <c r="A120" s="44" t="s">
        <v>379</v>
      </c>
      <c r="B120" s="45" t="s">
        <v>380</v>
      </c>
      <c r="C120" s="45" t="s">
        <v>383</v>
      </c>
      <c r="D120" s="45" t="s">
        <v>384</v>
      </c>
      <c r="E120" s="46" t="s">
        <v>13</v>
      </c>
      <c r="F120" s="52" t="s">
        <v>15</v>
      </c>
      <c r="G120" s="52"/>
      <c r="H120" s="46" t="s">
        <v>13</v>
      </c>
      <c r="I120" s="53">
        <v>750</v>
      </c>
      <c r="J120" s="53"/>
      <c r="K120" s="49" t="s">
        <v>8</v>
      </c>
      <c r="L120" s="50">
        <v>207836.88</v>
      </c>
    </row>
    <row r="121" spans="1:12" ht="51" hidden="1" x14ac:dyDescent="0.3">
      <c r="A121" s="44" t="s">
        <v>379</v>
      </c>
      <c r="B121" s="45" t="s">
        <v>380</v>
      </c>
      <c r="C121" s="45" t="s">
        <v>385</v>
      </c>
      <c r="D121" s="45" t="s">
        <v>386</v>
      </c>
      <c r="E121" s="46" t="s">
        <v>13</v>
      </c>
      <c r="F121" s="52" t="s">
        <v>15</v>
      </c>
      <c r="G121" s="52"/>
      <c r="H121" s="46" t="s">
        <v>13</v>
      </c>
      <c r="I121" s="54">
        <v>1009.5</v>
      </c>
      <c r="J121" s="54"/>
      <c r="K121" s="49" t="s">
        <v>8</v>
      </c>
      <c r="L121" s="50">
        <v>206827.38</v>
      </c>
    </row>
    <row r="122" spans="1:12" ht="51" hidden="1" x14ac:dyDescent="0.3">
      <c r="A122" s="44" t="s">
        <v>379</v>
      </c>
      <c r="B122" s="45" t="s">
        <v>380</v>
      </c>
      <c r="C122" s="45" t="s">
        <v>387</v>
      </c>
      <c r="D122" s="45" t="s">
        <v>388</v>
      </c>
      <c r="E122" s="46" t="s">
        <v>13</v>
      </c>
      <c r="F122" s="52" t="s">
        <v>15</v>
      </c>
      <c r="G122" s="52"/>
      <c r="H122" s="46" t="s">
        <v>13</v>
      </c>
      <c r="I122" s="53">
        <v>582.5</v>
      </c>
      <c r="J122" s="53"/>
      <c r="K122" s="49" t="s">
        <v>8</v>
      </c>
      <c r="L122" s="50">
        <v>206244.88</v>
      </c>
    </row>
    <row r="123" spans="1:12" ht="51" x14ac:dyDescent="0.3">
      <c r="A123" s="44" t="s">
        <v>63</v>
      </c>
      <c r="B123" s="45" t="s">
        <v>389</v>
      </c>
      <c r="C123" s="45" t="s">
        <v>390</v>
      </c>
      <c r="D123" s="45" t="s">
        <v>376</v>
      </c>
      <c r="E123" s="46" t="s">
        <v>26</v>
      </c>
      <c r="F123" s="52" t="s">
        <v>15</v>
      </c>
      <c r="G123" s="52"/>
      <c r="H123" s="46" t="s">
        <v>13</v>
      </c>
      <c r="I123" s="53">
        <v>600</v>
      </c>
      <c r="J123" s="53"/>
      <c r="K123" s="49" t="s">
        <v>8</v>
      </c>
      <c r="L123" s="50">
        <v>205644.88</v>
      </c>
    </row>
    <row r="124" spans="1:12" ht="51" x14ac:dyDescent="0.3">
      <c r="A124" s="44" t="s">
        <v>63</v>
      </c>
      <c r="B124" s="45" t="s">
        <v>389</v>
      </c>
      <c r="C124" s="45" t="s">
        <v>390</v>
      </c>
      <c r="D124" s="45" t="s">
        <v>377</v>
      </c>
      <c r="E124" s="46" t="s">
        <v>26</v>
      </c>
      <c r="F124" s="52" t="s">
        <v>15</v>
      </c>
      <c r="G124" s="52"/>
      <c r="H124" s="46" t="s">
        <v>13</v>
      </c>
      <c r="I124" s="53">
        <v>875</v>
      </c>
      <c r="J124" s="53"/>
      <c r="K124" s="49" t="s">
        <v>8</v>
      </c>
      <c r="L124" s="50">
        <v>204769.88</v>
      </c>
    </row>
    <row r="125" spans="1:12" ht="51" x14ac:dyDescent="0.3">
      <c r="A125" s="44" t="s">
        <v>63</v>
      </c>
      <c r="B125" s="45" t="s">
        <v>389</v>
      </c>
      <c r="C125" s="45" t="s">
        <v>390</v>
      </c>
      <c r="D125" s="45" t="s">
        <v>391</v>
      </c>
      <c r="E125" s="46" t="s">
        <v>26</v>
      </c>
      <c r="F125" s="52" t="s">
        <v>15</v>
      </c>
      <c r="G125" s="52"/>
      <c r="H125" s="46" t="s">
        <v>13</v>
      </c>
      <c r="I125" s="54">
        <v>2050</v>
      </c>
      <c r="J125" s="54"/>
      <c r="K125" s="49" t="s">
        <v>8</v>
      </c>
      <c r="L125" s="50">
        <v>202719.88</v>
      </c>
    </row>
    <row r="126" spans="1:12" ht="51" x14ac:dyDescent="0.3">
      <c r="A126" s="44" t="s">
        <v>63</v>
      </c>
      <c r="B126" s="45" t="s">
        <v>389</v>
      </c>
      <c r="C126" s="45" t="s">
        <v>390</v>
      </c>
      <c r="D126" s="45" t="s">
        <v>392</v>
      </c>
      <c r="E126" s="46" t="s">
        <v>26</v>
      </c>
      <c r="F126" s="52" t="s">
        <v>15</v>
      </c>
      <c r="G126" s="52"/>
      <c r="H126" s="46" t="s">
        <v>13</v>
      </c>
      <c r="I126" s="53">
        <v>156.6</v>
      </c>
      <c r="J126" s="53"/>
      <c r="K126" s="49" t="s">
        <v>8</v>
      </c>
      <c r="L126" s="50">
        <v>202563.28</v>
      </c>
    </row>
    <row r="127" spans="1:12" ht="61.2" x14ac:dyDescent="0.3">
      <c r="A127" s="44" t="s">
        <v>63</v>
      </c>
      <c r="B127" s="45" t="s">
        <v>389</v>
      </c>
      <c r="C127" s="45" t="s">
        <v>390</v>
      </c>
      <c r="D127" s="45" t="s">
        <v>260</v>
      </c>
      <c r="E127" s="46" t="s">
        <v>26</v>
      </c>
      <c r="F127" s="52" t="s">
        <v>15</v>
      </c>
      <c r="G127" s="52"/>
      <c r="H127" s="46" t="s">
        <v>13</v>
      </c>
      <c r="I127" s="53">
        <v>124.2</v>
      </c>
      <c r="J127" s="53"/>
      <c r="K127" s="49" t="s">
        <v>8</v>
      </c>
      <c r="L127" s="50">
        <v>202439.08</v>
      </c>
    </row>
    <row r="128" spans="1:12" ht="51" x14ac:dyDescent="0.3">
      <c r="A128" s="44" t="s">
        <v>63</v>
      </c>
      <c r="B128" s="45" t="s">
        <v>389</v>
      </c>
      <c r="C128" s="45" t="s">
        <v>390</v>
      </c>
      <c r="D128" s="45" t="s">
        <v>263</v>
      </c>
      <c r="E128" s="46" t="s">
        <v>26</v>
      </c>
      <c r="F128" s="52" t="s">
        <v>15</v>
      </c>
      <c r="G128" s="52"/>
      <c r="H128" s="46" t="s">
        <v>13</v>
      </c>
      <c r="I128" s="53">
        <v>120.85</v>
      </c>
      <c r="J128" s="53"/>
      <c r="K128" s="49" t="s">
        <v>8</v>
      </c>
      <c r="L128" s="50">
        <v>202318.23</v>
      </c>
    </row>
    <row r="129" spans="1:12" ht="61.2" x14ac:dyDescent="0.3">
      <c r="A129" s="44" t="s">
        <v>63</v>
      </c>
      <c r="B129" s="45" t="s">
        <v>389</v>
      </c>
      <c r="C129" s="45" t="s">
        <v>390</v>
      </c>
      <c r="D129" s="45" t="s">
        <v>393</v>
      </c>
      <c r="E129" s="46" t="s">
        <v>26</v>
      </c>
      <c r="F129" s="52" t="s">
        <v>15</v>
      </c>
      <c r="G129" s="52"/>
      <c r="H129" s="46" t="s">
        <v>13</v>
      </c>
      <c r="I129" s="53">
        <v>508.35</v>
      </c>
      <c r="J129" s="53"/>
      <c r="K129" s="49" t="s">
        <v>8</v>
      </c>
      <c r="L129" s="50">
        <v>201809.88</v>
      </c>
    </row>
    <row r="130" spans="1:12" ht="51" x14ac:dyDescent="0.3">
      <c r="A130" s="44" t="s">
        <v>63</v>
      </c>
      <c r="B130" s="45" t="s">
        <v>389</v>
      </c>
      <c r="C130" s="45" t="s">
        <v>390</v>
      </c>
      <c r="D130" s="45" t="s">
        <v>374</v>
      </c>
      <c r="E130" s="46" t="s">
        <v>26</v>
      </c>
      <c r="F130" s="52" t="s">
        <v>15</v>
      </c>
      <c r="G130" s="52"/>
      <c r="H130" s="46" t="s">
        <v>13</v>
      </c>
      <c r="I130" s="54">
        <v>2051.6999999999998</v>
      </c>
      <c r="J130" s="54"/>
      <c r="K130" s="49" t="s">
        <v>8</v>
      </c>
      <c r="L130" s="50">
        <v>199758.18</v>
      </c>
    </row>
    <row r="131" spans="1:12" ht="51" x14ac:dyDescent="0.3">
      <c r="A131" s="44" t="s">
        <v>63</v>
      </c>
      <c r="B131" s="45" t="s">
        <v>389</v>
      </c>
      <c r="C131" s="45" t="s">
        <v>390</v>
      </c>
      <c r="D131" s="45" t="s">
        <v>358</v>
      </c>
      <c r="E131" s="46" t="s">
        <v>26</v>
      </c>
      <c r="F131" s="52" t="s">
        <v>15</v>
      </c>
      <c r="G131" s="52"/>
      <c r="H131" s="46" t="s">
        <v>13</v>
      </c>
      <c r="I131" s="54">
        <v>1620</v>
      </c>
      <c r="J131" s="54"/>
      <c r="K131" s="49" t="s">
        <v>8</v>
      </c>
      <c r="L131" s="50">
        <v>198138.18</v>
      </c>
    </row>
    <row r="132" spans="1:12" ht="51" x14ac:dyDescent="0.3">
      <c r="A132" s="44" t="s">
        <v>63</v>
      </c>
      <c r="B132" s="45" t="s">
        <v>389</v>
      </c>
      <c r="C132" s="45" t="s">
        <v>390</v>
      </c>
      <c r="D132" s="45" t="s">
        <v>394</v>
      </c>
      <c r="E132" s="46" t="s">
        <v>26</v>
      </c>
      <c r="F132" s="52" t="s">
        <v>15</v>
      </c>
      <c r="G132" s="52"/>
      <c r="H132" s="46" t="s">
        <v>13</v>
      </c>
      <c r="I132" s="53">
        <v>990.75</v>
      </c>
      <c r="J132" s="53"/>
      <c r="K132" s="49" t="s">
        <v>8</v>
      </c>
      <c r="L132" s="50">
        <v>197147.43</v>
      </c>
    </row>
    <row r="133" spans="1:12" ht="61.2" x14ac:dyDescent="0.3">
      <c r="A133" s="44" t="s">
        <v>63</v>
      </c>
      <c r="B133" s="45" t="s">
        <v>389</v>
      </c>
      <c r="C133" s="45" t="s">
        <v>390</v>
      </c>
      <c r="D133" s="45" t="s">
        <v>395</v>
      </c>
      <c r="E133" s="46" t="s">
        <v>26</v>
      </c>
      <c r="F133" s="52" t="s">
        <v>15</v>
      </c>
      <c r="G133" s="52"/>
      <c r="H133" s="46" t="s">
        <v>13</v>
      </c>
      <c r="I133" s="53">
        <v>205</v>
      </c>
      <c r="J133" s="53"/>
      <c r="K133" s="49" t="s">
        <v>8</v>
      </c>
      <c r="L133" s="50">
        <v>196942.43</v>
      </c>
    </row>
    <row r="134" spans="1:12" ht="51" x14ac:dyDescent="0.3">
      <c r="A134" s="44" t="s">
        <v>63</v>
      </c>
      <c r="B134" s="45" t="s">
        <v>389</v>
      </c>
      <c r="C134" s="45" t="s">
        <v>390</v>
      </c>
      <c r="D134" s="45" t="s">
        <v>357</v>
      </c>
      <c r="E134" s="46" t="s">
        <v>26</v>
      </c>
      <c r="F134" s="52" t="s">
        <v>15</v>
      </c>
      <c r="G134" s="52"/>
      <c r="H134" s="46" t="s">
        <v>13</v>
      </c>
      <c r="I134" s="53">
        <v>335.1</v>
      </c>
      <c r="J134" s="53"/>
      <c r="K134" s="49" t="s">
        <v>8</v>
      </c>
      <c r="L134" s="50">
        <v>196607.33</v>
      </c>
    </row>
    <row r="135" spans="1:12" ht="61.2" x14ac:dyDescent="0.3">
      <c r="A135" s="44" t="s">
        <v>63</v>
      </c>
      <c r="B135" s="45" t="s">
        <v>389</v>
      </c>
      <c r="C135" s="45" t="s">
        <v>390</v>
      </c>
      <c r="D135" s="45" t="s">
        <v>268</v>
      </c>
      <c r="E135" s="46" t="s">
        <v>26</v>
      </c>
      <c r="F135" s="52" t="s">
        <v>15</v>
      </c>
      <c r="G135" s="52"/>
      <c r="H135" s="46" t="s">
        <v>13</v>
      </c>
      <c r="I135" s="53">
        <v>532.95000000000005</v>
      </c>
      <c r="J135" s="53"/>
      <c r="K135" s="49" t="s">
        <v>8</v>
      </c>
      <c r="L135" s="50">
        <v>196074.38</v>
      </c>
    </row>
    <row r="136" spans="1:12" ht="51" x14ac:dyDescent="0.3">
      <c r="A136" s="44" t="s">
        <v>63</v>
      </c>
      <c r="B136" s="45" t="s">
        <v>389</v>
      </c>
      <c r="C136" s="45" t="s">
        <v>390</v>
      </c>
      <c r="D136" s="45" t="s">
        <v>257</v>
      </c>
      <c r="E136" s="46" t="s">
        <v>26</v>
      </c>
      <c r="F136" s="52" t="s">
        <v>15</v>
      </c>
      <c r="G136" s="52"/>
      <c r="H136" s="46" t="s">
        <v>13</v>
      </c>
      <c r="I136" s="53">
        <v>297.85000000000002</v>
      </c>
      <c r="J136" s="53"/>
      <c r="K136" s="49" t="s">
        <v>8</v>
      </c>
      <c r="L136" s="50">
        <v>195776.53</v>
      </c>
    </row>
    <row r="137" spans="1:12" ht="51" hidden="1" x14ac:dyDescent="0.3">
      <c r="A137" s="44" t="s">
        <v>396</v>
      </c>
      <c r="B137" s="45" t="s">
        <v>397</v>
      </c>
      <c r="C137" s="45" t="s">
        <v>398</v>
      </c>
      <c r="D137" s="45" t="s">
        <v>399</v>
      </c>
      <c r="E137" s="46" t="s">
        <v>13</v>
      </c>
      <c r="F137" s="52" t="s">
        <v>15</v>
      </c>
      <c r="G137" s="52"/>
      <c r="H137" s="46" t="s">
        <v>13</v>
      </c>
      <c r="I137" s="53">
        <v>360</v>
      </c>
      <c r="J137" s="53"/>
      <c r="K137" s="49" t="s">
        <v>8</v>
      </c>
      <c r="L137" s="50">
        <v>195416.53</v>
      </c>
    </row>
    <row r="138" spans="1:12" ht="51" hidden="1" x14ac:dyDescent="0.3">
      <c r="A138" s="44" t="s">
        <v>396</v>
      </c>
      <c r="B138" s="45" t="s">
        <v>397</v>
      </c>
      <c r="C138" s="45" t="s">
        <v>400</v>
      </c>
      <c r="D138" s="45" t="s">
        <v>401</v>
      </c>
      <c r="E138" s="46" t="s">
        <v>13</v>
      </c>
      <c r="F138" s="52" t="s">
        <v>15</v>
      </c>
      <c r="G138" s="52"/>
      <c r="H138" s="46" t="s">
        <v>13</v>
      </c>
      <c r="I138" s="54">
        <v>1106</v>
      </c>
      <c r="J138" s="54"/>
      <c r="K138" s="49" t="s">
        <v>8</v>
      </c>
      <c r="L138" s="50">
        <v>194310.53</v>
      </c>
    </row>
    <row r="139" spans="1:12" ht="51" hidden="1" x14ac:dyDescent="0.3">
      <c r="A139" s="44" t="s">
        <v>396</v>
      </c>
      <c r="B139" s="45" t="s">
        <v>397</v>
      </c>
      <c r="C139" s="45" t="s">
        <v>402</v>
      </c>
      <c r="D139" s="45" t="s">
        <v>403</v>
      </c>
      <c r="E139" s="46" t="s">
        <v>13</v>
      </c>
      <c r="F139" s="52" t="s">
        <v>15</v>
      </c>
      <c r="G139" s="52"/>
      <c r="H139" s="46" t="s">
        <v>13</v>
      </c>
      <c r="I139" s="54">
        <v>2750.1</v>
      </c>
      <c r="J139" s="54"/>
      <c r="K139" s="49" t="s">
        <v>8</v>
      </c>
      <c r="L139" s="50">
        <v>191560.43</v>
      </c>
    </row>
    <row r="140" spans="1:12" ht="61.2" hidden="1" x14ac:dyDescent="0.3">
      <c r="A140" s="44" t="s">
        <v>396</v>
      </c>
      <c r="B140" s="45" t="s">
        <v>397</v>
      </c>
      <c r="C140" s="45" t="s">
        <v>404</v>
      </c>
      <c r="D140" s="45" t="s">
        <v>405</v>
      </c>
      <c r="E140" s="46" t="s">
        <v>13</v>
      </c>
      <c r="F140" s="52" t="s">
        <v>15</v>
      </c>
      <c r="G140" s="52"/>
      <c r="H140" s="46" t="s">
        <v>13</v>
      </c>
      <c r="I140" s="54">
        <v>1516.64</v>
      </c>
      <c r="J140" s="54"/>
      <c r="K140" s="49" t="s">
        <v>8</v>
      </c>
      <c r="L140" s="50">
        <v>190043.79</v>
      </c>
    </row>
    <row r="141" spans="1:12" ht="51" hidden="1" x14ac:dyDescent="0.3">
      <c r="A141" s="44" t="s">
        <v>396</v>
      </c>
      <c r="B141" s="45" t="s">
        <v>397</v>
      </c>
      <c r="C141" s="45" t="s">
        <v>406</v>
      </c>
      <c r="D141" s="45" t="s">
        <v>247</v>
      </c>
      <c r="E141" s="46" t="s">
        <v>13</v>
      </c>
      <c r="F141" s="52" t="s">
        <v>15</v>
      </c>
      <c r="G141" s="52"/>
      <c r="H141" s="46" t="s">
        <v>13</v>
      </c>
      <c r="I141" s="53">
        <v>929.3</v>
      </c>
      <c r="J141" s="53"/>
      <c r="K141" s="49" t="s">
        <v>8</v>
      </c>
      <c r="L141" s="50">
        <v>189114.49</v>
      </c>
    </row>
    <row r="142" spans="1:12" ht="51" hidden="1" x14ac:dyDescent="0.3">
      <c r="A142" s="44" t="s">
        <v>396</v>
      </c>
      <c r="B142" s="45" t="s">
        <v>397</v>
      </c>
      <c r="C142" s="45" t="s">
        <v>407</v>
      </c>
      <c r="D142" s="45" t="s">
        <v>408</v>
      </c>
      <c r="E142" s="46" t="s">
        <v>13</v>
      </c>
      <c r="F142" s="52" t="s">
        <v>15</v>
      </c>
      <c r="G142" s="52"/>
      <c r="H142" s="46" t="s">
        <v>13</v>
      </c>
      <c r="I142" s="54">
        <v>1755</v>
      </c>
      <c r="J142" s="54"/>
      <c r="K142" s="49" t="s">
        <v>8</v>
      </c>
      <c r="L142" s="50">
        <v>187359.49</v>
      </c>
    </row>
    <row r="143" spans="1:12" ht="51" hidden="1" x14ac:dyDescent="0.3">
      <c r="A143" s="44" t="s">
        <v>396</v>
      </c>
      <c r="B143" s="45" t="s">
        <v>397</v>
      </c>
      <c r="C143" s="45" t="s">
        <v>409</v>
      </c>
      <c r="D143" s="45" t="s">
        <v>360</v>
      </c>
      <c r="E143" s="46" t="s">
        <v>13</v>
      </c>
      <c r="F143" s="52" t="s">
        <v>15</v>
      </c>
      <c r="G143" s="52"/>
      <c r="H143" s="46" t="s">
        <v>13</v>
      </c>
      <c r="I143" s="53">
        <v>119</v>
      </c>
      <c r="J143" s="53"/>
      <c r="K143" s="49" t="s">
        <v>8</v>
      </c>
      <c r="L143" s="50">
        <v>187240.49</v>
      </c>
    </row>
    <row r="144" spans="1:12" ht="61.2" hidden="1" x14ac:dyDescent="0.3">
      <c r="A144" s="44" t="s">
        <v>396</v>
      </c>
      <c r="B144" s="45" t="s">
        <v>397</v>
      </c>
      <c r="C144" s="45" t="s">
        <v>410</v>
      </c>
      <c r="D144" s="45" t="s">
        <v>370</v>
      </c>
      <c r="E144" s="46" t="s">
        <v>13</v>
      </c>
      <c r="F144" s="52" t="s">
        <v>15</v>
      </c>
      <c r="G144" s="52"/>
      <c r="H144" s="46" t="s">
        <v>13</v>
      </c>
      <c r="I144" s="53">
        <v>126.8</v>
      </c>
      <c r="J144" s="53"/>
      <c r="K144" s="49" t="s">
        <v>8</v>
      </c>
      <c r="L144" s="50">
        <v>187113.69</v>
      </c>
    </row>
    <row r="145" spans="1:12" ht="61.2" hidden="1" x14ac:dyDescent="0.3">
      <c r="A145" s="44" t="s">
        <v>396</v>
      </c>
      <c r="B145" s="45" t="s">
        <v>397</v>
      </c>
      <c r="C145" s="45" t="s">
        <v>411</v>
      </c>
      <c r="D145" s="45" t="s">
        <v>412</v>
      </c>
      <c r="E145" s="46" t="s">
        <v>13</v>
      </c>
      <c r="F145" s="52" t="s">
        <v>15</v>
      </c>
      <c r="G145" s="52"/>
      <c r="H145" s="46" t="s">
        <v>13</v>
      </c>
      <c r="I145" s="54">
        <v>2325</v>
      </c>
      <c r="J145" s="54"/>
      <c r="K145" s="49" t="s">
        <v>8</v>
      </c>
      <c r="L145" s="50">
        <v>184788.69</v>
      </c>
    </row>
    <row r="146" spans="1:12" ht="71.400000000000006" hidden="1" x14ac:dyDescent="0.3">
      <c r="A146" s="44" t="s">
        <v>396</v>
      </c>
      <c r="B146" s="45" t="s">
        <v>397</v>
      </c>
      <c r="C146" s="45" t="s">
        <v>413</v>
      </c>
      <c r="D146" s="45" t="s">
        <v>306</v>
      </c>
      <c r="E146" s="46" t="s">
        <v>13</v>
      </c>
      <c r="F146" s="52" t="s">
        <v>15</v>
      </c>
      <c r="G146" s="52"/>
      <c r="H146" s="46" t="s">
        <v>13</v>
      </c>
      <c r="I146" s="53">
        <v>958.5</v>
      </c>
      <c r="J146" s="53"/>
      <c r="K146" s="49" t="s">
        <v>8</v>
      </c>
      <c r="L146" s="50">
        <v>183830.19</v>
      </c>
    </row>
    <row r="147" spans="1:12" ht="61.2" hidden="1" x14ac:dyDescent="0.3">
      <c r="A147" s="44" t="s">
        <v>396</v>
      </c>
      <c r="B147" s="45" t="s">
        <v>397</v>
      </c>
      <c r="C147" s="45" t="s">
        <v>414</v>
      </c>
      <c r="D147" s="45" t="s">
        <v>415</v>
      </c>
      <c r="E147" s="46" t="s">
        <v>13</v>
      </c>
      <c r="F147" s="52" t="s">
        <v>15</v>
      </c>
      <c r="G147" s="52"/>
      <c r="H147" s="46" t="s">
        <v>13</v>
      </c>
      <c r="I147" s="53">
        <v>500.83</v>
      </c>
      <c r="J147" s="53"/>
      <c r="K147" s="49" t="s">
        <v>8</v>
      </c>
      <c r="L147" s="50">
        <v>183329.36</v>
      </c>
    </row>
    <row r="148" spans="1:12" ht="51" hidden="1" x14ac:dyDescent="0.3">
      <c r="A148" s="44" t="s">
        <v>396</v>
      </c>
      <c r="B148" s="45" t="s">
        <v>397</v>
      </c>
      <c r="C148" s="45" t="s">
        <v>416</v>
      </c>
      <c r="D148" s="45" t="s">
        <v>417</v>
      </c>
      <c r="E148" s="46" t="s">
        <v>13</v>
      </c>
      <c r="F148" s="52" t="s">
        <v>15</v>
      </c>
      <c r="G148" s="52"/>
      <c r="H148" s="46" t="s">
        <v>13</v>
      </c>
      <c r="I148" s="54">
        <v>1283.4000000000001</v>
      </c>
      <c r="J148" s="54"/>
      <c r="K148" s="49" t="s">
        <v>8</v>
      </c>
      <c r="L148" s="50">
        <v>182045.96</v>
      </c>
    </row>
    <row r="149" spans="1:12" ht="51" hidden="1" x14ac:dyDescent="0.3">
      <c r="A149" s="44" t="s">
        <v>396</v>
      </c>
      <c r="B149" s="45" t="s">
        <v>397</v>
      </c>
      <c r="C149" s="45" t="s">
        <v>418</v>
      </c>
      <c r="D149" s="45" t="s">
        <v>286</v>
      </c>
      <c r="E149" s="46" t="s">
        <v>13</v>
      </c>
      <c r="F149" s="52" t="s">
        <v>15</v>
      </c>
      <c r="G149" s="52"/>
      <c r="H149" s="46" t="s">
        <v>13</v>
      </c>
      <c r="I149" s="54">
        <v>3073.6</v>
      </c>
      <c r="J149" s="54"/>
      <c r="K149" s="49" t="s">
        <v>8</v>
      </c>
      <c r="L149" s="50">
        <v>178972.36</v>
      </c>
    </row>
    <row r="150" spans="1:12" ht="51" hidden="1" x14ac:dyDescent="0.3">
      <c r="A150" s="44" t="s">
        <v>396</v>
      </c>
      <c r="B150" s="45" t="s">
        <v>397</v>
      </c>
      <c r="C150" s="45" t="s">
        <v>419</v>
      </c>
      <c r="D150" s="45" t="s">
        <v>420</v>
      </c>
      <c r="E150" s="46" t="s">
        <v>13</v>
      </c>
      <c r="F150" s="52" t="s">
        <v>15</v>
      </c>
      <c r="G150" s="52"/>
      <c r="H150" s="46" t="s">
        <v>13</v>
      </c>
      <c r="I150" s="53">
        <v>983.4</v>
      </c>
      <c r="J150" s="53"/>
      <c r="K150" s="49" t="s">
        <v>8</v>
      </c>
      <c r="L150" s="50">
        <v>177988.96</v>
      </c>
    </row>
    <row r="151" spans="1:12" ht="51" hidden="1" x14ac:dyDescent="0.3">
      <c r="A151" s="44" t="s">
        <v>396</v>
      </c>
      <c r="B151" s="45" t="s">
        <v>397</v>
      </c>
      <c r="C151" s="45" t="s">
        <v>421</v>
      </c>
      <c r="D151" s="45" t="s">
        <v>422</v>
      </c>
      <c r="E151" s="46" t="s">
        <v>13</v>
      </c>
      <c r="F151" s="52" t="s">
        <v>15</v>
      </c>
      <c r="G151" s="52"/>
      <c r="H151" s="46" t="s">
        <v>13</v>
      </c>
      <c r="I151" s="54">
        <v>2000</v>
      </c>
      <c r="J151" s="54"/>
      <c r="K151" s="49" t="s">
        <v>8</v>
      </c>
      <c r="L151" s="50">
        <v>175988.96</v>
      </c>
    </row>
    <row r="152" spans="1:12" ht="51" hidden="1" x14ac:dyDescent="0.3">
      <c r="A152" s="44" t="s">
        <v>396</v>
      </c>
      <c r="B152" s="45" t="s">
        <v>397</v>
      </c>
      <c r="C152" s="45" t="s">
        <v>423</v>
      </c>
      <c r="D152" s="45" t="s">
        <v>262</v>
      </c>
      <c r="E152" s="46" t="s">
        <v>13</v>
      </c>
      <c r="F152" s="52" t="s">
        <v>15</v>
      </c>
      <c r="G152" s="52"/>
      <c r="H152" s="46" t="s">
        <v>13</v>
      </c>
      <c r="I152" s="53">
        <v>364.65</v>
      </c>
      <c r="J152" s="53"/>
      <c r="K152" s="49" t="s">
        <v>8</v>
      </c>
      <c r="L152" s="50">
        <v>175624.31</v>
      </c>
    </row>
    <row r="153" spans="1:12" ht="51" hidden="1" x14ac:dyDescent="0.3">
      <c r="A153" s="44" t="s">
        <v>145</v>
      </c>
      <c r="B153" s="45" t="s">
        <v>424</v>
      </c>
      <c r="C153" s="45" t="s">
        <v>425</v>
      </c>
      <c r="D153" s="45" t="s">
        <v>426</v>
      </c>
      <c r="E153" s="46" t="s">
        <v>13</v>
      </c>
      <c r="F153" s="47">
        <v>240</v>
      </c>
      <c r="G153" s="47"/>
      <c r="H153" s="46" t="s">
        <v>13</v>
      </c>
      <c r="I153" s="48" t="s">
        <v>15</v>
      </c>
      <c r="J153" s="48"/>
      <c r="K153" s="49" t="s">
        <v>8</v>
      </c>
      <c r="L153" s="50">
        <v>175864.31</v>
      </c>
    </row>
    <row r="154" spans="1:12" ht="51" hidden="1" x14ac:dyDescent="0.3">
      <c r="A154" s="44" t="s">
        <v>145</v>
      </c>
      <c r="B154" s="45" t="s">
        <v>424</v>
      </c>
      <c r="C154" s="45" t="s">
        <v>425</v>
      </c>
      <c r="D154" s="45" t="s">
        <v>427</v>
      </c>
      <c r="E154" s="46" t="s">
        <v>13</v>
      </c>
      <c r="F154" s="51">
        <v>1200</v>
      </c>
      <c r="G154" s="51"/>
      <c r="H154" s="46" t="s">
        <v>13</v>
      </c>
      <c r="I154" s="48" t="s">
        <v>15</v>
      </c>
      <c r="J154" s="48"/>
      <c r="K154" s="49" t="s">
        <v>8</v>
      </c>
      <c r="L154" s="50">
        <v>177064.31</v>
      </c>
    </row>
    <row r="155" spans="1:12" ht="51" hidden="1" x14ac:dyDescent="0.3">
      <c r="A155" s="44" t="s">
        <v>145</v>
      </c>
      <c r="B155" s="45" t="s">
        <v>424</v>
      </c>
      <c r="C155" s="45" t="s">
        <v>428</v>
      </c>
      <c r="D155" s="45" t="s">
        <v>429</v>
      </c>
      <c r="E155" s="46" t="s">
        <v>13</v>
      </c>
      <c r="F155" s="47">
        <v>330</v>
      </c>
      <c r="G155" s="47"/>
      <c r="H155" s="46" t="s">
        <v>13</v>
      </c>
      <c r="I155" s="48" t="s">
        <v>15</v>
      </c>
      <c r="J155" s="48"/>
      <c r="K155" s="49" t="s">
        <v>8</v>
      </c>
      <c r="L155" s="50">
        <v>177394.31</v>
      </c>
    </row>
    <row r="156" spans="1:12" ht="51" hidden="1" x14ac:dyDescent="0.3">
      <c r="A156" s="44" t="s">
        <v>145</v>
      </c>
      <c r="B156" s="45" t="s">
        <v>424</v>
      </c>
      <c r="C156" s="45" t="s">
        <v>428</v>
      </c>
      <c r="D156" s="45" t="s">
        <v>430</v>
      </c>
      <c r="E156" s="46" t="s">
        <v>13</v>
      </c>
      <c r="F156" s="51">
        <v>1650</v>
      </c>
      <c r="G156" s="51"/>
      <c r="H156" s="46" t="s">
        <v>13</v>
      </c>
      <c r="I156" s="48" t="s">
        <v>15</v>
      </c>
      <c r="J156" s="48"/>
      <c r="K156" s="49" t="s">
        <v>8</v>
      </c>
      <c r="L156" s="50">
        <v>179044.31</v>
      </c>
    </row>
    <row r="157" spans="1:12" ht="51" hidden="1" x14ac:dyDescent="0.3">
      <c r="A157" s="44" t="s">
        <v>145</v>
      </c>
      <c r="B157" s="45" t="s">
        <v>424</v>
      </c>
      <c r="C157" s="45" t="s">
        <v>431</v>
      </c>
      <c r="D157" s="45" t="s">
        <v>432</v>
      </c>
      <c r="E157" s="46" t="s">
        <v>13</v>
      </c>
      <c r="F157" s="47">
        <v>100</v>
      </c>
      <c r="G157" s="47"/>
      <c r="H157" s="46" t="s">
        <v>13</v>
      </c>
      <c r="I157" s="48" t="s">
        <v>15</v>
      </c>
      <c r="J157" s="48"/>
      <c r="K157" s="49" t="s">
        <v>8</v>
      </c>
      <c r="L157" s="50">
        <v>179144.31</v>
      </c>
    </row>
    <row r="158" spans="1:12" ht="51" hidden="1" x14ac:dyDescent="0.3">
      <c r="A158" s="44" t="s">
        <v>145</v>
      </c>
      <c r="B158" s="45" t="s">
        <v>424</v>
      </c>
      <c r="C158" s="45" t="s">
        <v>431</v>
      </c>
      <c r="D158" s="45" t="s">
        <v>433</v>
      </c>
      <c r="E158" s="46" t="s">
        <v>13</v>
      </c>
      <c r="F158" s="47">
        <v>500</v>
      </c>
      <c r="G158" s="47"/>
      <c r="H158" s="46" t="s">
        <v>13</v>
      </c>
      <c r="I158" s="48" t="s">
        <v>15</v>
      </c>
      <c r="J158" s="48"/>
      <c r="K158" s="49" t="s">
        <v>8</v>
      </c>
      <c r="L158" s="50">
        <v>179644.31</v>
      </c>
    </row>
    <row r="159" spans="1:12" ht="51" hidden="1" x14ac:dyDescent="0.3">
      <c r="A159" s="44" t="s">
        <v>198</v>
      </c>
      <c r="B159" s="45" t="s">
        <v>434</v>
      </c>
      <c r="C159" s="45" t="s">
        <v>435</v>
      </c>
      <c r="D159" s="45" t="s">
        <v>436</v>
      </c>
      <c r="E159" s="46" t="s">
        <v>302</v>
      </c>
      <c r="F159" s="52" t="s">
        <v>15</v>
      </c>
      <c r="G159" s="52"/>
      <c r="H159" s="46" t="s">
        <v>13</v>
      </c>
      <c r="I159" s="54">
        <v>8608.01</v>
      </c>
      <c r="J159" s="54"/>
      <c r="K159" s="49" t="s">
        <v>8</v>
      </c>
      <c r="L159" s="50">
        <v>171036.3</v>
      </c>
    </row>
    <row r="160" spans="1:12" ht="51" hidden="1" x14ac:dyDescent="0.3">
      <c r="A160" s="44" t="s">
        <v>198</v>
      </c>
      <c r="B160" s="45" t="s">
        <v>434</v>
      </c>
      <c r="C160" s="45" t="s">
        <v>437</v>
      </c>
      <c r="D160" s="45" t="s">
        <v>438</v>
      </c>
      <c r="E160" s="46" t="s">
        <v>302</v>
      </c>
      <c r="F160" s="52" t="s">
        <v>15</v>
      </c>
      <c r="G160" s="52"/>
      <c r="H160" s="46" t="s">
        <v>13</v>
      </c>
      <c r="I160" s="53">
        <v>107.23</v>
      </c>
      <c r="J160" s="53"/>
      <c r="K160" s="49" t="s">
        <v>8</v>
      </c>
      <c r="L160" s="50">
        <v>170929.07</v>
      </c>
    </row>
    <row r="161" spans="1:12" ht="51" hidden="1" x14ac:dyDescent="0.3">
      <c r="A161" s="44" t="s">
        <v>198</v>
      </c>
      <c r="B161" s="45" t="s">
        <v>434</v>
      </c>
      <c r="C161" s="45" t="s">
        <v>439</v>
      </c>
      <c r="D161" s="45" t="s">
        <v>440</v>
      </c>
      <c r="E161" s="46" t="s">
        <v>302</v>
      </c>
      <c r="F161" s="52" t="s">
        <v>15</v>
      </c>
      <c r="G161" s="52"/>
      <c r="H161" s="46" t="s">
        <v>13</v>
      </c>
      <c r="I161" s="53">
        <v>252.95</v>
      </c>
      <c r="J161" s="53"/>
      <c r="K161" s="49" t="s">
        <v>8</v>
      </c>
      <c r="L161" s="50">
        <v>170676.12</v>
      </c>
    </row>
    <row r="162" spans="1:12" ht="51" hidden="1" x14ac:dyDescent="0.3">
      <c r="A162" s="44" t="s">
        <v>198</v>
      </c>
      <c r="B162" s="45" t="s">
        <v>434</v>
      </c>
      <c r="C162" s="45" t="s">
        <v>441</v>
      </c>
      <c r="D162" s="45" t="s">
        <v>290</v>
      </c>
      <c r="E162" s="46" t="s">
        <v>302</v>
      </c>
      <c r="F162" s="52" t="s">
        <v>15</v>
      </c>
      <c r="G162" s="52"/>
      <c r="H162" s="46" t="s">
        <v>13</v>
      </c>
      <c r="I162" s="54">
        <v>5985.16</v>
      </c>
      <c r="J162" s="54"/>
      <c r="K162" s="49" t="s">
        <v>8</v>
      </c>
      <c r="L162" s="50">
        <v>164690.96</v>
      </c>
    </row>
    <row r="163" spans="1:12" ht="51" hidden="1" x14ac:dyDescent="0.3">
      <c r="A163" s="44" t="s">
        <v>198</v>
      </c>
      <c r="B163" s="45" t="s">
        <v>434</v>
      </c>
      <c r="C163" s="45" t="s">
        <v>442</v>
      </c>
      <c r="D163" s="45" t="s">
        <v>288</v>
      </c>
      <c r="E163" s="46" t="s">
        <v>302</v>
      </c>
      <c r="F163" s="52" t="s">
        <v>15</v>
      </c>
      <c r="G163" s="52"/>
      <c r="H163" s="46" t="s">
        <v>13</v>
      </c>
      <c r="I163" s="54">
        <v>5593.12</v>
      </c>
      <c r="J163" s="54"/>
      <c r="K163" s="49" t="s">
        <v>8</v>
      </c>
      <c r="L163" s="50">
        <v>159097.84</v>
      </c>
    </row>
    <row r="164" spans="1:12" ht="61.2" hidden="1" x14ac:dyDescent="0.3">
      <c r="A164" s="44" t="s">
        <v>198</v>
      </c>
      <c r="B164" s="45" t="s">
        <v>434</v>
      </c>
      <c r="C164" s="45" t="s">
        <v>443</v>
      </c>
      <c r="D164" s="45" t="s">
        <v>309</v>
      </c>
      <c r="E164" s="46" t="s">
        <v>302</v>
      </c>
      <c r="F164" s="52" t="s">
        <v>15</v>
      </c>
      <c r="G164" s="52"/>
      <c r="H164" s="46" t="s">
        <v>13</v>
      </c>
      <c r="I164" s="53">
        <v>148.76</v>
      </c>
      <c r="J164" s="53"/>
      <c r="K164" s="49" t="s">
        <v>8</v>
      </c>
      <c r="L164" s="50">
        <v>158949.07999999999</v>
      </c>
    </row>
    <row r="165" spans="1:12" ht="61.2" hidden="1" x14ac:dyDescent="0.3">
      <c r="A165" s="44" t="s">
        <v>198</v>
      </c>
      <c r="B165" s="45" t="s">
        <v>434</v>
      </c>
      <c r="C165" s="45" t="s">
        <v>444</v>
      </c>
      <c r="D165" s="45" t="s">
        <v>445</v>
      </c>
      <c r="E165" s="46" t="s">
        <v>302</v>
      </c>
      <c r="F165" s="52" t="s">
        <v>15</v>
      </c>
      <c r="G165" s="52"/>
      <c r="H165" s="46" t="s">
        <v>13</v>
      </c>
      <c r="I165" s="53">
        <v>65</v>
      </c>
      <c r="J165" s="53"/>
      <c r="K165" s="49" t="s">
        <v>8</v>
      </c>
      <c r="L165" s="50">
        <v>158884.07999999999</v>
      </c>
    </row>
    <row r="166" spans="1:12" ht="51" hidden="1" x14ac:dyDescent="0.3">
      <c r="A166" s="44" t="s">
        <v>198</v>
      </c>
      <c r="B166" s="45" t="s">
        <v>434</v>
      </c>
      <c r="C166" s="45" t="s">
        <v>446</v>
      </c>
      <c r="D166" s="45" t="s">
        <v>447</v>
      </c>
      <c r="E166" s="46" t="s">
        <v>302</v>
      </c>
      <c r="F166" s="52" t="s">
        <v>15</v>
      </c>
      <c r="G166" s="52"/>
      <c r="H166" s="46" t="s">
        <v>13</v>
      </c>
      <c r="I166" s="54">
        <v>12600</v>
      </c>
      <c r="J166" s="54"/>
      <c r="K166" s="49" t="s">
        <v>8</v>
      </c>
      <c r="L166" s="50">
        <v>146284.07999999999</v>
      </c>
    </row>
    <row r="167" spans="1:12" ht="51" hidden="1" x14ac:dyDescent="0.3">
      <c r="A167" s="44" t="s">
        <v>198</v>
      </c>
      <c r="B167" s="45" t="s">
        <v>434</v>
      </c>
      <c r="C167" s="45" t="s">
        <v>448</v>
      </c>
      <c r="D167" s="45" t="s">
        <v>449</v>
      </c>
      <c r="E167" s="46" t="s">
        <v>302</v>
      </c>
      <c r="F167" s="52" t="s">
        <v>15</v>
      </c>
      <c r="G167" s="52"/>
      <c r="H167" s="46" t="s">
        <v>13</v>
      </c>
      <c r="I167" s="54">
        <v>11371.33</v>
      </c>
      <c r="J167" s="54"/>
      <c r="K167" s="49" t="s">
        <v>8</v>
      </c>
      <c r="L167" s="50">
        <v>134912.75</v>
      </c>
    </row>
    <row r="168" spans="1:12" ht="51" hidden="1" x14ac:dyDescent="0.3">
      <c r="A168" s="44" t="s">
        <v>198</v>
      </c>
      <c r="B168" s="45" t="s">
        <v>434</v>
      </c>
      <c r="C168" s="45" t="s">
        <v>450</v>
      </c>
      <c r="D168" s="45" t="s">
        <v>451</v>
      </c>
      <c r="E168" s="46" t="s">
        <v>302</v>
      </c>
      <c r="F168" s="52" t="s">
        <v>15</v>
      </c>
      <c r="G168" s="52"/>
      <c r="H168" s="46" t="s">
        <v>13</v>
      </c>
      <c r="I168" s="54">
        <v>17419.89</v>
      </c>
      <c r="J168" s="54"/>
      <c r="K168" s="49" t="s">
        <v>8</v>
      </c>
      <c r="L168" s="50">
        <v>117492.86</v>
      </c>
    </row>
    <row r="169" spans="1:12" ht="61.2" hidden="1" x14ac:dyDescent="0.3">
      <c r="A169" s="44" t="s">
        <v>198</v>
      </c>
      <c r="B169" s="45" t="s">
        <v>434</v>
      </c>
      <c r="C169" s="45" t="s">
        <v>452</v>
      </c>
      <c r="D169" s="45" t="s">
        <v>405</v>
      </c>
      <c r="E169" s="46" t="s">
        <v>302</v>
      </c>
      <c r="F169" s="52" t="s">
        <v>15</v>
      </c>
      <c r="G169" s="52"/>
      <c r="H169" s="46" t="s">
        <v>13</v>
      </c>
      <c r="I169" s="54">
        <v>1516.64</v>
      </c>
      <c r="J169" s="54"/>
      <c r="K169" s="49" t="s">
        <v>8</v>
      </c>
      <c r="L169" s="50">
        <v>115976.22</v>
      </c>
    </row>
    <row r="170" spans="1:12" ht="51" hidden="1" x14ac:dyDescent="0.3">
      <c r="A170" s="44" t="s">
        <v>198</v>
      </c>
      <c r="B170" s="45" t="s">
        <v>434</v>
      </c>
      <c r="C170" s="45" t="s">
        <v>453</v>
      </c>
      <c r="D170" s="45" t="s">
        <v>340</v>
      </c>
      <c r="E170" s="46" t="s">
        <v>302</v>
      </c>
      <c r="F170" s="52" t="s">
        <v>15</v>
      </c>
      <c r="G170" s="52"/>
      <c r="H170" s="46" t="s">
        <v>13</v>
      </c>
      <c r="I170" s="54">
        <v>1777.8</v>
      </c>
      <c r="J170" s="54"/>
      <c r="K170" s="49" t="s">
        <v>8</v>
      </c>
      <c r="L170" s="50">
        <v>114198.42</v>
      </c>
    </row>
    <row r="171" spans="1:12" ht="61.2" hidden="1" x14ac:dyDescent="0.3">
      <c r="A171" s="44" t="s">
        <v>198</v>
      </c>
      <c r="B171" s="45" t="s">
        <v>434</v>
      </c>
      <c r="C171" s="45" t="s">
        <v>454</v>
      </c>
      <c r="D171" s="45" t="s">
        <v>341</v>
      </c>
      <c r="E171" s="46" t="s">
        <v>302</v>
      </c>
      <c r="F171" s="52" t="s">
        <v>15</v>
      </c>
      <c r="G171" s="52"/>
      <c r="H171" s="46" t="s">
        <v>13</v>
      </c>
      <c r="I171" s="53">
        <v>385.56</v>
      </c>
      <c r="J171" s="53"/>
      <c r="K171" s="49" t="s">
        <v>8</v>
      </c>
      <c r="L171" s="50">
        <v>113812.86</v>
      </c>
    </row>
    <row r="172" spans="1:12" ht="51" x14ac:dyDescent="0.3">
      <c r="A172" s="44" t="s">
        <v>198</v>
      </c>
      <c r="B172" s="45" t="s">
        <v>455</v>
      </c>
      <c r="C172" s="45" t="s">
        <v>390</v>
      </c>
      <c r="D172" s="45" t="s">
        <v>456</v>
      </c>
      <c r="E172" s="46" t="s">
        <v>26</v>
      </c>
      <c r="F172" s="52" t="s">
        <v>15</v>
      </c>
      <c r="G172" s="52"/>
      <c r="H172" s="46" t="s">
        <v>13</v>
      </c>
      <c r="I172" s="54">
        <v>5320</v>
      </c>
      <c r="J172" s="54"/>
      <c r="K172" s="49" t="s">
        <v>8</v>
      </c>
      <c r="L172" s="50">
        <v>108492.86</v>
      </c>
    </row>
    <row r="173" spans="1:12" ht="51" x14ac:dyDescent="0.3">
      <c r="A173" s="44" t="s">
        <v>198</v>
      </c>
      <c r="B173" s="45" t="s">
        <v>455</v>
      </c>
      <c r="C173" s="45" t="s">
        <v>390</v>
      </c>
      <c r="D173" s="45" t="s">
        <v>336</v>
      </c>
      <c r="E173" s="46" t="s">
        <v>26</v>
      </c>
      <c r="F173" s="52" t="s">
        <v>15</v>
      </c>
      <c r="G173" s="52"/>
      <c r="H173" s="46" t="s">
        <v>13</v>
      </c>
      <c r="I173" s="54">
        <v>6226.5</v>
      </c>
      <c r="J173" s="54"/>
      <c r="K173" s="49" t="s">
        <v>8</v>
      </c>
      <c r="L173" s="50">
        <v>102266.36</v>
      </c>
    </row>
    <row r="174" spans="1:12" ht="51" x14ac:dyDescent="0.3">
      <c r="A174" s="44" t="s">
        <v>198</v>
      </c>
      <c r="B174" s="45" t="s">
        <v>455</v>
      </c>
      <c r="C174" s="45" t="s">
        <v>390</v>
      </c>
      <c r="D174" s="45" t="s">
        <v>366</v>
      </c>
      <c r="E174" s="46" t="s">
        <v>26</v>
      </c>
      <c r="F174" s="52" t="s">
        <v>15</v>
      </c>
      <c r="G174" s="52"/>
      <c r="H174" s="46" t="s">
        <v>13</v>
      </c>
      <c r="I174" s="53">
        <v>250</v>
      </c>
      <c r="J174" s="53"/>
      <c r="K174" s="49" t="s">
        <v>8</v>
      </c>
      <c r="L174" s="50">
        <v>102016.36</v>
      </c>
    </row>
    <row r="175" spans="1:12" ht="51" x14ac:dyDescent="0.3">
      <c r="A175" s="44" t="s">
        <v>198</v>
      </c>
      <c r="B175" s="45" t="s">
        <v>455</v>
      </c>
      <c r="C175" s="45" t="s">
        <v>390</v>
      </c>
      <c r="D175" s="45" t="s">
        <v>269</v>
      </c>
      <c r="E175" s="46" t="s">
        <v>26</v>
      </c>
      <c r="F175" s="52" t="s">
        <v>15</v>
      </c>
      <c r="G175" s="52"/>
      <c r="H175" s="46" t="s">
        <v>13</v>
      </c>
      <c r="I175" s="53">
        <v>137.55000000000001</v>
      </c>
      <c r="J175" s="53"/>
      <c r="K175" s="49" t="s">
        <v>8</v>
      </c>
      <c r="L175" s="50">
        <v>101878.81</v>
      </c>
    </row>
    <row r="176" spans="1:12" ht="51" x14ac:dyDescent="0.3">
      <c r="A176" s="44" t="s">
        <v>198</v>
      </c>
      <c r="B176" s="45" t="s">
        <v>455</v>
      </c>
      <c r="C176" s="45" t="s">
        <v>390</v>
      </c>
      <c r="D176" s="45" t="s">
        <v>270</v>
      </c>
      <c r="E176" s="46" t="s">
        <v>26</v>
      </c>
      <c r="F176" s="52" t="s">
        <v>15</v>
      </c>
      <c r="G176" s="52"/>
      <c r="H176" s="46" t="s">
        <v>13</v>
      </c>
      <c r="I176" s="53">
        <v>78.3</v>
      </c>
      <c r="J176" s="53"/>
      <c r="K176" s="49" t="s">
        <v>8</v>
      </c>
      <c r="L176" s="50">
        <v>101800.51</v>
      </c>
    </row>
    <row r="177" spans="1:12" ht="61.2" x14ac:dyDescent="0.3">
      <c r="A177" s="44" t="s">
        <v>198</v>
      </c>
      <c r="B177" s="45" t="s">
        <v>455</v>
      </c>
      <c r="C177" s="45" t="s">
        <v>390</v>
      </c>
      <c r="D177" s="45" t="s">
        <v>370</v>
      </c>
      <c r="E177" s="46" t="s">
        <v>26</v>
      </c>
      <c r="F177" s="52" t="s">
        <v>15</v>
      </c>
      <c r="G177" s="52"/>
      <c r="H177" s="46" t="s">
        <v>13</v>
      </c>
      <c r="I177" s="53">
        <v>126.8</v>
      </c>
      <c r="J177" s="53"/>
      <c r="K177" s="49" t="s">
        <v>8</v>
      </c>
      <c r="L177" s="50">
        <v>101673.71</v>
      </c>
    </row>
    <row r="178" spans="1:12" ht="51" x14ac:dyDescent="0.3">
      <c r="A178" s="44" t="s">
        <v>198</v>
      </c>
      <c r="B178" s="45" t="s">
        <v>455</v>
      </c>
      <c r="C178" s="45" t="s">
        <v>390</v>
      </c>
      <c r="D178" s="45" t="s">
        <v>266</v>
      </c>
      <c r="E178" s="46" t="s">
        <v>26</v>
      </c>
      <c r="F178" s="52" t="s">
        <v>15</v>
      </c>
      <c r="G178" s="52"/>
      <c r="H178" s="46" t="s">
        <v>13</v>
      </c>
      <c r="I178" s="53">
        <v>167.4</v>
      </c>
      <c r="J178" s="53"/>
      <c r="K178" s="49" t="s">
        <v>8</v>
      </c>
      <c r="L178" s="50">
        <v>101506.31</v>
      </c>
    </row>
    <row r="179" spans="1:12" ht="51" x14ac:dyDescent="0.3">
      <c r="A179" s="44" t="s">
        <v>198</v>
      </c>
      <c r="B179" s="45" t="s">
        <v>455</v>
      </c>
      <c r="C179" s="45" t="s">
        <v>390</v>
      </c>
      <c r="D179" s="45" t="s">
        <v>265</v>
      </c>
      <c r="E179" s="46" t="s">
        <v>26</v>
      </c>
      <c r="F179" s="52" t="s">
        <v>15</v>
      </c>
      <c r="G179" s="52"/>
      <c r="H179" s="46" t="s">
        <v>13</v>
      </c>
      <c r="I179" s="53">
        <v>271.2</v>
      </c>
      <c r="J179" s="53"/>
      <c r="K179" s="49" t="s">
        <v>8</v>
      </c>
      <c r="L179" s="50">
        <v>101235.11</v>
      </c>
    </row>
    <row r="180" spans="1:12" ht="51" x14ac:dyDescent="0.3">
      <c r="A180" s="44" t="s">
        <v>198</v>
      </c>
      <c r="B180" s="45" t="s">
        <v>455</v>
      </c>
      <c r="C180" s="45" t="s">
        <v>390</v>
      </c>
      <c r="D180" s="45" t="s">
        <v>363</v>
      </c>
      <c r="E180" s="46" t="s">
        <v>26</v>
      </c>
      <c r="F180" s="52" t="s">
        <v>15</v>
      </c>
      <c r="G180" s="52"/>
      <c r="H180" s="46" t="s">
        <v>13</v>
      </c>
      <c r="I180" s="54">
        <v>1484.7</v>
      </c>
      <c r="J180" s="54"/>
      <c r="K180" s="49" t="s">
        <v>8</v>
      </c>
      <c r="L180" s="50">
        <v>99750.41</v>
      </c>
    </row>
    <row r="181" spans="1:12" ht="51" x14ac:dyDescent="0.3">
      <c r="A181" s="44" t="s">
        <v>198</v>
      </c>
      <c r="B181" s="45" t="s">
        <v>455</v>
      </c>
      <c r="C181" s="45" t="s">
        <v>390</v>
      </c>
      <c r="D181" s="45" t="s">
        <v>457</v>
      </c>
      <c r="E181" s="46" t="s">
        <v>26</v>
      </c>
      <c r="F181" s="52" t="s">
        <v>15</v>
      </c>
      <c r="G181" s="52"/>
      <c r="H181" s="46" t="s">
        <v>13</v>
      </c>
      <c r="I181" s="53">
        <v>404.5</v>
      </c>
      <c r="J181" s="53"/>
      <c r="K181" s="49" t="s">
        <v>8</v>
      </c>
      <c r="L181" s="50">
        <v>99345.91</v>
      </c>
    </row>
    <row r="182" spans="1:12" ht="51" x14ac:dyDescent="0.3">
      <c r="A182" s="44" t="s">
        <v>198</v>
      </c>
      <c r="B182" s="45" t="s">
        <v>455</v>
      </c>
      <c r="C182" s="45" t="s">
        <v>390</v>
      </c>
      <c r="D182" s="45" t="s">
        <v>458</v>
      </c>
      <c r="E182" s="46" t="s">
        <v>26</v>
      </c>
      <c r="F182" s="52" t="s">
        <v>15</v>
      </c>
      <c r="G182" s="52"/>
      <c r="H182" s="46" t="s">
        <v>13</v>
      </c>
      <c r="I182" s="54">
        <v>1545</v>
      </c>
      <c r="J182" s="54"/>
      <c r="K182" s="49" t="s">
        <v>8</v>
      </c>
      <c r="L182" s="50">
        <v>97800.91</v>
      </c>
    </row>
    <row r="183" spans="1:12" ht="61.2" x14ac:dyDescent="0.3">
      <c r="A183" s="44" t="s">
        <v>198</v>
      </c>
      <c r="B183" s="45" t="s">
        <v>455</v>
      </c>
      <c r="C183" s="45" t="s">
        <v>390</v>
      </c>
      <c r="D183" s="45" t="s">
        <v>459</v>
      </c>
      <c r="E183" s="46" t="s">
        <v>26</v>
      </c>
      <c r="F183" s="52" t="s">
        <v>15</v>
      </c>
      <c r="G183" s="52"/>
      <c r="H183" s="46" t="s">
        <v>13</v>
      </c>
      <c r="I183" s="53">
        <v>437.5</v>
      </c>
      <c r="J183" s="53"/>
      <c r="K183" s="49" t="s">
        <v>8</v>
      </c>
      <c r="L183" s="50">
        <v>97363.41</v>
      </c>
    </row>
    <row r="184" spans="1:12" ht="51" x14ac:dyDescent="0.3">
      <c r="A184" s="44" t="s">
        <v>198</v>
      </c>
      <c r="B184" s="45" t="s">
        <v>455</v>
      </c>
      <c r="C184" s="45" t="s">
        <v>390</v>
      </c>
      <c r="D184" s="45" t="s">
        <v>460</v>
      </c>
      <c r="E184" s="46" t="s">
        <v>26</v>
      </c>
      <c r="F184" s="52" t="s">
        <v>15</v>
      </c>
      <c r="G184" s="52"/>
      <c r="H184" s="46" t="s">
        <v>13</v>
      </c>
      <c r="I184" s="54">
        <v>1370.85</v>
      </c>
      <c r="J184" s="54"/>
      <c r="K184" s="49" t="s">
        <v>8</v>
      </c>
      <c r="L184" s="50">
        <v>95992.56</v>
      </c>
    </row>
    <row r="185" spans="1:12" ht="51" x14ac:dyDescent="0.3">
      <c r="A185" s="44" t="s">
        <v>198</v>
      </c>
      <c r="B185" s="45" t="s">
        <v>455</v>
      </c>
      <c r="C185" s="45" t="s">
        <v>390</v>
      </c>
      <c r="D185" s="45" t="s">
        <v>356</v>
      </c>
      <c r="E185" s="46" t="s">
        <v>26</v>
      </c>
      <c r="F185" s="52" t="s">
        <v>15</v>
      </c>
      <c r="G185" s="52"/>
      <c r="H185" s="46" t="s">
        <v>13</v>
      </c>
      <c r="I185" s="53">
        <v>735.2</v>
      </c>
      <c r="J185" s="53"/>
      <c r="K185" s="49" t="s">
        <v>8</v>
      </c>
      <c r="L185" s="50">
        <v>95257.36</v>
      </c>
    </row>
    <row r="186" spans="1:12" ht="51" x14ac:dyDescent="0.3">
      <c r="A186" s="44" t="s">
        <v>198</v>
      </c>
      <c r="B186" s="45" t="s">
        <v>455</v>
      </c>
      <c r="C186" s="45" t="s">
        <v>390</v>
      </c>
      <c r="D186" s="45" t="s">
        <v>349</v>
      </c>
      <c r="E186" s="46" t="s">
        <v>26</v>
      </c>
      <c r="F186" s="52" t="s">
        <v>15</v>
      </c>
      <c r="G186" s="52"/>
      <c r="H186" s="46" t="s">
        <v>13</v>
      </c>
      <c r="I186" s="53">
        <v>533.4</v>
      </c>
      <c r="J186" s="53"/>
      <c r="K186" s="49" t="s">
        <v>8</v>
      </c>
      <c r="L186" s="50">
        <v>94723.96</v>
      </c>
    </row>
    <row r="187" spans="1:12" ht="51" x14ac:dyDescent="0.3">
      <c r="A187" s="44" t="s">
        <v>198</v>
      </c>
      <c r="B187" s="45" t="s">
        <v>455</v>
      </c>
      <c r="C187" s="45" t="s">
        <v>390</v>
      </c>
      <c r="D187" s="45" t="s">
        <v>350</v>
      </c>
      <c r="E187" s="46" t="s">
        <v>26</v>
      </c>
      <c r="F187" s="52" t="s">
        <v>15</v>
      </c>
      <c r="G187" s="52"/>
      <c r="H187" s="46" t="s">
        <v>13</v>
      </c>
      <c r="I187" s="53">
        <v>231.7</v>
      </c>
      <c r="J187" s="53"/>
      <c r="K187" s="49" t="s">
        <v>8</v>
      </c>
      <c r="L187" s="50">
        <v>94492.26</v>
      </c>
    </row>
    <row r="188" spans="1:12" ht="51" x14ac:dyDescent="0.3">
      <c r="A188" s="44" t="s">
        <v>198</v>
      </c>
      <c r="B188" s="45" t="s">
        <v>455</v>
      </c>
      <c r="C188" s="45" t="s">
        <v>390</v>
      </c>
      <c r="D188" s="45" t="s">
        <v>272</v>
      </c>
      <c r="E188" s="46" t="s">
        <v>26</v>
      </c>
      <c r="F188" s="52" t="s">
        <v>15</v>
      </c>
      <c r="G188" s="52"/>
      <c r="H188" s="46" t="s">
        <v>13</v>
      </c>
      <c r="I188" s="53">
        <v>731.6</v>
      </c>
      <c r="J188" s="53"/>
      <c r="K188" s="49" t="s">
        <v>8</v>
      </c>
      <c r="L188" s="50">
        <v>93760.66</v>
      </c>
    </row>
    <row r="189" spans="1:12" ht="51" x14ac:dyDescent="0.3">
      <c r="A189" s="44" t="s">
        <v>198</v>
      </c>
      <c r="B189" s="45" t="s">
        <v>455</v>
      </c>
      <c r="C189" s="45" t="s">
        <v>390</v>
      </c>
      <c r="D189" s="45" t="s">
        <v>354</v>
      </c>
      <c r="E189" s="46" t="s">
        <v>26</v>
      </c>
      <c r="F189" s="52" t="s">
        <v>15</v>
      </c>
      <c r="G189" s="52"/>
      <c r="H189" s="46" t="s">
        <v>13</v>
      </c>
      <c r="I189" s="53">
        <v>153.15</v>
      </c>
      <c r="J189" s="53"/>
      <c r="K189" s="49" t="s">
        <v>8</v>
      </c>
      <c r="L189" s="50">
        <v>93607.51</v>
      </c>
    </row>
    <row r="190" spans="1:12" ht="51" x14ac:dyDescent="0.3">
      <c r="A190" s="44" t="s">
        <v>198</v>
      </c>
      <c r="B190" s="45" t="s">
        <v>455</v>
      </c>
      <c r="C190" s="45" t="s">
        <v>390</v>
      </c>
      <c r="D190" s="45" t="s">
        <v>461</v>
      </c>
      <c r="E190" s="46" t="s">
        <v>26</v>
      </c>
      <c r="F190" s="52" t="s">
        <v>15</v>
      </c>
      <c r="G190" s="52"/>
      <c r="H190" s="46" t="s">
        <v>13</v>
      </c>
      <c r="I190" s="54">
        <v>1366.5</v>
      </c>
      <c r="J190" s="54"/>
      <c r="K190" s="49" t="s">
        <v>8</v>
      </c>
      <c r="L190" s="50">
        <v>92241.01</v>
      </c>
    </row>
    <row r="191" spans="1:12" ht="51" x14ac:dyDescent="0.3">
      <c r="A191" s="44" t="s">
        <v>198</v>
      </c>
      <c r="B191" s="45" t="s">
        <v>455</v>
      </c>
      <c r="C191" s="45" t="s">
        <v>390</v>
      </c>
      <c r="D191" s="45" t="s">
        <v>313</v>
      </c>
      <c r="E191" s="46" t="s">
        <v>26</v>
      </c>
      <c r="F191" s="52" t="s">
        <v>15</v>
      </c>
      <c r="G191" s="52"/>
      <c r="H191" s="46" t="s">
        <v>13</v>
      </c>
      <c r="I191" s="53">
        <v>323.2</v>
      </c>
      <c r="J191" s="53"/>
      <c r="K191" s="49" t="s">
        <v>8</v>
      </c>
      <c r="L191" s="50">
        <v>91917.81</v>
      </c>
    </row>
    <row r="192" spans="1:12" ht="51" x14ac:dyDescent="0.3">
      <c r="A192" s="44" t="s">
        <v>198</v>
      </c>
      <c r="B192" s="45" t="s">
        <v>455</v>
      </c>
      <c r="C192" s="45" t="s">
        <v>390</v>
      </c>
      <c r="D192" s="45" t="s">
        <v>259</v>
      </c>
      <c r="E192" s="46" t="s">
        <v>26</v>
      </c>
      <c r="F192" s="52" t="s">
        <v>15</v>
      </c>
      <c r="G192" s="52"/>
      <c r="H192" s="46" t="s">
        <v>13</v>
      </c>
      <c r="I192" s="53">
        <v>212.6</v>
      </c>
      <c r="J192" s="53"/>
      <c r="K192" s="49" t="s">
        <v>8</v>
      </c>
      <c r="L192" s="50">
        <v>91705.21</v>
      </c>
    </row>
    <row r="193" spans="1:12" ht="51" x14ac:dyDescent="0.3">
      <c r="A193" s="44" t="s">
        <v>198</v>
      </c>
      <c r="B193" s="45" t="s">
        <v>455</v>
      </c>
      <c r="C193" s="45" t="s">
        <v>390</v>
      </c>
      <c r="D193" s="45" t="s">
        <v>333</v>
      </c>
      <c r="E193" s="46" t="s">
        <v>26</v>
      </c>
      <c r="F193" s="52" t="s">
        <v>15</v>
      </c>
      <c r="G193" s="52"/>
      <c r="H193" s="46" t="s">
        <v>13</v>
      </c>
      <c r="I193" s="53">
        <v>525</v>
      </c>
      <c r="J193" s="53"/>
      <c r="K193" s="49" t="s">
        <v>8</v>
      </c>
      <c r="L193" s="50">
        <v>91180.21</v>
      </c>
    </row>
    <row r="194" spans="1:12" ht="51" x14ac:dyDescent="0.3">
      <c r="A194" s="44" t="s">
        <v>198</v>
      </c>
      <c r="B194" s="45" t="s">
        <v>455</v>
      </c>
      <c r="C194" s="45" t="s">
        <v>390</v>
      </c>
      <c r="D194" s="45" t="s">
        <v>462</v>
      </c>
      <c r="E194" s="46" t="s">
        <v>26</v>
      </c>
      <c r="F194" s="52" t="s">
        <v>15</v>
      </c>
      <c r="G194" s="52"/>
      <c r="H194" s="46" t="s">
        <v>13</v>
      </c>
      <c r="I194" s="53">
        <v>318.35000000000002</v>
      </c>
      <c r="J194" s="53"/>
      <c r="K194" s="49" t="s">
        <v>8</v>
      </c>
      <c r="L194" s="50">
        <v>90861.86</v>
      </c>
    </row>
    <row r="195" spans="1:12" ht="51" x14ac:dyDescent="0.3">
      <c r="A195" s="44" t="s">
        <v>198</v>
      </c>
      <c r="B195" s="45" t="s">
        <v>463</v>
      </c>
      <c r="C195" s="45" t="s">
        <v>390</v>
      </c>
      <c r="D195" s="45" t="s">
        <v>254</v>
      </c>
      <c r="E195" s="46" t="s">
        <v>26</v>
      </c>
      <c r="F195" s="52" t="s">
        <v>15</v>
      </c>
      <c r="G195" s="52"/>
      <c r="H195" s="46" t="s">
        <v>13</v>
      </c>
      <c r="I195" s="54">
        <v>1585</v>
      </c>
      <c r="J195" s="54"/>
      <c r="K195" s="49" t="s">
        <v>8</v>
      </c>
      <c r="L195" s="50">
        <v>89276.86</v>
      </c>
    </row>
    <row r="196" spans="1:12" ht="61.2" x14ac:dyDescent="0.3">
      <c r="A196" s="44" t="s">
        <v>198</v>
      </c>
      <c r="B196" s="45" t="s">
        <v>463</v>
      </c>
      <c r="C196" s="45" t="s">
        <v>390</v>
      </c>
      <c r="D196" s="45" t="s">
        <v>464</v>
      </c>
      <c r="E196" s="46" t="s">
        <v>26</v>
      </c>
      <c r="F196" s="52" t="s">
        <v>15</v>
      </c>
      <c r="G196" s="52"/>
      <c r="H196" s="46" t="s">
        <v>13</v>
      </c>
      <c r="I196" s="54">
        <v>1102.5</v>
      </c>
      <c r="J196" s="54"/>
      <c r="K196" s="49" t="s">
        <v>8</v>
      </c>
      <c r="L196" s="50">
        <v>88174.36</v>
      </c>
    </row>
    <row r="197" spans="1:12" ht="61.2" x14ac:dyDescent="0.3">
      <c r="A197" s="44" t="s">
        <v>198</v>
      </c>
      <c r="B197" s="45" t="s">
        <v>463</v>
      </c>
      <c r="C197" s="45" t="s">
        <v>390</v>
      </c>
      <c r="D197" s="45" t="s">
        <v>465</v>
      </c>
      <c r="E197" s="46" t="s">
        <v>26</v>
      </c>
      <c r="F197" s="52" t="s">
        <v>15</v>
      </c>
      <c r="G197" s="52"/>
      <c r="H197" s="46" t="s">
        <v>13</v>
      </c>
      <c r="I197" s="54">
        <v>1023.8</v>
      </c>
      <c r="J197" s="54"/>
      <c r="K197" s="49" t="s">
        <v>8</v>
      </c>
      <c r="L197" s="50">
        <v>87150.56</v>
      </c>
    </row>
    <row r="198" spans="1:12" ht="51" x14ac:dyDescent="0.3">
      <c r="A198" s="44" t="s">
        <v>198</v>
      </c>
      <c r="B198" s="45" t="s">
        <v>463</v>
      </c>
      <c r="C198" s="45" t="s">
        <v>390</v>
      </c>
      <c r="D198" s="45" t="s">
        <v>274</v>
      </c>
      <c r="E198" s="46" t="s">
        <v>26</v>
      </c>
      <c r="F198" s="52" t="s">
        <v>15</v>
      </c>
      <c r="G198" s="52"/>
      <c r="H198" s="46" t="s">
        <v>13</v>
      </c>
      <c r="I198" s="53">
        <v>725</v>
      </c>
      <c r="J198" s="53"/>
      <c r="K198" s="49" t="s">
        <v>8</v>
      </c>
      <c r="L198" s="50">
        <v>86425.56</v>
      </c>
    </row>
    <row r="199" spans="1:12" ht="51" x14ac:dyDescent="0.3">
      <c r="A199" s="44" t="s">
        <v>198</v>
      </c>
      <c r="B199" s="45" t="s">
        <v>463</v>
      </c>
      <c r="C199" s="45" t="s">
        <v>390</v>
      </c>
      <c r="D199" s="45" t="s">
        <v>360</v>
      </c>
      <c r="E199" s="46" t="s">
        <v>26</v>
      </c>
      <c r="F199" s="52" t="s">
        <v>15</v>
      </c>
      <c r="G199" s="52"/>
      <c r="H199" s="46" t="s">
        <v>13</v>
      </c>
      <c r="I199" s="53">
        <v>178.5</v>
      </c>
      <c r="J199" s="53"/>
      <c r="K199" s="49" t="s">
        <v>8</v>
      </c>
      <c r="L199" s="50">
        <v>86247.06</v>
      </c>
    </row>
    <row r="200" spans="1:12" ht="51" x14ac:dyDescent="0.3">
      <c r="A200" s="44" t="s">
        <v>198</v>
      </c>
      <c r="B200" s="45" t="s">
        <v>463</v>
      </c>
      <c r="C200" s="45" t="s">
        <v>390</v>
      </c>
      <c r="D200" s="45" t="s">
        <v>343</v>
      </c>
      <c r="E200" s="46" t="s">
        <v>26</v>
      </c>
      <c r="F200" s="52" t="s">
        <v>15</v>
      </c>
      <c r="G200" s="52"/>
      <c r="H200" s="46" t="s">
        <v>13</v>
      </c>
      <c r="I200" s="53">
        <v>382.65</v>
      </c>
      <c r="J200" s="53"/>
      <c r="K200" s="49" t="s">
        <v>8</v>
      </c>
      <c r="L200" s="50">
        <v>85864.41</v>
      </c>
    </row>
    <row r="201" spans="1:12" ht="51" x14ac:dyDescent="0.3">
      <c r="A201" s="44" t="s">
        <v>198</v>
      </c>
      <c r="B201" s="45" t="s">
        <v>463</v>
      </c>
      <c r="C201" s="45" t="s">
        <v>390</v>
      </c>
      <c r="D201" s="45" t="s">
        <v>346</v>
      </c>
      <c r="E201" s="46" t="s">
        <v>26</v>
      </c>
      <c r="F201" s="52" t="s">
        <v>15</v>
      </c>
      <c r="G201" s="52"/>
      <c r="H201" s="46" t="s">
        <v>13</v>
      </c>
      <c r="I201" s="53">
        <v>131.30000000000001</v>
      </c>
      <c r="J201" s="53"/>
      <c r="K201" s="49" t="s">
        <v>8</v>
      </c>
      <c r="L201" s="50">
        <v>85733.11</v>
      </c>
    </row>
    <row r="202" spans="1:12" ht="51" x14ac:dyDescent="0.3">
      <c r="A202" s="44" t="s">
        <v>198</v>
      </c>
      <c r="B202" s="45" t="s">
        <v>463</v>
      </c>
      <c r="C202" s="45" t="s">
        <v>390</v>
      </c>
      <c r="D202" s="45" t="s">
        <v>337</v>
      </c>
      <c r="E202" s="46" t="s">
        <v>26</v>
      </c>
      <c r="F202" s="52" t="s">
        <v>15</v>
      </c>
      <c r="G202" s="52"/>
      <c r="H202" s="46" t="s">
        <v>13</v>
      </c>
      <c r="I202" s="54">
        <v>1168</v>
      </c>
      <c r="J202" s="54"/>
      <c r="K202" s="49" t="s">
        <v>8</v>
      </c>
      <c r="L202" s="50">
        <v>84565.11</v>
      </c>
    </row>
    <row r="203" spans="1:12" ht="51" x14ac:dyDescent="0.3">
      <c r="A203" s="44" t="s">
        <v>198</v>
      </c>
      <c r="B203" s="45" t="s">
        <v>463</v>
      </c>
      <c r="C203" s="45" t="s">
        <v>390</v>
      </c>
      <c r="D203" s="45" t="s">
        <v>466</v>
      </c>
      <c r="E203" s="46" t="s">
        <v>26</v>
      </c>
      <c r="F203" s="52" t="s">
        <v>15</v>
      </c>
      <c r="G203" s="52"/>
      <c r="H203" s="46" t="s">
        <v>13</v>
      </c>
      <c r="I203" s="53">
        <v>135</v>
      </c>
      <c r="J203" s="53"/>
      <c r="K203" s="49" t="s">
        <v>8</v>
      </c>
      <c r="L203" s="50">
        <v>84430.11</v>
      </c>
    </row>
    <row r="204" spans="1:12" ht="61.2" x14ac:dyDescent="0.3">
      <c r="A204" s="44" t="s">
        <v>198</v>
      </c>
      <c r="B204" s="45" t="s">
        <v>463</v>
      </c>
      <c r="C204" s="45" t="s">
        <v>390</v>
      </c>
      <c r="D204" s="45" t="s">
        <v>277</v>
      </c>
      <c r="E204" s="46" t="s">
        <v>26</v>
      </c>
      <c r="F204" s="52" t="s">
        <v>15</v>
      </c>
      <c r="G204" s="52"/>
      <c r="H204" s="46" t="s">
        <v>13</v>
      </c>
      <c r="I204" s="53">
        <v>255.05</v>
      </c>
      <c r="J204" s="53"/>
      <c r="K204" s="49" t="s">
        <v>8</v>
      </c>
      <c r="L204" s="50">
        <v>84175.06</v>
      </c>
    </row>
    <row r="205" spans="1:12" ht="51" x14ac:dyDescent="0.3">
      <c r="A205" s="44" t="s">
        <v>198</v>
      </c>
      <c r="B205" s="45" t="s">
        <v>463</v>
      </c>
      <c r="C205" s="45" t="s">
        <v>390</v>
      </c>
      <c r="D205" s="45" t="s">
        <v>334</v>
      </c>
      <c r="E205" s="46" t="s">
        <v>26</v>
      </c>
      <c r="F205" s="52" t="s">
        <v>15</v>
      </c>
      <c r="G205" s="52"/>
      <c r="H205" s="46" t="s">
        <v>13</v>
      </c>
      <c r="I205" s="53">
        <v>648</v>
      </c>
      <c r="J205" s="53"/>
      <c r="K205" s="49" t="s">
        <v>8</v>
      </c>
      <c r="L205" s="50">
        <v>83527.06</v>
      </c>
    </row>
    <row r="206" spans="1:12" ht="61.2" x14ac:dyDescent="0.3">
      <c r="A206" s="44" t="s">
        <v>198</v>
      </c>
      <c r="B206" s="45" t="s">
        <v>467</v>
      </c>
      <c r="C206" s="45" t="s">
        <v>390</v>
      </c>
      <c r="D206" s="45" t="s">
        <v>244</v>
      </c>
      <c r="E206" s="46" t="s">
        <v>26</v>
      </c>
      <c r="F206" s="52" t="s">
        <v>15</v>
      </c>
      <c r="G206" s="52"/>
      <c r="H206" s="46" t="s">
        <v>13</v>
      </c>
      <c r="I206" s="53">
        <v>868.35</v>
      </c>
      <c r="J206" s="53"/>
      <c r="K206" s="49" t="s">
        <v>8</v>
      </c>
      <c r="L206" s="50">
        <v>82658.710000000006</v>
      </c>
    </row>
    <row r="207" spans="1:12" ht="61.2" x14ac:dyDescent="0.3">
      <c r="A207" s="44" t="s">
        <v>198</v>
      </c>
      <c r="B207" s="45" t="s">
        <v>467</v>
      </c>
      <c r="C207" s="45" t="s">
        <v>390</v>
      </c>
      <c r="D207" s="45" t="s">
        <v>242</v>
      </c>
      <c r="E207" s="46" t="s">
        <v>26</v>
      </c>
      <c r="F207" s="52" t="s">
        <v>15</v>
      </c>
      <c r="G207" s="52"/>
      <c r="H207" s="46" t="s">
        <v>13</v>
      </c>
      <c r="I207" s="53">
        <v>826.68</v>
      </c>
      <c r="J207" s="53"/>
      <c r="K207" s="49" t="s">
        <v>8</v>
      </c>
      <c r="L207" s="50">
        <v>81832.03</v>
      </c>
    </row>
    <row r="208" spans="1:12" ht="51" x14ac:dyDescent="0.3">
      <c r="A208" s="44" t="s">
        <v>198</v>
      </c>
      <c r="B208" s="45" t="s">
        <v>467</v>
      </c>
      <c r="C208" s="45" t="s">
        <v>390</v>
      </c>
      <c r="D208" s="45" t="s">
        <v>468</v>
      </c>
      <c r="E208" s="46" t="s">
        <v>26</v>
      </c>
      <c r="F208" s="52" t="s">
        <v>15</v>
      </c>
      <c r="G208" s="52"/>
      <c r="H208" s="46" t="s">
        <v>13</v>
      </c>
      <c r="I208" s="53">
        <v>318.35000000000002</v>
      </c>
      <c r="J208" s="53"/>
      <c r="K208" s="49" t="s">
        <v>8</v>
      </c>
      <c r="L208" s="50">
        <v>81513.679999999993</v>
      </c>
    </row>
    <row r="209" spans="1:12" ht="51" x14ac:dyDescent="0.3">
      <c r="A209" s="44" t="s">
        <v>198</v>
      </c>
      <c r="B209" s="45" t="s">
        <v>467</v>
      </c>
      <c r="C209" s="45" t="s">
        <v>390</v>
      </c>
      <c r="D209" s="45" t="s">
        <v>469</v>
      </c>
      <c r="E209" s="46" t="s">
        <v>26</v>
      </c>
      <c r="F209" s="52" t="s">
        <v>15</v>
      </c>
      <c r="G209" s="52"/>
      <c r="H209" s="46" t="s">
        <v>13</v>
      </c>
      <c r="I209" s="53">
        <v>302.92</v>
      </c>
      <c r="J209" s="53"/>
      <c r="K209" s="49" t="s">
        <v>8</v>
      </c>
      <c r="L209" s="50">
        <v>81210.759999999995</v>
      </c>
    </row>
    <row r="210" spans="1:12" ht="51" x14ac:dyDescent="0.3">
      <c r="A210" s="44" t="s">
        <v>470</v>
      </c>
      <c r="B210" s="45" t="s">
        <v>471</v>
      </c>
      <c r="C210" s="45" t="s">
        <v>390</v>
      </c>
      <c r="D210" s="45" t="s">
        <v>261</v>
      </c>
      <c r="E210" s="46" t="s">
        <v>26</v>
      </c>
      <c r="F210" s="52" t="s">
        <v>15</v>
      </c>
      <c r="G210" s="52"/>
      <c r="H210" s="46" t="s">
        <v>13</v>
      </c>
      <c r="I210" s="53">
        <v>339.7</v>
      </c>
      <c r="J210" s="53"/>
      <c r="K210" s="49" t="s">
        <v>8</v>
      </c>
      <c r="L210" s="50">
        <v>80871.06</v>
      </c>
    </row>
    <row r="211" spans="1:12" ht="61.2" x14ac:dyDescent="0.3">
      <c r="A211" s="44" t="s">
        <v>470</v>
      </c>
      <c r="B211" s="45" t="s">
        <v>471</v>
      </c>
      <c r="C211" s="45" t="s">
        <v>390</v>
      </c>
      <c r="D211" s="45" t="s">
        <v>472</v>
      </c>
      <c r="E211" s="46" t="s">
        <v>26</v>
      </c>
      <c r="F211" s="52" t="s">
        <v>15</v>
      </c>
      <c r="G211" s="52"/>
      <c r="H211" s="46" t="s">
        <v>13</v>
      </c>
      <c r="I211" s="53">
        <v>58.99</v>
      </c>
      <c r="J211" s="53"/>
      <c r="K211" s="49" t="s">
        <v>8</v>
      </c>
      <c r="L211" s="50">
        <v>80812.070000000007</v>
      </c>
    </row>
    <row r="212" spans="1:12" ht="61.2" x14ac:dyDescent="0.3">
      <c r="A212" s="44" t="s">
        <v>470</v>
      </c>
      <c r="B212" s="45" t="s">
        <v>471</v>
      </c>
      <c r="C212" s="45" t="s">
        <v>390</v>
      </c>
      <c r="D212" s="45" t="s">
        <v>310</v>
      </c>
      <c r="E212" s="46" t="s">
        <v>26</v>
      </c>
      <c r="F212" s="52" t="s">
        <v>15</v>
      </c>
      <c r="G212" s="52"/>
      <c r="H212" s="46" t="s">
        <v>13</v>
      </c>
      <c r="I212" s="53">
        <v>67.37</v>
      </c>
      <c r="J212" s="53"/>
      <c r="K212" s="49" t="s">
        <v>8</v>
      </c>
      <c r="L212" s="50">
        <v>80744.7</v>
      </c>
    </row>
    <row r="213" spans="1:12" ht="51" x14ac:dyDescent="0.3">
      <c r="A213" s="44" t="s">
        <v>470</v>
      </c>
      <c r="B213" s="45" t="s">
        <v>471</v>
      </c>
      <c r="C213" s="45" t="s">
        <v>390</v>
      </c>
      <c r="D213" s="45" t="s">
        <v>378</v>
      </c>
      <c r="E213" s="46" t="s">
        <v>26</v>
      </c>
      <c r="F213" s="52" t="s">
        <v>15</v>
      </c>
      <c r="G213" s="52"/>
      <c r="H213" s="46" t="s">
        <v>13</v>
      </c>
      <c r="I213" s="53">
        <v>203.13</v>
      </c>
      <c r="J213" s="53"/>
      <c r="K213" s="49" t="s">
        <v>8</v>
      </c>
      <c r="L213" s="50">
        <v>80541.570000000007</v>
      </c>
    </row>
    <row r="214" spans="1:12" ht="51" x14ac:dyDescent="0.3">
      <c r="A214" s="44" t="s">
        <v>470</v>
      </c>
      <c r="B214" s="45" t="s">
        <v>471</v>
      </c>
      <c r="C214" s="45" t="s">
        <v>390</v>
      </c>
      <c r="D214" s="45" t="s">
        <v>264</v>
      </c>
      <c r="E214" s="46" t="s">
        <v>26</v>
      </c>
      <c r="F214" s="52" t="s">
        <v>15</v>
      </c>
      <c r="G214" s="52"/>
      <c r="H214" s="46" t="s">
        <v>13</v>
      </c>
      <c r="I214" s="53">
        <v>806.25</v>
      </c>
      <c r="J214" s="53"/>
      <c r="K214" s="49" t="s">
        <v>8</v>
      </c>
      <c r="L214" s="50">
        <v>79735.320000000007</v>
      </c>
    </row>
    <row r="215" spans="1:12" ht="51" x14ac:dyDescent="0.3">
      <c r="A215" s="44" t="s">
        <v>470</v>
      </c>
      <c r="B215" s="45" t="s">
        <v>471</v>
      </c>
      <c r="C215" s="45" t="s">
        <v>390</v>
      </c>
      <c r="D215" s="45" t="s">
        <v>323</v>
      </c>
      <c r="E215" s="46" t="s">
        <v>26</v>
      </c>
      <c r="F215" s="52" t="s">
        <v>15</v>
      </c>
      <c r="G215" s="52"/>
      <c r="H215" s="46" t="s">
        <v>13</v>
      </c>
      <c r="I215" s="53">
        <v>273</v>
      </c>
      <c r="J215" s="53"/>
      <c r="K215" s="49" t="s">
        <v>8</v>
      </c>
      <c r="L215" s="50">
        <v>79462.320000000007</v>
      </c>
    </row>
    <row r="216" spans="1:12" ht="51" x14ac:dyDescent="0.3">
      <c r="A216" s="44" t="s">
        <v>470</v>
      </c>
      <c r="B216" s="45" t="s">
        <v>471</v>
      </c>
      <c r="C216" s="45" t="s">
        <v>390</v>
      </c>
      <c r="D216" s="45" t="s">
        <v>332</v>
      </c>
      <c r="E216" s="46" t="s">
        <v>26</v>
      </c>
      <c r="F216" s="52" t="s">
        <v>15</v>
      </c>
      <c r="G216" s="52"/>
      <c r="H216" s="46" t="s">
        <v>13</v>
      </c>
      <c r="I216" s="53">
        <v>586.79999999999995</v>
      </c>
      <c r="J216" s="53"/>
      <c r="K216" s="49" t="s">
        <v>8</v>
      </c>
      <c r="L216" s="50">
        <v>78875.520000000004</v>
      </c>
    </row>
    <row r="217" spans="1:12" ht="61.2" x14ac:dyDescent="0.3">
      <c r="A217" s="44" t="s">
        <v>470</v>
      </c>
      <c r="B217" s="45" t="s">
        <v>471</v>
      </c>
      <c r="C217" s="45" t="s">
        <v>390</v>
      </c>
      <c r="D217" s="45" t="s">
        <v>251</v>
      </c>
      <c r="E217" s="46" t="s">
        <v>26</v>
      </c>
      <c r="F217" s="52" t="s">
        <v>15</v>
      </c>
      <c r="G217" s="52"/>
      <c r="H217" s="46" t="s">
        <v>13</v>
      </c>
      <c r="I217" s="53">
        <v>148</v>
      </c>
      <c r="J217" s="53"/>
      <c r="K217" s="49" t="s">
        <v>8</v>
      </c>
      <c r="L217" s="50">
        <v>78727.520000000004</v>
      </c>
    </row>
    <row r="218" spans="1:12" ht="51" x14ac:dyDescent="0.3">
      <c r="A218" s="44" t="s">
        <v>470</v>
      </c>
      <c r="B218" s="45" t="s">
        <v>471</v>
      </c>
      <c r="C218" s="45" t="s">
        <v>390</v>
      </c>
      <c r="D218" s="45" t="s">
        <v>473</v>
      </c>
      <c r="E218" s="46" t="s">
        <v>26</v>
      </c>
      <c r="F218" s="52" t="s">
        <v>15</v>
      </c>
      <c r="G218" s="52"/>
      <c r="H218" s="46" t="s">
        <v>13</v>
      </c>
      <c r="I218" s="53">
        <v>562.5</v>
      </c>
      <c r="J218" s="53"/>
      <c r="K218" s="49" t="s">
        <v>8</v>
      </c>
      <c r="L218" s="50">
        <v>78165.02</v>
      </c>
    </row>
    <row r="219" spans="1:12" ht="51" x14ac:dyDescent="0.3">
      <c r="A219" s="44" t="s">
        <v>470</v>
      </c>
      <c r="B219" s="45" t="s">
        <v>471</v>
      </c>
      <c r="C219" s="45" t="s">
        <v>390</v>
      </c>
      <c r="D219" s="45" t="s">
        <v>335</v>
      </c>
      <c r="E219" s="46" t="s">
        <v>26</v>
      </c>
      <c r="F219" s="52" t="s">
        <v>15</v>
      </c>
      <c r="G219" s="52"/>
      <c r="H219" s="46" t="s">
        <v>13</v>
      </c>
      <c r="I219" s="53">
        <v>426.15</v>
      </c>
      <c r="J219" s="53"/>
      <c r="K219" s="49" t="s">
        <v>8</v>
      </c>
      <c r="L219" s="50">
        <v>77738.87</v>
      </c>
    </row>
    <row r="220" spans="1:12" ht="51" x14ac:dyDescent="0.3">
      <c r="A220" s="44" t="s">
        <v>470</v>
      </c>
      <c r="B220" s="45" t="s">
        <v>471</v>
      </c>
      <c r="C220" s="45" t="s">
        <v>390</v>
      </c>
      <c r="D220" s="45" t="s">
        <v>474</v>
      </c>
      <c r="E220" s="46" t="s">
        <v>26</v>
      </c>
      <c r="F220" s="52" t="s">
        <v>15</v>
      </c>
      <c r="G220" s="52"/>
      <c r="H220" s="46" t="s">
        <v>13</v>
      </c>
      <c r="I220" s="54">
        <v>2420</v>
      </c>
      <c r="J220" s="54"/>
      <c r="K220" s="49" t="s">
        <v>8</v>
      </c>
      <c r="L220" s="50">
        <v>75318.87</v>
      </c>
    </row>
    <row r="221" spans="1:12" ht="51" x14ac:dyDescent="0.3">
      <c r="A221" s="44" t="s">
        <v>470</v>
      </c>
      <c r="B221" s="45" t="s">
        <v>471</v>
      </c>
      <c r="C221" s="45" t="s">
        <v>390</v>
      </c>
      <c r="D221" s="45" t="s">
        <v>408</v>
      </c>
      <c r="E221" s="46" t="s">
        <v>26</v>
      </c>
      <c r="F221" s="52" t="s">
        <v>15</v>
      </c>
      <c r="G221" s="52"/>
      <c r="H221" s="46" t="s">
        <v>13</v>
      </c>
      <c r="I221" s="54">
        <v>2295</v>
      </c>
      <c r="J221" s="54"/>
      <c r="K221" s="49" t="s">
        <v>8</v>
      </c>
      <c r="L221" s="50">
        <v>73023.87</v>
      </c>
    </row>
    <row r="222" spans="1:12" ht="51" x14ac:dyDescent="0.3">
      <c r="A222" s="44" t="s">
        <v>470</v>
      </c>
      <c r="B222" s="45" t="s">
        <v>471</v>
      </c>
      <c r="C222" s="45" t="s">
        <v>390</v>
      </c>
      <c r="D222" s="45" t="s">
        <v>316</v>
      </c>
      <c r="E222" s="46" t="s">
        <v>26</v>
      </c>
      <c r="F222" s="52" t="s">
        <v>15</v>
      </c>
      <c r="G222" s="52"/>
      <c r="H222" s="46" t="s">
        <v>13</v>
      </c>
      <c r="I222" s="53">
        <v>627.9</v>
      </c>
      <c r="J222" s="53"/>
      <c r="K222" s="49" t="s">
        <v>8</v>
      </c>
      <c r="L222" s="50">
        <v>72395.97</v>
      </c>
    </row>
    <row r="223" spans="1:12" ht="51" x14ac:dyDescent="0.3">
      <c r="A223" s="44" t="s">
        <v>470</v>
      </c>
      <c r="B223" s="45" t="s">
        <v>471</v>
      </c>
      <c r="C223" s="45" t="s">
        <v>390</v>
      </c>
      <c r="D223" s="45" t="s">
        <v>475</v>
      </c>
      <c r="E223" s="46" t="s">
        <v>26</v>
      </c>
      <c r="F223" s="52" t="s">
        <v>15</v>
      </c>
      <c r="G223" s="52"/>
      <c r="H223" s="46" t="s">
        <v>13</v>
      </c>
      <c r="I223" s="53">
        <v>555.25</v>
      </c>
      <c r="J223" s="53"/>
      <c r="K223" s="49" t="s">
        <v>8</v>
      </c>
      <c r="L223" s="50">
        <v>71840.72</v>
      </c>
    </row>
    <row r="224" spans="1:12" ht="51" x14ac:dyDescent="0.3">
      <c r="A224" s="44" t="s">
        <v>470</v>
      </c>
      <c r="B224" s="45" t="s">
        <v>471</v>
      </c>
      <c r="C224" s="45" t="s">
        <v>390</v>
      </c>
      <c r="D224" s="45" t="s">
        <v>262</v>
      </c>
      <c r="E224" s="46" t="s">
        <v>26</v>
      </c>
      <c r="F224" s="52" t="s">
        <v>15</v>
      </c>
      <c r="G224" s="52"/>
      <c r="H224" s="46" t="s">
        <v>13</v>
      </c>
      <c r="I224" s="53">
        <v>607.75</v>
      </c>
      <c r="J224" s="53"/>
      <c r="K224" s="49" t="s">
        <v>8</v>
      </c>
      <c r="L224" s="50">
        <v>71232.97</v>
      </c>
    </row>
    <row r="225" spans="1:12" ht="51" x14ac:dyDescent="0.3">
      <c r="A225" s="44" t="s">
        <v>470</v>
      </c>
      <c r="B225" s="45" t="s">
        <v>471</v>
      </c>
      <c r="C225" s="45" t="s">
        <v>390</v>
      </c>
      <c r="D225" s="45" t="s">
        <v>322</v>
      </c>
      <c r="E225" s="46" t="s">
        <v>26</v>
      </c>
      <c r="F225" s="52" t="s">
        <v>15</v>
      </c>
      <c r="G225" s="52"/>
      <c r="H225" s="46" t="s">
        <v>13</v>
      </c>
      <c r="I225" s="53">
        <v>490.02</v>
      </c>
      <c r="J225" s="53"/>
      <c r="K225" s="49" t="s">
        <v>8</v>
      </c>
      <c r="L225" s="50">
        <v>70742.95</v>
      </c>
    </row>
    <row r="226" spans="1:12" ht="51" x14ac:dyDescent="0.3">
      <c r="A226" s="44" t="s">
        <v>470</v>
      </c>
      <c r="B226" s="45" t="s">
        <v>471</v>
      </c>
      <c r="C226" s="45" t="s">
        <v>390</v>
      </c>
      <c r="D226" s="45" t="s">
        <v>304</v>
      </c>
      <c r="E226" s="46" t="s">
        <v>26</v>
      </c>
      <c r="F226" s="52" t="s">
        <v>15</v>
      </c>
      <c r="G226" s="52"/>
      <c r="H226" s="46" t="s">
        <v>13</v>
      </c>
      <c r="I226" s="54">
        <v>1452.5</v>
      </c>
      <c r="J226" s="54"/>
      <c r="K226" s="49" t="s">
        <v>8</v>
      </c>
      <c r="L226" s="50">
        <v>69290.45</v>
      </c>
    </row>
    <row r="227" spans="1:12" hidden="1" x14ac:dyDescent="0.3">
      <c r="A227" s="55" t="s">
        <v>236</v>
      </c>
      <c r="B227" s="55"/>
      <c r="C227" s="55"/>
      <c r="D227" s="55"/>
      <c r="E227" s="56">
        <v>91780.83</v>
      </c>
      <c r="F227" s="56"/>
      <c r="G227" s="56"/>
      <c r="H227" s="56">
        <v>236537.72</v>
      </c>
      <c r="I227" s="56"/>
      <c r="J227" s="56"/>
      <c r="K227" s="57" t="s">
        <v>8</v>
      </c>
      <c r="L227" s="58">
        <v>69290.45</v>
      </c>
    </row>
    <row r="230" spans="1:12" x14ac:dyDescent="0.3">
      <c r="J230" s="29">
        <f>SUBTOTAL(9,I39:J226)</f>
        <v>145712.04999999999</v>
      </c>
      <c r="K230" s="29"/>
    </row>
    <row r="231" spans="1:12" x14ac:dyDescent="0.3">
      <c r="J231" s="29">
        <f>J230*1.2</f>
        <v>174854.46</v>
      </c>
      <c r="K231" s="29"/>
    </row>
    <row r="232" spans="1:12" x14ac:dyDescent="0.3">
      <c r="J232" s="29"/>
      <c r="K232" s="29"/>
    </row>
  </sheetData>
  <autoFilter ref="B1:D227" xr:uid="{F3C48860-9EDE-4B2F-9DD0-23300C81000C}">
    <filterColumn colId="0">
      <filters>
        <filter val="Комплектація номенклатури ІБ00-000042 від 02.12.2025 18:31:29_x000a_Комплектация"/>
        <filter val="Комплектація номенклатури ІБ00-000043 від 02.12.2025 00:00:00_x000a_Комплектация"/>
        <filter val="Передача малоцінних активів в експлуатацію ІБ00-000654 від 20.12.2025 18:19:01_x000a_Списание стоимости малоценных активов"/>
        <filter val="Передача малоцінних активів в експлуатацію ІБ00-000721 від 30.12.2025 23:00:39_x000a_Списание стоимости малоценных активов"/>
        <filter val="Передача малоцінних активів в експлуатацію ІБ00-000722 від 30.12.2025 23:00:00_x000a_Списание стоимости малоценных активов"/>
        <filter val="Передача малоцінних активів в експлуатацію ІБ00-000733 від 30.12.2025 23:40:02_x000a_Списание стоимости малоценных активов"/>
        <filter val="Передача малоцінних активів в експлуатацію ІБ00-000734 від 31.12.2025 23:00:00_x000a_Списание стоимости малоценных активов"/>
        <filter val="Реалізація товарів і послуг ІБ00-000097 від 16.12.2025 00:00:00_x000a_Списаны ТМЦ"/>
      </filters>
    </filterColumn>
  </autoFilter>
  <mergeCells count="460">
    <mergeCell ref="F226:G226"/>
    <mergeCell ref="I226:J226"/>
    <mergeCell ref="A227:D227"/>
    <mergeCell ref="E227:G227"/>
    <mergeCell ref="H227:J227"/>
    <mergeCell ref="F223:G223"/>
    <mergeCell ref="I223:J223"/>
    <mergeCell ref="F224:G224"/>
    <mergeCell ref="I224:J224"/>
    <mergeCell ref="F225:G225"/>
    <mergeCell ref="I225:J225"/>
    <mergeCell ref="F220:G220"/>
    <mergeCell ref="I220:J220"/>
    <mergeCell ref="F221:G221"/>
    <mergeCell ref="I221:J221"/>
    <mergeCell ref="F222:G222"/>
    <mergeCell ref="I222:J222"/>
    <mergeCell ref="F217:G217"/>
    <mergeCell ref="I217:J217"/>
    <mergeCell ref="F218:G218"/>
    <mergeCell ref="I218:J218"/>
    <mergeCell ref="F219:G219"/>
    <mergeCell ref="I219:J219"/>
    <mergeCell ref="F214:G214"/>
    <mergeCell ref="I214:J214"/>
    <mergeCell ref="F215:G215"/>
    <mergeCell ref="I215:J215"/>
    <mergeCell ref="F216:G216"/>
    <mergeCell ref="I216:J216"/>
    <mergeCell ref="F211:G211"/>
    <mergeCell ref="I211:J211"/>
    <mergeCell ref="F212:G212"/>
    <mergeCell ref="I212:J212"/>
    <mergeCell ref="F213:G213"/>
    <mergeCell ref="I213:J213"/>
    <mergeCell ref="F208:G208"/>
    <mergeCell ref="I208:J208"/>
    <mergeCell ref="F209:G209"/>
    <mergeCell ref="I209:J209"/>
    <mergeCell ref="F210:G210"/>
    <mergeCell ref="I210:J210"/>
    <mergeCell ref="F205:G205"/>
    <mergeCell ref="I205:J205"/>
    <mergeCell ref="F206:G206"/>
    <mergeCell ref="I206:J206"/>
    <mergeCell ref="F207:G207"/>
    <mergeCell ref="I207:J207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96FB2-F137-4460-8BA0-784697A92B01}">
  <sheetPr filterMode="1"/>
  <dimension ref="A1:L23"/>
  <sheetViews>
    <sheetView topLeftCell="A16" workbookViewId="0">
      <selection activeCell="J22" sqref="J22:J23"/>
    </sheetView>
  </sheetViews>
  <sheetFormatPr defaultRowHeight="14.4" x14ac:dyDescent="0.3"/>
  <cols>
    <col min="2" max="4" width="23.77734375" customWidth="1"/>
  </cols>
  <sheetData>
    <row r="1" spans="1:12" x14ac:dyDescent="0.3">
      <c r="A1" s="59" t="s">
        <v>0</v>
      </c>
      <c r="B1" s="60" t="s">
        <v>1</v>
      </c>
      <c r="C1" s="60" t="s">
        <v>2</v>
      </c>
      <c r="D1" s="61" t="s">
        <v>3</v>
      </c>
      <c r="E1" s="62" t="s">
        <v>4</v>
      </c>
      <c r="F1" s="62"/>
      <c r="G1" s="62"/>
      <c r="H1" s="63" t="s">
        <v>5</v>
      </c>
      <c r="I1" s="63"/>
      <c r="J1" s="63"/>
      <c r="K1" s="60" t="s">
        <v>6</v>
      </c>
      <c r="L1" s="60"/>
    </row>
    <row r="2" spans="1:12" hidden="1" x14ac:dyDescent="0.3">
      <c r="A2" s="64"/>
      <c r="B2" s="65"/>
      <c r="C2" s="65"/>
      <c r="D2" s="66"/>
      <c r="E2" s="67" t="s">
        <v>7</v>
      </c>
      <c r="F2" s="68"/>
      <c r="G2" s="68"/>
      <c r="H2" s="69" t="s">
        <v>7</v>
      </c>
      <c r="I2" s="70"/>
      <c r="J2" s="70"/>
      <c r="K2" s="64"/>
      <c r="L2" s="71"/>
    </row>
    <row r="3" spans="1:12" ht="71.400000000000006" hidden="1" x14ac:dyDescent="0.3">
      <c r="A3" s="72" t="s">
        <v>238</v>
      </c>
      <c r="B3" s="73" t="s">
        <v>476</v>
      </c>
      <c r="C3" s="73" t="s">
        <v>477</v>
      </c>
      <c r="D3" s="73" t="s">
        <v>478</v>
      </c>
      <c r="E3" s="74" t="s">
        <v>13</v>
      </c>
      <c r="F3" s="75">
        <v>1466.67</v>
      </c>
      <c r="G3" s="75"/>
      <c r="H3" s="74" t="s">
        <v>35</v>
      </c>
      <c r="I3" s="76" t="s">
        <v>15</v>
      </c>
      <c r="J3" s="76"/>
      <c r="K3" s="77" t="s">
        <v>8</v>
      </c>
      <c r="L3" s="78">
        <v>26376.45</v>
      </c>
    </row>
    <row r="4" spans="1:12" ht="71.400000000000006" hidden="1" x14ac:dyDescent="0.3">
      <c r="A4" s="72" t="s">
        <v>238</v>
      </c>
      <c r="B4" s="73" t="s">
        <v>476</v>
      </c>
      <c r="C4" s="73" t="s">
        <v>479</v>
      </c>
      <c r="D4" s="73" t="s">
        <v>478</v>
      </c>
      <c r="E4" s="74" t="s">
        <v>13</v>
      </c>
      <c r="F4" s="79">
        <v>500</v>
      </c>
      <c r="G4" s="79"/>
      <c r="H4" s="74" t="s">
        <v>35</v>
      </c>
      <c r="I4" s="76" t="s">
        <v>15</v>
      </c>
      <c r="J4" s="76"/>
      <c r="K4" s="77" t="s">
        <v>8</v>
      </c>
      <c r="L4" s="78">
        <v>26876.45</v>
      </c>
    </row>
    <row r="5" spans="1:12" ht="71.400000000000006" hidden="1" x14ac:dyDescent="0.3">
      <c r="A5" s="72" t="s">
        <v>238</v>
      </c>
      <c r="B5" s="73" t="s">
        <v>476</v>
      </c>
      <c r="C5" s="73" t="s">
        <v>480</v>
      </c>
      <c r="D5" s="73" t="s">
        <v>478</v>
      </c>
      <c r="E5" s="74" t="s">
        <v>13</v>
      </c>
      <c r="F5" s="79">
        <v>150</v>
      </c>
      <c r="G5" s="79"/>
      <c r="H5" s="74" t="s">
        <v>35</v>
      </c>
      <c r="I5" s="76" t="s">
        <v>15</v>
      </c>
      <c r="J5" s="76"/>
      <c r="K5" s="77" t="s">
        <v>8</v>
      </c>
      <c r="L5" s="78">
        <v>27026.45</v>
      </c>
    </row>
    <row r="6" spans="1:12" ht="61.2" hidden="1" x14ac:dyDescent="0.3">
      <c r="A6" s="72" t="s">
        <v>145</v>
      </c>
      <c r="B6" s="73" t="s">
        <v>424</v>
      </c>
      <c r="C6" s="73" t="s">
        <v>425</v>
      </c>
      <c r="D6" s="73" t="s">
        <v>426</v>
      </c>
      <c r="E6" s="74" t="s">
        <v>13</v>
      </c>
      <c r="F6" s="80" t="s">
        <v>15</v>
      </c>
      <c r="G6" s="80"/>
      <c r="H6" s="74" t="s">
        <v>13</v>
      </c>
      <c r="I6" s="81">
        <v>240</v>
      </c>
      <c r="J6" s="81"/>
      <c r="K6" s="77" t="s">
        <v>8</v>
      </c>
      <c r="L6" s="78">
        <v>26786.45</v>
      </c>
    </row>
    <row r="7" spans="1:12" ht="61.2" hidden="1" x14ac:dyDescent="0.3">
      <c r="A7" s="72" t="s">
        <v>145</v>
      </c>
      <c r="B7" s="73" t="s">
        <v>424</v>
      </c>
      <c r="C7" s="73" t="s">
        <v>425</v>
      </c>
      <c r="D7" s="73" t="s">
        <v>427</v>
      </c>
      <c r="E7" s="74" t="s">
        <v>13</v>
      </c>
      <c r="F7" s="80" t="s">
        <v>15</v>
      </c>
      <c r="G7" s="80"/>
      <c r="H7" s="74" t="s">
        <v>13</v>
      </c>
      <c r="I7" s="82">
        <v>1200</v>
      </c>
      <c r="J7" s="82"/>
      <c r="K7" s="77" t="s">
        <v>8</v>
      </c>
      <c r="L7" s="78">
        <v>25586.45</v>
      </c>
    </row>
    <row r="8" spans="1:12" ht="61.2" hidden="1" x14ac:dyDescent="0.3">
      <c r="A8" s="72" t="s">
        <v>145</v>
      </c>
      <c r="B8" s="73" t="s">
        <v>424</v>
      </c>
      <c r="C8" s="73" t="s">
        <v>428</v>
      </c>
      <c r="D8" s="73" t="s">
        <v>429</v>
      </c>
      <c r="E8" s="74" t="s">
        <v>13</v>
      </c>
      <c r="F8" s="80" t="s">
        <v>15</v>
      </c>
      <c r="G8" s="80"/>
      <c r="H8" s="74" t="s">
        <v>13</v>
      </c>
      <c r="I8" s="81">
        <v>330</v>
      </c>
      <c r="J8" s="81"/>
      <c r="K8" s="77" t="s">
        <v>8</v>
      </c>
      <c r="L8" s="78">
        <v>25256.45</v>
      </c>
    </row>
    <row r="9" spans="1:12" ht="61.2" hidden="1" x14ac:dyDescent="0.3">
      <c r="A9" s="72" t="s">
        <v>145</v>
      </c>
      <c r="B9" s="73" t="s">
        <v>424</v>
      </c>
      <c r="C9" s="73" t="s">
        <v>428</v>
      </c>
      <c r="D9" s="73" t="s">
        <v>430</v>
      </c>
      <c r="E9" s="74" t="s">
        <v>13</v>
      </c>
      <c r="F9" s="80" t="s">
        <v>15</v>
      </c>
      <c r="G9" s="80"/>
      <c r="H9" s="74" t="s">
        <v>13</v>
      </c>
      <c r="I9" s="82">
        <v>1650</v>
      </c>
      <c r="J9" s="82"/>
      <c r="K9" s="77" t="s">
        <v>8</v>
      </c>
      <c r="L9" s="78">
        <v>23606.45</v>
      </c>
    </row>
    <row r="10" spans="1:12" ht="61.2" hidden="1" x14ac:dyDescent="0.3">
      <c r="A10" s="72" t="s">
        <v>145</v>
      </c>
      <c r="B10" s="73" t="s">
        <v>424</v>
      </c>
      <c r="C10" s="73" t="s">
        <v>431</v>
      </c>
      <c r="D10" s="73" t="s">
        <v>432</v>
      </c>
      <c r="E10" s="74" t="s">
        <v>13</v>
      </c>
      <c r="F10" s="80" t="s">
        <v>15</v>
      </c>
      <c r="G10" s="80"/>
      <c r="H10" s="74" t="s">
        <v>13</v>
      </c>
      <c r="I10" s="81">
        <v>100</v>
      </c>
      <c r="J10" s="81"/>
      <c r="K10" s="77" t="s">
        <v>8</v>
      </c>
      <c r="L10" s="78">
        <v>23506.45</v>
      </c>
    </row>
    <row r="11" spans="1:12" ht="61.2" hidden="1" x14ac:dyDescent="0.3">
      <c r="A11" s="72" t="s">
        <v>145</v>
      </c>
      <c r="B11" s="73" t="s">
        <v>424</v>
      </c>
      <c r="C11" s="73" t="s">
        <v>431</v>
      </c>
      <c r="D11" s="73" t="s">
        <v>433</v>
      </c>
      <c r="E11" s="74" t="s">
        <v>13</v>
      </c>
      <c r="F11" s="80" t="s">
        <v>15</v>
      </c>
      <c r="G11" s="80"/>
      <c r="H11" s="74" t="s">
        <v>13</v>
      </c>
      <c r="I11" s="81">
        <v>500</v>
      </c>
      <c r="J11" s="81"/>
      <c r="K11" s="77" t="s">
        <v>8</v>
      </c>
      <c r="L11" s="78">
        <v>23006.45</v>
      </c>
    </row>
    <row r="12" spans="1:12" ht="61.2" x14ac:dyDescent="0.3">
      <c r="A12" s="72" t="s">
        <v>198</v>
      </c>
      <c r="B12" s="73" t="s">
        <v>481</v>
      </c>
      <c r="C12" s="73" t="s">
        <v>482</v>
      </c>
      <c r="D12" s="73" t="s">
        <v>483</v>
      </c>
      <c r="E12" s="74" t="s">
        <v>26</v>
      </c>
      <c r="F12" s="80" t="s">
        <v>15</v>
      </c>
      <c r="G12" s="80"/>
      <c r="H12" s="74" t="s">
        <v>13</v>
      </c>
      <c r="I12" s="82">
        <v>4183.3500000000004</v>
      </c>
      <c r="J12" s="82"/>
      <c r="K12" s="77" t="s">
        <v>8</v>
      </c>
      <c r="L12" s="78">
        <v>18823.099999999999</v>
      </c>
    </row>
    <row r="13" spans="1:12" ht="81.599999999999994" x14ac:dyDescent="0.3">
      <c r="A13" s="72" t="s">
        <v>198</v>
      </c>
      <c r="B13" s="73" t="s">
        <v>481</v>
      </c>
      <c r="C13" s="73" t="s">
        <v>482</v>
      </c>
      <c r="D13" s="73" t="s">
        <v>484</v>
      </c>
      <c r="E13" s="74" t="s">
        <v>26</v>
      </c>
      <c r="F13" s="80" t="s">
        <v>15</v>
      </c>
      <c r="G13" s="80"/>
      <c r="H13" s="74" t="s">
        <v>13</v>
      </c>
      <c r="I13" s="82">
        <v>1818</v>
      </c>
      <c r="J13" s="82"/>
      <c r="K13" s="77" t="s">
        <v>8</v>
      </c>
      <c r="L13" s="78">
        <v>17005.099999999999</v>
      </c>
    </row>
    <row r="14" spans="1:12" ht="61.2" x14ac:dyDescent="0.3">
      <c r="A14" s="72" t="s">
        <v>198</v>
      </c>
      <c r="B14" s="73" t="s">
        <v>481</v>
      </c>
      <c r="C14" s="73" t="s">
        <v>482</v>
      </c>
      <c r="D14" s="73" t="s">
        <v>485</v>
      </c>
      <c r="E14" s="74" t="s">
        <v>26</v>
      </c>
      <c r="F14" s="80" t="s">
        <v>15</v>
      </c>
      <c r="G14" s="80"/>
      <c r="H14" s="74" t="s">
        <v>13</v>
      </c>
      <c r="I14" s="81">
        <v>540</v>
      </c>
      <c r="J14" s="81"/>
      <c r="K14" s="77" t="s">
        <v>8</v>
      </c>
      <c r="L14" s="78">
        <v>16465.099999999999</v>
      </c>
    </row>
    <row r="15" spans="1:12" ht="61.2" x14ac:dyDescent="0.3">
      <c r="A15" s="72" t="s">
        <v>198</v>
      </c>
      <c r="B15" s="73" t="s">
        <v>481</v>
      </c>
      <c r="C15" s="73" t="s">
        <v>482</v>
      </c>
      <c r="D15" s="73" t="s">
        <v>486</v>
      </c>
      <c r="E15" s="74" t="s">
        <v>26</v>
      </c>
      <c r="F15" s="80" t="s">
        <v>15</v>
      </c>
      <c r="G15" s="80"/>
      <c r="H15" s="74" t="s">
        <v>13</v>
      </c>
      <c r="I15" s="81">
        <v>938.6</v>
      </c>
      <c r="J15" s="81"/>
      <c r="K15" s="77" t="s">
        <v>8</v>
      </c>
      <c r="L15" s="78">
        <v>15526.5</v>
      </c>
    </row>
    <row r="16" spans="1:12" ht="61.2" x14ac:dyDescent="0.3">
      <c r="A16" s="72" t="s">
        <v>198</v>
      </c>
      <c r="B16" s="73" t="s">
        <v>481</v>
      </c>
      <c r="C16" s="73" t="s">
        <v>482</v>
      </c>
      <c r="D16" s="73" t="s">
        <v>487</v>
      </c>
      <c r="E16" s="74" t="s">
        <v>26</v>
      </c>
      <c r="F16" s="80" t="s">
        <v>15</v>
      </c>
      <c r="G16" s="80"/>
      <c r="H16" s="74" t="s">
        <v>13</v>
      </c>
      <c r="I16" s="81">
        <v>810</v>
      </c>
      <c r="J16" s="81"/>
      <c r="K16" s="77" t="s">
        <v>8</v>
      </c>
      <c r="L16" s="78">
        <v>14716.5</v>
      </c>
    </row>
    <row r="17" spans="1:12" ht="71.400000000000006" x14ac:dyDescent="0.3">
      <c r="A17" s="72" t="s">
        <v>470</v>
      </c>
      <c r="B17" s="73" t="s">
        <v>488</v>
      </c>
      <c r="C17" s="73" t="s">
        <v>482</v>
      </c>
      <c r="D17" s="73" t="s">
        <v>477</v>
      </c>
      <c r="E17" s="74" t="s">
        <v>26</v>
      </c>
      <c r="F17" s="80" t="s">
        <v>15</v>
      </c>
      <c r="G17" s="80"/>
      <c r="H17" s="74" t="s">
        <v>13</v>
      </c>
      <c r="I17" s="82">
        <v>1466.67</v>
      </c>
      <c r="J17" s="82"/>
      <c r="K17" s="77" t="s">
        <v>8</v>
      </c>
      <c r="L17" s="78">
        <v>13249.83</v>
      </c>
    </row>
    <row r="18" spans="1:12" ht="71.400000000000006" x14ac:dyDescent="0.3">
      <c r="A18" s="72" t="s">
        <v>470</v>
      </c>
      <c r="B18" s="73" t="s">
        <v>488</v>
      </c>
      <c r="C18" s="73" t="s">
        <v>482</v>
      </c>
      <c r="D18" s="73" t="s">
        <v>480</v>
      </c>
      <c r="E18" s="74" t="s">
        <v>26</v>
      </c>
      <c r="F18" s="80" t="s">
        <v>15</v>
      </c>
      <c r="G18" s="80"/>
      <c r="H18" s="74" t="s">
        <v>13</v>
      </c>
      <c r="I18" s="81">
        <v>150</v>
      </c>
      <c r="J18" s="81"/>
      <c r="K18" s="77" t="s">
        <v>8</v>
      </c>
      <c r="L18" s="78">
        <v>13099.83</v>
      </c>
    </row>
    <row r="19" spans="1:12" ht="71.400000000000006" x14ac:dyDescent="0.3">
      <c r="A19" s="72" t="s">
        <v>470</v>
      </c>
      <c r="B19" s="73" t="s">
        <v>488</v>
      </c>
      <c r="C19" s="73" t="s">
        <v>482</v>
      </c>
      <c r="D19" s="73" t="s">
        <v>479</v>
      </c>
      <c r="E19" s="74" t="s">
        <v>26</v>
      </c>
      <c r="F19" s="80" t="s">
        <v>15</v>
      </c>
      <c r="G19" s="80"/>
      <c r="H19" s="74" t="s">
        <v>13</v>
      </c>
      <c r="I19" s="81">
        <v>500</v>
      </c>
      <c r="J19" s="81"/>
      <c r="K19" s="77" t="s">
        <v>8</v>
      </c>
      <c r="L19" s="78">
        <v>12599.83</v>
      </c>
    </row>
    <row r="20" spans="1:12" hidden="1" x14ac:dyDescent="0.3">
      <c r="A20" s="83" t="s">
        <v>236</v>
      </c>
      <c r="B20" s="83"/>
      <c r="C20" s="83"/>
      <c r="D20" s="83"/>
      <c r="E20" s="84">
        <v>2116.67</v>
      </c>
      <c r="F20" s="84"/>
      <c r="G20" s="84"/>
      <c r="H20" s="84">
        <v>14426.62</v>
      </c>
      <c r="I20" s="84"/>
      <c r="J20" s="84"/>
      <c r="K20" s="85" t="s">
        <v>8</v>
      </c>
      <c r="L20" s="86">
        <v>12599.83</v>
      </c>
    </row>
    <row r="22" spans="1:12" x14ac:dyDescent="0.3">
      <c r="J22" s="29">
        <f>SUBTOTAL(9,I12:J19)</f>
        <v>10406.620000000001</v>
      </c>
    </row>
    <row r="23" spans="1:12" x14ac:dyDescent="0.3">
      <c r="J23" s="29">
        <f>J22*1.2</f>
        <v>12487.944000000001</v>
      </c>
    </row>
  </sheetData>
  <autoFilter ref="B1:D20" xr:uid="{DBD8BA00-E609-45CA-BDBA-8FE3E7CD279E}">
    <filterColumn colId="0">
      <filters>
        <filter val="Передача малоцінних активів в експлуатацію ІБ00-000729 від 30.12.2025 23:30:03_x000a_Списание стоимости малоценных активов"/>
        <filter val="Передача малоцінних активів в експлуатацію ІБ00-000732 від 31.12.2025 23:31:00_x000a_Списание стоимости малоценных активов"/>
      </filters>
    </filterColumn>
  </autoFilter>
  <mergeCells count="46">
    <mergeCell ref="F19:G19"/>
    <mergeCell ref="I19:J19"/>
    <mergeCell ref="A20:D20"/>
    <mergeCell ref="E20:G20"/>
    <mergeCell ref="H20:J20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2A45C-9EFE-488A-86C0-A46ED392333F}">
  <sheetPr filterMode="1"/>
  <dimension ref="A1:L395"/>
  <sheetViews>
    <sheetView tabSelected="1" topLeftCell="A386" workbookViewId="0">
      <selection activeCell="D391" sqref="D391"/>
    </sheetView>
  </sheetViews>
  <sheetFormatPr defaultRowHeight="14.4" x14ac:dyDescent="0.3"/>
  <cols>
    <col min="2" max="4" width="36.77734375" customWidth="1"/>
    <col min="10" max="10" width="9.88671875" bestFit="1" customWidth="1"/>
  </cols>
  <sheetData>
    <row r="1" spans="1:12" x14ac:dyDescent="0.3">
      <c r="A1" s="87" t="s">
        <v>0</v>
      </c>
      <c r="B1" s="88" t="s">
        <v>1</v>
      </c>
      <c r="C1" s="88" t="s">
        <v>2</v>
      </c>
      <c r="D1" s="89" t="s">
        <v>3</v>
      </c>
      <c r="E1" s="90" t="s">
        <v>4</v>
      </c>
      <c r="F1" s="90"/>
      <c r="G1" s="90"/>
      <c r="H1" s="91" t="s">
        <v>5</v>
      </c>
      <c r="I1" s="91"/>
      <c r="J1" s="91"/>
      <c r="K1" s="88" t="s">
        <v>6</v>
      </c>
      <c r="L1" s="88"/>
    </row>
    <row r="2" spans="1:12" hidden="1" x14ac:dyDescent="0.3">
      <c r="A2" s="92"/>
      <c r="B2" s="93"/>
      <c r="C2" s="93"/>
      <c r="D2" s="94"/>
      <c r="E2" s="95" t="s">
        <v>7</v>
      </c>
      <c r="F2" s="96"/>
      <c r="G2" s="96"/>
      <c r="H2" s="97" t="s">
        <v>7</v>
      </c>
      <c r="I2" s="98"/>
      <c r="J2" s="98"/>
      <c r="K2" s="92"/>
      <c r="L2" s="99"/>
    </row>
    <row r="3" spans="1:12" ht="51" hidden="1" x14ac:dyDescent="0.3">
      <c r="A3" s="100" t="s">
        <v>238</v>
      </c>
      <c r="B3" s="101" t="s">
        <v>489</v>
      </c>
      <c r="C3" s="101" t="s">
        <v>490</v>
      </c>
      <c r="D3" s="101" t="s">
        <v>491</v>
      </c>
      <c r="E3" s="102" t="s">
        <v>13</v>
      </c>
      <c r="F3" s="103">
        <v>923.9</v>
      </c>
      <c r="G3" s="103"/>
      <c r="H3" s="102" t="s">
        <v>35</v>
      </c>
      <c r="I3" s="104" t="s">
        <v>15</v>
      </c>
      <c r="J3" s="104"/>
      <c r="K3" s="105" t="s">
        <v>8</v>
      </c>
      <c r="L3" s="106">
        <v>308712.69</v>
      </c>
    </row>
    <row r="4" spans="1:12" ht="51" hidden="1" x14ac:dyDescent="0.3">
      <c r="A4" s="100" t="s">
        <v>238</v>
      </c>
      <c r="B4" s="101" t="s">
        <v>492</v>
      </c>
      <c r="C4" s="101" t="s">
        <v>493</v>
      </c>
      <c r="D4" s="101" t="s">
        <v>494</v>
      </c>
      <c r="E4" s="102" t="s">
        <v>13</v>
      </c>
      <c r="F4" s="103">
        <v>220.3</v>
      </c>
      <c r="G4" s="103"/>
      <c r="H4" s="102" t="s">
        <v>35</v>
      </c>
      <c r="I4" s="104" t="s">
        <v>15</v>
      </c>
      <c r="J4" s="104"/>
      <c r="K4" s="105" t="s">
        <v>8</v>
      </c>
      <c r="L4" s="106">
        <v>71681.22</v>
      </c>
    </row>
    <row r="5" spans="1:12" ht="51" hidden="1" x14ac:dyDescent="0.3">
      <c r="A5" s="100" t="s">
        <v>238</v>
      </c>
      <c r="B5" s="101" t="s">
        <v>495</v>
      </c>
      <c r="C5" s="101" t="s">
        <v>496</v>
      </c>
      <c r="D5" s="101" t="s">
        <v>497</v>
      </c>
      <c r="E5" s="102" t="s">
        <v>13</v>
      </c>
      <c r="F5" s="107">
        <v>11475</v>
      </c>
      <c r="G5" s="107"/>
      <c r="H5" s="102" t="s">
        <v>35</v>
      </c>
      <c r="I5" s="104" t="s">
        <v>15</v>
      </c>
      <c r="J5" s="104"/>
      <c r="K5" s="105" t="s">
        <v>8</v>
      </c>
      <c r="L5" s="106">
        <v>320187.69</v>
      </c>
    </row>
    <row r="6" spans="1:12" ht="51" hidden="1" x14ac:dyDescent="0.3">
      <c r="A6" s="100" t="s">
        <v>238</v>
      </c>
      <c r="B6" s="101" t="s">
        <v>498</v>
      </c>
      <c r="C6" s="101" t="s">
        <v>499</v>
      </c>
      <c r="D6" s="101" t="s">
        <v>500</v>
      </c>
      <c r="E6" s="102" t="s">
        <v>13</v>
      </c>
      <c r="F6" s="107">
        <v>7360</v>
      </c>
      <c r="G6" s="107"/>
      <c r="H6" s="102" t="s">
        <v>35</v>
      </c>
      <c r="I6" s="104" t="s">
        <v>15</v>
      </c>
      <c r="J6" s="104"/>
      <c r="K6" s="105" t="s">
        <v>8</v>
      </c>
      <c r="L6" s="106">
        <v>327547.69</v>
      </c>
    </row>
    <row r="7" spans="1:12" ht="51" hidden="1" x14ac:dyDescent="0.3">
      <c r="A7" s="100" t="s">
        <v>238</v>
      </c>
      <c r="B7" s="101" t="s">
        <v>498</v>
      </c>
      <c r="C7" s="101" t="s">
        <v>501</v>
      </c>
      <c r="D7" s="101" t="s">
        <v>500</v>
      </c>
      <c r="E7" s="102" t="s">
        <v>13</v>
      </c>
      <c r="F7" s="107">
        <v>4500</v>
      </c>
      <c r="G7" s="107"/>
      <c r="H7" s="102" t="s">
        <v>35</v>
      </c>
      <c r="I7" s="104" t="s">
        <v>15</v>
      </c>
      <c r="J7" s="104"/>
      <c r="K7" s="105" t="s">
        <v>8</v>
      </c>
      <c r="L7" s="106">
        <v>332047.69</v>
      </c>
    </row>
    <row r="8" spans="1:12" ht="51" hidden="1" x14ac:dyDescent="0.3">
      <c r="A8" s="100" t="s">
        <v>238</v>
      </c>
      <c r="B8" s="101" t="s">
        <v>498</v>
      </c>
      <c r="C8" s="101" t="s">
        <v>502</v>
      </c>
      <c r="D8" s="101" t="s">
        <v>500</v>
      </c>
      <c r="E8" s="102" t="s">
        <v>13</v>
      </c>
      <c r="F8" s="107">
        <v>6400</v>
      </c>
      <c r="G8" s="107"/>
      <c r="H8" s="102" t="s">
        <v>35</v>
      </c>
      <c r="I8" s="104" t="s">
        <v>15</v>
      </c>
      <c r="J8" s="104"/>
      <c r="K8" s="105" t="s">
        <v>8</v>
      </c>
      <c r="L8" s="106">
        <v>338447.69</v>
      </c>
    </row>
    <row r="9" spans="1:12" ht="51" hidden="1" x14ac:dyDescent="0.3">
      <c r="A9" s="100" t="s">
        <v>238</v>
      </c>
      <c r="B9" s="101" t="s">
        <v>498</v>
      </c>
      <c r="C9" s="101" t="s">
        <v>503</v>
      </c>
      <c r="D9" s="101" t="s">
        <v>500</v>
      </c>
      <c r="E9" s="102" t="s">
        <v>13</v>
      </c>
      <c r="F9" s="107">
        <v>1000</v>
      </c>
      <c r="G9" s="107"/>
      <c r="H9" s="102" t="s">
        <v>35</v>
      </c>
      <c r="I9" s="104" t="s">
        <v>15</v>
      </c>
      <c r="J9" s="104"/>
      <c r="K9" s="105" t="s">
        <v>8</v>
      </c>
      <c r="L9" s="106">
        <v>339447.69</v>
      </c>
    </row>
    <row r="10" spans="1:12" hidden="1" x14ac:dyDescent="0.3">
      <c r="A10" s="100" t="s">
        <v>238</v>
      </c>
      <c r="B10" s="101" t="s">
        <v>498</v>
      </c>
      <c r="C10" s="101" t="s">
        <v>504</v>
      </c>
      <c r="D10" s="101" t="s">
        <v>500</v>
      </c>
      <c r="E10" s="102" t="s">
        <v>13</v>
      </c>
      <c r="F10" s="107">
        <v>2720</v>
      </c>
      <c r="G10" s="107"/>
      <c r="H10" s="102" t="s">
        <v>35</v>
      </c>
      <c r="I10" s="104" t="s">
        <v>15</v>
      </c>
      <c r="J10" s="104"/>
      <c r="K10" s="105" t="s">
        <v>8</v>
      </c>
      <c r="L10" s="106">
        <v>342167.69</v>
      </c>
    </row>
    <row r="11" spans="1:12" ht="51" hidden="1" x14ac:dyDescent="0.3">
      <c r="A11" s="100" t="s">
        <v>238</v>
      </c>
      <c r="B11" s="101" t="s">
        <v>505</v>
      </c>
      <c r="C11" s="101" t="s">
        <v>506</v>
      </c>
      <c r="D11" s="101" t="s">
        <v>507</v>
      </c>
      <c r="E11" s="102" t="s">
        <v>13</v>
      </c>
      <c r="F11" s="103">
        <v>700</v>
      </c>
      <c r="G11" s="103"/>
      <c r="H11" s="102" t="s">
        <v>35</v>
      </c>
      <c r="I11" s="104" t="s">
        <v>15</v>
      </c>
      <c r="J11" s="104"/>
      <c r="K11" s="105" t="s">
        <v>8</v>
      </c>
      <c r="L11" s="106">
        <v>342867.69</v>
      </c>
    </row>
    <row r="12" spans="1:12" ht="51" hidden="1" x14ac:dyDescent="0.3">
      <c r="A12" s="100" t="s">
        <v>238</v>
      </c>
      <c r="B12" s="101" t="s">
        <v>508</v>
      </c>
      <c r="C12" s="101" t="s">
        <v>509</v>
      </c>
      <c r="D12" s="101" t="s">
        <v>510</v>
      </c>
      <c r="E12" s="102" t="s">
        <v>13</v>
      </c>
      <c r="F12" s="103">
        <v>200</v>
      </c>
      <c r="G12" s="103"/>
      <c r="H12" s="102" t="s">
        <v>35</v>
      </c>
      <c r="I12" s="104" t="s">
        <v>15</v>
      </c>
      <c r="J12" s="104"/>
      <c r="K12" s="105" t="s">
        <v>8</v>
      </c>
      <c r="L12" s="106">
        <v>343067.69</v>
      </c>
    </row>
    <row r="13" spans="1:12" ht="51" hidden="1" x14ac:dyDescent="0.3">
      <c r="A13" s="100" t="s">
        <v>238</v>
      </c>
      <c r="B13" s="101" t="s">
        <v>508</v>
      </c>
      <c r="C13" s="101" t="s">
        <v>511</v>
      </c>
      <c r="D13" s="101" t="s">
        <v>510</v>
      </c>
      <c r="E13" s="102" t="s">
        <v>13</v>
      </c>
      <c r="F13" s="103">
        <v>76</v>
      </c>
      <c r="G13" s="103"/>
      <c r="H13" s="102" t="s">
        <v>35</v>
      </c>
      <c r="I13" s="104" t="s">
        <v>15</v>
      </c>
      <c r="J13" s="104"/>
      <c r="K13" s="105" t="s">
        <v>8</v>
      </c>
      <c r="L13" s="106">
        <v>343143.69</v>
      </c>
    </row>
    <row r="14" spans="1:12" ht="51" hidden="1" x14ac:dyDescent="0.3">
      <c r="A14" s="100" t="s">
        <v>238</v>
      </c>
      <c r="B14" s="101" t="s">
        <v>508</v>
      </c>
      <c r="C14" s="101" t="s">
        <v>512</v>
      </c>
      <c r="D14" s="101" t="s">
        <v>510</v>
      </c>
      <c r="E14" s="102" t="s">
        <v>13</v>
      </c>
      <c r="F14" s="103">
        <v>285</v>
      </c>
      <c r="G14" s="103"/>
      <c r="H14" s="102" t="s">
        <v>35</v>
      </c>
      <c r="I14" s="104" t="s">
        <v>15</v>
      </c>
      <c r="J14" s="104"/>
      <c r="K14" s="105" t="s">
        <v>8</v>
      </c>
      <c r="L14" s="106">
        <v>343428.69</v>
      </c>
    </row>
    <row r="15" spans="1:12" ht="51" hidden="1" x14ac:dyDescent="0.3">
      <c r="A15" s="100" t="s">
        <v>238</v>
      </c>
      <c r="B15" s="101" t="s">
        <v>508</v>
      </c>
      <c r="C15" s="101" t="s">
        <v>513</v>
      </c>
      <c r="D15" s="101" t="s">
        <v>510</v>
      </c>
      <c r="E15" s="102" t="s">
        <v>13</v>
      </c>
      <c r="F15" s="103">
        <v>75</v>
      </c>
      <c r="G15" s="103"/>
      <c r="H15" s="102" t="s">
        <v>35</v>
      </c>
      <c r="I15" s="104" t="s">
        <v>15</v>
      </c>
      <c r="J15" s="104"/>
      <c r="K15" s="105" t="s">
        <v>8</v>
      </c>
      <c r="L15" s="106">
        <v>343503.69</v>
      </c>
    </row>
    <row r="16" spans="1:12" ht="51" hidden="1" x14ac:dyDescent="0.3">
      <c r="A16" s="100" t="s">
        <v>238</v>
      </c>
      <c r="B16" s="101" t="s">
        <v>514</v>
      </c>
      <c r="C16" s="101" t="s">
        <v>515</v>
      </c>
      <c r="D16" s="101" t="s">
        <v>516</v>
      </c>
      <c r="E16" s="102" t="s">
        <v>13</v>
      </c>
      <c r="F16" s="103">
        <v>480</v>
      </c>
      <c r="G16" s="103"/>
      <c r="H16" s="102" t="s">
        <v>35</v>
      </c>
      <c r="I16" s="104" t="s">
        <v>15</v>
      </c>
      <c r="J16" s="104"/>
      <c r="K16" s="105" t="s">
        <v>8</v>
      </c>
      <c r="L16" s="106">
        <v>343983.69</v>
      </c>
    </row>
    <row r="17" spans="1:12" ht="51" hidden="1" x14ac:dyDescent="0.3">
      <c r="A17" s="100" t="s">
        <v>238</v>
      </c>
      <c r="B17" s="101" t="s">
        <v>514</v>
      </c>
      <c r="C17" s="101" t="s">
        <v>517</v>
      </c>
      <c r="D17" s="101" t="s">
        <v>516</v>
      </c>
      <c r="E17" s="102" t="s">
        <v>13</v>
      </c>
      <c r="F17" s="103">
        <v>160</v>
      </c>
      <c r="G17" s="103"/>
      <c r="H17" s="102" t="s">
        <v>35</v>
      </c>
      <c r="I17" s="104" t="s">
        <v>15</v>
      </c>
      <c r="J17" s="104"/>
      <c r="K17" s="105" t="s">
        <v>8</v>
      </c>
      <c r="L17" s="106">
        <v>344143.69</v>
      </c>
    </row>
    <row r="18" spans="1:12" ht="51" hidden="1" x14ac:dyDescent="0.3">
      <c r="A18" s="100" t="s">
        <v>238</v>
      </c>
      <c r="B18" s="101" t="s">
        <v>514</v>
      </c>
      <c r="C18" s="101" t="s">
        <v>518</v>
      </c>
      <c r="D18" s="101" t="s">
        <v>516</v>
      </c>
      <c r="E18" s="102" t="s">
        <v>13</v>
      </c>
      <c r="F18" s="103">
        <v>102</v>
      </c>
      <c r="G18" s="103"/>
      <c r="H18" s="102" t="s">
        <v>35</v>
      </c>
      <c r="I18" s="104" t="s">
        <v>15</v>
      </c>
      <c r="J18" s="104"/>
      <c r="K18" s="105" t="s">
        <v>8</v>
      </c>
      <c r="L18" s="106">
        <v>344245.69</v>
      </c>
    </row>
    <row r="19" spans="1:12" ht="51" hidden="1" x14ac:dyDescent="0.3">
      <c r="A19" s="100" t="s">
        <v>238</v>
      </c>
      <c r="B19" s="101" t="s">
        <v>514</v>
      </c>
      <c r="C19" s="101" t="s">
        <v>519</v>
      </c>
      <c r="D19" s="101" t="s">
        <v>516</v>
      </c>
      <c r="E19" s="102" t="s">
        <v>13</v>
      </c>
      <c r="F19" s="103">
        <v>210</v>
      </c>
      <c r="G19" s="103"/>
      <c r="H19" s="102" t="s">
        <v>35</v>
      </c>
      <c r="I19" s="104" t="s">
        <v>15</v>
      </c>
      <c r="J19" s="104"/>
      <c r="K19" s="105" t="s">
        <v>8</v>
      </c>
      <c r="L19" s="106">
        <v>344455.69</v>
      </c>
    </row>
    <row r="20" spans="1:12" ht="51" hidden="1" x14ac:dyDescent="0.3">
      <c r="A20" s="100" t="s">
        <v>238</v>
      </c>
      <c r="B20" s="101" t="s">
        <v>514</v>
      </c>
      <c r="C20" s="101" t="s">
        <v>520</v>
      </c>
      <c r="D20" s="101" t="s">
        <v>516</v>
      </c>
      <c r="E20" s="102" t="s">
        <v>13</v>
      </c>
      <c r="F20" s="103">
        <v>260</v>
      </c>
      <c r="G20" s="103"/>
      <c r="H20" s="102" t="s">
        <v>35</v>
      </c>
      <c r="I20" s="104" t="s">
        <v>15</v>
      </c>
      <c r="J20" s="104"/>
      <c r="K20" s="105" t="s">
        <v>8</v>
      </c>
      <c r="L20" s="106">
        <v>344715.69</v>
      </c>
    </row>
    <row r="21" spans="1:12" ht="51" hidden="1" x14ac:dyDescent="0.3">
      <c r="A21" s="100" t="s">
        <v>238</v>
      </c>
      <c r="B21" s="101" t="s">
        <v>514</v>
      </c>
      <c r="C21" s="101" t="s">
        <v>521</v>
      </c>
      <c r="D21" s="101" t="s">
        <v>516</v>
      </c>
      <c r="E21" s="102" t="s">
        <v>13</v>
      </c>
      <c r="F21" s="103">
        <v>230</v>
      </c>
      <c r="G21" s="103"/>
      <c r="H21" s="102" t="s">
        <v>35</v>
      </c>
      <c r="I21" s="104" t="s">
        <v>15</v>
      </c>
      <c r="J21" s="104"/>
      <c r="K21" s="105" t="s">
        <v>8</v>
      </c>
      <c r="L21" s="106">
        <v>344945.69</v>
      </c>
    </row>
    <row r="22" spans="1:12" ht="51" hidden="1" x14ac:dyDescent="0.3">
      <c r="A22" s="100" t="s">
        <v>238</v>
      </c>
      <c r="B22" s="101" t="s">
        <v>514</v>
      </c>
      <c r="C22" s="101" t="s">
        <v>522</v>
      </c>
      <c r="D22" s="101" t="s">
        <v>516</v>
      </c>
      <c r="E22" s="102" t="s">
        <v>13</v>
      </c>
      <c r="F22" s="107">
        <v>1040</v>
      </c>
      <c r="G22" s="107"/>
      <c r="H22" s="102" t="s">
        <v>35</v>
      </c>
      <c r="I22" s="104" t="s">
        <v>15</v>
      </c>
      <c r="J22" s="104"/>
      <c r="K22" s="105" t="s">
        <v>8</v>
      </c>
      <c r="L22" s="106">
        <v>345985.69</v>
      </c>
    </row>
    <row r="23" spans="1:12" ht="51" hidden="1" x14ac:dyDescent="0.3">
      <c r="A23" s="100" t="s">
        <v>238</v>
      </c>
      <c r="B23" s="101" t="s">
        <v>514</v>
      </c>
      <c r="C23" s="101" t="s">
        <v>523</v>
      </c>
      <c r="D23" s="101" t="s">
        <v>516</v>
      </c>
      <c r="E23" s="102" t="s">
        <v>13</v>
      </c>
      <c r="F23" s="103">
        <v>560</v>
      </c>
      <c r="G23" s="103"/>
      <c r="H23" s="102" t="s">
        <v>35</v>
      </c>
      <c r="I23" s="104" t="s">
        <v>15</v>
      </c>
      <c r="J23" s="104"/>
      <c r="K23" s="105" t="s">
        <v>8</v>
      </c>
      <c r="L23" s="106">
        <v>346545.69</v>
      </c>
    </row>
    <row r="24" spans="1:12" ht="51" hidden="1" x14ac:dyDescent="0.3">
      <c r="A24" s="100" t="s">
        <v>238</v>
      </c>
      <c r="B24" s="101" t="s">
        <v>514</v>
      </c>
      <c r="C24" s="101" t="s">
        <v>524</v>
      </c>
      <c r="D24" s="101" t="s">
        <v>516</v>
      </c>
      <c r="E24" s="102" t="s">
        <v>13</v>
      </c>
      <c r="F24" s="103">
        <v>80</v>
      </c>
      <c r="G24" s="103"/>
      <c r="H24" s="102" t="s">
        <v>35</v>
      </c>
      <c r="I24" s="104" t="s">
        <v>15</v>
      </c>
      <c r="J24" s="104"/>
      <c r="K24" s="105" t="s">
        <v>8</v>
      </c>
      <c r="L24" s="106">
        <v>346625.69</v>
      </c>
    </row>
    <row r="25" spans="1:12" ht="51" hidden="1" x14ac:dyDescent="0.3">
      <c r="A25" s="100" t="s">
        <v>238</v>
      </c>
      <c r="B25" s="101" t="s">
        <v>514</v>
      </c>
      <c r="C25" s="101" t="s">
        <v>525</v>
      </c>
      <c r="D25" s="101" t="s">
        <v>516</v>
      </c>
      <c r="E25" s="102" t="s">
        <v>13</v>
      </c>
      <c r="F25" s="103">
        <v>220</v>
      </c>
      <c r="G25" s="103"/>
      <c r="H25" s="102" t="s">
        <v>35</v>
      </c>
      <c r="I25" s="104" t="s">
        <v>15</v>
      </c>
      <c r="J25" s="104"/>
      <c r="K25" s="105" t="s">
        <v>8</v>
      </c>
      <c r="L25" s="106">
        <v>346845.69</v>
      </c>
    </row>
    <row r="26" spans="1:12" ht="51" hidden="1" x14ac:dyDescent="0.3">
      <c r="A26" s="100" t="s">
        <v>238</v>
      </c>
      <c r="B26" s="101" t="s">
        <v>514</v>
      </c>
      <c r="C26" s="101" t="s">
        <v>526</v>
      </c>
      <c r="D26" s="101" t="s">
        <v>516</v>
      </c>
      <c r="E26" s="102" t="s">
        <v>13</v>
      </c>
      <c r="F26" s="103">
        <v>35</v>
      </c>
      <c r="G26" s="103"/>
      <c r="H26" s="102" t="s">
        <v>35</v>
      </c>
      <c r="I26" s="104" t="s">
        <v>15</v>
      </c>
      <c r="J26" s="104"/>
      <c r="K26" s="105" t="s">
        <v>8</v>
      </c>
      <c r="L26" s="106">
        <v>346880.69</v>
      </c>
    </row>
    <row r="27" spans="1:12" ht="51" hidden="1" x14ac:dyDescent="0.3">
      <c r="A27" s="100" t="s">
        <v>238</v>
      </c>
      <c r="B27" s="101" t="s">
        <v>514</v>
      </c>
      <c r="C27" s="101" t="s">
        <v>527</v>
      </c>
      <c r="D27" s="101" t="s">
        <v>516</v>
      </c>
      <c r="E27" s="102" t="s">
        <v>13</v>
      </c>
      <c r="F27" s="103">
        <v>170</v>
      </c>
      <c r="G27" s="103"/>
      <c r="H27" s="102" t="s">
        <v>35</v>
      </c>
      <c r="I27" s="104" t="s">
        <v>15</v>
      </c>
      <c r="J27" s="104"/>
      <c r="K27" s="105" t="s">
        <v>8</v>
      </c>
      <c r="L27" s="106">
        <v>347050.69</v>
      </c>
    </row>
    <row r="28" spans="1:12" ht="51" hidden="1" x14ac:dyDescent="0.3">
      <c r="A28" s="100" t="s">
        <v>238</v>
      </c>
      <c r="B28" s="101" t="s">
        <v>514</v>
      </c>
      <c r="C28" s="101" t="s">
        <v>528</v>
      </c>
      <c r="D28" s="101" t="s">
        <v>516</v>
      </c>
      <c r="E28" s="102" t="s">
        <v>13</v>
      </c>
      <c r="F28" s="103">
        <v>167</v>
      </c>
      <c r="G28" s="103"/>
      <c r="H28" s="102" t="s">
        <v>35</v>
      </c>
      <c r="I28" s="104" t="s">
        <v>15</v>
      </c>
      <c r="J28" s="104"/>
      <c r="K28" s="105" t="s">
        <v>8</v>
      </c>
      <c r="L28" s="106">
        <v>347217.69</v>
      </c>
    </row>
    <row r="29" spans="1:12" ht="51" hidden="1" x14ac:dyDescent="0.3">
      <c r="A29" s="100" t="s">
        <v>238</v>
      </c>
      <c r="B29" s="101" t="s">
        <v>514</v>
      </c>
      <c r="C29" s="101" t="s">
        <v>529</v>
      </c>
      <c r="D29" s="101" t="s">
        <v>516</v>
      </c>
      <c r="E29" s="102" t="s">
        <v>13</v>
      </c>
      <c r="F29" s="103">
        <v>460</v>
      </c>
      <c r="G29" s="103"/>
      <c r="H29" s="102" t="s">
        <v>35</v>
      </c>
      <c r="I29" s="104" t="s">
        <v>15</v>
      </c>
      <c r="J29" s="104"/>
      <c r="K29" s="105" t="s">
        <v>8</v>
      </c>
      <c r="L29" s="106">
        <v>347677.69</v>
      </c>
    </row>
    <row r="30" spans="1:12" ht="51" hidden="1" x14ac:dyDescent="0.3">
      <c r="A30" s="100" t="s">
        <v>238</v>
      </c>
      <c r="B30" s="101" t="s">
        <v>514</v>
      </c>
      <c r="C30" s="101" t="s">
        <v>530</v>
      </c>
      <c r="D30" s="101" t="s">
        <v>516</v>
      </c>
      <c r="E30" s="102" t="s">
        <v>13</v>
      </c>
      <c r="F30" s="103">
        <v>350</v>
      </c>
      <c r="G30" s="103"/>
      <c r="H30" s="102" t="s">
        <v>35</v>
      </c>
      <c r="I30" s="104" t="s">
        <v>15</v>
      </c>
      <c r="J30" s="104"/>
      <c r="K30" s="105" t="s">
        <v>8</v>
      </c>
      <c r="L30" s="106">
        <v>348027.69</v>
      </c>
    </row>
    <row r="31" spans="1:12" ht="51" hidden="1" x14ac:dyDescent="0.3">
      <c r="A31" s="100" t="s">
        <v>238</v>
      </c>
      <c r="B31" s="101" t="s">
        <v>514</v>
      </c>
      <c r="C31" s="101" t="s">
        <v>531</v>
      </c>
      <c r="D31" s="101" t="s">
        <v>516</v>
      </c>
      <c r="E31" s="102" t="s">
        <v>13</v>
      </c>
      <c r="F31" s="103">
        <v>110</v>
      </c>
      <c r="G31" s="103"/>
      <c r="H31" s="102" t="s">
        <v>35</v>
      </c>
      <c r="I31" s="104" t="s">
        <v>15</v>
      </c>
      <c r="J31" s="104"/>
      <c r="K31" s="105" t="s">
        <v>8</v>
      </c>
      <c r="L31" s="106">
        <v>348137.69</v>
      </c>
    </row>
    <row r="32" spans="1:12" ht="51" hidden="1" x14ac:dyDescent="0.3">
      <c r="A32" s="100" t="s">
        <v>238</v>
      </c>
      <c r="B32" s="101" t="s">
        <v>514</v>
      </c>
      <c r="C32" s="101" t="s">
        <v>532</v>
      </c>
      <c r="D32" s="101" t="s">
        <v>516</v>
      </c>
      <c r="E32" s="102" t="s">
        <v>13</v>
      </c>
      <c r="F32" s="103">
        <v>195</v>
      </c>
      <c r="G32" s="103"/>
      <c r="H32" s="102" t="s">
        <v>35</v>
      </c>
      <c r="I32" s="104" t="s">
        <v>15</v>
      </c>
      <c r="J32" s="104"/>
      <c r="K32" s="105" t="s">
        <v>8</v>
      </c>
      <c r="L32" s="106">
        <v>348332.69</v>
      </c>
    </row>
    <row r="33" spans="1:12" ht="51" hidden="1" x14ac:dyDescent="0.3">
      <c r="A33" s="100" t="s">
        <v>238</v>
      </c>
      <c r="B33" s="101" t="s">
        <v>514</v>
      </c>
      <c r="C33" s="101" t="s">
        <v>533</v>
      </c>
      <c r="D33" s="101" t="s">
        <v>516</v>
      </c>
      <c r="E33" s="102" t="s">
        <v>13</v>
      </c>
      <c r="F33" s="103">
        <v>80</v>
      </c>
      <c r="G33" s="103"/>
      <c r="H33" s="102" t="s">
        <v>35</v>
      </c>
      <c r="I33" s="104" t="s">
        <v>15</v>
      </c>
      <c r="J33" s="104"/>
      <c r="K33" s="105" t="s">
        <v>8</v>
      </c>
      <c r="L33" s="106">
        <v>348412.69</v>
      </c>
    </row>
    <row r="34" spans="1:12" ht="51" hidden="1" x14ac:dyDescent="0.3">
      <c r="A34" s="100" t="s">
        <v>238</v>
      </c>
      <c r="B34" s="101" t="s">
        <v>514</v>
      </c>
      <c r="C34" s="101" t="s">
        <v>534</v>
      </c>
      <c r="D34" s="101" t="s">
        <v>516</v>
      </c>
      <c r="E34" s="102" t="s">
        <v>13</v>
      </c>
      <c r="F34" s="103">
        <v>330</v>
      </c>
      <c r="G34" s="103"/>
      <c r="H34" s="102" t="s">
        <v>35</v>
      </c>
      <c r="I34" s="104" t="s">
        <v>15</v>
      </c>
      <c r="J34" s="104"/>
      <c r="K34" s="105" t="s">
        <v>8</v>
      </c>
      <c r="L34" s="106">
        <v>348742.69</v>
      </c>
    </row>
    <row r="35" spans="1:12" ht="51" hidden="1" x14ac:dyDescent="0.3">
      <c r="A35" s="100" t="s">
        <v>238</v>
      </c>
      <c r="B35" s="101" t="s">
        <v>514</v>
      </c>
      <c r="C35" s="101" t="s">
        <v>534</v>
      </c>
      <c r="D35" s="101" t="s">
        <v>516</v>
      </c>
      <c r="E35" s="102" t="s">
        <v>13</v>
      </c>
      <c r="F35" s="103">
        <v>340</v>
      </c>
      <c r="G35" s="103"/>
      <c r="H35" s="102" t="s">
        <v>35</v>
      </c>
      <c r="I35" s="104" t="s">
        <v>15</v>
      </c>
      <c r="J35" s="104"/>
      <c r="K35" s="105" t="s">
        <v>8</v>
      </c>
      <c r="L35" s="106">
        <v>349082.69</v>
      </c>
    </row>
    <row r="36" spans="1:12" ht="51" hidden="1" x14ac:dyDescent="0.3">
      <c r="A36" s="100" t="s">
        <v>238</v>
      </c>
      <c r="B36" s="101" t="s">
        <v>535</v>
      </c>
      <c r="C36" s="101" t="s">
        <v>536</v>
      </c>
      <c r="D36" s="101" t="s">
        <v>537</v>
      </c>
      <c r="E36" s="102" t="s">
        <v>13</v>
      </c>
      <c r="F36" s="107">
        <v>1875</v>
      </c>
      <c r="G36" s="107"/>
      <c r="H36" s="102" t="s">
        <v>35</v>
      </c>
      <c r="I36" s="104" t="s">
        <v>15</v>
      </c>
      <c r="J36" s="104"/>
      <c r="K36" s="105" t="s">
        <v>8</v>
      </c>
      <c r="L36" s="106">
        <v>350957.69</v>
      </c>
    </row>
    <row r="37" spans="1:12" ht="51" hidden="1" x14ac:dyDescent="0.3">
      <c r="A37" s="100" t="s">
        <v>320</v>
      </c>
      <c r="B37" s="101" t="s">
        <v>538</v>
      </c>
      <c r="C37" s="101" t="s">
        <v>539</v>
      </c>
      <c r="D37" s="101" t="s">
        <v>540</v>
      </c>
      <c r="E37" s="102" t="s">
        <v>13</v>
      </c>
      <c r="F37" s="107">
        <v>1653.36</v>
      </c>
      <c r="G37" s="107"/>
      <c r="H37" s="102" t="s">
        <v>35</v>
      </c>
      <c r="I37" s="104" t="s">
        <v>15</v>
      </c>
      <c r="J37" s="104"/>
      <c r="K37" s="105" t="s">
        <v>8</v>
      </c>
      <c r="L37" s="106">
        <v>352611.05</v>
      </c>
    </row>
    <row r="38" spans="1:12" ht="51" hidden="1" x14ac:dyDescent="0.3">
      <c r="A38" s="100" t="s">
        <v>320</v>
      </c>
      <c r="B38" s="101" t="s">
        <v>538</v>
      </c>
      <c r="C38" s="101" t="s">
        <v>541</v>
      </c>
      <c r="D38" s="101" t="s">
        <v>540</v>
      </c>
      <c r="E38" s="102" t="s">
        <v>13</v>
      </c>
      <c r="F38" s="107">
        <v>2480.04</v>
      </c>
      <c r="G38" s="107"/>
      <c r="H38" s="102" t="s">
        <v>35</v>
      </c>
      <c r="I38" s="104" t="s">
        <v>15</v>
      </c>
      <c r="J38" s="104"/>
      <c r="K38" s="105" t="s">
        <v>8</v>
      </c>
      <c r="L38" s="106">
        <v>355091.09</v>
      </c>
    </row>
    <row r="39" spans="1:12" ht="61.2" hidden="1" x14ac:dyDescent="0.3">
      <c r="A39" s="100" t="s">
        <v>320</v>
      </c>
      <c r="B39" s="101" t="s">
        <v>538</v>
      </c>
      <c r="C39" s="101" t="s">
        <v>542</v>
      </c>
      <c r="D39" s="101" t="s">
        <v>540</v>
      </c>
      <c r="E39" s="102" t="s">
        <v>13</v>
      </c>
      <c r="F39" s="107">
        <v>3415</v>
      </c>
      <c r="G39" s="107"/>
      <c r="H39" s="102" t="s">
        <v>35</v>
      </c>
      <c r="I39" s="104" t="s">
        <v>15</v>
      </c>
      <c r="J39" s="104"/>
      <c r="K39" s="105" t="s">
        <v>8</v>
      </c>
      <c r="L39" s="106">
        <v>358506.09</v>
      </c>
    </row>
    <row r="40" spans="1:12" ht="51" hidden="1" x14ac:dyDescent="0.3">
      <c r="A40" s="100" t="s">
        <v>9</v>
      </c>
      <c r="B40" s="101" t="s">
        <v>543</v>
      </c>
      <c r="C40" s="101" t="s">
        <v>544</v>
      </c>
      <c r="D40" s="101" t="s">
        <v>545</v>
      </c>
      <c r="E40" s="102" t="s">
        <v>13</v>
      </c>
      <c r="F40" s="107">
        <v>2724.9</v>
      </c>
      <c r="G40" s="107"/>
      <c r="H40" s="102" t="s">
        <v>35</v>
      </c>
      <c r="I40" s="104" t="s">
        <v>15</v>
      </c>
      <c r="J40" s="104"/>
      <c r="K40" s="105" t="s">
        <v>8</v>
      </c>
      <c r="L40" s="106">
        <v>361230.99</v>
      </c>
    </row>
    <row r="41" spans="1:12" ht="51" hidden="1" x14ac:dyDescent="0.3">
      <c r="A41" s="100" t="s">
        <v>9</v>
      </c>
      <c r="B41" s="101" t="s">
        <v>543</v>
      </c>
      <c r="C41" s="101" t="s">
        <v>546</v>
      </c>
      <c r="D41" s="101" t="s">
        <v>545</v>
      </c>
      <c r="E41" s="102" t="s">
        <v>13</v>
      </c>
      <c r="F41" s="107">
        <v>2330</v>
      </c>
      <c r="G41" s="107"/>
      <c r="H41" s="102" t="s">
        <v>35</v>
      </c>
      <c r="I41" s="104" t="s">
        <v>15</v>
      </c>
      <c r="J41" s="104"/>
      <c r="K41" s="105" t="s">
        <v>8</v>
      </c>
      <c r="L41" s="106">
        <v>363560.99</v>
      </c>
    </row>
    <row r="42" spans="1:12" ht="51" hidden="1" x14ac:dyDescent="0.3">
      <c r="A42" s="100" t="s">
        <v>22</v>
      </c>
      <c r="B42" s="101" t="s">
        <v>547</v>
      </c>
      <c r="C42" s="101" t="s">
        <v>548</v>
      </c>
      <c r="D42" s="101" t="s">
        <v>549</v>
      </c>
      <c r="E42" s="102" t="s">
        <v>13</v>
      </c>
      <c r="F42" s="107">
        <v>2982.8</v>
      </c>
      <c r="G42" s="107"/>
      <c r="H42" s="102" t="s">
        <v>35</v>
      </c>
      <c r="I42" s="104" t="s">
        <v>15</v>
      </c>
      <c r="J42" s="104"/>
      <c r="K42" s="105" t="s">
        <v>8</v>
      </c>
      <c r="L42" s="106">
        <v>366543.79</v>
      </c>
    </row>
    <row r="43" spans="1:12" ht="51" hidden="1" x14ac:dyDescent="0.3">
      <c r="A43" s="100" t="s">
        <v>550</v>
      </c>
      <c r="B43" s="101" t="s">
        <v>551</v>
      </c>
      <c r="C43" s="101" t="s">
        <v>552</v>
      </c>
      <c r="D43" s="101" t="s">
        <v>553</v>
      </c>
      <c r="E43" s="102" t="s">
        <v>13</v>
      </c>
      <c r="F43" s="107">
        <v>1141.67</v>
      </c>
      <c r="G43" s="107"/>
      <c r="H43" s="102" t="s">
        <v>35</v>
      </c>
      <c r="I43" s="104" t="s">
        <v>15</v>
      </c>
      <c r="J43" s="104"/>
      <c r="K43" s="105" t="s">
        <v>8</v>
      </c>
      <c r="L43" s="106">
        <v>367685.46</v>
      </c>
    </row>
    <row r="44" spans="1:12" ht="51" hidden="1" x14ac:dyDescent="0.3">
      <c r="A44" s="100" t="s">
        <v>550</v>
      </c>
      <c r="B44" s="101" t="s">
        <v>551</v>
      </c>
      <c r="C44" s="101" t="s">
        <v>554</v>
      </c>
      <c r="D44" s="101" t="s">
        <v>553</v>
      </c>
      <c r="E44" s="102" t="s">
        <v>13</v>
      </c>
      <c r="F44" s="103">
        <v>704.17</v>
      </c>
      <c r="G44" s="103"/>
      <c r="H44" s="102" t="s">
        <v>35</v>
      </c>
      <c r="I44" s="104" t="s">
        <v>15</v>
      </c>
      <c r="J44" s="104"/>
      <c r="K44" s="105" t="s">
        <v>8</v>
      </c>
      <c r="L44" s="106">
        <v>368389.63</v>
      </c>
    </row>
    <row r="45" spans="1:12" ht="51" x14ac:dyDescent="0.3">
      <c r="A45" s="100" t="s">
        <v>550</v>
      </c>
      <c r="B45" s="101" t="s">
        <v>555</v>
      </c>
      <c r="C45" s="101" t="s">
        <v>556</v>
      </c>
      <c r="D45" s="101" t="s">
        <v>557</v>
      </c>
      <c r="E45" s="102" t="s">
        <v>26</v>
      </c>
      <c r="F45" s="108" t="s">
        <v>15</v>
      </c>
      <c r="G45" s="108"/>
      <c r="H45" s="102" t="s">
        <v>13</v>
      </c>
      <c r="I45" s="109">
        <v>372.5</v>
      </c>
      <c r="J45" s="109"/>
      <c r="K45" s="105" t="s">
        <v>8</v>
      </c>
      <c r="L45" s="110">
        <v>304.25</v>
      </c>
    </row>
    <row r="46" spans="1:12" ht="51" x14ac:dyDescent="0.3">
      <c r="A46" s="100" t="s">
        <v>550</v>
      </c>
      <c r="B46" s="101" t="s">
        <v>555</v>
      </c>
      <c r="C46" s="101" t="s">
        <v>556</v>
      </c>
      <c r="D46" s="101" t="s">
        <v>558</v>
      </c>
      <c r="E46" s="102" t="s">
        <v>26</v>
      </c>
      <c r="F46" s="108" t="s">
        <v>15</v>
      </c>
      <c r="G46" s="108"/>
      <c r="H46" s="102" t="s">
        <v>13</v>
      </c>
      <c r="I46" s="109">
        <v>203.25</v>
      </c>
      <c r="J46" s="109"/>
      <c r="K46" s="105" t="s">
        <v>8</v>
      </c>
      <c r="L46" s="110">
        <v>101</v>
      </c>
    </row>
    <row r="47" spans="1:12" ht="51" x14ac:dyDescent="0.3">
      <c r="A47" s="100" t="s">
        <v>550</v>
      </c>
      <c r="B47" s="101" t="s">
        <v>555</v>
      </c>
      <c r="C47" s="101" t="s">
        <v>556</v>
      </c>
      <c r="D47" s="101" t="s">
        <v>559</v>
      </c>
      <c r="E47" s="102" t="s">
        <v>26</v>
      </c>
      <c r="F47" s="108" t="s">
        <v>15</v>
      </c>
      <c r="G47" s="108"/>
      <c r="H47" s="102" t="s">
        <v>13</v>
      </c>
      <c r="I47" s="109">
        <v>101</v>
      </c>
      <c r="J47" s="109"/>
      <c r="K47" s="105"/>
      <c r="L47" s="111"/>
    </row>
    <row r="48" spans="1:12" ht="51" x14ac:dyDescent="0.3">
      <c r="A48" s="100" t="s">
        <v>550</v>
      </c>
      <c r="B48" s="101" t="s">
        <v>560</v>
      </c>
      <c r="C48" s="101" t="s">
        <v>556</v>
      </c>
      <c r="D48" s="101" t="s">
        <v>561</v>
      </c>
      <c r="E48" s="102" t="s">
        <v>26</v>
      </c>
      <c r="F48" s="108" t="s">
        <v>15</v>
      </c>
      <c r="G48" s="108"/>
      <c r="H48" s="102" t="s">
        <v>13</v>
      </c>
      <c r="I48" s="109">
        <v>694</v>
      </c>
      <c r="J48" s="109"/>
      <c r="K48" s="105" t="s">
        <v>8</v>
      </c>
      <c r="L48" s="106">
        <v>367695.63</v>
      </c>
    </row>
    <row r="49" spans="1:12" ht="51" x14ac:dyDescent="0.3">
      <c r="A49" s="100" t="s">
        <v>550</v>
      </c>
      <c r="B49" s="101" t="s">
        <v>560</v>
      </c>
      <c r="C49" s="101" t="s">
        <v>24</v>
      </c>
      <c r="D49" s="101" t="s">
        <v>562</v>
      </c>
      <c r="E49" s="102" t="s">
        <v>26</v>
      </c>
      <c r="F49" s="108" t="s">
        <v>15</v>
      </c>
      <c r="G49" s="108"/>
      <c r="H49" s="102" t="s">
        <v>13</v>
      </c>
      <c r="I49" s="109">
        <v>656.5</v>
      </c>
      <c r="J49" s="109"/>
      <c r="K49" s="105" t="s">
        <v>8</v>
      </c>
      <c r="L49" s="106">
        <v>367039.13</v>
      </c>
    </row>
    <row r="50" spans="1:12" ht="51" x14ac:dyDescent="0.3">
      <c r="A50" s="100" t="s">
        <v>550</v>
      </c>
      <c r="B50" s="101" t="s">
        <v>563</v>
      </c>
      <c r="C50" s="101" t="s">
        <v>556</v>
      </c>
      <c r="D50" s="101" t="s">
        <v>564</v>
      </c>
      <c r="E50" s="102" t="s">
        <v>26</v>
      </c>
      <c r="F50" s="108" t="s">
        <v>15</v>
      </c>
      <c r="G50" s="108"/>
      <c r="H50" s="102" t="s">
        <v>13</v>
      </c>
      <c r="I50" s="112">
        <v>1084.5</v>
      </c>
      <c r="J50" s="112"/>
      <c r="K50" s="105" t="s">
        <v>8</v>
      </c>
      <c r="L50" s="106">
        <v>19347.04</v>
      </c>
    </row>
    <row r="51" spans="1:12" ht="51" x14ac:dyDescent="0.3">
      <c r="A51" s="100" t="s">
        <v>550</v>
      </c>
      <c r="B51" s="101" t="s">
        <v>563</v>
      </c>
      <c r="C51" s="101" t="s">
        <v>556</v>
      </c>
      <c r="D51" s="101" t="s">
        <v>565</v>
      </c>
      <c r="E51" s="102" t="s">
        <v>26</v>
      </c>
      <c r="F51" s="108" t="s">
        <v>15</v>
      </c>
      <c r="G51" s="108"/>
      <c r="H51" s="102" t="s">
        <v>13</v>
      </c>
      <c r="I51" s="112">
        <v>1708.5</v>
      </c>
      <c r="J51" s="112"/>
      <c r="K51" s="105" t="s">
        <v>8</v>
      </c>
      <c r="L51" s="106">
        <v>17638.54</v>
      </c>
    </row>
    <row r="52" spans="1:12" ht="51" x14ac:dyDescent="0.3">
      <c r="A52" s="100" t="s">
        <v>550</v>
      </c>
      <c r="B52" s="101" t="s">
        <v>566</v>
      </c>
      <c r="C52" s="101" t="s">
        <v>556</v>
      </c>
      <c r="D52" s="101" t="s">
        <v>567</v>
      </c>
      <c r="E52" s="102" t="s">
        <v>26</v>
      </c>
      <c r="F52" s="108" t="s">
        <v>15</v>
      </c>
      <c r="G52" s="108"/>
      <c r="H52" s="102" t="s">
        <v>13</v>
      </c>
      <c r="I52" s="109">
        <v>795.85</v>
      </c>
      <c r="J52" s="109"/>
      <c r="K52" s="105" t="s">
        <v>8</v>
      </c>
      <c r="L52" s="106">
        <v>366243.28</v>
      </c>
    </row>
    <row r="53" spans="1:12" ht="51" x14ac:dyDescent="0.3">
      <c r="A53" s="100" t="s">
        <v>550</v>
      </c>
      <c r="B53" s="101" t="s">
        <v>566</v>
      </c>
      <c r="C53" s="101" t="s">
        <v>556</v>
      </c>
      <c r="D53" s="101" t="s">
        <v>568</v>
      </c>
      <c r="E53" s="102" t="s">
        <v>26</v>
      </c>
      <c r="F53" s="108" t="s">
        <v>15</v>
      </c>
      <c r="G53" s="108"/>
      <c r="H53" s="102" t="s">
        <v>13</v>
      </c>
      <c r="I53" s="112">
        <v>1591.7</v>
      </c>
      <c r="J53" s="112"/>
      <c r="K53" s="105" t="s">
        <v>8</v>
      </c>
      <c r="L53" s="106">
        <v>364651.58</v>
      </c>
    </row>
    <row r="54" spans="1:12" ht="51" x14ac:dyDescent="0.3">
      <c r="A54" s="100" t="s">
        <v>550</v>
      </c>
      <c r="B54" s="101" t="s">
        <v>566</v>
      </c>
      <c r="C54" s="101" t="s">
        <v>556</v>
      </c>
      <c r="D54" s="101" t="s">
        <v>569</v>
      </c>
      <c r="E54" s="102" t="s">
        <v>26</v>
      </c>
      <c r="F54" s="108" t="s">
        <v>15</v>
      </c>
      <c r="G54" s="108"/>
      <c r="H54" s="102" t="s">
        <v>13</v>
      </c>
      <c r="I54" s="109">
        <v>795.85</v>
      </c>
      <c r="J54" s="109"/>
      <c r="K54" s="105" t="s">
        <v>8</v>
      </c>
      <c r="L54" s="106">
        <v>363855.73</v>
      </c>
    </row>
    <row r="55" spans="1:12" ht="51" x14ac:dyDescent="0.3">
      <c r="A55" s="100" t="s">
        <v>550</v>
      </c>
      <c r="B55" s="101" t="s">
        <v>566</v>
      </c>
      <c r="C55" s="101" t="s">
        <v>556</v>
      </c>
      <c r="D55" s="101" t="s">
        <v>570</v>
      </c>
      <c r="E55" s="102" t="s">
        <v>26</v>
      </c>
      <c r="F55" s="108" t="s">
        <v>15</v>
      </c>
      <c r="G55" s="108"/>
      <c r="H55" s="102" t="s">
        <v>13</v>
      </c>
      <c r="I55" s="109">
        <v>795.85</v>
      </c>
      <c r="J55" s="109"/>
      <c r="K55" s="105" t="s">
        <v>8</v>
      </c>
      <c r="L55" s="106">
        <v>363059.88</v>
      </c>
    </row>
    <row r="56" spans="1:12" ht="51" x14ac:dyDescent="0.3">
      <c r="A56" s="100" t="s">
        <v>550</v>
      </c>
      <c r="B56" s="101" t="s">
        <v>566</v>
      </c>
      <c r="C56" s="101" t="s">
        <v>556</v>
      </c>
      <c r="D56" s="101" t="s">
        <v>571</v>
      </c>
      <c r="E56" s="102" t="s">
        <v>26</v>
      </c>
      <c r="F56" s="108" t="s">
        <v>15</v>
      </c>
      <c r="G56" s="108"/>
      <c r="H56" s="102" t="s">
        <v>13</v>
      </c>
      <c r="I56" s="109">
        <v>795.85</v>
      </c>
      <c r="J56" s="109"/>
      <c r="K56" s="105" t="s">
        <v>8</v>
      </c>
      <c r="L56" s="106">
        <v>362264.03</v>
      </c>
    </row>
    <row r="57" spans="1:12" ht="51" x14ac:dyDescent="0.3">
      <c r="A57" s="100" t="s">
        <v>550</v>
      </c>
      <c r="B57" s="101" t="s">
        <v>572</v>
      </c>
      <c r="C57" s="101" t="s">
        <v>556</v>
      </c>
      <c r="D57" s="101" t="s">
        <v>573</v>
      </c>
      <c r="E57" s="102" t="s">
        <v>26</v>
      </c>
      <c r="F57" s="108" t="s">
        <v>15</v>
      </c>
      <c r="G57" s="108"/>
      <c r="H57" s="102" t="s">
        <v>13</v>
      </c>
      <c r="I57" s="109">
        <v>988.8</v>
      </c>
      <c r="J57" s="109"/>
      <c r="K57" s="105" t="s">
        <v>8</v>
      </c>
      <c r="L57" s="106">
        <v>361275.23</v>
      </c>
    </row>
    <row r="58" spans="1:12" ht="51" x14ac:dyDescent="0.3">
      <c r="A58" s="100" t="s">
        <v>550</v>
      </c>
      <c r="B58" s="101" t="s">
        <v>574</v>
      </c>
      <c r="C58" s="101" t="s">
        <v>556</v>
      </c>
      <c r="D58" s="101" t="s">
        <v>575</v>
      </c>
      <c r="E58" s="102" t="s">
        <v>26</v>
      </c>
      <c r="F58" s="108" t="s">
        <v>15</v>
      </c>
      <c r="G58" s="108"/>
      <c r="H58" s="102" t="s">
        <v>13</v>
      </c>
      <c r="I58" s="112">
        <v>8287.5</v>
      </c>
      <c r="J58" s="112"/>
      <c r="K58" s="105" t="s">
        <v>8</v>
      </c>
      <c r="L58" s="106">
        <v>352987.73</v>
      </c>
    </row>
    <row r="59" spans="1:12" ht="51" x14ac:dyDescent="0.3">
      <c r="A59" s="100" t="s">
        <v>550</v>
      </c>
      <c r="B59" s="101" t="s">
        <v>576</v>
      </c>
      <c r="C59" s="101" t="s">
        <v>556</v>
      </c>
      <c r="D59" s="101" t="s">
        <v>577</v>
      </c>
      <c r="E59" s="102" t="s">
        <v>26</v>
      </c>
      <c r="F59" s="108" t="s">
        <v>15</v>
      </c>
      <c r="G59" s="108"/>
      <c r="H59" s="102" t="s">
        <v>13</v>
      </c>
      <c r="I59" s="112">
        <v>3144.54</v>
      </c>
      <c r="J59" s="112"/>
      <c r="K59" s="105" t="s">
        <v>8</v>
      </c>
      <c r="L59" s="106">
        <v>349843.19</v>
      </c>
    </row>
    <row r="60" spans="1:12" ht="61.2" x14ac:dyDescent="0.3">
      <c r="A60" s="100" t="s">
        <v>550</v>
      </c>
      <c r="B60" s="101" t="s">
        <v>576</v>
      </c>
      <c r="C60" s="101" t="s">
        <v>556</v>
      </c>
      <c r="D60" s="101" t="s">
        <v>578</v>
      </c>
      <c r="E60" s="102" t="s">
        <v>26</v>
      </c>
      <c r="F60" s="108" t="s">
        <v>15</v>
      </c>
      <c r="G60" s="108"/>
      <c r="H60" s="102" t="s">
        <v>13</v>
      </c>
      <c r="I60" s="112">
        <v>3415</v>
      </c>
      <c r="J60" s="112"/>
      <c r="K60" s="105" t="s">
        <v>8</v>
      </c>
      <c r="L60" s="106">
        <v>346428.19</v>
      </c>
    </row>
    <row r="61" spans="1:12" ht="51" x14ac:dyDescent="0.3">
      <c r="A61" s="100" t="s">
        <v>550</v>
      </c>
      <c r="B61" s="101" t="s">
        <v>576</v>
      </c>
      <c r="C61" s="101" t="s">
        <v>556</v>
      </c>
      <c r="D61" s="101" t="s">
        <v>579</v>
      </c>
      <c r="E61" s="102" t="s">
        <v>26</v>
      </c>
      <c r="F61" s="108" t="s">
        <v>15</v>
      </c>
      <c r="G61" s="108"/>
      <c r="H61" s="102" t="s">
        <v>13</v>
      </c>
      <c r="I61" s="112">
        <v>6180</v>
      </c>
      <c r="J61" s="112"/>
      <c r="K61" s="105" t="s">
        <v>8</v>
      </c>
      <c r="L61" s="106">
        <v>340248.19</v>
      </c>
    </row>
    <row r="62" spans="1:12" ht="61.2" x14ac:dyDescent="0.3">
      <c r="A62" s="100" t="s">
        <v>550</v>
      </c>
      <c r="B62" s="101" t="s">
        <v>576</v>
      </c>
      <c r="C62" s="101" t="s">
        <v>556</v>
      </c>
      <c r="D62" s="101" t="s">
        <v>580</v>
      </c>
      <c r="E62" s="102" t="s">
        <v>26</v>
      </c>
      <c r="F62" s="108" t="s">
        <v>15</v>
      </c>
      <c r="G62" s="108"/>
      <c r="H62" s="102" t="s">
        <v>13</v>
      </c>
      <c r="I62" s="109">
        <v>485.77</v>
      </c>
      <c r="J62" s="109"/>
      <c r="K62" s="105" t="s">
        <v>8</v>
      </c>
      <c r="L62" s="106">
        <v>339762.42</v>
      </c>
    </row>
    <row r="63" spans="1:12" ht="51" x14ac:dyDescent="0.3">
      <c r="A63" s="100" t="s">
        <v>550</v>
      </c>
      <c r="B63" s="101" t="s">
        <v>576</v>
      </c>
      <c r="C63" s="101" t="s">
        <v>556</v>
      </c>
      <c r="D63" s="101" t="s">
        <v>581</v>
      </c>
      <c r="E63" s="102" t="s">
        <v>26</v>
      </c>
      <c r="F63" s="108" t="s">
        <v>15</v>
      </c>
      <c r="G63" s="108"/>
      <c r="H63" s="102" t="s">
        <v>13</v>
      </c>
      <c r="I63" s="109">
        <v>836</v>
      </c>
      <c r="J63" s="109"/>
      <c r="K63" s="105" t="s">
        <v>8</v>
      </c>
      <c r="L63" s="106">
        <v>338926.42</v>
      </c>
    </row>
    <row r="64" spans="1:12" ht="61.2" x14ac:dyDescent="0.3">
      <c r="A64" s="100" t="s">
        <v>550</v>
      </c>
      <c r="B64" s="101" t="s">
        <v>576</v>
      </c>
      <c r="C64" s="101" t="s">
        <v>556</v>
      </c>
      <c r="D64" s="101" t="s">
        <v>582</v>
      </c>
      <c r="E64" s="102" t="s">
        <v>26</v>
      </c>
      <c r="F64" s="108" t="s">
        <v>15</v>
      </c>
      <c r="G64" s="108"/>
      <c r="H64" s="102" t="s">
        <v>13</v>
      </c>
      <c r="I64" s="112">
        <v>4600</v>
      </c>
      <c r="J64" s="112"/>
      <c r="K64" s="105" t="s">
        <v>8</v>
      </c>
      <c r="L64" s="106">
        <v>334326.42</v>
      </c>
    </row>
    <row r="65" spans="1:12" ht="51" x14ac:dyDescent="0.3">
      <c r="A65" s="100" t="s">
        <v>550</v>
      </c>
      <c r="B65" s="101" t="s">
        <v>583</v>
      </c>
      <c r="C65" s="101" t="s">
        <v>556</v>
      </c>
      <c r="D65" s="101" t="s">
        <v>584</v>
      </c>
      <c r="E65" s="102" t="s">
        <v>26</v>
      </c>
      <c r="F65" s="108" t="s">
        <v>15</v>
      </c>
      <c r="G65" s="108"/>
      <c r="H65" s="102" t="s">
        <v>13</v>
      </c>
      <c r="I65" s="109">
        <v>204.25</v>
      </c>
      <c r="J65" s="109"/>
      <c r="K65" s="105" t="s">
        <v>8</v>
      </c>
      <c r="L65" s="106">
        <v>44660.32</v>
      </c>
    </row>
    <row r="66" spans="1:12" ht="61.2" x14ac:dyDescent="0.3">
      <c r="A66" s="100" t="s">
        <v>550</v>
      </c>
      <c r="B66" s="101" t="s">
        <v>583</v>
      </c>
      <c r="C66" s="101" t="s">
        <v>556</v>
      </c>
      <c r="D66" s="101" t="s">
        <v>585</v>
      </c>
      <c r="E66" s="102" t="s">
        <v>26</v>
      </c>
      <c r="F66" s="108" t="s">
        <v>15</v>
      </c>
      <c r="G66" s="108"/>
      <c r="H66" s="102" t="s">
        <v>13</v>
      </c>
      <c r="I66" s="112">
        <v>6800</v>
      </c>
      <c r="J66" s="112"/>
      <c r="K66" s="105" t="s">
        <v>8</v>
      </c>
      <c r="L66" s="106">
        <v>37860.32</v>
      </c>
    </row>
    <row r="67" spans="1:12" ht="51" x14ac:dyDescent="0.3">
      <c r="A67" s="100" t="s">
        <v>550</v>
      </c>
      <c r="B67" s="101" t="s">
        <v>583</v>
      </c>
      <c r="C67" s="101" t="s">
        <v>556</v>
      </c>
      <c r="D67" s="101" t="s">
        <v>586</v>
      </c>
      <c r="E67" s="102" t="s">
        <v>26</v>
      </c>
      <c r="F67" s="108" t="s">
        <v>15</v>
      </c>
      <c r="G67" s="108"/>
      <c r="H67" s="102" t="s">
        <v>13</v>
      </c>
      <c r="I67" s="112">
        <v>2212.5</v>
      </c>
      <c r="J67" s="112"/>
      <c r="K67" s="105" t="s">
        <v>8</v>
      </c>
      <c r="L67" s="106">
        <v>35647.82</v>
      </c>
    </row>
    <row r="68" spans="1:12" ht="51" x14ac:dyDescent="0.3">
      <c r="A68" s="100" t="s">
        <v>550</v>
      </c>
      <c r="B68" s="101" t="s">
        <v>587</v>
      </c>
      <c r="C68" s="101" t="s">
        <v>556</v>
      </c>
      <c r="D68" s="101" t="s">
        <v>575</v>
      </c>
      <c r="E68" s="102" t="s">
        <v>26</v>
      </c>
      <c r="F68" s="108" t="s">
        <v>15</v>
      </c>
      <c r="G68" s="108"/>
      <c r="H68" s="102" t="s">
        <v>13</v>
      </c>
      <c r="I68" s="112">
        <v>5525</v>
      </c>
      <c r="J68" s="112"/>
      <c r="K68" s="105" t="s">
        <v>8</v>
      </c>
      <c r="L68" s="106">
        <v>328801.42</v>
      </c>
    </row>
    <row r="69" spans="1:12" ht="51" hidden="1" x14ac:dyDescent="0.3">
      <c r="A69" s="100" t="s">
        <v>588</v>
      </c>
      <c r="B69" s="101" t="s">
        <v>589</v>
      </c>
      <c r="C69" s="101" t="s">
        <v>590</v>
      </c>
      <c r="D69" s="101" t="s">
        <v>591</v>
      </c>
      <c r="E69" s="102" t="s">
        <v>13</v>
      </c>
      <c r="F69" s="103">
        <v>395</v>
      </c>
      <c r="G69" s="103"/>
      <c r="H69" s="102" t="s">
        <v>35</v>
      </c>
      <c r="I69" s="104" t="s">
        <v>15</v>
      </c>
      <c r="J69" s="104"/>
      <c r="K69" s="105" t="s">
        <v>8</v>
      </c>
      <c r="L69" s="106">
        <v>329196.42</v>
      </c>
    </row>
    <row r="70" spans="1:12" ht="61.2" hidden="1" x14ac:dyDescent="0.3">
      <c r="A70" s="100" t="s">
        <v>324</v>
      </c>
      <c r="B70" s="101" t="s">
        <v>592</v>
      </c>
      <c r="C70" s="101" t="s">
        <v>593</v>
      </c>
      <c r="D70" s="101" t="s">
        <v>594</v>
      </c>
      <c r="E70" s="102" t="s">
        <v>13</v>
      </c>
      <c r="F70" s="107">
        <v>3415</v>
      </c>
      <c r="G70" s="107"/>
      <c r="H70" s="102" t="s">
        <v>35</v>
      </c>
      <c r="I70" s="104" t="s">
        <v>15</v>
      </c>
      <c r="J70" s="104"/>
      <c r="K70" s="105" t="s">
        <v>8</v>
      </c>
      <c r="L70" s="106">
        <v>332611.42</v>
      </c>
    </row>
    <row r="71" spans="1:12" ht="61.2" hidden="1" x14ac:dyDescent="0.3">
      <c r="A71" s="100" t="s">
        <v>324</v>
      </c>
      <c r="B71" s="101" t="s">
        <v>592</v>
      </c>
      <c r="C71" s="101" t="s">
        <v>595</v>
      </c>
      <c r="D71" s="101" t="s">
        <v>594</v>
      </c>
      <c r="E71" s="102" t="s">
        <v>13</v>
      </c>
      <c r="F71" s="107">
        <v>3415</v>
      </c>
      <c r="G71" s="107"/>
      <c r="H71" s="102" t="s">
        <v>35</v>
      </c>
      <c r="I71" s="104" t="s">
        <v>15</v>
      </c>
      <c r="J71" s="104"/>
      <c r="K71" s="105" t="s">
        <v>8</v>
      </c>
      <c r="L71" s="106">
        <v>336026.42</v>
      </c>
    </row>
    <row r="72" spans="1:12" ht="51" hidden="1" x14ac:dyDescent="0.3">
      <c r="A72" s="100" t="s">
        <v>324</v>
      </c>
      <c r="B72" s="101" t="s">
        <v>592</v>
      </c>
      <c r="C72" s="101" t="s">
        <v>596</v>
      </c>
      <c r="D72" s="101" t="s">
        <v>594</v>
      </c>
      <c r="E72" s="102" t="s">
        <v>13</v>
      </c>
      <c r="F72" s="103">
        <v>868.35</v>
      </c>
      <c r="G72" s="103"/>
      <c r="H72" s="102" t="s">
        <v>35</v>
      </c>
      <c r="I72" s="104" t="s">
        <v>15</v>
      </c>
      <c r="J72" s="104"/>
      <c r="K72" s="105" t="s">
        <v>8</v>
      </c>
      <c r="L72" s="106">
        <v>336894.77</v>
      </c>
    </row>
    <row r="73" spans="1:12" ht="51" hidden="1" x14ac:dyDescent="0.3">
      <c r="A73" s="100" t="s">
        <v>324</v>
      </c>
      <c r="B73" s="101" t="s">
        <v>592</v>
      </c>
      <c r="C73" s="101" t="s">
        <v>597</v>
      </c>
      <c r="D73" s="101" t="s">
        <v>594</v>
      </c>
      <c r="E73" s="102" t="s">
        <v>13</v>
      </c>
      <c r="F73" s="103">
        <v>868.35</v>
      </c>
      <c r="G73" s="103"/>
      <c r="H73" s="102" t="s">
        <v>35</v>
      </c>
      <c r="I73" s="104" t="s">
        <v>15</v>
      </c>
      <c r="J73" s="104"/>
      <c r="K73" s="105" t="s">
        <v>8</v>
      </c>
      <c r="L73" s="106">
        <v>337763.12</v>
      </c>
    </row>
    <row r="74" spans="1:12" ht="51" hidden="1" x14ac:dyDescent="0.3">
      <c r="A74" s="100" t="s">
        <v>324</v>
      </c>
      <c r="B74" s="101" t="s">
        <v>598</v>
      </c>
      <c r="C74" s="101" t="s">
        <v>599</v>
      </c>
      <c r="D74" s="101" t="s">
        <v>600</v>
      </c>
      <c r="E74" s="102" t="s">
        <v>13</v>
      </c>
      <c r="F74" s="107">
        <v>32500</v>
      </c>
      <c r="G74" s="107"/>
      <c r="H74" s="102" t="s">
        <v>35</v>
      </c>
      <c r="I74" s="104" t="s">
        <v>15</v>
      </c>
      <c r="J74" s="104"/>
      <c r="K74" s="105" t="s">
        <v>8</v>
      </c>
      <c r="L74" s="106">
        <v>370263.12</v>
      </c>
    </row>
    <row r="75" spans="1:12" ht="51" hidden="1" x14ac:dyDescent="0.3">
      <c r="A75" s="100" t="s">
        <v>324</v>
      </c>
      <c r="B75" s="101" t="s">
        <v>598</v>
      </c>
      <c r="C75" s="101" t="s">
        <v>601</v>
      </c>
      <c r="D75" s="101" t="s">
        <v>600</v>
      </c>
      <c r="E75" s="102" t="s">
        <v>13</v>
      </c>
      <c r="F75" s="107">
        <v>7000</v>
      </c>
      <c r="G75" s="107"/>
      <c r="H75" s="102" t="s">
        <v>35</v>
      </c>
      <c r="I75" s="104" t="s">
        <v>15</v>
      </c>
      <c r="J75" s="104"/>
      <c r="K75" s="105" t="s">
        <v>8</v>
      </c>
      <c r="L75" s="106">
        <v>377263.12</v>
      </c>
    </row>
    <row r="76" spans="1:12" ht="51" hidden="1" x14ac:dyDescent="0.3">
      <c r="A76" s="100" t="s">
        <v>324</v>
      </c>
      <c r="B76" s="101" t="s">
        <v>602</v>
      </c>
      <c r="C76" s="101" t="s">
        <v>603</v>
      </c>
      <c r="D76" s="101" t="s">
        <v>604</v>
      </c>
      <c r="E76" s="102" t="s">
        <v>13</v>
      </c>
      <c r="F76" s="107">
        <v>32500</v>
      </c>
      <c r="G76" s="107"/>
      <c r="H76" s="102" t="s">
        <v>35</v>
      </c>
      <c r="I76" s="104" t="s">
        <v>15</v>
      </c>
      <c r="J76" s="104"/>
      <c r="K76" s="105" t="s">
        <v>8</v>
      </c>
      <c r="L76" s="106">
        <v>409763.12</v>
      </c>
    </row>
    <row r="77" spans="1:12" ht="51" hidden="1" x14ac:dyDescent="0.3">
      <c r="A77" s="100" t="s">
        <v>324</v>
      </c>
      <c r="B77" s="101" t="s">
        <v>602</v>
      </c>
      <c r="C77" s="101" t="s">
        <v>605</v>
      </c>
      <c r="D77" s="101" t="s">
        <v>604</v>
      </c>
      <c r="E77" s="102" t="s">
        <v>13</v>
      </c>
      <c r="F77" s="107">
        <v>6500</v>
      </c>
      <c r="G77" s="107"/>
      <c r="H77" s="102" t="s">
        <v>35</v>
      </c>
      <c r="I77" s="104" t="s">
        <v>15</v>
      </c>
      <c r="J77" s="104"/>
      <c r="K77" s="105" t="s">
        <v>8</v>
      </c>
      <c r="L77" s="106">
        <v>416263.12</v>
      </c>
    </row>
    <row r="78" spans="1:12" ht="51" hidden="1" x14ac:dyDescent="0.3">
      <c r="A78" s="100" t="s">
        <v>379</v>
      </c>
      <c r="B78" s="101" t="s">
        <v>380</v>
      </c>
      <c r="C78" s="101" t="s">
        <v>381</v>
      </c>
      <c r="D78" s="101" t="s">
        <v>382</v>
      </c>
      <c r="E78" s="102" t="s">
        <v>13</v>
      </c>
      <c r="F78" s="107">
        <v>2500</v>
      </c>
      <c r="G78" s="107"/>
      <c r="H78" s="102" t="s">
        <v>13</v>
      </c>
      <c r="I78" s="104" t="s">
        <v>15</v>
      </c>
      <c r="J78" s="104"/>
      <c r="K78" s="105" t="s">
        <v>8</v>
      </c>
      <c r="L78" s="106">
        <v>418763.12</v>
      </c>
    </row>
    <row r="79" spans="1:12" ht="51" hidden="1" x14ac:dyDescent="0.3">
      <c r="A79" s="100" t="s">
        <v>379</v>
      </c>
      <c r="B79" s="101" t="s">
        <v>380</v>
      </c>
      <c r="C79" s="101" t="s">
        <v>383</v>
      </c>
      <c r="D79" s="101" t="s">
        <v>384</v>
      </c>
      <c r="E79" s="102" t="s">
        <v>13</v>
      </c>
      <c r="F79" s="103">
        <v>750</v>
      </c>
      <c r="G79" s="103"/>
      <c r="H79" s="102" t="s">
        <v>13</v>
      </c>
      <c r="I79" s="104" t="s">
        <v>15</v>
      </c>
      <c r="J79" s="104"/>
      <c r="K79" s="105" t="s">
        <v>8</v>
      </c>
      <c r="L79" s="106">
        <v>419513.12</v>
      </c>
    </row>
    <row r="80" spans="1:12" ht="51" hidden="1" x14ac:dyDescent="0.3">
      <c r="A80" s="100" t="s">
        <v>379</v>
      </c>
      <c r="B80" s="101" t="s">
        <v>380</v>
      </c>
      <c r="C80" s="101" t="s">
        <v>385</v>
      </c>
      <c r="D80" s="101" t="s">
        <v>386</v>
      </c>
      <c r="E80" s="102" t="s">
        <v>13</v>
      </c>
      <c r="F80" s="107">
        <v>1009.5</v>
      </c>
      <c r="G80" s="107"/>
      <c r="H80" s="102" t="s">
        <v>13</v>
      </c>
      <c r="I80" s="104" t="s">
        <v>15</v>
      </c>
      <c r="J80" s="104"/>
      <c r="K80" s="105" t="s">
        <v>8</v>
      </c>
      <c r="L80" s="106">
        <v>420522.62</v>
      </c>
    </row>
    <row r="81" spans="1:12" ht="51" hidden="1" x14ac:dyDescent="0.3">
      <c r="A81" s="100" t="s">
        <v>379</v>
      </c>
      <c r="B81" s="101" t="s">
        <v>380</v>
      </c>
      <c r="C81" s="101" t="s">
        <v>387</v>
      </c>
      <c r="D81" s="101" t="s">
        <v>388</v>
      </c>
      <c r="E81" s="102" t="s">
        <v>13</v>
      </c>
      <c r="F81" s="103">
        <v>582.5</v>
      </c>
      <c r="G81" s="103"/>
      <c r="H81" s="102" t="s">
        <v>13</v>
      </c>
      <c r="I81" s="104" t="s">
        <v>15</v>
      </c>
      <c r="J81" s="104"/>
      <c r="K81" s="105" t="s">
        <v>8</v>
      </c>
      <c r="L81" s="106">
        <v>421105.12</v>
      </c>
    </row>
    <row r="82" spans="1:12" ht="51" hidden="1" x14ac:dyDescent="0.3">
      <c r="A82" s="100" t="s">
        <v>606</v>
      </c>
      <c r="B82" s="101" t="s">
        <v>607</v>
      </c>
      <c r="C82" s="101" t="s">
        <v>608</v>
      </c>
      <c r="D82" s="101" t="s">
        <v>609</v>
      </c>
      <c r="E82" s="102" t="s">
        <v>13</v>
      </c>
      <c r="F82" s="103">
        <v>868.35</v>
      </c>
      <c r="G82" s="103"/>
      <c r="H82" s="102" t="s">
        <v>35</v>
      </c>
      <c r="I82" s="104" t="s">
        <v>15</v>
      </c>
      <c r="J82" s="104"/>
      <c r="K82" s="105" t="s">
        <v>8</v>
      </c>
      <c r="L82" s="106">
        <v>421973.47</v>
      </c>
    </row>
    <row r="83" spans="1:12" ht="51" hidden="1" x14ac:dyDescent="0.3">
      <c r="A83" s="100" t="s">
        <v>606</v>
      </c>
      <c r="B83" s="101" t="s">
        <v>607</v>
      </c>
      <c r="C83" s="101" t="s">
        <v>610</v>
      </c>
      <c r="D83" s="101" t="s">
        <v>609</v>
      </c>
      <c r="E83" s="102" t="s">
        <v>13</v>
      </c>
      <c r="F83" s="103">
        <v>868.35</v>
      </c>
      <c r="G83" s="103"/>
      <c r="H83" s="102" t="s">
        <v>35</v>
      </c>
      <c r="I83" s="104" t="s">
        <v>15</v>
      </c>
      <c r="J83" s="104"/>
      <c r="K83" s="105" t="s">
        <v>8</v>
      </c>
      <c r="L83" s="106">
        <v>422841.82</v>
      </c>
    </row>
    <row r="84" spans="1:12" ht="51" hidden="1" x14ac:dyDescent="0.3">
      <c r="A84" s="100" t="s">
        <v>606</v>
      </c>
      <c r="B84" s="101" t="s">
        <v>607</v>
      </c>
      <c r="C84" s="101" t="s">
        <v>611</v>
      </c>
      <c r="D84" s="101" t="s">
        <v>609</v>
      </c>
      <c r="E84" s="102" t="s">
        <v>13</v>
      </c>
      <c r="F84" s="103">
        <v>868.35</v>
      </c>
      <c r="G84" s="103"/>
      <c r="H84" s="102" t="s">
        <v>35</v>
      </c>
      <c r="I84" s="104" t="s">
        <v>15</v>
      </c>
      <c r="J84" s="104"/>
      <c r="K84" s="105" t="s">
        <v>8</v>
      </c>
      <c r="L84" s="106">
        <v>423710.17</v>
      </c>
    </row>
    <row r="85" spans="1:12" ht="51" hidden="1" x14ac:dyDescent="0.3">
      <c r="A85" s="100" t="s">
        <v>606</v>
      </c>
      <c r="B85" s="101" t="s">
        <v>607</v>
      </c>
      <c r="C85" s="101" t="s">
        <v>612</v>
      </c>
      <c r="D85" s="101" t="s">
        <v>609</v>
      </c>
      <c r="E85" s="102" t="s">
        <v>13</v>
      </c>
      <c r="F85" s="107">
        <v>3473.4</v>
      </c>
      <c r="G85" s="107"/>
      <c r="H85" s="102" t="s">
        <v>35</v>
      </c>
      <c r="I85" s="104" t="s">
        <v>15</v>
      </c>
      <c r="J85" s="104"/>
      <c r="K85" s="105" t="s">
        <v>8</v>
      </c>
      <c r="L85" s="106">
        <v>427183.57</v>
      </c>
    </row>
    <row r="86" spans="1:12" ht="51" hidden="1" x14ac:dyDescent="0.3">
      <c r="A86" s="100" t="s">
        <v>606</v>
      </c>
      <c r="B86" s="101" t="s">
        <v>607</v>
      </c>
      <c r="C86" s="101" t="s">
        <v>613</v>
      </c>
      <c r="D86" s="101" t="s">
        <v>609</v>
      </c>
      <c r="E86" s="102" t="s">
        <v>13</v>
      </c>
      <c r="F86" s="103">
        <v>868.35</v>
      </c>
      <c r="G86" s="103"/>
      <c r="H86" s="102" t="s">
        <v>35</v>
      </c>
      <c r="I86" s="104" t="s">
        <v>15</v>
      </c>
      <c r="J86" s="104"/>
      <c r="K86" s="105" t="s">
        <v>8</v>
      </c>
      <c r="L86" s="106">
        <v>428051.92</v>
      </c>
    </row>
    <row r="87" spans="1:12" ht="51" hidden="1" x14ac:dyDescent="0.3">
      <c r="A87" s="100" t="s">
        <v>606</v>
      </c>
      <c r="B87" s="101" t="s">
        <v>607</v>
      </c>
      <c r="C87" s="101" t="s">
        <v>614</v>
      </c>
      <c r="D87" s="101" t="s">
        <v>609</v>
      </c>
      <c r="E87" s="102" t="s">
        <v>13</v>
      </c>
      <c r="F87" s="103">
        <v>868.35</v>
      </c>
      <c r="G87" s="103"/>
      <c r="H87" s="102" t="s">
        <v>35</v>
      </c>
      <c r="I87" s="104" t="s">
        <v>15</v>
      </c>
      <c r="J87" s="104"/>
      <c r="K87" s="105" t="s">
        <v>8</v>
      </c>
      <c r="L87" s="106">
        <v>428920.27</v>
      </c>
    </row>
    <row r="88" spans="1:12" ht="51" hidden="1" x14ac:dyDescent="0.3">
      <c r="A88" s="100" t="s">
        <v>606</v>
      </c>
      <c r="B88" s="101" t="s">
        <v>607</v>
      </c>
      <c r="C88" s="101" t="s">
        <v>615</v>
      </c>
      <c r="D88" s="101" t="s">
        <v>609</v>
      </c>
      <c r="E88" s="102" t="s">
        <v>13</v>
      </c>
      <c r="F88" s="103">
        <v>868.35</v>
      </c>
      <c r="G88" s="103"/>
      <c r="H88" s="102" t="s">
        <v>35</v>
      </c>
      <c r="I88" s="104" t="s">
        <v>15</v>
      </c>
      <c r="J88" s="104"/>
      <c r="K88" s="105" t="s">
        <v>8</v>
      </c>
      <c r="L88" s="106">
        <v>429788.62</v>
      </c>
    </row>
    <row r="89" spans="1:12" ht="51" hidden="1" x14ac:dyDescent="0.3">
      <c r="A89" s="100" t="s">
        <v>606</v>
      </c>
      <c r="B89" s="101" t="s">
        <v>616</v>
      </c>
      <c r="C89" s="101" t="s">
        <v>617</v>
      </c>
      <c r="D89" s="101" t="s">
        <v>618</v>
      </c>
      <c r="E89" s="102" t="s">
        <v>13</v>
      </c>
      <c r="F89" s="103">
        <v>587.5</v>
      </c>
      <c r="G89" s="103"/>
      <c r="H89" s="102" t="s">
        <v>35</v>
      </c>
      <c r="I89" s="104" t="s">
        <v>15</v>
      </c>
      <c r="J89" s="104"/>
      <c r="K89" s="105" t="s">
        <v>8</v>
      </c>
      <c r="L89" s="106">
        <v>430376.12</v>
      </c>
    </row>
    <row r="90" spans="1:12" ht="61.2" hidden="1" x14ac:dyDescent="0.3">
      <c r="A90" s="100" t="s">
        <v>606</v>
      </c>
      <c r="B90" s="101" t="s">
        <v>616</v>
      </c>
      <c r="C90" s="101" t="s">
        <v>619</v>
      </c>
      <c r="D90" s="101" t="s">
        <v>618</v>
      </c>
      <c r="E90" s="102" t="s">
        <v>13</v>
      </c>
      <c r="F90" s="103">
        <v>404.25</v>
      </c>
      <c r="G90" s="103"/>
      <c r="H90" s="102" t="s">
        <v>35</v>
      </c>
      <c r="I90" s="104" t="s">
        <v>15</v>
      </c>
      <c r="J90" s="104"/>
      <c r="K90" s="105" t="s">
        <v>8</v>
      </c>
      <c r="L90" s="106">
        <v>430780.37</v>
      </c>
    </row>
    <row r="91" spans="1:12" ht="51" hidden="1" x14ac:dyDescent="0.3">
      <c r="A91" s="100" t="s">
        <v>606</v>
      </c>
      <c r="B91" s="101" t="s">
        <v>620</v>
      </c>
      <c r="C91" s="101" t="s">
        <v>621</v>
      </c>
      <c r="D91" s="101" t="s">
        <v>622</v>
      </c>
      <c r="E91" s="102" t="s">
        <v>13</v>
      </c>
      <c r="F91" s="107">
        <v>3210</v>
      </c>
      <c r="G91" s="107"/>
      <c r="H91" s="102" t="s">
        <v>35</v>
      </c>
      <c r="I91" s="104" t="s">
        <v>15</v>
      </c>
      <c r="J91" s="104"/>
      <c r="K91" s="105" t="s">
        <v>8</v>
      </c>
      <c r="L91" s="106">
        <v>433990.37</v>
      </c>
    </row>
    <row r="92" spans="1:12" ht="51" hidden="1" x14ac:dyDescent="0.3">
      <c r="A92" s="100" t="s">
        <v>606</v>
      </c>
      <c r="B92" s="101" t="s">
        <v>620</v>
      </c>
      <c r="C92" s="101" t="s">
        <v>623</v>
      </c>
      <c r="D92" s="101" t="s">
        <v>622</v>
      </c>
      <c r="E92" s="102" t="s">
        <v>13</v>
      </c>
      <c r="F92" s="107">
        <v>2790</v>
      </c>
      <c r="G92" s="107"/>
      <c r="H92" s="102" t="s">
        <v>35</v>
      </c>
      <c r="I92" s="104" t="s">
        <v>15</v>
      </c>
      <c r="J92" s="104"/>
      <c r="K92" s="105" t="s">
        <v>8</v>
      </c>
      <c r="L92" s="106">
        <v>436780.37</v>
      </c>
    </row>
    <row r="93" spans="1:12" ht="51" hidden="1" x14ac:dyDescent="0.3">
      <c r="A93" s="100" t="s">
        <v>606</v>
      </c>
      <c r="B93" s="101" t="s">
        <v>620</v>
      </c>
      <c r="C93" s="101" t="s">
        <v>624</v>
      </c>
      <c r="D93" s="101" t="s">
        <v>622</v>
      </c>
      <c r="E93" s="102" t="s">
        <v>13</v>
      </c>
      <c r="F93" s="107">
        <v>1188</v>
      </c>
      <c r="G93" s="107"/>
      <c r="H93" s="102" t="s">
        <v>35</v>
      </c>
      <c r="I93" s="104" t="s">
        <v>15</v>
      </c>
      <c r="J93" s="104"/>
      <c r="K93" s="105" t="s">
        <v>8</v>
      </c>
      <c r="L93" s="106">
        <v>437968.37</v>
      </c>
    </row>
    <row r="94" spans="1:12" ht="51" hidden="1" x14ac:dyDescent="0.3">
      <c r="A94" s="100" t="s">
        <v>606</v>
      </c>
      <c r="B94" s="101" t="s">
        <v>620</v>
      </c>
      <c r="C94" s="101" t="s">
        <v>625</v>
      </c>
      <c r="D94" s="101" t="s">
        <v>622</v>
      </c>
      <c r="E94" s="102" t="s">
        <v>13</v>
      </c>
      <c r="F94" s="103">
        <v>484</v>
      </c>
      <c r="G94" s="103"/>
      <c r="H94" s="102" t="s">
        <v>35</v>
      </c>
      <c r="I94" s="104" t="s">
        <v>15</v>
      </c>
      <c r="J94" s="104"/>
      <c r="K94" s="105" t="s">
        <v>8</v>
      </c>
      <c r="L94" s="106">
        <v>438452.37</v>
      </c>
    </row>
    <row r="95" spans="1:12" ht="51" hidden="1" x14ac:dyDescent="0.3">
      <c r="A95" s="100" t="s">
        <v>626</v>
      </c>
      <c r="B95" s="101" t="s">
        <v>627</v>
      </c>
      <c r="C95" s="101" t="s">
        <v>628</v>
      </c>
      <c r="D95" s="101" t="s">
        <v>629</v>
      </c>
      <c r="E95" s="102" t="s">
        <v>13</v>
      </c>
      <c r="F95" s="107">
        <v>3314.4</v>
      </c>
      <c r="G95" s="107"/>
      <c r="H95" s="102" t="s">
        <v>35</v>
      </c>
      <c r="I95" s="104" t="s">
        <v>15</v>
      </c>
      <c r="J95" s="104"/>
      <c r="K95" s="105" t="s">
        <v>8</v>
      </c>
      <c r="L95" s="106">
        <v>441766.77</v>
      </c>
    </row>
    <row r="96" spans="1:12" ht="51" hidden="1" x14ac:dyDescent="0.3">
      <c r="A96" s="100" t="s">
        <v>626</v>
      </c>
      <c r="B96" s="101" t="s">
        <v>627</v>
      </c>
      <c r="C96" s="101" t="s">
        <v>630</v>
      </c>
      <c r="D96" s="101" t="s">
        <v>629</v>
      </c>
      <c r="E96" s="102" t="s">
        <v>13</v>
      </c>
      <c r="F96" s="107">
        <v>12168</v>
      </c>
      <c r="G96" s="107"/>
      <c r="H96" s="102" t="s">
        <v>35</v>
      </c>
      <c r="I96" s="104" t="s">
        <v>15</v>
      </c>
      <c r="J96" s="104"/>
      <c r="K96" s="105" t="s">
        <v>8</v>
      </c>
      <c r="L96" s="106">
        <v>453934.77</v>
      </c>
    </row>
    <row r="97" spans="1:12" ht="51" hidden="1" x14ac:dyDescent="0.3">
      <c r="A97" s="100" t="s">
        <v>626</v>
      </c>
      <c r="B97" s="101" t="s">
        <v>627</v>
      </c>
      <c r="C97" s="101" t="s">
        <v>631</v>
      </c>
      <c r="D97" s="101" t="s">
        <v>629</v>
      </c>
      <c r="E97" s="102" t="s">
        <v>13</v>
      </c>
      <c r="F97" s="107">
        <v>4477.5</v>
      </c>
      <c r="G97" s="107"/>
      <c r="H97" s="102" t="s">
        <v>35</v>
      </c>
      <c r="I97" s="104" t="s">
        <v>15</v>
      </c>
      <c r="J97" s="104"/>
      <c r="K97" s="105" t="s">
        <v>8</v>
      </c>
      <c r="L97" s="106">
        <v>458412.27</v>
      </c>
    </row>
    <row r="98" spans="1:12" ht="51" hidden="1" x14ac:dyDescent="0.3">
      <c r="A98" s="100" t="s">
        <v>626</v>
      </c>
      <c r="B98" s="101" t="s">
        <v>627</v>
      </c>
      <c r="C98" s="101" t="s">
        <v>632</v>
      </c>
      <c r="D98" s="101" t="s">
        <v>629</v>
      </c>
      <c r="E98" s="102" t="s">
        <v>13</v>
      </c>
      <c r="F98" s="103">
        <v>215</v>
      </c>
      <c r="G98" s="103"/>
      <c r="H98" s="102" t="s">
        <v>35</v>
      </c>
      <c r="I98" s="104" t="s">
        <v>15</v>
      </c>
      <c r="J98" s="104"/>
      <c r="K98" s="105" t="s">
        <v>8</v>
      </c>
      <c r="L98" s="106">
        <v>458627.27</v>
      </c>
    </row>
    <row r="99" spans="1:12" ht="61.2" hidden="1" x14ac:dyDescent="0.3">
      <c r="A99" s="100" t="s">
        <v>626</v>
      </c>
      <c r="B99" s="101" t="s">
        <v>627</v>
      </c>
      <c r="C99" s="101" t="s">
        <v>633</v>
      </c>
      <c r="D99" s="101" t="s">
        <v>629</v>
      </c>
      <c r="E99" s="102" t="s">
        <v>13</v>
      </c>
      <c r="F99" s="103">
        <v>892.8</v>
      </c>
      <c r="G99" s="103"/>
      <c r="H99" s="102" t="s">
        <v>35</v>
      </c>
      <c r="I99" s="104" t="s">
        <v>15</v>
      </c>
      <c r="J99" s="104"/>
      <c r="K99" s="105" t="s">
        <v>8</v>
      </c>
      <c r="L99" s="106">
        <v>459520.07</v>
      </c>
    </row>
    <row r="100" spans="1:12" ht="51" hidden="1" x14ac:dyDescent="0.3">
      <c r="A100" s="100" t="s">
        <v>626</v>
      </c>
      <c r="B100" s="101" t="s">
        <v>627</v>
      </c>
      <c r="C100" s="101" t="s">
        <v>634</v>
      </c>
      <c r="D100" s="101" t="s">
        <v>629</v>
      </c>
      <c r="E100" s="102" t="s">
        <v>13</v>
      </c>
      <c r="F100" s="103">
        <v>792.6</v>
      </c>
      <c r="G100" s="103"/>
      <c r="H100" s="102" t="s">
        <v>35</v>
      </c>
      <c r="I100" s="104" t="s">
        <v>15</v>
      </c>
      <c r="J100" s="104"/>
      <c r="K100" s="105" t="s">
        <v>8</v>
      </c>
      <c r="L100" s="106">
        <v>460312.67</v>
      </c>
    </row>
    <row r="101" spans="1:12" ht="51" hidden="1" x14ac:dyDescent="0.3">
      <c r="A101" s="100" t="s">
        <v>626</v>
      </c>
      <c r="B101" s="101" t="s">
        <v>627</v>
      </c>
      <c r="C101" s="101" t="s">
        <v>635</v>
      </c>
      <c r="D101" s="101" t="s">
        <v>629</v>
      </c>
      <c r="E101" s="102" t="s">
        <v>13</v>
      </c>
      <c r="F101" s="103">
        <v>877.5</v>
      </c>
      <c r="G101" s="103"/>
      <c r="H101" s="102" t="s">
        <v>35</v>
      </c>
      <c r="I101" s="104" t="s">
        <v>15</v>
      </c>
      <c r="J101" s="104"/>
      <c r="K101" s="105" t="s">
        <v>8</v>
      </c>
      <c r="L101" s="106">
        <v>461190.17</v>
      </c>
    </row>
    <row r="102" spans="1:12" ht="51" hidden="1" x14ac:dyDescent="0.3">
      <c r="A102" s="100" t="s">
        <v>626</v>
      </c>
      <c r="B102" s="101" t="s">
        <v>627</v>
      </c>
      <c r="C102" s="101" t="s">
        <v>636</v>
      </c>
      <c r="D102" s="101" t="s">
        <v>629</v>
      </c>
      <c r="E102" s="102" t="s">
        <v>13</v>
      </c>
      <c r="F102" s="103">
        <v>422.8</v>
      </c>
      <c r="G102" s="103"/>
      <c r="H102" s="102" t="s">
        <v>35</v>
      </c>
      <c r="I102" s="104" t="s">
        <v>15</v>
      </c>
      <c r="J102" s="104"/>
      <c r="K102" s="105" t="s">
        <v>8</v>
      </c>
      <c r="L102" s="106">
        <v>461612.97</v>
      </c>
    </row>
    <row r="103" spans="1:12" ht="51" hidden="1" x14ac:dyDescent="0.3">
      <c r="A103" s="100" t="s">
        <v>626</v>
      </c>
      <c r="B103" s="101" t="s">
        <v>627</v>
      </c>
      <c r="C103" s="101" t="s">
        <v>637</v>
      </c>
      <c r="D103" s="101" t="s">
        <v>629</v>
      </c>
      <c r="E103" s="102" t="s">
        <v>13</v>
      </c>
      <c r="F103" s="107">
        <v>1791</v>
      </c>
      <c r="G103" s="107"/>
      <c r="H103" s="102" t="s">
        <v>35</v>
      </c>
      <c r="I103" s="104" t="s">
        <v>15</v>
      </c>
      <c r="J103" s="104"/>
      <c r="K103" s="105" t="s">
        <v>8</v>
      </c>
      <c r="L103" s="106">
        <v>463403.97</v>
      </c>
    </row>
    <row r="104" spans="1:12" ht="51" hidden="1" x14ac:dyDescent="0.3">
      <c r="A104" s="100" t="s">
        <v>626</v>
      </c>
      <c r="B104" s="101" t="s">
        <v>627</v>
      </c>
      <c r="C104" s="101" t="s">
        <v>638</v>
      </c>
      <c r="D104" s="101" t="s">
        <v>629</v>
      </c>
      <c r="E104" s="102" t="s">
        <v>13</v>
      </c>
      <c r="F104" s="107">
        <v>5650</v>
      </c>
      <c r="G104" s="107"/>
      <c r="H104" s="102" t="s">
        <v>35</v>
      </c>
      <c r="I104" s="104" t="s">
        <v>15</v>
      </c>
      <c r="J104" s="104"/>
      <c r="K104" s="105" t="s">
        <v>8</v>
      </c>
      <c r="L104" s="106">
        <v>469053.97</v>
      </c>
    </row>
    <row r="105" spans="1:12" ht="51" hidden="1" x14ac:dyDescent="0.3">
      <c r="A105" s="100" t="s">
        <v>626</v>
      </c>
      <c r="B105" s="101" t="s">
        <v>627</v>
      </c>
      <c r="C105" s="101" t="s">
        <v>639</v>
      </c>
      <c r="D105" s="101" t="s">
        <v>629</v>
      </c>
      <c r="E105" s="102" t="s">
        <v>13</v>
      </c>
      <c r="F105" s="107">
        <v>1704.3</v>
      </c>
      <c r="G105" s="107"/>
      <c r="H105" s="102" t="s">
        <v>35</v>
      </c>
      <c r="I105" s="104" t="s">
        <v>15</v>
      </c>
      <c r="J105" s="104"/>
      <c r="K105" s="105" t="s">
        <v>8</v>
      </c>
      <c r="L105" s="106">
        <v>470758.27</v>
      </c>
    </row>
    <row r="106" spans="1:12" ht="51" hidden="1" x14ac:dyDescent="0.3">
      <c r="A106" s="100" t="s">
        <v>626</v>
      </c>
      <c r="B106" s="101" t="s">
        <v>627</v>
      </c>
      <c r="C106" s="101" t="s">
        <v>640</v>
      </c>
      <c r="D106" s="101" t="s">
        <v>629</v>
      </c>
      <c r="E106" s="102" t="s">
        <v>13</v>
      </c>
      <c r="F106" s="103">
        <v>482.7</v>
      </c>
      <c r="G106" s="103"/>
      <c r="H106" s="102" t="s">
        <v>35</v>
      </c>
      <c r="I106" s="104" t="s">
        <v>15</v>
      </c>
      <c r="J106" s="104"/>
      <c r="K106" s="105" t="s">
        <v>8</v>
      </c>
      <c r="L106" s="106">
        <v>471240.97</v>
      </c>
    </row>
    <row r="107" spans="1:12" ht="51" hidden="1" x14ac:dyDescent="0.3">
      <c r="A107" s="100" t="s">
        <v>626</v>
      </c>
      <c r="B107" s="101" t="s">
        <v>627</v>
      </c>
      <c r="C107" s="101" t="s">
        <v>641</v>
      </c>
      <c r="D107" s="101" t="s">
        <v>629</v>
      </c>
      <c r="E107" s="102" t="s">
        <v>13</v>
      </c>
      <c r="F107" s="107">
        <v>1676</v>
      </c>
      <c r="G107" s="107"/>
      <c r="H107" s="102" t="s">
        <v>35</v>
      </c>
      <c r="I107" s="104" t="s">
        <v>15</v>
      </c>
      <c r="J107" s="104"/>
      <c r="K107" s="105" t="s">
        <v>8</v>
      </c>
      <c r="L107" s="106">
        <v>472916.97</v>
      </c>
    </row>
    <row r="108" spans="1:12" ht="51" hidden="1" x14ac:dyDescent="0.3">
      <c r="A108" s="100" t="s">
        <v>626</v>
      </c>
      <c r="B108" s="101" t="s">
        <v>627</v>
      </c>
      <c r="C108" s="101" t="s">
        <v>642</v>
      </c>
      <c r="D108" s="101" t="s">
        <v>629</v>
      </c>
      <c r="E108" s="102" t="s">
        <v>13</v>
      </c>
      <c r="F108" s="103">
        <v>358.4</v>
      </c>
      <c r="G108" s="103"/>
      <c r="H108" s="102" t="s">
        <v>35</v>
      </c>
      <c r="I108" s="104" t="s">
        <v>15</v>
      </c>
      <c r="J108" s="104"/>
      <c r="K108" s="105" t="s">
        <v>8</v>
      </c>
      <c r="L108" s="106">
        <v>473275.37</v>
      </c>
    </row>
    <row r="109" spans="1:12" ht="51" hidden="1" x14ac:dyDescent="0.3">
      <c r="A109" s="100" t="s">
        <v>626</v>
      </c>
      <c r="B109" s="101" t="s">
        <v>627</v>
      </c>
      <c r="C109" s="101" t="s">
        <v>643</v>
      </c>
      <c r="D109" s="101" t="s">
        <v>629</v>
      </c>
      <c r="E109" s="102" t="s">
        <v>13</v>
      </c>
      <c r="F109" s="103">
        <v>265.39999999999998</v>
      </c>
      <c r="G109" s="103"/>
      <c r="H109" s="102" t="s">
        <v>35</v>
      </c>
      <c r="I109" s="104" t="s">
        <v>15</v>
      </c>
      <c r="J109" s="104"/>
      <c r="K109" s="105" t="s">
        <v>8</v>
      </c>
      <c r="L109" s="106">
        <v>473540.77</v>
      </c>
    </row>
    <row r="110" spans="1:12" ht="51" hidden="1" x14ac:dyDescent="0.3">
      <c r="A110" s="100" t="s">
        <v>626</v>
      </c>
      <c r="B110" s="101" t="s">
        <v>627</v>
      </c>
      <c r="C110" s="101" t="s">
        <v>644</v>
      </c>
      <c r="D110" s="101" t="s">
        <v>629</v>
      </c>
      <c r="E110" s="102" t="s">
        <v>13</v>
      </c>
      <c r="F110" s="103">
        <v>310</v>
      </c>
      <c r="G110" s="103"/>
      <c r="H110" s="102" t="s">
        <v>35</v>
      </c>
      <c r="I110" s="104" t="s">
        <v>15</v>
      </c>
      <c r="J110" s="104"/>
      <c r="K110" s="105" t="s">
        <v>8</v>
      </c>
      <c r="L110" s="106">
        <v>473850.77</v>
      </c>
    </row>
    <row r="111" spans="1:12" ht="51" hidden="1" x14ac:dyDescent="0.3">
      <c r="A111" s="100" t="s">
        <v>626</v>
      </c>
      <c r="B111" s="101" t="s">
        <v>627</v>
      </c>
      <c r="C111" s="101" t="s">
        <v>645</v>
      </c>
      <c r="D111" s="101" t="s">
        <v>629</v>
      </c>
      <c r="E111" s="102" t="s">
        <v>13</v>
      </c>
      <c r="F111" s="103">
        <v>300.39999999999998</v>
      </c>
      <c r="G111" s="103"/>
      <c r="H111" s="102" t="s">
        <v>35</v>
      </c>
      <c r="I111" s="104" t="s">
        <v>15</v>
      </c>
      <c r="J111" s="104"/>
      <c r="K111" s="105" t="s">
        <v>8</v>
      </c>
      <c r="L111" s="106">
        <v>474151.17</v>
      </c>
    </row>
    <row r="112" spans="1:12" ht="51" hidden="1" x14ac:dyDescent="0.3">
      <c r="A112" s="100" t="s">
        <v>626</v>
      </c>
      <c r="B112" s="101" t="s">
        <v>627</v>
      </c>
      <c r="C112" s="101" t="s">
        <v>646</v>
      </c>
      <c r="D112" s="101" t="s">
        <v>629</v>
      </c>
      <c r="E112" s="102" t="s">
        <v>13</v>
      </c>
      <c r="F112" s="103">
        <v>311.60000000000002</v>
      </c>
      <c r="G112" s="103"/>
      <c r="H112" s="102" t="s">
        <v>35</v>
      </c>
      <c r="I112" s="104" t="s">
        <v>15</v>
      </c>
      <c r="J112" s="104"/>
      <c r="K112" s="105" t="s">
        <v>8</v>
      </c>
      <c r="L112" s="106">
        <v>474462.77</v>
      </c>
    </row>
    <row r="113" spans="1:12" ht="51" hidden="1" x14ac:dyDescent="0.3">
      <c r="A113" s="100" t="s">
        <v>626</v>
      </c>
      <c r="B113" s="101" t="s">
        <v>627</v>
      </c>
      <c r="C113" s="101" t="s">
        <v>647</v>
      </c>
      <c r="D113" s="101" t="s">
        <v>629</v>
      </c>
      <c r="E113" s="102" t="s">
        <v>13</v>
      </c>
      <c r="F113" s="103">
        <v>401.2</v>
      </c>
      <c r="G113" s="103"/>
      <c r="H113" s="102" t="s">
        <v>35</v>
      </c>
      <c r="I113" s="104" t="s">
        <v>15</v>
      </c>
      <c r="J113" s="104"/>
      <c r="K113" s="105" t="s">
        <v>8</v>
      </c>
      <c r="L113" s="106">
        <v>474863.97</v>
      </c>
    </row>
    <row r="114" spans="1:12" ht="51" hidden="1" x14ac:dyDescent="0.3">
      <c r="A114" s="100" t="s">
        <v>626</v>
      </c>
      <c r="B114" s="101" t="s">
        <v>627</v>
      </c>
      <c r="C114" s="101" t="s">
        <v>648</v>
      </c>
      <c r="D114" s="101" t="s">
        <v>629</v>
      </c>
      <c r="E114" s="102" t="s">
        <v>13</v>
      </c>
      <c r="F114" s="103">
        <v>361</v>
      </c>
      <c r="G114" s="103"/>
      <c r="H114" s="102" t="s">
        <v>35</v>
      </c>
      <c r="I114" s="104" t="s">
        <v>15</v>
      </c>
      <c r="J114" s="104"/>
      <c r="K114" s="105" t="s">
        <v>8</v>
      </c>
      <c r="L114" s="106">
        <v>475224.97</v>
      </c>
    </row>
    <row r="115" spans="1:12" ht="51" hidden="1" x14ac:dyDescent="0.3">
      <c r="A115" s="100" t="s">
        <v>626</v>
      </c>
      <c r="B115" s="101" t="s">
        <v>627</v>
      </c>
      <c r="C115" s="101" t="s">
        <v>649</v>
      </c>
      <c r="D115" s="101" t="s">
        <v>629</v>
      </c>
      <c r="E115" s="102" t="s">
        <v>13</v>
      </c>
      <c r="F115" s="103">
        <v>291.60000000000002</v>
      </c>
      <c r="G115" s="103"/>
      <c r="H115" s="102" t="s">
        <v>35</v>
      </c>
      <c r="I115" s="104" t="s">
        <v>15</v>
      </c>
      <c r="J115" s="104"/>
      <c r="K115" s="105" t="s">
        <v>8</v>
      </c>
      <c r="L115" s="106">
        <v>475516.57</v>
      </c>
    </row>
    <row r="116" spans="1:12" ht="51" hidden="1" x14ac:dyDescent="0.3">
      <c r="A116" s="100" t="s">
        <v>626</v>
      </c>
      <c r="B116" s="101" t="s">
        <v>627</v>
      </c>
      <c r="C116" s="101" t="s">
        <v>650</v>
      </c>
      <c r="D116" s="101" t="s">
        <v>629</v>
      </c>
      <c r="E116" s="102" t="s">
        <v>13</v>
      </c>
      <c r="F116" s="103">
        <v>586.35</v>
      </c>
      <c r="G116" s="103"/>
      <c r="H116" s="102" t="s">
        <v>35</v>
      </c>
      <c r="I116" s="104" t="s">
        <v>15</v>
      </c>
      <c r="J116" s="104"/>
      <c r="K116" s="105" t="s">
        <v>8</v>
      </c>
      <c r="L116" s="106">
        <v>476102.92</v>
      </c>
    </row>
    <row r="117" spans="1:12" ht="51" hidden="1" x14ac:dyDescent="0.3">
      <c r="A117" s="100" t="s">
        <v>626</v>
      </c>
      <c r="B117" s="101" t="s">
        <v>627</v>
      </c>
      <c r="C117" s="101" t="s">
        <v>651</v>
      </c>
      <c r="D117" s="101" t="s">
        <v>629</v>
      </c>
      <c r="E117" s="102" t="s">
        <v>13</v>
      </c>
      <c r="F117" s="103">
        <v>142.19999999999999</v>
      </c>
      <c r="G117" s="103"/>
      <c r="H117" s="102" t="s">
        <v>35</v>
      </c>
      <c r="I117" s="104" t="s">
        <v>15</v>
      </c>
      <c r="J117" s="104"/>
      <c r="K117" s="105" t="s">
        <v>8</v>
      </c>
      <c r="L117" s="106">
        <v>476245.12</v>
      </c>
    </row>
    <row r="118" spans="1:12" ht="51" hidden="1" x14ac:dyDescent="0.3">
      <c r="A118" s="100" t="s">
        <v>626</v>
      </c>
      <c r="B118" s="101" t="s">
        <v>627</v>
      </c>
      <c r="C118" s="101" t="s">
        <v>636</v>
      </c>
      <c r="D118" s="101" t="s">
        <v>629</v>
      </c>
      <c r="E118" s="102" t="s">
        <v>13</v>
      </c>
      <c r="F118" s="107">
        <v>1621.3</v>
      </c>
      <c r="G118" s="107"/>
      <c r="H118" s="102" t="s">
        <v>35</v>
      </c>
      <c r="I118" s="104" t="s">
        <v>15</v>
      </c>
      <c r="J118" s="104"/>
      <c r="K118" s="105" t="s">
        <v>8</v>
      </c>
      <c r="L118" s="106">
        <v>477866.42</v>
      </c>
    </row>
    <row r="119" spans="1:12" ht="51" hidden="1" x14ac:dyDescent="0.3">
      <c r="A119" s="100" t="s">
        <v>626</v>
      </c>
      <c r="B119" s="101" t="s">
        <v>627</v>
      </c>
      <c r="C119" s="101" t="s">
        <v>652</v>
      </c>
      <c r="D119" s="101" t="s">
        <v>629</v>
      </c>
      <c r="E119" s="102" t="s">
        <v>13</v>
      </c>
      <c r="F119" s="107">
        <v>1681.8</v>
      </c>
      <c r="G119" s="107"/>
      <c r="H119" s="102" t="s">
        <v>35</v>
      </c>
      <c r="I119" s="104" t="s">
        <v>15</v>
      </c>
      <c r="J119" s="104"/>
      <c r="K119" s="105" t="s">
        <v>8</v>
      </c>
      <c r="L119" s="106">
        <v>479548.22</v>
      </c>
    </row>
    <row r="120" spans="1:12" ht="51" hidden="1" x14ac:dyDescent="0.3">
      <c r="A120" s="100" t="s">
        <v>626</v>
      </c>
      <c r="B120" s="101" t="s">
        <v>627</v>
      </c>
      <c r="C120" s="101" t="s">
        <v>653</v>
      </c>
      <c r="D120" s="101" t="s">
        <v>629</v>
      </c>
      <c r="E120" s="102" t="s">
        <v>13</v>
      </c>
      <c r="F120" s="103">
        <v>897.6</v>
      </c>
      <c r="G120" s="103"/>
      <c r="H120" s="102" t="s">
        <v>35</v>
      </c>
      <c r="I120" s="104" t="s">
        <v>15</v>
      </c>
      <c r="J120" s="104"/>
      <c r="K120" s="105" t="s">
        <v>8</v>
      </c>
      <c r="L120" s="106">
        <v>480445.82</v>
      </c>
    </row>
    <row r="121" spans="1:12" ht="51" hidden="1" x14ac:dyDescent="0.3">
      <c r="A121" s="100" t="s">
        <v>626</v>
      </c>
      <c r="B121" s="101" t="s">
        <v>627</v>
      </c>
      <c r="C121" s="101" t="s">
        <v>654</v>
      </c>
      <c r="D121" s="101" t="s">
        <v>629</v>
      </c>
      <c r="E121" s="102" t="s">
        <v>13</v>
      </c>
      <c r="F121" s="103">
        <v>541.70000000000005</v>
      </c>
      <c r="G121" s="103"/>
      <c r="H121" s="102" t="s">
        <v>35</v>
      </c>
      <c r="I121" s="104" t="s">
        <v>15</v>
      </c>
      <c r="J121" s="104"/>
      <c r="K121" s="105" t="s">
        <v>8</v>
      </c>
      <c r="L121" s="106">
        <v>480987.52</v>
      </c>
    </row>
    <row r="122" spans="1:12" ht="51" hidden="1" x14ac:dyDescent="0.3">
      <c r="A122" s="100" t="s">
        <v>626</v>
      </c>
      <c r="B122" s="101" t="s">
        <v>655</v>
      </c>
      <c r="C122" s="101" t="s">
        <v>656</v>
      </c>
      <c r="D122" s="101" t="s">
        <v>657</v>
      </c>
      <c r="E122" s="102" t="s">
        <v>13</v>
      </c>
      <c r="F122" s="107">
        <v>6908.4</v>
      </c>
      <c r="G122" s="107"/>
      <c r="H122" s="102" t="s">
        <v>35</v>
      </c>
      <c r="I122" s="104" t="s">
        <v>15</v>
      </c>
      <c r="J122" s="104"/>
      <c r="K122" s="105" t="s">
        <v>8</v>
      </c>
      <c r="L122" s="106">
        <v>487895.92</v>
      </c>
    </row>
    <row r="123" spans="1:12" ht="51" hidden="1" x14ac:dyDescent="0.3">
      <c r="A123" s="100" t="s">
        <v>626</v>
      </c>
      <c r="B123" s="101" t="s">
        <v>655</v>
      </c>
      <c r="C123" s="101" t="s">
        <v>658</v>
      </c>
      <c r="D123" s="101" t="s">
        <v>657</v>
      </c>
      <c r="E123" s="102" t="s">
        <v>13</v>
      </c>
      <c r="F123" s="103">
        <v>262.5</v>
      </c>
      <c r="G123" s="103"/>
      <c r="H123" s="102" t="s">
        <v>35</v>
      </c>
      <c r="I123" s="104" t="s">
        <v>15</v>
      </c>
      <c r="J123" s="104"/>
      <c r="K123" s="105" t="s">
        <v>8</v>
      </c>
      <c r="L123" s="106">
        <v>488158.42</v>
      </c>
    </row>
    <row r="124" spans="1:12" ht="51" hidden="1" x14ac:dyDescent="0.3">
      <c r="A124" s="100" t="s">
        <v>626</v>
      </c>
      <c r="B124" s="101" t="s">
        <v>655</v>
      </c>
      <c r="C124" s="101" t="s">
        <v>659</v>
      </c>
      <c r="D124" s="101" t="s">
        <v>657</v>
      </c>
      <c r="E124" s="102" t="s">
        <v>13</v>
      </c>
      <c r="F124" s="103">
        <v>438</v>
      </c>
      <c r="G124" s="103"/>
      <c r="H124" s="102" t="s">
        <v>35</v>
      </c>
      <c r="I124" s="104" t="s">
        <v>15</v>
      </c>
      <c r="J124" s="104"/>
      <c r="K124" s="105" t="s">
        <v>8</v>
      </c>
      <c r="L124" s="106">
        <v>488596.42</v>
      </c>
    </row>
    <row r="125" spans="1:12" ht="51" hidden="1" x14ac:dyDescent="0.3">
      <c r="A125" s="100" t="s">
        <v>626</v>
      </c>
      <c r="B125" s="101" t="s">
        <v>655</v>
      </c>
      <c r="C125" s="101" t="s">
        <v>660</v>
      </c>
      <c r="D125" s="101" t="s">
        <v>657</v>
      </c>
      <c r="E125" s="102" t="s">
        <v>13</v>
      </c>
      <c r="F125" s="103">
        <v>612.75</v>
      </c>
      <c r="G125" s="103"/>
      <c r="H125" s="102" t="s">
        <v>35</v>
      </c>
      <c r="I125" s="104" t="s">
        <v>15</v>
      </c>
      <c r="J125" s="104"/>
      <c r="K125" s="105" t="s">
        <v>8</v>
      </c>
      <c r="L125" s="106">
        <v>489209.17</v>
      </c>
    </row>
    <row r="126" spans="1:12" ht="51" hidden="1" x14ac:dyDescent="0.3">
      <c r="A126" s="100" t="s">
        <v>626</v>
      </c>
      <c r="B126" s="101" t="s">
        <v>655</v>
      </c>
      <c r="C126" s="101" t="s">
        <v>661</v>
      </c>
      <c r="D126" s="101" t="s">
        <v>657</v>
      </c>
      <c r="E126" s="102" t="s">
        <v>13</v>
      </c>
      <c r="F126" s="107">
        <v>1117.5</v>
      </c>
      <c r="G126" s="107"/>
      <c r="H126" s="102" t="s">
        <v>35</v>
      </c>
      <c r="I126" s="104" t="s">
        <v>15</v>
      </c>
      <c r="J126" s="104"/>
      <c r="K126" s="105" t="s">
        <v>8</v>
      </c>
      <c r="L126" s="106">
        <v>490326.67</v>
      </c>
    </row>
    <row r="127" spans="1:12" ht="51" hidden="1" x14ac:dyDescent="0.3">
      <c r="A127" s="100" t="s">
        <v>626</v>
      </c>
      <c r="B127" s="101" t="s">
        <v>655</v>
      </c>
      <c r="C127" s="101" t="s">
        <v>662</v>
      </c>
      <c r="D127" s="101" t="s">
        <v>657</v>
      </c>
      <c r="E127" s="102" t="s">
        <v>13</v>
      </c>
      <c r="F127" s="107">
        <v>10276</v>
      </c>
      <c r="G127" s="107"/>
      <c r="H127" s="102" t="s">
        <v>35</v>
      </c>
      <c r="I127" s="104" t="s">
        <v>15</v>
      </c>
      <c r="J127" s="104"/>
      <c r="K127" s="105" t="s">
        <v>8</v>
      </c>
      <c r="L127" s="106">
        <v>500602.67</v>
      </c>
    </row>
    <row r="128" spans="1:12" ht="51" hidden="1" x14ac:dyDescent="0.3">
      <c r="A128" s="100" t="s">
        <v>626</v>
      </c>
      <c r="B128" s="101" t="s">
        <v>663</v>
      </c>
      <c r="C128" s="101" t="s">
        <v>664</v>
      </c>
      <c r="D128" s="101" t="s">
        <v>657</v>
      </c>
      <c r="E128" s="102" t="s">
        <v>13</v>
      </c>
      <c r="F128" s="107">
        <v>3453.83</v>
      </c>
      <c r="G128" s="107"/>
      <c r="H128" s="102" t="s">
        <v>35</v>
      </c>
      <c r="I128" s="104" t="s">
        <v>15</v>
      </c>
      <c r="J128" s="104"/>
      <c r="K128" s="105" t="s">
        <v>8</v>
      </c>
      <c r="L128" s="106">
        <v>504056.5</v>
      </c>
    </row>
    <row r="129" spans="1:12" ht="51" hidden="1" x14ac:dyDescent="0.3">
      <c r="A129" s="100" t="s">
        <v>626</v>
      </c>
      <c r="B129" s="101" t="s">
        <v>655</v>
      </c>
      <c r="C129" s="101" t="s">
        <v>664</v>
      </c>
      <c r="D129" s="101" t="s">
        <v>657</v>
      </c>
      <c r="E129" s="102" t="s">
        <v>13</v>
      </c>
      <c r="F129" s="107">
        <v>6986.17</v>
      </c>
      <c r="G129" s="107"/>
      <c r="H129" s="102" t="s">
        <v>35</v>
      </c>
      <c r="I129" s="104" t="s">
        <v>15</v>
      </c>
      <c r="J129" s="104"/>
      <c r="K129" s="105" t="s">
        <v>8</v>
      </c>
      <c r="L129" s="106">
        <v>511042.67</v>
      </c>
    </row>
    <row r="130" spans="1:12" ht="51" hidden="1" x14ac:dyDescent="0.3">
      <c r="A130" s="100" t="s">
        <v>626</v>
      </c>
      <c r="B130" s="101" t="s">
        <v>663</v>
      </c>
      <c r="C130" s="101" t="s">
        <v>665</v>
      </c>
      <c r="D130" s="101" t="s">
        <v>657</v>
      </c>
      <c r="E130" s="102" t="s">
        <v>13</v>
      </c>
      <c r="F130" s="103">
        <v>325</v>
      </c>
      <c r="G130" s="103"/>
      <c r="H130" s="102" t="s">
        <v>35</v>
      </c>
      <c r="I130" s="104" t="s">
        <v>15</v>
      </c>
      <c r="J130" s="104"/>
      <c r="K130" s="105" t="s">
        <v>8</v>
      </c>
      <c r="L130" s="106">
        <v>511367.67</v>
      </c>
    </row>
    <row r="131" spans="1:12" ht="51" hidden="1" x14ac:dyDescent="0.3">
      <c r="A131" s="100" t="s">
        <v>626</v>
      </c>
      <c r="B131" s="101" t="s">
        <v>663</v>
      </c>
      <c r="C131" s="101" t="s">
        <v>666</v>
      </c>
      <c r="D131" s="101" t="s">
        <v>657</v>
      </c>
      <c r="E131" s="102" t="s">
        <v>13</v>
      </c>
      <c r="F131" s="103">
        <v>421.5</v>
      </c>
      <c r="G131" s="103"/>
      <c r="H131" s="102" t="s">
        <v>35</v>
      </c>
      <c r="I131" s="104" t="s">
        <v>15</v>
      </c>
      <c r="J131" s="104"/>
      <c r="K131" s="105" t="s">
        <v>8</v>
      </c>
      <c r="L131" s="106">
        <v>511789.17</v>
      </c>
    </row>
    <row r="132" spans="1:12" ht="51" hidden="1" x14ac:dyDescent="0.3">
      <c r="A132" s="100" t="s">
        <v>626</v>
      </c>
      <c r="B132" s="101" t="s">
        <v>663</v>
      </c>
      <c r="C132" s="101" t="s">
        <v>667</v>
      </c>
      <c r="D132" s="101" t="s">
        <v>657</v>
      </c>
      <c r="E132" s="102" t="s">
        <v>13</v>
      </c>
      <c r="F132" s="103">
        <v>280.2</v>
      </c>
      <c r="G132" s="103"/>
      <c r="H132" s="102" t="s">
        <v>35</v>
      </c>
      <c r="I132" s="104" t="s">
        <v>15</v>
      </c>
      <c r="J132" s="104"/>
      <c r="K132" s="105" t="s">
        <v>8</v>
      </c>
      <c r="L132" s="106">
        <v>512069.37</v>
      </c>
    </row>
    <row r="133" spans="1:12" ht="51" hidden="1" x14ac:dyDescent="0.3">
      <c r="A133" s="100" t="s">
        <v>626</v>
      </c>
      <c r="B133" s="101" t="s">
        <v>668</v>
      </c>
      <c r="C133" s="101" t="s">
        <v>669</v>
      </c>
      <c r="D133" s="101" t="s">
        <v>670</v>
      </c>
      <c r="E133" s="102" t="s">
        <v>13</v>
      </c>
      <c r="F133" s="107">
        <v>1101</v>
      </c>
      <c r="G133" s="107"/>
      <c r="H133" s="102" t="s">
        <v>35</v>
      </c>
      <c r="I133" s="104" t="s">
        <v>15</v>
      </c>
      <c r="J133" s="104"/>
      <c r="K133" s="105" t="s">
        <v>8</v>
      </c>
      <c r="L133" s="106">
        <v>513170.37</v>
      </c>
    </row>
    <row r="134" spans="1:12" ht="61.2" hidden="1" x14ac:dyDescent="0.3">
      <c r="A134" s="100" t="s">
        <v>626</v>
      </c>
      <c r="B134" s="101" t="s">
        <v>668</v>
      </c>
      <c r="C134" s="101" t="s">
        <v>671</v>
      </c>
      <c r="D134" s="101" t="s">
        <v>670</v>
      </c>
      <c r="E134" s="102" t="s">
        <v>13</v>
      </c>
      <c r="F134" s="107">
        <v>2940</v>
      </c>
      <c r="G134" s="107"/>
      <c r="H134" s="102" t="s">
        <v>35</v>
      </c>
      <c r="I134" s="104" t="s">
        <v>15</v>
      </c>
      <c r="J134" s="104"/>
      <c r="K134" s="105" t="s">
        <v>8</v>
      </c>
      <c r="L134" s="106">
        <v>516110.37</v>
      </c>
    </row>
    <row r="135" spans="1:12" ht="51" hidden="1" x14ac:dyDescent="0.3">
      <c r="A135" s="100" t="s">
        <v>626</v>
      </c>
      <c r="B135" s="101" t="s">
        <v>668</v>
      </c>
      <c r="C135" s="101" t="s">
        <v>672</v>
      </c>
      <c r="D135" s="101" t="s">
        <v>670</v>
      </c>
      <c r="E135" s="102" t="s">
        <v>13</v>
      </c>
      <c r="F135" s="107">
        <v>4750</v>
      </c>
      <c r="G135" s="107"/>
      <c r="H135" s="102" t="s">
        <v>35</v>
      </c>
      <c r="I135" s="104" t="s">
        <v>15</v>
      </c>
      <c r="J135" s="104"/>
      <c r="K135" s="105" t="s">
        <v>8</v>
      </c>
      <c r="L135" s="106">
        <v>520860.37</v>
      </c>
    </row>
    <row r="136" spans="1:12" ht="51" hidden="1" x14ac:dyDescent="0.3">
      <c r="A136" s="100" t="s">
        <v>626</v>
      </c>
      <c r="B136" s="101" t="s">
        <v>668</v>
      </c>
      <c r="C136" s="101" t="s">
        <v>673</v>
      </c>
      <c r="D136" s="101" t="s">
        <v>670</v>
      </c>
      <c r="E136" s="102" t="s">
        <v>13</v>
      </c>
      <c r="F136" s="107">
        <v>6592.5</v>
      </c>
      <c r="G136" s="107"/>
      <c r="H136" s="102" t="s">
        <v>35</v>
      </c>
      <c r="I136" s="104" t="s">
        <v>15</v>
      </c>
      <c r="J136" s="104"/>
      <c r="K136" s="105" t="s">
        <v>8</v>
      </c>
      <c r="L136" s="106">
        <v>527452.87</v>
      </c>
    </row>
    <row r="137" spans="1:12" ht="51" hidden="1" x14ac:dyDescent="0.3">
      <c r="A137" s="100" t="s">
        <v>626</v>
      </c>
      <c r="B137" s="101" t="s">
        <v>668</v>
      </c>
      <c r="C137" s="101" t="s">
        <v>674</v>
      </c>
      <c r="D137" s="101" t="s">
        <v>670</v>
      </c>
      <c r="E137" s="102" t="s">
        <v>13</v>
      </c>
      <c r="F137" s="107">
        <v>3420</v>
      </c>
      <c r="G137" s="107"/>
      <c r="H137" s="102" t="s">
        <v>35</v>
      </c>
      <c r="I137" s="104" t="s">
        <v>15</v>
      </c>
      <c r="J137" s="104"/>
      <c r="K137" s="105" t="s">
        <v>8</v>
      </c>
      <c r="L137" s="106">
        <v>530872.87</v>
      </c>
    </row>
    <row r="138" spans="1:12" ht="51" hidden="1" x14ac:dyDescent="0.3">
      <c r="A138" s="100" t="s">
        <v>626</v>
      </c>
      <c r="B138" s="101" t="s">
        <v>668</v>
      </c>
      <c r="C138" s="101" t="s">
        <v>675</v>
      </c>
      <c r="D138" s="101" t="s">
        <v>670</v>
      </c>
      <c r="E138" s="102" t="s">
        <v>13</v>
      </c>
      <c r="F138" s="107">
        <v>5305</v>
      </c>
      <c r="G138" s="107"/>
      <c r="H138" s="102" t="s">
        <v>35</v>
      </c>
      <c r="I138" s="104" t="s">
        <v>15</v>
      </c>
      <c r="J138" s="104"/>
      <c r="K138" s="105" t="s">
        <v>8</v>
      </c>
      <c r="L138" s="106">
        <v>536177.87</v>
      </c>
    </row>
    <row r="139" spans="1:12" ht="51" hidden="1" x14ac:dyDescent="0.3">
      <c r="A139" s="100" t="s">
        <v>626</v>
      </c>
      <c r="B139" s="101" t="s">
        <v>668</v>
      </c>
      <c r="C139" s="101" t="s">
        <v>676</v>
      </c>
      <c r="D139" s="101" t="s">
        <v>670</v>
      </c>
      <c r="E139" s="102" t="s">
        <v>13</v>
      </c>
      <c r="F139" s="107">
        <v>2137.5</v>
      </c>
      <c r="G139" s="107"/>
      <c r="H139" s="102" t="s">
        <v>35</v>
      </c>
      <c r="I139" s="104" t="s">
        <v>15</v>
      </c>
      <c r="J139" s="104"/>
      <c r="K139" s="105" t="s">
        <v>8</v>
      </c>
      <c r="L139" s="106">
        <v>538315.37</v>
      </c>
    </row>
    <row r="140" spans="1:12" ht="51" hidden="1" x14ac:dyDescent="0.3">
      <c r="A140" s="100" t="s">
        <v>626</v>
      </c>
      <c r="B140" s="101" t="s">
        <v>668</v>
      </c>
      <c r="C140" s="101" t="s">
        <v>677</v>
      </c>
      <c r="D140" s="101" t="s">
        <v>670</v>
      </c>
      <c r="E140" s="102" t="s">
        <v>13</v>
      </c>
      <c r="F140" s="107">
        <v>1668.75</v>
      </c>
      <c r="G140" s="107"/>
      <c r="H140" s="102" t="s">
        <v>35</v>
      </c>
      <c r="I140" s="104" t="s">
        <v>15</v>
      </c>
      <c r="J140" s="104"/>
      <c r="K140" s="105" t="s">
        <v>8</v>
      </c>
      <c r="L140" s="106">
        <v>539984.12</v>
      </c>
    </row>
    <row r="141" spans="1:12" ht="51" hidden="1" x14ac:dyDescent="0.3">
      <c r="A141" s="100" t="s">
        <v>626</v>
      </c>
      <c r="B141" s="101" t="s">
        <v>668</v>
      </c>
      <c r="C141" s="101" t="s">
        <v>678</v>
      </c>
      <c r="D141" s="101" t="s">
        <v>670</v>
      </c>
      <c r="E141" s="102" t="s">
        <v>13</v>
      </c>
      <c r="F141" s="107">
        <v>3366</v>
      </c>
      <c r="G141" s="107"/>
      <c r="H141" s="102" t="s">
        <v>35</v>
      </c>
      <c r="I141" s="104" t="s">
        <v>15</v>
      </c>
      <c r="J141" s="104"/>
      <c r="K141" s="105" t="s">
        <v>8</v>
      </c>
      <c r="L141" s="106">
        <v>543350.12</v>
      </c>
    </row>
    <row r="142" spans="1:12" ht="51" hidden="1" x14ac:dyDescent="0.3">
      <c r="A142" s="100" t="s">
        <v>626</v>
      </c>
      <c r="B142" s="101" t="s">
        <v>668</v>
      </c>
      <c r="C142" s="101" t="s">
        <v>679</v>
      </c>
      <c r="D142" s="101" t="s">
        <v>670</v>
      </c>
      <c r="E142" s="102" t="s">
        <v>13</v>
      </c>
      <c r="F142" s="107">
        <v>1543.8</v>
      </c>
      <c r="G142" s="107"/>
      <c r="H142" s="102" t="s">
        <v>35</v>
      </c>
      <c r="I142" s="104" t="s">
        <v>15</v>
      </c>
      <c r="J142" s="104"/>
      <c r="K142" s="105" t="s">
        <v>8</v>
      </c>
      <c r="L142" s="106">
        <v>544893.92000000004</v>
      </c>
    </row>
    <row r="143" spans="1:12" ht="51" hidden="1" x14ac:dyDescent="0.3">
      <c r="A143" s="100" t="s">
        <v>626</v>
      </c>
      <c r="B143" s="101" t="s">
        <v>680</v>
      </c>
      <c r="C143" s="101" t="s">
        <v>681</v>
      </c>
      <c r="D143" s="101" t="s">
        <v>682</v>
      </c>
      <c r="E143" s="102" t="s">
        <v>13</v>
      </c>
      <c r="F143" s="103">
        <v>601.79999999999995</v>
      </c>
      <c r="G143" s="103"/>
      <c r="H143" s="102" t="s">
        <v>35</v>
      </c>
      <c r="I143" s="104" t="s">
        <v>15</v>
      </c>
      <c r="J143" s="104"/>
      <c r="K143" s="105" t="s">
        <v>8</v>
      </c>
      <c r="L143" s="106">
        <v>545495.72</v>
      </c>
    </row>
    <row r="144" spans="1:12" ht="51" hidden="1" x14ac:dyDescent="0.3">
      <c r="A144" s="100" t="s">
        <v>626</v>
      </c>
      <c r="B144" s="101" t="s">
        <v>680</v>
      </c>
      <c r="C144" s="101" t="s">
        <v>683</v>
      </c>
      <c r="D144" s="101" t="s">
        <v>682</v>
      </c>
      <c r="E144" s="102" t="s">
        <v>13</v>
      </c>
      <c r="F144" s="107">
        <v>1621.3</v>
      </c>
      <c r="G144" s="107"/>
      <c r="H144" s="102" t="s">
        <v>35</v>
      </c>
      <c r="I144" s="104" t="s">
        <v>15</v>
      </c>
      <c r="J144" s="104"/>
      <c r="K144" s="105" t="s">
        <v>8</v>
      </c>
      <c r="L144" s="106">
        <v>547117.02</v>
      </c>
    </row>
    <row r="145" spans="1:12" ht="51" hidden="1" x14ac:dyDescent="0.3">
      <c r="A145" s="100" t="s">
        <v>626</v>
      </c>
      <c r="B145" s="101" t="s">
        <v>680</v>
      </c>
      <c r="C145" s="101" t="s">
        <v>684</v>
      </c>
      <c r="D145" s="101" t="s">
        <v>682</v>
      </c>
      <c r="E145" s="102" t="s">
        <v>13</v>
      </c>
      <c r="F145" s="107">
        <v>4819.75</v>
      </c>
      <c r="G145" s="107"/>
      <c r="H145" s="102" t="s">
        <v>35</v>
      </c>
      <c r="I145" s="104" t="s">
        <v>15</v>
      </c>
      <c r="J145" s="104"/>
      <c r="K145" s="105" t="s">
        <v>8</v>
      </c>
      <c r="L145" s="106">
        <v>551936.77</v>
      </c>
    </row>
    <row r="146" spans="1:12" ht="51" hidden="1" x14ac:dyDescent="0.3">
      <c r="A146" s="100" t="s">
        <v>626</v>
      </c>
      <c r="B146" s="101" t="s">
        <v>680</v>
      </c>
      <c r="C146" s="101" t="s">
        <v>685</v>
      </c>
      <c r="D146" s="101" t="s">
        <v>682</v>
      </c>
      <c r="E146" s="102" t="s">
        <v>13</v>
      </c>
      <c r="F146" s="107">
        <v>1934.75</v>
      </c>
      <c r="G146" s="107"/>
      <c r="H146" s="102" t="s">
        <v>35</v>
      </c>
      <c r="I146" s="104" t="s">
        <v>15</v>
      </c>
      <c r="J146" s="104"/>
      <c r="K146" s="105" t="s">
        <v>8</v>
      </c>
      <c r="L146" s="106">
        <v>553871.52</v>
      </c>
    </row>
    <row r="147" spans="1:12" ht="51" hidden="1" x14ac:dyDescent="0.3">
      <c r="A147" s="100" t="s">
        <v>626</v>
      </c>
      <c r="B147" s="101" t="s">
        <v>680</v>
      </c>
      <c r="C147" s="101" t="s">
        <v>686</v>
      </c>
      <c r="D147" s="101" t="s">
        <v>682</v>
      </c>
      <c r="E147" s="102" t="s">
        <v>13</v>
      </c>
      <c r="F147" s="103">
        <v>467</v>
      </c>
      <c r="G147" s="103"/>
      <c r="H147" s="102" t="s">
        <v>35</v>
      </c>
      <c r="I147" s="104" t="s">
        <v>15</v>
      </c>
      <c r="J147" s="104"/>
      <c r="K147" s="105" t="s">
        <v>8</v>
      </c>
      <c r="L147" s="106">
        <v>554338.52</v>
      </c>
    </row>
    <row r="148" spans="1:12" ht="61.2" hidden="1" x14ac:dyDescent="0.3">
      <c r="A148" s="100" t="s">
        <v>626</v>
      </c>
      <c r="B148" s="101" t="s">
        <v>680</v>
      </c>
      <c r="C148" s="101" t="s">
        <v>687</v>
      </c>
      <c r="D148" s="101" t="s">
        <v>682</v>
      </c>
      <c r="E148" s="102" t="s">
        <v>13</v>
      </c>
      <c r="F148" s="107">
        <v>4275.3</v>
      </c>
      <c r="G148" s="107"/>
      <c r="H148" s="102" t="s">
        <v>35</v>
      </c>
      <c r="I148" s="104" t="s">
        <v>15</v>
      </c>
      <c r="J148" s="104"/>
      <c r="K148" s="105" t="s">
        <v>8</v>
      </c>
      <c r="L148" s="106">
        <v>558613.81999999995</v>
      </c>
    </row>
    <row r="149" spans="1:12" ht="51" hidden="1" x14ac:dyDescent="0.3">
      <c r="A149" s="100" t="s">
        <v>626</v>
      </c>
      <c r="B149" s="101" t="s">
        <v>680</v>
      </c>
      <c r="C149" s="101" t="s">
        <v>688</v>
      </c>
      <c r="D149" s="101" t="s">
        <v>682</v>
      </c>
      <c r="E149" s="102" t="s">
        <v>13</v>
      </c>
      <c r="F149" s="107">
        <v>9297.2999999999993</v>
      </c>
      <c r="G149" s="107"/>
      <c r="H149" s="102" t="s">
        <v>35</v>
      </c>
      <c r="I149" s="104" t="s">
        <v>15</v>
      </c>
      <c r="J149" s="104"/>
      <c r="K149" s="105" t="s">
        <v>8</v>
      </c>
      <c r="L149" s="106">
        <v>567911.12</v>
      </c>
    </row>
    <row r="150" spans="1:12" ht="51" hidden="1" x14ac:dyDescent="0.3">
      <c r="A150" s="100" t="s">
        <v>626</v>
      </c>
      <c r="B150" s="101" t="s">
        <v>680</v>
      </c>
      <c r="C150" s="101" t="s">
        <v>689</v>
      </c>
      <c r="D150" s="101" t="s">
        <v>682</v>
      </c>
      <c r="E150" s="102" t="s">
        <v>13</v>
      </c>
      <c r="F150" s="107">
        <v>13750</v>
      </c>
      <c r="G150" s="107"/>
      <c r="H150" s="102" t="s">
        <v>35</v>
      </c>
      <c r="I150" s="104" t="s">
        <v>15</v>
      </c>
      <c r="J150" s="104"/>
      <c r="K150" s="105" t="s">
        <v>8</v>
      </c>
      <c r="L150" s="106">
        <v>581661.12</v>
      </c>
    </row>
    <row r="151" spans="1:12" ht="51" hidden="1" x14ac:dyDescent="0.3">
      <c r="A151" s="100" t="s">
        <v>63</v>
      </c>
      <c r="B151" s="101" t="s">
        <v>690</v>
      </c>
      <c r="C151" s="101" t="s">
        <v>691</v>
      </c>
      <c r="D151" s="101" t="s">
        <v>692</v>
      </c>
      <c r="E151" s="102" t="s">
        <v>13</v>
      </c>
      <c r="F151" s="103">
        <v>187.5</v>
      </c>
      <c r="G151" s="103"/>
      <c r="H151" s="102" t="s">
        <v>13</v>
      </c>
      <c r="I151" s="104" t="s">
        <v>15</v>
      </c>
      <c r="J151" s="104"/>
      <c r="K151" s="105" t="s">
        <v>8</v>
      </c>
      <c r="L151" s="106">
        <v>71868.72</v>
      </c>
    </row>
    <row r="152" spans="1:12" ht="51" hidden="1" x14ac:dyDescent="0.3">
      <c r="A152" s="100" t="s">
        <v>63</v>
      </c>
      <c r="B152" s="101" t="s">
        <v>690</v>
      </c>
      <c r="C152" s="101" t="s">
        <v>691</v>
      </c>
      <c r="D152" s="101" t="s">
        <v>692</v>
      </c>
      <c r="E152" s="102" t="s">
        <v>13</v>
      </c>
      <c r="F152" s="108" t="s">
        <v>15</v>
      </c>
      <c r="G152" s="108"/>
      <c r="H152" s="102" t="s">
        <v>13</v>
      </c>
      <c r="I152" s="109">
        <v>187.5</v>
      </c>
      <c r="J152" s="109"/>
      <c r="K152" s="105" t="s">
        <v>8</v>
      </c>
      <c r="L152" s="106">
        <v>23114.02</v>
      </c>
    </row>
    <row r="153" spans="1:12" ht="51" hidden="1" x14ac:dyDescent="0.3">
      <c r="A153" s="100" t="s">
        <v>63</v>
      </c>
      <c r="B153" s="101" t="s">
        <v>690</v>
      </c>
      <c r="C153" s="101" t="s">
        <v>693</v>
      </c>
      <c r="D153" s="101" t="s">
        <v>694</v>
      </c>
      <c r="E153" s="102" t="s">
        <v>13</v>
      </c>
      <c r="F153" s="108" t="s">
        <v>15</v>
      </c>
      <c r="G153" s="108"/>
      <c r="H153" s="102" t="s">
        <v>13</v>
      </c>
      <c r="I153" s="109">
        <v>170.8</v>
      </c>
      <c r="J153" s="109"/>
      <c r="K153" s="105" t="s">
        <v>8</v>
      </c>
      <c r="L153" s="106">
        <v>22943.22</v>
      </c>
    </row>
    <row r="154" spans="1:12" ht="51" hidden="1" x14ac:dyDescent="0.3">
      <c r="A154" s="100" t="s">
        <v>63</v>
      </c>
      <c r="B154" s="101" t="s">
        <v>690</v>
      </c>
      <c r="C154" s="101" t="s">
        <v>693</v>
      </c>
      <c r="D154" s="101" t="s">
        <v>694</v>
      </c>
      <c r="E154" s="102" t="s">
        <v>13</v>
      </c>
      <c r="F154" s="103">
        <v>170.8</v>
      </c>
      <c r="G154" s="103"/>
      <c r="H154" s="102" t="s">
        <v>13</v>
      </c>
      <c r="I154" s="104" t="s">
        <v>15</v>
      </c>
      <c r="J154" s="104"/>
      <c r="K154" s="105" t="s">
        <v>8</v>
      </c>
      <c r="L154" s="106">
        <v>72039.520000000004</v>
      </c>
    </row>
    <row r="155" spans="1:12" ht="51" hidden="1" x14ac:dyDescent="0.3">
      <c r="A155" s="100" t="s">
        <v>63</v>
      </c>
      <c r="B155" s="101" t="s">
        <v>690</v>
      </c>
      <c r="C155" s="101" t="s">
        <v>695</v>
      </c>
      <c r="D155" s="101" t="s">
        <v>696</v>
      </c>
      <c r="E155" s="102" t="s">
        <v>13</v>
      </c>
      <c r="F155" s="103">
        <v>170.5</v>
      </c>
      <c r="G155" s="103"/>
      <c r="H155" s="102" t="s">
        <v>13</v>
      </c>
      <c r="I155" s="104" t="s">
        <v>15</v>
      </c>
      <c r="J155" s="104"/>
      <c r="K155" s="105" t="s">
        <v>8</v>
      </c>
      <c r="L155" s="106">
        <v>72210.02</v>
      </c>
    </row>
    <row r="156" spans="1:12" ht="51" hidden="1" x14ac:dyDescent="0.3">
      <c r="A156" s="100" t="s">
        <v>63</v>
      </c>
      <c r="B156" s="101" t="s">
        <v>690</v>
      </c>
      <c r="C156" s="101" t="s">
        <v>695</v>
      </c>
      <c r="D156" s="101" t="s">
        <v>696</v>
      </c>
      <c r="E156" s="102" t="s">
        <v>13</v>
      </c>
      <c r="F156" s="108" t="s">
        <v>15</v>
      </c>
      <c r="G156" s="108"/>
      <c r="H156" s="102" t="s">
        <v>13</v>
      </c>
      <c r="I156" s="109">
        <v>170.5</v>
      </c>
      <c r="J156" s="109"/>
      <c r="K156" s="105" t="s">
        <v>8</v>
      </c>
      <c r="L156" s="106">
        <v>22772.720000000001</v>
      </c>
    </row>
    <row r="157" spans="1:12" ht="51" hidden="1" x14ac:dyDescent="0.3">
      <c r="A157" s="100" t="s">
        <v>63</v>
      </c>
      <c r="B157" s="101" t="s">
        <v>690</v>
      </c>
      <c r="C157" s="101" t="s">
        <v>697</v>
      </c>
      <c r="D157" s="101" t="s">
        <v>698</v>
      </c>
      <c r="E157" s="102" t="s">
        <v>13</v>
      </c>
      <c r="F157" s="108" t="s">
        <v>15</v>
      </c>
      <c r="G157" s="108"/>
      <c r="H157" s="102" t="s">
        <v>13</v>
      </c>
      <c r="I157" s="109">
        <v>631.25</v>
      </c>
      <c r="J157" s="109"/>
      <c r="K157" s="105" t="s">
        <v>8</v>
      </c>
      <c r="L157" s="106">
        <v>22141.47</v>
      </c>
    </row>
    <row r="158" spans="1:12" ht="51" hidden="1" x14ac:dyDescent="0.3">
      <c r="A158" s="100" t="s">
        <v>63</v>
      </c>
      <c r="B158" s="101" t="s">
        <v>690</v>
      </c>
      <c r="C158" s="101" t="s">
        <v>697</v>
      </c>
      <c r="D158" s="101" t="s">
        <v>698</v>
      </c>
      <c r="E158" s="102" t="s">
        <v>13</v>
      </c>
      <c r="F158" s="103">
        <v>631.25</v>
      </c>
      <c r="G158" s="103"/>
      <c r="H158" s="102" t="s">
        <v>13</v>
      </c>
      <c r="I158" s="104" t="s">
        <v>15</v>
      </c>
      <c r="J158" s="104"/>
      <c r="K158" s="105" t="s">
        <v>8</v>
      </c>
      <c r="L158" s="106">
        <v>72841.27</v>
      </c>
    </row>
    <row r="159" spans="1:12" ht="51" hidden="1" x14ac:dyDescent="0.3">
      <c r="A159" s="100" t="s">
        <v>63</v>
      </c>
      <c r="B159" s="101" t="s">
        <v>690</v>
      </c>
      <c r="C159" s="101" t="s">
        <v>699</v>
      </c>
      <c r="D159" s="101" t="s">
        <v>700</v>
      </c>
      <c r="E159" s="102" t="s">
        <v>13</v>
      </c>
      <c r="F159" s="108" t="s">
        <v>15</v>
      </c>
      <c r="G159" s="108"/>
      <c r="H159" s="102" t="s">
        <v>13</v>
      </c>
      <c r="I159" s="109">
        <v>780.5</v>
      </c>
      <c r="J159" s="109"/>
      <c r="K159" s="105" t="s">
        <v>8</v>
      </c>
      <c r="L159" s="106">
        <v>21360.97</v>
      </c>
    </row>
    <row r="160" spans="1:12" ht="51" hidden="1" x14ac:dyDescent="0.3">
      <c r="A160" s="100" t="s">
        <v>63</v>
      </c>
      <c r="B160" s="101" t="s">
        <v>690</v>
      </c>
      <c r="C160" s="101" t="s">
        <v>699</v>
      </c>
      <c r="D160" s="101" t="s">
        <v>700</v>
      </c>
      <c r="E160" s="102" t="s">
        <v>13</v>
      </c>
      <c r="F160" s="103">
        <v>780.5</v>
      </c>
      <c r="G160" s="103"/>
      <c r="H160" s="102" t="s">
        <v>13</v>
      </c>
      <c r="I160" s="104" t="s">
        <v>15</v>
      </c>
      <c r="J160" s="104"/>
      <c r="K160" s="105" t="s">
        <v>8</v>
      </c>
      <c r="L160" s="106">
        <v>73621.77</v>
      </c>
    </row>
    <row r="161" spans="1:12" ht="51" hidden="1" x14ac:dyDescent="0.3">
      <c r="A161" s="100" t="s">
        <v>63</v>
      </c>
      <c r="B161" s="101" t="s">
        <v>690</v>
      </c>
      <c r="C161" s="101" t="s">
        <v>701</v>
      </c>
      <c r="D161" s="101" t="s">
        <v>702</v>
      </c>
      <c r="E161" s="102" t="s">
        <v>13</v>
      </c>
      <c r="F161" s="108" t="s">
        <v>15</v>
      </c>
      <c r="G161" s="108"/>
      <c r="H161" s="102" t="s">
        <v>13</v>
      </c>
      <c r="I161" s="109">
        <v>372.5</v>
      </c>
      <c r="J161" s="109"/>
      <c r="K161" s="105" t="s">
        <v>8</v>
      </c>
      <c r="L161" s="106">
        <v>20988.47</v>
      </c>
    </row>
    <row r="162" spans="1:12" ht="51" hidden="1" x14ac:dyDescent="0.3">
      <c r="A162" s="100" t="s">
        <v>63</v>
      </c>
      <c r="B162" s="101" t="s">
        <v>690</v>
      </c>
      <c r="C162" s="101" t="s">
        <v>701</v>
      </c>
      <c r="D162" s="101" t="s">
        <v>702</v>
      </c>
      <c r="E162" s="102" t="s">
        <v>13</v>
      </c>
      <c r="F162" s="103">
        <v>372.5</v>
      </c>
      <c r="G162" s="103"/>
      <c r="H162" s="102" t="s">
        <v>13</v>
      </c>
      <c r="I162" s="104" t="s">
        <v>15</v>
      </c>
      <c r="J162" s="104"/>
      <c r="K162" s="105" t="s">
        <v>8</v>
      </c>
      <c r="L162" s="106">
        <v>73994.27</v>
      </c>
    </row>
    <row r="163" spans="1:12" ht="51" hidden="1" x14ac:dyDescent="0.3">
      <c r="A163" s="100" t="s">
        <v>63</v>
      </c>
      <c r="B163" s="101" t="s">
        <v>703</v>
      </c>
      <c r="C163" s="101" t="s">
        <v>704</v>
      </c>
      <c r="D163" s="101" t="s">
        <v>705</v>
      </c>
      <c r="E163" s="102" t="s">
        <v>13</v>
      </c>
      <c r="F163" s="108" t="s">
        <v>15</v>
      </c>
      <c r="G163" s="108"/>
      <c r="H163" s="102" t="s">
        <v>13</v>
      </c>
      <c r="I163" s="112">
        <v>6226.5</v>
      </c>
      <c r="J163" s="112"/>
      <c r="K163" s="105" t="s">
        <v>8</v>
      </c>
      <c r="L163" s="106">
        <v>11412.04</v>
      </c>
    </row>
    <row r="164" spans="1:12" ht="51" hidden="1" x14ac:dyDescent="0.3">
      <c r="A164" s="100" t="s">
        <v>63</v>
      </c>
      <c r="B164" s="101" t="s">
        <v>703</v>
      </c>
      <c r="C164" s="101" t="s">
        <v>704</v>
      </c>
      <c r="D164" s="101" t="s">
        <v>705</v>
      </c>
      <c r="E164" s="102" t="s">
        <v>13</v>
      </c>
      <c r="F164" s="107">
        <v>6226.5</v>
      </c>
      <c r="G164" s="107"/>
      <c r="H164" s="102" t="s">
        <v>13</v>
      </c>
      <c r="I164" s="104" t="s">
        <v>15</v>
      </c>
      <c r="J164" s="104"/>
      <c r="K164" s="105" t="s">
        <v>8</v>
      </c>
      <c r="L164" s="106">
        <v>587887.62</v>
      </c>
    </row>
    <row r="165" spans="1:12" ht="51" hidden="1" x14ac:dyDescent="0.3">
      <c r="A165" s="100" t="s">
        <v>63</v>
      </c>
      <c r="B165" s="101" t="s">
        <v>703</v>
      </c>
      <c r="C165" s="101" t="s">
        <v>706</v>
      </c>
      <c r="D165" s="101" t="s">
        <v>707</v>
      </c>
      <c r="E165" s="102" t="s">
        <v>13</v>
      </c>
      <c r="F165" s="108" t="s">
        <v>15</v>
      </c>
      <c r="G165" s="108"/>
      <c r="H165" s="102" t="s">
        <v>13</v>
      </c>
      <c r="I165" s="112">
        <v>2911.75</v>
      </c>
      <c r="J165" s="112"/>
      <c r="K165" s="105" t="s">
        <v>8</v>
      </c>
      <c r="L165" s="106">
        <v>8500.2900000000009</v>
      </c>
    </row>
    <row r="166" spans="1:12" ht="51" hidden="1" x14ac:dyDescent="0.3">
      <c r="A166" s="100" t="s">
        <v>63</v>
      </c>
      <c r="B166" s="101" t="s">
        <v>703</v>
      </c>
      <c r="C166" s="101" t="s">
        <v>706</v>
      </c>
      <c r="D166" s="101" t="s">
        <v>707</v>
      </c>
      <c r="E166" s="102" t="s">
        <v>13</v>
      </c>
      <c r="F166" s="107">
        <v>2911.75</v>
      </c>
      <c r="G166" s="107"/>
      <c r="H166" s="102" t="s">
        <v>13</v>
      </c>
      <c r="I166" s="104" t="s">
        <v>15</v>
      </c>
      <c r="J166" s="104"/>
      <c r="K166" s="105" t="s">
        <v>8</v>
      </c>
      <c r="L166" s="106">
        <v>590799.37</v>
      </c>
    </row>
    <row r="167" spans="1:12" ht="51" hidden="1" x14ac:dyDescent="0.3">
      <c r="A167" s="100" t="s">
        <v>63</v>
      </c>
      <c r="B167" s="101" t="s">
        <v>708</v>
      </c>
      <c r="C167" s="101" t="s">
        <v>709</v>
      </c>
      <c r="D167" s="101" t="s">
        <v>710</v>
      </c>
      <c r="E167" s="102" t="s">
        <v>13</v>
      </c>
      <c r="F167" s="103">
        <v>402.1</v>
      </c>
      <c r="G167" s="103"/>
      <c r="H167" s="102" t="s">
        <v>13</v>
      </c>
      <c r="I167" s="104" t="s">
        <v>15</v>
      </c>
      <c r="J167" s="104"/>
      <c r="K167" s="105" t="s">
        <v>8</v>
      </c>
      <c r="L167" s="106">
        <v>591201.47</v>
      </c>
    </row>
    <row r="168" spans="1:12" ht="51" hidden="1" x14ac:dyDescent="0.3">
      <c r="A168" s="100" t="s">
        <v>63</v>
      </c>
      <c r="B168" s="101" t="s">
        <v>708</v>
      </c>
      <c r="C168" s="101" t="s">
        <v>709</v>
      </c>
      <c r="D168" s="101" t="s">
        <v>710</v>
      </c>
      <c r="E168" s="102" t="s">
        <v>13</v>
      </c>
      <c r="F168" s="108" t="s">
        <v>15</v>
      </c>
      <c r="G168" s="108"/>
      <c r="H168" s="102" t="s">
        <v>13</v>
      </c>
      <c r="I168" s="109">
        <v>402.1</v>
      </c>
      <c r="J168" s="109"/>
      <c r="K168" s="105" t="s">
        <v>8</v>
      </c>
      <c r="L168" s="106">
        <v>3493.54</v>
      </c>
    </row>
    <row r="169" spans="1:12" ht="51" hidden="1" x14ac:dyDescent="0.3">
      <c r="A169" s="100" t="s">
        <v>63</v>
      </c>
      <c r="B169" s="101" t="s">
        <v>711</v>
      </c>
      <c r="C169" s="101" t="s">
        <v>712</v>
      </c>
      <c r="D169" s="101" t="s">
        <v>713</v>
      </c>
      <c r="E169" s="102" t="s">
        <v>13</v>
      </c>
      <c r="F169" s="108" t="s">
        <v>15</v>
      </c>
      <c r="G169" s="108"/>
      <c r="H169" s="102" t="s">
        <v>13</v>
      </c>
      <c r="I169" s="109">
        <v>939.75</v>
      </c>
      <c r="J169" s="109"/>
      <c r="K169" s="105" t="s">
        <v>8</v>
      </c>
      <c r="L169" s="106">
        <v>34708.07</v>
      </c>
    </row>
    <row r="170" spans="1:12" ht="51" hidden="1" x14ac:dyDescent="0.3">
      <c r="A170" s="100" t="s">
        <v>63</v>
      </c>
      <c r="B170" s="101" t="s">
        <v>711</v>
      </c>
      <c r="C170" s="101" t="s">
        <v>712</v>
      </c>
      <c r="D170" s="101" t="s">
        <v>713</v>
      </c>
      <c r="E170" s="102" t="s">
        <v>13</v>
      </c>
      <c r="F170" s="103">
        <v>939.75</v>
      </c>
      <c r="G170" s="103"/>
      <c r="H170" s="102" t="s">
        <v>13</v>
      </c>
      <c r="I170" s="104" t="s">
        <v>15</v>
      </c>
      <c r="J170" s="104"/>
      <c r="K170" s="105" t="s">
        <v>8</v>
      </c>
      <c r="L170" s="106">
        <v>18792.28</v>
      </c>
    </row>
    <row r="171" spans="1:12" ht="51" hidden="1" x14ac:dyDescent="0.3">
      <c r="A171" s="100" t="s">
        <v>63</v>
      </c>
      <c r="B171" s="101" t="s">
        <v>711</v>
      </c>
      <c r="C171" s="101" t="s">
        <v>714</v>
      </c>
      <c r="D171" s="101" t="s">
        <v>715</v>
      </c>
      <c r="E171" s="102" t="s">
        <v>13</v>
      </c>
      <c r="F171" s="107">
        <v>1529.2</v>
      </c>
      <c r="G171" s="107"/>
      <c r="H171" s="102" t="s">
        <v>13</v>
      </c>
      <c r="I171" s="104" t="s">
        <v>15</v>
      </c>
      <c r="J171" s="104"/>
      <c r="K171" s="105" t="s">
        <v>8</v>
      </c>
      <c r="L171" s="106">
        <v>20321.48</v>
      </c>
    </row>
    <row r="172" spans="1:12" ht="51" hidden="1" x14ac:dyDescent="0.3">
      <c r="A172" s="100" t="s">
        <v>63</v>
      </c>
      <c r="B172" s="101" t="s">
        <v>711</v>
      </c>
      <c r="C172" s="101" t="s">
        <v>714</v>
      </c>
      <c r="D172" s="101" t="s">
        <v>715</v>
      </c>
      <c r="E172" s="102" t="s">
        <v>13</v>
      </c>
      <c r="F172" s="108" t="s">
        <v>15</v>
      </c>
      <c r="G172" s="108"/>
      <c r="H172" s="102" t="s">
        <v>13</v>
      </c>
      <c r="I172" s="112">
        <v>1529.2</v>
      </c>
      <c r="J172" s="112"/>
      <c r="K172" s="105" t="s">
        <v>8</v>
      </c>
      <c r="L172" s="106">
        <v>33178.870000000003</v>
      </c>
    </row>
    <row r="173" spans="1:12" ht="51" hidden="1" x14ac:dyDescent="0.3">
      <c r="A173" s="100" t="s">
        <v>63</v>
      </c>
      <c r="B173" s="101" t="s">
        <v>711</v>
      </c>
      <c r="C173" s="101" t="s">
        <v>716</v>
      </c>
      <c r="D173" s="101" t="s">
        <v>717</v>
      </c>
      <c r="E173" s="102" t="s">
        <v>13</v>
      </c>
      <c r="F173" s="107">
        <v>3717.26</v>
      </c>
      <c r="G173" s="107"/>
      <c r="H173" s="102" t="s">
        <v>13</v>
      </c>
      <c r="I173" s="104" t="s">
        <v>15</v>
      </c>
      <c r="J173" s="104"/>
      <c r="K173" s="105" t="s">
        <v>8</v>
      </c>
      <c r="L173" s="106">
        <v>24038.74</v>
      </c>
    </row>
    <row r="174" spans="1:12" ht="51" hidden="1" x14ac:dyDescent="0.3">
      <c r="A174" s="100" t="s">
        <v>63</v>
      </c>
      <c r="B174" s="101" t="s">
        <v>711</v>
      </c>
      <c r="C174" s="101" t="s">
        <v>716</v>
      </c>
      <c r="D174" s="101" t="s">
        <v>717</v>
      </c>
      <c r="E174" s="102" t="s">
        <v>13</v>
      </c>
      <c r="F174" s="108" t="s">
        <v>15</v>
      </c>
      <c r="G174" s="108"/>
      <c r="H174" s="102" t="s">
        <v>13</v>
      </c>
      <c r="I174" s="112">
        <v>3717.26</v>
      </c>
      <c r="J174" s="112"/>
      <c r="K174" s="105" t="s">
        <v>8</v>
      </c>
      <c r="L174" s="106">
        <v>29461.61</v>
      </c>
    </row>
    <row r="175" spans="1:12" ht="51" hidden="1" x14ac:dyDescent="0.3">
      <c r="A175" s="100" t="s">
        <v>63</v>
      </c>
      <c r="B175" s="101" t="s">
        <v>711</v>
      </c>
      <c r="C175" s="101" t="s">
        <v>718</v>
      </c>
      <c r="D175" s="101" t="s">
        <v>719</v>
      </c>
      <c r="E175" s="102" t="s">
        <v>13</v>
      </c>
      <c r="F175" s="107">
        <v>3815</v>
      </c>
      <c r="G175" s="107"/>
      <c r="H175" s="102" t="s">
        <v>13</v>
      </c>
      <c r="I175" s="104" t="s">
        <v>15</v>
      </c>
      <c r="J175" s="104"/>
      <c r="K175" s="105" t="s">
        <v>8</v>
      </c>
      <c r="L175" s="106">
        <v>27853.74</v>
      </c>
    </row>
    <row r="176" spans="1:12" ht="51" hidden="1" x14ac:dyDescent="0.3">
      <c r="A176" s="100" t="s">
        <v>63</v>
      </c>
      <c r="B176" s="101" t="s">
        <v>711</v>
      </c>
      <c r="C176" s="101" t="s">
        <v>718</v>
      </c>
      <c r="D176" s="101" t="s">
        <v>719</v>
      </c>
      <c r="E176" s="102" t="s">
        <v>13</v>
      </c>
      <c r="F176" s="108" t="s">
        <v>15</v>
      </c>
      <c r="G176" s="108"/>
      <c r="H176" s="102" t="s">
        <v>13</v>
      </c>
      <c r="I176" s="112">
        <v>3815</v>
      </c>
      <c r="J176" s="112"/>
      <c r="K176" s="105" t="s">
        <v>8</v>
      </c>
      <c r="L176" s="106">
        <v>25646.61</v>
      </c>
    </row>
    <row r="177" spans="1:12" ht="51" hidden="1" x14ac:dyDescent="0.3">
      <c r="A177" s="100" t="s">
        <v>63</v>
      </c>
      <c r="B177" s="101" t="s">
        <v>711</v>
      </c>
      <c r="C177" s="101" t="s">
        <v>720</v>
      </c>
      <c r="D177" s="101" t="s">
        <v>721</v>
      </c>
      <c r="E177" s="102" t="s">
        <v>13</v>
      </c>
      <c r="F177" s="107">
        <v>3631</v>
      </c>
      <c r="G177" s="107"/>
      <c r="H177" s="102" t="s">
        <v>13</v>
      </c>
      <c r="I177" s="104" t="s">
        <v>15</v>
      </c>
      <c r="J177" s="104"/>
      <c r="K177" s="105" t="s">
        <v>8</v>
      </c>
      <c r="L177" s="106">
        <v>31484.74</v>
      </c>
    </row>
    <row r="178" spans="1:12" ht="51" hidden="1" x14ac:dyDescent="0.3">
      <c r="A178" s="100" t="s">
        <v>63</v>
      </c>
      <c r="B178" s="101" t="s">
        <v>711</v>
      </c>
      <c r="C178" s="101" t="s">
        <v>720</v>
      </c>
      <c r="D178" s="101" t="s">
        <v>721</v>
      </c>
      <c r="E178" s="102" t="s">
        <v>13</v>
      </c>
      <c r="F178" s="108" t="s">
        <v>15</v>
      </c>
      <c r="G178" s="108"/>
      <c r="H178" s="102" t="s">
        <v>13</v>
      </c>
      <c r="I178" s="112">
        <v>3631</v>
      </c>
      <c r="J178" s="112"/>
      <c r="K178" s="105" t="s">
        <v>8</v>
      </c>
      <c r="L178" s="106">
        <v>22015.61</v>
      </c>
    </row>
    <row r="179" spans="1:12" ht="51" hidden="1" x14ac:dyDescent="0.3">
      <c r="A179" s="100" t="s">
        <v>63</v>
      </c>
      <c r="B179" s="101" t="s">
        <v>722</v>
      </c>
      <c r="C179" s="101" t="s">
        <v>723</v>
      </c>
      <c r="D179" s="101" t="s">
        <v>724</v>
      </c>
      <c r="E179" s="102" t="s">
        <v>13</v>
      </c>
      <c r="F179" s="108" t="s">
        <v>15</v>
      </c>
      <c r="G179" s="108"/>
      <c r="H179" s="102" t="s">
        <v>13</v>
      </c>
      <c r="I179" s="112">
        <v>1708.16</v>
      </c>
      <c r="J179" s="112"/>
      <c r="K179" s="105" t="s">
        <v>8</v>
      </c>
      <c r="L179" s="106">
        <v>20307.45</v>
      </c>
    </row>
    <row r="180" spans="1:12" ht="51" hidden="1" x14ac:dyDescent="0.3">
      <c r="A180" s="100" t="s">
        <v>63</v>
      </c>
      <c r="B180" s="101" t="s">
        <v>722</v>
      </c>
      <c r="C180" s="101" t="s">
        <v>723</v>
      </c>
      <c r="D180" s="101" t="s">
        <v>724</v>
      </c>
      <c r="E180" s="102" t="s">
        <v>13</v>
      </c>
      <c r="F180" s="107">
        <v>1708.16</v>
      </c>
      <c r="G180" s="107"/>
      <c r="H180" s="102" t="s">
        <v>13</v>
      </c>
      <c r="I180" s="104" t="s">
        <v>15</v>
      </c>
      <c r="J180" s="104"/>
      <c r="K180" s="105" t="s">
        <v>8</v>
      </c>
      <c r="L180" s="106">
        <v>21110.35</v>
      </c>
    </row>
    <row r="181" spans="1:12" ht="51" hidden="1" x14ac:dyDescent="0.3">
      <c r="A181" s="100" t="s">
        <v>63</v>
      </c>
      <c r="B181" s="101" t="s">
        <v>722</v>
      </c>
      <c r="C181" s="101" t="s">
        <v>725</v>
      </c>
      <c r="D181" s="101" t="s">
        <v>726</v>
      </c>
      <c r="E181" s="102" t="s">
        <v>13</v>
      </c>
      <c r="F181" s="107">
        <v>1625.05</v>
      </c>
      <c r="G181" s="107"/>
      <c r="H181" s="102" t="s">
        <v>13</v>
      </c>
      <c r="I181" s="104" t="s">
        <v>15</v>
      </c>
      <c r="J181" s="104"/>
      <c r="K181" s="105" t="s">
        <v>8</v>
      </c>
      <c r="L181" s="106">
        <v>22735.4</v>
      </c>
    </row>
    <row r="182" spans="1:12" ht="51" hidden="1" x14ac:dyDescent="0.3">
      <c r="A182" s="100" t="s">
        <v>63</v>
      </c>
      <c r="B182" s="101" t="s">
        <v>722</v>
      </c>
      <c r="C182" s="101" t="s">
        <v>725</v>
      </c>
      <c r="D182" s="101" t="s">
        <v>726</v>
      </c>
      <c r="E182" s="102" t="s">
        <v>13</v>
      </c>
      <c r="F182" s="108" t="s">
        <v>15</v>
      </c>
      <c r="G182" s="108"/>
      <c r="H182" s="102" t="s">
        <v>13</v>
      </c>
      <c r="I182" s="112">
        <v>1625.05</v>
      </c>
      <c r="J182" s="112"/>
      <c r="K182" s="105" t="s">
        <v>8</v>
      </c>
      <c r="L182" s="106">
        <v>18682.400000000001</v>
      </c>
    </row>
    <row r="183" spans="1:12" ht="51" x14ac:dyDescent="0.3">
      <c r="A183" s="100" t="s">
        <v>63</v>
      </c>
      <c r="B183" s="101" t="s">
        <v>727</v>
      </c>
      <c r="C183" s="101" t="s">
        <v>556</v>
      </c>
      <c r="D183" s="101" t="s">
        <v>712</v>
      </c>
      <c r="E183" s="102" t="s">
        <v>26</v>
      </c>
      <c r="F183" s="108" t="s">
        <v>15</v>
      </c>
      <c r="G183" s="108"/>
      <c r="H183" s="102" t="s">
        <v>13</v>
      </c>
      <c r="I183" s="109">
        <v>939.75</v>
      </c>
      <c r="J183" s="109"/>
      <c r="K183" s="105" t="s">
        <v>8</v>
      </c>
      <c r="L183" s="106">
        <v>30544.99</v>
      </c>
    </row>
    <row r="184" spans="1:12" ht="51" x14ac:dyDescent="0.3">
      <c r="A184" s="100" t="s">
        <v>63</v>
      </c>
      <c r="B184" s="101" t="s">
        <v>727</v>
      </c>
      <c r="C184" s="101" t="s">
        <v>556</v>
      </c>
      <c r="D184" s="101" t="s">
        <v>714</v>
      </c>
      <c r="E184" s="102" t="s">
        <v>26</v>
      </c>
      <c r="F184" s="108" t="s">
        <v>15</v>
      </c>
      <c r="G184" s="108"/>
      <c r="H184" s="102" t="s">
        <v>13</v>
      </c>
      <c r="I184" s="112">
        <v>1529.2</v>
      </c>
      <c r="J184" s="112"/>
      <c r="K184" s="105" t="s">
        <v>8</v>
      </c>
      <c r="L184" s="106">
        <v>29015.79</v>
      </c>
    </row>
    <row r="185" spans="1:12" ht="51" x14ac:dyDescent="0.3">
      <c r="A185" s="100" t="s">
        <v>63</v>
      </c>
      <c r="B185" s="101" t="s">
        <v>727</v>
      </c>
      <c r="C185" s="101" t="s">
        <v>556</v>
      </c>
      <c r="D185" s="101" t="s">
        <v>716</v>
      </c>
      <c r="E185" s="102" t="s">
        <v>26</v>
      </c>
      <c r="F185" s="108" t="s">
        <v>15</v>
      </c>
      <c r="G185" s="108"/>
      <c r="H185" s="102" t="s">
        <v>13</v>
      </c>
      <c r="I185" s="112">
        <v>3717.26</v>
      </c>
      <c r="J185" s="112"/>
      <c r="K185" s="105" t="s">
        <v>8</v>
      </c>
      <c r="L185" s="106">
        <v>25298.53</v>
      </c>
    </row>
    <row r="186" spans="1:12" ht="51" x14ac:dyDescent="0.3">
      <c r="A186" s="100" t="s">
        <v>63</v>
      </c>
      <c r="B186" s="101" t="s">
        <v>727</v>
      </c>
      <c r="C186" s="101" t="s">
        <v>556</v>
      </c>
      <c r="D186" s="101" t="s">
        <v>718</v>
      </c>
      <c r="E186" s="102" t="s">
        <v>26</v>
      </c>
      <c r="F186" s="108" t="s">
        <v>15</v>
      </c>
      <c r="G186" s="108"/>
      <c r="H186" s="102" t="s">
        <v>13</v>
      </c>
      <c r="I186" s="112">
        <v>3815</v>
      </c>
      <c r="J186" s="112"/>
      <c r="K186" s="105" t="s">
        <v>8</v>
      </c>
      <c r="L186" s="106">
        <v>21483.53</v>
      </c>
    </row>
    <row r="187" spans="1:12" ht="51" x14ac:dyDescent="0.3">
      <c r="A187" s="100" t="s">
        <v>63</v>
      </c>
      <c r="B187" s="101" t="s">
        <v>727</v>
      </c>
      <c r="C187" s="101" t="s">
        <v>556</v>
      </c>
      <c r="D187" s="101" t="s">
        <v>720</v>
      </c>
      <c r="E187" s="102" t="s">
        <v>26</v>
      </c>
      <c r="F187" s="108" t="s">
        <v>15</v>
      </c>
      <c r="G187" s="108"/>
      <c r="H187" s="102" t="s">
        <v>13</v>
      </c>
      <c r="I187" s="112">
        <v>3631</v>
      </c>
      <c r="J187" s="112"/>
      <c r="K187" s="105" t="s">
        <v>8</v>
      </c>
      <c r="L187" s="106">
        <v>17852.53</v>
      </c>
    </row>
    <row r="188" spans="1:12" ht="40.799999999999997" x14ac:dyDescent="0.3">
      <c r="A188" s="100" t="s">
        <v>63</v>
      </c>
      <c r="B188" s="101" t="s">
        <v>728</v>
      </c>
      <c r="C188" s="101" t="s">
        <v>556</v>
      </c>
      <c r="D188" s="101" t="s">
        <v>729</v>
      </c>
      <c r="E188" s="102" t="s">
        <v>26</v>
      </c>
      <c r="F188" s="108" t="s">
        <v>15</v>
      </c>
      <c r="G188" s="108"/>
      <c r="H188" s="102" t="s">
        <v>13</v>
      </c>
      <c r="I188" s="109">
        <v>690</v>
      </c>
      <c r="J188" s="109"/>
      <c r="K188" s="105" t="s">
        <v>8</v>
      </c>
      <c r="L188" s="106">
        <v>590511.47</v>
      </c>
    </row>
    <row r="189" spans="1:12" ht="51" x14ac:dyDescent="0.3">
      <c r="A189" s="100" t="s">
        <v>63</v>
      </c>
      <c r="B189" s="101" t="s">
        <v>728</v>
      </c>
      <c r="C189" s="101" t="s">
        <v>556</v>
      </c>
      <c r="D189" s="101" t="s">
        <v>730</v>
      </c>
      <c r="E189" s="102" t="s">
        <v>26</v>
      </c>
      <c r="F189" s="108" t="s">
        <v>15</v>
      </c>
      <c r="G189" s="108"/>
      <c r="H189" s="102" t="s">
        <v>13</v>
      </c>
      <c r="I189" s="112">
        <v>1823.5</v>
      </c>
      <c r="J189" s="112"/>
      <c r="K189" s="105" t="s">
        <v>8</v>
      </c>
      <c r="L189" s="106">
        <v>588687.97</v>
      </c>
    </row>
    <row r="190" spans="1:12" ht="51" x14ac:dyDescent="0.3">
      <c r="A190" s="100" t="s">
        <v>63</v>
      </c>
      <c r="B190" s="101" t="s">
        <v>728</v>
      </c>
      <c r="C190" s="101" t="s">
        <v>556</v>
      </c>
      <c r="D190" s="101" t="s">
        <v>731</v>
      </c>
      <c r="E190" s="102" t="s">
        <v>26</v>
      </c>
      <c r="F190" s="108" t="s">
        <v>15</v>
      </c>
      <c r="G190" s="108"/>
      <c r="H190" s="102" t="s">
        <v>13</v>
      </c>
      <c r="I190" s="112">
        <v>1268</v>
      </c>
      <c r="J190" s="112"/>
      <c r="K190" s="105" t="s">
        <v>8</v>
      </c>
      <c r="L190" s="106">
        <v>587419.97</v>
      </c>
    </row>
    <row r="191" spans="1:12" ht="51" x14ac:dyDescent="0.3">
      <c r="A191" s="100" t="s">
        <v>63</v>
      </c>
      <c r="B191" s="101" t="s">
        <v>728</v>
      </c>
      <c r="C191" s="101" t="s">
        <v>556</v>
      </c>
      <c r="D191" s="101" t="s">
        <v>387</v>
      </c>
      <c r="E191" s="102" t="s">
        <v>26</v>
      </c>
      <c r="F191" s="108" t="s">
        <v>15</v>
      </c>
      <c r="G191" s="108"/>
      <c r="H191" s="102" t="s">
        <v>13</v>
      </c>
      <c r="I191" s="109">
        <v>582.5</v>
      </c>
      <c r="J191" s="109"/>
      <c r="K191" s="105" t="s">
        <v>8</v>
      </c>
      <c r="L191" s="106">
        <v>586837.47</v>
      </c>
    </row>
    <row r="192" spans="1:12" ht="51" x14ac:dyDescent="0.3">
      <c r="A192" s="100" t="s">
        <v>63</v>
      </c>
      <c r="B192" s="101" t="s">
        <v>732</v>
      </c>
      <c r="C192" s="101" t="s">
        <v>556</v>
      </c>
      <c r="D192" s="101" t="s">
        <v>383</v>
      </c>
      <c r="E192" s="102" t="s">
        <v>26</v>
      </c>
      <c r="F192" s="108" t="s">
        <v>15</v>
      </c>
      <c r="G192" s="108"/>
      <c r="H192" s="102" t="s">
        <v>13</v>
      </c>
      <c r="I192" s="109">
        <v>750</v>
      </c>
      <c r="J192" s="109"/>
      <c r="K192" s="105" t="s">
        <v>8</v>
      </c>
      <c r="L192" s="106">
        <v>586087.47</v>
      </c>
    </row>
    <row r="193" spans="1:12" ht="51" x14ac:dyDescent="0.3">
      <c r="A193" s="100" t="s">
        <v>63</v>
      </c>
      <c r="B193" s="101" t="s">
        <v>732</v>
      </c>
      <c r="C193" s="101" t="s">
        <v>556</v>
      </c>
      <c r="D193" s="101" t="s">
        <v>733</v>
      </c>
      <c r="E193" s="102" t="s">
        <v>26</v>
      </c>
      <c r="F193" s="108" t="s">
        <v>15</v>
      </c>
      <c r="G193" s="108"/>
      <c r="H193" s="102" t="s">
        <v>13</v>
      </c>
      <c r="I193" s="109">
        <v>975</v>
      </c>
      <c r="J193" s="109"/>
      <c r="K193" s="105" t="s">
        <v>8</v>
      </c>
      <c r="L193" s="106">
        <v>585112.47</v>
      </c>
    </row>
    <row r="194" spans="1:12" ht="51" x14ac:dyDescent="0.3">
      <c r="A194" s="100" t="s">
        <v>63</v>
      </c>
      <c r="B194" s="101" t="s">
        <v>734</v>
      </c>
      <c r="C194" s="101" t="s">
        <v>556</v>
      </c>
      <c r="D194" s="101" t="s">
        <v>723</v>
      </c>
      <c r="E194" s="102" t="s">
        <v>26</v>
      </c>
      <c r="F194" s="108" t="s">
        <v>15</v>
      </c>
      <c r="G194" s="108"/>
      <c r="H194" s="102" t="s">
        <v>13</v>
      </c>
      <c r="I194" s="112">
        <v>1708.16</v>
      </c>
      <c r="J194" s="112"/>
      <c r="K194" s="105" t="s">
        <v>8</v>
      </c>
      <c r="L194" s="106">
        <v>21027.24</v>
      </c>
    </row>
    <row r="195" spans="1:12" ht="51" x14ac:dyDescent="0.3">
      <c r="A195" s="100" t="s">
        <v>63</v>
      </c>
      <c r="B195" s="101" t="s">
        <v>734</v>
      </c>
      <c r="C195" s="101" t="s">
        <v>556</v>
      </c>
      <c r="D195" s="101" t="s">
        <v>725</v>
      </c>
      <c r="E195" s="102" t="s">
        <v>26</v>
      </c>
      <c r="F195" s="108" t="s">
        <v>15</v>
      </c>
      <c r="G195" s="108"/>
      <c r="H195" s="102" t="s">
        <v>13</v>
      </c>
      <c r="I195" s="112">
        <v>1625.05</v>
      </c>
      <c r="J195" s="112"/>
      <c r="K195" s="105" t="s">
        <v>8</v>
      </c>
      <c r="L195" s="106">
        <v>19402.189999999999</v>
      </c>
    </row>
    <row r="196" spans="1:12" ht="51" x14ac:dyDescent="0.3">
      <c r="A196" s="100" t="s">
        <v>63</v>
      </c>
      <c r="B196" s="101" t="s">
        <v>735</v>
      </c>
      <c r="C196" s="101" t="s">
        <v>556</v>
      </c>
      <c r="D196" s="101" t="s">
        <v>736</v>
      </c>
      <c r="E196" s="102" t="s">
        <v>26</v>
      </c>
      <c r="F196" s="108" t="s">
        <v>15</v>
      </c>
      <c r="G196" s="108"/>
      <c r="H196" s="102" t="s">
        <v>13</v>
      </c>
      <c r="I196" s="109">
        <v>531</v>
      </c>
      <c r="J196" s="109"/>
      <c r="K196" s="105" t="s">
        <v>8</v>
      </c>
      <c r="L196" s="106">
        <v>584581.47</v>
      </c>
    </row>
    <row r="197" spans="1:12" ht="51" x14ac:dyDescent="0.3">
      <c r="A197" s="100" t="s">
        <v>63</v>
      </c>
      <c r="B197" s="101" t="s">
        <v>737</v>
      </c>
      <c r="C197" s="101" t="s">
        <v>556</v>
      </c>
      <c r="D197" s="101" t="s">
        <v>738</v>
      </c>
      <c r="E197" s="102" t="s">
        <v>26</v>
      </c>
      <c r="F197" s="108" t="s">
        <v>15</v>
      </c>
      <c r="G197" s="108"/>
      <c r="H197" s="102" t="s">
        <v>13</v>
      </c>
      <c r="I197" s="112">
        <v>1250</v>
      </c>
      <c r="J197" s="112"/>
      <c r="K197" s="105" t="s">
        <v>8</v>
      </c>
      <c r="L197" s="106">
        <v>583331.47</v>
      </c>
    </row>
    <row r="198" spans="1:12" ht="51" x14ac:dyDescent="0.3">
      <c r="A198" s="100" t="s">
        <v>63</v>
      </c>
      <c r="B198" s="101" t="s">
        <v>739</v>
      </c>
      <c r="C198" s="101" t="s">
        <v>556</v>
      </c>
      <c r="D198" s="101" t="s">
        <v>691</v>
      </c>
      <c r="E198" s="102" t="s">
        <v>26</v>
      </c>
      <c r="F198" s="108" t="s">
        <v>15</v>
      </c>
      <c r="G198" s="108"/>
      <c r="H198" s="102" t="s">
        <v>13</v>
      </c>
      <c r="I198" s="109">
        <v>187.5</v>
      </c>
      <c r="J198" s="109"/>
      <c r="K198" s="105" t="s">
        <v>8</v>
      </c>
      <c r="L198" s="106">
        <v>73806.77</v>
      </c>
    </row>
    <row r="199" spans="1:12" ht="51" x14ac:dyDescent="0.3">
      <c r="A199" s="100" t="s">
        <v>63</v>
      </c>
      <c r="B199" s="101" t="s">
        <v>739</v>
      </c>
      <c r="C199" s="101" t="s">
        <v>556</v>
      </c>
      <c r="D199" s="101" t="s">
        <v>693</v>
      </c>
      <c r="E199" s="102" t="s">
        <v>26</v>
      </c>
      <c r="F199" s="108" t="s">
        <v>15</v>
      </c>
      <c r="G199" s="108"/>
      <c r="H199" s="102" t="s">
        <v>13</v>
      </c>
      <c r="I199" s="109">
        <v>170.8</v>
      </c>
      <c r="J199" s="109"/>
      <c r="K199" s="105" t="s">
        <v>8</v>
      </c>
      <c r="L199" s="106">
        <v>73635.97</v>
      </c>
    </row>
    <row r="200" spans="1:12" ht="51" x14ac:dyDescent="0.3">
      <c r="A200" s="100" t="s">
        <v>63</v>
      </c>
      <c r="B200" s="101" t="s">
        <v>739</v>
      </c>
      <c r="C200" s="101" t="s">
        <v>556</v>
      </c>
      <c r="D200" s="101" t="s">
        <v>695</v>
      </c>
      <c r="E200" s="102" t="s">
        <v>26</v>
      </c>
      <c r="F200" s="108" t="s">
        <v>15</v>
      </c>
      <c r="G200" s="108"/>
      <c r="H200" s="102" t="s">
        <v>13</v>
      </c>
      <c r="I200" s="109">
        <v>170.5</v>
      </c>
      <c r="J200" s="109"/>
      <c r="K200" s="105" t="s">
        <v>8</v>
      </c>
      <c r="L200" s="106">
        <v>73465.47</v>
      </c>
    </row>
    <row r="201" spans="1:12" ht="51" x14ac:dyDescent="0.3">
      <c r="A201" s="100" t="s">
        <v>63</v>
      </c>
      <c r="B201" s="101" t="s">
        <v>739</v>
      </c>
      <c r="C201" s="101" t="s">
        <v>556</v>
      </c>
      <c r="D201" s="101" t="s">
        <v>697</v>
      </c>
      <c r="E201" s="102" t="s">
        <v>26</v>
      </c>
      <c r="F201" s="108" t="s">
        <v>15</v>
      </c>
      <c r="G201" s="108"/>
      <c r="H201" s="102" t="s">
        <v>13</v>
      </c>
      <c r="I201" s="109">
        <v>631.25</v>
      </c>
      <c r="J201" s="109"/>
      <c r="K201" s="105" t="s">
        <v>8</v>
      </c>
      <c r="L201" s="106">
        <v>72834.22</v>
      </c>
    </row>
    <row r="202" spans="1:12" ht="51" x14ac:dyDescent="0.3">
      <c r="A202" s="100" t="s">
        <v>63</v>
      </c>
      <c r="B202" s="101" t="s">
        <v>739</v>
      </c>
      <c r="C202" s="101" t="s">
        <v>556</v>
      </c>
      <c r="D202" s="101" t="s">
        <v>699</v>
      </c>
      <c r="E202" s="102" t="s">
        <v>26</v>
      </c>
      <c r="F202" s="108" t="s">
        <v>15</v>
      </c>
      <c r="G202" s="108"/>
      <c r="H202" s="102" t="s">
        <v>13</v>
      </c>
      <c r="I202" s="109">
        <v>780.5</v>
      </c>
      <c r="J202" s="109"/>
      <c r="K202" s="105" t="s">
        <v>8</v>
      </c>
      <c r="L202" s="106">
        <v>72053.72</v>
      </c>
    </row>
    <row r="203" spans="1:12" ht="51" x14ac:dyDescent="0.3">
      <c r="A203" s="100" t="s">
        <v>63</v>
      </c>
      <c r="B203" s="101" t="s">
        <v>739</v>
      </c>
      <c r="C203" s="101" t="s">
        <v>556</v>
      </c>
      <c r="D203" s="101" t="s">
        <v>701</v>
      </c>
      <c r="E203" s="102" t="s">
        <v>26</v>
      </c>
      <c r="F203" s="108" t="s">
        <v>15</v>
      </c>
      <c r="G203" s="108"/>
      <c r="H203" s="102" t="s">
        <v>13</v>
      </c>
      <c r="I203" s="109">
        <v>372.5</v>
      </c>
      <c r="J203" s="109"/>
      <c r="K203" s="105" t="s">
        <v>8</v>
      </c>
      <c r="L203" s="106">
        <v>71681.22</v>
      </c>
    </row>
    <row r="204" spans="1:12" ht="51" x14ac:dyDescent="0.3">
      <c r="A204" s="100" t="s">
        <v>63</v>
      </c>
      <c r="B204" s="101" t="s">
        <v>740</v>
      </c>
      <c r="C204" s="101" t="s">
        <v>556</v>
      </c>
      <c r="D204" s="101" t="s">
        <v>704</v>
      </c>
      <c r="E204" s="102" t="s">
        <v>26</v>
      </c>
      <c r="F204" s="108" t="s">
        <v>15</v>
      </c>
      <c r="G204" s="108"/>
      <c r="H204" s="102" t="s">
        <v>13</v>
      </c>
      <c r="I204" s="112">
        <v>6226.5</v>
      </c>
      <c r="J204" s="112"/>
      <c r="K204" s="105" t="s">
        <v>8</v>
      </c>
      <c r="L204" s="106">
        <v>577104.97</v>
      </c>
    </row>
    <row r="205" spans="1:12" ht="51" x14ac:dyDescent="0.3">
      <c r="A205" s="100" t="s">
        <v>63</v>
      </c>
      <c r="B205" s="101" t="s">
        <v>740</v>
      </c>
      <c r="C205" s="101" t="s">
        <v>556</v>
      </c>
      <c r="D205" s="101" t="s">
        <v>706</v>
      </c>
      <c r="E205" s="102" t="s">
        <v>26</v>
      </c>
      <c r="F205" s="108" t="s">
        <v>15</v>
      </c>
      <c r="G205" s="108"/>
      <c r="H205" s="102" t="s">
        <v>13</v>
      </c>
      <c r="I205" s="112">
        <v>2911.75</v>
      </c>
      <c r="J205" s="112"/>
      <c r="K205" s="105" t="s">
        <v>8</v>
      </c>
      <c r="L205" s="106">
        <v>574193.22</v>
      </c>
    </row>
    <row r="206" spans="1:12" ht="51" x14ac:dyDescent="0.3">
      <c r="A206" s="100" t="s">
        <v>63</v>
      </c>
      <c r="B206" s="101" t="s">
        <v>740</v>
      </c>
      <c r="C206" s="101" t="s">
        <v>556</v>
      </c>
      <c r="D206" s="101" t="s">
        <v>385</v>
      </c>
      <c r="E206" s="102" t="s">
        <v>26</v>
      </c>
      <c r="F206" s="108" t="s">
        <v>15</v>
      </c>
      <c r="G206" s="108"/>
      <c r="H206" s="102" t="s">
        <v>13</v>
      </c>
      <c r="I206" s="112">
        <v>1009.5</v>
      </c>
      <c r="J206" s="112"/>
      <c r="K206" s="105" t="s">
        <v>8</v>
      </c>
      <c r="L206" s="106">
        <v>573183.72</v>
      </c>
    </row>
    <row r="207" spans="1:12" ht="51" x14ac:dyDescent="0.3">
      <c r="A207" s="100" t="s">
        <v>63</v>
      </c>
      <c r="B207" s="101" t="s">
        <v>740</v>
      </c>
      <c r="C207" s="101" t="s">
        <v>556</v>
      </c>
      <c r="D207" s="101" t="s">
        <v>741</v>
      </c>
      <c r="E207" s="102" t="s">
        <v>26</v>
      </c>
      <c r="F207" s="108" t="s">
        <v>15</v>
      </c>
      <c r="G207" s="108"/>
      <c r="H207" s="102" t="s">
        <v>13</v>
      </c>
      <c r="I207" s="112">
        <v>2250.83</v>
      </c>
      <c r="J207" s="112"/>
      <c r="K207" s="105" t="s">
        <v>8</v>
      </c>
      <c r="L207" s="106">
        <v>570932.89</v>
      </c>
    </row>
    <row r="208" spans="1:12" ht="51" x14ac:dyDescent="0.3">
      <c r="A208" s="100" t="s">
        <v>63</v>
      </c>
      <c r="B208" s="101" t="s">
        <v>740</v>
      </c>
      <c r="C208" s="101" t="s">
        <v>556</v>
      </c>
      <c r="D208" s="101" t="s">
        <v>742</v>
      </c>
      <c r="E208" s="102" t="s">
        <v>26</v>
      </c>
      <c r="F208" s="108" t="s">
        <v>15</v>
      </c>
      <c r="G208" s="108"/>
      <c r="H208" s="102" t="s">
        <v>13</v>
      </c>
      <c r="I208" s="112">
        <v>1675.5</v>
      </c>
      <c r="J208" s="112"/>
      <c r="K208" s="105" t="s">
        <v>8</v>
      </c>
      <c r="L208" s="106">
        <v>569257.39</v>
      </c>
    </row>
    <row r="209" spans="1:12" ht="51" x14ac:dyDescent="0.3">
      <c r="A209" s="100" t="s">
        <v>63</v>
      </c>
      <c r="B209" s="101" t="s">
        <v>743</v>
      </c>
      <c r="C209" s="101" t="s">
        <v>556</v>
      </c>
      <c r="D209" s="101" t="s">
        <v>744</v>
      </c>
      <c r="E209" s="102" t="s">
        <v>26</v>
      </c>
      <c r="F209" s="108" t="s">
        <v>15</v>
      </c>
      <c r="G209" s="108"/>
      <c r="H209" s="102" t="s">
        <v>13</v>
      </c>
      <c r="I209" s="112">
        <v>1290.92</v>
      </c>
      <c r="J209" s="112"/>
      <c r="K209" s="105" t="s">
        <v>8</v>
      </c>
      <c r="L209" s="106">
        <v>567966.47</v>
      </c>
    </row>
    <row r="210" spans="1:12" ht="51" x14ac:dyDescent="0.3">
      <c r="A210" s="100" t="s">
        <v>63</v>
      </c>
      <c r="B210" s="101" t="s">
        <v>743</v>
      </c>
      <c r="C210" s="101" t="s">
        <v>556</v>
      </c>
      <c r="D210" s="101" t="s">
        <v>745</v>
      </c>
      <c r="E210" s="102" t="s">
        <v>26</v>
      </c>
      <c r="F210" s="108" t="s">
        <v>15</v>
      </c>
      <c r="G210" s="108"/>
      <c r="H210" s="102" t="s">
        <v>13</v>
      </c>
      <c r="I210" s="112">
        <v>1250</v>
      </c>
      <c r="J210" s="112"/>
      <c r="K210" s="105" t="s">
        <v>8</v>
      </c>
      <c r="L210" s="106">
        <v>566716.47</v>
      </c>
    </row>
    <row r="211" spans="1:12" ht="51" x14ac:dyDescent="0.3">
      <c r="A211" s="100" t="s">
        <v>63</v>
      </c>
      <c r="B211" s="101" t="s">
        <v>743</v>
      </c>
      <c r="C211" s="101" t="s">
        <v>556</v>
      </c>
      <c r="D211" s="101" t="s">
        <v>746</v>
      </c>
      <c r="E211" s="102" t="s">
        <v>26</v>
      </c>
      <c r="F211" s="108" t="s">
        <v>15</v>
      </c>
      <c r="G211" s="108"/>
      <c r="H211" s="102" t="s">
        <v>13</v>
      </c>
      <c r="I211" s="112">
        <v>4140.1000000000004</v>
      </c>
      <c r="J211" s="112"/>
      <c r="K211" s="105" t="s">
        <v>8</v>
      </c>
      <c r="L211" s="106">
        <v>562576.37</v>
      </c>
    </row>
    <row r="212" spans="1:12" ht="51" x14ac:dyDescent="0.3">
      <c r="A212" s="100" t="s">
        <v>63</v>
      </c>
      <c r="B212" s="101" t="s">
        <v>743</v>
      </c>
      <c r="C212" s="101" t="s">
        <v>556</v>
      </c>
      <c r="D212" s="101" t="s">
        <v>747</v>
      </c>
      <c r="E212" s="102" t="s">
        <v>26</v>
      </c>
      <c r="F212" s="108" t="s">
        <v>15</v>
      </c>
      <c r="G212" s="108"/>
      <c r="H212" s="102" t="s">
        <v>13</v>
      </c>
      <c r="I212" s="112">
        <v>1000</v>
      </c>
      <c r="J212" s="112"/>
      <c r="K212" s="105" t="s">
        <v>8</v>
      </c>
      <c r="L212" s="106">
        <v>561576.37</v>
      </c>
    </row>
    <row r="213" spans="1:12" ht="51" x14ac:dyDescent="0.3">
      <c r="A213" s="100" t="s">
        <v>63</v>
      </c>
      <c r="B213" s="101" t="s">
        <v>743</v>
      </c>
      <c r="C213" s="101" t="s">
        <v>556</v>
      </c>
      <c r="D213" s="101" t="s">
        <v>748</v>
      </c>
      <c r="E213" s="102" t="s">
        <v>26</v>
      </c>
      <c r="F213" s="108" t="s">
        <v>15</v>
      </c>
      <c r="G213" s="108"/>
      <c r="H213" s="102" t="s">
        <v>13</v>
      </c>
      <c r="I213" s="112">
        <v>6624.15</v>
      </c>
      <c r="J213" s="112"/>
      <c r="K213" s="105" t="s">
        <v>8</v>
      </c>
      <c r="L213" s="106">
        <v>554952.22</v>
      </c>
    </row>
    <row r="214" spans="1:12" ht="51" x14ac:dyDescent="0.3">
      <c r="A214" s="100" t="s">
        <v>63</v>
      </c>
      <c r="B214" s="101" t="s">
        <v>743</v>
      </c>
      <c r="C214" s="101" t="s">
        <v>556</v>
      </c>
      <c r="D214" s="101" t="s">
        <v>749</v>
      </c>
      <c r="E214" s="102" t="s">
        <v>26</v>
      </c>
      <c r="F214" s="108" t="s">
        <v>15</v>
      </c>
      <c r="G214" s="108"/>
      <c r="H214" s="102" t="s">
        <v>13</v>
      </c>
      <c r="I214" s="112">
        <v>2993.75</v>
      </c>
      <c r="J214" s="112"/>
      <c r="K214" s="105" t="s">
        <v>8</v>
      </c>
      <c r="L214" s="106">
        <v>551958.47</v>
      </c>
    </row>
    <row r="215" spans="1:12" ht="61.2" x14ac:dyDescent="0.3">
      <c r="A215" s="100" t="s">
        <v>63</v>
      </c>
      <c r="B215" s="101" t="s">
        <v>743</v>
      </c>
      <c r="C215" s="101" t="s">
        <v>556</v>
      </c>
      <c r="D215" s="101" t="s">
        <v>750</v>
      </c>
      <c r="E215" s="102" t="s">
        <v>26</v>
      </c>
      <c r="F215" s="108" t="s">
        <v>15</v>
      </c>
      <c r="G215" s="108"/>
      <c r="H215" s="102" t="s">
        <v>13</v>
      </c>
      <c r="I215" s="112">
        <v>3974.49</v>
      </c>
      <c r="J215" s="112"/>
      <c r="K215" s="105" t="s">
        <v>8</v>
      </c>
      <c r="L215" s="106">
        <v>547983.98</v>
      </c>
    </row>
    <row r="216" spans="1:12" ht="51" x14ac:dyDescent="0.3">
      <c r="A216" s="100" t="s">
        <v>63</v>
      </c>
      <c r="B216" s="101" t="s">
        <v>743</v>
      </c>
      <c r="C216" s="101" t="s">
        <v>556</v>
      </c>
      <c r="D216" s="101" t="s">
        <v>751</v>
      </c>
      <c r="E216" s="102" t="s">
        <v>26</v>
      </c>
      <c r="F216" s="108" t="s">
        <v>15</v>
      </c>
      <c r="G216" s="108"/>
      <c r="H216" s="102" t="s">
        <v>13</v>
      </c>
      <c r="I216" s="112">
        <v>11280</v>
      </c>
      <c r="J216" s="112"/>
      <c r="K216" s="105" t="s">
        <v>8</v>
      </c>
      <c r="L216" s="106">
        <v>536703.98</v>
      </c>
    </row>
    <row r="217" spans="1:12" ht="51" x14ac:dyDescent="0.3">
      <c r="A217" s="100" t="s">
        <v>63</v>
      </c>
      <c r="B217" s="101" t="s">
        <v>752</v>
      </c>
      <c r="C217" s="101" t="s">
        <v>556</v>
      </c>
      <c r="D217" s="101" t="s">
        <v>753</v>
      </c>
      <c r="E217" s="102" t="s">
        <v>26</v>
      </c>
      <c r="F217" s="108" t="s">
        <v>15</v>
      </c>
      <c r="G217" s="108"/>
      <c r="H217" s="102" t="s">
        <v>13</v>
      </c>
      <c r="I217" s="112">
        <v>4410.8999999999996</v>
      </c>
      <c r="J217" s="112"/>
      <c r="K217" s="105" t="s">
        <v>8</v>
      </c>
      <c r="L217" s="106">
        <v>532293.07999999996</v>
      </c>
    </row>
    <row r="218" spans="1:12" ht="51" x14ac:dyDescent="0.3">
      <c r="A218" s="100" t="s">
        <v>63</v>
      </c>
      <c r="B218" s="101" t="s">
        <v>752</v>
      </c>
      <c r="C218" s="101" t="s">
        <v>556</v>
      </c>
      <c r="D218" s="101" t="s">
        <v>709</v>
      </c>
      <c r="E218" s="102" t="s">
        <v>26</v>
      </c>
      <c r="F218" s="108" t="s">
        <v>15</v>
      </c>
      <c r="G218" s="108"/>
      <c r="H218" s="102" t="s">
        <v>13</v>
      </c>
      <c r="I218" s="109">
        <v>402.1</v>
      </c>
      <c r="J218" s="109"/>
      <c r="K218" s="105" t="s">
        <v>8</v>
      </c>
      <c r="L218" s="106">
        <v>531890.98</v>
      </c>
    </row>
    <row r="219" spans="1:12" ht="51" x14ac:dyDescent="0.3">
      <c r="A219" s="100" t="s">
        <v>63</v>
      </c>
      <c r="B219" s="101" t="s">
        <v>754</v>
      </c>
      <c r="C219" s="101" t="s">
        <v>556</v>
      </c>
      <c r="D219" s="101" t="s">
        <v>707</v>
      </c>
      <c r="E219" s="102" t="s">
        <v>26</v>
      </c>
      <c r="F219" s="108" t="s">
        <v>15</v>
      </c>
      <c r="G219" s="108"/>
      <c r="H219" s="102" t="s">
        <v>13</v>
      </c>
      <c r="I219" s="109">
        <v>306.5</v>
      </c>
      <c r="J219" s="109"/>
      <c r="K219" s="105" t="s">
        <v>8</v>
      </c>
      <c r="L219" s="106">
        <v>8193.7900000000009</v>
      </c>
    </row>
    <row r="220" spans="1:12" ht="51" x14ac:dyDescent="0.3">
      <c r="A220" s="100" t="s">
        <v>63</v>
      </c>
      <c r="B220" s="101" t="s">
        <v>755</v>
      </c>
      <c r="C220" s="101" t="s">
        <v>556</v>
      </c>
      <c r="D220" s="101" t="s">
        <v>756</v>
      </c>
      <c r="E220" s="102" t="s">
        <v>26</v>
      </c>
      <c r="F220" s="108" t="s">
        <v>15</v>
      </c>
      <c r="G220" s="108"/>
      <c r="H220" s="102" t="s">
        <v>13</v>
      </c>
      <c r="I220" s="112">
        <v>2106</v>
      </c>
      <c r="J220" s="112"/>
      <c r="K220" s="105" t="s">
        <v>8</v>
      </c>
      <c r="L220" s="106">
        <v>529784.98</v>
      </c>
    </row>
    <row r="221" spans="1:12" ht="51" x14ac:dyDescent="0.3">
      <c r="A221" s="100" t="s">
        <v>63</v>
      </c>
      <c r="B221" s="101" t="s">
        <v>757</v>
      </c>
      <c r="C221" s="101" t="s">
        <v>556</v>
      </c>
      <c r="D221" s="101" t="s">
        <v>758</v>
      </c>
      <c r="E221" s="102" t="s">
        <v>26</v>
      </c>
      <c r="F221" s="108" t="s">
        <v>15</v>
      </c>
      <c r="G221" s="108"/>
      <c r="H221" s="102" t="s">
        <v>13</v>
      </c>
      <c r="I221" s="109">
        <v>912.25</v>
      </c>
      <c r="J221" s="109"/>
      <c r="K221" s="105" t="s">
        <v>8</v>
      </c>
      <c r="L221" s="106">
        <v>528872.73</v>
      </c>
    </row>
    <row r="222" spans="1:12" ht="51" x14ac:dyDescent="0.3">
      <c r="A222" s="100" t="s">
        <v>63</v>
      </c>
      <c r="B222" s="101" t="s">
        <v>757</v>
      </c>
      <c r="C222" s="101" t="s">
        <v>556</v>
      </c>
      <c r="D222" s="101" t="s">
        <v>759</v>
      </c>
      <c r="E222" s="102" t="s">
        <v>26</v>
      </c>
      <c r="F222" s="108" t="s">
        <v>15</v>
      </c>
      <c r="G222" s="108"/>
      <c r="H222" s="102" t="s">
        <v>13</v>
      </c>
      <c r="I222" s="112">
        <v>1686</v>
      </c>
      <c r="J222" s="112"/>
      <c r="K222" s="105" t="s">
        <v>8</v>
      </c>
      <c r="L222" s="106">
        <v>527186.73</v>
      </c>
    </row>
    <row r="223" spans="1:12" ht="51" x14ac:dyDescent="0.3">
      <c r="A223" s="100" t="s">
        <v>63</v>
      </c>
      <c r="B223" s="101" t="s">
        <v>757</v>
      </c>
      <c r="C223" s="101" t="s">
        <v>556</v>
      </c>
      <c r="D223" s="101" t="s">
        <v>490</v>
      </c>
      <c r="E223" s="102" t="s">
        <v>26</v>
      </c>
      <c r="F223" s="108" t="s">
        <v>15</v>
      </c>
      <c r="G223" s="108"/>
      <c r="H223" s="102" t="s">
        <v>13</v>
      </c>
      <c r="I223" s="109">
        <v>923.9</v>
      </c>
      <c r="J223" s="109"/>
      <c r="K223" s="105" t="s">
        <v>8</v>
      </c>
      <c r="L223" s="106">
        <v>526262.82999999996</v>
      </c>
    </row>
    <row r="224" spans="1:12" ht="51" x14ac:dyDescent="0.3">
      <c r="A224" s="100" t="s">
        <v>63</v>
      </c>
      <c r="B224" s="101" t="s">
        <v>757</v>
      </c>
      <c r="C224" s="101" t="s">
        <v>556</v>
      </c>
      <c r="D224" s="101" t="s">
        <v>760</v>
      </c>
      <c r="E224" s="102" t="s">
        <v>26</v>
      </c>
      <c r="F224" s="108" t="s">
        <v>15</v>
      </c>
      <c r="G224" s="108"/>
      <c r="H224" s="102" t="s">
        <v>13</v>
      </c>
      <c r="I224" s="109">
        <v>264.97000000000003</v>
      </c>
      <c r="J224" s="109"/>
      <c r="K224" s="105" t="s">
        <v>8</v>
      </c>
      <c r="L224" s="106">
        <v>525997.86</v>
      </c>
    </row>
    <row r="225" spans="1:12" ht="61.2" hidden="1" x14ac:dyDescent="0.3">
      <c r="A225" s="100" t="s">
        <v>761</v>
      </c>
      <c r="B225" s="101" t="s">
        <v>762</v>
      </c>
      <c r="C225" s="101" t="s">
        <v>763</v>
      </c>
      <c r="D225" s="101" t="s">
        <v>764</v>
      </c>
      <c r="E225" s="102" t="s">
        <v>13</v>
      </c>
      <c r="F225" s="107">
        <v>2600</v>
      </c>
      <c r="G225" s="107"/>
      <c r="H225" s="102" t="s">
        <v>35</v>
      </c>
      <c r="I225" s="104" t="s">
        <v>15</v>
      </c>
      <c r="J225" s="104"/>
      <c r="K225" s="105" t="s">
        <v>8</v>
      </c>
      <c r="L225" s="106">
        <v>528597.86</v>
      </c>
    </row>
    <row r="226" spans="1:12" ht="51" hidden="1" x14ac:dyDescent="0.3">
      <c r="A226" s="100" t="s">
        <v>761</v>
      </c>
      <c r="B226" s="101" t="s">
        <v>762</v>
      </c>
      <c r="C226" s="101" t="s">
        <v>765</v>
      </c>
      <c r="D226" s="101" t="s">
        <v>764</v>
      </c>
      <c r="E226" s="102" t="s">
        <v>13</v>
      </c>
      <c r="F226" s="107">
        <v>3430</v>
      </c>
      <c r="G226" s="107"/>
      <c r="H226" s="102" t="s">
        <v>35</v>
      </c>
      <c r="I226" s="104" t="s">
        <v>15</v>
      </c>
      <c r="J226" s="104"/>
      <c r="K226" s="105" t="s">
        <v>8</v>
      </c>
      <c r="L226" s="106">
        <v>532027.86</v>
      </c>
    </row>
    <row r="227" spans="1:12" ht="40.799999999999997" hidden="1" x14ac:dyDescent="0.3">
      <c r="A227" s="100" t="s">
        <v>761</v>
      </c>
      <c r="B227" s="101" t="s">
        <v>766</v>
      </c>
      <c r="C227" s="101" t="s">
        <v>767</v>
      </c>
      <c r="D227" s="101" t="s">
        <v>768</v>
      </c>
      <c r="E227" s="102" t="s">
        <v>13</v>
      </c>
      <c r="F227" s="103">
        <v>136</v>
      </c>
      <c r="G227" s="103"/>
      <c r="H227" s="102" t="s">
        <v>14</v>
      </c>
      <c r="I227" s="104" t="s">
        <v>15</v>
      </c>
      <c r="J227" s="104"/>
      <c r="K227" s="105" t="s">
        <v>8</v>
      </c>
      <c r="L227" s="106">
        <v>532163.86</v>
      </c>
    </row>
    <row r="228" spans="1:12" ht="40.799999999999997" hidden="1" x14ac:dyDescent="0.3">
      <c r="A228" s="100" t="s">
        <v>761</v>
      </c>
      <c r="B228" s="101" t="s">
        <v>766</v>
      </c>
      <c r="C228" s="101" t="s">
        <v>769</v>
      </c>
      <c r="D228" s="101" t="s">
        <v>768</v>
      </c>
      <c r="E228" s="102" t="s">
        <v>13</v>
      </c>
      <c r="F228" s="103">
        <v>680</v>
      </c>
      <c r="G228" s="103"/>
      <c r="H228" s="102" t="s">
        <v>14</v>
      </c>
      <c r="I228" s="104" t="s">
        <v>15</v>
      </c>
      <c r="J228" s="104"/>
      <c r="K228" s="105" t="s">
        <v>8</v>
      </c>
      <c r="L228" s="106">
        <v>532843.86</v>
      </c>
    </row>
    <row r="229" spans="1:12" ht="51" hidden="1" x14ac:dyDescent="0.3">
      <c r="A229" s="100" t="s">
        <v>396</v>
      </c>
      <c r="B229" s="101" t="s">
        <v>770</v>
      </c>
      <c r="C229" s="101" t="s">
        <v>771</v>
      </c>
      <c r="D229" s="101" t="s">
        <v>772</v>
      </c>
      <c r="E229" s="102" t="s">
        <v>13</v>
      </c>
      <c r="F229" s="107">
        <v>5138.25</v>
      </c>
      <c r="G229" s="107"/>
      <c r="H229" s="102" t="s">
        <v>35</v>
      </c>
      <c r="I229" s="104" t="s">
        <v>15</v>
      </c>
      <c r="J229" s="104"/>
      <c r="K229" s="105" t="s">
        <v>8</v>
      </c>
      <c r="L229" s="106">
        <v>537982.11</v>
      </c>
    </row>
    <row r="230" spans="1:12" ht="51" hidden="1" x14ac:dyDescent="0.3">
      <c r="A230" s="100" t="s">
        <v>396</v>
      </c>
      <c r="B230" s="101" t="s">
        <v>773</v>
      </c>
      <c r="C230" s="101" t="s">
        <v>774</v>
      </c>
      <c r="D230" s="101" t="s">
        <v>775</v>
      </c>
      <c r="E230" s="102" t="s">
        <v>13</v>
      </c>
      <c r="F230" s="103">
        <v>380</v>
      </c>
      <c r="G230" s="103"/>
      <c r="H230" s="102" t="s">
        <v>35</v>
      </c>
      <c r="I230" s="104" t="s">
        <v>15</v>
      </c>
      <c r="J230" s="104"/>
      <c r="K230" s="105" t="s">
        <v>8</v>
      </c>
      <c r="L230" s="106">
        <v>72061.22</v>
      </c>
    </row>
    <row r="231" spans="1:12" ht="51" hidden="1" x14ac:dyDescent="0.3">
      <c r="A231" s="100" t="s">
        <v>396</v>
      </c>
      <c r="B231" s="101" t="s">
        <v>397</v>
      </c>
      <c r="C231" s="101" t="s">
        <v>398</v>
      </c>
      <c r="D231" s="101" t="s">
        <v>399</v>
      </c>
      <c r="E231" s="102" t="s">
        <v>13</v>
      </c>
      <c r="F231" s="103">
        <v>360</v>
      </c>
      <c r="G231" s="103"/>
      <c r="H231" s="102" t="s">
        <v>13</v>
      </c>
      <c r="I231" s="104" t="s">
        <v>15</v>
      </c>
      <c r="J231" s="104"/>
      <c r="K231" s="105" t="s">
        <v>8</v>
      </c>
      <c r="L231" s="106">
        <v>538342.11</v>
      </c>
    </row>
    <row r="232" spans="1:12" ht="51" hidden="1" x14ac:dyDescent="0.3">
      <c r="A232" s="100" t="s">
        <v>396</v>
      </c>
      <c r="B232" s="101" t="s">
        <v>397</v>
      </c>
      <c r="C232" s="101" t="s">
        <v>400</v>
      </c>
      <c r="D232" s="101" t="s">
        <v>401</v>
      </c>
      <c r="E232" s="102" t="s">
        <v>13</v>
      </c>
      <c r="F232" s="107">
        <v>1106</v>
      </c>
      <c r="G232" s="107"/>
      <c r="H232" s="102" t="s">
        <v>13</v>
      </c>
      <c r="I232" s="104" t="s">
        <v>15</v>
      </c>
      <c r="J232" s="104"/>
      <c r="K232" s="105" t="s">
        <v>8</v>
      </c>
      <c r="L232" s="106">
        <v>539448.11</v>
      </c>
    </row>
    <row r="233" spans="1:12" ht="51" hidden="1" x14ac:dyDescent="0.3">
      <c r="A233" s="100" t="s">
        <v>396</v>
      </c>
      <c r="B233" s="101" t="s">
        <v>397</v>
      </c>
      <c r="C233" s="101" t="s">
        <v>402</v>
      </c>
      <c r="D233" s="101" t="s">
        <v>403</v>
      </c>
      <c r="E233" s="102" t="s">
        <v>13</v>
      </c>
      <c r="F233" s="107">
        <v>2750.1</v>
      </c>
      <c r="G233" s="107"/>
      <c r="H233" s="102" t="s">
        <v>13</v>
      </c>
      <c r="I233" s="104" t="s">
        <v>15</v>
      </c>
      <c r="J233" s="104"/>
      <c r="K233" s="105" t="s">
        <v>8</v>
      </c>
      <c r="L233" s="106">
        <v>542198.21</v>
      </c>
    </row>
    <row r="234" spans="1:12" ht="51" hidden="1" x14ac:dyDescent="0.3">
      <c r="A234" s="100" t="s">
        <v>396</v>
      </c>
      <c r="B234" s="101" t="s">
        <v>397</v>
      </c>
      <c r="C234" s="101" t="s">
        <v>404</v>
      </c>
      <c r="D234" s="101" t="s">
        <v>405</v>
      </c>
      <c r="E234" s="102" t="s">
        <v>13</v>
      </c>
      <c r="F234" s="107">
        <v>1516.64</v>
      </c>
      <c r="G234" s="107"/>
      <c r="H234" s="102" t="s">
        <v>13</v>
      </c>
      <c r="I234" s="104" t="s">
        <v>15</v>
      </c>
      <c r="J234" s="104"/>
      <c r="K234" s="105" t="s">
        <v>8</v>
      </c>
      <c r="L234" s="106">
        <v>543714.85</v>
      </c>
    </row>
    <row r="235" spans="1:12" ht="51" hidden="1" x14ac:dyDescent="0.3">
      <c r="A235" s="100" t="s">
        <v>396</v>
      </c>
      <c r="B235" s="101" t="s">
        <v>397</v>
      </c>
      <c r="C235" s="101" t="s">
        <v>406</v>
      </c>
      <c r="D235" s="101" t="s">
        <v>247</v>
      </c>
      <c r="E235" s="102" t="s">
        <v>13</v>
      </c>
      <c r="F235" s="103">
        <v>929.3</v>
      </c>
      <c r="G235" s="103"/>
      <c r="H235" s="102" t="s">
        <v>13</v>
      </c>
      <c r="I235" s="104" t="s">
        <v>15</v>
      </c>
      <c r="J235" s="104"/>
      <c r="K235" s="105" t="s">
        <v>8</v>
      </c>
      <c r="L235" s="106">
        <v>544644.15</v>
      </c>
    </row>
    <row r="236" spans="1:12" ht="51" hidden="1" x14ac:dyDescent="0.3">
      <c r="A236" s="100" t="s">
        <v>396</v>
      </c>
      <c r="B236" s="101" t="s">
        <v>397</v>
      </c>
      <c r="C236" s="101" t="s">
        <v>407</v>
      </c>
      <c r="D236" s="101" t="s">
        <v>408</v>
      </c>
      <c r="E236" s="102" t="s">
        <v>13</v>
      </c>
      <c r="F236" s="107">
        <v>1755</v>
      </c>
      <c r="G236" s="107"/>
      <c r="H236" s="102" t="s">
        <v>13</v>
      </c>
      <c r="I236" s="104" t="s">
        <v>15</v>
      </c>
      <c r="J236" s="104"/>
      <c r="K236" s="105" t="s">
        <v>8</v>
      </c>
      <c r="L236" s="106">
        <v>546399.15</v>
      </c>
    </row>
    <row r="237" spans="1:12" ht="51" hidden="1" x14ac:dyDescent="0.3">
      <c r="A237" s="100" t="s">
        <v>396</v>
      </c>
      <c r="B237" s="101" t="s">
        <v>397</v>
      </c>
      <c r="C237" s="101" t="s">
        <v>409</v>
      </c>
      <c r="D237" s="101" t="s">
        <v>360</v>
      </c>
      <c r="E237" s="102" t="s">
        <v>13</v>
      </c>
      <c r="F237" s="103">
        <v>119</v>
      </c>
      <c r="G237" s="103"/>
      <c r="H237" s="102" t="s">
        <v>13</v>
      </c>
      <c r="I237" s="104" t="s">
        <v>15</v>
      </c>
      <c r="J237" s="104"/>
      <c r="K237" s="105" t="s">
        <v>8</v>
      </c>
      <c r="L237" s="106">
        <v>546518.15</v>
      </c>
    </row>
    <row r="238" spans="1:12" ht="51" hidden="1" x14ac:dyDescent="0.3">
      <c r="A238" s="100" t="s">
        <v>396</v>
      </c>
      <c r="B238" s="101" t="s">
        <v>397</v>
      </c>
      <c r="C238" s="101" t="s">
        <v>410</v>
      </c>
      <c r="D238" s="101" t="s">
        <v>370</v>
      </c>
      <c r="E238" s="102" t="s">
        <v>13</v>
      </c>
      <c r="F238" s="103">
        <v>126.8</v>
      </c>
      <c r="G238" s="103"/>
      <c r="H238" s="102" t="s">
        <v>13</v>
      </c>
      <c r="I238" s="104" t="s">
        <v>15</v>
      </c>
      <c r="J238" s="104"/>
      <c r="K238" s="105" t="s">
        <v>8</v>
      </c>
      <c r="L238" s="106">
        <v>546644.94999999995</v>
      </c>
    </row>
    <row r="239" spans="1:12" ht="61.2" hidden="1" x14ac:dyDescent="0.3">
      <c r="A239" s="100" t="s">
        <v>396</v>
      </c>
      <c r="B239" s="101" t="s">
        <v>397</v>
      </c>
      <c r="C239" s="101" t="s">
        <v>411</v>
      </c>
      <c r="D239" s="101" t="s">
        <v>412</v>
      </c>
      <c r="E239" s="102" t="s">
        <v>13</v>
      </c>
      <c r="F239" s="107">
        <v>2325</v>
      </c>
      <c r="G239" s="107"/>
      <c r="H239" s="102" t="s">
        <v>13</v>
      </c>
      <c r="I239" s="104" t="s">
        <v>15</v>
      </c>
      <c r="J239" s="104"/>
      <c r="K239" s="105" t="s">
        <v>8</v>
      </c>
      <c r="L239" s="106">
        <v>548969.94999999995</v>
      </c>
    </row>
    <row r="240" spans="1:12" ht="61.2" hidden="1" x14ac:dyDescent="0.3">
      <c r="A240" s="100" t="s">
        <v>396</v>
      </c>
      <c r="B240" s="101" t="s">
        <v>397</v>
      </c>
      <c r="C240" s="101" t="s">
        <v>413</v>
      </c>
      <c r="D240" s="101" t="s">
        <v>306</v>
      </c>
      <c r="E240" s="102" t="s">
        <v>13</v>
      </c>
      <c r="F240" s="103">
        <v>958.5</v>
      </c>
      <c r="G240" s="103"/>
      <c r="H240" s="102" t="s">
        <v>13</v>
      </c>
      <c r="I240" s="104" t="s">
        <v>15</v>
      </c>
      <c r="J240" s="104"/>
      <c r="K240" s="105" t="s">
        <v>8</v>
      </c>
      <c r="L240" s="106">
        <v>549928.44999999995</v>
      </c>
    </row>
    <row r="241" spans="1:12" ht="51" hidden="1" x14ac:dyDescent="0.3">
      <c r="A241" s="100" t="s">
        <v>396</v>
      </c>
      <c r="B241" s="101" t="s">
        <v>397</v>
      </c>
      <c r="C241" s="101" t="s">
        <v>414</v>
      </c>
      <c r="D241" s="101" t="s">
        <v>415</v>
      </c>
      <c r="E241" s="102" t="s">
        <v>13</v>
      </c>
      <c r="F241" s="103">
        <v>500.83</v>
      </c>
      <c r="G241" s="103"/>
      <c r="H241" s="102" t="s">
        <v>13</v>
      </c>
      <c r="I241" s="104" t="s">
        <v>15</v>
      </c>
      <c r="J241" s="104"/>
      <c r="K241" s="105" t="s">
        <v>8</v>
      </c>
      <c r="L241" s="106">
        <v>550429.28</v>
      </c>
    </row>
    <row r="242" spans="1:12" ht="51" hidden="1" x14ac:dyDescent="0.3">
      <c r="A242" s="100" t="s">
        <v>396</v>
      </c>
      <c r="B242" s="101" t="s">
        <v>397</v>
      </c>
      <c r="C242" s="101" t="s">
        <v>416</v>
      </c>
      <c r="D242" s="101" t="s">
        <v>417</v>
      </c>
      <c r="E242" s="102" t="s">
        <v>13</v>
      </c>
      <c r="F242" s="107">
        <v>1283.4000000000001</v>
      </c>
      <c r="G242" s="107"/>
      <c r="H242" s="102" t="s">
        <v>13</v>
      </c>
      <c r="I242" s="104" t="s">
        <v>15</v>
      </c>
      <c r="J242" s="104"/>
      <c r="K242" s="105" t="s">
        <v>8</v>
      </c>
      <c r="L242" s="106">
        <v>551712.68000000005</v>
      </c>
    </row>
    <row r="243" spans="1:12" ht="51" hidden="1" x14ac:dyDescent="0.3">
      <c r="A243" s="100" t="s">
        <v>396</v>
      </c>
      <c r="B243" s="101" t="s">
        <v>397</v>
      </c>
      <c r="C243" s="101" t="s">
        <v>418</v>
      </c>
      <c r="D243" s="101" t="s">
        <v>286</v>
      </c>
      <c r="E243" s="102" t="s">
        <v>13</v>
      </c>
      <c r="F243" s="107">
        <v>3073.6</v>
      </c>
      <c r="G243" s="107"/>
      <c r="H243" s="102" t="s">
        <v>13</v>
      </c>
      <c r="I243" s="104" t="s">
        <v>15</v>
      </c>
      <c r="J243" s="104"/>
      <c r="K243" s="105" t="s">
        <v>8</v>
      </c>
      <c r="L243" s="106">
        <v>554786.28</v>
      </c>
    </row>
    <row r="244" spans="1:12" ht="51" hidden="1" x14ac:dyDescent="0.3">
      <c r="A244" s="100" t="s">
        <v>396</v>
      </c>
      <c r="B244" s="101" t="s">
        <v>397</v>
      </c>
      <c r="C244" s="101" t="s">
        <v>419</v>
      </c>
      <c r="D244" s="101" t="s">
        <v>420</v>
      </c>
      <c r="E244" s="102" t="s">
        <v>13</v>
      </c>
      <c r="F244" s="103">
        <v>983.4</v>
      </c>
      <c r="G244" s="103"/>
      <c r="H244" s="102" t="s">
        <v>13</v>
      </c>
      <c r="I244" s="104" t="s">
        <v>15</v>
      </c>
      <c r="J244" s="104"/>
      <c r="K244" s="105" t="s">
        <v>8</v>
      </c>
      <c r="L244" s="106">
        <v>555769.68000000005</v>
      </c>
    </row>
    <row r="245" spans="1:12" ht="51" hidden="1" x14ac:dyDescent="0.3">
      <c r="A245" s="100" t="s">
        <v>396</v>
      </c>
      <c r="B245" s="101" t="s">
        <v>397</v>
      </c>
      <c r="C245" s="101" t="s">
        <v>421</v>
      </c>
      <c r="D245" s="101" t="s">
        <v>422</v>
      </c>
      <c r="E245" s="102" t="s">
        <v>13</v>
      </c>
      <c r="F245" s="107">
        <v>2000</v>
      </c>
      <c r="G245" s="107"/>
      <c r="H245" s="102" t="s">
        <v>13</v>
      </c>
      <c r="I245" s="104" t="s">
        <v>15</v>
      </c>
      <c r="J245" s="104"/>
      <c r="K245" s="105" t="s">
        <v>8</v>
      </c>
      <c r="L245" s="106">
        <v>557769.68000000005</v>
      </c>
    </row>
    <row r="246" spans="1:12" ht="51" hidden="1" x14ac:dyDescent="0.3">
      <c r="A246" s="100" t="s">
        <v>396</v>
      </c>
      <c r="B246" s="101" t="s">
        <v>397</v>
      </c>
      <c r="C246" s="101" t="s">
        <v>423</v>
      </c>
      <c r="D246" s="101" t="s">
        <v>262</v>
      </c>
      <c r="E246" s="102" t="s">
        <v>13</v>
      </c>
      <c r="F246" s="103">
        <v>364.65</v>
      </c>
      <c r="G246" s="103"/>
      <c r="H246" s="102" t="s">
        <v>13</v>
      </c>
      <c r="I246" s="104" t="s">
        <v>15</v>
      </c>
      <c r="J246" s="104"/>
      <c r="K246" s="105" t="s">
        <v>8</v>
      </c>
      <c r="L246" s="106">
        <v>558134.32999999996</v>
      </c>
    </row>
    <row r="247" spans="1:12" ht="51" hidden="1" x14ac:dyDescent="0.3">
      <c r="A247" s="100" t="s">
        <v>776</v>
      </c>
      <c r="B247" s="101" t="s">
        <v>777</v>
      </c>
      <c r="C247" s="101" t="s">
        <v>778</v>
      </c>
      <c r="D247" s="101" t="s">
        <v>779</v>
      </c>
      <c r="E247" s="102" t="s">
        <v>13</v>
      </c>
      <c r="F247" s="103">
        <v>302</v>
      </c>
      <c r="G247" s="103"/>
      <c r="H247" s="102" t="s">
        <v>302</v>
      </c>
      <c r="I247" s="104" t="s">
        <v>15</v>
      </c>
      <c r="J247" s="104"/>
      <c r="K247" s="105" t="s">
        <v>8</v>
      </c>
      <c r="L247" s="106">
        <v>558436.32999999996</v>
      </c>
    </row>
    <row r="248" spans="1:12" ht="51" hidden="1" x14ac:dyDescent="0.3">
      <c r="A248" s="100" t="s">
        <v>776</v>
      </c>
      <c r="B248" s="101" t="s">
        <v>780</v>
      </c>
      <c r="C248" s="101" t="s">
        <v>781</v>
      </c>
      <c r="D248" s="101" t="s">
        <v>782</v>
      </c>
      <c r="E248" s="102" t="s">
        <v>13</v>
      </c>
      <c r="F248" s="107">
        <v>1262</v>
      </c>
      <c r="G248" s="107"/>
      <c r="H248" s="102" t="s">
        <v>13</v>
      </c>
      <c r="I248" s="104" t="s">
        <v>15</v>
      </c>
      <c r="J248" s="104"/>
      <c r="K248" s="105" t="s">
        <v>8</v>
      </c>
      <c r="L248" s="106">
        <v>559698.32999999996</v>
      </c>
    </row>
    <row r="249" spans="1:12" ht="51" hidden="1" x14ac:dyDescent="0.3">
      <c r="A249" s="100" t="s">
        <v>776</v>
      </c>
      <c r="B249" s="101" t="s">
        <v>780</v>
      </c>
      <c r="C249" s="101" t="s">
        <v>781</v>
      </c>
      <c r="D249" s="101" t="s">
        <v>782</v>
      </c>
      <c r="E249" s="102" t="s">
        <v>13</v>
      </c>
      <c r="F249" s="108" t="s">
        <v>15</v>
      </c>
      <c r="G249" s="108"/>
      <c r="H249" s="102" t="s">
        <v>13</v>
      </c>
      <c r="I249" s="112">
        <v>1262</v>
      </c>
      <c r="J249" s="112"/>
      <c r="K249" s="105" t="s">
        <v>8</v>
      </c>
      <c r="L249" s="106">
        <v>18140.189999999999</v>
      </c>
    </row>
    <row r="250" spans="1:12" ht="51" hidden="1" x14ac:dyDescent="0.3">
      <c r="A250" s="100" t="s">
        <v>776</v>
      </c>
      <c r="B250" s="101" t="s">
        <v>780</v>
      </c>
      <c r="C250" s="101" t="s">
        <v>783</v>
      </c>
      <c r="D250" s="101" t="s">
        <v>784</v>
      </c>
      <c r="E250" s="102" t="s">
        <v>13</v>
      </c>
      <c r="F250" s="107">
        <v>3042.25</v>
      </c>
      <c r="G250" s="107"/>
      <c r="H250" s="102" t="s">
        <v>13</v>
      </c>
      <c r="I250" s="104" t="s">
        <v>15</v>
      </c>
      <c r="J250" s="104"/>
      <c r="K250" s="105" t="s">
        <v>8</v>
      </c>
      <c r="L250" s="106">
        <v>562740.57999999996</v>
      </c>
    </row>
    <row r="251" spans="1:12" ht="51" hidden="1" x14ac:dyDescent="0.3">
      <c r="A251" s="100" t="s">
        <v>776</v>
      </c>
      <c r="B251" s="101" t="s">
        <v>780</v>
      </c>
      <c r="C251" s="101" t="s">
        <v>783</v>
      </c>
      <c r="D251" s="101" t="s">
        <v>784</v>
      </c>
      <c r="E251" s="102" t="s">
        <v>13</v>
      </c>
      <c r="F251" s="108" t="s">
        <v>15</v>
      </c>
      <c r="G251" s="108"/>
      <c r="H251" s="102" t="s">
        <v>13</v>
      </c>
      <c r="I251" s="112">
        <v>3042.25</v>
      </c>
      <c r="J251" s="112"/>
      <c r="K251" s="105" t="s">
        <v>8</v>
      </c>
      <c r="L251" s="106">
        <v>15097.94</v>
      </c>
    </row>
    <row r="252" spans="1:12" ht="51" hidden="1" x14ac:dyDescent="0.3">
      <c r="A252" s="100" t="s">
        <v>776</v>
      </c>
      <c r="B252" s="101" t="s">
        <v>785</v>
      </c>
      <c r="C252" s="101" t="s">
        <v>786</v>
      </c>
      <c r="D252" s="101" t="s">
        <v>787</v>
      </c>
      <c r="E252" s="102" t="s">
        <v>13</v>
      </c>
      <c r="F252" s="107">
        <v>8019</v>
      </c>
      <c r="G252" s="107"/>
      <c r="H252" s="102" t="s">
        <v>35</v>
      </c>
      <c r="I252" s="104" t="s">
        <v>15</v>
      </c>
      <c r="J252" s="104"/>
      <c r="K252" s="105" t="s">
        <v>8</v>
      </c>
      <c r="L252" s="106">
        <v>570759.57999999996</v>
      </c>
    </row>
    <row r="253" spans="1:12" ht="51" hidden="1" x14ac:dyDescent="0.3">
      <c r="A253" s="100" t="s">
        <v>776</v>
      </c>
      <c r="B253" s="101" t="s">
        <v>785</v>
      </c>
      <c r="C253" s="101" t="s">
        <v>788</v>
      </c>
      <c r="D253" s="101" t="s">
        <v>787</v>
      </c>
      <c r="E253" s="102" t="s">
        <v>13</v>
      </c>
      <c r="F253" s="107">
        <v>2490</v>
      </c>
      <c r="G253" s="107"/>
      <c r="H253" s="102" t="s">
        <v>35</v>
      </c>
      <c r="I253" s="104" t="s">
        <v>15</v>
      </c>
      <c r="J253" s="104"/>
      <c r="K253" s="105" t="s">
        <v>8</v>
      </c>
      <c r="L253" s="106">
        <v>573249.57999999996</v>
      </c>
    </row>
    <row r="254" spans="1:12" ht="51" hidden="1" x14ac:dyDescent="0.3">
      <c r="A254" s="100" t="s">
        <v>776</v>
      </c>
      <c r="B254" s="101" t="s">
        <v>785</v>
      </c>
      <c r="C254" s="101" t="s">
        <v>789</v>
      </c>
      <c r="D254" s="101" t="s">
        <v>787</v>
      </c>
      <c r="E254" s="102" t="s">
        <v>13</v>
      </c>
      <c r="F254" s="103">
        <v>104.4</v>
      </c>
      <c r="G254" s="103"/>
      <c r="H254" s="102" t="s">
        <v>35</v>
      </c>
      <c r="I254" s="104" t="s">
        <v>15</v>
      </c>
      <c r="J254" s="104"/>
      <c r="K254" s="105" t="s">
        <v>8</v>
      </c>
      <c r="L254" s="106">
        <v>573353.98</v>
      </c>
    </row>
    <row r="255" spans="1:12" ht="51" hidden="1" x14ac:dyDescent="0.3">
      <c r="A255" s="100" t="s">
        <v>776</v>
      </c>
      <c r="B255" s="101" t="s">
        <v>785</v>
      </c>
      <c r="C255" s="101" t="s">
        <v>790</v>
      </c>
      <c r="D255" s="101" t="s">
        <v>787</v>
      </c>
      <c r="E255" s="102" t="s">
        <v>13</v>
      </c>
      <c r="F255" s="103">
        <v>370.2</v>
      </c>
      <c r="G255" s="103"/>
      <c r="H255" s="102" t="s">
        <v>35</v>
      </c>
      <c r="I255" s="104" t="s">
        <v>15</v>
      </c>
      <c r="J255" s="104"/>
      <c r="K255" s="105" t="s">
        <v>8</v>
      </c>
      <c r="L255" s="106">
        <v>573724.18000000005</v>
      </c>
    </row>
    <row r="256" spans="1:12" ht="51" hidden="1" x14ac:dyDescent="0.3">
      <c r="A256" s="100" t="s">
        <v>776</v>
      </c>
      <c r="B256" s="101" t="s">
        <v>791</v>
      </c>
      <c r="C256" s="101" t="s">
        <v>792</v>
      </c>
      <c r="D256" s="101" t="s">
        <v>787</v>
      </c>
      <c r="E256" s="102" t="s">
        <v>13</v>
      </c>
      <c r="F256" s="107">
        <v>5090.87</v>
      </c>
      <c r="G256" s="107"/>
      <c r="H256" s="102" t="s">
        <v>35</v>
      </c>
      <c r="I256" s="104" t="s">
        <v>15</v>
      </c>
      <c r="J256" s="104"/>
      <c r="K256" s="105" t="s">
        <v>8</v>
      </c>
      <c r="L256" s="106">
        <v>578815.05000000005</v>
      </c>
    </row>
    <row r="257" spans="1:12" ht="51" hidden="1" x14ac:dyDescent="0.3">
      <c r="A257" s="100" t="s">
        <v>776</v>
      </c>
      <c r="B257" s="101" t="s">
        <v>785</v>
      </c>
      <c r="C257" s="101" t="s">
        <v>792</v>
      </c>
      <c r="D257" s="101" t="s">
        <v>787</v>
      </c>
      <c r="E257" s="102" t="s">
        <v>13</v>
      </c>
      <c r="F257" s="107">
        <v>1279.1300000000001</v>
      </c>
      <c r="G257" s="107"/>
      <c r="H257" s="102" t="s">
        <v>35</v>
      </c>
      <c r="I257" s="104" t="s">
        <v>15</v>
      </c>
      <c r="J257" s="104"/>
      <c r="K257" s="105" t="s">
        <v>8</v>
      </c>
      <c r="L257" s="106">
        <v>580094.18000000005</v>
      </c>
    </row>
    <row r="258" spans="1:12" ht="51" hidden="1" x14ac:dyDescent="0.3">
      <c r="A258" s="100" t="s">
        <v>776</v>
      </c>
      <c r="B258" s="101" t="s">
        <v>793</v>
      </c>
      <c r="C258" s="101" t="s">
        <v>794</v>
      </c>
      <c r="D258" s="101" t="s">
        <v>795</v>
      </c>
      <c r="E258" s="102" t="s">
        <v>13</v>
      </c>
      <c r="F258" s="103">
        <v>259</v>
      </c>
      <c r="G258" s="103"/>
      <c r="H258" s="102" t="s">
        <v>35</v>
      </c>
      <c r="I258" s="104" t="s">
        <v>15</v>
      </c>
      <c r="J258" s="104"/>
      <c r="K258" s="105" t="s">
        <v>8</v>
      </c>
      <c r="L258" s="106">
        <v>580353.18000000005</v>
      </c>
    </row>
    <row r="259" spans="1:12" ht="51" hidden="1" x14ac:dyDescent="0.3">
      <c r="A259" s="100" t="s">
        <v>776</v>
      </c>
      <c r="B259" s="101" t="s">
        <v>793</v>
      </c>
      <c r="C259" s="101" t="s">
        <v>796</v>
      </c>
      <c r="D259" s="101" t="s">
        <v>795</v>
      </c>
      <c r="E259" s="102" t="s">
        <v>13</v>
      </c>
      <c r="F259" s="103">
        <v>175.05</v>
      </c>
      <c r="G259" s="103"/>
      <c r="H259" s="102" t="s">
        <v>35</v>
      </c>
      <c r="I259" s="104" t="s">
        <v>15</v>
      </c>
      <c r="J259" s="104"/>
      <c r="K259" s="105" t="s">
        <v>8</v>
      </c>
      <c r="L259" s="106">
        <v>580528.23</v>
      </c>
    </row>
    <row r="260" spans="1:12" ht="51" hidden="1" x14ac:dyDescent="0.3">
      <c r="A260" s="100" t="s">
        <v>776</v>
      </c>
      <c r="B260" s="101" t="s">
        <v>793</v>
      </c>
      <c r="C260" s="101" t="s">
        <v>797</v>
      </c>
      <c r="D260" s="101" t="s">
        <v>795</v>
      </c>
      <c r="E260" s="102" t="s">
        <v>13</v>
      </c>
      <c r="F260" s="103">
        <v>679.6</v>
      </c>
      <c r="G260" s="103"/>
      <c r="H260" s="102" t="s">
        <v>35</v>
      </c>
      <c r="I260" s="104" t="s">
        <v>15</v>
      </c>
      <c r="J260" s="104"/>
      <c r="K260" s="105" t="s">
        <v>8</v>
      </c>
      <c r="L260" s="106">
        <v>581207.82999999996</v>
      </c>
    </row>
    <row r="261" spans="1:12" ht="51" hidden="1" x14ac:dyDescent="0.3">
      <c r="A261" s="100" t="s">
        <v>776</v>
      </c>
      <c r="B261" s="101" t="s">
        <v>793</v>
      </c>
      <c r="C261" s="101" t="s">
        <v>798</v>
      </c>
      <c r="D261" s="101" t="s">
        <v>795</v>
      </c>
      <c r="E261" s="102" t="s">
        <v>13</v>
      </c>
      <c r="F261" s="107">
        <v>2000</v>
      </c>
      <c r="G261" s="107"/>
      <c r="H261" s="102" t="s">
        <v>35</v>
      </c>
      <c r="I261" s="104" t="s">
        <v>15</v>
      </c>
      <c r="J261" s="104"/>
      <c r="K261" s="105" t="s">
        <v>8</v>
      </c>
      <c r="L261" s="106">
        <v>583207.82999999996</v>
      </c>
    </row>
    <row r="262" spans="1:12" ht="51" hidden="1" x14ac:dyDescent="0.3">
      <c r="A262" s="100" t="s">
        <v>776</v>
      </c>
      <c r="B262" s="101" t="s">
        <v>793</v>
      </c>
      <c r="C262" s="101" t="s">
        <v>799</v>
      </c>
      <c r="D262" s="101" t="s">
        <v>795</v>
      </c>
      <c r="E262" s="102" t="s">
        <v>13</v>
      </c>
      <c r="F262" s="103">
        <v>531.70000000000005</v>
      </c>
      <c r="G262" s="103"/>
      <c r="H262" s="102" t="s">
        <v>35</v>
      </c>
      <c r="I262" s="104" t="s">
        <v>15</v>
      </c>
      <c r="J262" s="104"/>
      <c r="K262" s="105" t="s">
        <v>8</v>
      </c>
      <c r="L262" s="106">
        <v>583739.53</v>
      </c>
    </row>
    <row r="263" spans="1:12" ht="51" hidden="1" x14ac:dyDescent="0.3">
      <c r="A263" s="100" t="s">
        <v>776</v>
      </c>
      <c r="B263" s="101" t="s">
        <v>793</v>
      </c>
      <c r="C263" s="101" t="s">
        <v>800</v>
      </c>
      <c r="D263" s="101" t="s">
        <v>795</v>
      </c>
      <c r="E263" s="102" t="s">
        <v>13</v>
      </c>
      <c r="F263" s="107">
        <v>1014</v>
      </c>
      <c r="G263" s="107"/>
      <c r="H263" s="102" t="s">
        <v>35</v>
      </c>
      <c r="I263" s="104" t="s">
        <v>15</v>
      </c>
      <c r="J263" s="104"/>
      <c r="K263" s="105" t="s">
        <v>8</v>
      </c>
      <c r="L263" s="106">
        <v>584753.53</v>
      </c>
    </row>
    <row r="264" spans="1:12" ht="51" hidden="1" x14ac:dyDescent="0.3">
      <c r="A264" s="100" t="s">
        <v>776</v>
      </c>
      <c r="B264" s="101" t="s">
        <v>793</v>
      </c>
      <c r="C264" s="101" t="s">
        <v>801</v>
      </c>
      <c r="D264" s="101" t="s">
        <v>795</v>
      </c>
      <c r="E264" s="102" t="s">
        <v>13</v>
      </c>
      <c r="F264" s="107">
        <v>1978.1</v>
      </c>
      <c r="G264" s="107"/>
      <c r="H264" s="102" t="s">
        <v>35</v>
      </c>
      <c r="I264" s="104" t="s">
        <v>15</v>
      </c>
      <c r="J264" s="104"/>
      <c r="K264" s="105" t="s">
        <v>8</v>
      </c>
      <c r="L264" s="106">
        <v>586731.63</v>
      </c>
    </row>
    <row r="265" spans="1:12" ht="51" hidden="1" x14ac:dyDescent="0.3">
      <c r="A265" s="100" t="s">
        <v>776</v>
      </c>
      <c r="B265" s="101" t="s">
        <v>793</v>
      </c>
      <c r="C265" s="101" t="s">
        <v>802</v>
      </c>
      <c r="D265" s="101" t="s">
        <v>795</v>
      </c>
      <c r="E265" s="102" t="s">
        <v>13</v>
      </c>
      <c r="F265" s="107">
        <v>1083.4000000000001</v>
      </c>
      <c r="G265" s="107"/>
      <c r="H265" s="102" t="s">
        <v>35</v>
      </c>
      <c r="I265" s="104" t="s">
        <v>15</v>
      </c>
      <c r="J265" s="104"/>
      <c r="K265" s="105" t="s">
        <v>8</v>
      </c>
      <c r="L265" s="106">
        <v>587815.03</v>
      </c>
    </row>
    <row r="266" spans="1:12" ht="51" hidden="1" x14ac:dyDescent="0.3">
      <c r="A266" s="100" t="s">
        <v>776</v>
      </c>
      <c r="B266" s="101" t="s">
        <v>803</v>
      </c>
      <c r="C266" s="101" t="s">
        <v>804</v>
      </c>
      <c r="D266" s="101" t="s">
        <v>805</v>
      </c>
      <c r="E266" s="102" t="s">
        <v>13</v>
      </c>
      <c r="F266" s="103">
        <v>689.8</v>
      </c>
      <c r="G266" s="103"/>
      <c r="H266" s="102" t="s">
        <v>35</v>
      </c>
      <c r="I266" s="104" t="s">
        <v>15</v>
      </c>
      <c r="J266" s="104"/>
      <c r="K266" s="105" t="s">
        <v>8</v>
      </c>
      <c r="L266" s="106">
        <v>588504.82999999996</v>
      </c>
    </row>
    <row r="267" spans="1:12" ht="51" hidden="1" x14ac:dyDescent="0.3">
      <c r="A267" s="100" t="s">
        <v>776</v>
      </c>
      <c r="B267" s="101" t="s">
        <v>803</v>
      </c>
      <c r="C267" s="101" t="s">
        <v>806</v>
      </c>
      <c r="D267" s="101" t="s">
        <v>805</v>
      </c>
      <c r="E267" s="102" t="s">
        <v>13</v>
      </c>
      <c r="F267" s="107">
        <v>1101.4000000000001</v>
      </c>
      <c r="G267" s="107"/>
      <c r="H267" s="102" t="s">
        <v>35</v>
      </c>
      <c r="I267" s="104" t="s">
        <v>15</v>
      </c>
      <c r="J267" s="104"/>
      <c r="K267" s="105" t="s">
        <v>8</v>
      </c>
      <c r="L267" s="106">
        <v>589606.23</v>
      </c>
    </row>
    <row r="268" spans="1:12" ht="51" hidden="1" x14ac:dyDescent="0.3">
      <c r="A268" s="100" t="s">
        <v>776</v>
      </c>
      <c r="B268" s="101" t="s">
        <v>807</v>
      </c>
      <c r="C268" s="101" t="s">
        <v>808</v>
      </c>
      <c r="D268" s="101" t="s">
        <v>805</v>
      </c>
      <c r="E268" s="102" t="s">
        <v>13</v>
      </c>
      <c r="F268" s="103">
        <v>324.7</v>
      </c>
      <c r="G268" s="103"/>
      <c r="H268" s="102" t="s">
        <v>35</v>
      </c>
      <c r="I268" s="104" t="s">
        <v>15</v>
      </c>
      <c r="J268" s="104"/>
      <c r="K268" s="105" t="s">
        <v>8</v>
      </c>
      <c r="L268" s="106">
        <v>589930.93000000005</v>
      </c>
    </row>
    <row r="269" spans="1:12" ht="51" hidden="1" x14ac:dyDescent="0.3">
      <c r="A269" s="100" t="s">
        <v>776</v>
      </c>
      <c r="B269" s="101" t="s">
        <v>807</v>
      </c>
      <c r="C269" s="101" t="s">
        <v>809</v>
      </c>
      <c r="D269" s="101" t="s">
        <v>805</v>
      </c>
      <c r="E269" s="102" t="s">
        <v>13</v>
      </c>
      <c r="F269" s="103">
        <v>232.05</v>
      </c>
      <c r="G269" s="103"/>
      <c r="H269" s="102" t="s">
        <v>35</v>
      </c>
      <c r="I269" s="104" t="s">
        <v>15</v>
      </c>
      <c r="J269" s="104"/>
      <c r="K269" s="105" t="s">
        <v>8</v>
      </c>
      <c r="L269" s="106">
        <v>590162.98</v>
      </c>
    </row>
    <row r="270" spans="1:12" ht="51" hidden="1" x14ac:dyDescent="0.3">
      <c r="A270" s="100" t="s">
        <v>776</v>
      </c>
      <c r="B270" s="101" t="s">
        <v>807</v>
      </c>
      <c r="C270" s="101" t="s">
        <v>810</v>
      </c>
      <c r="D270" s="101" t="s">
        <v>805</v>
      </c>
      <c r="E270" s="102" t="s">
        <v>13</v>
      </c>
      <c r="F270" s="103">
        <v>113.4</v>
      </c>
      <c r="G270" s="103"/>
      <c r="H270" s="102" t="s">
        <v>35</v>
      </c>
      <c r="I270" s="104" t="s">
        <v>15</v>
      </c>
      <c r="J270" s="104"/>
      <c r="K270" s="105" t="s">
        <v>8</v>
      </c>
      <c r="L270" s="106">
        <v>590276.38</v>
      </c>
    </row>
    <row r="271" spans="1:12" ht="51" hidden="1" x14ac:dyDescent="0.3">
      <c r="A271" s="100" t="s">
        <v>776</v>
      </c>
      <c r="B271" s="101" t="s">
        <v>807</v>
      </c>
      <c r="C271" s="101" t="s">
        <v>811</v>
      </c>
      <c r="D271" s="101" t="s">
        <v>805</v>
      </c>
      <c r="E271" s="102" t="s">
        <v>13</v>
      </c>
      <c r="F271" s="103">
        <v>179.55</v>
      </c>
      <c r="G271" s="103"/>
      <c r="H271" s="102" t="s">
        <v>35</v>
      </c>
      <c r="I271" s="104" t="s">
        <v>15</v>
      </c>
      <c r="J271" s="104"/>
      <c r="K271" s="105" t="s">
        <v>8</v>
      </c>
      <c r="L271" s="106">
        <v>590455.93000000005</v>
      </c>
    </row>
    <row r="272" spans="1:12" ht="51" hidden="1" x14ac:dyDescent="0.3">
      <c r="A272" s="100" t="s">
        <v>776</v>
      </c>
      <c r="B272" s="101" t="s">
        <v>807</v>
      </c>
      <c r="C272" s="101" t="s">
        <v>812</v>
      </c>
      <c r="D272" s="101" t="s">
        <v>805</v>
      </c>
      <c r="E272" s="102" t="s">
        <v>13</v>
      </c>
      <c r="F272" s="103">
        <v>236.95</v>
      </c>
      <c r="G272" s="103"/>
      <c r="H272" s="102" t="s">
        <v>35</v>
      </c>
      <c r="I272" s="104" t="s">
        <v>15</v>
      </c>
      <c r="J272" s="104"/>
      <c r="K272" s="105" t="s">
        <v>8</v>
      </c>
      <c r="L272" s="106">
        <v>590692.88</v>
      </c>
    </row>
    <row r="273" spans="1:12" ht="51" hidden="1" x14ac:dyDescent="0.3">
      <c r="A273" s="100" t="s">
        <v>776</v>
      </c>
      <c r="B273" s="101" t="s">
        <v>807</v>
      </c>
      <c r="C273" s="101" t="s">
        <v>813</v>
      </c>
      <c r="D273" s="101" t="s">
        <v>805</v>
      </c>
      <c r="E273" s="102" t="s">
        <v>13</v>
      </c>
      <c r="F273" s="103">
        <v>292.95</v>
      </c>
      <c r="G273" s="103"/>
      <c r="H273" s="102" t="s">
        <v>35</v>
      </c>
      <c r="I273" s="104" t="s">
        <v>15</v>
      </c>
      <c r="J273" s="104"/>
      <c r="K273" s="105" t="s">
        <v>8</v>
      </c>
      <c r="L273" s="106">
        <v>590985.82999999996</v>
      </c>
    </row>
    <row r="274" spans="1:12" ht="51" hidden="1" x14ac:dyDescent="0.3">
      <c r="A274" s="100" t="s">
        <v>776</v>
      </c>
      <c r="B274" s="101" t="s">
        <v>807</v>
      </c>
      <c r="C274" s="101" t="s">
        <v>814</v>
      </c>
      <c r="D274" s="101" t="s">
        <v>805</v>
      </c>
      <c r="E274" s="102" t="s">
        <v>13</v>
      </c>
      <c r="F274" s="107">
        <v>1030.05</v>
      </c>
      <c r="G274" s="107"/>
      <c r="H274" s="102" t="s">
        <v>35</v>
      </c>
      <c r="I274" s="104" t="s">
        <v>15</v>
      </c>
      <c r="J274" s="104"/>
      <c r="K274" s="105" t="s">
        <v>8</v>
      </c>
      <c r="L274" s="106">
        <v>592015.88</v>
      </c>
    </row>
    <row r="275" spans="1:12" ht="61.2" x14ac:dyDescent="0.3">
      <c r="A275" s="100" t="s">
        <v>776</v>
      </c>
      <c r="B275" s="101" t="s">
        <v>815</v>
      </c>
      <c r="C275" s="101" t="s">
        <v>556</v>
      </c>
      <c r="D275" s="101" t="s">
        <v>816</v>
      </c>
      <c r="E275" s="102" t="s">
        <v>26</v>
      </c>
      <c r="F275" s="108" t="s">
        <v>15</v>
      </c>
      <c r="G275" s="108"/>
      <c r="H275" s="102" t="s">
        <v>13</v>
      </c>
      <c r="I275" s="112">
        <v>1391.25</v>
      </c>
      <c r="J275" s="112"/>
      <c r="K275" s="105" t="s">
        <v>8</v>
      </c>
      <c r="L275" s="106">
        <v>5371.05</v>
      </c>
    </row>
    <row r="276" spans="1:12" ht="51" x14ac:dyDescent="0.3">
      <c r="A276" s="100" t="s">
        <v>776</v>
      </c>
      <c r="B276" s="101" t="s">
        <v>815</v>
      </c>
      <c r="C276" s="101" t="s">
        <v>556</v>
      </c>
      <c r="D276" s="101" t="s">
        <v>817</v>
      </c>
      <c r="E276" s="102" t="s">
        <v>26</v>
      </c>
      <c r="F276" s="108" t="s">
        <v>15</v>
      </c>
      <c r="G276" s="108"/>
      <c r="H276" s="102" t="s">
        <v>13</v>
      </c>
      <c r="I276" s="109">
        <v>112</v>
      </c>
      <c r="J276" s="109"/>
      <c r="K276" s="105" t="s">
        <v>8</v>
      </c>
      <c r="L276" s="106">
        <v>5259.05</v>
      </c>
    </row>
    <row r="277" spans="1:12" ht="51" x14ac:dyDescent="0.3">
      <c r="A277" s="100" t="s">
        <v>776</v>
      </c>
      <c r="B277" s="101" t="s">
        <v>815</v>
      </c>
      <c r="C277" s="101" t="s">
        <v>556</v>
      </c>
      <c r="D277" s="101" t="s">
        <v>818</v>
      </c>
      <c r="E277" s="102" t="s">
        <v>26</v>
      </c>
      <c r="F277" s="108" t="s">
        <v>15</v>
      </c>
      <c r="G277" s="108"/>
      <c r="H277" s="102" t="s">
        <v>13</v>
      </c>
      <c r="I277" s="109">
        <v>189.8</v>
      </c>
      <c r="J277" s="109"/>
      <c r="K277" s="105" t="s">
        <v>8</v>
      </c>
      <c r="L277" s="106">
        <v>5069.25</v>
      </c>
    </row>
    <row r="278" spans="1:12" ht="51" x14ac:dyDescent="0.3">
      <c r="A278" s="100" t="s">
        <v>776</v>
      </c>
      <c r="B278" s="101" t="s">
        <v>815</v>
      </c>
      <c r="C278" s="101" t="s">
        <v>556</v>
      </c>
      <c r="D278" s="101" t="s">
        <v>819</v>
      </c>
      <c r="E278" s="102" t="s">
        <v>26</v>
      </c>
      <c r="F278" s="108" t="s">
        <v>15</v>
      </c>
      <c r="G278" s="108"/>
      <c r="H278" s="102" t="s">
        <v>13</v>
      </c>
      <c r="I278" s="112">
        <v>1446</v>
      </c>
      <c r="J278" s="112"/>
      <c r="K278" s="105" t="s">
        <v>8</v>
      </c>
      <c r="L278" s="106">
        <v>3623.25</v>
      </c>
    </row>
    <row r="279" spans="1:12" ht="51" x14ac:dyDescent="0.3">
      <c r="A279" s="100" t="s">
        <v>776</v>
      </c>
      <c r="B279" s="101" t="s">
        <v>820</v>
      </c>
      <c r="C279" s="101" t="s">
        <v>556</v>
      </c>
      <c r="D279" s="101" t="s">
        <v>821</v>
      </c>
      <c r="E279" s="102" t="s">
        <v>26</v>
      </c>
      <c r="F279" s="108" t="s">
        <v>15</v>
      </c>
      <c r="G279" s="108"/>
      <c r="H279" s="102" t="s">
        <v>13</v>
      </c>
      <c r="I279" s="112">
        <v>3375</v>
      </c>
      <c r="J279" s="112"/>
      <c r="K279" s="105" t="s">
        <v>8</v>
      </c>
      <c r="L279" s="106">
        <v>588640.88</v>
      </c>
    </row>
    <row r="280" spans="1:12" ht="51" x14ac:dyDescent="0.3">
      <c r="A280" s="100" t="s">
        <v>776</v>
      </c>
      <c r="B280" s="101" t="s">
        <v>820</v>
      </c>
      <c r="C280" s="101" t="s">
        <v>556</v>
      </c>
      <c r="D280" s="101" t="s">
        <v>778</v>
      </c>
      <c r="E280" s="102" t="s">
        <v>26</v>
      </c>
      <c r="F280" s="108" t="s">
        <v>15</v>
      </c>
      <c r="G280" s="108"/>
      <c r="H280" s="102" t="s">
        <v>13</v>
      </c>
      <c r="I280" s="109">
        <v>302</v>
      </c>
      <c r="J280" s="109"/>
      <c r="K280" s="105" t="s">
        <v>8</v>
      </c>
      <c r="L280" s="106">
        <v>588338.88</v>
      </c>
    </row>
    <row r="281" spans="1:12" ht="51" x14ac:dyDescent="0.3">
      <c r="A281" s="100" t="s">
        <v>776</v>
      </c>
      <c r="B281" s="101" t="s">
        <v>822</v>
      </c>
      <c r="C281" s="101" t="s">
        <v>556</v>
      </c>
      <c r="D281" s="101" t="s">
        <v>781</v>
      </c>
      <c r="E281" s="102" t="s">
        <v>26</v>
      </c>
      <c r="F281" s="108" t="s">
        <v>15</v>
      </c>
      <c r="G281" s="108"/>
      <c r="H281" s="102" t="s">
        <v>13</v>
      </c>
      <c r="I281" s="112">
        <v>1262</v>
      </c>
      <c r="J281" s="112"/>
      <c r="K281" s="105" t="s">
        <v>8</v>
      </c>
      <c r="L281" s="106">
        <v>587076.88</v>
      </c>
    </row>
    <row r="282" spans="1:12" ht="51" x14ac:dyDescent="0.3">
      <c r="A282" s="100" t="s">
        <v>776</v>
      </c>
      <c r="B282" s="101" t="s">
        <v>822</v>
      </c>
      <c r="C282" s="101" t="s">
        <v>556</v>
      </c>
      <c r="D282" s="101" t="s">
        <v>783</v>
      </c>
      <c r="E282" s="102" t="s">
        <v>26</v>
      </c>
      <c r="F282" s="108" t="s">
        <v>15</v>
      </c>
      <c r="G282" s="108"/>
      <c r="H282" s="102" t="s">
        <v>13</v>
      </c>
      <c r="I282" s="112">
        <v>3042.25</v>
      </c>
      <c r="J282" s="112"/>
      <c r="K282" s="105" t="s">
        <v>8</v>
      </c>
      <c r="L282" s="106">
        <v>584034.63</v>
      </c>
    </row>
    <row r="283" spans="1:12" ht="61.2" x14ac:dyDescent="0.3">
      <c r="A283" s="100" t="s">
        <v>776</v>
      </c>
      <c r="B283" s="101" t="s">
        <v>822</v>
      </c>
      <c r="C283" s="101" t="s">
        <v>556</v>
      </c>
      <c r="D283" s="101" t="s">
        <v>823</v>
      </c>
      <c r="E283" s="102" t="s">
        <v>26</v>
      </c>
      <c r="F283" s="108" t="s">
        <v>15</v>
      </c>
      <c r="G283" s="108"/>
      <c r="H283" s="102" t="s">
        <v>13</v>
      </c>
      <c r="I283" s="112">
        <v>3415</v>
      </c>
      <c r="J283" s="112"/>
      <c r="K283" s="105" t="s">
        <v>8</v>
      </c>
      <c r="L283" s="106">
        <v>580619.63</v>
      </c>
    </row>
    <row r="284" spans="1:12" ht="40.799999999999997" x14ac:dyDescent="0.3">
      <c r="A284" s="100" t="s">
        <v>776</v>
      </c>
      <c r="B284" s="101" t="s">
        <v>822</v>
      </c>
      <c r="C284" s="101" t="s">
        <v>556</v>
      </c>
      <c r="D284" s="101" t="s">
        <v>769</v>
      </c>
      <c r="E284" s="102" t="s">
        <v>26</v>
      </c>
      <c r="F284" s="108" t="s">
        <v>15</v>
      </c>
      <c r="G284" s="108"/>
      <c r="H284" s="102" t="s">
        <v>13</v>
      </c>
      <c r="I284" s="109">
        <v>680</v>
      </c>
      <c r="J284" s="109"/>
      <c r="K284" s="105" t="s">
        <v>8</v>
      </c>
      <c r="L284" s="106">
        <v>579939.63</v>
      </c>
    </row>
    <row r="285" spans="1:12" ht="51" hidden="1" x14ac:dyDescent="0.3">
      <c r="A285" s="100" t="s">
        <v>145</v>
      </c>
      <c r="B285" s="101" t="s">
        <v>824</v>
      </c>
      <c r="C285" s="101" t="s">
        <v>825</v>
      </c>
      <c r="D285" s="101" t="s">
        <v>826</v>
      </c>
      <c r="E285" s="102" t="s">
        <v>13</v>
      </c>
      <c r="F285" s="107">
        <v>1985</v>
      </c>
      <c r="G285" s="107"/>
      <c r="H285" s="102" t="s">
        <v>35</v>
      </c>
      <c r="I285" s="104" t="s">
        <v>15</v>
      </c>
      <c r="J285" s="104"/>
      <c r="K285" s="105" t="s">
        <v>8</v>
      </c>
      <c r="L285" s="106">
        <v>581924.63</v>
      </c>
    </row>
    <row r="286" spans="1:12" ht="51" hidden="1" x14ac:dyDescent="0.3">
      <c r="A286" s="100" t="s">
        <v>145</v>
      </c>
      <c r="B286" s="101" t="s">
        <v>824</v>
      </c>
      <c r="C286" s="101" t="s">
        <v>827</v>
      </c>
      <c r="D286" s="101" t="s">
        <v>826</v>
      </c>
      <c r="E286" s="102" t="s">
        <v>13</v>
      </c>
      <c r="F286" s="103">
        <v>100</v>
      </c>
      <c r="G286" s="103"/>
      <c r="H286" s="102" t="s">
        <v>35</v>
      </c>
      <c r="I286" s="104" t="s">
        <v>15</v>
      </c>
      <c r="J286" s="104"/>
      <c r="K286" s="105" t="s">
        <v>8</v>
      </c>
      <c r="L286" s="106">
        <v>582024.63</v>
      </c>
    </row>
    <row r="287" spans="1:12" ht="51" hidden="1" x14ac:dyDescent="0.3">
      <c r="A287" s="100" t="s">
        <v>145</v>
      </c>
      <c r="B287" s="101" t="s">
        <v>828</v>
      </c>
      <c r="C287" s="101" t="s">
        <v>829</v>
      </c>
      <c r="D287" s="101" t="s">
        <v>830</v>
      </c>
      <c r="E287" s="102" t="s">
        <v>13</v>
      </c>
      <c r="F287" s="107">
        <v>2319</v>
      </c>
      <c r="G287" s="107"/>
      <c r="H287" s="102" t="s">
        <v>35</v>
      </c>
      <c r="I287" s="104" t="s">
        <v>15</v>
      </c>
      <c r="J287" s="104"/>
      <c r="K287" s="105" t="s">
        <v>8</v>
      </c>
      <c r="L287" s="106">
        <v>584343.63</v>
      </c>
    </row>
    <row r="288" spans="1:12" ht="51" x14ac:dyDescent="0.3">
      <c r="A288" s="100" t="s">
        <v>145</v>
      </c>
      <c r="B288" s="101" t="s">
        <v>831</v>
      </c>
      <c r="C288" s="101" t="s">
        <v>556</v>
      </c>
      <c r="D288" s="101" t="s">
        <v>832</v>
      </c>
      <c r="E288" s="102" t="s">
        <v>26</v>
      </c>
      <c r="F288" s="108" t="s">
        <v>15</v>
      </c>
      <c r="G288" s="108"/>
      <c r="H288" s="102" t="s">
        <v>13</v>
      </c>
      <c r="I288" s="112">
        <v>2581.84</v>
      </c>
      <c r="J288" s="112"/>
      <c r="K288" s="105" t="s">
        <v>8</v>
      </c>
      <c r="L288" s="106">
        <v>581761.79</v>
      </c>
    </row>
    <row r="289" spans="1:12" ht="51" x14ac:dyDescent="0.3">
      <c r="A289" s="100" t="s">
        <v>145</v>
      </c>
      <c r="B289" s="101" t="s">
        <v>831</v>
      </c>
      <c r="C289" s="101" t="s">
        <v>556</v>
      </c>
      <c r="D289" s="101" t="s">
        <v>833</v>
      </c>
      <c r="E289" s="102" t="s">
        <v>26</v>
      </c>
      <c r="F289" s="108" t="s">
        <v>15</v>
      </c>
      <c r="G289" s="108"/>
      <c r="H289" s="102" t="s">
        <v>13</v>
      </c>
      <c r="I289" s="112">
        <v>2581.84</v>
      </c>
      <c r="J289" s="112"/>
      <c r="K289" s="105" t="s">
        <v>8</v>
      </c>
      <c r="L289" s="106">
        <v>579179.94999999995</v>
      </c>
    </row>
    <row r="290" spans="1:12" ht="51" hidden="1" x14ac:dyDescent="0.3">
      <c r="A290" s="100" t="s">
        <v>198</v>
      </c>
      <c r="B290" s="101" t="s">
        <v>834</v>
      </c>
      <c r="C290" s="101" t="s">
        <v>835</v>
      </c>
      <c r="D290" s="101" t="s">
        <v>836</v>
      </c>
      <c r="E290" s="102" t="s">
        <v>13</v>
      </c>
      <c r="F290" s="107">
        <v>3990</v>
      </c>
      <c r="G290" s="107"/>
      <c r="H290" s="102" t="s">
        <v>13</v>
      </c>
      <c r="I290" s="104" t="s">
        <v>15</v>
      </c>
      <c r="J290" s="104"/>
      <c r="K290" s="105" t="s">
        <v>8</v>
      </c>
      <c r="L290" s="106">
        <v>583169.94999999995</v>
      </c>
    </row>
    <row r="291" spans="1:12" ht="51" hidden="1" x14ac:dyDescent="0.3">
      <c r="A291" s="100" t="s">
        <v>198</v>
      </c>
      <c r="B291" s="101" t="s">
        <v>834</v>
      </c>
      <c r="C291" s="101" t="s">
        <v>835</v>
      </c>
      <c r="D291" s="101" t="s">
        <v>836</v>
      </c>
      <c r="E291" s="102" t="s">
        <v>13</v>
      </c>
      <c r="F291" s="108" t="s">
        <v>15</v>
      </c>
      <c r="G291" s="108"/>
      <c r="H291" s="102" t="s">
        <v>13</v>
      </c>
      <c r="I291" s="112">
        <v>3990</v>
      </c>
      <c r="J291" s="112"/>
      <c r="K291" s="105" t="s">
        <v>8</v>
      </c>
      <c r="L291" s="106">
        <v>16998.47</v>
      </c>
    </row>
    <row r="292" spans="1:12" ht="51" hidden="1" x14ac:dyDescent="0.3">
      <c r="A292" s="100" t="s">
        <v>198</v>
      </c>
      <c r="B292" s="101" t="s">
        <v>834</v>
      </c>
      <c r="C292" s="101" t="s">
        <v>837</v>
      </c>
      <c r="D292" s="101" t="s">
        <v>838</v>
      </c>
      <c r="E292" s="102" t="s">
        <v>13</v>
      </c>
      <c r="F292" s="107">
        <v>6226.5</v>
      </c>
      <c r="G292" s="107"/>
      <c r="H292" s="102" t="s">
        <v>13</v>
      </c>
      <c r="I292" s="104" t="s">
        <v>15</v>
      </c>
      <c r="J292" s="104"/>
      <c r="K292" s="105" t="s">
        <v>8</v>
      </c>
      <c r="L292" s="106">
        <v>589396.44999999995</v>
      </c>
    </row>
    <row r="293" spans="1:12" ht="51" hidden="1" x14ac:dyDescent="0.3">
      <c r="A293" s="100" t="s">
        <v>198</v>
      </c>
      <c r="B293" s="101" t="s">
        <v>834</v>
      </c>
      <c r="C293" s="101" t="s">
        <v>837</v>
      </c>
      <c r="D293" s="101" t="s">
        <v>838</v>
      </c>
      <c r="E293" s="102" t="s">
        <v>13</v>
      </c>
      <c r="F293" s="108" t="s">
        <v>15</v>
      </c>
      <c r="G293" s="108"/>
      <c r="H293" s="102" t="s">
        <v>13</v>
      </c>
      <c r="I293" s="112">
        <v>6226.5</v>
      </c>
      <c r="J293" s="112"/>
      <c r="K293" s="105" t="s">
        <v>8</v>
      </c>
      <c r="L293" s="106">
        <v>10771.97</v>
      </c>
    </row>
    <row r="294" spans="1:12" ht="51" hidden="1" x14ac:dyDescent="0.3">
      <c r="A294" s="100" t="s">
        <v>198</v>
      </c>
      <c r="B294" s="101" t="s">
        <v>834</v>
      </c>
      <c r="C294" s="101" t="s">
        <v>839</v>
      </c>
      <c r="D294" s="101" t="s">
        <v>840</v>
      </c>
      <c r="E294" s="102" t="s">
        <v>13</v>
      </c>
      <c r="F294" s="103">
        <v>627.5</v>
      </c>
      <c r="G294" s="103"/>
      <c r="H294" s="102" t="s">
        <v>13</v>
      </c>
      <c r="I294" s="104" t="s">
        <v>15</v>
      </c>
      <c r="J294" s="104"/>
      <c r="K294" s="105" t="s">
        <v>8</v>
      </c>
      <c r="L294" s="106">
        <v>590023.94999999995</v>
      </c>
    </row>
    <row r="295" spans="1:12" ht="51" hidden="1" x14ac:dyDescent="0.3">
      <c r="A295" s="100" t="s">
        <v>198</v>
      </c>
      <c r="B295" s="101" t="s">
        <v>834</v>
      </c>
      <c r="C295" s="101" t="s">
        <v>839</v>
      </c>
      <c r="D295" s="101" t="s">
        <v>840</v>
      </c>
      <c r="E295" s="102" t="s">
        <v>13</v>
      </c>
      <c r="F295" s="108" t="s">
        <v>15</v>
      </c>
      <c r="G295" s="108"/>
      <c r="H295" s="102" t="s">
        <v>13</v>
      </c>
      <c r="I295" s="109">
        <v>627.5</v>
      </c>
      <c r="J295" s="109"/>
      <c r="K295" s="105" t="s">
        <v>8</v>
      </c>
      <c r="L295" s="106">
        <v>10144.469999999999</v>
      </c>
    </row>
    <row r="296" spans="1:12" ht="51" hidden="1" x14ac:dyDescent="0.3">
      <c r="A296" s="100" t="s">
        <v>198</v>
      </c>
      <c r="B296" s="101" t="s">
        <v>834</v>
      </c>
      <c r="C296" s="101" t="s">
        <v>841</v>
      </c>
      <c r="D296" s="101" t="s">
        <v>842</v>
      </c>
      <c r="E296" s="102" t="s">
        <v>13</v>
      </c>
      <c r="F296" s="103">
        <v>999.6</v>
      </c>
      <c r="G296" s="103"/>
      <c r="H296" s="102" t="s">
        <v>13</v>
      </c>
      <c r="I296" s="104" t="s">
        <v>15</v>
      </c>
      <c r="J296" s="104"/>
      <c r="K296" s="105" t="s">
        <v>8</v>
      </c>
      <c r="L296" s="106">
        <v>591023.55000000005</v>
      </c>
    </row>
    <row r="297" spans="1:12" ht="51" hidden="1" x14ac:dyDescent="0.3">
      <c r="A297" s="100" t="s">
        <v>198</v>
      </c>
      <c r="B297" s="101" t="s">
        <v>834</v>
      </c>
      <c r="C297" s="101" t="s">
        <v>841</v>
      </c>
      <c r="D297" s="101" t="s">
        <v>842</v>
      </c>
      <c r="E297" s="102" t="s">
        <v>13</v>
      </c>
      <c r="F297" s="108" t="s">
        <v>15</v>
      </c>
      <c r="G297" s="108"/>
      <c r="H297" s="102" t="s">
        <v>13</v>
      </c>
      <c r="I297" s="109">
        <v>999.6</v>
      </c>
      <c r="J297" s="109"/>
      <c r="K297" s="105" t="s">
        <v>8</v>
      </c>
      <c r="L297" s="106">
        <v>9144.8700000000008</v>
      </c>
    </row>
    <row r="298" spans="1:12" ht="51" x14ac:dyDescent="0.3">
      <c r="A298" s="100" t="s">
        <v>198</v>
      </c>
      <c r="B298" s="101" t="s">
        <v>843</v>
      </c>
      <c r="C298" s="101" t="s">
        <v>556</v>
      </c>
      <c r="D298" s="101" t="s">
        <v>615</v>
      </c>
      <c r="E298" s="102" t="s">
        <v>26</v>
      </c>
      <c r="F298" s="108" t="s">
        <v>15</v>
      </c>
      <c r="G298" s="108"/>
      <c r="H298" s="102" t="s">
        <v>13</v>
      </c>
      <c r="I298" s="109">
        <v>868.35</v>
      </c>
      <c r="J298" s="109"/>
      <c r="K298" s="105" t="s">
        <v>8</v>
      </c>
      <c r="L298" s="106">
        <v>590155.19999999995</v>
      </c>
    </row>
    <row r="299" spans="1:12" ht="51" x14ac:dyDescent="0.3">
      <c r="A299" s="100" t="s">
        <v>198</v>
      </c>
      <c r="B299" s="101" t="s">
        <v>843</v>
      </c>
      <c r="C299" s="101" t="s">
        <v>556</v>
      </c>
      <c r="D299" s="101" t="s">
        <v>608</v>
      </c>
      <c r="E299" s="102" t="s">
        <v>26</v>
      </c>
      <c r="F299" s="108" t="s">
        <v>15</v>
      </c>
      <c r="G299" s="108"/>
      <c r="H299" s="102" t="s">
        <v>13</v>
      </c>
      <c r="I299" s="109">
        <v>868.35</v>
      </c>
      <c r="J299" s="109"/>
      <c r="K299" s="105" t="s">
        <v>8</v>
      </c>
      <c r="L299" s="106">
        <v>589286.85</v>
      </c>
    </row>
    <row r="300" spans="1:12" ht="51" x14ac:dyDescent="0.3">
      <c r="A300" s="100" t="s">
        <v>198</v>
      </c>
      <c r="B300" s="101" t="s">
        <v>843</v>
      </c>
      <c r="C300" s="101" t="s">
        <v>556</v>
      </c>
      <c r="D300" s="101" t="s">
        <v>610</v>
      </c>
      <c r="E300" s="102" t="s">
        <v>26</v>
      </c>
      <c r="F300" s="108" t="s">
        <v>15</v>
      </c>
      <c r="G300" s="108"/>
      <c r="H300" s="102" t="s">
        <v>13</v>
      </c>
      <c r="I300" s="109">
        <v>868.35</v>
      </c>
      <c r="J300" s="109"/>
      <c r="K300" s="105" t="s">
        <v>8</v>
      </c>
      <c r="L300" s="106">
        <v>588418.5</v>
      </c>
    </row>
    <row r="301" spans="1:12" ht="51" hidden="1" x14ac:dyDescent="0.3">
      <c r="A301" s="100" t="s">
        <v>198</v>
      </c>
      <c r="B301" s="101" t="s">
        <v>844</v>
      </c>
      <c r="C301" s="101" t="s">
        <v>845</v>
      </c>
      <c r="D301" s="101" t="s">
        <v>764</v>
      </c>
      <c r="E301" s="102" t="s">
        <v>13</v>
      </c>
      <c r="F301" s="107">
        <v>1470</v>
      </c>
      <c r="G301" s="107"/>
      <c r="H301" s="102" t="s">
        <v>35</v>
      </c>
      <c r="I301" s="104" t="s">
        <v>15</v>
      </c>
      <c r="J301" s="104"/>
      <c r="K301" s="105" t="s">
        <v>8</v>
      </c>
      <c r="L301" s="106">
        <v>589888.5</v>
      </c>
    </row>
    <row r="302" spans="1:12" ht="51" x14ac:dyDescent="0.3">
      <c r="A302" s="100" t="s">
        <v>198</v>
      </c>
      <c r="B302" s="101" t="s">
        <v>846</v>
      </c>
      <c r="C302" s="101" t="s">
        <v>556</v>
      </c>
      <c r="D302" s="101" t="s">
        <v>673</v>
      </c>
      <c r="E302" s="102" t="s">
        <v>26</v>
      </c>
      <c r="F302" s="108" t="s">
        <v>15</v>
      </c>
      <c r="G302" s="108"/>
      <c r="H302" s="102" t="s">
        <v>13</v>
      </c>
      <c r="I302" s="112">
        <v>6592.5</v>
      </c>
      <c r="J302" s="112"/>
      <c r="K302" s="105" t="s">
        <v>8</v>
      </c>
      <c r="L302" s="106">
        <v>583296</v>
      </c>
    </row>
    <row r="303" spans="1:12" ht="51" x14ac:dyDescent="0.3">
      <c r="A303" s="100" t="s">
        <v>198</v>
      </c>
      <c r="B303" s="101" t="s">
        <v>846</v>
      </c>
      <c r="C303" s="101" t="s">
        <v>556</v>
      </c>
      <c r="D303" s="101" t="s">
        <v>677</v>
      </c>
      <c r="E303" s="102" t="s">
        <v>26</v>
      </c>
      <c r="F303" s="108" t="s">
        <v>15</v>
      </c>
      <c r="G303" s="108"/>
      <c r="H303" s="102" t="s">
        <v>13</v>
      </c>
      <c r="I303" s="112">
        <v>1668.75</v>
      </c>
      <c r="J303" s="112"/>
      <c r="K303" s="105" t="s">
        <v>8</v>
      </c>
      <c r="L303" s="106">
        <v>581627.25</v>
      </c>
    </row>
    <row r="304" spans="1:12" ht="51" x14ac:dyDescent="0.3">
      <c r="A304" s="100" t="s">
        <v>198</v>
      </c>
      <c r="B304" s="101" t="s">
        <v>846</v>
      </c>
      <c r="C304" s="101" t="s">
        <v>556</v>
      </c>
      <c r="D304" s="101" t="s">
        <v>639</v>
      </c>
      <c r="E304" s="102" t="s">
        <v>26</v>
      </c>
      <c r="F304" s="108" t="s">
        <v>15</v>
      </c>
      <c r="G304" s="108"/>
      <c r="H304" s="102" t="s">
        <v>13</v>
      </c>
      <c r="I304" s="112">
        <v>1704.3</v>
      </c>
      <c r="J304" s="112"/>
      <c r="K304" s="105" t="s">
        <v>8</v>
      </c>
      <c r="L304" s="106">
        <v>579922.94999999995</v>
      </c>
    </row>
    <row r="305" spans="1:12" ht="51" x14ac:dyDescent="0.3">
      <c r="A305" s="100" t="s">
        <v>198</v>
      </c>
      <c r="B305" s="101" t="s">
        <v>846</v>
      </c>
      <c r="C305" s="101" t="s">
        <v>556</v>
      </c>
      <c r="D305" s="101" t="s">
        <v>640</v>
      </c>
      <c r="E305" s="102" t="s">
        <v>26</v>
      </c>
      <c r="F305" s="108" t="s">
        <v>15</v>
      </c>
      <c r="G305" s="108"/>
      <c r="H305" s="102" t="s">
        <v>13</v>
      </c>
      <c r="I305" s="109">
        <v>482.7</v>
      </c>
      <c r="J305" s="109"/>
      <c r="K305" s="105" t="s">
        <v>8</v>
      </c>
      <c r="L305" s="106">
        <v>579440.25</v>
      </c>
    </row>
    <row r="306" spans="1:12" ht="51" x14ac:dyDescent="0.3">
      <c r="A306" s="100" t="s">
        <v>198</v>
      </c>
      <c r="B306" s="101" t="s">
        <v>846</v>
      </c>
      <c r="C306" s="101" t="s">
        <v>556</v>
      </c>
      <c r="D306" s="101" t="s">
        <v>650</v>
      </c>
      <c r="E306" s="102" t="s">
        <v>26</v>
      </c>
      <c r="F306" s="108" t="s">
        <v>15</v>
      </c>
      <c r="G306" s="108"/>
      <c r="H306" s="102" t="s">
        <v>13</v>
      </c>
      <c r="I306" s="109">
        <v>586.35</v>
      </c>
      <c r="J306" s="109"/>
      <c r="K306" s="105" t="s">
        <v>8</v>
      </c>
      <c r="L306" s="106">
        <v>578853.9</v>
      </c>
    </row>
    <row r="307" spans="1:12" ht="51" x14ac:dyDescent="0.3">
      <c r="A307" s="100" t="s">
        <v>198</v>
      </c>
      <c r="B307" s="101" t="s">
        <v>847</v>
      </c>
      <c r="C307" s="101" t="s">
        <v>556</v>
      </c>
      <c r="D307" s="101" t="s">
        <v>599</v>
      </c>
      <c r="E307" s="102" t="s">
        <v>26</v>
      </c>
      <c r="F307" s="108" t="s">
        <v>15</v>
      </c>
      <c r="G307" s="108"/>
      <c r="H307" s="102" t="s">
        <v>13</v>
      </c>
      <c r="I307" s="112">
        <v>1300</v>
      </c>
      <c r="J307" s="112"/>
      <c r="K307" s="105" t="s">
        <v>8</v>
      </c>
      <c r="L307" s="106">
        <v>577553.9</v>
      </c>
    </row>
    <row r="308" spans="1:12" ht="51" x14ac:dyDescent="0.3">
      <c r="A308" s="100" t="s">
        <v>198</v>
      </c>
      <c r="B308" s="101" t="s">
        <v>848</v>
      </c>
      <c r="C308" s="101" t="s">
        <v>556</v>
      </c>
      <c r="D308" s="101" t="s">
        <v>665</v>
      </c>
      <c r="E308" s="102" t="s">
        <v>26</v>
      </c>
      <c r="F308" s="108" t="s">
        <v>15</v>
      </c>
      <c r="G308" s="108"/>
      <c r="H308" s="102" t="s">
        <v>13</v>
      </c>
      <c r="I308" s="109">
        <v>325</v>
      </c>
      <c r="J308" s="109"/>
      <c r="K308" s="105" t="s">
        <v>8</v>
      </c>
      <c r="L308" s="106">
        <v>577228.9</v>
      </c>
    </row>
    <row r="309" spans="1:12" ht="51" x14ac:dyDescent="0.3">
      <c r="A309" s="100" t="s">
        <v>198</v>
      </c>
      <c r="B309" s="101" t="s">
        <v>848</v>
      </c>
      <c r="C309" s="101" t="s">
        <v>556</v>
      </c>
      <c r="D309" s="101" t="s">
        <v>632</v>
      </c>
      <c r="E309" s="102" t="s">
        <v>26</v>
      </c>
      <c r="F309" s="108" t="s">
        <v>15</v>
      </c>
      <c r="G309" s="108"/>
      <c r="H309" s="102" t="s">
        <v>13</v>
      </c>
      <c r="I309" s="109">
        <v>215</v>
      </c>
      <c r="J309" s="109"/>
      <c r="K309" s="105" t="s">
        <v>8</v>
      </c>
      <c r="L309" s="106">
        <v>577013.9</v>
      </c>
    </row>
    <row r="310" spans="1:12" ht="51" x14ac:dyDescent="0.3">
      <c r="A310" s="100" t="s">
        <v>198</v>
      </c>
      <c r="B310" s="101" t="s">
        <v>849</v>
      </c>
      <c r="C310" s="101" t="s">
        <v>556</v>
      </c>
      <c r="D310" s="101" t="s">
        <v>658</v>
      </c>
      <c r="E310" s="102" t="s">
        <v>26</v>
      </c>
      <c r="F310" s="108" t="s">
        <v>15</v>
      </c>
      <c r="G310" s="108"/>
      <c r="H310" s="102" t="s">
        <v>13</v>
      </c>
      <c r="I310" s="109">
        <v>262.5</v>
      </c>
      <c r="J310" s="109"/>
      <c r="K310" s="105" t="s">
        <v>8</v>
      </c>
      <c r="L310" s="106">
        <v>576751.4</v>
      </c>
    </row>
    <row r="311" spans="1:12" ht="51" x14ac:dyDescent="0.3">
      <c r="A311" s="100" t="s">
        <v>198</v>
      </c>
      <c r="B311" s="101" t="s">
        <v>849</v>
      </c>
      <c r="C311" s="101" t="s">
        <v>556</v>
      </c>
      <c r="D311" s="101" t="s">
        <v>659</v>
      </c>
      <c r="E311" s="102" t="s">
        <v>26</v>
      </c>
      <c r="F311" s="108" t="s">
        <v>15</v>
      </c>
      <c r="G311" s="108"/>
      <c r="H311" s="102" t="s">
        <v>13</v>
      </c>
      <c r="I311" s="109">
        <v>438</v>
      </c>
      <c r="J311" s="109"/>
      <c r="K311" s="105" t="s">
        <v>8</v>
      </c>
      <c r="L311" s="106">
        <v>576313.4</v>
      </c>
    </row>
    <row r="312" spans="1:12" ht="51" x14ac:dyDescent="0.3">
      <c r="A312" s="100" t="s">
        <v>198</v>
      </c>
      <c r="B312" s="101" t="s">
        <v>850</v>
      </c>
      <c r="C312" s="101" t="s">
        <v>556</v>
      </c>
      <c r="D312" s="101" t="s">
        <v>660</v>
      </c>
      <c r="E312" s="102" t="s">
        <v>26</v>
      </c>
      <c r="F312" s="108" t="s">
        <v>15</v>
      </c>
      <c r="G312" s="108"/>
      <c r="H312" s="102" t="s">
        <v>13</v>
      </c>
      <c r="I312" s="109">
        <v>612.75</v>
      </c>
      <c r="J312" s="109"/>
      <c r="K312" s="105" t="s">
        <v>8</v>
      </c>
      <c r="L312" s="106">
        <v>575700.65</v>
      </c>
    </row>
    <row r="313" spans="1:12" ht="51" x14ac:dyDescent="0.3">
      <c r="A313" s="100" t="s">
        <v>198</v>
      </c>
      <c r="B313" s="101" t="s">
        <v>850</v>
      </c>
      <c r="C313" s="101" t="s">
        <v>556</v>
      </c>
      <c r="D313" s="101" t="s">
        <v>667</v>
      </c>
      <c r="E313" s="102" t="s">
        <v>26</v>
      </c>
      <c r="F313" s="108" t="s">
        <v>15</v>
      </c>
      <c r="G313" s="108"/>
      <c r="H313" s="102" t="s">
        <v>13</v>
      </c>
      <c r="I313" s="109">
        <v>280.2</v>
      </c>
      <c r="J313" s="109"/>
      <c r="K313" s="105" t="s">
        <v>8</v>
      </c>
      <c r="L313" s="106">
        <v>575420.44999999995</v>
      </c>
    </row>
    <row r="314" spans="1:12" ht="51" x14ac:dyDescent="0.3">
      <c r="A314" s="100" t="s">
        <v>198</v>
      </c>
      <c r="B314" s="101" t="s">
        <v>851</v>
      </c>
      <c r="C314" s="101" t="s">
        <v>556</v>
      </c>
      <c r="D314" s="101" t="s">
        <v>662</v>
      </c>
      <c r="E314" s="102" t="s">
        <v>26</v>
      </c>
      <c r="F314" s="108" t="s">
        <v>15</v>
      </c>
      <c r="G314" s="108"/>
      <c r="H314" s="102" t="s">
        <v>13</v>
      </c>
      <c r="I314" s="112">
        <v>10276</v>
      </c>
      <c r="J314" s="112"/>
      <c r="K314" s="105" t="s">
        <v>8</v>
      </c>
      <c r="L314" s="106">
        <v>565144.44999999995</v>
      </c>
    </row>
    <row r="315" spans="1:12" ht="51" x14ac:dyDescent="0.3">
      <c r="A315" s="100" t="s">
        <v>198</v>
      </c>
      <c r="B315" s="101" t="s">
        <v>851</v>
      </c>
      <c r="C315" s="101" t="s">
        <v>556</v>
      </c>
      <c r="D315" s="101" t="s">
        <v>674</v>
      </c>
      <c r="E315" s="102" t="s">
        <v>26</v>
      </c>
      <c r="F315" s="108" t="s">
        <v>15</v>
      </c>
      <c r="G315" s="108"/>
      <c r="H315" s="102" t="s">
        <v>13</v>
      </c>
      <c r="I315" s="112">
        <v>3420</v>
      </c>
      <c r="J315" s="112"/>
      <c r="K315" s="105" t="s">
        <v>8</v>
      </c>
      <c r="L315" s="106">
        <v>561724.44999999995</v>
      </c>
    </row>
    <row r="316" spans="1:12" ht="51" x14ac:dyDescent="0.3">
      <c r="A316" s="100" t="s">
        <v>198</v>
      </c>
      <c r="B316" s="101" t="s">
        <v>851</v>
      </c>
      <c r="C316" s="101" t="s">
        <v>556</v>
      </c>
      <c r="D316" s="101" t="s">
        <v>664</v>
      </c>
      <c r="E316" s="102" t="s">
        <v>26</v>
      </c>
      <c r="F316" s="108" t="s">
        <v>15</v>
      </c>
      <c r="G316" s="108"/>
      <c r="H316" s="102" t="s">
        <v>13</v>
      </c>
      <c r="I316" s="112">
        <v>10440</v>
      </c>
      <c r="J316" s="112"/>
      <c r="K316" s="105" t="s">
        <v>8</v>
      </c>
      <c r="L316" s="106">
        <v>551284.44999999995</v>
      </c>
    </row>
    <row r="317" spans="1:12" ht="51" x14ac:dyDescent="0.3">
      <c r="A317" s="100" t="s">
        <v>198</v>
      </c>
      <c r="B317" s="101" t="s">
        <v>851</v>
      </c>
      <c r="C317" s="101" t="s">
        <v>556</v>
      </c>
      <c r="D317" s="101" t="s">
        <v>679</v>
      </c>
      <c r="E317" s="102" t="s">
        <v>26</v>
      </c>
      <c r="F317" s="108" t="s">
        <v>15</v>
      </c>
      <c r="G317" s="108"/>
      <c r="H317" s="102" t="s">
        <v>13</v>
      </c>
      <c r="I317" s="112">
        <v>1543.8</v>
      </c>
      <c r="J317" s="112"/>
      <c r="K317" s="105" t="s">
        <v>8</v>
      </c>
      <c r="L317" s="106">
        <v>549740.65</v>
      </c>
    </row>
    <row r="318" spans="1:12" ht="51" x14ac:dyDescent="0.3">
      <c r="A318" s="100" t="s">
        <v>198</v>
      </c>
      <c r="B318" s="101" t="s">
        <v>851</v>
      </c>
      <c r="C318" s="101" t="s">
        <v>556</v>
      </c>
      <c r="D318" s="101" t="s">
        <v>678</v>
      </c>
      <c r="E318" s="102" t="s">
        <v>26</v>
      </c>
      <c r="F318" s="108" t="s">
        <v>15</v>
      </c>
      <c r="G318" s="108"/>
      <c r="H318" s="102" t="s">
        <v>13</v>
      </c>
      <c r="I318" s="112">
        <v>3366</v>
      </c>
      <c r="J318" s="112"/>
      <c r="K318" s="105" t="s">
        <v>8</v>
      </c>
      <c r="L318" s="106">
        <v>546374.65</v>
      </c>
    </row>
    <row r="319" spans="1:12" ht="51" x14ac:dyDescent="0.3">
      <c r="A319" s="100" t="s">
        <v>198</v>
      </c>
      <c r="B319" s="101" t="s">
        <v>851</v>
      </c>
      <c r="C319" s="101" t="s">
        <v>556</v>
      </c>
      <c r="D319" s="101" t="s">
        <v>641</v>
      </c>
      <c r="E319" s="102" t="s">
        <v>26</v>
      </c>
      <c r="F319" s="108" t="s">
        <v>15</v>
      </c>
      <c r="G319" s="108"/>
      <c r="H319" s="102" t="s">
        <v>13</v>
      </c>
      <c r="I319" s="112">
        <v>1676</v>
      </c>
      <c r="J319" s="112"/>
      <c r="K319" s="105" t="s">
        <v>8</v>
      </c>
      <c r="L319" s="106">
        <v>544698.65</v>
      </c>
    </row>
    <row r="320" spans="1:12" ht="51" x14ac:dyDescent="0.3">
      <c r="A320" s="100" t="s">
        <v>198</v>
      </c>
      <c r="B320" s="101" t="s">
        <v>851</v>
      </c>
      <c r="C320" s="101" t="s">
        <v>556</v>
      </c>
      <c r="D320" s="101" t="s">
        <v>642</v>
      </c>
      <c r="E320" s="102" t="s">
        <v>26</v>
      </c>
      <c r="F320" s="108" t="s">
        <v>15</v>
      </c>
      <c r="G320" s="108"/>
      <c r="H320" s="102" t="s">
        <v>13</v>
      </c>
      <c r="I320" s="109">
        <v>358.4</v>
      </c>
      <c r="J320" s="109"/>
      <c r="K320" s="105" t="s">
        <v>8</v>
      </c>
      <c r="L320" s="106">
        <v>544340.25</v>
      </c>
    </row>
    <row r="321" spans="1:12" ht="51" x14ac:dyDescent="0.3">
      <c r="A321" s="100" t="s">
        <v>198</v>
      </c>
      <c r="B321" s="101" t="s">
        <v>851</v>
      </c>
      <c r="C321" s="101" t="s">
        <v>556</v>
      </c>
      <c r="D321" s="101" t="s">
        <v>636</v>
      </c>
      <c r="E321" s="102" t="s">
        <v>26</v>
      </c>
      <c r="F321" s="108" t="s">
        <v>15</v>
      </c>
      <c r="G321" s="108"/>
      <c r="H321" s="102" t="s">
        <v>13</v>
      </c>
      <c r="I321" s="112">
        <v>2044.1</v>
      </c>
      <c r="J321" s="112"/>
      <c r="K321" s="105" t="s">
        <v>8</v>
      </c>
      <c r="L321" s="106">
        <v>542296.15</v>
      </c>
    </row>
    <row r="322" spans="1:12" ht="51" x14ac:dyDescent="0.3">
      <c r="A322" s="100" t="s">
        <v>198</v>
      </c>
      <c r="B322" s="101" t="s">
        <v>852</v>
      </c>
      <c r="C322" s="101" t="s">
        <v>556</v>
      </c>
      <c r="D322" s="101" t="s">
        <v>423</v>
      </c>
      <c r="E322" s="102" t="s">
        <v>26</v>
      </c>
      <c r="F322" s="108" t="s">
        <v>15</v>
      </c>
      <c r="G322" s="108"/>
      <c r="H322" s="102" t="s">
        <v>13</v>
      </c>
      <c r="I322" s="109">
        <v>364.65</v>
      </c>
      <c r="J322" s="109"/>
      <c r="K322" s="105" t="s">
        <v>8</v>
      </c>
      <c r="L322" s="106">
        <v>541931.5</v>
      </c>
    </row>
    <row r="323" spans="1:12" ht="51" x14ac:dyDescent="0.3">
      <c r="A323" s="100" t="s">
        <v>198</v>
      </c>
      <c r="B323" s="101" t="s">
        <v>852</v>
      </c>
      <c r="C323" s="101" t="s">
        <v>556</v>
      </c>
      <c r="D323" s="101" t="s">
        <v>672</v>
      </c>
      <c r="E323" s="102" t="s">
        <v>26</v>
      </c>
      <c r="F323" s="108" t="s">
        <v>15</v>
      </c>
      <c r="G323" s="108"/>
      <c r="H323" s="102" t="s">
        <v>13</v>
      </c>
      <c r="I323" s="112">
        <v>1187.5</v>
      </c>
      <c r="J323" s="112"/>
      <c r="K323" s="105" t="s">
        <v>8</v>
      </c>
      <c r="L323" s="106">
        <v>540744</v>
      </c>
    </row>
    <row r="324" spans="1:12" ht="51" x14ac:dyDescent="0.3">
      <c r="A324" s="100" t="s">
        <v>198</v>
      </c>
      <c r="B324" s="101" t="s">
        <v>853</v>
      </c>
      <c r="C324" s="101" t="s">
        <v>556</v>
      </c>
      <c r="D324" s="101" t="s">
        <v>835</v>
      </c>
      <c r="E324" s="102" t="s">
        <v>26</v>
      </c>
      <c r="F324" s="108" t="s">
        <v>15</v>
      </c>
      <c r="G324" s="108"/>
      <c r="H324" s="102" t="s">
        <v>13</v>
      </c>
      <c r="I324" s="112">
        <v>3990</v>
      </c>
      <c r="J324" s="112"/>
      <c r="K324" s="105" t="s">
        <v>8</v>
      </c>
      <c r="L324" s="106">
        <v>536754</v>
      </c>
    </row>
    <row r="325" spans="1:12" ht="51" x14ac:dyDescent="0.3">
      <c r="A325" s="100" t="s">
        <v>198</v>
      </c>
      <c r="B325" s="101" t="s">
        <v>853</v>
      </c>
      <c r="C325" s="101" t="s">
        <v>556</v>
      </c>
      <c r="D325" s="101" t="s">
        <v>837</v>
      </c>
      <c r="E325" s="102" t="s">
        <v>26</v>
      </c>
      <c r="F325" s="108" t="s">
        <v>15</v>
      </c>
      <c r="G325" s="108"/>
      <c r="H325" s="102" t="s">
        <v>13</v>
      </c>
      <c r="I325" s="112">
        <v>6226.5</v>
      </c>
      <c r="J325" s="112"/>
      <c r="K325" s="105" t="s">
        <v>8</v>
      </c>
      <c r="L325" s="106">
        <v>530527.5</v>
      </c>
    </row>
    <row r="326" spans="1:12" ht="51" x14ac:dyDescent="0.3">
      <c r="A326" s="100" t="s">
        <v>198</v>
      </c>
      <c r="B326" s="101" t="s">
        <v>853</v>
      </c>
      <c r="C326" s="101" t="s">
        <v>556</v>
      </c>
      <c r="D326" s="101" t="s">
        <v>839</v>
      </c>
      <c r="E326" s="102" t="s">
        <v>26</v>
      </c>
      <c r="F326" s="108" t="s">
        <v>15</v>
      </c>
      <c r="G326" s="108"/>
      <c r="H326" s="102" t="s">
        <v>13</v>
      </c>
      <c r="I326" s="109">
        <v>627.5</v>
      </c>
      <c r="J326" s="109"/>
      <c r="K326" s="105" t="s">
        <v>8</v>
      </c>
      <c r="L326" s="106">
        <v>529900</v>
      </c>
    </row>
    <row r="327" spans="1:12" ht="51" x14ac:dyDescent="0.3">
      <c r="A327" s="100" t="s">
        <v>198</v>
      </c>
      <c r="B327" s="101" t="s">
        <v>853</v>
      </c>
      <c r="C327" s="101" t="s">
        <v>556</v>
      </c>
      <c r="D327" s="101" t="s">
        <v>841</v>
      </c>
      <c r="E327" s="102" t="s">
        <v>26</v>
      </c>
      <c r="F327" s="108" t="s">
        <v>15</v>
      </c>
      <c r="G327" s="108"/>
      <c r="H327" s="102" t="s">
        <v>13</v>
      </c>
      <c r="I327" s="109">
        <v>999.6</v>
      </c>
      <c r="J327" s="109"/>
      <c r="K327" s="105" t="s">
        <v>8</v>
      </c>
      <c r="L327" s="106">
        <v>528900.4</v>
      </c>
    </row>
    <row r="328" spans="1:12" ht="51" x14ac:dyDescent="0.3">
      <c r="A328" s="100" t="s">
        <v>198</v>
      </c>
      <c r="B328" s="101" t="s">
        <v>853</v>
      </c>
      <c r="C328" s="101" t="s">
        <v>556</v>
      </c>
      <c r="D328" s="101" t="s">
        <v>548</v>
      </c>
      <c r="E328" s="102" t="s">
        <v>26</v>
      </c>
      <c r="F328" s="108" t="s">
        <v>15</v>
      </c>
      <c r="G328" s="108"/>
      <c r="H328" s="102" t="s">
        <v>13</v>
      </c>
      <c r="I328" s="112">
        <v>2982.8</v>
      </c>
      <c r="J328" s="112"/>
      <c r="K328" s="105" t="s">
        <v>8</v>
      </c>
      <c r="L328" s="106">
        <v>525917.6</v>
      </c>
    </row>
    <row r="329" spans="1:12" ht="51" x14ac:dyDescent="0.3">
      <c r="A329" s="100" t="s">
        <v>198</v>
      </c>
      <c r="B329" s="101" t="s">
        <v>853</v>
      </c>
      <c r="C329" s="101" t="s">
        <v>556</v>
      </c>
      <c r="D329" s="101" t="s">
        <v>634</v>
      </c>
      <c r="E329" s="102" t="s">
        <v>26</v>
      </c>
      <c r="F329" s="108" t="s">
        <v>15</v>
      </c>
      <c r="G329" s="108"/>
      <c r="H329" s="102" t="s">
        <v>13</v>
      </c>
      <c r="I329" s="109">
        <v>792.6</v>
      </c>
      <c r="J329" s="109"/>
      <c r="K329" s="105" t="s">
        <v>8</v>
      </c>
      <c r="L329" s="106">
        <v>525125</v>
      </c>
    </row>
    <row r="330" spans="1:12" ht="51" x14ac:dyDescent="0.3">
      <c r="A330" s="100" t="s">
        <v>198</v>
      </c>
      <c r="B330" s="101" t="s">
        <v>853</v>
      </c>
      <c r="C330" s="101" t="s">
        <v>556</v>
      </c>
      <c r="D330" s="101" t="s">
        <v>635</v>
      </c>
      <c r="E330" s="102" t="s">
        <v>26</v>
      </c>
      <c r="F330" s="108" t="s">
        <v>15</v>
      </c>
      <c r="G330" s="108"/>
      <c r="H330" s="102" t="s">
        <v>13</v>
      </c>
      <c r="I330" s="109">
        <v>877.5</v>
      </c>
      <c r="J330" s="109"/>
      <c r="K330" s="105" t="s">
        <v>8</v>
      </c>
      <c r="L330" s="106">
        <v>524247.5</v>
      </c>
    </row>
    <row r="331" spans="1:12" ht="51" x14ac:dyDescent="0.3">
      <c r="A331" s="100" t="s">
        <v>198</v>
      </c>
      <c r="B331" s="101" t="s">
        <v>853</v>
      </c>
      <c r="C331" s="101" t="s">
        <v>556</v>
      </c>
      <c r="D331" s="101" t="s">
        <v>666</v>
      </c>
      <c r="E331" s="102" t="s">
        <v>26</v>
      </c>
      <c r="F331" s="108" t="s">
        <v>15</v>
      </c>
      <c r="G331" s="108"/>
      <c r="H331" s="102" t="s">
        <v>13</v>
      </c>
      <c r="I331" s="109">
        <v>421.5</v>
      </c>
      <c r="J331" s="109"/>
      <c r="K331" s="105" t="s">
        <v>8</v>
      </c>
      <c r="L331" s="106">
        <v>523826</v>
      </c>
    </row>
    <row r="332" spans="1:12" ht="51" x14ac:dyDescent="0.3">
      <c r="A332" s="100" t="s">
        <v>198</v>
      </c>
      <c r="B332" s="101" t="s">
        <v>854</v>
      </c>
      <c r="C332" s="101" t="s">
        <v>556</v>
      </c>
      <c r="D332" s="101" t="s">
        <v>644</v>
      </c>
      <c r="E332" s="102" t="s">
        <v>26</v>
      </c>
      <c r="F332" s="108" t="s">
        <v>15</v>
      </c>
      <c r="G332" s="108"/>
      <c r="H332" s="102" t="s">
        <v>13</v>
      </c>
      <c r="I332" s="109">
        <v>310</v>
      </c>
      <c r="J332" s="109"/>
      <c r="K332" s="105" t="s">
        <v>8</v>
      </c>
      <c r="L332" s="106">
        <v>523516</v>
      </c>
    </row>
    <row r="333" spans="1:12" ht="51" x14ac:dyDescent="0.3">
      <c r="A333" s="100" t="s">
        <v>198</v>
      </c>
      <c r="B333" s="101" t="s">
        <v>854</v>
      </c>
      <c r="C333" s="101" t="s">
        <v>556</v>
      </c>
      <c r="D333" s="101" t="s">
        <v>645</v>
      </c>
      <c r="E333" s="102" t="s">
        <v>26</v>
      </c>
      <c r="F333" s="108" t="s">
        <v>15</v>
      </c>
      <c r="G333" s="108"/>
      <c r="H333" s="102" t="s">
        <v>13</v>
      </c>
      <c r="I333" s="109">
        <v>300.39999999999998</v>
      </c>
      <c r="J333" s="109"/>
      <c r="K333" s="105" t="s">
        <v>8</v>
      </c>
      <c r="L333" s="106">
        <v>523215.6</v>
      </c>
    </row>
    <row r="334" spans="1:12" ht="51" x14ac:dyDescent="0.3">
      <c r="A334" s="100" t="s">
        <v>198</v>
      </c>
      <c r="B334" s="101" t="s">
        <v>854</v>
      </c>
      <c r="C334" s="101" t="s">
        <v>556</v>
      </c>
      <c r="D334" s="101" t="s">
        <v>646</v>
      </c>
      <c r="E334" s="102" t="s">
        <v>26</v>
      </c>
      <c r="F334" s="108" t="s">
        <v>15</v>
      </c>
      <c r="G334" s="108"/>
      <c r="H334" s="102" t="s">
        <v>13</v>
      </c>
      <c r="I334" s="109">
        <v>311.60000000000002</v>
      </c>
      <c r="J334" s="109"/>
      <c r="K334" s="105" t="s">
        <v>8</v>
      </c>
      <c r="L334" s="106">
        <v>522904</v>
      </c>
    </row>
    <row r="335" spans="1:12" ht="51" x14ac:dyDescent="0.3">
      <c r="A335" s="100" t="s">
        <v>198</v>
      </c>
      <c r="B335" s="101" t="s">
        <v>854</v>
      </c>
      <c r="C335" s="101" t="s">
        <v>556</v>
      </c>
      <c r="D335" s="101" t="s">
        <v>648</v>
      </c>
      <c r="E335" s="102" t="s">
        <v>26</v>
      </c>
      <c r="F335" s="108" t="s">
        <v>15</v>
      </c>
      <c r="G335" s="108"/>
      <c r="H335" s="102" t="s">
        <v>13</v>
      </c>
      <c r="I335" s="109">
        <v>361</v>
      </c>
      <c r="J335" s="109"/>
      <c r="K335" s="105" t="s">
        <v>8</v>
      </c>
      <c r="L335" s="106">
        <v>522543</v>
      </c>
    </row>
    <row r="336" spans="1:12" ht="51" x14ac:dyDescent="0.3">
      <c r="A336" s="100" t="s">
        <v>198</v>
      </c>
      <c r="B336" s="101" t="s">
        <v>854</v>
      </c>
      <c r="C336" s="101" t="s">
        <v>556</v>
      </c>
      <c r="D336" s="101" t="s">
        <v>647</v>
      </c>
      <c r="E336" s="102" t="s">
        <v>26</v>
      </c>
      <c r="F336" s="108" t="s">
        <v>15</v>
      </c>
      <c r="G336" s="108"/>
      <c r="H336" s="102" t="s">
        <v>13</v>
      </c>
      <c r="I336" s="109">
        <v>401.2</v>
      </c>
      <c r="J336" s="109"/>
      <c r="K336" s="105" t="s">
        <v>8</v>
      </c>
      <c r="L336" s="106">
        <v>522141.8</v>
      </c>
    </row>
    <row r="337" spans="1:12" ht="51" x14ac:dyDescent="0.3">
      <c r="A337" s="100" t="s">
        <v>198</v>
      </c>
      <c r="B337" s="101" t="s">
        <v>854</v>
      </c>
      <c r="C337" s="101" t="s">
        <v>556</v>
      </c>
      <c r="D337" s="101" t="s">
        <v>414</v>
      </c>
      <c r="E337" s="102" t="s">
        <v>26</v>
      </c>
      <c r="F337" s="108" t="s">
        <v>15</v>
      </c>
      <c r="G337" s="108"/>
      <c r="H337" s="102" t="s">
        <v>13</v>
      </c>
      <c r="I337" s="109">
        <v>500.83</v>
      </c>
      <c r="J337" s="109"/>
      <c r="K337" s="105" t="s">
        <v>8</v>
      </c>
      <c r="L337" s="106">
        <v>521640.97</v>
      </c>
    </row>
    <row r="338" spans="1:12" ht="51" x14ac:dyDescent="0.3">
      <c r="A338" s="100" t="s">
        <v>198</v>
      </c>
      <c r="B338" s="101" t="s">
        <v>854</v>
      </c>
      <c r="C338" s="101" t="s">
        <v>556</v>
      </c>
      <c r="D338" s="101" t="s">
        <v>605</v>
      </c>
      <c r="E338" s="102" t="s">
        <v>26</v>
      </c>
      <c r="F338" s="108" t="s">
        <v>15</v>
      </c>
      <c r="G338" s="108"/>
      <c r="H338" s="102" t="s">
        <v>13</v>
      </c>
      <c r="I338" s="112">
        <v>6500</v>
      </c>
      <c r="J338" s="112"/>
      <c r="K338" s="105" t="s">
        <v>8</v>
      </c>
      <c r="L338" s="106">
        <v>515140.97</v>
      </c>
    </row>
    <row r="339" spans="1:12" ht="61.2" x14ac:dyDescent="0.3">
      <c r="A339" s="100" t="s">
        <v>198</v>
      </c>
      <c r="B339" s="101" t="s">
        <v>854</v>
      </c>
      <c r="C339" s="101" t="s">
        <v>556</v>
      </c>
      <c r="D339" s="101" t="s">
        <v>633</v>
      </c>
      <c r="E339" s="102" t="s">
        <v>26</v>
      </c>
      <c r="F339" s="108" t="s">
        <v>15</v>
      </c>
      <c r="G339" s="108"/>
      <c r="H339" s="102" t="s">
        <v>13</v>
      </c>
      <c r="I339" s="109">
        <v>892.8</v>
      </c>
      <c r="J339" s="109"/>
      <c r="K339" s="105" t="s">
        <v>8</v>
      </c>
      <c r="L339" s="106">
        <v>514248.17</v>
      </c>
    </row>
    <row r="340" spans="1:12" ht="51" x14ac:dyDescent="0.3">
      <c r="A340" s="100" t="s">
        <v>198</v>
      </c>
      <c r="B340" s="101" t="s">
        <v>854</v>
      </c>
      <c r="C340" s="101" t="s">
        <v>556</v>
      </c>
      <c r="D340" s="101" t="s">
        <v>546</v>
      </c>
      <c r="E340" s="102" t="s">
        <v>26</v>
      </c>
      <c r="F340" s="108" t="s">
        <v>15</v>
      </c>
      <c r="G340" s="108"/>
      <c r="H340" s="102" t="s">
        <v>13</v>
      </c>
      <c r="I340" s="112">
        <v>2330</v>
      </c>
      <c r="J340" s="112"/>
      <c r="K340" s="105" t="s">
        <v>8</v>
      </c>
      <c r="L340" s="106">
        <v>511918.17</v>
      </c>
    </row>
    <row r="341" spans="1:12" ht="61.2" x14ac:dyDescent="0.3">
      <c r="A341" s="100" t="s">
        <v>198</v>
      </c>
      <c r="B341" s="101" t="s">
        <v>854</v>
      </c>
      <c r="C341" s="101" t="s">
        <v>556</v>
      </c>
      <c r="D341" s="101" t="s">
        <v>542</v>
      </c>
      <c r="E341" s="102" t="s">
        <v>26</v>
      </c>
      <c r="F341" s="108" t="s">
        <v>15</v>
      </c>
      <c r="G341" s="108"/>
      <c r="H341" s="102" t="s">
        <v>13</v>
      </c>
      <c r="I341" s="112">
        <v>3415</v>
      </c>
      <c r="J341" s="112"/>
      <c r="K341" s="105" t="s">
        <v>8</v>
      </c>
      <c r="L341" s="106">
        <v>508503.17</v>
      </c>
    </row>
    <row r="342" spans="1:12" ht="61.2" x14ac:dyDescent="0.3">
      <c r="A342" s="100" t="s">
        <v>198</v>
      </c>
      <c r="B342" s="101" t="s">
        <v>854</v>
      </c>
      <c r="C342" s="101" t="s">
        <v>556</v>
      </c>
      <c r="D342" s="101" t="s">
        <v>593</v>
      </c>
      <c r="E342" s="102" t="s">
        <v>26</v>
      </c>
      <c r="F342" s="108" t="s">
        <v>15</v>
      </c>
      <c r="G342" s="108"/>
      <c r="H342" s="102" t="s">
        <v>13</v>
      </c>
      <c r="I342" s="112">
        <v>3415</v>
      </c>
      <c r="J342" s="112"/>
      <c r="K342" s="105" t="s">
        <v>8</v>
      </c>
      <c r="L342" s="106">
        <v>505088.17</v>
      </c>
    </row>
    <row r="343" spans="1:12" ht="51" x14ac:dyDescent="0.3">
      <c r="A343" s="100" t="s">
        <v>198</v>
      </c>
      <c r="B343" s="101" t="s">
        <v>855</v>
      </c>
      <c r="C343" s="101" t="s">
        <v>556</v>
      </c>
      <c r="D343" s="101" t="s">
        <v>676</v>
      </c>
      <c r="E343" s="102" t="s">
        <v>26</v>
      </c>
      <c r="F343" s="108" t="s">
        <v>15</v>
      </c>
      <c r="G343" s="108"/>
      <c r="H343" s="102" t="s">
        <v>13</v>
      </c>
      <c r="I343" s="109">
        <v>85.5</v>
      </c>
      <c r="J343" s="109"/>
      <c r="K343" s="105" t="s">
        <v>8</v>
      </c>
      <c r="L343" s="106">
        <v>505002.67</v>
      </c>
    </row>
    <row r="344" spans="1:12" ht="51" x14ac:dyDescent="0.3">
      <c r="A344" s="100" t="s">
        <v>198</v>
      </c>
      <c r="B344" s="101" t="s">
        <v>855</v>
      </c>
      <c r="C344" s="101" t="s">
        <v>556</v>
      </c>
      <c r="D344" s="101" t="s">
        <v>599</v>
      </c>
      <c r="E344" s="102" t="s">
        <v>26</v>
      </c>
      <c r="F344" s="108" t="s">
        <v>15</v>
      </c>
      <c r="G344" s="108"/>
      <c r="H344" s="102" t="s">
        <v>13</v>
      </c>
      <c r="I344" s="112">
        <v>1300</v>
      </c>
      <c r="J344" s="112"/>
      <c r="K344" s="105" t="s">
        <v>8</v>
      </c>
      <c r="L344" s="106">
        <v>503702.67</v>
      </c>
    </row>
    <row r="345" spans="1:12" ht="51" hidden="1" x14ac:dyDescent="0.3">
      <c r="A345" s="100" t="s">
        <v>470</v>
      </c>
      <c r="B345" s="101" t="s">
        <v>856</v>
      </c>
      <c r="C345" s="101" t="s">
        <v>857</v>
      </c>
      <c r="D345" s="101" t="s">
        <v>858</v>
      </c>
      <c r="E345" s="102" t="s">
        <v>302</v>
      </c>
      <c r="F345" s="108" t="s">
        <v>15</v>
      </c>
      <c r="G345" s="108"/>
      <c r="H345" s="102" t="s">
        <v>13</v>
      </c>
      <c r="I345" s="112">
        <v>3086.1</v>
      </c>
      <c r="J345" s="112"/>
      <c r="K345" s="105" t="s">
        <v>8</v>
      </c>
      <c r="L345" s="106">
        <v>15596.3</v>
      </c>
    </row>
    <row r="346" spans="1:12" ht="51" hidden="1" x14ac:dyDescent="0.3">
      <c r="A346" s="100" t="s">
        <v>470</v>
      </c>
      <c r="B346" s="101" t="s">
        <v>859</v>
      </c>
      <c r="C346" s="101" t="s">
        <v>860</v>
      </c>
      <c r="D346" s="101" t="s">
        <v>861</v>
      </c>
      <c r="E346" s="102" t="s">
        <v>302</v>
      </c>
      <c r="F346" s="108" t="s">
        <v>15</v>
      </c>
      <c r="G346" s="108"/>
      <c r="H346" s="102" t="s">
        <v>13</v>
      </c>
      <c r="I346" s="109">
        <v>333.35</v>
      </c>
      <c r="J346" s="109"/>
      <c r="K346" s="105" t="s">
        <v>8</v>
      </c>
      <c r="L346" s="106">
        <v>503369.32</v>
      </c>
    </row>
    <row r="347" spans="1:12" ht="51" x14ac:dyDescent="0.3">
      <c r="A347" s="100" t="s">
        <v>470</v>
      </c>
      <c r="B347" s="101" t="s">
        <v>862</v>
      </c>
      <c r="C347" s="101" t="s">
        <v>556</v>
      </c>
      <c r="D347" s="101" t="s">
        <v>863</v>
      </c>
      <c r="E347" s="102" t="s">
        <v>26</v>
      </c>
      <c r="F347" s="108" t="s">
        <v>15</v>
      </c>
      <c r="G347" s="108"/>
      <c r="H347" s="102" t="s">
        <v>13</v>
      </c>
      <c r="I347" s="109">
        <v>248.45</v>
      </c>
      <c r="J347" s="109"/>
      <c r="K347" s="105" t="s">
        <v>8</v>
      </c>
      <c r="L347" s="106">
        <v>3374.8</v>
      </c>
    </row>
    <row r="348" spans="1:12" ht="51" x14ac:dyDescent="0.3">
      <c r="A348" s="100" t="s">
        <v>470</v>
      </c>
      <c r="B348" s="101" t="s">
        <v>862</v>
      </c>
      <c r="C348" s="101" t="s">
        <v>556</v>
      </c>
      <c r="D348" s="101" t="s">
        <v>864</v>
      </c>
      <c r="E348" s="102" t="s">
        <v>26</v>
      </c>
      <c r="F348" s="108" t="s">
        <v>15</v>
      </c>
      <c r="G348" s="108"/>
      <c r="H348" s="102" t="s">
        <v>13</v>
      </c>
      <c r="I348" s="109">
        <v>170.8</v>
      </c>
      <c r="J348" s="109"/>
      <c r="K348" s="105" t="s">
        <v>8</v>
      </c>
      <c r="L348" s="106">
        <v>3204</v>
      </c>
    </row>
    <row r="349" spans="1:12" ht="51" x14ac:dyDescent="0.3">
      <c r="A349" s="100" t="s">
        <v>470</v>
      </c>
      <c r="B349" s="101" t="s">
        <v>862</v>
      </c>
      <c r="C349" s="101" t="s">
        <v>556</v>
      </c>
      <c r="D349" s="101" t="s">
        <v>865</v>
      </c>
      <c r="E349" s="102" t="s">
        <v>26</v>
      </c>
      <c r="F349" s="108" t="s">
        <v>15</v>
      </c>
      <c r="G349" s="108"/>
      <c r="H349" s="102" t="s">
        <v>13</v>
      </c>
      <c r="I349" s="112">
        <v>3204</v>
      </c>
      <c r="J349" s="112"/>
      <c r="K349" s="105"/>
      <c r="L349" s="111"/>
    </row>
    <row r="350" spans="1:12" ht="51" x14ac:dyDescent="0.3">
      <c r="A350" s="100" t="s">
        <v>470</v>
      </c>
      <c r="B350" s="101" t="s">
        <v>866</v>
      </c>
      <c r="C350" s="101" t="s">
        <v>556</v>
      </c>
      <c r="D350" s="101" t="s">
        <v>381</v>
      </c>
      <c r="E350" s="102" t="s">
        <v>26</v>
      </c>
      <c r="F350" s="108" t="s">
        <v>15</v>
      </c>
      <c r="G350" s="108"/>
      <c r="H350" s="102" t="s">
        <v>13</v>
      </c>
      <c r="I350" s="112">
        <v>2500</v>
      </c>
      <c r="J350" s="112"/>
      <c r="K350" s="105" t="s">
        <v>8</v>
      </c>
      <c r="L350" s="106">
        <v>500869.32</v>
      </c>
    </row>
    <row r="351" spans="1:12" ht="51" x14ac:dyDescent="0.3">
      <c r="A351" s="100" t="s">
        <v>470</v>
      </c>
      <c r="B351" s="101" t="s">
        <v>867</v>
      </c>
      <c r="C351" s="101" t="s">
        <v>556</v>
      </c>
      <c r="D351" s="101" t="s">
        <v>406</v>
      </c>
      <c r="E351" s="102" t="s">
        <v>26</v>
      </c>
      <c r="F351" s="108" t="s">
        <v>15</v>
      </c>
      <c r="G351" s="108"/>
      <c r="H351" s="102" t="s">
        <v>13</v>
      </c>
      <c r="I351" s="109">
        <v>464.65</v>
      </c>
      <c r="J351" s="109"/>
      <c r="K351" s="105" t="s">
        <v>8</v>
      </c>
      <c r="L351" s="106">
        <v>500404.67</v>
      </c>
    </row>
    <row r="352" spans="1:12" ht="51" x14ac:dyDescent="0.3">
      <c r="A352" s="100" t="s">
        <v>470</v>
      </c>
      <c r="B352" s="101" t="s">
        <v>867</v>
      </c>
      <c r="C352" s="101" t="s">
        <v>556</v>
      </c>
      <c r="D352" s="101" t="s">
        <v>404</v>
      </c>
      <c r="E352" s="102" t="s">
        <v>26</v>
      </c>
      <c r="F352" s="108" t="s">
        <v>15</v>
      </c>
      <c r="G352" s="108"/>
      <c r="H352" s="102" t="s">
        <v>13</v>
      </c>
      <c r="I352" s="112">
        <v>1516.64</v>
      </c>
      <c r="J352" s="112"/>
      <c r="K352" s="105" t="s">
        <v>8</v>
      </c>
      <c r="L352" s="106">
        <v>498888.03</v>
      </c>
    </row>
    <row r="353" spans="1:12" ht="51" x14ac:dyDescent="0.3">
      <c r="A353" s="100" t="s">
        <v>470</v>
      </c>
      <c r="B353" s="101" t="s">
        <v>867</v>
      </c>
      <c r="C353" s="101" t="s">
        <v>556</v>
      </c>
      <c r="D353" s="101" t="s">
        <v>402</v>
      </c>
      <c r="E353" s="102" t="s">
        <v>26</v>
      </c>
      <c r="F353" s="108" t="s">
        <v>15</v>
      </c>
      <c r="G353" s="108"/>
      <c r="H353" s="102" t="s">
        <v>13</v>
      </c>
      <c r="I353" s="112">
        <v>2750.1</v>
      </c>
      <c r="J353" s="112"/>
      <c r="K353" s="105" t="s">
        <v>8</v>
      </c>
      <c r="L353" s="106">
        <v>496137.93</v>
      </c>
    </row>
    <row r="354" spans="1:12" ht="51" x14ac:dyDescent="0.3">
      <c r="A354" s="100" t="s">
        <v>470</v>
      </c>
      <c r="B354" s="101" t="s">
        <v>868</v>
      </c>
      <c r="C354" s="101" t="s">
        <v>556</v>
      </c>
      <c r="D354" s="101" t="s">
        <v>539</v>
      </c>
      <c r="E354" s="102" t="s">
        <v>26</v>
      </c>
      <c r="F354" s="108" t="s">
        <v>15</v>
      </c>
      <c r="G354" s="108"/>
      <c r="H354" s="102" t="s">
        <v>13</v>
      </c>
      <c r="I354" s="112">
        <v>1653.36</v>
      </c>
      <c r="J354" s="112"/>
      <c r="K354" s="105" t="s">
        <v>8</v>
      </c>
      <c r="L354" s="106">
        <v>494484.57</v>
      </c>
    </row>
    <row r="355" spans="1:12" ht="51" x14ac:dyDescent="0.3">
      <c r="A355" s="100" t="s">
        <v>470</v>
      </c>
      <c r="B355" s="101" t="s">
        <v>868</v>
      </c>
      <c r="C355" s="101" t="s">
        <v>556</v>
      </c>
      <c r="D355" s="101" t="s">
        <v>541</v>
      </c>
      <c r="E355" s="102" t="s">
        <v>26</v>
      </c>
      <c r="F355" s="108" t="s">
        <v>15</v>
      </c>
      <c r="G355" s="108"/>
      <c r="H355" s="102" t="s">
        <v>13</v>
      </c>
      <c r="I355" s="112">
        <v>2480.04</v>
      </c>
      <c r="J355" s="112"/>
      <c r="K355" s="105" t="s">
        <v>8</v>
      </c>
      <c r="L355" s="106">
        <v>492004.53</v>
      </c>
    </row>
    <row r="356" spans="1:12" ht="51" x14ac:dyDescent="0.3">
      <c r="A356" s="100" t="s">
        <v>470</v>
      </c>
      <c r="B356" s="101" t="s">
        <v>868</v>
      </c>
      <c r="C356" s="101" t="s">
        <v>556</v>
      </c>
      <c r="D356" s="101" t="s">
        <v>544</v>
      </c>
      <c r="E356" s="102" t="s">
        <v>26</v>
      </c>
      <c r="F356" s="108" t="s">
        <v>15</v>
      </c>
      <c r="G356" s="108"/>
      <c r="H356" s="102" t="s">
        <v>13</v>
      </c>
      <c r="I356" s="112">
        <v>1180.79</v>
      </c>
      <c r="J356" s="112"/>
      <c r="K356" s="105" t="s">
        <v>8</v>
      </c>
      <c r="L356" s="106">
        <v>490823.74</v>
      </c>
    </row>
    <row r="357" spans="1:12" ht="61.2" x14ac:dyDescent="0.3">
      <c r="A357" s="100" t="s">
        <v>470</v>
      </c>
      <c r="B357" s="101" t="s">
        <v>869</v>
      </c>
      <c r="C357" s="101" t="s">
        <v>556</v>
      </c>
      <c r="D357" s="101" t="s">
        <v>413</v>
      </c>
      <c r="E357" s="102" t="s">
        <v>26</v>
      </c>
      <c r="F357" s="108" t="s">
        <v>15</v>
      </c>
      <c r="G357" s="108"/>
      <c r="H357" s="102" t="s">
        <v>13</v>
      </c>
      <c r="I357" s="109">
        <v>383.4</v>
      </c>
      <c r="J357" s="109"/>
      <c r="K357" s="105" t="s">
        <v>8</v>
      </c>
      <c r="L357" s="106">
        <v>490440.34</v>
      </c>
    </row>
    <row r="358" spans="1:12" ht="51" x14ac:dyDescent="0.3">
      <c r="A358" s="100" t="s">
        <v>470</v>
      </c>
      <c r="B358" s="101" t="s">
        <v>869</v>
      </c>
      <c r="C358" s="101" t="s">
        <v>556</v>
      </c>
      <c r="D358" s="101" t="s">
        <v>599</v>
      </c>
      <c r="E358" s="102" t="s">
        <v>26</v>
      </c>
      <c r="F358" s="108" t="s">
        <v>15</v>
      </c>
      <c r="G358" s="108"/>
      <c r="H358" s="102" t="s">
        <v>13</v>
      </c>
      <c r="I358" s="109">
        <v>260</v>
      </c>
      <c r="J358" s="109"/>
      <c r="K358" s="105" t="s">
        <v>8</v>
      </c>
      <c r="L358" s="106">
        <v>490180.34</v>
      </c>
    </row>
    <row r="359" spans="1:12" ht="51" x14ac:dyDescent="0.3">
      <c r="A359" s="100" t="s">
        <v>470</v>
      </c>
      <c r="B359" s="101" t="s">
        <v>869</v>
      </c>
      <c r="C359" s="101" t="s">
        <v>556</v>
      </c>
      <c r="D359" s="101" t="s">
        <v>675</v>
      </c>
      <c r="E359" s="102" t="s">
        <v>26</v>
      </c>
      <c r="F359" s="108" t="s">
        <v>15</v>
      </c>
      <c r="G359" s="108"/>
      <c r="H359" s="102" t="s">
        <v>13</v>
      </c>
      <c r="I359" s="109">
        <v>371.35</v>
      </c>
      <c r="J359" s="109"/>
      <c r="K359" s="105" t="s">
        <v>8</v>
      </c>
      <c r="L359" s="106">
        <v>489808.99</v>
      </c>
    </row>
    <row r="360" spans="1:12" ht="51" x14ac:dyDescent="0.3">
      <c r="A360" s="100" t="s">
        <v>470</v>
      </c>
      <c r="B360" s="101" t="s">
        <v>869</v>
      </c>
      <c r="C360" s="101" t="s">
        <v>556</v>
      </c>
      <c r="D360" s="101" t="s">
        <v>676</v>
      </c>
      <c r="E360" s="102" t="s">
        <v>26</v>
      </c>
      <c r="F360" s="108" t="s">
        <v>15</v>
      </c>
      <c r="G360" s="108"/>
      <c r="H360" s="102" t="s">
        <v>13</v>
      </c>
      <c r="I360" s="109">
        <v>199.5</v>
      </c>
      <c r="J360" s="109"/>
      <c r="K360" s="105" t="s">
        <v>8</v>
      </c>
      <c r="L360" s="106">
        <v>489609.49</v>
      </c>
    </row>
    <row r="361" spans="1:12" ht="61.2" x14ac:dyDescent="0.3">
      <c r="A361" s="100" t="s">
        <v>470</v>
      </c>
      <c r="B361" s="101" t="s">
        <v>870</v>
      </c>
      <c r="C361" s="101" t="s">
        <v>556</v>
      </c>
      <c r="D361" s="101" t="s">
        <v>413</v>
      </c>
      <c r="E361" s="102" t="s">
        <v>26</v>
      </c>
      <c r="F361" s="108" t="s">
        <v>15</v>
      </c>
      <c r="G361" s="108"/>
      <c r="H361" s="102" t="s">
        <v>13</v>
      </c>
      <c r="I361" s="109">
        <v>575.1</v>
      </c>
      <c r="J361" s="109"/>
      <c r="K361" s="105" t="s">
        <v>8</v>
      </c>
      <c r="L361" s="106">
        <v>489034.39</v>
      </c>
    </row>
    <row r="362" spans="1:12" ht="51" x14ac:dyDescent="0.3">
      <c r="A362" s="100" t="s">
        <v>470</v>
      </c>
      <c r="B362" s="101" t="s">
        <v>870</v>
      </c>
      <c r="C362" s="101" t="s">
        <v>556</v>
      </c>
      <c r="D362" s="101" t="s">
        <v>599</v>
      </c>
      <c r="E362" s="102" t="s">
        <v>26</v>
      </c>
      <c r="F362" s="108" t="s">
        <v>15</v>
      </c>
      <c r="G362" s="108"/>
      <c r="H362" s="102" t="s">
        <v>13</v>
      </c>
      <c r="I362" s="112">
        <v>6500</v>
      </c>
      <c r="J362" s="112"/>
      <c r="K362" s="105" t="s">
        <v>8</v>
      </c>
      <c r="L362" s="106">
        <v>482534.39</v>
      </c>
    </row>
    <row r="363" spans="1:12" ht="51" x14ac:dyDescent="0.3">
      <c r="A363" s="100" t="s">
        <v>470</v>
      </c>
      <c r="B363" s="101" t="s">
        <v>870</v>
      </c>
      <c r="C363" s="101" t="s">
        <v>556</v>
      </c>
      <c r="D363" s="101" t="s">
        <v>676</v>
      </c>
      <c r="E363" s="102" t="s">
        <v>26</v>
      </c>
      <c r="F363" s="108" t="s">
        <v>15</v>
      </c>
      <c r="G363" s="108"/>
      <c r="H363" s="102" t="s">
        <v>13</v>
      </c>
      <c r="I363" s="112">
        <v>1681.5</v>
      </c>
      <c r="J363" s="112"/>
      <c r="K363" s="105" t="s">
        <v>8</v>
      </c>
      <c r="L363" s="106">
        <v>480852.89</v>
      </c>
    </row>
    <row r="364" spans="1:12" ht="51" x14ac:dyDescent="0.3">
      <c r="A364" s="100" t="s">
        <v>470</v>
      </c>
      <c r="B364" s="101" t="s">
        <v>870</v>
      </c>
      <c r="C364" s="101" t="s">
        <v>556</v>
      </c>
      <c r="D364" s="101" t="s">
        <v>601</v>
      </c>
      <c r="E364" s="102" t="s">
        <v>26</v>
      </c>
      <c r="F364" s="108" t="s">
        <v>15</v>
      </c>
      <c r="G364" s="108"/>
      <c r="H364" s="102" t="s">
        <v>13</v>
      </c>
      <c r="I364" s="112">
        <v>3500</v>
      </c>
      <c r="J364" s="112"/>
      <c r="K364" s="105" t="s">
        <v>8</v>
      </c>
      <c r="L364" s="106">
        <v>477352.89</v>
      </c>
    </row>
    <row r="365" spans="1:12" ht="51" x14ac:dyDescent="0.3">
      <c r="A365" s="100" t="s">
        <v>470</v>
      </c>
      <c r="B365" s="101" t="s">
        <v>870</v>
      </c>
      <c r="C365" s="101" t="s">
        <v>556</v>
      </c>
      <c r="D365" s="101" t="s">
        <v>652</v>
      </c>
      <c r="E365" s="102" t="s">
        <v>26</v>
      </c>
      <c r="F365" s="108" t="s">
        <v>15</v>
      </c>
      <c r="G365" s="108"/>
      <c r="H365" s="102" t="s">
        <v>13</v>
      </c>
      <c r="I365" s="112">
        <v>1681.8</v>
      </c>
      <c r="J365" s="112"/>
      <c r="K365" s="105" t="s">
        <v>8</v>
      </c>
      <c r="L365" s="106">
        <v>475671.09</v>
      </c>
    </row>
    <row r="366" spans="1:12" ht="51" x14ac:dyDescent="0.3">
      <c r="A366" s="100" t="s">
        <v>470</v>
      </c>
      <c r="B366" s="101" t="s">
        <v>871</v>
      </c>
      <c r="C366" s="101" t="s">
        <v>556</v>
      </c>
      <c r="D366" s="101" t="s">
        <v>599</v>
      </c>
      <c r="E366" s="102" t="s">
        <v>26</v>
      </c>
      <c r="F366" s="108" t="s">
        <v>15</v>
      </c>
      <c r="G366" s="108"/>
      <c r="H366" s="102" t="s">
        <v>13</v>
      </c>
      <c r="I366" s="112">
        <v>2600</v>
      </c>
      <c r="J366" s="112"/>
      <c r="K366" s="105" t="s">
        <v>8</v>
      </c>
      <c r="L366" s="106">
        <v>473071.09</v>
      </c>
    </row>
    <row r="367" spans="1:12" ht="61.2" x14ac:dyDescent="0.3">
      <c r="A367" s="100" t="s">
        <v>470</v>
      </c>
      <c r="B367" s="101" t="s">
        <v>871</v>
      </c>
      <c r="C367" s="101" t="s">
        <v>556</v>
      </c>
      <c r="D367" s="101" t="s">
        <v>872</v>
      </c>
      <c r="E367" s="102" t="s">
        <v>26</v>
      </c>
      <c r="F367" s="108" t="s">
        <v>15</v>
      </c>
      <c r="G367" s="108"/>
      <c r="H367" s="102" t="s">
        <v>13</v>
      </c>
      <c r="I367" s="112">
        <v>3415</v>
      </c>
      <c r="J367" s="112"/>
      <c r="K367" s="105" t="s">
        <v>8</v>
      </c>
      <c r="L367" s="106">
        <v>469656.09</v>
      </c>
    </row>
    <row r="368" spans="1:12" ht="51" x14ac:dyDescent="0.3">
      <c r="A368" s="100" t="s">
        <v>470</v>
      </c>
      <c r="B368" s="101" t="s">
        <v>871</v>
      </c>
      <c r="C368" s="101" t="s">
        <v>556</v>
      </c>
      <c r="D368" s="101" t="s">
        <v>628</v>
      </c>
      <c r="E368" s="102" t="s">
        <v>26</v>
      </c>
      <c r="F368" s="108" t="s">
        <v>15</v>
      </c>
      <c r="G368" s="108"/>
      <c r="H368" s="102" t="s">
        <v>13</v>
      </c>
      <c r="I368" s="112">
        <v>1657.2</v>
      </c>
      <c r="J368" s="112"/>
      <c r="K368" s="105" t="s">
        <v>8</v>
      </c>
      <c r="L368" s="106">
        <v>467998.89</v>
      </c>
    </row>
    <row r="369" spans="1:12" ht="51" x14ac:dyDescent="0.3">
      <c r="A369" s="100" t="s">
        <v>470</v>
      </c>
      <c r="B369" s="101" t="s">
        <v>873</v>
      </c>
      <c r="C369" s="101" t="s">
        <v>556</v>
      </c>
      <c r="D369" s="101" t="s">
        <v>643</v>
      </c>
      <c r="E369" s="102" t="s">
        <v>26</v>
      </c>
      <c r="F369" s="108" t="s">
        <v>15</v>
      </c>
      <c r="G369" s="108"/>
      <c r="H369" s="102" t="s">
        <v>13</v>
      </c>
      <c r="I369" s="109">
        <v>265.39999999999998</v>
      </c>
      <c r="J369" s="109"/>
      <c r="K369" s="105" t="s">
        <v>8</v>
      </c>
      <c r="L369" s="106">
        <v>467733.49</v>
      </c>
    </row>
    <row r="370" spans="1:12" ht="51" x14ac:dyDescent="0.3">
      <c r="A370" s="100" t="s">
        <v>470</v>
      </c>
      <c r="B370" s="101" t="s">
        <v>873</v>
      </c>
      <c r="C370" s="101" t="s">
        <v>556</v>
      </c>
      <c r="D370" s="101" t="s">
        <v>409</v>
      </c>
      <c r="E370" s="102" t="s">
        <v>26</v>
      </c>
      <c r="F370" s="108" t="s">
        <v>15</v>
      </c>
      <c r="G370" s="108"/>
      <c r="H370" s="102" t="s">
        <v>13</v>
      </c>
      <c r="I370" s="109">
        <v>119</v>
      </c>
      <c r="J370" s="109"/>
      <c r="K370" s="105" t="s">
        <v>8</v>
      </c>
      <c r="L370" s="106">
        <v>467614.49</v>
      </c>
    </row>
    <row r="371" spans="1:12" ht="51" x14ac:dyDescent="0.3">
      <c r="A371" s="100" t="s">
        <v>470</v>
      </c>
      <c r="B371" s="101" t="s">
        <v>873</v>
      </c>
      <c r="C371" s="101" t="s">
        <v>556</v>
      </c>
      <c r="D371" s="101" t="s">
        <v>398</v>
      </c>
      <c r="E371" s="102" t="s">
        <v>26</v>
      </c>
      <c r="F371" s="108" t="s">
        <v>15</v>
      </c>
      <c r="G371" s="108"/>
      <c r="H371" s="102" t="s">
        <v>13</v>
      </c>
      <c r="I371" s="109">
        <v>360</v>
      </c>
      <c r="J371" s="109"/>
      <c r="K371" s="105" t="s">
        <v>8</v>
      </c>
      <c r="L371" s="106">
        <v>467254.49</v>
      </c>
    </row>
    <row r="372" spans="1:12" ht="51" x14ac:dyDescent="0.3">
      <c r="A372" s="100" t="s">
        <v>470</v>
      </c>
      <c r="B372" s="101" t="s">
        <v>874</v>
      </c>
      <c r="C372" s="101" t="s">
        <v>556</v>
      </c>
      <c r="D372" s="101" t="s">
        <v>661</v>
      </c>
      <c r="E372" s="102" t="s">
        <v>26</v>
      </c>
      <c r="F372" s="108" t="s">
        <v>15</v>
      </c>
      <c r="G372" s="108"/>
      <c r="H372" s="102" t="s">
        <v>13</v>
      </c>
      <c r="I372" s="112">
        <v>1117.5</v>
      </c>
      <c r="J372" s="112"/>
      <c r="K372" s="105" t="s">
        <v>8</v>
      </c>
      <c r="L372" s="106">
        <v>466136.99</v>
      </c>
    </row>
    <row r="373" spans="1:12" ht="51" x14ac:dyDescent="0.3">
      <c r="A373" s="100" t="s">
        <v>470</v>
      </c>
      <c r="B373" s="101" t="s">
        <v>874</v>
      </c>
      <c r="C373" s="101" t="s">
        <v>556</v>
      </c>
      <c r="D373" s="101" t="s">
        <v>406</v>
      </c>
      <c r="E373" s="102" t="s">
        <v>26</v>
      </c>
      <c r="F373" s="108" t="s">
        <v>15</v>
      </c>
      <c r="G373" s="108"/>
      <c r="H373" s="102" t="s">
        <v>13</v>
      </c>
      <c r="I373" s="109">
        <v>464.65</v>
      </c>
      <c r="J373" s="109"/>
      <c r="K373" s="105" t="s">
        <v>8</v>
      </c>
      <c r="L373" s="106">
        <v>465672.34</v>
      </c>
    </row>
    <row r="374" spans="1:12" ht="51" x14ac:dyDescent="0.3">
      <c r="A374" s="100" t="s">
        <v>470</v>
      </c>
      <c r="B374" s="101" t="s">
        <v>874</v>
      </c>
      <c r="C374" s="101" t="s">
        <v>556</v>
      </c>
      <c r="D374" s="101" t="s">
        <v>637</v>
      </c>
      <c r="E374" s="102" t="s">
        <v>26</v>
      </c>
      <c r="F374" s="108" t="s">
        <v>15</v>
      </c>
      <c r="G374" s="108"/>
      <c r="H374" s="102" t="s">
        <v>13</v>
      </c>
      <c r="I374" s="112">
        <v>1791</v>
      </c>
      <c r="J374" s="112"/>
      <c r="K374" s="105" t="s">
        <v>8</v>
      </c>
      <c r="L374" s="106">
        <v>463881.34</v>
      </c>
    </row>
    <row r="375" spans="1:12" ht="51" x14ac:dyDescent="0.3">
      <c r="A375" s="100" t="s">
        <v>470</v>
      </c>
      <c r="B375" s="101" t="s">
        <v>874</v>
      </c>
      <c r="C375" s="101" t="s">
        <v>556</v>
      </c>
      <c r="D375" s="101" t="s">
        <v>672</v>
      </c>
      <c r="E375" s="102" t="s">
        <v>26</v>
      </c>
      <c r="F375" s="108" t="s">
        <v>15</v>
      </c>
      <c r="G375" s="108"/>
      <c r="H375" s="102" t="s">
        <v>13</v>
      </c>
      <c r="I375" s="112">
        <v>3562.5</v>
      </c>
      <c r="J375" s="112"/>
      <c r="K375" s="105" t="s">
        <v>8</v>
      </c>
      <c r="L375" s="106">
        <v>460318.84</v>
      </c>
    </row>
    <row r="376" spans="1:12" ht="51" x14ac:dyDescent="0.3">
      <c r="A376" s="100" t="s">
        <v>470</v>
      </c>
      <c r="B376" s="101" t="s">
        <v>875</v>
      </c>
      <c r="C376" s="101" t="s">
        <v>556</v>
      </c>
      <c r="D376" s="101" t="s">
        <v>599</v>
      </c>
      <c r="E376" s="102" t="s">
        <v>26</v>
      </c>
      <c r="F376" s="108" t="s">
        <v>15</v>
      </c>
      <c r="G376" s="108"/>
      <c r="H376" s="102" t="s">
        <v>13</v>
      </c>
      <c r="I376" s="112">
        <v>1430</v>
      </c>
      <c r="J376" s="112"/>
      <c r="K376" s="105" t="s">
        <v>8</v>
      </c>
      <c r="L376" s="106">
        <v>458888.84</v>
      </c>
    </row>
    <row r="377" spans="1:12" ht="51" x14ac:dyDescent="0.3">
      <c r="A377" s="100" t="s">
        <v>470</v>
      </c>
      <c r="B377" s="101" t="s">
        <v>875</v>
      </c>
      <c r="C377" s="101" t="s">
        <v>556</v>
      </c>
      <c r="D377" s="101" t="s">
        <v>675</v>
      </c>
      <c r="E377" s="102" t="s">
        <v>26</v>
      </c>
      <c r="F377" s="108" t="s">
        <v>15</v>
      </c>
      <c r="G377" s="108"/>
      <c r="H377" s="102" t="s">
        <v>13</v>
      </c>
      <c r="I377" s="109">
        <v>636.6</v>
      </c>
      <c r="J377" s="109"/>
      <c r="K377" s="105" t="s">
        <v>8</v>
      </c>
      <c r="L377" s="106">
        <v>458252.24</v>
      </c>
    </row>
    <row r="378" spans="1:12" ht="51" x14ac:dyDescent="0.3">
      <c r="A378" s="100" t="s">
        <v>470</v>
      </c>
      <c r="B378" s="101" t="s">
        <v>875</v>
      </c>
      <c r="C378" s="101" t="s">
        <v>556</v>
      </c>
      <c r="D378" s="101" t="s">
        <v>676</v>
      </c>
      <c r="E378" s="102" t="s">
        <v>26</v>
      </c>
      <c r="F378" s="108" t="s">
        <v>15</v>
      </c>
      <c r="G378" s="108"/>
      <c r="H378" s="102" t="s">
        <v>13</v>
      </c>
      <c r="I378" s="109">
        <v>171</v>
      </c>
      <c r="J378" s="109"/>
      <c r="K378" s="105" t="s">
        <v>8</v>
      </c>
      <c r="L378" s="106">
        <v>458081.24</v>
      </c>
    </row>
    <row r="379" spans="1:12" ht="51" x14ac:dyDescent="0.3">
      <c r="A379" s="100" t="s">
        <v>470</v>
      </c>
      <c r="B379" s="101" t="s">
        <v>875</v>
      </c>
      <c r="C379" s="101" t="s">
        <v>556</v>
      </c>
      <c r="D379" s="101" t="s">
        <v>669</v>
      </c>
      <c r="E379" s="102" t="s">
        <v>26</v>
      </c>
      <c r="F379" s="108" t="s">
        <v>15</v>
      </c>
      <c r="G379" s="108"/>
      <c r="H379" s="102" t="s">
        <v>13</v>
      </c>
      <c r="I379" s="109">
        <v>367</v>
      </c>
      <c r="J379" s="109"/>
      <c r="K379" s="105" t="s">
        <v>8</v>
      </c>
      <c r="L379" s="106">
        <v>457714.24</v>
      </c>
    </row>
    <row r="380" spans="1:12" ht="51" x14ac:dyDescent="0.3">
      <c r="A380" s="100" t="s">
        <v>470</v>
      </c>
      <c r="B380" s="101" t="s">
        <v>875</v>
      </c>
      <c r="C380" s="101" t="s">
        <v>556</v>
      </c>
      <c r="D380" s="101" t="s">
        <v>544</v>
      </c>
      <c r="E380" s="102" t="s">
        <v>26</v>
      </c>
      <c r="F380" s="108" t="s">
        <v>15</v>
      </c>
      <c r="G380" s="108"/>
      <c r="H380" s="102" t="s">
        <v>13</v>
      </c>
      <c r="I380" s="109">
        <v>454.15</v>
      </c>
      <c r="J380" s="109"/>
      <c r="K380" s="105" t="s">
        <v>8</v>
      </c>
      <c r="L380" s="106">
        <v>457260.09</v>
      </c>
    </row>
    <row r="381" spans="1:12" ht="51" x14ac:dyDescent="0.3">
      <c r="A381" s="100" t="s">
        <v>470</v>
      </c>
      <c r="B381" s="101" t="s">
        <v>875</v>
      </c>
      <c r="C381" s="101" t="s">
        <v>556</v>
      </c>
      <c r="D381" s="101" t="s">
        <v>596</v>
      </c>
      <c r="E381" s="102" t="s">
        <v>26</v>
      </c>
      <c r="F381" s="108" t="s">
        <v>15</v>
      </c>
      <c r="G381" s="108"/>
      <c r="H381" s="102" t="s">
        <v>13</v>
      </c>
      <c r="I381" s="109">
        <v>868.35</v>
      </c>
      <c r="J381" s="109"/>
      <c r="K381" s="105" t="s">
        <v>8</v>
      </c>
      <c r="L381" s="106">
        <v>456391.74</v>
      </c>
    </row>
    <row r="382" spans="1:12" ht="51" x14ac:dyDescent="0.3">
      <c r="A382" s="100" t="s">
        <v>470</v>
      </c>
      <c r="B382" s="101" t="s">
        <v>875</v>
      </c>
      <c r="C382" s="101" t="s">
        <v>556</v>
      </c>
      <c r="D382" s="101" t="s">
        <v>611</v>
      </c>
      <c r="E382" s="102" t="s">
        <v>26</v>
      </c>
      <c r="F382" s="108" t="s">
        <v>15</v>
      </c>
      <c r="G382" s="108"/>
      <c r="H382" s="102" t="s">
        <v>13</v>
      </c>
      <c r="I382" s="109">
        <v>868.35</v>
      </c>
      <c r="J382" s="109"/>
      <c r="K382" s="105" t="s">
        <v>8</v>
      </c>
      <c r="L382" s="106">
        <v>455523.39</v>
      </c>
    </row>
    <row r="383" spans="1:12" ht="51" x14ac:dyDescent="0.3">
      <c r="A383" s="100" t="s">
        <v>470</v>
      </c>
      <c r="B383" s="101" t="s">
        <v>876</v>
      </c>
      <c r="C383" s="101" t="s">
        <v>556</v>
      </c>
      <c r="D383" s="101" t="s">
        <v>675</v>
      </c>
      <c r="E383" s="102" t="s">
        <v>26</v>
      </c>
      <c r="F383" s="108" t="s">
        <v>15</v>
      </c>
      <c r="G383" s="108"/>
      <c r="H383" s="102" t="s">
        <v>13</v>
      </c>
      <c r="I383" s="112">
        <v>4297.05</v>
      </c>
      <c r="J383" s="112"/>
      <c r="K383" s="105" t="s">
        <v>8</v>
      </c>
      <c r="L383" s="106">
        <v>451226.34</v>
      </c>
    </row>
    <row r="384" spans="1:12" ht="40.799999999999997" x14ac:dyDescent="0.3">
      <c r="A384" s="100" t="s">
        <v>470</v>
      </c>
      <c r="B384" s="101" t="s">
        <v>876</v>
      </c>
      <c r="C384" s="101" t="s">
        <v>556</v>
      </c>
      <c r="D384" s="101" t="s">
        <v>767</v>
      </c>
      <c r="E384" s="102" t="s">
        <v>26</v>
      </c>
      <c r="F384" s="108" t="s">
        <v>15</v>
      </c>
      <c r="G384" s="108"/>
      <c r="H384" s="102" t="s">
        <v>13</v>
      </c>
      <c r="I384" s="109">
        <v>136</v>
      </c>
      <c r="J384" s="109"/>
      <c r="K384" s="105" t="s">
        <v>8</v>
      </c>
      <c r="L384" s="106">
        <v>451090.34</v>
      </c>
    </row>
    <row r="385" spans="1:12" ht="51" x14ac:dyDescent="0.3">
      <c r="A385" s="100" t="s">
        <v>470</v>
      </c>
      <c r="B385" s="101" t="s">
        <v>876</v>
      </c>
      <c r="C385" s="101" t="s">
        <v>556</v>
      </c>
      <c r="D385" s="101" t="s">
        <v>651</v>
      </c>
      <c r="E385" s="102" t="s">
        <v>26</v>
      </c>
      <c r="F385" s="108" t="s">
        <v>15</v>
      </c>
      <c r="G385" s="108"/>
      <c r="H385" s="102" t="s">
        <v>13</v>
      </c>
      <c r="I385" s="109">
        <v>142.19999999999999</v>
      </c>
      <c r="J385" s="109"/>
      <c r="K385" s="105" t="s">
        <v>8</v>
      </c>
      <c r="L385" s="106">
        <v>450948.14</v>
      </c>
    </row>
    <row r="386" spans="1:12" ht="51" x14ac:dyDescent="0.3">
      <c r="A386" s="100" t="s">
        <v>470</v>
      </c>
      <c r="B386" s="101" t="s">
        <v>876</v>
      </c>
      <c r="C386" s="101" t="s">
        <v>556</v>
      </c>
      <c r="D386" s="101" t="s">
        <v>654</v>
      </c>
      <c r="E386" s="102" t="s">
        <v>26</v>
      </c>
      <c r="F386" s="108" t="s">
        <v>15</v>
      </c>
      <c r="G386" s="108"/>
      <c r="H386" s="102" t="s">
        <v>13</v>
      </c>
      <c r="I386" s="109">
        <v>541.70000000000005</v>
      </c>
      <c r="J386" s="109"/>
      <c r="K386" s="105" t="s">
        <v>8</v>
      </c>
      <c r="L386" s="106">
        <v>450406.44</v>
      </c>
    </row>
    <row r="387" spans="1:12" ht="61.2" x14ac:dyDescent="0.3">
      <c r="A387" s="100" t="s">
        <v>470</v>
      </c>
      <c r="B387" s="101" t="s">
        <v>876</v>
      </c>
      <c r="C387" s="101" t="s">
        <v>556</v>
      </c>
      <c r="D387" s="101" t="s">
        <v>671</v>
      </c>
      <c r="E387" s="102" t="s">
        <v>26</v>
      </c>
      <c r="F387" s="108" t="s">
        <v>15</v>
      </c>
      <c r="G387" s="108"/>
      <c r="H387" s="102" t="s">
        <v>13</v>
      </c>
      <c r="I387" s="112">
        <v>2940</v>
      </c>
      <c r="J387" s="112"/>
      <c r="K387" s="105" t="s">
        <v>8</v>
      </c>
      <c r="L387" s="106">
        <v>447466.44</v>
      </c>
    </row>
    <row r="388" spans="1:12" ht="51" x14ac:dyDescent="0.3">
      <c r="A388" s="100" t="s">
        <v>470</v>
      </c>
      <c r="B388" s="101" t="s">
        <v>876</v>
      </c>
      <c r="C388" s="101" t="s">
        <v>556</v>
      </c>
      <c r="D388" s="101" t="s">
        <v>599</v>
      </c>
      <c r="E388" s="102" t="s">
        <v>26</v>
      </c>
      <c r="F388" s="108" t="s">
        <v>15</v>
      </c>
      <c r="G388" s="108"/>
      <c r="H388" s="102" t="s">
        <v>13</v>
      </c>
      <c r="I388" s="112">
        <v>6500</v>
      </c>
      <c r="J388" s="112"/>
      <c r="K388" s="105" t="s">
        <v>8</v>
      </c>
      <c r="L388" s="106">
        <v>440966.44</v>
      </c>
    </row>
    <row r="389" spans="1:12" ht="51" x14ac:dyDescent="0.3">
      <c r="A389" s="100" t="s">
        <v>470</v>
      </c>
      <c r="B389" s="101" t="s">
        <v>877</v>
      </c>
      <c r="C389" s="101" t="s">
        <v>556</v>
      </c>
      <c r="D389" s="101" t="s">
        <v>878</v>
      </c>
      <c r="E389" s="102" t="s">
        <v>26</v>
      </c>
      <c r="F389" s="108" t="s">
        <v>15</v>
      </c>
      <c r="G389" s="108"/>
      <c r="H389" s="102" t="s">
        <v>13</v>
      </c>
      <c r="I389" s="109">
        <v>804.2</v>
      </c>
      <c r="J389" s="109"/>
      <c r="K389" s="105" t="s">
        <v>8</v>
      </c>
      <c r="L389" s="106">
        <v>14792.1</v>
      </c>
    </row>
    <row r="390" spans="1:12" ht="51" x14ac:dyDescent="0.3">
      <c r="A390" s="100" t="s">
        <v>470</v>
      </c>
      <c r="B390" s="101" t="s">
        <v>879</v>
      </c>
      <c r="C390" s="101" t="s">
        <v>556</v>
      </c>
      <c r="D390" s="101" t="s">
        <v>880</v>
      </c>
      <c r="E390" s="102" t="s">
        <v>26</v>
      </c>
      <c r="F390" s="108" t="s">
        <v>15</v>
      </c>
      <c r="G390" s="108"/>
      <c r="H390" s="102" t="s">
        <v>13</v>
      </c>
      <c r="I390" s="109">
        <v>241.7</v>
      </c>
      <c r="J390" s="109"/>
      <c r="K390" s="105" t="s">
        <v>8</v>
      </c>
      <c r="L390" s="106">
        <v>14550.4</v>
      </c>
    </row>
    <row r="391" spans="1:12" ht="51" x14ac:dyDescent="0.3">
      <c r="A391" s="100" t="s">
        <v>470</v>
      </c>
      <c r="B391" s="101" t="s">
        <v>881</v>
      </c>
      <c r="C391" s="101" t="s">
        <v>556</v>
      </c>
      <c r="D391" s="101" t="s">
        <v>544</v>
      </c>
      <c r="E391" s="102" t="s">
        <v>26</v>
      </c>
      <c r="F391" s="108" t="s">
        <v>15</v>
      </c>
      <c r="G391" s="108"/>
      <c r="H391" s="102" t="s">
        <v>13</v>
      </c>
      <c r="I391" s="109">
        <v>454.15</v>
      </c>
      <c r="J391" s="109"/>
      <c r="K391" s="105" t="s">
        <v>8</v>
      </c>
      <c r="L391" s="106">
        <v>440512.29</v>
      </c>
    </row>
    <row r="392" spans="1:12" hidden="1" x14ac:dyDescent="0.3">
      <c r="A392" s="113" t="s">
        <v>236</v>
      </c>
      <c r="B392" s="113"/>
      <c r="C392" s="113"/>
      <c r="D392" s="113"/>
      <c r="E392" s="114">
        <v>426615.28</v>
      </c>
      <c r="F392" s="114"/>
      <c r="G392" s="114"/>
      <c r="H392" s="114">
        <v>362145.45</v>
      </c>
      <c r="I392" s="114"/>
      <c r="J392" s="114"/>
      <c r="K392" s="115" t="s">
        <v>8</v>
      </c>
      <c r="L392" s="116">
        <v>580906.57999999996</v>
      </c>
    </row>
    <row r="394" spans="1:12" x14ac:dyDescent="0.3">
      <c r="J394" s="29">
        <f>SUBTOTAL(9,I45:J391)</f>
        <v>313759.33000000007</v>
      </c>
    </row>
    <row r="395" spans="1:12" x14ac:dyDescent="0.3">
      <c r="J395" s="29">
        <f>J394*1.2</f>
        <v>376511.19600000005</v>
      </c>
    </row>
  </sheetData>
  <autoFilter ref="B1:D392" xr:uid="{607E4E5B-89DA-4302-AD99-F318CB4EFF3B}">
    <filterColumn colId="0">
      <filters>
        <filter val="Передача малоцінних активів в експлуатацію ІБ00-000630 від 12.12.2025 23:00:09_x000a_Списание стоимости малоценных активов"/>
        <filter val="Передача малоцінних активів в експлуатацію ІБ00-000632 від 12.12.2025 23:00:13_x000a_Списание стоимости малоценных активов"/>
        <filter val="Передача малоцінних активів в експлуатацію ІБ00-000633 від 12.12.2025 23:00:15_x000a_Списание стоимости малоценных активов"/>
        <filter val="Передача малоцінних активів в експлуатацію ІБ00-000634 від 12.12.2025 23:00:17_x000a_Списание стоимости малоценных активов"/>
        <filter val="Передача малоцінних активів в експлуатацію ІБ00-000635 від 12.12.2025 23:00:19_x000a_Списание стоимости малоценных активов"/>
        <filter val="Передача малоцінних активів в експлуатацію ІБ00-000637 від 12.12.2025 23:00:21_x000a_Списание стоимости малоценных активов"/>
        <filter val="Передача малоцінних активів в експлуатацію ІБ00-000638 від 12.12.2025 15:10:39_x000a_Списание стоимости малоценных активов"/>
        <filter val="Передача малоцінних активів в експлуатацію ІБ00-000639 від 12.12.2025 23:00:24_x000a_Списание стоимости малоценных активов"/>
        <filter val="Передача малоцінних активів в експлуатацію ІБ00-000640 від 12.12.2025 23:00:25_x000a_Списание стоимости малоценных активов"/>
        <filter val="Передача малоцінних активів в експлуатацію ІБ00-000655 від 20.12.2025 20:00:00_x000a_Списание стоимости малоценных активов"/>
        <filter val="Передача малоцінних активів в експлуатацію ІБ00-000656 від 20.12.2025 20:12:52_x000a_Списание стоимости малоценных активов"/>
        <filter val="Передача малоцінних активів в експлуатацію ІБ00-000657 від 20.12.2025 20:12:54_x000a_Списание стоимости малоценных активов"/>
        <filter val="Передача малоцінних активів в експлуатацію ІБ00-000658 від 20.12.2025 20:12:57_x000a_Списание стоимости малоценных активов"/>
        <filter val="Передача малоцінних активів в експлуатацію ІБ00-000659 від 20.12.2025 16:37:08_x000a_Списание стоимости малоценных активов"/>
        <filter val="Передача малоцінних активів в експлуатацію ІБ00-000660 від 20.12.2025 20:12:59_x000a_Списание стоимости малоценных активов"/>
        <filter val="Передача малоцінних активів в експлуатацію ІБ00-000661 від 20.12.2025 20:13:03_x000a_Списание стоимости малоценных активов"/>
        <filter val="Передача малоцінних активів в експлуатацію ІБ00-000662 від 20.12.2025 20:13:05_x000a_Списание стоимости малоценных активов"/>
        <filter val="Передача малоцінних активів в експлуатацію ІБ00-000663 від 20.12.2025 20:13:07_x000a_Списание стоимости малоценных активов"/>
        <filter val="Передача малоцінних активів в експлуатацію ІБ00-000664 від 20.12.2025 20:13:10_x000a_Списание стоимости малоценных активов"/>
        <filter val="Передача малоцінних активів в експлуатацію ІБ00-000665 від 20.12.2025 20:13:12_x000a_Списание стоимости малоценных активов"/>
        <filter val="Передача малоцінних активів в експлуатацію ІБ00-000666 від 20.12.2025 12:00:00_x000a_Списание стоимости малоценных активов"/>
        <filter val="Передача малоцінних активів в експлуатацію ІБ00-000672 від 20.12.2025 20:00:00_x000a_Списание стоимости малоценных активов"/>
        <filter val="Передача малоцінних активів в експлуатацію ІБ00-000675 від 26.12.2025 13:00:03_x000a_Списание стоимости малоценных активов"/>
        <filter val="Передача малоцінних активів в експлуатацію ІБ00-000676 від 29.12.2025 13:00:10_x000a_Списание стоимости малоценных активов"/>
        <filter val="Передача малоцінних активів в експлуатацію ІБ00-000677 від 26.12.2025 13:00:22_x000a_Списание стоимости малоценных активов"/>
        <filter val="Передача малоцінних активів в експлуатацію ІБ00-000678 від 26.12.2025 15:00:00_x000a_Списание стоимости малоценных активов"/>
        <filter val="Передача малоцінних активів в експлуатацію ІБ00-000691 від 30.12.2025 22:00:32_x000a_Списание стоимости малоценных активов"/>
        <filter val="Передача малоцінних активів в експлуатацію ІБ00-000692 від 30.12.2025 22:00:34_x000a_Списание стоимости малоценных активов"/>
        <filter val="Передача малоцінних активів в експлуатацію ІБ00-000693 від 30.12.2025 22:00:36_x000a_Списание стоимости малоценных активов"/>
        <filter val="Передача малоцінних активів в експлуатацію ІБ00-000694 від 30.12.2025 22:00:39_x000a_Списание стоимости малоценных активов"/>
        <filter val="Передача малоцінних активів в експлуатацію ІБ00-000695 від 30.12.2025 23:00:00_x000a_Списание стоимости малоценных активов"/>
        <filter val="Передача малоцінних активів в експлуатацію ІБ00-000696 від 30.12.2025 23:00:02_x000a_Списание стоимости малоценных активов"/>
        <filter val="Передача малоцінних активів в експлуатацію ІБ00-000697 від 30.12.2025 23:00:04_x000a_Списание стоимости малоценных активов"/>
        <filter val="Передача малоцінних активів в експлуатацію ІБ00-000698 від 30.12.2025 23:00:00_x000a_Списание стоимости малоценных активов"/>
        <filter val="Передача малоцінних активів в експлуатацію ІБ00-000699 від 30.12.2025 10:00:00_x000a_Списание стоимости малоценных активов"/>
        <filter val="Передача малоцінних активів в експлуатацію ІБ00-000700 від 30.12.2025 23:00:00_x000a_Списание стоимости малоценных активов"/>
        <filter val="Передача малоцінних активів в експлуатацію ІБ00-000701 від 30.12.2025 23:00:00_x000a_Списание стоимости малоценных активов"/>
        <filter val="Передача малоцінних активів в експлуатацію ІБ00-000710 від 31.12.2025 23:00:00_x000a_Списание стоимости малоценных активов"/>
        <filter val="Передача малоцінних активів в експлуатацію ІБ00-000711 від 31.12.2025 23:00:00_x000a_Списание стоимости малоценных активов"/>
        <filter val="Передача малоцінних активів в експлуатацію ІБ00-000712 від 31.12.2025 23:00:00_x000a_Списание стоимости малоценных активов"/>
        <filter val="Передача малоцінних активів в експлуатацію ІБ00-000713 від 31.12.2025 23:00:00_x000a_Списание стоимости малоценных активов"/>
        <filter val="Передача малоцінних активів в експлуатацію ІБ00-000714 від 31.12.2025 23:00:00_x000a_Списание стоимости малоценных активов"/>
        <filter val="Передача малоцінних активів в експлуатацію ІБ00-000715 від 31.12.2025 23:00:00_x000a_Списание стоимости малоценных активов"/>
        <filter val="Передача малоцінних активів в експлуатацію ІБ00-000716 від 31.12.2025 23:00:00_x000a_Списание стоимости малоценных активов"/>
        <filter val="Передача малоцінних активів в експлуатацію ІБ00-000717 від 31.12.2025 23:00:00_x000a_Списание стоимости малоценных активов"/>
        <filter val="Передача малоцінних активів в експлуатацію ІБ00-000718 від 31.12.2025 23:00:00_x000a_Списание стоимости малоценных активов"/>
        <filter val="Передача малоцінних активів в експлуатацію ІБ00-000719 від 31.12.2025 23:00:00_x000a_Списание стоимости малоценных активов"/>
        <filter val="Передача малоцінних активів в експлуатацію ІБ00-000720 від 31.12.2025 23:00:00_x000a_Списание стоимости малоценных активов"/>
        <filter val="Передача малоцінних активів в експлуатацію ІБ00-000723 від 31.12.2025 23:00:00_x000a_Списание стоимости малоценных активов"/>
        <filter val="Передача малоцінних активів в експлуатацію ІБ00-000724 від 31.12.2025 23:00:00_x000a_Списание стоимости малоценных активов"/>
        <filter val="Передача малоцінних активів в експлуатацію ІБ00-000725 від 31.12.2025 23:00:00_x000a_Списание стоимости малоценных активов"/>
      </filters>
    </filterColumn>
  </autoFilter>
  <mergeCells count="790">
    <mergeCell ref="F391:G391"/>
    <mergeCell ref="I391:J391"/>
    <mergeCell ref="A392:D392"/>
    <mergeCell ref="E392:G392"/>
    <mergeCell ref="H392:J392"/>
    <mergeCell ref="F388:G388"/>
    <mergeCell ref="I388:J388"/>
    <mergeCell ref="F389:G389"/>
    <mergeCell ref="I389:J389"/>
    <mergeCell ref="F390:G390"/>
    <mergeCell ref="I390:J390"/>
    <mergeCell ref="F385:G385"/>
    <mergeCell ref="I385:J385"/>
    <mergeCell ref="F386:G386"/>
    <mergeCell ref="I386:J386"/>
    <mergeCell ref="F387:G387"/>
    <mergeCell ref="I387:J387"/>
    <mergeCell ref="F382:G382"/>
    <mergeCell ref="I382:J382"/>
    <mergeCell ref="F383:G383"/>
    <mergeCell ref="I383:J383"/>
    <mergeCell ref="F384:G384"/>
    <mergeCell ref="I384:J384"/>
    <mergeCell ref="F379:G379"/>
    <mergeCell ref="I379:J379"/>
    <mergeCell ref="F380:G380"/>
    <mergeCell ref="I380:J380"/>
    <mergeCell ref="F381:G381"/>
    <mergeCell ref="I381:J381"/>
    <mergeCell ref="F376:G376"/>
    <mergeCell ref="I376:J376"/>
    <mergeCell ref="F377:G377"/>
    <mergeCell ref="I377:J377"/>
    <mergeCell ref="F378:G378"/>
    <mergeCell ref="I378:J378"/>
    <mergeCell ref="F373:G373"/>
    <mergeCell ref="I373:J373"/>
    <mergeCell ref="F374:G374"/>
    <mergeCell ref="I374:J374"/>
    <mergeCell ref="F375:G375"/>
    <mergeCell ref="I375:J375"/>
    <mergeCell ref="F370:G370"/>
    <mergeCell ref="I370:J370"/>
    <mergeCell ref="F371:G371"/>
    <mergeCell ref="I371:J371"/>
    <mergeCell ref="F372:G372"/>
    <mergeCell ref="I372:J372"/>
    <mergeCell ref="F367:G367"/>
    <mergeCell ref="I367:J367"/>
    <mergeCell ref="F368:G368"/>
    <mergeCell ref="I368:J368"/>
    <mergeCell ref="F369:G369"/>
    <mergeCell ref="I369:J369"/>
    <mergeCell ref="F364:G364"/>
    <mergeCell ref="I364:J364"/>
    <mergeCell ref="F365:G365"/>
    <mergeCell ref="I365:J365"/>
    <mergeCell ref="F366:G366"/>
    <mergeCell ref="I366:J366"/>
    <mergeCell ref="F361:G361"/>
    <mergeCell ref="I361:J361"/>
    <mergeCell ref="F362:G362"/>
    <mergeCell ref="I362:J362"/>
    <mergeCell ref="F363:G363"/>
    <mergeCell ref="I363:J363"/>
    <mergeCell ref="F358:G358"/>
    <mergeCell ref="I358:J358"/>
    <mergeCell ref="F359:G359"/>
    <mergeCell ref="I359:J359"/>
    <mergeCell ref="F360:G360"/>
    <mergeCell ref="I360:J360"/>
    <mergeCell ref="F355:G355"/>
    <mergeCell ref="I355:J355"/>
    <mergeCell ref="F356:G356"/>
    <mergeCell ref="I356:J356"/>
    <mergeCell ref="F357:G357"/>
    <mergeCell ref="I357:J357"/>
    <mergeCell ref="F352:G352"/>
    <mergeCell ref="I352:J352"/>
    <mergeCell ref="F353:G353"/>
    <mergeCell ref="I353:J353"/>
    <mergeCell ref="F354:G354"/>
    <mergeCell ref="I354:J354"/>
    <mergeCell ref="F349:G349"/>
    <mergeCell ref="I349:J349"/>
    <mergeCell ref="F350:G350"/>
    <mergeCell ref="I350:J350"/>
    <mergeCell ref="F351:G351"/>
    <mergeCell ref="I351:J351"/>
    <mergeCell ref="F346:G346"/>
    <mergeCell ref="I346:J346"/>
    <mergeCell ref="F347:G347"/>
    <mergeCell ref="I347:J347"/>
    <mergeCell ref="F348:G348"/>
    <mergeCell ref="I348:J348"/>
    <mergeCell ref="F343:G343"/>
    <mergeCell ref="I343:J343"/>
    <mergeCell ref="F344:G344"/>
    <mergeCell ref="I344:J344"/>
    <mergeCell ref="F345:G345"/>
    <mergeCell ref="I345:J345"/>
    <mergeCell ref="F340:G340"/>
    <mergeCell ref="I340:J340"/>
    <mergeCell ref="F341:G341"/>
    <mergeCell ref="I341:J341"/>
    <mergeCell ref="F342:G342"/>
    <mergeCell ref="I342:J342"/>
    <mergeCell ref="F337:G337"/>
    <mergeCell ref="I337:J337"/>
    <mergeCell ref="F338:G338"/>
    <mergeCell ref="I338:J338"/>
    <mergeCell ref="F339:G339"/>
    <mergeCell ref="I339:J339"/>
    <mergeCell ref="F334:G334"/>
    <mergeCell ref="I334:J334"/>
    <mergeCell ref="F335:G335"/>
    <mergeCell ref="I335:J335"/>
    <mergeCell ref="F336:G336"/>
    <mergeCell ref="I336:J336"/>
    <mergeCell ref="F331:G331"/>
    <mergeCell ref="I331:J331"/>
    <mergeCell ref="F332:G332"/>
    <mergeCell ref="I332:J332"/>
    <mergeCell ref="F333:G333"/>
    <mergeCell ref="I333:J333"/>
    <mergeCell ref="F328:G328"/>
    <mergeCell ref="I328:J328"/>
    <mergeCell ref="F329:G329"/>
    <mergeCell ref="I329:J329"/>
    <mergeCell ref="F330:G330"/>
    <mergeCell ref="I330:J330"/>
    <mergeCell ref="F325:G325"/>
    <mergeCell ref="I325:J325"/>
    <mergeCell ref="F326:G326"/>
    <mergeCell ref="I326:J326"/>
    <mergeCell ref="F327:G327"/>
    <mergeCell ref="I327:J327"/>
    <mergeCell ref="F322:G322"/>
    <mergeCell ref="I322:J322"/>
    <mergeCell ref="F323:G323"/>
    <mergeCell ref="I323:J323"/>
    <mergeCell ref="F324:G324"/>
    <mergeCell ref="I324:J324"/>
    <mergeCell ref="F319:G319"/>
    <mergeCell ref="I319:J319"/>
    <mergeCell ref="F320:G320"/>
    <mergeCell ref="I320:J320"/>
    <mergeCell ref="F321:G321"/>
    <mergeCell ref="I321:J321"/>
    <mergeCell ref="F316:G316"/>
    <mergeCell ref="I316:J316"/>
    <mergeCell ref="F317:G317"/>
    <mergeCell ref="I317:J317"/>
    <mergeCell ref="F318:G318"/>
    <mergeCell ref="I318:J318"/>
    <mergeCell ref="F313:G313"/>
    <mergeCell ref="I313:J313"/>
    <mergeCell ref="F314:G314"/>
    <mergeCell ref="I314:J314"/>
    <mergeCell ref="F315:G315"/>
    <mergeCell ref="I315:J315"/>
    <mergeCell ref="F310:G310"/>
    <mergeCell ref="I310:J310"/>
    <mergeCell ref="F311:G311"/>
    <mergeCell ref="I311:J311"/>
    <mergeCell ref="F312:G312"/>
    <mergeCell ref="I312:J312"/>
    <mergeCell ref="F307:G307"/>
    <mergeCell ref="I307:J307"/>
    <mergeCell ref="F308:G308"/>
    <mergeCell ref="I308:J308"/>
    <mergeCell ref="F309:G309"/>
    <mergeCell ref="I309:J309"/>
    <mergeCell ref="F304:G304"/>
    <mergeCell ref="I304:J304"/>
    <mergeCell ref="F305:G305"/>
    <mergeCell ref="I305:J305"/>
    <mergeCell ref="F306:G306"/>
    <mergeCell ref="I306:J306"/>
    <mergeCell ref="F301:G301"/>
    <mergeCell ref="I301:J301"/>
    <mergeCell ref="F302:G302"/>
    <mergeCell ref="I302:J302"/>
    <mergeCell ref="F303:G303"/>
    <mergeCell ref="I303:J303"/>
    <mergeCell ref="F298:G298"/>
    <mergeCell ref="I298:J298"/>
    <mergeCell ref="F299:G299"/>
    <mergeCell ref="I299:J299"/>
    <mergeCell ref="F300:G300"/>
    <mergeCell ref="I300:J300"/>
    <mergeCell ref="F295:G295"/>
    <mergeCell ref="I295:J295"/>
    <mergeCell ref="F296:G296"/>
    <mergeCell ref="I296:J296"/>
    <mergeCell ref="F297:G297"/>
    <mergeCell ref="I297:J297"/>
    <mergeCell ref="F292:G292"/>
    <mergeCell ref="I292:J292"/>
    <mergeCell ref="F293:G293"/>
    <mergeCell ref="I293:J293"/>
    <mergeCell ref="F294:G294"/>
    <mergeCell ref="I294:J294"/>
    <mergeCell ref="F289:G289"/>
    <mergeCell ref="I289:J289"/>
    <mergeCell ref="F290:G290"/>
    <mergeCell ref="I290:J290"/>
    <mergeCell ref="F291:G291"/>
    <mergeCell ref="I291:J291"/>
    <mergeCell ref="F286:G286"/>
    <mergeCell ref="I286:J286"/>
    <mergeCell ref="F287:G287"/>
    <mergeCell ref="I287:J287"/>
    <mergeCell ref="F288:G288"/>
    <mergeCell ref="I288:J288"/>
    <mergeCell ref="F283:G283"/>
    <mergeCell ref="I283:J283"/>
    <mergeCell ref="F284:G284"/>
    <mergeCell ref="I284:J284"/>
    <mergeCell ref="F285:G285"/>
    <mergeCell ref="I285:J285"/>
    <mergeCell ref="F280:G280"/>
    <mergeCell ref="I280:J280"/>
    <mergeCell ref="F281:G281"/>
    <mergeCell ref="I281:J281"/>
    <mergeCell ref="F282:G282"/>
    <mergeCell ref="I282:J282"/>
    <mergeCell ref="F277:G277"/>
    <mergeCell ref="I277:J277"/>
    <mergeCell ref="F278:G278"/>
    <mergeCell ref="I278:J278"/>
    <mergeCell ref="F279:G279"/>
    <mergeCell ref="I279:J279"/>
    <mergeCell ref="F274:G274"/>
    <mergeCell ref="I274:J274"/>
    <mergeCell ref="F275:G275"/>
    <mergeCell ref="I275:J275"/>
    <mergeCell ref="F276:G276"/>
    <mergeCell ref="I276:J276"/>
    <mergeCell ref="F271:G271"/>
    <mergeCell ref="I271:J271"/>
    <mergeCell ref="F272:G272"/>
    <mergeCell ref="I272:J272"/>
    <mergeCell ref="F273:G273"/>
    <mergeCell ref="I273:J273"/>
    <mergeCell ref="F268:G268"/>
    <mergeCell ref="I268:J268"/>
    <mergeCell ref="F269:G269"/>
    <mergeCell ref="I269:J269"/>
    <mergeCell ref="F270:G270"/>
    <mergeCell ref="I270:J270"/>
    <mergeCell ref="F265:G265"/>
    <mergeCell ref="I265:J265"/>
    <mergeCell ref="F266:G266"/>
    <mergeCell ref="I266:J266"/>
    <mergeCell ref="F267:G267"/>
    <mergeCell ref="I267:J267"/>
    <mergeCell ref="F262:G262"/>
    <mergeCell ref="I262:J262"/>
    <mergeCell ref="F263:G263"/>
    <mergeCell ref="I263:J263"/>
    <mergeCell ref="F264:G264"/>
    <mergeCell ref="I264:J264"/>
    <mergeCell ref="F259:G259"/>
    <mergeCell ref="I259:J259"/>
    <mergeCell ref="F260:G260"/>
    <mergeCell ref="I260:J260"/>
    <mergeCell ref="F261:G261"/>
    <mergeCell ref="I261:J261"/>
    <mergeCell ref="F256:G256"/>
    <mergeCell ref="I256:J256"/>
    <mergeCell ref="F257:G257"/>
    <mergeCell ref="I257:J257"/>
    <mergeCell ref="F258:G258"/>
    <mergeCell ref="I258:J258"/>
    <mergeCell ref="F253:G253"/>
    <mergeCell ref="I253:J253"/>
    <mergeCell ref="F254:G254"/>
    <mergeCell ref="I254:J254"/>
    <mergeCell ref="F255:G255"/>
    <mergeCell ref="I255:J255"/>
    <mergeCell ref="F250:G250"/>
    <mergeCell ref="I250:J250"/>
    <mergeCell ref="F251:G251"/>
    <mergeCell ref="I251:J251"/>
    <mergeCell ref="F252:G252"/>
    <mergeCell ref="I252:J252"/>
    <mergeCell ref="F247:G247"/>
    <mergeCell ref="I247:J247"/>
    <mergeCell ref="F248:G248"/>
    <mergeCell ref="I248:J248"/>
    <mergeCell ref="F249:G249"/>
    <mergeCell ref="I249:J249"/>
    <mergeCell ref="F244:G244"/>
    <mergeCell ref="I244:J244"/>
    <mergeCell ref="F245:G245"/>
    <mergeCell ref="I245:J245"/>
    <mergeCell ref="F246:G246"/>
    <mergeCell ref="I246:J246"/>
    <mergeCell ref="F241:G241"/>
    <mergeCell ref="I241:J241"/>
    <mergeCell ref="F242:G242"/>
    <mergeCell ref="I242:J242"/>
    <mergeCell ref="F243:G243"/>
    <mergeCell ref="I243:J243"/>
    <mergeCell ref="F238:G238"/>
    <mergeCell ref="I238:J238"/>
    <mergeCell ref="F239:G239"/>
    <mergeCell ref="I239:J239"/>
    <mergeCell ref="F240:G240"/>
    <mergeCell ref="I240:J240"/>
    <mergeCell ref="F235:G235"/>
    <mergeCell ref="I235:J235"/>
    <mergeCell ref="F236:G236"/>
    <mergeCell ref="I236:J236"/>
    <mergeCell ref="F237:G237"/>
    <mergeCell ref="I237:J237"/>
    <mergeCell ref="F232:G232"/>
    <mergeCell ref="I232:J232"/>
    <mergeCell ref="F233:G233"/>
    <mergeCell ref="I233:J233"/>
    <mergeCell ref="F234:G234"/>
    <mergeCell ref="I234:J234"/>
    <mergeCell ref="F229:G229"/>
    <mergeCell ref="I229:J229"/>
    <mergeCell ref="F230:G230"/>
    <mergeCell ref="I230:J230"/>
    <mergeCell ref="F231:G231"/>
    <mergeCell ref="I231:J231"/>
    <mergeCell ref="F226:G226"/>
    <mergeCell ref="I226:J226"/>
    <mergeCell ref="F227:G227"/>
    <mergeCell ref="I227:J227"/>
    <mergeCell ref="F228:G228"/>
    <mergeCell ref="I228:J228"/>
    <mergeCell ref="F223:G223"/>
    <mergeCell ref="I223:J223"/>
    <mergeCell ref="F224:G224"/>
    <mergeCell ref="I224:J224"/>
    <mergeCell ref="F225:G225"/>
    <mergeCell ref="I225:J225"/>
    <mergeCell ref="F220:G220"/>
    <mergeCell ref="I220:J220"/>
    <mergeCell ref="F221:G221"/>
    <mergeCell ref="I221:J221"/>
    <mergeCell ref="F222:G222"/>
    <mergeCell ref="I222:J222"/>
    <mergeCell ref="F217:G217"/>
    <mergeCell ref="I217:J217"/>
    <mergeCell ref="F218:G218"/>
    <mergeCell ref="I218:J218"/>
    <mergeCell ref="F219:G219"/>
    <mergeCell ref="I219:J219"/>
    <mergeCell ref="F214:G214"/>
    <mergeCell ref="I214:J214"/>
    <mergeCell ref="F215:G215"/>
    <mergeCell ref="I215:J215"/>
    <mergeCell ref="F216:G216"/>
    <mergeCell ref="I216:J216"/>
    <mergeCell ref="F211:G211"/>
    <mergeCell ref="I211:J211"/>
    <mergeCell ref="F212:G212"/>
    <mergeCell ref="I212:J212"/>
    <mergeCell ref="F213:G213"/>
    <mergeCell ref="I213:J213"/>
    <mergeCell ref="F208:G208"/>
    <mergeCell ref="I208:J208"/>
    <mergeCell ref="F209:G209"/>
    <mergeCell ref="I209:J209"/>
    <mergeCell ref="F210:G210"/>
    <mergeCell ref="I210:J210"/>
    <mergeCell ref="F205:G205"/>
    <mergeCell ref="I205:J205"/>
    <mergeCell ref="F206:G206"/>
    <mergeCell ref="I206:J206"/>
    <mergeCell ref="F207:G207"/>
    <mergeCell ref="I207:J207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Тищенки</vt:lpstr>
      <vt:lpstr>МХП Катеринополь</vt:lpstr>
      <vt:lpstr>КМД-2</vt:lpstr>
      <vt:lpstr>Нежин-4</vt:lpstr>
      <vt:lpstr>Глобино-2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2026-03-18T13:07:04Z</dcterms:modified>
</cp:coreProperties>
</file>
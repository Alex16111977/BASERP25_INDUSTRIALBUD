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нь_25\Данные\Строительство\"/>
    </mc:Choice>
  </mc:AlternateContent>
  <xr:revisionPtr revIDLastSave="0" documentId="13_ncr:1_{ED0FA36D-23D9-4E59-9BC5-FF2CE39FAA32}" xr6:coauthVersionLast="45" xr6:coauthVersionMax="45" xr10:uidLastSave="{00000000-0000-0000-0000-000000000000}"/>
  <bookViews>
    <workbookView xWindow="-108" yWindow="-108" windowWidth="23256" windowHeight="12600" activeTab="3" xr2:uid="{00000000-000D-0000-FFFF-FFFF00000000}"/>
  </bookViews>
  <sheets>
    <sheet name="Оплаты" sheetId="9" r:id="rId1"/>
    <sheet name="0-99 км (130грн)" sheetId="4" r:id="rId2"/>
    <sheet name="100-199км (70 грн)" sheetId="5" r:id="rId3"/>
    <sheet name="от 200 км (60 грн)" sheetId="6" r:id="rId4"/>
    <sheet name="Лист1" sheetId="10" state="hidden" r:id="rId5"/>
    <sheet name=" Трали Спецтехника" sheetId="7" r:id="rId6"/>
    <sheet name="Мелкие грузы" sheetId="8" r:id="rId7"/>
    <sheet name="Лист2" sheetId="11" r:id="rId8"/>
    <sheet name="Топливо_200К" sheetId="2" state="hidden" r:id="rId9"/>
  </sheets>
  <externalReferences>
    <externalReference r:id="rId10"/>
    <externalReference r:id="rId11"/>
  </externalReferences>
  <definedNames>
    <definedName name="_xlnm._FilterDatabase" localSheetId="8" hidden="1">Топливо_200К!$B$4:$H$4</definedName>
    <definedName name="ПлечоРейса">[1]Инфо!$D$8</definedName>
    <definedName name="Ср.скорость">[1]Инфо!$D$14</definedName>
    <definedName name="СС_1_КМ">[1]СС!$B$3</definedName>
    <definedName name="СтавкаЗП">[1]Инфо!$D$10</definedName>
    <definedName name="ФОТ">[1]Инфо!$D$12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2" i="6" l="1"/>
  <c r="M288" i="8" l="1"/>
  <c r="L288" i="8"/>
  <c r="L289" i="8"/>
  <c r="J288" i="8"/>
  <c r="I289" i="8"/>
  <c r="M289" i="8" s="1"/>
  <c r="I288" i="8"/>
  <c r="J289" i="8" l="1"/>
  <c r="L287" i="8"/>
  <c r="I287" i="8"/>
  <c r="M287" i="8" s="1"/>
  <c r="J287" i="8" l="1"/>
  <c r="L286" i="8"/>
  <c r="I286" i="8"/>
  <c r="M286" i="8" s="1"/>
  <c r="J286" i="8" l="1"/>
  <c r="L285" i="8"/>
  <c r="I285" i="8"/>
  <c r="M285" i="8" s="1"/>
  <c r="L284" i="8"/>
  <c r="L283" i="8"/>
  <c r="I284" i="8"/>
  <c r="M284" i="8" s="1"/>
  <c r="I283" i="8"/>
  <c r="J283" i="8" s="1"/>
  <c r="J285" i="8" l="1"/>
  <c r="M283" i="8"/>
  <c r="J284" i="8"/>
  <c r="L280" i="8" l="1"/>
  <c r="L281" i="8"/>
  <c r="L282" i="8"/>
  <c r="I282" i="8"/>
  <c r="M282" i="8" s="1"/>
  <c r="I281" i="8"/>
  <c r="M281" i="8" s="1"/>
  <c r="I280" i="8"/>
  <c r="M280" i="8" s="1"/>
  <c r="J280" i="8" l="1"/>
  <c r="J282" i="8"/>
  <c r="J281" i="8"/>
  <c r="G205" i="6"/>
  <c r="G206" i="6"/>
  <c r="G207" i="6"/>
  <c r="G208" i="6"/>
  <c r="G209" i="6"/>
  <c r="I209" i="6" s="1"/>
  <c r="G210" i="6"/>
  <c r="I210" i="6" s="1"/>
  <c r="H206" i="6"/>
  <c r="H207" i="6"/>
  <c r="H208" i="6"/>
  <c r="H209" i="6"/>
  <c r="H210" i="6"/>
  <c r="I201" i="6"/>
  <c r="J201" i="6" s="1"/>
  <c r="I202" i="6"/>
  <c r="J202" i="6" s="1"/>
  <c r="I203" i="6"/>
  <c r="J203" i="6" s="1"/>
  <c r="I204" i="6"/>
  <c r="J204" i="6" s="1"/>
  <c r="I205" i="6"/>
  <c r="M205" i="6" s="1"/>
  <c r="I206" i="6"/>
  <c r="M206" i="6" s="1"/>
  <c r="I207" i="6"/>
  <c r="M207" i="6" s="1"/>
  <c r="I208" i="6"/>
  <c r="M208" i="6" s="1"/>
  <c r="L201" i="6"/>
  <c r="L202" i="6"/>
  <c r="L203" i="6"/>
  <c r="L204" i="6"/>
  <c r="L205" i="6"/>
  <c r="L206" i="6"/>
  <c r="L207" i="6"/>
  <c r="L208" i="6"/>
  <c r="L209" i="6"/>
  <c r="L210" i="6"/>
  <c r="M201" i="6" l="1"/>
  <c r="M204" i="6"/>
  <c r="M203" i="6"/>
  <c r="M202" i="6"/>
  <c r="M210" i="6"/>
  <c r="J210" i="6"/>
  <c r="J209" i="6"/>
  <c r="M209" i="6"/>
  <c r="J208" i="6"/>
  <c r="J207" i="6"/>
  <c r="J206" i="6"/>
  <c r="J205" i="6"/>
  <c r="I200" i="6" l="1"/>
  <c r="J200" i="6" s="1"/>
  <c r="L200" i="6"/>
  <c r="I101" i="5"/>
  <c r="J101" i="5" s="1"/>
  <c r="L101" i="5"/>
  <c r="M200" i="6" l="1"/>
  <c r="M101" i="5"/>
  <c r="L275" i="8"/>
  <c r="L276" i="8"/>
  <c r="L277" i="8"/>
  <c r="L278" i="8"/>
  <c r="L279" i="8"/>
  <c r="I275" i="8"/>
  <c r="M275" i="8" s="1"/>
  <c r="I276" i="8"/>
  <c r="J276" i="8" s="1"/>
  <c r="I277" i="8"/>
  <c r="J277" i="8" s="1"/>
  <c r="I278" i="8"/>
  <c r="J278" i="8" s="1"/>
  <c r="I279" i="8"/>
  <c r="M279" i="8" s="1"/>
  <c r="J275" i="8" l="1"/>
  <c r="M278" i="8"/>
  <c r="M277" i="8"/>
  <c r="M276" i="8"/>
  <c r="J279" i="8"/>
  <c r="I199" i="6"/>
  <c r="J199" i="6" s="1"/>
  <c r="L199" i="6"/>
  <c r="M199" i="6" l="1"/>
  <c r="L273" i="8" l="1"/>
  <c r="L274" i="8"/>
  <c r="I273" i="8"/>
  <c r="M273" i="8" s="1"/>
  <c r="I274" i="8"/>
  <c r="M274" i="8" s="1"/>
  <c r="J273" i="8" l="1"/>
  <c r="J274" i="8"/>
  <c r="L272" i="8"/>
  <c r="I272" i="8"/>
  <c r="M272" i="8" s="1"/>
  <c r="J272" i="8" l="1"/>
  <c r="I100" i="5"/>
  <c r="J100" i="5" s="1"/>
  <c r="L100" i="5"/>
  <c r="I99" i="5"/>
  <c r="J99" i="5" s="1"/>
  <c r="L99" i="5"/>
  <c r="M100" i="5" l="1"/>
  <c r="M99" i="5"/>
  <c r="L271" i="8"/>
  <c r="I271" i="8"/>
  <c r="M271" i="8" s="1"/>
  <c r="J271" i="8" l="1"/>
  <c r="L269" i="8"/>
  <c r="L270" i="8"/>
  <c r="I269" i="8"/>
  <c r="M269" i="8" s="1"/>
  <c r="I270" i="8"/>
  <c r="M270" i="8" s="1"/>
  <c r="J270" i="8" l="1"/>
  <c r="J269" i="8"/>
  <c r="I98" i="5" l="1"/>
  <c r="M98" i="5" s="1"/>
  <c r="L98" i="5"/>
  <c r="L191" i="6"/>
  <c r="L192" i="6"/>
  <c r="L193" i="6"/>
  <c r="L194" i="6"/>
  <c r="L195" i="6"/>
  <c r="L196" i="6"/>
  <c r="I191" i="6"/>
  <c r="M191" i="6" s="1"/>
  <c r="I192" i="6"/>
  <c r="M192" i="6" s="1"/>
  <c r="I193" i="6"/>
  <c r="J193" i="6" s="1"/>
  <c r="I194" i="6"/>
  <c r="J194" i="6" s="1"/>
  <c r="I195" i="6"/>
  <c r="J195" i="6" s="1"/>
  <c r="I196" i="6"/>
  <c r="J196" i="6" s="1"/>
  <c r="I197" i="6"/>
  <c r="J197" i="6" s="1"/>
  <c r="I198" i="6"/>
  <c r="M198" i="6" s="1"/>
  <c r="L197" i="6"/>
  <c r="L198" i="6"/>
  <c r="I190" i="6"/>
  <c r="M190" i="6" s="1"/>
  <c r="L190" i="6"/>
  <c r="L267" i="8"/>
  <c r="L268" i="8"/>
  <c r="I268" i="8"/>
  <c r="J268" i="8" s="1"/>
  <c r="I267" i="8"/>
  <c r="J267" i="8" s="1"/>
  <c r="L266" i="8"/>
  <c r="I266" i="8"/>
  <c r="M266" i="8" s="1"/>
  <c r="L265" i="8"/>
  <c r="I265" i="8"/>
  <c r="J265" i="8" s="1"/>
  <c r="I189" i="6"/>
  <c r="J189" i="6" s="1"/>
  <c r="L189" i="6"/>
  <c r="M189" i="6" l="1"/>
  <c r="M267" i="8"/>
  <c r="J192" i="6"/>
  <c r="J190" i="6"/>
  <c r="J191" i="6"/>
  <c r="J98" i="5"/>
  <c r="M196" i="6"/>
  <c r="M197" i="6"/>
  <c r="M194" i="6"/>
  <c r="M195" i="6"/>
  <c r="M193" i="6"/>
  <c r="J198" i="6"/>
  <c r="M268" i="8"/>
  <c r="J266" i="8"/>
  <c r="M265" i="8"/>
  <c r="I188" i="6"/>
  <c r="J188" i="6" s="1"/>
  <c r="L188" i="6"/>
  <c r="M188" i="6" l="1"/>
  <c r="L97" i="5"/>
  <c r="J97" i="5" l="1"/>
  <c r="M97" i="5"/>
  <c r="I96" i="5"/>
  <c r="J96" i="5" s="1"/>
  <c r="L96" i="5"/>
  <c r="M96" i="5" l="1"/>
  <c r="I219" i="7"/>
  <c r="J219" i="7" s="1"/>
  <c r="L219" i="7"/>
  <c r="M219" i="7" l="1"/>
  <c r="I187" i="6" l="1"/>
  <c r="J187" i="6" s="1"/>
  <c r="L187" i="6"/>
  <c r="I186" i="6"/>
  <c r="J186" i="6" s="1"/>
  <c r="L186" i="6"/>
  <c r="M187" i="6" l="1"/>
  <c r="M186" i="6"/>
  <c r="L258" i="8"/>
  <c r="L259" i="8"/>
  <c r="L260" i="8"/>
  <c r="L261" i="8"/>
  <c r="L262" i="8"/>
  <c r="L263" i="8"/>
  <c r="L264" i="8"/>
  <c r="I258" i="8"/>
  <c r="J258" i="8" s="1"/>
  <c r="I259" i="8"/>
  <c r="M259" i="8" s="1"/>
  <c r="I260" i="8"/>
  <c r="J260" i="8" s="1"/>
  <c r="I261" i="8"/>
  <c r="J261" i="8" s="1"/>
  <c r="I262" i="8"/>
  <c r="M262" i="8" s="1"/>
  <c r="I263" i="8"/>
  <c r="M263" i="8" s="1"/>
  <c r="I264" i="8"/>
  <c r="M264" i="8" s="1"/>
  <c r="J263" i="8" l="1"/>
  <c r="J264" i="8"/>
  <c r="J262" i="8"/>
  <c r="J259" i="8"/>
  <c r="M261" i="8"/>
  <c r="M258" i="8"/>
  <c r="M260" i="8"/>
  <c r="I95" i="5"/>
  <c r="J95" i="5" s="1"/>
  <c r="L95" i="5"/>
  <c r="M95" i="5" l="1"/>
  <c r="I185" i="6"/>
  <c r="J185" i="6" s="1"/>
  <c r="L185" i="6"/>
  <c r="M185" i="6" l="1"/>
  <c r="L257" i="8"/>
  <c r="I257" i="8"/>
  <c r="J257" i="8" s="1"/>
  <c r="M257" i="8" l="1"/>
  <c r="I94" i="5"/>
  <c r="J94" i="5" s="1"/>
  <c r="L94" i="5"/>
  <c r="M94" i="5" l="1"/>
  <c r="J256" i="8" l="1"/>
  <c r="M256" i="8"/>
  <c r="L256" i="8"/>
  <c r="I93" i="5" l="1"/>
  <c r="J93" i="5" s="1"/>
  <c r="L93" i="5"/>
  <c r="L255" i="8"/>
  <c r="I255" i="8"/>
  <c r="L253" i="8"/>
  <c r="L254" i="8"/>
  <c r="I253" i="8"/>
  <c r="M253" i="8" s="1"/>
  <c r="I254" i="8"/>
  <c r="M254" i="8" s="1"/>
  <c r="I92" i="5"/>
  <c r="J92" i="5" s="1"/>
  <c r="L92" i="5"/>
  <c r="L181" i="6"/>
  <c r="L182" i="6"/>
  <c r="L183" i="6"/>
  <c r="L184" i="6"/>
  <c r="I179" i="6"/>
  <c r="M179" i="6" s="1"/>
  <c r="I180" i="6"/>
  <c r="M180" i="6" s="1"/>
  <c r="I181" i="6"/>
  <c r="M181" i="6" s="1"/>
  <c r="I182" i="6"/>
  <c r="J182" i="6" s="1"/>
  <c r="I183" i="6"/>
  <c r="M183" i="6" s="1"/>
  <c r="I184" i="6"/>
  <c r="M184" i="6" s="1"/>
  <c r="L179" i="6"/>
  <c r="L180" i="6"/>
  <c r="I178" i="6"/>
  <c r="J178" i="6" s="1"/>
  <c r="L178" i="6"/>
  <c r="J184" i="6" l="1"/>
  <c r="M92" i="5"/>
  <c r="J183" i="6"/>
  <c r="J253" i="8"/>
  <c r="M255" i="8"/>
  <c r="J255" i="8"/>
  <c r="J181" i="6"/>
  <c r="M93" i="5"/>
  <c r="J254" i="8"/>
  <c r="J179" i="6"/>
  <c r="M178" i="6"/>
  <c r="M182" i="6"/>
  <c r="J180" i="6"/>
  <c r="I91" i="5" l="1"/>
  <c r="J91" i="5" s="1"/>
  <c r="L91" i="5"/>
  <c r="M91" i="5" l="1"/>
  <c r="I90" i="5"/>
  <c r="L90" i="5"/>
  <c r="J90" i="5" l="1"/>
  <c r="M90" i="5"/>
  <c r="L250" i="8" l="1"/>
  <c r="L251" i="8"/>
  <c r="L252" i="8"/>
  <c r="I251" i="8"/>
  <c r="J251" i="8" s="1"/>
  <c r="I252" i="8"/>
  <c r="M252" i="8" s="1"/>
  <c r="I250" i="8"/>
  <c r="M250" i="8" s="1"/>
  <c r="M251" i="8" l="1"/>
  <c r="J250" i="8"/>
  <c r="J252" i="8"/>
  <c r="L177" i="6"/>
  <c r="I177" i="6"/>
  <c r="M177" i="6" s="1"/>
  <c r="J177" i="6" l="1"/>
  <c r="I176" i="6" l="1"/>
  <c r="L176" i="6"/>
  <c r="I175" i="6"/>
  <c r="L175" i="6"/>
  <c r="L247" i="8"/>
  <c r="L248" i="8"/>
  <c r="L249" i="8"/>
  <c r="I249" i="8"/>
  <c r="M249" i="8" s="1"/>
  <c r="I89" i="5"/>
  <c r="M89" i="5" s="1"/>
  <c r="L89" i="5"/>
  <c r="I88" i="5"/>
  <c r="M88" i="5" s="1"/>
  <c r="L88" i="5"/>
  <c r="I248" i="8"/>
  <c r="J248" i="8" s="1"/>
  <c r="I247" i="8"/>
  <c r="M247" i="8" s="1"/>
  <c r="J247" i="8" l="1"/>
  <c r="M248" i="8"/>
  <c r="J249" i="8"/>
  <c r="J176" i="6"/>
  <c r="M176" i="6"/>
  <c r="J175" i="6"/>
  <c r="M175" i="6"/>
  <c r="J89" i="5"/>
  <c r="J88" i="5"/>
  <c r="L245" i="8"/>
  <c r="L246" i="8"/>
  <c r="I245" i="8"/>
  <c r="M245" i="8" s="1"/>
  <c r="I246" i="8"/>
  <c r="J246" i="8" s="1"/>
  <c r="M246" i="8" l="1"/>
  <c r="J245" i="8"/>
  <c r="I173" i="6"/>
  <c r="L173" i="6"/>
  <c r="I170" i="6"/>
  <c r="M170" i="6" s="1"/>
  <c r="I171" i="6"/>
  <c r="M171" i="6" s="1"/>
  <c r="I172" i="6"/>
  <c r="J172" i="6" s="1"/>
  <c r="I174" i="6"/>
  <c r="M174" i="6" s="1"/>
  <c r="J170" i="6"/>
  <c r="J171" i="6"/>
  <c r="L170" i="6"/>
  <c r="L171" i="6"/>
  <c r="L172" i="6"/>
  <c r="L174" i="6"/>
  <c r="L169" i="6"/>
  <c r="I169" i="6"/>
  <c r="M169" i="6" s="1"/>
  <c r="J174" i="6" l="1"/>
  <c r="J173" i="6"/>
  <c r="M173" i="6"/>
  <c r="M172" i="6"/>
  <c r="J169" i="6"/>
  <c r="L87" i="5" l="1"/>
  <c r="I87" i="5"/>
  <c r="J87" i="5" s="1"/>
  <c r="M87" i="5" l="1"/>
  <c r="L244" i="8" l="1"/>
  <c r="I244" i="8"/>
  <c r="M244" i="8" s="1"/>
  <c r="L243" i="8"/>
  <c r="J244" i="8" l="1"/>
  <c r="L242" i="8"/>
  <c r="I243" i="8"/>
  <c r="I242" i="8"/>
  <c r="M242" i="8" s="1"/>
  <c r="L239" i="8"/>
  <c r="L240" i="8"/>
  <c r="L241" i="8"/>
  <c r="I240" i="8"/>
  <c r="M240" i="8" s="1"/>
  <c r="I241" i="8"/>
  <c r="M241" i="8" s="1"/>
  <c r="I239" i="8"/>
  <c r="J239" i="8" s="1"/>
  <c r="L237" i="8"/>
  <c r="L238" i="8"/>
  <c r="I238" i="8"/>
  <c r="J238" i="8" s="1"/>
  <c r="I237" i="8"/>
  <c r="J237" i="8" s="1"/>
  <c r="J242" i="8" l="1"/>
  <c r="J243" i="8"/>
  <c r="M243" i="8"/>
  <c r="J241" i="8"/>
  <c r="J240" i="8"/>
  <c r="M239" i="8"/>
  <c r="M238" i="8"/>
  <c r="M237" i="8"/>
  <c r="I86" i="5"/>
  <c r="L86" i="5"/>
  <c r="J86" i="5" l="1"/>
  <c r="M86" i="5"/>
  <c r="I85" i="5" l="1"/>
  <c r="L85" i="5"/>
  <c r="J85" i="5" l="1"/>
  <c r="M85" i="5"/>
  <c r="L218" i="7"/>
  <c r="I218" i="7"/>
  <c r="J218" i="7" s="1"/>
  <c r="M218" i="7" l="1"/>
  <c r="L235" i="8"/>
  <c r="L236" i="8"/>
  <c r="I236" i="8"/>
  <c r="I235" i="8"/>
  <c r="J235" i="8" s="1"/>
  <c r="L234" i="8"/>
  <c r="I234" i="8"/>
  <c r="M234" i="8" s="1"/>
  <c r="M235" i="8" l="1"/>
  <c r="M236" i="8"/>
  <c r="J236" i="8"/>
  <c r="J234" i="8"/>
  <c r="I168" i="6"/>
  <c r="L168" i="6"/>
  <c r="I167" i="6"/>
  <c r="L167" i="6"/>
  <c r="J168" i="6" l="1"/>
  <c r="M168" i="6"/>
  <c r="M167" i="6"/>
  <c r="J167" i="6"/>
  <c r="L233" i="8"/>
  <c r="I233" i="8"/>
  <c r="M233" i="8" s="1"/>
  <c r="J233" i="8" l="1"/>
  <c r="L163" i="6"/>
  <c r="M163" i="6"/>
  <c r="J163" i="6"/>
  <c r="I166" i="6"/>
  <c r="M166" i="6" s="1"/>
  <c r="L166" i="6"/>
  <c r="L162" i="6"/>
  <c r="L164" i="6"/>
  <c r="L165" i="6"/>
  <c r="I162" i="6"/>
  <c r="M162" i="6" s="1"/>
  <c r="I164" i="6"/>
  <c r="J164" i="6" s="1"/>
  <c r="I165" i="6"/>
  <c r="J165" i="6" s="1"/>
  <c r="M165" i="6" l="1"/>
  <c r="J166" i="6"/>
  <c r="M164" i="6"/>
  <c r="J162" i="6"/>
  <c r="I161" i="6"/>
  <c r="L161" i="6"/>
  <c r="J161" i="6" l="1"/>
  <c r="M161" i="6"/>
  <c r="L231" i="8"/>
  <c r="L232" i="8"/>
  <c r="I232" i="8"/>
  <c r="M232" i="8" s="1"/>
  <c r="I231" i="8"/>
  <c r="M231" i="8" s="1"/>
  <c r="J232" i="8" l="1"/>
  <c r="J231" i="8"/>
  <c r="L160" i="6"/>
  <c r="I160" i="6"/>
  <c r="M160" i="6" s="1"/>
  <c r="I159" i="6"/>
  <c r="L159" i="6"/>
  <c r="J160" i="6" l="1"/>
  <c r="J159" i="6"/>
  <c r="M159" i="6"/>
  <c r="I84" i="5"/>
  <c r="M84" i="5" s="1"/>
  <c r="L84" i="5"/>
  <c r="I158" i="6"/>
  <c r="M158" i="6" s="1"/>
  <c r="L158" i="6"/>
  <c r="I83" i="5"/>
  <c r="M83" i="5" s="1"/>
  <c r="L83" i="5"/>
  <c r="L230" i="8"/>
  <c r="I230" i="8"/>
  <c r="J230" i="8" s="1"/>
  <c r="L229" i="8"/>
  <c r="I229" i="8"/>
  <c r="M229" i="8" s="1"/>
  <c r="L82" i="5"/>
  <c r="I82" i="5"/>
  <c r="M82" i="5" s="1"/>
  <c r="M230" i="8" l="1"/>
  <c r="J83" i="5"/>
  <c r="J158" i="6"/>
  <c r="J84" i="5"/>
  <c r="J229" i="8"/>
  <c r="J82" i="5"/>
  <c r="I157" i="6" l="1"/>
  <c r="L157" i="6"/>
  <c r="J157" i="6" l="1"/>
  <c r="M157" i="6"/>
  <c r="I156" i="6" l="1"/>
  <c r="L156" i="6"/>
  <c r="L228" i="8"/>
  <c r="I228" i="8"/>
  <c r="J228" i="8" s="1"/>
  <c r="M228" i="8" l="1"/>
  <c r="J156" i="6"/>
  <c r="M156" i="6"/>
  <c r="I154" i="6"/>
  <c r="I155" i="6"/>
  <c r="J155" i="6" s="1"/>
  <c r="L154" i="6"/>
  <c r="L155" i="6"/>
  <c r="M155" i="6" l="1"/>
  <c r="J154" i="6"/>
  <c r="M154" i="6"/>
  <c r="L226" i="8"/>
  <c r="L227" i="8"/>
  <c r="I226" i="8"/>
  <c r="J226" i="8" s="1"/>
  <c r="I227" i="8"/>
  <c r="M227" i="8" s="1"/>
  <c r="J227" i="8" l="1"/>
  <c r="M226" i="8"/>
  <c r="L80" i="5"/>
  <c r="I80" i="5"/>
  <c r="M80" i="5" s="1"/>
  <c r="L81" i="5"/>
  <c r="I81" i="5"/>
  <c r="M81" i="5" s="1"/>
  <c r="J80" i="5" l="1"/>
  <c r="J81" i="5"/>
  <c r="L224" i="8" l="1"/>
  <c r="L225" i="8"/>
  <c r="I225" i="8"/>
  <c r="M225" i="8" s="1"/>
  <c r="J225" i="8" l="1"/>
  <c r="I153" i="6"/>
  <c r="L153" i="6"/>
  <c r="I152" i="6"/>
  <c r="J152" i="6" s="1"/>
  <c r="L152" i="6"/>
  <c r="I224" i="8"/>
  <c r="M224" i="8" l="1"/>
  <c r="J224" i="8"/>
  <c r="M153" i="6"/>
  <c r="J153" i="6"/>
  <c r="M152" i="6"/>
  <c r="I79" i="5" l="1"/>
  <c r="M79" i="5" s="1"/>
  <c r="L79" i="5"/>
  <c r="I151" i="6"/>
  <c r="L151" i="6"/>
  <c r="J79" i="5" l="1"/>
  <c r="M151" i="6"/>
  <c r="J151" i="6"/>
  <c r="L223" i="8"/>
  <c r="I223" i="8"/>
  <c r="J223" i="8" s="1"/>
  <c r="M223" i="8" l="1"/>
  <c r="I78" i="5"/>
  <c r="M78" i="5" s="1"/>
  <c r="L78" i="5"/>
  <c r="J78" i="5" l="1"/>
  <c r="L222" i="8" l="1"/>
  <c r="I222" i="8"/>
  <c r="J222" i="8" s="1"/>
  <c r="M222" i="8" l="1"/>
  <c r="L150" i="6"/>
  <c r="I150" i="6"/>
  <c r="M150" i="6" s="1"/>
  <c r="J150" i="6" l="1"/>
  <c r="L221" i="8"/>
  <c r="I221" i="8"/>
  <c r="M221" i="8" s="1"/>
  <c r="I149" i="6"/>
  <c r="L149" i="6"/>
  <c r="J221" i="8" l="1"/>
  <c r="J149" i="6"/>
  <c r="M149" i="6"/>
  <c r="L148" i="6"/>
  <c r="I148" i="6"/>
  <c r="M148" i="6" s="1"/>
  <c r="J148" i="6" l="1"/>
  <c r="L219" i="8" l="1"/>
  <c r="L220" i="8"/>
  <c r="I220" i="8" l="1"/>
  <c r="J220" i="8" l="1"/>
  <c r="M220" i="8"/>
  <c r="I77" i="5"/>
  <c r="L77" i="5"/>
  <c r="I219" i="8"/>
  <c r="M219" i="8" l="1"/>
  <c r="J219" i="8"/>
  <c r="J77" i="5"/>
  <c r="M77" i="5"/>
  <c r="L218" i="8"/>
  <c r="I218" i="8"/>
  <c r="M218" i="8" s="1"/>
  <c r="I147" i="6"/>
  <c r="M147" i="6" s="1"/>
  <c r="L147" i="6"/>
  <c r="J218" i="8" l="1"/>
  <c r="J147" i="6"/>
  <c r="L216" i="8"/>
  <c r="L217" i="8"/>
  <c r="I216" i="8" l="1"/>
  <c r="I217" i="8"/>
  <c r="I144" i="6"/>
  <c r="L144" i="6"/>
  <c r="I146" i="6"/>
  <c r="M146" i="6" s="1"/>
  <c r="L146" i="6"/>
  <c r="J146" i="6" l="1"/>
  <c r="M217" i="8"/>
  <c r="J217" i="8"/>
  <c r="M216" i="8"/>
  <c r="J216" i="8"/>
  <c r="J144" i="6"/>
  <c r="M144" i="6"/>
  <c r="L145" i="6"/>
  <c r="I145" i="6"/>
  <c r="J145" i="6" s="1"/>
  <c r="M145" i="6" l="1"/>
  <c r="I76" i="5"/>
  <c r="L76" i="5"/>
  <c r="M76" i="5" l="1"/>
  <c r="J76" i="5"/>
  <c r="L215" i="8"/>
  <c r="I215" i="8"/>
  <c r="J215" i="8" s="1"/>
  <c r="M215" i="8" l="1"/>
  <c r="I142" i="6"/>
  <c r="L142" i="6"/>
  <c r="L214" i="8"/>
  <c r="J142" i="6" l="1"/>
  <c r="M142" i="6"/>
  <c r="I214" i="8" l="1"/>
  <c r="L213" i="8"/>
  <c r="I213" i="8"/>
  <c r="J213" i="8" s="1"/>
  <c r="I75" i="5"/>
  <c r="M75" i="5" s="1"/>
  <c r="L75" i="5"/>
  <c r="M213" i="8" l="1"/>
  <c r="J214" i="8"/>
  <c r="M214" i="8"/>
  <c r="J75" i="5"/>
  <c r="I143" i="6" l="1"/>
  <c r="L143" i="6"/>
  <c r="J143" i="6" l="1"/>
  <c r="M143" i="6"/>
  <c r="L141" i="6"/>
  <c r="I141" i="6"/>
  <c r="J141" i="6" s="1"/>
  <c r="M141" i="6" l="1"/>
  <c r="L74" i="5"/>
  <c r="I74" i="5"/>
  <c r="M74" i="5" s="1"/>
  <c r="J74" i="5" l="1"/>
  <c r="L212" i="8"/>
  <c r="I140" i="6" l="1"/>
  <c r="J140" i="6" s="1"/>
  <c r="L140" i="6"/>
  <c r="M140" i="6" l="1"/>
  <c r="I212" i="8"/>
  <c r="M212" i="8" l="1"/>
  <c r="J212" i="8"/>
  <c r="L66" i="5"/>
  <c r="J66" i="5" l="1"/>
  <c r="M66" i="5"/>
  <c r="I73" i="5" l="1"/>
  <c r="M73" i="5" s="1"/>
  <c r="L73" i="5"/>
  <c r="J73" i="5" l="1"/>
  <c r="L72" i="5" l="1"/>
  <c r="I72" i="5"/>
  <c r="M72" i="5" s="1"/>
  <c r="J72" i="5" l="1"/>
  <c r="I139" i="6" l="1"/>
  <c r="M139" i="6" s="1"/>
  <c r="L139" i="6"/>
  <c r="I138" i="6"/>
  <c r="M138" i="6" s="1"/>
  <c r="L138" i="6"/>
  <c r="L211" i="8"/>
  <c r="I211" i="8"/>
  <c r="M211" i="8" s="1"/>
  <c r="J211" i="8" l="1"/>
  <c r="J139" i="6"/>
  <c r="J138" i="6"/>
  <c r="I63" i="5" l="1"/>
  <c r="L63" i="5"/>
  <c r="J63" i="5" l="1"/>
  <c r="M63" i="5"/>
  <c r="I67" i="5"/>
  <c r="G69" i="5"/>
  <c r="G70" i="5"/>
  <c r="G71" i="5"/>
  <c r="I71" i="5" s="1"/>
  <c r="H69" i="5"/>
  <c r="H70" i="5"/>
  <c r="H71" i="5"/>
  <c r="I64" i="5"/>
  <c r="M64" i="5" s="1"/>
  <c r="I65" i="5"/>
  <c r="J65" i="5" s="1"/>
  <c r="I68" i="5"/>
  <c r="J68" i="5" s="1"/>
  <c r="I69" i="5"/>
  <c r="J69" i="5" s="1"/>
  <c r="I70" i="5"/>
  <c r="J70" i="5" s="1"/>
  <c r="L64" i="5"/>
  <c r="L65" i="5"/>
  <c r="L67" i="5"/>
  <c r="L68" i="5"/>
  <c r="L69" i="5"/>
  <c r="L70" i="5"/>
  <c r="L71" i="5"/>
  <c r="M69" i="5" l="1"/>
  <c r="J64" i="5"/>
  <c r="M68" i="5"/>
  <c r="M71" i="5"/>
  <c r="J71" i="5"/>
  <c r="J67" i="5"/>
  <c r="M67" i="5"/>
  <c r="M70" i="5"/>
  <c r="M65" i="5"/>
  <c r="L119" i="8"/>
  <c r="I119" i="8" l="1"/>
  <c r="M119" i="8" s="1"/>
  <c r="J119" i="8" l="1"/>
  <c r="I105" i="8"/>
  <c r="J105" i="8" s="1"/>
  <c r="I106" i="8"/>
  <c r="J106" i="8" s="1"/>
  <c r="I113" i="7"/>
  <c r="L113" i="7"/>
  <c r="I47" i="5"/>
  <c r="L47" i="5"/>
  <c r="M113" i="7" l="1"/>
  <c r="J113" i="7"/>
  <c r="M47" i="5"/>
  <c r="J47" i="5"/>
  <c r="L65" i="4" l="1"/>
  <c r="I65" i="4"/>
  <c r="M65" i="4" s="1"/>
  <c r="L114" i="7"/>
  <c r="I114" i="7"/>
  <c r="M114" i="7" s="1"/>
  <c r="J114" i="7" l="1"/>
  <c r="J65" i="4"/>
  <c r="B14" i="9"/>
  <c r="B24" i="9"/>
  <c r="C15" i="9" l="1"/>
  <c r="C5" i="9"/>
  <c r="B23" i="9"/>
  <c r="B13" i="9"/>
  <c r="I108" i="7" l="1"/>
  <c r="M108" i="7" s="1"/>
  <c r="I109" i="7"/>
  <c r="J109" i="7" s="1"/>
  <c r="I110" i="7"/>
  <c r="J110" i="7" s="1"/>
  <c r="I111" i="7"/>
  <c r="M111" i="7" s="1"/>
  <c r="I112" i="7"/>
  <c r="J112" i="7" s="1"/>
  <c r="I115" i="7"/>
  <c r="J115" i="7" s="1"/>
  <c r="I116" i="7"/>
  <c r="J116" i="7" s="1"/>
  <c r="I117" i="7"/>
  <c r="J117" i="7" s="1"/>
  <c r="I118" i="7"/>
  <c r="J118" i="7" s="1"/>
  <c r="I119" i="7"/>
  <c r="J119" i="7" s="1"/>
  <c r="I120" i="7"/>
  <c r="J120" i="7" s="1"/>
  <c r="I121" i="7"/>
  <c r="M121" i="7" s="1"/>
  <c r="I122" i="7"/>
  <c r="J122" i="7" s="1"/>
  <c r="I123" i="7"/>
  <c r="J123" i="7" s="1"/>
  <c r="I124" i="7"/>
  <c r="J124" i="7" s="1"/>
  <c r="I125" i="7"/>
  <c r="M125" i="7" s="1"/>
  <c r="I126" i="7"/>
  <c r="J126" i="7" s="1"/>
  <c r="I127" i="7"/>
  <c r="J127" i="7" s="1"/>
  <c r="I128" i="7"/>
  <c r="J128" i="7" s="1"/>
  <c r="I129" i="7"/>
  <c r="M129" i="7" s="1"/>
  <c r="I130" i="7"/>
  <c r="J130" i="7" s="1"/>
  <c r="I131" i="7"/>
  <c r="J131" i="7" s="1"/>
  <c r="I132" i="7"/>
  <c r="J132" i="7" s="1"/>
  <c r="I133" i="7"/>
  <c r="J133" i="7" s="1"/>
  <c r="I134" i="7"/>
  <c r="J134" i="7" s="1"/>
  <c r="I135" i="7"/>
  <c r="J135" i="7" s="1"/>
  <c r="I136" i="7"/>
  <c r="J136" i="7" s="1"/>
  <c r="I137" i="7"/>
  <c r="M137" i="7" s="1"/>
  <c r="I138" i="7"/>
  <c r="I139" i="7"/>
  <c r="I140" i="7"/>
  <c r="I141" i="7"/>
  <c r="J141" i="7" s="1"/>
  <c r="I142" i="7"/>
  <c r="J142" i="7" s="1"/>
  <c r="I143" i="7"/>
  <c r="J143" i="7" s="1"/>
  <c r="I144" i="7"/>
  <c r="J144" i="7" s="1"/>
  <c r="I145" i="7"/>
  <c r="M145" i="7" s="1"/>
  <c r="I146" i="7"/>
  <c r="J146" i="7" s="1"/>
  <c r="I147" i="7"/>
  <c r="J147" i="7" s="1"/>
  <c r="I148" i="7"/>
  <c r="J148" i="7" s="1"/>
  <c r="I149" i="7"/>
  <c r="J149" i="7" s="1"/>
  <c r="I150" i="7"/>
  <c r="J150" i="7" s="1"/>
  <c r="I151" i="7"/>
  <c r="J151" i="7" s="1"/>
  <c r="I152" i="7"/>
  <c r="J152" i="7" s="1"/>
  <c r="I153" i="7"/>
  <c r="M153" i="7" s="1"/>
  <c r="I154" i="7"/>
  <c r="J154" i="7" s="1"/>
  <c r="I155" i="7"/>
  <c r="M155" i="7" s="1"/>
  <c r="I156" i="7"/>
  <c r="J156" i="7" s="1"/>
  <c r="I157" i="7"/>
  <c r="J157" i="7" s="1"/>
  <c r="I158" i="7"/>
  <c r="J158" i="7" s="1"/>
  <c r="I159" i="7"/>
  <c r="J159" i="7" s="1"/>
  <c r="I160" i="7"/>
  <c r="J160" i="7" s="1"/>
  <c r="I161" i="7"/>
  <c r="M161" i="7" s="1"/>
  <c r="I162" i="7"/>
  <c r="J162" i="7" s="1"/>
  <c r="I163" i="7"/>
  <c r="J163" i="7" s="1"/>
  <c r="I164" i="7"/>
  <c r="J164" i="7" s="1"/>
  <c r="I165" i="7"/>
  <c r="M165" i="7" s="1"/>
  <c r="I166" i="7"/>
  <c r="J166" i="7" s="1"/>
  <c r="I167" i="7"/>
  <c r="J167" i="7" s="1"/>
  <c r="I168" i="7"/>
  <c r="J168" i="7" s="1"/>
  <c r="I169" i="7"/>
  <c r="J169" i="7" s="1"/>
  <c r="I170" i="7"/>
  <c r="J170" i="7" s="1"/>
  <c r="I171" i="7"/>
  <c r="J171" i="7" s="1"/>
  <c r="I172" i="7"/>
  <c r="J172" i="7" s="1"/>
  <c r="I173" i="7"/>
  <c r="M173" i="7" s="1"/>
  <c r="I174" i="7"/>
  <c r="J174" i="7" s="1"/>
  <c r="I175" i="7"/>
  <c r="J175" i="7" s="1"/>
  <c r="I176" i="7"/>
  <c r="J176" i="7" s="1"/>
  <c r="I177" i="7"/>
  <c r="M177" i="7" s="1"/>
  <c r="I178" i="7"/>
  <c r="J178" i="7" s="1"/>
  <c r="I179" i="7"/>
  <c r="M179" i="7" s="1"/>
  <c r="I180" i="7"/>
  <c r="J180" i="7" s="1"/>
  <c r="I181" i="7"/>
  <c r="M181" i="7" s="1"/>
  <c r="I182" i="7"/>
  <c r="J182" i="7" s="1"/>
  <c r="I183" i="7"/>
  <c r="J183" i="7" s="1"/>
  <c r="I184" i="7"/>
  <c r="J184" i="7" s="1"/>
  <c r="I185" i="7"/>
  <c r="M185" i="7" s="1"/>
  <c r="I186" i="7"/>
  <c r="J186" i="7" s="1"/>
  <c r="I187" i="7"/>
  <c r="J187" i="7" s="1"/>
  <c r="I188" i="7"/>
  <c r="J188" i="7" s="1"/>
  <c r="I189" i="7"/>
  <c r="M189" i="7" s="1"/>
  <c r="I190" i="7"/>
  <c r="J190" i="7" s="1"/>
  <c r="I191" i="7"/>
  <c r="J191" i="7" s="1"/>
  <c r="I192" i="7"/>
  <c r="J192" i="7" s="1"/>
  <c r="I193" i="7"/>
  <c r="M193" i="7" s="1"/>
  <c r="I194" i="7"/>
  <c r="J194" i="7" s="1"/>
  <c r="I195" i="7"/>
  <c r="M195" i="7" s="1"/>
  <c r="I196" i="7"/>
  <c r="J196" i="7" s="1"/>
  <c r="I197" i="7"/>
  <c r="J197" i="7" s="1"/>
  <c r="I198" i="7"/>
  <c r="J198" i="7" s="1"/>
  <c r="I199" i="7"/>
  <c r="J199" i="7" s="1"/>
  <c r="I200" i="7"/>
  <c r="J200" i="7" s="1"/>
  <c r="I201" i="7"/>
  <c r="M201" i="7" s="1"/>
  <c r="I202" i="7"/>
  <c r="J202" i="7" s="1"/>
  <c r="I203" i="7"/>
  <c r="J203" i="7" s="1"/>
  <c r="I204" i="7"/>
  <c r="J204" i="7" s="1"/>
  <c r="I205" i="7"/>
  <c r="J205" i="7" s="1"/>
  <c r="I206" i="7"/>
  <c r="J206" i="7" s="1"/>
  <c r="I207" i="7"/>
  <c r="J207" i="7" s="1"/>
  <c r="I208" i="7"/>
  <c r="J208" i="7" s="1"/>
  <c r="I209" i="7"/>
  <c r="M209" i="7" s="1"/>
  <c r="I210" i="7"/>
  <c r="J210" i="7" s="1"/>
  <c r="I211" i="7"/>
  <c r="J211" i="7" s="1"/>
  <c r="I212" i="7"/>
  <c r="J212" i="7" s="1"/>
  <c r="I213" i="7"/>
  <c r="M213" i="7" s="1"/>
  <c r="I214" i="7"/>
  <c r="J214" i="7" s="1"/>
  <c r="I215" i="7"/>
  <c r="J215" i="7" s="1"/>
  <c r="I216" i="7"/>
  <c r="J216" i="7" s="1"/>
  <c r="I217" i="7"/>
  <c r="M217" i="7" s="1"/>
  <c r="L109" i="7"/>
  <c r="L119" i="7"/>
  <c r="L127" i="7"/>
  <c r="L135" i="7"/>
  <c r="L143" i="7"/>
  <c r="L151" i="7"/>
  <c r="L159" i="7"/>
  <c r="L167" i="7"/>
  <c r="L175" i="7"/>
  <c r="L183" i="7"/>
  <c r="L191" i="7"/>
  <c r="L199" i="7"/>
  <c r="L207" i="7"/>
  <c r="L215" i="7"/>
  <c r="L110" i="7"/>
  <c r="L111" i="7"/>
  <c r="L112" i="7"/>
  <c r="L115" i="7"/>
  <c r="L116" i="7"/>
  <c r="L117" i="7"/>
  <c r="L118" i="7"/>
  <c r="L120" i="7"/>
  <c r="L121" i="7"/>
  <c r="L122" i="7"/>
  <c r="L123" i="7"/>
  <c r="L124" i="7"/>
  <c r="L125" i="7"/>
  <c r="L126" i="7"/>
  <c r="L128" i="7"/>
  <c r="L129" i="7"/>
  <c r="L130" i="7"/>
  <c r="L131" i="7"/>
  <c r="L132" i="7"/>
  <c r="L133" i="7"/>
  <c r="L134" i="7"/>
  <c r="L136" i="7"/>
  <c r="L137" i="7"/>
  <c r="L138" i="7"/>
  <c r="L139" i="7"/>
  <c r="L140" i="7"/>
  <c r="L141" i="7"/>
  <c r="L142" i="7"/>
  <c r="L144" i="7"/>
  <c r="L145" i="7"/>
  <c r="L146" i="7"/>
  <c r="L147" i="7"/>
  <c r="L148" i="7"/>
  <c r="L149" i="7"/>
  <c r="L150" i="7"/>
  <c r="L152" i="7"/>
  <c r="L153" i="7"/>
  <c r="L154" i="7"/>
  <c r="L155" i="7"/>
  <c r="L156" i="7"/>
  <c r="L157" i="7"/>
  <c r="L158" i="7"/>
  <c r="L160" i="7"/>
  <c r="L161" i="7"/>
  <c r="L162" i="7"/>
  <c r="L163" i="7"/>
  <c r="L164" i="7"/>
  <c r="L165" i="7"/>
  <c r="L166" i="7"/>
  <c r="L168" i="7"/>
  <c r="L169" i="7"/>
  <c r="L170" i="7"/>
  <c r="L171" i="7"/>
  <c r="L172" i="7"/>
  <c r="L173" i="7"/>
  <c r="L174" i="7"/>
  <c r="L176" i="7"/>
  <c r="L177" i="7"/>
  <c r="L178" i="7"/>
  <c r="L179" i="7"/>
  <c r="L180" i="7"/>
  <c r="L181" i="7"/>
  <c r="L182" i="7"/>
  <c r="L184" i="7"/>
  <c r="L185" i="7"/>
  <c r="L186" i="7"/>
  <c r="L187" i="7"/>
  <c r="L188" i="7"/>
  <c r="L189" i="7"/>
  <c r="L190" i="7"/>
  <c r="L192" i="7"/>
  <c r="L193" i="7"/>
  <c r="L194" i="7"/>
  <c r="L195" i="7"/>
  <c r="L196" i="7"/>
  <c r="L197" i="7"/>
  <c r="L198" i="7"/>
  <c r="L200" i="7"/>
  <c r="L201" i="7"/>
  <c r="L202" i="7"/>
  <c r="L203" i="7"/>
  <c r="L204" i="7"/>
  <c r="L205" i="7"/>
  <c r="L206" i="7"/>
  <c r="L208" i="7"/>
  <c r="L209" i="7"/>
  <c r="L210" i="7"/>
  <c r="L211" i="7"/>
  <c r="L212" i="7"/>
  <c r="L213" i="7"/>
  <c r="L214" i="7"/>
  <c r="L216" i="7"/>
  <c r="L217" i="7"/>
  <c r="I106" i="7"/>
  <c r="J106" i="7" s="1"/>
  <c r="L106" i="7"/>
  <c r="I107" i="7"/>
  <c r="M107" i="7" s="1"/>
  <c r="L107" i="7"/>
  <c r="L108" i="7"/>
  <c r="I104" i="7"/>
  <c r="M104" i="7" s="1"/>
  <c r="I105" i="7"/>
  <c r="J105" i="7" s="1"/>
  <c r="L104" i="7"/>
  <c r="L105" i="7"/>
  <c r="M149" i="7" l="1"/>
  <c r="M147" i="7"/>
  <c r="M122" i="7"/>
  <c r="M186" i="7"/>
  <c r="J165" i="7"/>
  <c r="J138" i="7"/>
  <c r="M138" i="7"/>
  <c r="J139" i="7"/>
  <c r="M139" i="7"/>
  <c r="J140" i="7"/>
  <c r="M140" i="7"/>
  <c r="J189" i="7"/>
  <c r="M157" i="7"/>
  <c r="M210" i="7"/>
  <c r="M146" i="7"/>
  <c r="J125" i="7"/>
  <c r="M211" i="7"/>
  <c r="M171" i="7"/>
  <c r="J213" i="7"/>
  <c r="J181" i="7"/>
  <c r="J173" i="7"/>
  <c r="J107" i="7"/>
  <c r="J104" i="7"/>
  <c r="J195" i="7"/>
  <c r="J179" i="7"/>
  <c r="J155" i="7"/>
  <c r="J217" i="7"/>
  <c r="J209" i="7"/>
  <c r="J201" i="7"/>
  <c r="J193" i="7"/>
  <c r="J185" i="7"/>
  <c r="J177" i="7"/>
  <c r="J161" i="7"/>
  <c r="J153" i="7"/>
  <c r="J145" i="7"/>
  <c r="J137" i="7"/>
  <c r="J129" i="7"/>
  <c r="J121" i="7"/>
  <c r="J111" i="7"/>
  <c r="J108" i="7"/>
  <c r="M117" i="7"/>
  <c r="M169" i="7"/>
  <c r="M205" i="7"/>
  <c r="M203" i="7"/>
  <c r="M197" i="7"/>
  <c r="M141" i="7"/>
  <c r="M115" i="7"/>
  <c r="M163" i="7"/>
  <c r="M133" i="7"/>
  <c r="M187" i="7"/>
  <c r="M131" i="7"/>
  <c r="M123" i="7"/>
  <c r="M148" i="7"/>
  <c r="M162" i="7"/>
  <c r="M188" i="7"/>
  <c r="M202" i="7"/>
  <c r="M216" i="7"/>
  <c r="M200" i="7"/>
  <c r="M184" i="7"/>
  <c r="M168" i="7"/>
  <c r="M152" i="7"/>
  <c r="M136" i="7"/>
  <c r="M120" i="7"/>
  <c r="M178" i="7"/>
  <c r="M204" i="7"/>
  <c r="M207" i="7"/>
  <c r="M199" i="7"/>
  <c r="M191" i="7"/>
  <c r="M175" i="7"/>
  <c r="M167" i="7"/>
  <c r="M159" i="7"/>
  <c r="M151" i="7"/>
  <c r="M143" i="7"/>
  <c r="M135" i="7"/>
  <c r="M127" i="7"/>
  <c r="M119" i="7"/>
  <c r="M109" i="7"/>
  <c r="M154" i="7"/>
  <c r="M180" i="7"/>
  <c r="M116" i="7"/>
  <c r="M214" i="7"/>
  <c r="M206" i="7"/>
  <c r="M198" i="7"/>
  <c r="M190" i="7"/>
  <c r="M182" i="7"/>
  <c r="M174" i="7"/>
  <c r="M166" i="7"/>
  <c r="M158" i="7"/>
  <c r="M150" i="7"/>
  <c r="M142" i="7"/>
  <c r="M134" i="7"/>
  <c r="M126" i="7"/>
  <c r="M118" i="7"/>
  <c r="M172" i="7"/>
  <c r="M212" i="7"/>
  <c r="M124" i="7"/>
  <c r="M164" i="7"/>
  <c r="M208" i="7"/>
  <c r="M192" i="7"/>
  <c r="M176" i="7"/>
  <c r="M160" i="7"/>
  <c r="M144" i="7"/>
  <c r="M128" i="7"/>
  <c r="M110" i="7"/>
  <c r="M112" i="7"/>
  <c r="M215" i="7"/>
  <c r="M183" i="7"/>
  <c r="M194" i="7"/>
  <c r="M130" i="7"/>
  <c r="M156" i="7"/>
  <c r="M170" i="7"/>
  <c r="M196" i="7"/>
  <c r="M132" i="7"/>
  <c r="M106" i="7"/>
  <c r="M105" i="7"/>
  <c r="B12" i="9" l="1"/>
  <c r="B22" i="9"/>
  <c r="B5" i="9"/>
  <c r="D5" i="9" s="1"/>
  <c r="B21" i="9" l="1"/>
  <c r="B11" i="9"/>
  <c r="L64" i="7"/>
  <c r="L65" i="7"/>
  <c r="L66" i="7"/>
  <c r="L67" i="7"/>
  <c r="L68" i="7"/>
  <c r="L69" i="7"/>
  <c r="L70" i="7"/>
  <c r="L71" i="7"/>
  <c r="I65" i="7"/>
  <c r="M65" i="7" s="1"/>
  <c r="I66" i="7"/>
  <c r="M66" i="7" s="1"/>
  <c r="I67" i="7"/>
  <c r="M67" i="7" s="1"/>
  <c r="I68" i="7"/>
  <c r="M68" i="7" s="1"/>
  <c r="I69" i="7"/>
  <c r="M69" i="7" s="1"/>
  <c r="J65" i="7" l="1"/>
  <c r="J66" i="7"/>
  <c r="J67" i="7"/>
  <c r="J68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72" i="7"/>
  <c r="L73" i="7"/>
  <c r="L74" i="7"/>
  <c r="L75" i="7"/>
  <c r="L76" i="7"/>
  <c r="L77" i="7"/>
  <c r="L60" i="8" l="1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I77" i="6"/>
  <c r="G2" i="7" l="1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4" i="7"/>
  <c r="L92" i="7"/>
  <c r="L93" i="7"/>
  <c r="L95" i="7"/>
  <c r="L96" i="7"/>
  <c r="L97" i="7"/>
  <c r="L98" i="7"/>
  <c r="L99" i="7"/>
  <c r="L100" i="7"/>
  <c r="L101" i="7"/>
  <c r="L102" i="7"/>
  <c r="L103" i="7"/>
  <c r="I61" i="7"/>
  <c r="J61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J31" i="7" s="1"/>
  <c r="I32" i="7"/>
  <c r="J32" i="7" s="1"/>
  <c r="I33" i="7"/>
  <c r="J33" i="7" s="1"/>
  <c r="I34" i="7"/>
  <c r="J34" i="7" s="1"/>
  <c r="I35" i="7"/>
  <c r="J35" i="7" s="1"/>
  <c r="I36" i="7"/>
  <c r="J36" i="7" s="1"/>
  <c r="I37" i="7"/>
  <c r="J37" i="7" s="1"/>
  <c r="I38" i="7"/>
  <c r="J38" i="7" s="1"/>
  <c r="I39" i="7"/>
  <c r="J39" i="7" s="1"/>
  <c r="I40" i="7"/>
  <c r="J40" i="7" s="1"/>
  <c r="I41" i="7"/>
  <c r="J41" i="7" s="1"/>
  <c r="I42" i="7"/>
  <c r="J42" i="7" s="1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I58" i="7"/>
  <c r="J58" i="7" s="1"/>
  <c r="I59" i="7"/>
  <c r="J59" i="7" s="1"/>
  <c r="I60" i="7"/>
  <c r="J60" i="7" s="1"/>
  <c r="I62" i="7"/>
  <c r="J62" i="7" s="1"/>
  <c r="I63" i="7"/>
  <c r="J63" i="7" s="1"/>
  <c r="I64" i="7"/>
  <c r="J69" i="7"/>
  <c r="I70" i="7"/>
  <c r="I71" i="7"/>
  <c r="I72" i="7"/>
  <c r="J72" i="7" s="1"/>
  <c r="I73" i="7"/>
  <c r="J73" i="7" s="1"/>
  <c r="I74" i="7"/>
  <c r="J74" i="7" s="1"/>
  <c r="I75" i="7"/>
  <c r="J75" i="7" s="1"/>
  <c r="I76" i="7"/>
  <c r="J76" i="7" s="1"/>
  <c r="I77" i="7"/>
  <c r="J77" i="7" s="1"/>
  <c r="I78" i="7"/>
  <c r="J78" i="7" s="1"/>
  <c r="I79" i="7"/>
  <c r="J79" i="7" s="1"/>
  <c r="I80" i="7"/>
  <c r="J80" i="7" s="1"/>
  <c r="I81" i="7"/>
  <c r="J81" i="7" s="1"/>
  <c r="I82" i="7"/>
  <c r="J82" i="7" s="1"/>
  <c r="I83" i="7"/>
  <c r="J83" i="7" s="1"/>
  <c r="I84" i="7"/>
  <c r="J84" i="7" s="1"/>
  <c r="I85" i="7"/>
  <c r="J85" i="7" s="1"/>
  <c r="I86" i="7"/>
  <c r="J86" i="7" s="1"/>
  <c r="I87" i="7"/>
  <c r="J87" i="7" s="1"/>
  <c r="I88" i="7"/>
  <c r="J88" i="7" s="1"/>
  <c r="I89" i="7"/>
  <c r="J89" i="7" s="1"/>
  <c r="I90" i="7"/>
  <c r="J90" i="7" s="1"/>
  <c r="I91" i="7"/>
  <c r="J91" i="7" s="1"/>
  <c r="I94" i="7"/>
  <c r="J94" i="7" s="1"/>
  <c r="I92" i="7"/>
  <c r="J92" i="7" s="1"/>
  <c r="I93" i="7"/>
  <c r="J93" i="7" s="1"/>
  <c r="I95" i="7"/>
  <c r="J95" i="7" s="1"/>
  <c r="I96" i="7"/>
  <c r="J96" i="7" s="1"/>
  <c r="I97" i="7"/>
  <c r="J97" i="7" s="1"/>
  <c r="I98" i="7"/>
  <c r="J98" i="7" s="1"/>
  <c r="I99" i="7"/>
  <c r="J99" i="7" s="1"/>
  <c r="I100" i="7"/>
  <c r="J100" i="7" s="1"/>
  <c r="I101" i="7"/>
  <c r="J101" i="7" s="1"/>
  <c r="I102" i="7"/>
  <c r="J102" i="7" s="1"/>
  <c r="I103" i="7"/>
  <c r="J103" i="7" s="1"/>
  <c r="M61" i="7"/>
  <c r="J71" i="7" l="1"/>
  <c r="M71" i="7"/>
  <c r="J70" i="7"/>
  <c r="M70" i="7"/>
  <c r="J64" i="7"/>
  <c r="M64" i="7"/>
  <c r="E40" i="9"/>
  <c r="I71" i="4" l="1"/>
  <c r="L66" i="4"/>
  <c r="L67" i="4"/>
  <c r="L68" i="4"/>
  <c r="L69" i="4"/>
  <c r="L74" i="4"/>
  <c r="L75" i="4"/>
  <c r="L76" i="4"/>
  <c r="L81" i="4"/>
  <c r="L82" i="4"/>
  <c r="L83" i="4"/>
  <c r="L84" i="4"/>
  <c r="L89" i="4"/>
  <c r="L90" i="4"/>
  <c r="L91" i="4"/>
  <c r="L92" i="4"/>
  <c r="I62" i="4"/>
  <c r="J62" i="4" s="1"/>
  <c r="I63" i="4"/>
  <c r="J63" i="4" s="1"/>
  <c r="I64" i="4"/>
  <c r="J64" i="4" s="1"/>
  <c r="I66" i="4"/>
  <c r="M66" i="4" s="1"/>
  <c r="I67" i="4"/>
  <c r="J67" i="4" s="1"/>
  <c r="I68" i="4"/>
  <c r="J68" i="4" s="1"/>
  <c r="I69" i="4"/>
  <c r="M69" i="4" s="1"/>
  <c r="I70" i="4"/>
  <c r="J70" i="4" s="1"/>
  <c r="I72" i="4"/>
  <c r="J72" i="4" s="1"/>
  <c r="I73" i="4"/>
  <c r="J73" i="4" s="1"/>
  <c r="I74" i="4"/>
  <c r="M74" i="4" s="1"/>
  <c r="I75" i="4"/>
  <c r="M75" i="4" s="1"/>
  <c r="I76" i="4"/>
  <c r="M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M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L62" i="4"/>
  <c r="L63" i="4"/>
  <c r="L64" i="4"/>
  <c r="L70" i="4"/>
  <c r="L71" i="4"/>
  <c r="L72" i="4"/>
  <c r="L73" i="4"/>
  <c r="L77" i="4"/>
  <c r="L78" i="4"/>
  <c r="L79" i="4"/>
  <c r="L80" i="4"/>
  <c r="L85" i="4"/>
  <c r="L86" i="4"/>
  <c r="L87" i="4"/>
  <c r="L88" i="4"/>
  <c r="L93" i="4"/>
  <c r="L94" i="4"/>
  <c r="L95" i="4"/>
  <c r="L96" i="4"/>
  <c r="L24" i="4"/>
  <c r="J19" i="5"/>
  <c r="I54" i="6"/>
  <c r="J54" i="6" s="1"/>
  <c r="L54" i="6"/>
  <c r="I55" i="6"/>
  <c r="J55" i="6" s="1"/>
  <c r="L55" i="6"/>
  <c r="I56" i="6"/>
  <c r="J56" i="6" s="1"/>
  <c r="L56" i="6"/>
  <c r="I57" i="6"/>
  <c r="M57" i="6" s="1"/>
  <c r="L57" i="6"/>
  <c r="I58" i="6"/>
  <c r="J58" i="6" s="1"/>
  <c r="L58" i="6"/>
  <c r="I59" i="6"/>
  <c r="J59" i="6" s="1"/>
  <c r="L59" i="6"/>
  <c r="I60" i="6"/>
  <c r="J60" i="6" s="1"/>
  <c r="L60" i="6"/>
  <c r="I61" i="6"/>
  <c r="M61" i="6" s="1"/>
  <c r="L61" i="6"/>
  <c r="I62" i="6"/>
  <c r="J62" i="6" s="1"/>
  <c r="L62" i="6"/>
  <c r="I63" i="6"/>
  <c r="J63" i="6" s="1"/>
  <c r="L63" i="6"/>
  <c r="I64" i="6"/>
  <c r="J64" i="6" s="1"/>
  <c r="L64" i="6"/>
  <c r="I65" i="6"/>
  <c r="M65" i="6" s="1"/>
  <c r="L65" i="6"/>
  <c r="I66" i="6"/>
  <c r="J66" i="6" s="1"/>
  <c r="L66" i="6"/>
  <c r="I67" i="6"/>
  <c r="M67" i="6" s="1"/>
  <c r="L67" i="6"/>
  <c r="I68" i="6"/>
  <c r="J68" i="6" s="1"/>
  <c r="L68" i="6"/>
  <c r="I69" i="6"/>
  <c r="J69" i="6" s="1"/>
  <c r="L69" i="6"/>
  <c r="I70" i="6"/>
  <c r="M70" i="6" s="1"/>
  <c r="L70" i="6"/>
  <c r="I71" i="6"/>
  <c r="M71" i="6" s="1"/>
  <c r="L71" i="6"/>
  <c r="I72" i="6"/>
  <c r="M72" i="6" s="1"/>
  <c r="L72" i="6"/>
  <c r="I73" i="6"/>
  <c r="J73" i="6" s="1"/>
  <c r="L73" i="6"/>
  <c r="I74" i="6"/>
  <c r="M74" i="6" s="1"/>
  <c r="L74" i="6"/>
  <c r="I75" i="6"/>
  <c r="J75" i="6" s="1"/>
  <c r="L75" i="6"/>
  <c r="I76" i="6"/>
  <c r="M76" i="6" s="1"/>
  <c r="L76" i="6"/>
  <c r="M77" i="6"/>
  <c r="J77" i="6"/>
  <c r="L77" i="6"/>
  <c r="I78" i="6"/>
  <c r="M78" i="6" s="1"/>
  <c r="L78" i="6"/>
  <c r="I79" i="6"/>
  <c r="L79" i="6"/>
  <c r="I80" i="6"/>
  <c r="M80" i="6" s="1"/>
  <c r="L80" i="6"/>
  <c r="I81" i="6"/>
  <c r="M81" i="6" s="1"/>
  <c r="L81" i="6"/>
  <c r="I82" i="6"/>
  <c r="M82" i="6" s="1"/>
  <c r="L82" i="6"/>
  <c r="I83" i="6"/>
  <c r="M83" i="6" s="1"/>
  <c r="L83" i="6"/>
  <c r="I84" i="6"/>
  <c r="M84" i="6" s="1"/>
  <c r="L84" i="6"/>
  <c r="I85" i="6"/>
  <c r="L85" i="6"/>
  <c r="I86" i="6"/>
  <c r="M86" i="6" s="1"/>
  <c r="L86" i="6"/>
  <c r="I87" i="6"/>
  <c r="J87" i="6" s="1"/>
  <c r="L87" i="6"/>
  <c r="I88" i="6"/>
  <c r="M88" i="6" s="1"/>
  <c r="L88" i="6"/>
  <c r="I89" i="6"/>
  <c r="M89" i="6" s="1"/>
  <c r="L89" i="6"/>
  <c r="I90" i="6"/>
  <c r="M90" i="6" s="1"/>
  <c r="L90" i="6"/>
  <c r="I91" i="6"/>
  <c r="J91" i="6" s="1"/>
  <c r="L91" i="6"/>
  <c r="I92" i="6"/>
  <c r="M92" i="6" s="1"/>
  <c r="L92" i="6"/>
  <c r="I93" i="6"/>
  <c r="J93" i="6" s="1"/>
  <c r="L93" i="6"/>
  <c r="I94" i="6"/>
  <c r="M94" i="6" s="1"/>
  <c r="L94" i="6"/>
  <c r="I95" i="6"/>
  <c r="J95" i="6" s="1"/>
  <c r="L95" i="6"/>
  <c r="I96" i="6"/>
  <c r="M96" i="6" s="1"/>
  <c r="L96" i="6"/>
  <c r="I97" i="6"/>
  <c r="J97" i="6" s="1"/>
  <c r="L97" i="6"/>
  <c r="I98" i="6"/>
  <c r="L98" i="6"/>
  <c r="I99" i="6"/>
  <c r="J99" i="6" s="1"/>
  <c r="L99" i="6"/>
  <c r="I100" i="6"/>
  <c r="L100" i="6"/>
  <c r="I101" i="6"/>
  <c r="J101" i="6" s="1"/>
  <c r="L101" i="6"/>
  <c r="I102" i="6"/>
  <c r="L102" i="6"/>
  <c r="I103" i="6"/>
  <c r="J103" i="6" s="1"/>
  <c r="L103" i="6"/>
  <c r="I104" i="6"/>
  <c r="L104" i="6"/>
  <c r="I105" i="6"/>
  <c r="J105" i="6" s="1"/>
  <c r="L105" i="6"/>
  <c r="I106" i="6"/>
  <c r="L106" i="6"/>
  <c r="I107" i="6"/>
  <c r="J107" i="6" s="1"/>
  <c r="L107" i="6"/>
  <c r="I108" i="6"/>
  <c r="L108" i="6"/>
  <c r="I109" i="6"/>
  <c r="J109" i="6" s="1"/>
  <c r="L109" i="6"/>
  <c r="I110" i="6"/>
  <c r="L110" i="6"/>
  <c r="I111" i="6"/>
  <c r="J111" i="6" s="1"/>
  <c r="L111" i="6"/>
  <c r="I112" i="6"/>
  <c r="L112" i="6"/>
  <c r="I113" i="6"/>
  <c r="J113" i="6" s="1"/>
  <c r="L113" i="6"/>
  <c r="I114" i="6"/>
  <c r="L114" i="6"/>
  <c r="I115" i="6"/>
  <c r="J115" i="6" s="1"/>
  <c r="L115" i="6"/>
  <c r="I116" i="6"/>
  <c r="L116" i="6"/>
  <c r="I117" i="6"/>
  <c r="J117" i="6" s="1"/>
  <c r="L117" i="6"/>
  <c r="L118" i="6"/>
  <c r="I119" i="6"/>
  <c r="J119" i="6" s="1"/>
  <c r="L119" i="6"/>
  <c r="I120" i="6"/>
  <c r="L120" i="6"/>
  <c r="I121" i="6"/>
  <c r="J121" i="6" s="1"/>
  <c r="L121" i="6"/>
  <c r="I122" i="6"/>
  <c r="L122" i="6"/>
  <c r="I123" i="6"/>
  <c r="J123" i="6" s="1"/>
  <c r="L123" i="6"/>
  <c r="I124" i="6"/>
  <c r="L124" i="6"/>
  <c r="I125" i="6"/>
  <c r="J125" i="6" s="1"/>
  <c r="L125" i="6"/>
  <c r="I126" i="6"/>
  <c r="L126" i="6"/>
  <c r="I127" i="6"/>
  <c r="J127" i="6" s="1"/>
  <c r="L127" i="6"/>
  <c r="L128" i="6"/>
  <c r="I129" i="6"/>
  <c r="J129" i="6" s="1"/>
  <c r="L129" i="6"/>
  <c r="I130" i="6"/>
  <c r="L130" i="6"/>
  <c r="I131" i="6"/>
  <c r="J131" i="6" s="1"/>
  <c r="L131" i="6"/>
  <c r="I132" i="6"/>
  <c r="L132" i="6"/>
  <c r="I133" i="6"/>
  <c r="J133" i="6" s="1"/>
  <c r="L133" i="6"/>
  <c r="I134" i="6"/>
  <c r="L134" i="6"/>
  <c r="I135" i="6"/>
  <c r="J135" i="6" s="1"/>
  <c r="L135" i="6"/>
  <c r="I136" i="6"/>
  <c r="L136" i="6"/>
  <c r="I137" i="6"/>
  <c r="J137" i="6" s="1"/>
  <c r="L137" i="6"/>
  <c r="J75" i="4" l="1"/>
  <c r="J69" i="4"/>
  <c r="J61" i="6"/>
  <c r="J74" i="4"/>
  <c r="M132" i="6"/>
  <c r="J132" i="6"/>
  <c r="M116" i="6"/>
  <c r="J116" i="6"/>
  <c r="M112" i="6"/>
  <c r="J112" i="6"/>
  <c r="J76" i="4"/>
  <c r="M136" i="6"/>
  <c r="J136" i="6"/>
  <c r="M120" i="6"/>
  <c r="J120" i="6"/>
  <c r="M124" i="6"/>
  <c r="J124" i="6"/>
  <c r="M134" i="6"/>
  <c r="J134" i="6"/>
  <c r="M130" i="6"/>
  <c r="J130" i="6"/>
  <c r="M126" i="6"/>
  <c r="J126" i="6"/>
  <c r="M122" i="6"/>
  <c r="J122" i="6"/>
  <c r="M118" i="6"/>
  <c r="J118" i="6"/>
  <c r="M114" i="6"/>
  <c r="J114" i="6"/>
  <c r="M128" i="6"/>
  <c r="J128" i="6"/>
  <c r="M110" i="6"/>
  <c r="J110" i="6"/>
  <c r="M98" i="6"/>
  <c r="J98" i="6"/>
  <c r="M108" i="6"/>
  <c r="J108" i="6"/>
  <c r="M106" i="6"/>
  <c r="J106" i="6"/>
  <c r="M104" i="6"/>
  <c r="J104" i="6"/>
  <c r="M100" i="6"/>
  <c r="J100" i="6"/>
  <c r="M102" i="6"/>
  <c r="J102" i="6"/>
  <c r="J94" i="6"/>
  <c r="M127" i="6"/>
  <c r="M111" i="6"/>
  <c r="J89" i="6"/>
  <c r="M59" i="6"/>
  <c r="M103" i="6"/>
  <c r="J79" i="6"/>
  <c r="M79" i="6"/>
  <c r="M99" i="6"/>
  <c r="M115" i="6"/>
  <c r="M95" i="6"/>
  <c r="J85" i="6"/>
  <c r="M85" i="6"/>
  <c r="M91" i="4"/>
  <c r="M89" i="4"/>
  <c r="M90" i="4"/>
  <c r="M81" i="4"/>
  <c r="M83" i="4"/>
  <c r="M68" i="4"/>
  <c r="M82" i="4"/>
  <c r="M67" i="4"/>
  <c r="J84" i="4"/>
  <c r="M92" i="4"/>
  <c r="J71" i="6"/>
  <c r="M123" i="6"/>
  <c r="M135" i="6"/>
  <c r="J74" i="6"/>
  <c r="M119" i="6"/>
  <c r="M107" i="6"/>
  <c r="M131" i="6"/>
  <c r="M133" i="6"/>
  <c r="M125" i="6"/>
  <c r="M117" i="6"/>
  <c r="M109" i="6"/>
  <c r="M101" i="6"/>
  <c r="J96" i="6"/>
  <c r="M93" i="6"/>
  <c r="J80" i="6"/>
  <c r="J86" i="6"/>
  <c r="J83" i="6"/>
  <c r="J70" i="6"/>
  <c r="M69" i="6"/>
  <c r="M137" i="6"/>
  <c r="M129" i="6"/>
  <c r="M121" i="6"/>
  <c r="M113" i="6"/>
  <c r="M105" i="6"/>
  <c r="M97" i="6"/>
  <c r="J90" i="6"/>
  <c r="M87" i="6"/>
  <c r="J82" i="6"/>
  <c r="M73" i="6"/>
  <c r="J76" i="6"/>
  <c r="J92" i="6"/>
  <c r="J81" i="6"/>
  <c r="J78" i="6"/>
  <c r="J67" i="6"/>
  <c r="J66" i="4"/>
  <c r="J71" i="4"/>
  <c r="M71" i="4"/>
  <c r="M96" i="4"/>
  <c r="M88" i="4"/>
  <c r="M80" i="4"/>
  <c r="M73" i="4"/>
  <c r="M95" i="4"/>
  <c r="M87" i="4"/>
  <c r="M79" i="4"/>
  <c r="M72" i="4"/>
  <c r="M64" i="4"/>
  <c r="M94" i="4"/>
  <c r="M86" i="4"/>
  <c r="M78" i="4"/>
  <c r="M63" i="4"/>
  <c r="M93" i="4"/>
  <c r="M85" i="4"/>
  <c r="M77" i="4"/>
  <c r="M70" i="4"/>
  <c r="M62" i="4"/>
  <c r="J65" i="6"/>
  <c r="M55" i="6"/>
  <c r="M63" i="6"/>
  <c r="J57" i="6"/>
  <c r="M91" i="6"/>
  <c r="M75" i="6"/>
  <c r="J84" i="6"/>
  <c r="J88" i="6"/>
  <c r="J72" i="6"/>
  <c r="M68" i="6"/>
  <c r="M66" i="6"/>
  <c r="M64" i="6"/>
  <c r="M62" i="6"/>
  <c r="M60" i="6"/>
  <c r="M58" i="6"/>
  <c r="M56" i="6"/>
  <c r="M54" i="6"/>
  <c r="M74" i="7"/>
  <c r="M82" i="7"/>
  <c r="M83" i="7"/>
  <c r="M93" i="7"/>
  <c r="M97" i="7"/>
  <c r="M98" i="7"/>
  <c r="M102" i="7"/>
  <c r="M79" i="7"/>
  <c r="M87" i="7"/>
  <c r="M63" i="7"/>
  <c r="M101" i="7" l="1"/>
  <c r="M92" i="7"/>
  <c r="M86" i="7"/>
  <c r="M78" i="7"/>
  <c r="M100" i="7"/>
  <c r="M94" i="7"/>
  <c r="M85" i="7"/>
  <c r="M77" i="7"/>
  <c r="M99" i="7"/>
  <c r="M76" i="7"/>
  <c r="M91" i="7"/>
  <c r="M75" i="7"/>
  <c r="M90" i="7"/>
  <c r="M89" i="7"/>
  <c r="M73" i="7"/>
  <c r="M103" i="7"/>
  <c r="M95" i="7"/>
  <c r="M88" i="7"/>
  <c r="M80" i="7"/>
  <c r="M72" i="7"/>
  <c r="M84" i="7"/>
  <c r="M96" i="7"/>
  <c r="M81" i="7"/>
  <c r="M62" i="7"/>
  <c r="B10" i="9" l="1"/>
  <c r="L56" i="8" l="1"/>
  <c r="L57" i="8"/>
  <c r="L58" i="8"/>
  <c r="L59" i="8"/>
  <c r="I58" i="8"/>
  <c r="M58" i="8" s="1"/>
  <c r="I59" i="8"/>
  <c r="M59" i="8" s="1"/>
  <c r="I60" i="8"/>
  <c r="M60" i="8" s="1"/>
  <c r="I61" i="8"/>
  <c r="M61" i="8" s="1"/>
  <c r="I62" i="8"/>
  <c r="M62" i="8" s="1"/>
  <c r="I63" i="8"/>
  <c r="I64" i="8"/>
  <c r="I65" i="8"/>
  <c r="I66" i="8"/>
  <c r="I67" i="8"/>
  <c r="I68" i="8"/>
  <c r="M68" i="8" s="1"/>
  <c r="I69" i="8"/>
  <c r="I70" i="8"/>
  <c r="I71" i="8"/>
  <c r="M71" i="8" s="1"/>
  <c r="I72" i="8"/>
  <c r="I73" i="8"/>
  <c r="M73" i="8" s="1"/>
  <c r="I74" i="8"/>
  <c r="I75" i="8"/>
  <c r="I76" i="8"/>
  <c r="I77" i="8"/>
  <c r="M77" i="8" s="1"/>
  <c r="I78" i="8"/>
  <c r="I79" i="8"/>
  <c r="M79" i="8" s="1"/>
  <c r="I80" i="8"/>
  <c r="I81" i="8"/>
  <c r="I82" i="8"/>
  <c r="I83" i="8"/>
  <c r="I84" i="8"/>
  <c r="I85" i="8"/>
  <c r="I86" i="8"/>
  <c r="I87" i="8"/>
  <c r="M87" i="8" s="1"/>
  <c r="I88" i="8"/>
  <c r="M88" i="8" s="1"/>
  <c r="I89" i="8"/>
  <c r="M89" i="8" s="1"/>
  <c r="I90" i="8"/>
  <c r="I91" i="8"/>
  <c r="I92" i="8"/>
  <c r="M92" i="8" s="1"/>
  <c r="I93" i="8"/>
  <c r="I94" i="8"/>
  <c r="I95" i="8"/>
  <c r="I96" i="8"/>
  <c r="M96" i="8" s="1"/>
  <c r="I97" i="8"/>
  <c r="M97" i="8" s="1"/>
  <c r="I98" i="8"/>
  <c r="I100" i="8"/>
  <c r="M100" i="8" s="1"/>
  <c r="I101" i="8"/>
  <c r="M101" i="8" s="1"/>
  <c r="I102" i="8"/>
  <c r="I103" i="8"/>
  <c r="M103" i="8" s="1"/>
  <c r="I104" i="8"/>
  <c r="I107" i="8"/>
  <c r="M107" i="8" s="1"/>
  <c r="I108" i="8"/>
  <c r="I109" i="8"/>
  <c r="I110" i="8"/>
  <c r="I111" i="8"/>
  <c r="M111" i="8" s="1"/>
  <c r="I112" i="8"/>
  <c r="I113" i="8"/>
  <c r="M113" i="8" s="1"/>
  <c r="I114" i="8"/>
  <c r="M114" i="8" s="1"/>
  <c r="I115" i="8"/>
  <c r="I116" i="8"/>
  <c r="I117" i="8"/>
  <c r="M117" i="8" s="1"/>
  <c r="I118" i="8"/>
  <c r="I120" i="8"/>
  <c r="I121" i="8"/>
  <c r="I122" i="8"/>
  <c r="I123" i="8"/>
  <c r="M123" i="8" s="1"/>
  <c r="I124" i="8"/>
  <c r="I125" i="8"/>
  <c r="I126" i="8"/>
  <c r="M126" i="8" s="1"/>
  <c r="I127" i="8"/>
  <c r="M127" i="8" s="1"/>
  <c r="I128" i="8"/>
  <c r="I129" i="8"/>
  <c r="I130" i="8"/>
  <c r="I131" i="8"/>
  <c r="M131" i="8" s="1"/>
  <c r="I132" i="8"/>
  <c r="I133" i="8"/>
  <c r="I134" i="8"/>
  <c r="I135" i="8"/>
  <c r="I136" i="8"/>
  <c r="M136" i="8" s="1"/>
  <c r="I137" i="8"/>
  <c r="M137" i="8" s="1"/>
  <c r="I138" i="8"/>
  <c r="M138" i="8" s="1"/>
  <c r="I139" i="8"/>
  <c r="M139" i="8" s="1"/>
  <c r="I140" i="8"/>
  <c r="I141" i="8"/>
  <c r="I142" i="8"/>
  <c r="M142" i="8" s="1"/>
  <c r="I143" i="8"/>
  <c r="I144" i="8"/>
  <c r="I145" i="8"/>
  <c r="M145" i="8" s="1"/>
  <c r="I146" i="8"/>
  <c r="M146" i="8" s="1"/>
  <c r="I147" i="8"/>
  <c r="M147" i="8" s="1"/>
  <c r="I148" i="8"/>
  <c r="I149" i="8"/>
  <c r="M149" i="8" s="1"/>
  <c r="I150" i="8"/>
  <c r="I151" i="8"/>
  <c r="M151" i="8" s="1"/>
  <c r="I152" i="8"/>
  <c r="I153" i="8"/>
  <c r="M153" i="8" s="1"/>
  <c r="I154" i="8"/>
  <c r="M154" i="8" s="1"/>
  <c r="I155" i="8"/>
  <c r="M155" i="8" s="1"/>
  <c r="I156" i="8"/>
  <c r="I157" i="8"/>
  <c r="I158" i="8"/>
  <c r="M158" i="8" s="1"/>
  <c r="I159" i="8"/>
  <c r="I160" i="8"/>
  <c r="I161" i="8"/>
  <c r="M161" i="8" s="1"/>
  <c r="I162" i="8"/>
  <c r="M162" i="8" s="1"/>
  <c r="I163" i="8"/>
  <c r="M163" i="8" s="1"/>
  <c r="I164" i="8"/>
  <c r="I165" i="8"/>
  <c r="M165" i="8" s="1"/>
  <c r="I166" i="8"/>
  <c r="I167" i="8"/>
  <c r="M167" i="8" s="1"/>
  <c r="I168" i="8"/>
  <c r="I169" i="8"/>
  <c r="M169" i="8" s="1"/>
  <c r="I170" i="8"/>
  <c r="M170" i="8" s="1"/>
  <c r="I171" i="8"/>
  <c r="M171" i="8" s="1"/>
  <c r="I172" i="8"/>
  <c r="I173" i="8"/>
  <c r="I174" i="8"/>
  <c r="M174" i="8" s="1"/>
  <c r="I175" i="8"/>
  <c r="I176" i="8"/>
  <c r="I177" i="8"/>
  <c r="M177" i="8" s="1"/>
  <c r="I178" i="8"/>
  <c r="M178" i="8" s="1"/>
  <c r="I179" i="8"/>
  <c r="M179" i="8" s="1"/>
  <c r="I180" i="8"/>
  <c r="I181" i="8"/>
  <c r="M181" i="8" s="1"/>
  <c r="I182" i="8"/>
  <c r="I183" i="8"/>
  <c r="M183" i="8" s="1"/>
  <c r="I184" i="8"/>
  <c r="I185" i="8"/>
  <c r="M185" i="8" s="1"/>
  <c r="I186" i="8"/>
  <c r="M186" i="8" s="1"/>
  <c r="I187" i="8"/>
  <c r="M187" i="8" s="1"/>
  <c r="I188" i="8"/>
  <c r="I189" i="8"/>
  <c r="I190" i="8"/>
  <c r="M190" i="8" s="1"/>
  <c r="I191" i="8"/>
  <c r="I192" i="8"/>
  <c r="I193" i="8"/>
  <c r="M193" i="8" s="1"/>
  <c r="I194" i="8"/>
  <c r="M194" i="8" s="1"/>
  <c r="I195" i="8"/>
  <c r="M195" i="8" s="1"/>
  <c r="I196" i="8"/>
  <c r="I197" i="8"/>
  <c r="M197" i="8" s="1"/>
  <c r="I198" i="8"/>
  <c r="I199" i="8"/>
  <c r="M199" i="8" s="1"/>
  <c r="I200" i="8"/>
  <c r="I201" i="8"/>
  <c r="M201" i="8" s="1"/>
  <c r="I202" i="8"/>
  <c r="M202" i="8" s="1"/>
  <c r="I203" i="8"/>
  <c r="M203" i="8" s="1"/>
  <c r="I204" i="8"/>
  <c r="I205" i="8"/>
  <c r="I206" i="8"/>
  <c r="M206" i="8" s="1"/>
  <c r="J123" i="8" l="1"/>
  <c r="J169" i="8"/>
  <c r="J137" i="8"/>
  <c r="J147" i="8"/>
  <c r="J153" i="8"/>
  <c r="J161" i="8"/>
  <c r="J158" i="8"/>
  <c r="J155" i="8"/>
  <c r="J149" i="8"/>
  <c r="J194" i="8"/>
  <c r="J179" i="8"/>
  <c r="J87" i="8"/>
  <c r="J163" i="8"/>
  <c r="J190" i="8"/>
  <c r="J181" i="8"/>
  <c r="J165" i="8"/>
  <c r="J154" i="8"/>
  <c r="J142" i="8"/>
  <c r="J206" i="8"/>
  <c r="J199" i="8"/>
  <c r="J186" i="8"/>
  <c r="J183" i="8"/>
  <c r="J178" i="8"/>
  <c r="J136" i="8"/>
  <c r="J117" i="8"/>
  <c r="J114" i="8"/>
  <c r="J96" i="8"/>
  <c r="J111" i="8"/>
  <c r="J92" i="8"/>
  <c r="J103" i="8"/>
  <c r="J101" i="8"/>
  <c r="J185" i="8"/>
  <c r="J174" i="8"/>
  <c r="J151" i="8"/>
  <c r="J146" i="8"/>
  <c r="J127" i="8"/>
  <c r="J201" i="8"/>
  <c r="J195" i="8"/>
  <c r="J126" i="8"/>
  <c r="J113" i="8"/>
  <c r="J107" i="8"/>
  <c r="J100" i="8"/>
  <c r="J79" i="8"/>
  <c r="J97" i="8"/>
  <c r="J77" i="8"/>
  <c r="J203" i="8"/>
  <c r="J177" i="8"/>
  <c r="J171" i="8"/>
  <c r="J145" i="8"/>
  <c r="J139" i="8"/>
  <c r="J202" i="8"/>
  <c r="J197" i="8"/>
  <c r="J170" i="8"/>
  <c r="J138" i="8"/>
  <c r="J89" i="8"/>
  <c r="J61" i="8"/>
  <c r="J125" i="8"/>
  <c r="M125" i="8"/>
  <c r="J104" i="8"/>
  <c r="M104" i="8"/>
  <c r="J93" i="8"/>
  <c r="M93" i="8"/>
  <c r="J81" i="8"/>
  <c r="M81" i="8"/>
  <c r="J192" i="8"/>
  <c r="M192" i="8"/>
  <c r="J124" i="8"/>
  <c r="M124" i="8"/>
  <c r="J98" i="8"/>
  <c r="M98" i="8"/>
  <c r="J191" i="8"/>
  <c r="M191" i="8"/>
  <c r="J176" i="8"/>
  <c r="M176" i="8"/>
  <c r="J150" i="8"/>
  <c r="M150" i="8"/>
  <c r="J116" i="8"/>
  <c r="M116" i="8"/>
  <c r="J66" i="8"/>
  <c r="M66" i="8"/>
  <c r="J180" i="8"/>
  <c r="M180" i="8"/>
  <c r="J160" i="8"/>
  <c r="M160" i="8"/>
  <c r="J65" i="8"/>
  <c r="M65" i="8"/>
  <c r="J159" i="8"/>
  <c r="M159" i="8"/>
  <c r="J144" i="8"/>
  <c r="M144" i="8"/>
  <c r="J90" i="8"/>
  <c r="M90" i="8"/>
  <c r="J85" i="8"/>
  <c r="M85" i="8"/>
  <c r="J78" i="8"/>
  <c r="M78" i="8"/>
  <c r="J204" i="8"/>
  <c r="M204" i="8"/>
  <c r="J184" i="8"/>
  <c r="M184" i="8"/>
  <c r="J148" i="8"/>
  <c r="M148" i="8"/>
  <c r="J133" i="8"/>
  <c r="M133" i="8"/>
  <c r="J121" i="8"/>
  <c r="M121" i="8"/>
  <c r="J84" i="8"/>
  <c r="M84" i="8"/>
  <c r="J188" i="8"/>
  <c r="M188" i="8"/>
  <c r="J173" i="8"/>
  <c r="M173" i="8"/>
  <c r="J168" i="8"/>
  <c r="M168" i="8"/>
  <c r="J132" i="8"/>
  <c r="M132" i="8"/>
  <c r="J120" i="8"/>
  <c r="M120" i="8"/>
  <c r="J95" i="8"/>
  <c r="M95" i="8"/>
  <c r="J83" i="8"/>
  <c r="M83" i="8"/>
  <c r="J69" i="8"/>
  <c r="M69" i="8"/>
  <c r="J112" i="8"/>
  <c r="M112" i="8"/>
  <c r="J166" i="8"/>
  <c r="M166" i="8"/>
  <c r="J140" i="8"/>
  <c r="M140" i="8"/>
  <c r="J130" i="8"/>
  <c r="M130" i="8"/>
  <c r="J80" i="8"/>
  <c r="M80" i="8"/>
  <c r="J67" i="8"/>
  <c r="M67" i="8"/>
  <c r="J196" i="8"/>
  <c r="M196" i="8"/>
  <c r="J129" i="8"/>
  <c r="M129" i="8"/>
  <c r="J175" i="8"/>
  <c r="M175" i="8"/>
  <c r="J135" i="8"/>
  <c r="M135" i="8"/>
  <c r="J128" i="8"/>
  <c r="M128" i="8"/>
  <c r="J115" i="8"/>
  <c r="M115" i="8"/>
  <c r="J110" i="8"/>
  <c r="M110" i="8"/>
  <c r="J102" i="8"/>
  <c r="M102" i="8"/>
  <c r="J91" i="8"/>
  <c r="M91" i="8"/>
  <c r="J86" i="8"/>
  <c r="M86" i="8"/>
  <c r="J205" i="8"/>
  <c r="M205" i="8"/>
  <c r="J200" i="8"/>
  <c r="M200" i="8"/>
  <c r="J164" i="8"/>
  <c r="M164" i="8"/>
  <c r="J134" i="8"/>
  <c r="M134" i="8"/>
  <c r="J122" i="8"/>
  <c r="M122" i="8"/>
  <c r="J109" i="8"/>
  <c r="M109" i="8"/>
  <c r="J64" i="8"/>
  <c r="M64" i="8"/>
  <c r="J189" i="8"/>
  <c r="M189" i="8"/>
  <c r="J143" i="8"/>
  <c r="M143" i="8"/>
  <c r="J108" i="8"/>
  <c r="M108" i="8"/>
  <c r="J63" i="8"/>
  <c r="M63" i="8"/>
  <c r="J198" i="8"/>
  <c r="M198" i="8"/>
  <c r="J193" i="8"/>
  <c r="J187" i="8"/>
  <c r="J172" i="8"/>
  <c r="M172" i="8"/>
  <c r="J167" i="8"/>
  <c r="J162" i="8"/>
  <c r="J157" i="8"/>
  <c r="M157" i="8"/>
  <c r="J152" i="8"/>
  <c r="M152" i="8"/>
  <c r="J131" i="8"/>
  <c r="J118" i="8"/>
  <c r="M118" i="8"/>
  <c r="J94" i="8"/>
  <c r="M94" i="8"/>
  <c r="J88" i="8"/>
  <c r="J82" i="8"/>
  <c r="M82" i="8"/>
  <c r="J68" i="8"/>
  <c r="J62" i="8"/>
  <c r="J182" i="8"/>
  <c r="M182" i="8"/>
  <c r="J156" i="8"/>
  <c r="M156" i="8"/>
  <c r="J141" i="8"/>
  <c r="M141" i="8"/>
  <c r="J99" i="8"/>
  <c r="M99" i="8"/>
  <c r="J72" i="8"/>
  <c r="M72" i="8"/>
  <c r="J71" i="8"/>
  <c r="J76" i="8"/>
  <c r="M76" i="8"/>
  <c r="J70" i="8"/>
  <c r="M70" i="8"/>
  <c r="J75" i="8"/>
  <c r="M75" i="8"/>
  <c r="J74" i="8"/>
  <c r="M74" i="8"/>
  <c r="J73" i="8"/>
  <c r="J60" i="8"/>
  <c r="J59" i="8"/>
  <c r="J58" i="8"/>
  <c r="C37" i="9"/>
  <c r="C36" i="9"/>
  <c r="C42" i="9"/>
  <c r="B20" i="9"/>
  <c r="C39" i="9" l="1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C31" i="9" l="1"/>
  <c r="B18" i="9" l="1"/>
  <c r="L35" i="8" l="1"/>
  <c r="L36" i="8"/>
  <c r="L37" i="8"/>
  <c r="L38" i="8"/>
  <c r="L39" i="8"/>
  <c r="L40" i="8"/>
  <c r="L41" i="8"/>
  <c r="L42" i="8"/>
  <c r="B19" i="9"/>
  <c r="B9" i="9"/>
  <c r="L31" i="8"/>
  <c r="L32" i="8"/>
  <c r="L33" i="8"/>
  <c r="L34" i="8"/>
  <c r="G2" i="8"/>
  <c r="G2" i="4" l="1"/>
  <c r="L14" i="7"/>
  <c r="L15" i="7"/>
  <c r="L16" i="7"/>
  <c r="L17" i="7"/>
  <c r="L18" i="7"/>
  <c r="L19" i="7"/>
  <c r="L20" i="7"/>
  <c r="L21" i="7"/>
  <c r="L22" i="7"/>
  <c r="L23" i="7"/>
  <c r="L24" i="7"/>
  <c r="L19" i="4" l="1"/>
  <c r="L20" i="4"/>
  <c r="L21" i="4"/>
  <c r="L14" i="8" l="1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I16" i="8"/>
  <c r="J16" i="8" s="1"/>
  <c r="I15" i="8"/>
  <c r="J15" i="8" s="1"/>
  <c r="I14" i="8"/>
  <c r="J14" i="8" s="1"/>
  <c r="I13" i="8"/>
  <c r="I12" i="8"/>
  <c r="I18" i="8"/>
  <c r="M18" i="8" s="1"/>
  <c r="I17" i="8"/>
  <c r="M17" i="8" s="1"/>
  <c r="I24" i="8"/>
  <c r="I23" i="8"/>
  <c r="J23" i="8" s="1"/>
  <c r="I22" i="8"/>
  <c r="I21" i="8"/>
  <c r="M21" i="8" s="1"/>
  <c r="I20" i="8"/>
  <c r="J20" i="8" s="1"/>
  <c r="I19" i="8"/>
  <c r="M19" i="8" s="1"/>
  <c r="J19" i="8" l="1"/>
  <c r="J18" i="8"/>
  <c r="M23" i="8"/>
  <c r="M20" i="8"/>
  <c r="M22" i="8"/>
  <c r="J22" i="8"/>
  <c r="M24" i="8"/>
  <c r="J24" i="8"/>
  <c r="J17" i="8"/>
  <c r="J21" i="8"/>
  <c r="B8" i="9"/>
  <c r="M12" i="8"/>
  <c r="M13" i="8"/>
  <c r="M14" i="8"/>
  <c r="M15" i="8"/>
  <c r="M16" i="8"/>
  <c r="L8" i="8"/>
  <c r="L9" i="8"/>
  <c r="L10" i="8"/>
  <c r="L11" i="8"/>
  <c r="L12" i="8"/>
  <c r="L13" i="8"/>
  <c r="J12" i="8"/>
  <c r="J13" i="8"/>
  <c r="L5" i="8"/>
  <c r="L6" i="8"/>
  <c r="L7" i="8"/>
  <c r="L4" i="8"/>
  <c r="B17" i="9" l="1"/>
  <c r="B7" i="9"/>
  <c r="B16" i="9"/>
  <c r="B6" i="9"/>
  <c r="I5" i="8"/>
  <c r="I6" i="8"/>
  <c r="I7" i="8"/>
  <c r="I8" i="8"/>
  <c r="I9" i="8"/>
  <c r="I10" i="8"/>
  <c r="I11" i="8"/>
  <c r="M6" i="8" l="1"/>
  <c r="J6" i="8"/>
  <c r="M5" i="8"/>
  <c r="J5" i="8"/>
  <c r="J11" i="8"/>
  <c r="M11" i="8"/>
  <c r="J10" i="8"/>
  <c r="M10" i="8"/>
  <c r="J9" i="8"/>
  <c r="M9" i="8"/>
  <c r="M8" i="8"/>
  <c r="J8" i="8"/>
  <c r="M7" i="8"/>
  <c r="J7" i="8"/>
  <c r="G2" i="6"/>
  <c r="G2" i="5"/>
  <c r="K2" i="4" l="1"/>
  <c r="M8" i="7" l="1"/>
  <c r="L8" i="7"/>
  <c r="J8" i="7" l="1"/>
  <c r="J6" i="4"/>
  <c r="I7" i="4" l="1"/>
  <c r="J7" i="4" s="1"/>
  <c r="L4" i="7" l="1"/>
  <c r="L5" i="7"/>
  <c r="L6" i="7"/>
  <c r="L7" i="7"/>
  <c r="L9" i="7"/>
  <c r="L10" i="7"/>
  <c r="L11" i="7"/>
  <c r="L12" i="7"/>
  <c r="L13" i="7"/>
  <c r="L25" i="7"/>
  <c r="L26" i="7"/>
  <c r="L27" i="7"/>
  <c r="L28" i="7"/>
  <c r="L29" i="7"/>
  <c r="L30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" i="4"/>
  <c r="L4" i="4"/>
  <c r="L5" i="4"/>
  <c r="L7" i="4"/>
  <c r="L8" i="4"/>
  <c r="L9" i="4"/>
  <c r="L10" i="4"/>
  <c r="L11" i="4"/>
  <c r="L12" i="4"/>
  <c r="L13" i="4"/>
  <c r="L14" i="4"/>
  <c r="L15" i="4"/>
  <c r="L16" i="4"/>
  <c r="L17" i="4"/>
  <c r="L22" i="4"/>
  <c r="L23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K2" i="8" l="1"/>
  <c r="K2" i="7"/>
  <c r="K2" i="6"/>
  <c r="K2" i="5"/>
  <c r="B15" i="9" l="1"/>
  <c r="D15" i="9" s="1"/>
  <c r="C33" i="9" s="1"/>
  <c r="C44" i="9" s="1"/>
  <c r="C45" i="9" s="1"/>
  <c r="I4" i="8"/>
  <c r="I25" i="8"/>
  <c r="J25" i="8" s="1"/>
  <c r="I26" i="8"/>
  <c r="J26" i="8" s="1"/>
  <c r="I27" i="8"/>
  <c r="J27" i="8" s="1"/>
  <c r="I28" i="8"/>
  <c r="J28" i="8" s="1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J42" i="8" s="1"/>
  <c r="I43" i="8"/>
  <c r="J43" i="8" s="1"/>
  <c r="I44" i="8"/>
  <c r="I45" i="8"/>
  <c r="I46" i="8"/>
  <c r="I47" i="8"/>
  <c r="I48" i="8"/>
  <c r="M48" i="8" s="1"/>
  <c r="I49" i="8"/>
  <c r="M49" i="8" s="1"/>
  <c r="I50" i="8"/>
  <c r="M50" i="8" s="1"/>
  <c r="I51" i="8"/>
  <c r="M51" i="8" s="1"/>
  <c r="I52" i="8"/>
  <c r="M52" i="8" s="1"/>
  <c r="I53" i="8"/>
  <c r="M53" i="8" s="1"/>
  <c r="I54" i="8"/>
  <c r="I55" i="8"/>
  <c r="I56" i="8"/>
  <c r="I57" i="8"/>
  <c r="J55" i="8" l="1"/>
  <c r="M55" i="8"/>
  <c r="J54" i="8"/>
  <c r="M54" i="8"/>
  <c r="J57" i="8"/>
  <c r="M57" i="8"/>
  <c r="J56" i="8"/>
  <c r="M56" i="8"/>
  <c r="M45" i="8"/>
  <c r="J45" i="8"/>
  <c r="J52" i="8"/>
  <c r="M44" i="8"/>
  <c r="J44" i="8"/>
  <c r="M46" i="8"/>
  <c r="J46" i="8"/>
  <c r="J51" i="8"/>
  <c r="J50" i="8"/>
  <c r="J53" i="8"/>
  <c r="J49" i="8"/>
  <c r="J48" i="8"/>
  <c r="M47" i="8"/>
  <c r="J47" i="8"/>
  <c r="M39" i="8"/>
  <c r="J39" i="8"/>
  <c r="M43" i="8"/>
  <c r="J38" i="8"/>
  <c r="M38" i="8"/>
  <c r="J37" i="8"/>
  <c r="M37" i="8"/>
  <c r="M42" i="8"/>
  <c r="M41" i="8"/>
  <c r="J41" i="8"/>
  <c r="M40" i="8"/>
  <c r="J40" i="8"/>
  <c r="J31" i="8"/>
  <c r="M31" i="8"/>
  <c r="M35" i="8"/>
  <c r="J35" i="8"/>
  <c r="M33" i="8"/>
  <c r="J33" i="8"/>
  <c r="J30" i="8"/>
  <c r="M30" i="8"/>
  <c r="J36" i="8"/>
  <c r="M36" i="8"/>
  <c r="M34" i="8"/>
  <c r="J34" i="8"/>
  <c r="M32" i="8"/>
  <c r="J32" i="8"/>
  <c r="M29" i="8"/>
  <c r="J29" i="8"/>
  <c r="M28" i="8"/>
  <c r="J4" i="8"/>
  <c r="M4" i="8"/>
  <c r="M27" i="8"/>
  <c r="M26" i="8"/>
  <c r="M25" i="8"/>
  <c r="M60" i="7" l="1"/>
  <c r="M58" i="7"/>
  <c r="M56" i="7"/>
  <c r="M53" i="7"/>
  <c r="M52" i="7"/>
  <c r="M50" i="7"/>
  <c r="M49" i="7"/>
  <c r="M48" i="7"/>
  <c r="M46" i="7"/>
  <c r="M45" i="7"/>
  <c r="M44" i="7"/>
  <c r="M42" i="7"/>
  <c r="M40" i="7"/>
  <c r="M39" i="7"/>
  <c r="M38" i="7"/>
  <c r="M37" i="7"/>
  <c r="M36" i="7"/>
  <c r="M34" i="7"/>
  <c r="M33" i="7"/>
  <c r="M32" i="7"/>
  <c r="J30" i="7"/>
  <c r="M29" i="7"/>
  <c r="M28" i="7"/>
  <c r="J27" i="7"/>
  <c r="M26" i="7"/>
  <c r="M25" i="7"/>
  <c r="M24" i="7"/>
  <c r="M22" i="7"/>
  <c r="J19" i="7"/>
  <c r="J15" i="7"/>
  <c r="J14" i="7"/>
  <c r="M13" i="7"/>
  <c r="M12" i="7"/>
  <c r="J11" i="7"/>
  <c r="M10" i="7"/>
  <c r="J9" i="7"/>
  <c r="M7" i="7"/>
  <c r="J6" i="7"/>
  <c r="M5" i="7"/>
  <c r="J4" i="7"/>
  <c r="I53" i="6"/>
  <c r="M53" i="6" s="1"/>
  <c r="I52" i="6"/>
  <c r="M52" i="6" s="1"/>
  <c r="I51" i="6"/>
  <c r="M51" i="6" s="1"/>
  <c r="I50" i="6"/>
  <c r="M50" i="6" s="1"/>
  <c r="I49" i="6"/>
  <c r="M49" i="6" s="1"/>
  <c r="I48" i="6"/>
  <c r="M48" i="6" s="1"/>
  <c r="I47" i="6"/>
  <c r="J47" i="6" s="1"/>
  <c r="I46" i="6"/>
  <c r="M46" i="6" s="1"/>
  <c r="I45" i="6"/>
  <c r="M45" i="6" s="1"/>
  <c r="I44" i="6"/>
  <c r="M44" i="6" s="1"/>
  <c r="I43" i="6"/>
  <c r="M43" i="6" s="1"/>
  <c r="I42" i="6"/>
  <c r="M42" i="6" s="1"/>
  <c r="I41" i="6"/>
  <c r="M41" i="6" s="1"/>
  <c r="I40" i="6"/>
  <c r="M40" i="6" s="1"/>
  <c r="I39" i="6"/>
  <c r="I38" i="6"/>
  <c r="M38" i="6" s="1"/>
  <c r="I37" i="6"/>
  <c r="M37" i="6" s="1"/>
  <c r="I36" i="6"/>
  <c r="M36" i="6" s="1"/>
  <c r="I35" i="6"/>
  <c r="M35" i="6" s="1"/>
  <c r="I34" i="6"/>
  <c r="M34" i="6" s="1"/>
  <c r="I33" i="6"/>
  <c r="M33" i="6" s="1"/>
  <c r="I32" i="6"/>
  <c r="M32" i="6" s="1"/>
  <c r="I31" i="6"/>
  <c r="J31" i="6" s="1"/>
  <c r="I30" i="6"/>
  <c r="M30" i="6" s="1"/>
  <c r="I29" i="6"/>
  <c r="M29" i="6" s="1"/>
  <c r="I28" i="6"/>
  <c r="M28" i="6" s="1"/>
  <c r="I27" i="6"/>
  <c r="M27" i="6" s="1"/>
  <c r="I26" i="6"/>
  <c r="M26" i="6" s="1"/>
  <c r="I25" i="6"/>
  <c r="M25" i="6" s="1"/>
  <c r="I24" i="6"/>
  <c r="M24" i="6" s="1"/>
  <c r="I23" i="6"/>
  <c r="J23" i="6" s="1"/>
  <c r="I22" i="6"/>
  <c r="M22" i="6" s="1"/>
  <c r="I21" i="6"/>
  <c r="M21" i="6" s="1"/>
  <c r="I20" i="6"/>
  <c r="M20" i="6" s="1"/>
  <c r="I19" i="6"/>
  <c r="M19" i="6" s="1"/>
  <c r="I18" i="6"/>
  <c r="M18" i="6" s="1"/>
  <c r="I17" i="6"/>
  <c r="M17" i="6" s="1"/>
  <c r="I16" i="6"/>
  <c r="M16" i="6" s="1"/>
  <c r="I15" i="6"/>
  <c r="J15" i="6" s="1"/>
  <c r="I14" i="6"/>
  <c r="M14" i="6" s="1"/>
  <c r="I13" i="6"/>
  <c r="J13" i="6" s="1"/>
  <c r="I12" i="6"/>
  <c r="M12" i="6" s="1"/>
  <c r="I11" i="6"/>
  <c r="M11" i="6" s="1"/>
  <c r="I10" i="6"/>
  <c r="M10" i="6" s="1"/>
  <c r="I9" i="6"/>
  <c r="M9" i="6" s="1"/>
  <c r="I8" i="6"/>
  <c r="M8" i="6" s="1"/>
  <c r="I7" i="6"/>
  <c r="J7" i="6" s="1"/>
  <c r="I6" i="6"/>
  <c r="M6" i="6" s="1"/>
  <c r="I5" i="6"/>
  <c r="J5" i="6" s="1"/>
  <c r="I4" i="6"/>
  <c r="J4" i="6" s="1"/>
  <c r="I62" i="5"/>
  <c r="M62" i="5" s="1"/>
  <c r="J61" i="5"/>
  <c r="M60" i="5"/>
  <c r="I59" i="5"/>
  <c r="J59" i="5" s="1"/>
  <c r="I58" i="5"/>
  <c r="M58" i="5" s="1"/>
  <c r="I57" i="5"/>
  <c r="M57" i="5" s="1"/>
  <c r="I56" i="5"/>
  <c r="M56" i="5" s="1"/>
  <c r="I55" i="5"/>
  <c r="M55" i="5" s="1"/>
  <c r="I54" i="5"/>
  <c r="J54" i="5" s="1"/>
  <c r="I53" i="5"/>
  <c r="J53" i="5" s="1"/>
  <c r="I52" i="5"/>
  <c r="M52" i="5" s="1"/>
  <c r="J51" i="5"/>
  <c r="M50" i="5"/>
  <c r="I49" i="5"/>
  <c r="M49" i="5" s="1"/>
  <c r="I48" i="5"/>
  <c r="M48" i="5" s="1"/>
  <c r="I46" i="5"/>
  <c r="J46" i="5" s="1"/>
  <c r="I45" i="5"/>
  <c r="M45" i="5" s="1"/>
  <c r="I44" i="5"/>
  <c r="J44" i="5" s="1"/>
  <c r="I43" i="5"/>
  <c r="J43" i="5" s="1"/>
  <c r="I42" i="5"/>
  <c r="M42" i="5" s="1"/>
  <c r="I41" i="5"/>
  <c r="M41" i="5" s="1"/>
  <c r="I40" i="5"/>
  <c r="J40" i="5" s="1"/>
  <c r="I39" i="5"/>
  <c r="M39" i="5" s="1"/>
  <c r="I38" i="5"/>
  <c r="M38" i="5" s="1"/>
  <c r="I37" i="5"/>
  <c r="J37" i="5" s="1"/>
  <c r="I36" i="5"/>
  <c r="J36" i="5" s="1"/>
  <c r="I35" i="5"/>
  <c r="M35" i="5" s="1"/>
  <c r="I34" i="5"/>
  <c r="J34" i="5" s="1"/>
  <c r="I33" i="5"/>
  <c r="M33" i="5" s="1"/>
  <c r="I32" i="5"/>
  <c r="I31" i="5"/>
  <c r="J31" i="5" s="1"/>
  <c r="I30" i="5"/>
  <c r="J30" i="5" s="1"/>
  <c r="I29" i="5"/>
  <c r="I28" i="5"/>
  <c r="I27" i="5"/>
  <c r="I26" i="5"/>
  <c r="I25" i="5"/>
  <c r="M25" i="5" s="1"/>
  <c r="I24" i="5"/>
  <c r="M24" i="5" s="1"/>
  <c r="I23" i="5"/>
  <c r="I22" i="5"/>
  <c r="I21" i="5"/>
  <c r="I20" i="5"/>
  <c r="J20" i="5" s="1"/>
  <c r="M19" i="5"/>
  <c r="I18" i="5"/>
  <c r="M18" i="5" s="1"/>
  <c r="I17" i="5"/>
  <c r="M17" i="5" s="1"/>
  <c r="I16" i="5"/>
  <c r="M16" i="5" s="1"/>
  <c r="I15" i="5"/>
  <c r="M15" i="5" s="1"/>
  <c r="I14" i="5"/>
  <c r="J14" i="5" s="1"/>
  <c r="I13" i="5"/>
  <c r="M13" i="5" s="1"/>
  <c r="I12" i="5"/>
  <c r="M12" i="5" s="1"/>
  <c r="I11" i="5"/>
  <c r="M11" i="5" s="1"/>
  <c r="I10" i="5"/>
  <c r="M10" i="5" s="1"/>
  <c r="I9" i="5"/>
  <c r="M9" i="5" s="1"/>
  <c r="I8" i="5"/>
  <c r="M8" i="5" s="1"/>
  <c r="I7" i="5"/>
  <c r="M7" i="5" s="1"/>
  <c r="I6" i="5"/>
  <c r="M6" i="5" s="1"/>
  <c r="I5" i="5"/>
  <c r="M5" i="5" s="1"/>
  <c r="I4" i="5"/>
  <c r="M4" i="5" s="1"/>
  <c r="I61" i="4"/>
  <c r="I60" i="4"/>
  <c r="I59" i="4"/>
  <c r="I58" i="4"/>
  <c r="I57" i="4"/>
  <c r="I56" i="4"/>
  <c r="J56" i="4" s="1"/>
  <c r="I55" i="4"/>
  <c r="I54" i="4"/>
  <c r="I53" i="4"/>
  <c r="I52" i="4"/>
  <c r="I51" i="4"/>
  <c r="I49" i="4"/>
  <c r="I48" i="4"/>
  <c r="J48" i="4" s="1"/>
  <c r="I47" i="4"/>
  <c r="I46" i="4"/>
  <c r="I45" i="4"/>
  <c r="I44" i="4"/>
  <c r="I43" i="4"/>
  <c r="I42" i="4"/>
  <c r="J42" i="4" s="1"/>
  <c r="I41" i="4"/>
  <c r="I40" i="4"/>
  <c r="J40" i="4" s="1"/>
  <c r="I39" i="4"/>
  <c r="I38" i="4"/>
  <c r="I37" i="4"/>
  <c r="I36" i="4"/>
  <c r="I35" i="4"/>
  <c r="I34" i="4"/>
  <c r="J34" i="4" s="1"/>
  <c r="I33" i="4"/>
  <c r="I32" i="4"/>
  <c r="J32" i="4" s="1"/>
  <c r="I31" i="4"/>
  <c r="I30" i="4"/>
  <c r="I29" i="4"/>
  <c r="I28" i="4"/>
  <c r="I27" i="4"/>
  <c r="I26" i="4"/>
  <c r="I25" i="4"/>
  <c r="I24" i="4"/>
  <c r="J24" i="4" s="1"/>
  <c r="I23" i="4"/>
  <c r="J23" i="4" s="1"/>
  <c r="I22" i="4"/>
  <c r="I21" i="4"/>
  <c r="I20" i="4"/>
  <c r="J20" i="4" s="1"/>
  <c r="I19" i="4"/>
  <c r="J19" i="4" s="1"/>
  <c r="I18" i="4"/>
  <c r="I17" i="4"/>
  <c r="J17" i="4" s="1"/>
  <c r="I16" i="4"/>
  <c r="J16" i="4" s="1"/>
  <c r="I14" i="4"/>
  <c r="I13" i="4"/>
  <c r="I12" i="4"/>
  <c r="I11" i="4"/>
  <c r="I10" i="4"/>
  <c r="I9" i="4"/>
  <c r="J9" i="4" s="1"/>
  <c r="I8" i="4"/>
  <c r="J8" i="4" s="1"/>
  <c r="M7" i="4"/>
  <c r="M6" i="4"/>
  <c r="I5" i="4"/>
  <c r="J5" i="4" s="1"/>
  <c r="I4" i="4"/>
  <c r="M23" i="5" l="1"/>
  <c r="J23" i="5"/>
  <c r="M26" i="5"/>
  <c r="J26" i="5"/>
  <c r="M27" i="5"/>
  <c r="J27" i="5"/>
  <c r="M28" i="5"/>
  <c r="J28" i="5"/>
  <c r="M21" i="5"/>
  <c r="J21" i="5"/>
  <c r="M29" i="5"/>
  <c r="J29" i="5"/>
  <c r="M22" i="5"/>
  <c r="J22" i="5"/>
  <c r="M32" i="5"/>
  <c r="J32" i="5"/>
  <c r="J39" i="6"/>
  <c r="M39" i="6"/>
  <c r="M21" i="7"/>
  <c r="J21" i="7"/>
  <c r="M18" i="7"/>
  <c r="J18" i="7"/>
  <c r="M16" i="7"/>
  <c r="J16" i="7"/>
  <c r="M17" i="7"/>
  <c r="J17" i="7"/>
  <c r="M20" i="7"/>
  <c r="J20" i="7"/>
  <c r="M37" i="4"/>
  <c r="J37" i="4"/>
  <c r="M61" i="4"/>
  <c r="J61" i="4"/>
  <c r="M13" i="4"/>
  <c r="J13" i="4"/>
  <c r="M44" i="4"/>
  <c r="J44" i="4"/>
  <c r="M60" i="4"/>
  <c r="J60" i="4"/>
  <c r="M14" i="4"/>
  <c r="J14" i="4"/>
  <c r="M21" i="4"/>
  <c r="J21" i="4"/>
  <c r="M29" i="4"/>
  <c r="J29" i="4"/>
  <c r="M45" i="4"/>
  <c r="J45" i="4"/>
  <c r="M53" i="4"/>
  <c r="J53" i="4"/>
  <c r="M15" i="4"/>
  <c r="J15" i="4"/>
  <c r="M22" i="4"/>
  <c r="J22" i="4"/>
  <c r="M30" i="4"/>
  <c r="J30" i="4"/>
  <c r="M38" i="4"/>
  <c r="J38" i="4"/>
  <c r="M46" i="4"/>
  <c r="J46" i="4"/>
  <c r="M54" i="4"/>
  <c r="J54" i="4"/>
  <c r="M52" i="4"/>
  <c r="J52" i="4"/>
  <c r="M31" i="4"/>
  <c r="J31" i="4"/>
  <c r="M39" i="4"/>
  <c r="J39" i="4"/>
  <c r="M47" i="4"/>
  <c r="J47" i="4"/>
  <c r="M55" i="4"/>
  <c r="J55" i="4"/>
  <c r="M36" i="4"/>
  <c r="J36" i="4"/>
  <c r="M28" i="4"/>
  <c r="J28" i="4"/>
  <c r="M10" i="4"/>
  <c r="J10" i="4"/>
  <c r="M18" i="4"/>
  <c r="M25" i="4"/>
  <c r="J25" i="4"/>
  <c r="M33" i="4"/>
  <c r="J33" i="4"/>
  <c r="M41" i="4"/>
  <c r="J41" i="4"/>
  <c r="M49" i="4"/>
  <c r="J49" i="4"/>
  <c r="M57" i="4"/>
  <c r="J57" i="4"/>
  <c r="M11" i="4"/>
  <c r="J11" i="4"/>
  <c r="M26" i="4"/>
  <c r="J26" i="4"/>
  <c r="M50" i="4"/>
  <c r="J50" i="4"/>
  <c r="M58" i="4"/>
  <c r="J58" i="4"/>
  <c r="M20" i="4"/>
  <c r="M4" i="4"/>
  <c r="J4" i="4"/>
  <c r="M12" i="4"/>
  <c r="J12" i="4"/>
  <c r="M27" i="4"/>
  <c r="J27" i="4"/>
  <c r="M35" i="4"/>
  <c r="J35" i="4"/>
  <c r="M43" i="4"/>
  <c r="J43" i="4"/>
  <c r="M51" i="4"/>
  <c r="J51" i="4"/>
  <c r="M59" i="4"/>
  <c r="J59" i="4"/>
  <c r="J26" i="6"/>
  <c r="M54" i="7"/>
  <c r="M19" i="7"/>
  <c r="M4" i="7"/>
  <c r="M14" i="7"/>
  <c r="M9" i="7"/>
  <c r="M30" i="7"/>
  <c r="M43" i="7"/>
  <c r="M59" i="7"/>
  <c r="J22" i="7"/>
  <c r="M6" i="7"/>
  <c r="M11" i="7"/>
  <c r="M51" i="7"/>
  <c r="M35" i="7"/>
  <c r="M41" i="7"/>
  <c r="M27" i="7"/>
  <c r="J25" i="7"/>
  <c r="M57" i="7"/>
  <c r="J12" i="7"/>
  <c r="M15" i="7"/>
  <c r="M31" i="7"/>
  <c r="M23" i="7"/>
  <c r="J23" i="7"/>
  <c r="M55" i="7"/>
  <c r="J28" i="7"/>
  <c r="M47" i="7"/>
  <c r="J10" i="7"/>
  <c r="J26" i="7"/>
  <c r="J5" i="7"/>
  <c r="J7" i="7"/>
  <c r="J13" i="7"/>
  <c r="J29" i="7"/>
  <c r="J24" i="7"/>
  <c r="J50" i="6"/>
  <c r="J10" i="6"/>
  <c r="M23" i="6"/>
  <c r="J18" i="6"/>
  <c r="M47" i="6"/>
  <c r="J34" i="6"/>
  <c r="M7" i="6"/>
  <c r="J42" i="6"/>
  <c r="M15" i="6"/>
  <c r="M4" i="6"/>
  <c r="M31" i="6"/>
  <c r="J53" i="6"/>
  <c r="J21" i="6"/>
  <c r="J29" i="6"/>
  <c r="J37" i="6"/>
  <c r="M5" i="6"/>
  <c r="J8" i="6"/>
  <c r="M13" i="6"/>
  <c r="J16" i="6"/>
  <c r="J24" i="6"/>
  <c r="J32" i="6"/>
  <c r="J40" i="6"/>
  <c r="J48" i="6"/>
  <c r="J11" i="6"/>
  <c r="J19" i="6"/>
  <c r="J27" i="6"/>
  <c r="J35" i="6"/>
  <c r="J43" i="6"/>
  <c r="J51" i="6"/>
  <c r="J6" i="6"/>
  <c r="J14" i="6"/>
  <c r="J22" i="6"/>
  <c r="J41" i="6"/>
  <c r="J49" i="6"/>
  <c r="J28" i="6"/>
  <c r="J45" i="6"/>
  <c r="J30" i="6"/>
  <c r="J38" i="6"/>
  <c r="J46" i="6"/>
  <c r="J9" i="6"/>
  <c r="J17" i="6"/>
  <c r="J25" i="6"/>
  <c r="J33" i="6"/>
  <c r="J12" i="6"/>
  <c r="J20" i="6"/>
  <c r="J36" i="6"/>
  <c r="J44" i="6"/>
  <c r="J52" i="6"/>
  <c r="M31" i="5"/>
  <c r="M20" i="5"/>
  <c r="J15" i="5"/>
  <c r="M61" i="5"/>
  <c r="J5" i="5"/>
  <c r="J56" i="5"/>
  <c r="M44" i="5"/>
  <c r="J12" i="5"/>
  <c r="J39" i="5"/>
  <c r="J7" i="5"/>
  <c r="M53" i="5"/>
  <c r="J48" i="5"/>
  <c r="M36" i="5"/>
  <c r="J4" i="5"/>
  <c r="J10" i="5"/>
  <c r="J18" i="5"/>
  <c r="M34" i="5"/>
  <c r="J45" i="5"/>
  <c r="M51" i="5"/>
  <c r="M59" i="5"/>
  <c r="J16" i="5"/>
  <c r="M37" i="5"/>
  <c r="M54" i="5"/>
  <c r="J57" i="5"/>
  <c r="J11" i="5"/>
  <c r="M40" i="5"/>
  <c r="J52" i="5"/>
  <c r="J60" i="5"/>
  <c r="J6" i="5"/>
  <c r="J38" i="5"/>
  <c r="M43" i="5"/>
  <c r="J55" i="5"/>
  <c r="J9" i="5"/>
  <c r="M14" i="5"/>
  <c r="J17" i="5"/>
  <c r="J25" i="5"/>
  <c r="M30" i="5"/>
  <c r="J33" i="5"/>
  <c r="J41" i="5"/>
  <c r="M46" i="5"/>
  <c r="J50" i="5"/>
  <c r="J58" i="5"/>
  <c r="J42" i="5"/>
  <c r="J13" i="5"/>
  <c r="J8" i="5"/>
  <c r="J24" i="5"/>
  <c r="J49" i="5"/>
  <c r="J35" i="5"/>
  <c r="J62" i="5"/>
  <c r="M9" i="4"/>
  <c r="M34" i="4"/>
  <c r="M17" i="4"/>
  <c r="M5" i="4"/>
  <c r="M56" i="4"/>
  <c r="M40" i="4"/>
  <c r="M32" i="4"/>
  <c r="M16" i="4"/>
  <c r="M8" i="4"/>
  <c r="M19" i="4"/>
  <c r="M24" i="4"/>
  <c r="M48" i="4"/>
  <c r="M42" i="4"/>
  <c r="M23" i="4"/>
  <c r="F3" i="2" l="1"/>
  <c r="H5" i="2" l="1"/>
  <c r="D29" i="2"/>
  <c r="D16" i="2"/>
  <c r="B2" i="2"/>
  <c r="B6" i="2"/>
  <c r="C6" i="2" l="1"/>
  <c r="E6" i="2"/>
  <c r="H6" i="2" s="1"/>
  <c r="B7" i="2"/>
  <c r="B8" i="2" s="1"/>
  <c r="B9" i="2" s="1"/>
  <c r="B10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в т ч  1000 грн простой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43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390 + 80 возврат машины в БЦ для дозагруза </t>
        </r>
      </text>
    </comment>
    <comment ref="H145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225 км + 80 км подача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9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факту окончания работ на обїекте</t>
        </r>
      </text>
    </comment>
  </commentList>
</comments>
</file>

<file path=xl/sharedStrings.xml><?xml version="1.0" encoding="utf-8"?>
<sst xmlns="http://schemas.openxmlformats.org/spreadsheetml/2006/main" count="4007" uniqueCount="1081">
  <si>
    <t>Расчет планового дохода с рейса</t>
  </si>
  <si>
    <t>Месяц</t>
  </si>
  <si>
    <t>Маршрут</t>
  </si>
  <si>
    <t>Доход, 
грн/рейс</t>
  </si>
  <si>
    <t>Комментарии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</si>
  <si>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</si>
  <si>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</si>
  <si>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</si>
  <si>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</si>
  <si>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</si>
  <si>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</si>
  <si>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</si>
  <si>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</si>
  <si>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Крушинка</t>
  </si>
  <si>
    <t>Бровари - Крушинка</t>
  </si>
  <si>
    <t>Перевозчик</t>
  </si>
  <si>
    <t>ТОВ "Ландтехтрейд"</t>
  </si>
  <si>
    <t>ТОВ "АБ-Групп"</t>
  </si>
  <si>
    <t>ТОВ "Евакуатор Сервіс"</t>
  </si>
  <si>
    <t>ТОВ "Корусанд</t>
  </si>
  <si>
    <t xml:space="preserve">Дата  перевозки </t>
  </si>
  <si>
    <t>07.04 - 08.04</t>
  </si>
  <si>
    <t>09.04 - 09.04</t>
  </si>
  <si>
    <t>10.04 - 11.04</t>
  </si>
  <si>
    <t>12.04 - 12.04</t>
  </si>
  <si>
    <t>16.04 - 16.04</t>
  </si>
  <si>
    <t>19.04 - 19.04</t>
  </si>
  <si>
    <t>Запоріжжя-Крушинка</t>
  </si>
  <si>
    <t>Ніжин - Крушинка</t>
  </si>
  <si>
    <t>Київ - Ніжин</t>
  </si>
  <si>
    <t>Ладижин - Бровари</t>
  </si>
  <si>
    <t>Крушинка - Ніжин</t>
  </si>
  <si>
    <t>Ніжин - Бровари</t>
  </si>
  <si>
    <t>Бровари - Ніжин</t>
  </si>
  <si>
    <t>Крушинка - Бровари</t>
  </si>
  <si>
    <t xml:space="preserve"> Крушинка</t>
  </si>
  <si>
    <t>Заказчик (объект)</t>
  </si>
  <si>
    <t>Нежин-3</t>
  </si>
  <si>
    <t>телескоп</t>
  </si>
  <si>
    <t>Каток</t>
  </si>
  <si>
    <t>опалубка</t>
  </si>
  <si>
    <t>віброплита</t>
  </si>
  <si>
    <t>Стоимость, 
грн</t>
  </si>
  <si>
    <t>Километраж, 
км</t>
  </si>
  <si>
    <t>Фактическая стоимость для заказчика
грн/км</t>
  </si>
  <si>
    <t>Наименование груза</t>
  </si>
  <si>
    <t>оплачено  19.04</t>
  </si>
  <si>
    <t>оплачено - 12 000 грн  11.04 , 3 000 грн - 18.04</t>
  </si>
  <si>
    <t>оплачено 18.04</t>
  </si>
  <si>
    <t>оплачено 10 000 грн - 18.04, 2500грн -19.04</t>
  </si>
  <si>
    <t>СС, 
грн/рейс</t>
  </si>
  <si>
    <t>Маржинальная прибыль , 
грн/рейс</t>
  </si>
  <si>
    <t>Ладыжин</t>
  </si>
  <si>
    <t>29.04 - 30.04</t>
  </si>
  <si>
    <t>Наименование</t>
  </si>
  <si>
    <t>Оплата контрагенту (перевозчику), с НДС грн.</t>
  </si>
  <si>
    <t>Выполнено перевозок, грн</t>
  </si>
  <si>
    <t>Задолженость, грн</t>
  </si>
  <si>
    <t>Расчет планового дохода с рейса 0-99 км</t>
  </si>
  <si>
    <t>Расчет планового дохода с рейса 100-199 км</t>
  </si>
  <si>
    <t>Расчет планового дохода с рейса от 200 км</t>
  </si>
  <si>
    <t>Расчет планового дохода с рейса (Тралы)</t>
  </si>
  <si>
    <t>Фактическая сс 
грн/км2</t>
  </si>
  <si>
    <t>ТОВ "Колгоспний Двір"</t>
  </si>
  <si>
    <t>07.05 - 07.05</t>
  </si>
  <si>
    <t>Староконстантинов</t>
  </si>
  <si>
    <t>ПП"Транс Лоджистик Сервис"</t>
  </si>
  <si>
    <t>02.05 - 03.05</t>
  </si>
  <si>
    <t>Староконстантинов - Белая Церковь</t>
  </si>
  <si>
    <t>РДК-250</t>
  </si>
  <si>
    <t>оплачено 03.05</t>
  </si>
  <si>
    <t>оплачено 6 400 грн - 19.04 1800 грн - 08.05</t>
  </si>
  <si>
    <t>оплачено 14 400 грн -  19.04 3600 грн -08.05</t>
  </si>
  <si>
    <t>Сумма дохода с 01.04, c НДС грн</t>
  </si>
  <si>
    <t>15.05 - 15.05</t>
  </si>
  <si>
    <t>Біла Церква - Ніжин</t>
  </si>
  <si>
    <t>Нежин</t>
  </si>
  <si>
    <t xml:space="preserve">перевезення </t>
  </si>
  <si>
    <t>доставка кроватей</t>
  </si>
  <si>
    <t>ТОВ "Арс Буд Груп"</t>
  </si>
  <si>
    <t>16.05 - 16.05</t>
  </si>
  <si>
    <t>Юровка - Крушинка</t>
  </si>
  <si>
    <t>Подгорцы</t>
  </si>
  <si>
    <t>ТОВ"Логистика-ТДК"</t>
  </si>
  <si>
    <t>23.05 - 23.05</t>
  </si>
  <si>
    <t>Киев - Подгорцы</t>
  </si>
  <si>
    <t>метал.столбы+фонари</t>
  </si>
  <si>
    <t>20.05 - 20.05</t>
  </si>
  <si>
    <t>23.05 - 24.05</t>
  </si>
  <si>
    <t>Белая Церковь - Нежин</t>
  </si>
  <si>
    <t>МК</t>
  </si>
  <si>
    <t>ТОВ "Індеп Транс"</t>
  </si>
  <si>
    <t>14.05 - 14.05</t>
  </si>
  <si>
    <t>Хмельницький - Біла Церква</t>
  </si>
  <si>
    <t>піканіска</t>
  </si>
  <si>
    <t>Ніжин - Біла Церква</t>
  </si>
  <si>
    <t>телескоп 1</t>
  </si>
  <si>
    <t>оплачено 21.05</t>
  </si>
  <si>
    <t>оплечено 21.05</t>
  </si>
  <si>
    <t>Индепт Стил</t>
  </si>
  <si>
    <t>28.05 - 28.06</t>
  </si>
  <si>
    <t>Белая Церковь - Подгорцы</t>
  </si>
  <si>
    <t>сваи</t>
  </si>
  <si>
    <t>28.05 - 28.07</t>
  </si>
  <si>
    <t>28.05 - 29.08</t>
  </si>
  <si>
    <t>29.05 - 29.08</t>
  </si>
  <si>
    <t>Бородянка - Подгорцы</t>
  </si>
  <si>
    <t>28.05 - 28.05</t>
  </si>
  <si>
    <t>Копылов - Староконстантинов</t>
  </si>
  <si>
    <t>водосточная система</t>
  </si>
  <si>
    <t>29.05 - 29.05</t>
  </si>
  <si>
    <t>Крушинка - Подгорцы</t>
  </si>
  <si>
    <t>экскаватор 220</t>
  </si>
  <si>
    <t xml:space="preserve">Біла Церква </t>
  </si>
  <si>
    <t>будматеріали</t>
  </si>
  <si>
    <t>оплачено 24.05</t>
  </si>
  <si>
    <t>оплачено частично 21.05- 15 400 грн 28.05- 3850 грн</t>
  </si>
  <si>
    <t>оплачено 29.05</t>
  </si>
  <si>
    <t>Оплачено с 01.04 , грн</t>
  </si>
  <si>
    <t>04.06 - 04.06</t>
  </si>
  <si>
    <t>Борщев - Киев - Подгорцы</t>
  </si>
  <si>
    <t>газон + трубы</t>
  </si>
  <si>
    <t>оплачено</t>
  </si>
  <si>
    <t>оплачено 06.06</t>
  </si>
  <si>
    <t>оплачено 31.05</t>
  </si>
  <si>
    <t>оплачено 28.05-42100 грн 31.05- 42 600грн</t>
  </si>
  <si>
    <t>13.06 - 13.06</t>
  </si>
  <si>
    <t>Белая Церковь</t>
  </si>
  <si>
    <t>строительные материалы</t>
  </si>
  <si>
    <t>11.06 - 11.06</t>
  </si>
  <si>
    <t xml:space="preserve">каток </t>
  </si>
  <si>
    <t>Подгорцы - Крушинка</t>
  </si>
  <si>
    <t>ФОП Загоруйко ОП</t>
  </si>
  <si>
    <t>12.06 - 12.06</t>
  </si>
  <si>
    <t>Киев - Староконстантинов</t>
  </si>
  <si>
    <t>Глобино</t>
  </si>
  <si>
    <t>13.06 - 14.06</t>
  </si>
  <si>
    <t>Староконстантинов - Глобино</t>
  </si>
  <si>
    <t>инструменталка</t>
  </si>
  <si>
    <t>оплата частично 10 560 грн 31.05 2640 - 12.06</t>
  </si>
  <si>
    <t>оплачено 12.06</t>
  </si>
  <si>
    <t>оплачено 30.05</t>
  </si>
  <si>
    <t>оплачено частично8 320 грн -31.05  2080  грн - 12.06</t>
  </si>
  <si>
    <t>14.06 - 14.06</t>
  </si>
  <si>
    <t>Щедро</t>
  </si>
  <si>
    <t>18.06 - 19.06</t>
  </si>
  <si>
    <t xml:space="preserve">Запоріжжя - Біла Церква </t>
  </si>
  <si>
    <t>шланги</t>
  </si>
  <si>
    <t>18.06 - 18.06</t>
  </si>
  <si>
    <t>Киев - Белая Церковь</t>
  </si>
  <si>
    <t>16.06 - 16.07</t>
  </si>
  <si>
    <t>Подгорцы - Глобино</t>
  </si>
  <si>
    <t>JCB 3CX 2007</t>
  </si>
  <si>
    <t>21.06 - 21.06</t>
  </si>
  <si>
    <t>Подгорцы - Буча</t>
  </si>
  <si>
    <t>19.06 - 19.06</t>
  </si>
  <si>
    <t>оплачено 14.06</t>
  </si>
  <si>
    <t>оплачено 11 200 -12.04;  2 800 грн - 18.06</t>
  </si>
  <si>
    <t>Индепт Стил ВООЗ</t>
  </si>
  <si>
    <t>24.06 - 24.06</t>
  </si>
  <si>
    <t>25.06 - 25.06</t>
  </si>
  <si>
    <t>26.06 - 26.06</t>
  </si>
  <si>
    <t>27.06 - 27.06</t>
  </si>
  <si>
    <t>Приднепровский</t>
  </si>
  <si>
    <t>21.06 - 22.06</t>
  </si>
  <si>
    <t>Кропивницкий - Белая Церковь</t>
  </si>
  <si>
    <t>бытовка</t>
  </si>
  <si>
    <t>профлист</t>
  </si>
  <si>
    <t>сантехніка</t>
  </si>
  <si>
    <t>Боярка - Белая Церковь</t>
  </si>
  <si>
    <t>меблі</t>
  </si>
  <si>
    <t>27.06 - .27.06</t>
  </si>
  <si>
    <t>в т ч  апрель</t>
  </si>
  <si>
    <t xml:space="preserve">май </t>
  </si>
  <si>
    <t xml:space="preserve">июнь </t>
  </si>
  <si>
    <t>оплачено  21.06</t>
  </si>
  <si>
    <t>оплачено частично - 10 000 грн 13.06 6 490 грн - 25.06</t>
  </si>
  <si>
    <t>оплачено частично - 17 600 грн 18.06 4 400 грн-27.06</t>
  </si>
  <si>
    <t>оплачено частично - 21 600 грн 18.06 5 400 грн - 27.06</t>
  </si>
  <si>
    <t>оплачено 27.06</t>
  </si>
  <si>
    <t>09.07 - 09.07</t>
  </si>
  <si>
    <t>11.07 - 11.07</t>
  </si>
  <si>
    <t>01.07 - 01.07</t>
  </si>
  <si>
    <t>Запорожье (манипулятор)</t>
  </si>
  <si>
    <t>песок</t>
  </si>
  <si>
    <t>03.07 - 03.07</t>
  </si>
  <si>
    <t>05.07 - 05.07</t>
  </si>
  <si>
    <t>мабель</t>
  </si>
  <si>
    <t>05.07 - 06.07</t>
  </si>
  <si>
    <t>Белая Церковь - Запорожье</t>
  </si>
  <si>
    <t>ворота</t>
  </si>
  <si>
    <t>ВООЗ</t>
  </si>
  <si>
    <t>Белая Церковь - Шелудьковка</t>
  </si>
  <si>
    <t>модули</t>
  </si>
  <si>
    <t>08.07 - 11.07</t>
  </si>
  <si>
    <t>инвентарь</t>
  </si>
  <si>
    <t>04.07 - 04.07</t>
  </si>
  <si>
    <t>10.07 - 10.07</t>
  </si>
  <si>
    <t>подача авто</t>
  </si>
  <si>
    <t>28.06 - 28.06</t>
  </si>
  <si>
    <t>Безп'ятне - Біла Церква</t>
  </si>
  <si>
    <t>бочка (бак)</t>
  </si>
  <si>
    <t>01.07 - .02.07</t>
  </si>
  <si>
    <t>02.07 - 02.07</t>
  </si>
  <si>
    <t>03.07 - 04.07</t>
  </si>
  <si>
    <t>Борщев - Подгорцы</t>
  </si>
  <si>
    <t xml:space="preserve">газон </t>
  </si>
  <si>
    <t>оплачено 09.07</t>
  </si>
  <si>
    <t>оплачено 10.07</t>
  </si>
  <si>
    <t>оплачено 11.07</t>
  </si>
  <si>
    <t xml:space="preserve">июль </t>
  </si>
  <si>
    <t>12.07 - 12.07</t>
  </si>
  <si>
    <t>15.07 - 15.07</t>
  </si>
  <si>
    <t>17.07 - 17.07</t>
  </si>
  <si>
    <t>Крушинка - Нежин</t>
  </si>
  <si>
    <t>каток</t>
  </si>
  <si>
    <t>Крушинка - Біла Церква</t>
  </si>
  <si>
    <t>телескоп 2</t>
  </si>
  <si>
    <t>18.07 - 18.07</t>
  </si>
  <si>
    <t>бытовки</t>
  </si>
  <si>
    <t>15.07 - 16.07</t>
  </si>
  <si>
    <t>бочки</t>
  </si>
  <si>
    <t>Харьков - Шелудьковка</t>
  </si>
  <si>
    <t>кольца ЖБК</t>
  </si>
  <si>
    <t>18.07- 19.07</t>
  </si>
  <si>
    <t>18.07- 18.07</t>
  </si>
  <si>
    <t>Крушинка - Белая Церковь</t>
  </si>
  <si>
    <t>подача+простой</t>
  </si>
  <si>
    <t>оплачено  12.07</t>
  </si>
  <si>
    <t>оплачено12.07</t>
  </si>
  <si>
    <t>оплечено 12.07</t>
  </si>
  <si>
    <t>оплечено 12,.07</t>
  </si>
  <si>
    <t>18.07 - 19.07</t>
  </si>
  <si>
    <t>24.07 - 24.07</t>
  </si>
  <si>
    <t>19.07 - 20.07</t>
  </si>
  <si>
    <t>автокран 55</t>
  </si>
  <si>
    <t>22.07 - 22.07</t>
  </si>
  <si>
    <t>Киев - Нежин</t>
  </si>
  <si>
    <t>перевозка</t>
  </si>
  <si>
    <t>25.07 - 25.07</t>
  </si>
  <si>
    <t>черепица</t>
  </si>
  <si>
    <t>оплачено  19.07</t>
  </si>
  <si>
    <t>оплачено 19.07</t>
  </si>
  <si>
    <t>оплачено 25.07</t>
  </si>
  <si>
    <t>оплачено частично 19.07- 12 800 грн 25.07-3200 грн</t>
  </si>
  <si>
    <t>оплачено частично 12.07 - 8 240 грн 25.07- 2060</t>
  </si>
  <si>
    <t>краска</t>
  </si>
  <si>
    <t>Счастливое - Белая Церковь</t>
  </si>
  <si>
    <t>26.07 - 26.07</t>
  </si>
  <si>
    <t>29.07 - 30.07</t>
  </si>
  <si>
    <t>Белая Церковь - Высокополье</t>
  </si>
  <si>
    <t>30.07 - 31.07</t>
  </si>
  <si>
    <t>модули (негабаоит)</t>
  </si>
  <si>
    <t>услуги автокрана</t>
  </si>
  <si>
    <t>Високополье</t>
  </si>
  <si>
    <t>Коломацкое - Полтава</t>
  </si>
  <si>
    <t>євакуатор (ГАЗель)</t>
  </si>
  <si>
    <t>30.07 - 30.07</t>
  </si>
  <si>
    <t>Коломацкое - Вісокополье</t>
  </si>
  <si>
    <t>31.07 - 31.07</t>
  </si>
  <si>
    <t>29.07 - 29.07</t>
  </si>
  <si>
    <t>Индепт Стил ООН</t>
  </si>
  <si>
    <t>01.08 - 01.08</t>
  </si>
  <si>
    <t xml:space="preserve">август </t>
  </si>
  <si>
    <t>29.07 - 29.08</t>
  </si>
  <si>
    <t>06.08 - 06.08</t>
  </si>
  <si>
    <t>07.08 - 07.08</t>
  </si>
  <si>
    <t>08.08 - 08.08</t>
  </si>
  <si>
    <t>Индепт Стил ВООЗ/ООН</t>
  </si>
  <si>
    <t>02.08 - 02.08</t>
  </si>
  <si>
    <t>бочки/планки</t>
  </si>
  <si>
    <t>ленолеум</t>
  </si>
  <si>
    <t>05.08 - 05.08</t>
  </si>
  <si>
    <t>Вишневе - Белая Церковь</t>
  </si>
  <si>
    <t>линолеум</t>
  </si>
  <si>
    <t>оплачено 26.07</t>
  </si>
  <si>
    <t>оплачено частично 12.07- 8800 грн оплачено 2200 26.07</t>
  </si>
  <si>
    <t>оплата частично 25.07 -14800 26.07- 3700</t>
  </si>
  <si>
    <t>оплата частично 25.07- 13200 31.07 - 3 300 грн</t>
  </si>
  <si>
    <t>оплачено частично 19.07 -8 800 грн 06.08- 2 200 грн</t>
  </si>
  <si>
    <t>оплата  06.08</t>
  </si>
  <si>
    <t>12.08 - 12.08</t>
  </si>
  <si>
    <t>14.08 - 14.08</t>
  </si>
  <si>
    <t>Крушинка - Киев</t>
  </si>
  <si>
    <t>гибочный станок</t>
  </si>
  <si>
    <t>13.08 - 13.08</t>
  </si>
  <si>
    <t>20.08 - 20.08</t>
  </si>
  <si>
    <t xml:space="preserve">HPL панели </t>
  </si>
  <si>
    <t>Харьков</t>
  </si>
  <si>
    <t>21.08 - 21.08</t>
  </si>
  <si>
    <t>утеплитель</t>
  </si>
  <si>
    <t>22.08 - 22.08</t>
  </si>
  <si>
    <t>Чогодарівка</t>
  </si>
  <si>
    <t>ООН</t>
  </si>
  <si>
    <t>Харків</t>
  </si>
  <si>
    <t>09.08 - 10.08</t>
  </si>
  <si>
    <t>Белая Церковь - Чемер</t>
  </si>
  <si>
    <t xml:space="preserve">Чернигов - Белая Церковь </t>
  </si>
  <si>
    <t>буржуйки</t>
  </si>
  <si>
    <t>16.08 - 17.08</t>
  </si>
  <si>
    <t>Белая Церковь - Чемер - Харьков</t>
  </si>
  <si>
    <t>19.08 - 20.08</t>
  </si>
  <si>
    <t>Белая Церковь - Чогодаровка</t>
  </si>
  <si>
    <t>20.08 - 21.08</t>
  </si>
  <si>
    <t>Харьков - Подгорцы</t>
  </si>
  <si>
    <t>Белая Церковь - Харьков</t>
  </si>
  <si>
    <t>23.08 - 23.08</t>
  </si>
  <si>
    <t>09.08 - 09.08</t>
  </si>
  <si>
    <t>Боярка-Безпятное-Белая Церковь</t>
  </si>
  <si>
    <t>мебель/бочки</t>
  </si>
  <si>
    <t xml:space="preserve">Индепт Стил </t>
  </si>
  <si>
    <t>Біла Церква - Підгірці</t>
  </si>
  <si>
    <t>забор</t>
  </si>
  <si>
    <t>оплачено 14.08</t>
  </si>
  <si>
    <t>оплачено 15.08</t>
  </si>
  <si>
    <t>оплачено 16.08</t>
  </si>
  <si>
    <t>оплачено частично 19.07 11 440 грн + 2860 грн 16.08</t>
  </si>
  <si>
    <t>оплата  16.08</t>
  </si>
  <si>
    <t>оплачено частично 19.07 -36560 грн 16.08-9 140 грн</t>
  </si>
  <si>
    <t>оплачено частично 19.07 -19 200 грн 16.08-28 800 грн</t>
  </si>
  <si>
    <t>оплата  20.08</t>
  </si>
  <si>
    <t>оплата  2200 -14.08 2200 -16.08</t>
  </si>
  <si>
    <t>26.08 - 26.08</t>
  </si>
  <si>
    <t>28.08 - 28.08</t>
  </si>
  <si>
    <t>Столбец1</t>
  </si>
  <si>
    <t>24.08 - 24.08</t>
  </si>
  <si>
    <t>Турбина</t>
  </si>
  <si>
    <t>27.08 - 27.08</t>
  </si>
  <si>
    <t>Ковьяги</t>
  </si>
  <si>
    <t>Запорожье</t>
  </si>
  <si>
    <t>перевозка МК по объекту</t>
  </si>
  <si>
    <t>29.08 - 29.08</t>
  </si>
  <si>
    <t>26.08 - 27.08</t>
  </si>
  <si>
    <t xml:space="preserve"> Белая Церковь - Ковьяги</t>
  </si>
  <si>
    <t>29.08 - 30.08</t>
  </si>
  <si>
    <t>30.08 - 31.08</t>
  </si>
  <si>
    <t xml:space="preserve"> Белая Церковь - Волохов Яр</t>
  </si>
  <si>
    <t>800 - грн 05.08 1000 -23,08</t>
  </si>
  <si>
    <t>оплачено частично  33 280 грн 14.08 8320 оплачено 23,08</t>
  </si>
  <si>
    <t>оплачено 23.08</t>
  </si>
  <si>
    <t>оплачено 23.09</t>
  </si>
  <si>
    <t>оплачено 29.08</t>
  </si>
  <si>
    <t>оплачено частично 25.07- 13 900 грн 29.08 - 63 100</t>
  </si>
  <si>
    <t>30.08 - 30.08</t>
  </si>
  <si>
    <t>02.09 - 02.09</t>
  </si>
  <si>
    <t>03.09 - 03.09</t>
  </si>
  <si>
    <t>Запорожье работа на объекте 4 часа</t>
  </si>
  <si>
    <t>перевозка труб</t>
  </si>
  <si>
    <t>05.09 - 05.09</t>
  </si>
  <si>
    <t>весы</t>
  </si>
  <si>
    <t>31.08 - 31.08</t>
  </si>
  <si>
    <t>01.09 - 01.09</t>
  </si>
  <si>
    <t>Волохів Яр</t>
  </si>
  <si>
    <t>04.09 - 04.09</t>
  </si>
  <si>
    <t>Пещаное Сумская обл.</t>
  </si>
  <si>
    <t>30.08 - 01.09</t>
  </si>
  <si>
    <t>03.09 - 04.09</t>
  </si>
  <si>
    <t>Белая Церковь - Пещаное (Сумская обл)</t>
  </si>
  <si>
    <t>05.09 - 06.09</t>
  </si>
  <si>
    <t>Днепр - Белая Церковь</t>
  </si>
  <si>
    <t>мебель</t>
  </si>
  <si>
    <t>бытовая техника</t>
  </si>
  <si>
    <t>Киев - Безпятное - Белая Церковь</t>
  </si>
  <si>
    <t>сантехника/бочки</t>
  </si>
  <si>
    <t>оплата 28,08</t>
  </si>
  <si>
    <t>Оплачено 30.08 (Подгорці)</t>
  </si>
  <si>
    <t>оплачено 02.09</t>
  </si>
  <si>
    <t>оплачено 04.09</t>
  </si>
  <si>
    <t>сентябрь</t>
  </si>
  <si>
    <t>Долг перед ИТ</t>
  </si>
  <si>
    <t>Кт</t>
  </si>
  <si>
    <t>Долги перед поставщиками</t>
  </si>
  <si>
    <t>3% от поступлений</t>
  </si>
  <si>
    <t>Free CF за квартал</t>
  </si>
  <si>
    <t>Баланс по объекту на 01.12.24</t>
  </si>
  <si>
    <t xml:space="preserve">поступление за сентябрь </t>
  </si>
  <si>
    <t>Сальдо на 01.09.2024</t>
  </si>
  <si>
    <t xml:space="preserve">списание за сентябрь </t>
  </si>
  <si>
    <t>CF за  сентябрь 2024</t>
  </si>
  <si>
    <t xml:space="preserve">Затраты цо </t>
  </si>
  <si>
    <t>06.09 - 06.09</t>
  </si>
  <si>
    <t>09.09 - 09.09</t>
  </si>
  <si>
    <t>11.09 - 11.09</t>
  </si>
  <si>
    <t>11.09 - 11.10</t>
  </si>
  <si>
    <t>12.09 - 12.09</t>
  </si>
  <si>
    <t>Індепт Стіл</t>
  </si>
  <si>
    <t>10.09 - 11.09</t>
  </si>
  <si>
    <t>модуль охорони</t>
  </si>
  <si>
    <t xml:space="preserve">евакуатор </t>
  </si>
  <si>
    <t>ППФ "Лімо-Сервіс"</t>
  </si>
  <si>
    <t>Погреби - Запоріжжя</t>
  </si>
  <si>
    <t>теплоізоляція</t>
  </si>
  <si>
    <t>ТОВ "СЕЛЕСА"</t>
  </si>
  <si>
    <t>09.09 - 10.09</t>
  </si>
  <si>
    <t>Біла Церква - Київ - Біла Церква</t>
  </si>
  <si>
    <t>сантехника</t>
  </si>
  <si>
    <t>Коровник</t>
  </si>
  <si>
    <t>11.09 - 12.09</t>
  </si>
  <si>
    <t>Крушинка - Рідків</t>
  </si>
  <si>
    <t>битовки</t>
  </si>
  <si>
    <t>12.09 - 13.09</t>
  </si>
  <si>
    <t>оплачено 10.09</t>
  </si>
  <si>
    <t>оплаьа частично 17 600 16.08 4 400 -11.09</t>
  </si>
  <si>
    <t>оплачено 11.09</t>
  </si>
  <si>
    <t>оплаьа частично 13 200 16.08 3 300 грн -11.09</t>
  </si>
  <si>
    <t>оплачено 12.09</t>
  </si>
  <si>
    <t>оплачено 23.08-8240 грн 2060-12.09</t>
  </si>
  <si>
    <t>11880 грн оплачено частично 09.08 2970-10.09</t>
  </si>
  <si>
    <t>оплачено частично 06.09</t>
  </si>
  <si>
    <t>оплачено 27.08</t>
  </si>
  <si>
    <t>19.09 - 19.09</t>
  </si>
  <si>
    <t>20.09 - 20.09</t>
  </si>
  <si>
    <t>23.09 - 23.09</t>
  </si>
  <si>
    <t>манипулятор/кольца</t>
  </si>
  <si>
    <t>Крушинка/Молоко Вітчизни</t>
  </si>
  <si>
    <t>13.09 - 13.09</t>
  </si>
  <si>
    <t>14.09 - 14.09</t>
  </si>
  <si>
    <t>услуги екскаватора</t>
  </si>
  <si>
    <t>Молоко Вітчизни</t>
  </si>
  <si>
    <t>13.09 - 14.09</t>
  </si>
  <si>
    <t>Підгірці - Рідків</t>
  </si>
  <si>
    <t>3СХ перебазировка</t>
  </si>
  <si>
    <t>Біла Церква - Редків</t>
  </si>
  <si>
    <t>телескоп 2 перебазировка</t>
  </si>
  <si>
    <t>17.09 - 17.09</t>
  </si>
  <si>
    <t>Циркуни</t>
  </si>
  <si>
    <t>18.09 - 18.09</t>
  </si>
  <si>
    <t>Ков'яги</t>
  </si>
  <si>
    <t>21.09 - 21.09</t>
  </si>
  <si>
    <t>Архангельське</t>
  </si>
  <si>
    <t>Нежин / Глобино</t>
  </si>
  <si>
    <t>18.09 - 20.09</t>
  </si>
  <si>
    <t>Підгірці - Ніжин</t>
  </si>
  <si>
    <t xml:space="preserve">JCB220 </t>
  </si>
  <si>
    <t>19.09 - 20.09</t>
  </si>
  <si>
    <t>телескоп 5</t>
  </si>
  <si>
    <t>20.09 - 21.09</t>
  </si>
  <si>
    <t>Нежин - Глобина</t>
  </si>
  <si>
    <t>22.09 - 22.09</t>
  </si>
  <si>
    <t>24.09 - 24.09</t>
  </si>
  <si>
    <t>Високопілля Херсон</t>
  </si>
  <si>
    <t>Индеп Транс</t>
  </si>
  <si>
    <t>Нежин - Киев</t>
  </si>
  <si>
    <t>доставка 3СХ 2013 на СТО</t>
  </si>
  <si>
    <t>26.09 - 27.09</t>
  </si>
  <si>
    <t>Нежин - Глобино</t>
  </si>
  <si>
    <t>13000 грн (стоимость)</t>
  </si>
  <si>
    <t>Біла Церква - Рідків</t>
  </si>
  <si>
    <t>Запоріжжя - Рідків</t>
  </si>
  <si>
    <t>битовка</t>
  </si>
  <si>
    <t xml:space="preserve"> Белая Церковь - Циркуни</t>
  </si>
  <si>
    <t>Біла Церква - Глобине</t>
  </si>
  <si>
    <t>битовки/інструменталки</t>
  </si>
  <si>
    <t>станок/інструменталка</t>
  </si>
  <si>
    <t>Белая Церковь - Архангельское</t>
  </si>
  <si>
    <t>модули (не габарит)</t>
  </si>
  <si>
    <t>стрела РДК</t>
  </si>
  <si>
    <t>Белая Церковь - Високопілля Херсон</t>
  </si>
  <si>
    <t>16.09 - 16.09</t>
  </si>
  <si>
    <t>16.09 - 17.09</t>
  </si>
  <si>
    <t>18.09 - 19.09</t>
  </si>
  <si>
    <t>20.09 - 22.09</t>
  </si>
  <si>
    <t>20.09- 21.09</t>
  </si>
  <si>
    <t>21.09 - 22.09</t>
  </si>
  <si>
    <t>23.09 - 24.09</t>
  </si>
  <si>
    <t>24.09 - 25.09</t>
  </si>
  <si>
    <t>ТОВ "Ендор Логістик"</t>
  </si>
  <si>
    <t>25.09 - 26.09</t>
  </si>
  <si>
    <t>двері</t>
  </si>
  <si>
    <t>Славута - Рідків</t>
  </si>
  <si>
    <t>транспортні послуги</t>
  </si>
  <si>
    <t>25.09 - 25.09</t>
  </si>
  <si>
    <t>сантехника/черепица</t>
  </si>
  <si>
    <t>утеплитель/інвентар</t>
  </si>
  <si>
    <t>бітовка/інвентар</t>
  </si>
  <si>
    <t>14.09 -14.09</t>
  </si>
  <si>
    <t>вишка тура/щити</t>
  </si>
  <si>
    <t>оплачено 13.09</t>
  </si>
  <si>
    <t>оплачено частично 33 280 - 13.09</t>
  </si>
  <si>
    <t>оплачено 17.09</t>
  </si>
  <si>
    <t>оплачено частично 15 200 грн 23.08 3800-17.09</t>
  </si>
  <si>
    <t>оплата частично 38720грн-17.09</t>
  </si>
  <si>
    <t>оплата частично 29 920 -17.09</t>
  </si>
  <si>
    <t>оплата частично 27200 -17.09</t>
  </si>
  <si>
    <t>оплачено частично  25 200 -17.09</t>
  </si>
  <si>
    <t>оплачено частично -13 200 грн</t>
  </si>
  <si>
    <t>оплачено частично 30 000 грн 23.08 10 000-17.09</t>
  </si>
  <si>
    <t>оплачено частично 20 800 грн 23.08 5200- 17.09</t>
  </si>
  <si>
    <t>оплачено частично 20 480 - 02.09 5120 -17.09</t>
  </si>
  <si>
    <t>оплачено частично 16 000 грн 23.08 4000-17.09</t>
  </si>
  <si>
    <t>оплачено частично 14080 грн 23.08 3520 -17.09</t>
  </si>
  <si>
    <t>оплачено частично - 12 000 грн 04.09 3000-17.09</t>
  </si>
  <si>
    <t>оплачено 18.09</t>
  </si>
  <si>
    <t>оплата частично 38 080 - 18.09</t>
  </si>
  <si>
    <t>оплачено частично 9760 грн - 19.09</t>
  </si>
  <si>
    <t>оплата частично 24 000 -24.09</t>
  </si>
  <si>
    <t>оплата частично 45 760 - 24.09</t>
  </si>
  <si>
    <t>оплата частично 68 800- 24.09</t>
  </si>
  <si>
    <t>оплачено 24.09</t>
  </si>
  <si>
    <t>оплата частично 35200-24.09 8800-25.09</t>
  </si>
  <si>
    <t>оплата 25.09</t>
  </si>
  <si>
    <t>оплачено 25.09</t>
  </si>
  <si>
    <t>оплата частично  - 31 360 грн- 25.09</t>
  </si>
  <si>
    <t>оплата частично  - 33 600 грн- 25.09</t>
  </si>
  <si>
    <t>оплачено частично 22 000 грн-25.09</t>
  </si>
  <si>
    <t>оплачено 26.09</t>
  </si>
  <si>
    <t>оплата частично 19 200-24.09</t>
  </si>
  <si>
    <t>оплата частично 20 800-26.09</t>
  </si>
  <si>
    <t>оплачено 19.09</t>
  </si>
  <si>
    <t>оплата частично 13 440-25.09</t>
  </si>
  <si>
    <t>оплачено частично 19 200- 26.09</t>
  </si>
  <si>
    <t>оплата частично 8 800 грн-25.09</t>
  </si>
  <si>
    <t>7000-25.09 200-17.09</t>
  </si>
  <si>
    <t>оплата частично 10 560 -13.09 2640-18.09</t>
  </si>
  <si>
    <t>оплачено 35600-18.09</t>
  </si>
  <si>
    <t>ТОВ "Приватний Двір"</t>
  </si>
  <si>
    <t>27.09 - 28.09</t>
  </si>
  <si>
    <t>Белая Церковь - Гороховатка</t>
  </si>
  <si>
    <t>Белая Церковь - Каменское</t>
  </si>
  <si>
    <t>Ніжин - Рідків</t>
  </si>
  <si>
    <t>30.09 - 01.10</t>
  </si>
  <si>
    <t>29.09 - 29.09</t>
  </si>
  <si>
    <t>Каменское</t>
  </si>
  <si>
    <t>26.09 - 26.09</t>
  </si>
  <si>
    <t>27.09 - 27.09</t>
  </si>
  <si>
    <t>02.10 - 03.10</t>
  </si>
  <si>
    <t>ТОВ "Автосвіфт"</t>
  </si>
  <si>
    <t>01.10 - 02.10</t>
  </si>
  <si>
    <t>01.10 - 03.10</t>
  </si>
  <si>
    <t>03.10 - 04.10</t>
  </si>
  <si>
    <t>Рідків - Глобине</t>
  </si>
  <si>
    <t>04.10 - 05.10</t>
  </si>
  <si>
    <t>большой склад</t>
  </si>
  <si>
    <t>Рідків - Біла Церква</t>
  </si>
  <si>
    <t>04.10 - 04.10</t>
  </si>
  <si>
    <t>Бровари - Глобине</t>
  </si>
  <si>
    <t>Чернігів - Біла Церква</t>
  </si>
  <si>
    <t>печи</t>
  </si>
  <si>
    <t>инвентарь 9 точек</t>
  </si>
  <si>
    <t xml:space="preserve">Путрівка </t>
  </si>
  <si>
    <t>Рідків - Путрівка</t>
  </si>
  <si>
    <t>бытовки+инструменталка</t>
  </si>
  <si>
    <t>03.10 - 03.10</t>
  </si>
  <si>
    <t>Рідків - Славута</t>
  </si>
  <si>
    <t>Київ - Біла Церква</t>
  </si>
  <si>
    <t>обігрівачи</t>
  </si>
  <si>
    <t>Підгірці</t>
  </si>
  <si>
    <t>02.10 - 02.10</t>
  </si>
  <si>
    <t>Бровари - Підгірці</t>
  </si>
  <si>
    <t>оплачено 03.10</t>
  </si>
  <si>
    <t>оплачено 16 000 грн-.03.10</t>
  </si>
  <si>
    <t>октябрь</t>
  </si>
  <si>
    <t>30.09 - 30.09</t>
  </si>
  <si>
    <t>01.10 - 01.10</t>
  </si>
  <si>
    <t>07.10 - 07.10</t>
  </si>
  <si>
    <t xml:space="preserve">Глобино </t>
  </si>
  <si>
    <t xml:space="preserve">телескоп 2 </t>
  </si>
  <si>
    <t xml:space="preserve">Рідків - Підгірці </t>
  </si>
  <si>
    <t xml:space="preserve"> 3СХ</t>
  </si>
  <si>
    <t>Гороховатка</t>
  </si>
  <si>
    <t>услуги манипулятора</t>
  </si>
  <si>
    <t>05.10 - 05.10</t>
  </si>
  <si>
    <t>07.10 - 08.10</t>
  </si>
  <si>
    <t>09.10 - 10.10</t>
  </si>
  <si>
    <t>Белая Церковь - Большая Костромка</t>
  </si>
  <si>
    <t>08.10 - 08.10</t>
  </si>
  <si>
    <t>снігоутримувач</t>
  </si>
  <si>
    <t>оплачено 04.10</t>
  </si>
  <si>
    <t>оплата частично 5280-19.09 2650 -04.10</t>
  </si>
  <si>
    <t>оплата частично 12 180 -13.09 3045 -04.10</t>
  </si>
  <si>
    <t>оплачено частично - 19 320  грн 04.09  4830-04.10</t>
  </si>
  <si>
    <t>оплачено частично - 21 000  грн 04.09 5250-04.10</t>
  </si>
  <si>
    <t>оплата частично 30 400 -13.09 7600-04.10</t>
  </si>
  <si>
    <t>оплачено частично 33 280 - 02.09 8320 04.10</t>
  </si>
  <si>
    <t>оплата частично 33 280 -04.09 8320 -04.10</t>
  </si>
  <si>
    <t>оплата частично 42 880 -04.09 10 720 -04.10</t>
  </si>
  <si>
    <t>оплачено частично 47 360-10.10</t>
  </si>
  <si>
    <t>оплачено частично 8800-10.10</t>
  </si>
  <si>
    <t>оплачено частично 28 960-10.10</t>
  </si>
  <si>
    <t>оплачено частично  31 680 - 10.10</t>
  </si>
  <si>
    <t>оплата 1500 -04.10 500-10.10</t>
  </si>
  <si>
    <t>оплачено 10.10</t>
  </si>
  <si>
    <t>оплачено частично 12 900 -02.09 5600-17.09 9 500-09.10</t>
  </si>
  <si>
    <t>оплачено 09.10</t>
  </si>
  <si>
    <t>оплата частично 10.09- 11 200 грн 2800 -11.10</t>
  </si>
  <si>
    <t>оплата частично 11 440 -10.10</t>
  </si>
  <si>
    <t>оплата частично 42 240-10.10</t>
  </si>
  <si>
    <t>09.10 - 09.10</t>
  </si>
  <si>
    <t>11.10 - 11.10</t>
  </si>
  <si>
    <t>12.10 - 12.10</t>
  </si>
  <si>
    <t>15.10 - 15.10</t>
  </si>
  <si>
    <t>16.10 - 16.10</t>
  </si>
  <si>
    <t>17.10 - 17.10</t>
  </si>
  <si>
    <t>Тростянец</t>
  </si>
  <si>
    <t>13.10 - 13.10</t>
  </si>
  <si>
    <t>14.10 - 14.10</t>
  </si>
  <si>
    <t>Большая Костромка</t>
  </si>
  <si>
    <t>09.10 - 11.10</t>
  </si>
  <si>
    <t>09.10 - 12.10</t>
  </si>
  <si>
    <t>11.10 - 12.10</t>
  </si>
  <si>
    <t>Белая Церковь - Тростянец</t>
  </si>
  <si>
    <t>12.10 - 14.10</t>
  </si>
  <si>
    <t>12.10- 15.10</t>
  </si>
  <si>
    <t>Шестовица - Нежин</t>
  </si>
  <si>
    <t>оборудование</t>
  </si>
  <si>
    <t>15.10 - 16.10</t>
  </si>
  <si>
    <t>инвентарь 7 точек</t>
  </si>
  <si>
    <t>17.10 - 18.10</t>
  </si>
  <si>
    <t>18.10 - 18.10</t>
  </si>
  <si>
    <t>Підгірці - Бровари</t>
  </si>
  <si>
    <t>22.10 - 22.10</t>
  </si>
  <si>
    <t>23.10 - 23.10</t>
  </si>
  <si>
    <t>Киев - Вишневое - Безпятное - Белая Церковь</t>
  </si>
  <si>
    <t>сантехника,линолеум,бочка</t>
  </si>
  <si>
    <t>21.10 - 22.10</t>
  </si>
  <si>
    <t>Тростянець - Піщяне - Високопілля - Ков'яги</t>
  </si>
  <si>
    <t>22.10 - 23.10</t>
  </si>
  <si>
    <t>Тростянец - Белая Церковь</t>
  </si>
  <si>
    <t>23.10 - 24.10</t>
  </si>
  <si>
    <t>генератор</t>
  </si>
  <si>
    <t>24.10 - 25.10</t>
  </si>
  <si>
    <t>25.10 - 26.10</t>
  </si>
  <si>
    <t>Ніжин - Путрівка</t>
  </si>
  <si>
    <t>ємність для бетону</t>
  </si>
  <si>
    <t>19.10 - 19.10</t>
  </si>
  <si>
    <t>25.10 - 25.10</t>
  </si>
  <si>
    <t>27.10 - 27.10</t>
  </si>
  <si>
    <t>29.10 - 29.10</t>
  </si>
  <si>
    <t>29.10 - 30.10</t>
  </si>
  <si>
    <t>Белая Церковь - Миролюбовка</t>
  </si>
  <si>
    <t>Путрівка</t>
  </si>
  <si>
    <t>30.10 - 30.10</t>
  </si>
  <si>
    <t>Бровари - Путрівка</t>
  </si>
  <si>
    <t>бетонні кільця</t>
  </si>
  <si>
    <t>28.10 - 28.10</t>
  </si>
  <si>
    <t>05.11 - 05.11</t>
  </si>
  <si>
    <t>01.11 - 02.11</t>
  </si>
  <si>
    <t>Миролюбівка</t>
  </si>
  <si>
    <t>31.10 - 31.10</t>
  </si>
  <si>
    <t>02.11 - 02.11</t>
  </si>
  <si>
    <t>31.10 - 02.11</t>
  </si>
  <si>
    <t>07.11 - 07.11</t>
  </si>
  <si>
    <t>Миролюбіовка - Бела Церковь</t>
  </si>
  <si>
    <t>04.11 - 04.11</t>
  </si>
  <si>
    <t>ноябрь</t>
  </si>
  <si>
    <t>08.11 - 08.11</t>
  </si>
  <si>
    <t>13.11 - 13.11</t>
  </si>
  <si>
    <t>14.11 - 14.11</t>
  </si>
  <si>
    <t>15.11 - 15.11</t>
  </si>
  <si>
    <t>18.11 - 18.11</t>
  </si>
  <si>
    <t>19.11 - 19.11</t>
  </si>
  <si>
    <t>Фурсы - Белая Церковь</t>
  </si>
  <si>
    <t>матрасы</t>
  </si>
  <si>
    <t>20.11 - 20.11</t>
  </si>
  <si>
    <t>21.11 - 21.11</t>
  </si>
  <si>
    <t>09.11 - 09.11</t>
  </si>
  <si>
    <t>12.11 - 12.11</t>
  </si>
  <si>
    <t>Біла Церква - Путрівка</t>
  </si>
  <si>
    <t>Ротор</t>
  </si>
  <si>
    <t>14.11 - 15.11</t>
  </si>
  <si>
    <t>Новосілки - Глобине</t>
  </si>
  <si>
    <t xml:space="preserve"> 3СХ 2013</t>
  </si>
  <si>
    <t>Біла Церква</t>
  </si>
  <si>
    <t>21.11 - 22.11</t>
  </si>
  <si>
    <t>телескоп 4</t>
  </si>
  <si>
    <t>12.11 - 13.11</t>
  </si>
  <si>
    <t>Біла Церква - Київ</t>
  </si>
  <si>
    <t>кондиционери</t>
  </si>
  <si>
    <t>Щасливе - Біла Церква</t>
  </si>
  <si>
    <t>фарба</t>
  </si>
  <si>
    <t>ТОВ "Корусанд"</t>
  </si>
  <si>
    <t>Путрівка - Бровари</t>
  </si>
  <si>
    <t>Борщів - Підгірці</t>
  </si>
  <si>
    <t>газон</t>
  </si>
  <si>
    <t>вишка-тура</t>
  </si>
  <si>
    <t>22.11 - 22.11</t>
  </si>
  <si>
    <t>25.11 - 25.11</t>
  </si>
  <si>
    <t>26.11 - 26.11</t>
  </si>
  <si>
    <t>27.11 - 27.11</t>
  </si>
  <si>
    <t>26.11 - 27.11</t>
  </si>
  <si>
    <t>27.11 - 28.11</t>
  </si>
  <si>
    <t>фанера</t>
  </si>
  <si>
    <t>щити</t>
  </si>
  <si>
    <t>29.11 - 29.11</t>
  </si>
  <si>
    <t>грунт</t>
  </si>
  <si>
    <t>брус</t>
  </si>
  <si>
    <t>29.11 - 30.11</t>
  </si>
  <si>
    <t>30.11 - 30.11</t>
  </si>
  <si>
    <t>02.12 - 02.12</t>
  </si>
  <si>
    <t>03.12 - 03.12</t>
  </si>
  <si>
    <t>печки</t>
  </si>
  <si>
    <t>05.12 - 05.12</t>
  </si>
  <si>
    <t>инвентарь к опалубке</t>
  </si>
  <si>
    <t xml:space="preserve">Підгірці </t>
  </si>
  <si>
    <t>06.12 - 07.12</t>
  </si>
  <si>
    <t>декабрь</t>
  </si>
  <si>
    <t>06.12 - 06.12</t>
  </si>
  <si>
    <t>09.12 - 09.12</t>
  </si>
  <si>
    <t>Польська Акція</t>
  </si>
  <si>
    <t>07.12 - 07.12</t>
  </si>
  <si>
    <t>10.12 - 10.12</t>
  </si>
  <si>
    <t>евакуатор ГАЗель</t>
  </si>
  <si>
    <t>12.12 - 13.12</t>
  </si>
  <si>
    <t>інструменталки,вишка-тура</t>
  </si>
  <si>
    <t>13.12 - 14.12</t>
  </si>
  <si>
    <t>Белая Церковь - Глобино</t>
  </si>
  <si>
    <t>Индастріалбуд Польська Акція</t>
  </si>
  <si>
    <t>11.12 - 11.12</t>
  </si>
  <si>
    <t>Индастриалбуд ООН</t>
  </si>
  <si>
    <t>16.12 - 16.12</t>
  </si>
  <si>
    <t>мебель + гладкий лист</t>
  </si>
  <si>
    <t>17.12 - 17.12</t>
  </si>
  <si>
    <t xml:space="preserve">Київ  </t>
  </si>
  <si>
    <t>манипулятор/модули НГУ</t>
  </si>
  <si>
    <t>12.12 - 12.12</t>
  </si>
  <si>
    <t>с. Залиман Харківська обл</t>
  </si>
  <si>
    <t xml:space="preserve">автокран </t>
  </si>
  <si>
    <t>14.12 - 14.12</t>
  </si>
  <si>
    <t>15.12 - 15.12</t>
  </si>
  <si>
    <t>17.12 -17.12</t>
  </si>
  <si>
    <t>екскаватор</t>
  </si>
  <si>
    <t>18.12 - 18.12</t>
  </si>
  <si>
    <t>ТОВ "КОРУСАНД"</t>
  </si>
  <si>
    <t>17.12 - 18.12</t>
  </si>
  <si>
    <t>Белая Церковь - Харьков - Залиман</t>
  </si>
  <si>
    <t>20.12 - 21.12</t>
  </si>
  <si>
    <t>Проліски - Біла Церква</t>
  </si>
  <si>
    <t>термо-штора</t>
  </si>
  <si>
    <t>Біла Церква - Київ (манипулятор)</t>
  </si>
  <si>
    <t>модули НГУ</t>
  </si>
  <si>
    <t>Підгірці - Путровка</t>
  </si>
  <si>
    <t>мотопомпа</t>
  </si>
  <si>
    <t>оплаты состоянием на 20.12</t>
  </si>
  <si>
    <t>19.12 - 19.12</t>
  </si>
  <si>
    <t>20.12 - 20.12</t>
  </si>
  <si>
    <t>23.12 - 23.12</t>
  </si>
  <si>
    <t>металопрокат</t>
  </si>
  <si>
    <t>25.12 - 25.12</t>
  </si>
  <si>
    <t>25.12 - 26.12</t>
  </si>
  <si>
    <t>Кременчук - Глобине</t>
  </si>
  <si>
    <t>26.12 - 26.12</t>
  </si>
  <si>
    <t xml:space="preserve">вишка тура </t>
  </si>
  <si>
    <t>Путрівка - Київ</t>
  </si>
  <si>
    <t>Ретал</t>
  </si>
  <si>
    <t>Староконстантинов - Путрівка</t>
  </si>
  <si>
    <t>ємність для розчину</t>
  </si>
  <si>
    <t>27.12 - 27.12</t>
  </si>
  <si>
    <t>27.12 - 28.12</t>
  </si>
  <si>
    <t>26.12 - 27.12</t>
  </si>
  <si>
    <t>ВООЗ/ООН</t>
  </si>
  <si>
    <t>27.12 - 30.12</t>
  </si>
  <si>
    <t>Первомайское</t>
  </si>
  <si>
    <t>транспортні послуги (вивоз мусора)</t>
  </si>
  <si>
    <t>28.12 - 28.12</t>
  </si>
  <si>
    <t>Индастриалбуд ВООЗ</t>
  </si>
  <si>
    <t>Новоолександрівка - Біла Церква</t>
  </si>
  <si>
    <t>06.01 - 07.01</t>
  </si>
  <si>
    <t>08.01 - 08.01</t>
  </si>
  <si>
    <t>09.01 - 09.01</t>
  </si>
  <si>
    <t>трамбовка</t>
  </si>
  <si>
    <t>07.01 - 07.01</t>
  </si>
  <si>
    <t>манипулятор</t>
  </si>
  <si>
    <t>Индастриалбуд ІОМ</t>
  </si>
  <si>
    <t>13.01 - 13.01</t>
  </si>
  <si>
    <t>Белая Церковь - Суми</t>
  </si>
  <si>
    <t>13.01 - 14.01</t>
  </si>
  <si>
    <t>Глобине - Бровари</t>
  </si>
  <si>
    <t>Суми</t>
  </si>
  <si>
    <t>14.01 - 14.01</t>
  </si>
  <si>
    <t>Суми - Токарі</t>
  </si>
  <si>
    <t>Побузьке - Біла Церква</t>
  </si>
  <si>
    <t>абразив</t>
  </si>
  <si>
    <t>14.01 - 15.01</t>
  </si>
  <si>
    <t>вишка тура</t>
  </si>
  <si>
    <t>15.01 - 15.01</t>
  </si>
  <si>
    <t>с. Токарі</t>
  </si>
  <si>
    <t>Белая Церковь - Залиман</t>
  </si>
  <si>
    <t>16.01 - 18.01</t>
  </si>
  <si>
    <t>16.01 - 16.01</t>
  </si>
  <si>
    <t>Харьков - Залиман</t>
  </si>
  <si>
    <t>17.01 - 17.01</t>
  </si>
  <si>
    <t>Харьков - Залиман (манипулятор)</t>
  </si>
  <si>
    <t>с. Розважів</t>
  </si>
  <si>
    <t>18.01 - 18.01</t>
  </si>
  <si>
    <t>19.01 - 19.01</t>
  </si>
  <si>
    <t>битовки+інструменталки</t>
  </si>
  <si>
    <t>21.01 - 22.01</t>
  </si>
  <si>
    <t>22.01 - 23.01</t>
  </si>
  <si>
    <t>23.01 - 24.01</t>
  </si>
  <si>
    <t>Мошни - Біла Церква - Розважів</t>
  </si>
  <si>
    <t>Циркуни - Розважів</t>
  </si>
  <si>
    <t>ємність</t>
  </si>
  <si>
    <t>22.01 - 22.01</t>
  </si>
  <si>
    <t>24.01 - 24.01</t>
  </si>
  <si>
    <t>Малин - Розважев (3 рейса самосвал)</t>
  </si>
  <si>
    <t>щебень, песок</t>
  </si>
  <si>
    <t>23.01 - 23.01</t>
  </si>
  <si>
    <t>Индастриалбуд Кернел</t>
  </si>
  <si>
    <t>28.01 - 28.01</t>
  </si>
  <si>
    <t>29.01 - 29.01</t>
  </si>
  <si>
    <t>отливы</t>
  </si>
  <si>
    <t>31.01 - 30.01</t>
  </si>
  <si>
    <t>Біла Церква - Розважів</t>
  </si>
  <si>
    <t>01.02 - 01.02</t>
  </si>
  <si>
    <t>03.02 - 03.02</t>
  </si>
  <si>
    <t>Розважів - Біла Церква</t>
  </si>
  <si>
    <t>Розважів - Київ</t>
  </si>
  <si>
    <t>04.02 - 05.02</t>
  </si>
  <si>
    <t>USAID Индастриалбуд</t>
  </si>
  <si>
    <t>Біла Церква  - Київ</t>
  </si>
  <si>
    <t>повернення ТМЦ USAID</t>
  </si>
  <si>
    <t>06.02 - 08.02</t>
  </si>
  <si>
    <t>Гороховатка - Ізюм</t>
  </si>
  <si>
    <t>перевезення модулів лікарні ВООЗ</t>
  </si>
  <si>
    <t>07.02 - 10.02</t>
  </si>
  <si>
    <t>30.01 - 30.01</t>
  </si>
  <si>
    <t>31.01 - 31.01</t>
  </si>
  <si>
    <t>04.02 - 04.02</t>
  </si>
  <si>
    <t>06.02 - 06.02</t>
  </si>
  <si>
    <t>Путрівка - Біла Церква</t>
  </si>
  <si>
    <t>перебазування Ротор</t>
  </si>
  <si>
    <t>Индастриалбуд спецтехніка</t>
  </si>
  <si>
    <t>13.02 - 14.02</t>
  </si>
  <si>
    <t>Запоріжжя - Ерки</t>
  </si>
  <si>
    <t>битовки + інвентар</t>
  </si>
  <si>
    <t>Єрки</t>
  </si>
  <si>
    <t>14.02 - 14.02</t>
  </si>
  <si>
    <t>13.02 - 13.02</t>
  </si>
  <si>
    <t>колеса для навантажувача</t>
  </si>
  <si>
    <t>17.02 - 17.02</t>
  </si>
  <si>
    <t>Белая Церковь - Изюм</t>
  </si>
  <si>
    <t>18.02 - 19.02</t>
  </si>
  <si>
    <t>11.02 - 11.02</t>
  </si>
  <si>
    <t>12.02 - 12.02</t>
  </si>
  <si>
    <t>самосвал вывоз земли</t>
  </si>
  <si>
    <t>19.02 - 19.02</t>
  </si>
  <si>
    <t>Кернел Кухня</t>
  </si>
  <si>
    <t>26.02 - 26.02</t>
  </si>
  <si>
    <t>грунт / проволка</t>
  </si>
  <si>
    <t>Київ -Софиевская Борщаговка -  Біла Церква</t>
  </si>
  <si>
    <t>грунт/розчиник</t>
  </si>
  <si>
    <t>фарба/розчиник</t>
  </si>
  <si>
    <t>ТОВ "Нікса ЛТД"</t>
  </si>
  <si>
    <t>03.03 - 04.03</t>
  </si>
  <si>
    <t>03.03 - 03.03</t>
  </si>
  <si>
    <t>Индастриалбуд ВООЗ EMS</t>
  </si>
  <si>
    <t>04.03 - 04.03</t>
  </si>
  <si>
    <t>Индастриалбуд ЄМС</t>
  </si>
  <si>
    <t>матрац</t>
  </si>
  <si>
    <t>Біла Церква - Єрки</t>
  </si>
  <si>
    <t>Индастриалбуд Єрки МХП</t>
  </si>
  <si>
    <t>ФОП Вдовиченко ЮМ</t>
  </si>
  <si>
    <t>06.03 - 06.03</t>
  </si>
  <si>
    <t>06.03 - 07.03</t>
  </si>
  <si>
    <t>Гладкий лист "гнуття" ВООЗ ПМСД</t>
  </si>
  <si>
    <t>Индастриалбуд ВООЗ ПМСД</t>
  </si>
  <si>
    <t>05.03 - 05.03</t>
  </si>
  <si>
    <t>07.03 - 07.03</t>
  </si>
  <si>
    <t>10.03 - 10.03</t>
  </si>
  <si>
    <t>11.03 - 11.03</t>
  </si>
  <si>
    <t>Гладкий лист "гнуття" ВООЗ ЄМС</t>
  </si>
  <si>
    <t>12.03 - 13.03</t>
  </si>
  <si>
    <t>строительные материалы / Гладкий лист "гнуття"</t>
  </si>
  <si>
    <t>12.03 - 12.03</t>
  </si>
  <si>
    <t>снтехніка + бочка</t>
  </si>
  <si>
    <t>13.03 - 13.03</t>
  </si>
  <si>
    <t>строительные материалы / Гладкий лист "гнуття" / ліжка</t>
  </si>
  <si>
    <t>Гладкий лист "гнуття" ВООЗ ЄМС / строительные материалы</t>
  </si>
  <si>
    <t>14.03 - 14.03</t>
  </si>
  <si>
    <t>14.03 - 15.03</t>
  </si>
  <si>
    <t>Гладкий лист "гнуття" + кутики ПВХ ВООЗ EMS</t>
  </si>
  <si>
    <t>ФОП Ґудзик О.С.</t>
  </si>
  <si>
    <t>15.03 - 17.03</t>
  </si>
  <si>
    <t>Біла Церква - Печеніги</t>
  </si>
  <si>
    <t>модуль</t>
  </si>
  <si>
    <t>18.03 - 18.03</t>
  </si>
  <si>
    <t xml:space="preserve">сантехніка </t>
  </si>
  <si>
    <t>лінолеум</t>
  </si>
  <si>
    <t>19.03 - 19.03</t>
  </si>
  <si>
    <t>інвентар</t>
  </si>
  <si>
    <t>20.03 - 21.03</t>
  </si>
  <si>
    <t>ТОВ "ФЛУКОРДІ"</t>
  </si>
  <si>
    <t>строительные материалы / Гладкий лист ВООЗ ЄМС</t>
  </si>
  <si>
    <t>21.03 - 21.03</t>
  </si>
  <si>
    <t>24.03 - 25.03</t>
  </si>
  <si>
    <t>25.03 - 25.03</t>
  </si>
  <si>
    <t xml:space="preserve">Заправка куба ДП </t>
  </si>
  <si>
    <t>строительные материалы ВООЗ ЄМС</t>
  </si>
  <si>
    <t>СТІЛ</t>
  </si>
  <si>
    <t>26.03 - 26.03</t>
  </si>
  <si>
    <t>27.03 - 28.03</t>
  </si>
  <si>
    <t>сантехніка / плитка дорожня</t>
  </si>
  <si>
    <t>27.03 - 27.03</t>
  </si>
  <si>
    <t>28.03 - 29.03</t>
  </si>
  <si>
    <t>Біла Церква - Солоне</t>
  </si>
  <si>
    <t>28.03 - 28.03</t>
  </si>
  <si>
    <t>31.03 - 01.04</t>
  </si>
  <si>
    <t>01.04 - 02.04</t>
  </si>
  <si>
    <t>31.03 - 31.03</t>
  </si>
  <si>
    <t>02.04 - 02.04</t>
  </si>
  <si>
    <t>04.04 - 04.04</t>
  </si>
  <si>
    <t>03.04 - 03.04</t>
  </si>
  <si>
    <t>Боярка - Київ - Біла Церква</t>
  </si>
  <si>
    <t>меблі / лінолеум</t>
  </si>
  <si>
    <t>04.04 - 05.04</t>
  </si>
  <si>
    <t>кондиціонери</t>
  </si>
  <si>
    <t>08.04 - 09.04</t>
  </si>
  <si>
    <t>07.04 - 07.04</t>
  </si>
  <si>
    <t>08.04 - 08.04</t>
  </si>
  <si>
    <t>04.04 - 07.04</t>
  </si>
  <si>
    <t>10.04 - 10.04</t>
  </si>
  <si>
    <t>Київ - Безпятне - Біла Церква - Солоне</t>
  </si>
  <si>
    <t>плита дорожя, кондиціонери</t>
  </si>
  <si>
    <t>11.04 - 12.04</t>
  </si>
  <si>
    <t>11.04 - 11.04</t>
  </si>
  <si>
    <t>Дніпро (3 точки) - Глобине</t>
  </si>
  <si>
    <t>14.04 - 15.04</t>
  </si>
  <si>
    <t>Біла Церква - Шелудьківка</t>
  </si>
  <si>
    <t>ВООЗ EMS / ООН / Червоний Хрест</t>
  </si>
  <si>
    <t>14.04 - 14.04</t>
  </si>
  <si>
    <t>15.04 - 16.04</t>
  </si>
  <si>
    <t>16.04 - 17.04</t>
  </si>
  <si>
    <t>Київ - Боярка - Біла Церква</t>
  </si>
  <si>
    <t>інвентар / меблі</t>
  </si>
  <si>
    <t>Индастриалбуд ЄМС / Ритал</t>
  </si>
  <si>
    <t>17.04 - 17.04</t>
  </si>
  <si>
    <t>17.04 - 18.04</t>
  </si>
  <si>
    <t>Щасливе - Київ - Біла Церква</t>
  </si>
  <si>
    <t>фарба / лінолеум</t>
  </si>
  <si>
    <t>18.04 - 18.04</t>
  </si>
  <si>
    <t>22.04 - 23.04</t>
  </si>
  <si>
    <t>Біла Церква - Варва</t>
  </si>
  <si>
    <t>22.04 - 22.04</t>
  </si>
  <si>
    <t>23.04 - 23.04</t>
  </si>
  <si>
    <t>інструменталка</t>
  </si>
  <si>
    <t>25.04 - 25.04</t>
  </si>
  <si>
    <t>25.04 - 26.04</t>
  </si>
  <si>
    <t>Глобине - Біла Церква</t>
  </si>
  <si>
    <t>метал + інвентар</t>
  </si>
  <si>
    <t>МК не габарит</t>
  </si>
  <si>
    <t>СТІЛ / БУД</t>
  </si>
  <si>
    <t xml:space="preserve">метал </t>
  </si>
  <si>
    <t>Индастриалбуд ВООЗ EMS, ООН, СТІЛ</t>
  </si>
  <si>
    <t>ліжка ВООЗ ЄМС строительные материалы ООН, метал СТІЛ</t>
  </si>
  <si>
    <t>кільця</t>
  </si>
  <si>
    <t>29.04 - 29.04</t>
  </si>
  <si>
    <t>Харків - Шелудьківка</t>
  </si>
  <si>
    <t>Индастриалбуд ВООЗ EMS, ООН</t>
  </si>
  <si>
    <t>бетоні кільця ВООЗ ЄМС</t>
  </si>
  <si>
    <t>гладкий лист ВООЗ ЄМС / будматеріали ООН</t>
  </si>
  <si>
    <t>30.04 - 01.05</t>
  </si>
  <si>
    <t>Біла Церква - Буча</t>
  </si>
  <si>
    <t>Підйомник</t>
  </si>
  <si>
    <t xml:space="preserve">Индастриалбуд </t>
  </si>
  <si>
    <t>01.05 - 01.05</t>
  </si>
  <si>
    <t>Вишневе - Київ - Біла Церква</t>
  </si>
  <si>
    <t>сантехніка / лінолеум / бочки</t>
  </si>
  <si>
    <t>30.04 - 30.04</t>
  </si>
  <si>
    <t>гладкий лист/ будматеріали  / вікна</t>
  </si>
  <si>
    <t>02.05 - 02.05</t>
  </si>
  <si>
    <t>Гладкий лист, кутик кух.</t>
  </si>
  <si>
    <t>05.05 - 05.05</t>
  </si>
  <si>
    <t xml:space="preserve">Буд матеріали, Гладкий лист "гнуття" </t>
  </si>
  <si>
    <t xml:space="preserve">Матрац+Металеві двері </t>
  </si>
  <si>
    <t>будматеріали ООН</t>
  </si>
  <si>
    <t>06.05 - 06.05</t>
  </si>
  <si>
    <t>Металопрокат МХП
Бочаров</t>
  </si>
  <si>
    <t>Меблі ООН</t>
  </si>
  <si>
    <t>кондиционери / бойлери</t>
  </si>
  <si>
    <t>Біла Церква - Андріївка - Гостомель</t>
  </si>
  <si>
    <t>палі</t>
  </si>
  <si>
    <t>07.05 - 08.05</t>
  </si>
  <si>
    <t>08.05 - 09.05</t>
  </si>
  <si>
    <t>бетоні кільця ООН</t>
  </si>
  <si>
    <t>09.05 - 09.05</t>
  </si>
  <si>
    <t>12.05 - 12.05</t>
  </si>
  <si>
    <t>Индастриалбуд Кухня</t>
  </si>
  <si>
    <t>12.05 - 13.05</t>
  </si>
  <si>
    <t>13.05 - 14.05</t>
  </si>
  <si>
    <t>Біла Церква - Барвінкове</t>
  </si>
  <si>
    <t>13.05 - 13.05</t>
  </si>
  <si>
    <t>15.05 - 16.05</t>
  </si>
  <si>
    <t>Дніпро - Південний</t>
  </si>
  <si>
    <t>МК (траверс)</t>
  </si>
  <si>
    <t>МХП Туалетний блок</t>
  </si>
  <si>
    <t>ДСП</t>
  </si>
  <si>
    <t>19.05 - 19.05</t>
  </si>
  <si>
    <t>грунт / фарба</t>
  </si>
  <si>
    <t>20.05 - 21.05</t>
  </si>
  <si>
    <t>Біла Церква - Гурівщина</t>
  </si>
  <si>
    <t xml:space="preserve">інвентар </t>
  </si>
  <si>
    <t>Индастриалбуд ВООЗ EMS / ООН</t>
  </si>
  <si>
    <t>МХП Туалет</t>
  </si>
  <si>
    <t>21.05 - 22.05</t>
  </si>
  <si>
    <t>Ніжин</t>
  </si>
  <si>
    <t>21.05 - 21.05</t>
  </si>
  <si>
    <t>Глобине - Ніжин</t>
  </si>
  <si>
    <t>22.05 - 22.05</t>
  </si>
  <si>
    <t>Біла Церква - Любимівка Херсон обл</t>
  </si>
  <si>
    <t>ліжка / матраци</t>
  </si>
  <si>
    <t>МХП Ладижин СТІЛ</t>
  </si>
  <si>
    <t>Біла Церква - Ладиженське</t>
  </si>
  <si>
    <t>27.05 - 28.05</t>
  </si>
  <si>
    <t>модуль (туалетний блок)</t>
  </si>
  <si>
    <t>26.05 - 26.05</t>
  </si>
  <si>
    <t>27.05 - 27.05</t>
  </si>
  <si>
    <t>БЦ-Гурівщина-Андріївка-Гостомель</t>
  </si>
  <si>
    <t>гладкий лист гнуття</t>
  </si>
  <si>
    <t>матраци ліжка</t>
  </si>
  <si>
    <t>Кухня Кернел</t>
  </si>
  <si>
    <t>Червоний Хрест</t>
  </si>
  <si>
    <t>профлист будматеріали</t>
  </si>
  <si>
    <t>будматеріали  ліжка</t>
  </si>
  <si>
    <t>30.05 - 30.05</t>
  </si>
  <si>
    <t>Біла Церква - Кременчук</t>
  </si>
  <si>
    <t>30.05 - 31.05</t>
  </si>
  <si>
    <t>Бучо - Глобине</t>
  </si>
  <si>
    <t>Глобине</t>
  </si>
  <si>
    <t>02.06 - 02.06</t>
  </si>
  <si>
    <t>меблі / плитка</t>
  </si>
  <si>
    <t>03.06 - 03.06</t>
  </si>
  <si>
    <t>04.06 - 05.06</t>
  </si>
  <si>
    <t>05.06 - 05.06</t>
  </si>
  <si>
    <t>МХП Єрки</t>
  </si>
  <si>
    <t>люлька</t>
  </si>
  <si>
    <t>МХП Лебідки СТІЛ</t>
  </si>
  <si>
    <t>заправка куба ДП / двигун тельфера на ремонт</t>
  </si>
  <si>
    <t>Біла Церква - Високопілля - Любимівка</t>
  </si>
  <si>
    <t>06.06 - 06.06</t>
  </si>
  <si>
    <t>06.06 - 07.06</t>
  </si>
  <si>
    <t>Біла Церква - Печеніги - Шелудьківка - Барвінкове</t>
  </si>
  <si>
    <t>Біла Церква  - Барвінкове - Харків</t>
  </si>
  <si>
    <t>10.06 - 10.06</t>
  </si>
  <si>
    <t>Порт Південний - Глобине</t>
  </si>
  <si>
    <t>траверси</t>
  </si>
  <si>
    <t>ДСП / сантехніка</t>
  </si>
  <si>
    <t>11.06 - 12.06</t>
  </si>
  <si>
    <t>Червоний Хрест / ВООЗ ЄМС</t>
  </si>
  <si>
    <t>будматеріали / вікна</t>
  </si>
  <si>
    <t>Харків - Ббіла Церква</t>
  </si>
  <si>
    <t>вагонка</t>
  </si>
  <si>
    <t>рекламна продукція</t>
  </si>
  <si>
    <t>Біла Церква  - Барвінкове</t>
  </si>
  <si>
    <t>19.06 - 20.06</t>
  </si>
  <si>
    <t>16.06 - 16.06</t>
  </si>
  <si>
    <t>17.06 - 17.06</t>
  </si>
  <si>
    <t>20.06 - 20.06</t>
  </si>
  <si>
    <t>Индастриалбуд  ООН А1</t>
  </si>
  <si>
    <t>доставка гнутого листа</t>
  </si>
  <si>
    <t>23.06 - 23.06</t>
  </si>
  <si>
    <t>грунт / розчиник</t>
  </si>
  <si>
    <t>23.06 - 24.06</t>
  </si>
  <si>
    <t>Біла Церква - Кринички</t>
  </si>
  <si>
    <t>Индастриалбуд  ООН А1 / ВООЗ ЕМС</t>
  </si>
  <si>
    <t>будматеріали / доставка гнутого листа</t>
  </si>
  <si>
    <t>модуль не габарит</t>
  </si>
  <si>
    <t>обладнання</t>
  </si>
  <si>
    <t>25.06 - 26.06</t>
  </si>
  <si>
    <t xml:space="preserve">матраци </t>
  </si>
  <si>
    <t>двигун тельфера з ремонту</t>
  </si>
  <si>
    <t xml:space="preserve">Индастриалбуд  ООН </t>
  </si>
  <si>
    <t>лінолеум / доставка гнутого листа</t>
  </si>
  <si>
    <t>HPL панелі</t>
  </si>
  <si>
    <t>Святопетрівське - Біла Церква</t>
  </si>
  <si>
    <t>Червоний Хрест/Укрнафта</t>
  </si>
  <si>
    <t>доставка уголків</t>
  </si>
  <si>
    <t>Біла Церква - Рівне</t>
  </si>
  <si>
    <t>30.06 - 30.06</t>
  </si>
  <si>
    <t>Червоний Хрест / ООН</t>
  </si>
  <si>
    <t>01.07 - 02.07</t>
  </si>
  <si>
    <t>уголки з гнуття</t>
  </si>
  <si>
    <t>ВООЗ EMS</t>
  </si>
  <si>
    <t>Червоний Хрест / ООН / Укрнафта</t>
  </si>
  <si>
    <t>уголки з гнуття, будматеріали, реклама</t>
  </si>
  <si>
    <t xml:space="preserve">Червоний Хрест / ООН </t>
  </si>
  <si>
    <t>02.07 - 03.07</t>
  </si>
  <si>
    <t>ліжка / будматеріали / уголки з гнуття / профлист</t>
  </si>
  <si>
    <t>ТОВ "КОРУСАНД" - 11 000,0</t>
  </si>
  <si>
    <t>ТОВ "Приватний Двір" - 30 000,0</t>
  </si>
  <si>
    <t>ТОВ "Нікса ЛТД" - 14 500,0</t>
  </si>
  <si>
    <t>ТОВ "Автосвіфт" - 13 000,0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</si>
</sst>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mmmm\ yyyy;@"/>
    <numFmt numFmtId="165" formatCode="#,##0_ ;[Red]\-#,##0\ "/>
    <numFmt numFmtId="166" formatCode="[Blue]\+#,##0;[Red]\-#,##0"/>
    <numFmt numFmtId="167" formatCode="#,##0.00_ ;[Red]\-#,##0.00\ "/>
  </numFmts>
  <fonts count="80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8"/>
      <name val="Arial"/>
      <family val="2"/>
    </font>
    <font>
      <b/>
      <sz val="8"/>
      <color rgb="FFC0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B050"/>
        <bgColor theme="8" tint="0.79998168889431442"/>
      </patternFill>
    </fill>
    <fill>
      <patternFill patternType="solid">
        <fgColor rgb="FFFFC000"/>
        <bgColor theme="8" tint="0.79998168889431442"/>
      </patternFill>
    </fill>
  </fills>
  <borders count="2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14" fillId="0" borderId="0"/>
  </cellStyleXfs>
  <cellXfs count="595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3" fontId="4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0" fontId="4" fillId="0" borderId="0" xfId="0" applyFont="1"/>
    <xf numFmtId="0" fontId="2" fillId="0" borderId="4" xfId="0" applyFont="1" applyBorder="1"/>
    <xf numFmtId="4" fontId="0" fillId="0" borderId="0" xfId="0" applyNumberFormat="1"/>
    <xf numFmtId="164" fontId="4" fillId="0" borderId="5" xfId="0" applyNumberFormat="1" applyFont="1" applyBorder="1"/>
    <xf numFmtId="164" fontId="3" fillId="0" borderId="0" xfId="0" applyNumberFormat="1" applyFont="1"/>
    <xf numFmtId="164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/>
    <xf numFmtId="164" fontId="4" fillId="0" borderId="6" xfId="0" applyNumberFormat="1" applyFont="1" applyBorder="1"/>
    <xf numFmtId="165" fontId="4" fillId="0" borderId="5" xfId="0" applyNumberFormat="1" applyFont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/>
    <xf numFmtId="4" fontId="5" fillId="0" borderId="0" xfId="0" applyNumberFormat="1" applyFont="1"/>
    <xf numFmtId="0" fontId="5" fillId="0" borderId="7" xfId="0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5" fillId="0" borderId="8" xfId="0" applyNumberFormat="1" applyFont="1" applyBorder="1"/>
    <xf numFmtId="4" fontId="0" fillId="0" borderId="8" xfId="0" applyNumberFormat="1" applyBorder="1"/>
    <xf numFmtId="4" fontId="5" fillId="0" borderId="8" xfId="0" applyNumberFormat="1" applyFont="1" applyBorder="1"/>
    <xf numFmtId="14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5" fillId="0" borderId="9" xfId="0" applyNumberFormat="1" applyFont="1" applyBorder="1"/>
    <xf numFmtId="4" fontId="0" fillId="0" borderId="9" xfId="0" applyNumberFormat="1" applyBorder="1"/>
    <xf numFmtId="4" fontId="5" fillId="0" borderId="9" xfId="0" applyNumberFormat="1" applyFont="1" applyBorder="1"/>
    <xf numFmtId="3" fontId="0" fillId="0" borderId="9" xfId="0" applyNumberFormat="1" applyBorder="1"/>
    <xf numFmtId="0" fontId="6" fillId="0" borderId="0" xfId="0" applyFont="1" applyAlignment="1">
      <alignment vertical="center" wrapText="1"/>
    </xf>
    <xf numFmtId="3" fontId="5" fillId="3" borderId="9" xfId="0" applyNumberFormat="1" applyFont="1" applyFill="1" applyBorder="1"/>
    <xf numFmtId="14" fontId="0" fillId="0" borderId="7" xfId="0" applyNumberFormat="1" applyBorder="1" applyAlignment="1">
      <alignment horizontal="center"/>
    </xf>
    <xf numFmtId="3" fontId="5" fillId="0" borderId="7" xfId="0" applyNumberFormat="1" applyFont="1" applyBorder="1"/>
    <xf numFmtId="3" fontId="0" fillId="0" borderId="7" xfId="0" applyNumberFormat="1" applyBorder="1" applyAlignment="1">
      <alignment horizontal="center"/>
    </xf>
    <xf numFmtId="4" fontId="0" fillId="0" borderId="7" xfId="0" applyNumberFormat="1" applyBorder="1"/>
    <xf numFmtId="4" fontId="5" fillId="0" borderId="7" xfId="0" applyNumberFormat="1" applyFont="1" applyBorder="1"/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/>
    <xf numFmtId="4" fontId="2" fillId="0" borderId="6" xfId="0" applyNumberFormat="1" applyFont="1" applyBorder="1"/>
    <xf numFmtId="4" fontId="2" fillId="0" borderId="6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11" xfId="0" applyFont="1" applyBorder="1"/>
    <xf numFmtId="0" fontId="2" fillId="0" borderId="11" xfId="0" applyFont="1" applyBorder="1"/>
    <xf numFmtId="4" fontId="4" fillId="3" borderId="5" xfId="0" applyNumberFormat="1" applyFont="1" applyFill="1" applyBorder="1"/>
    <xf numFmtId="4" fontId="4" fillId="3" borderId="6" xfId="0" applyNumberFormat="1" applyFont="1" applyFill="1" applyBorder="1"/>
    <xf numFmtId="0" fontId="8" fillId="0" borderId="0" xfId="0" applyFont="1"/>
    <xf numFmtId="0" fontId="0" fillId="0" borderId="12" xfId="0" applyBorder="1"/>
    <xf numFmtId="4" fontId="0" fillId="0" borderId="12" xfId="0" applyNumberFormat="1" applyBorder="1"/>
    <xf numFmtId="0" fontId="9" fillId="4" borderId="12" xfId="0" applyFont="1" applyFill="1" applyBorder="1"/>
    <xf numFmtId="0" fontId="10" fillId="0" borderId="0" xfId="0" applyFont="1"/>
    <xf numFmtId="0" fontId="2" fillId="0" borderId="11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4" fontId="4" fillId="0" borderId="5" xfId="0" applyNumberFormat="1" applyFont="1" applyBorder="1" applyAlignment="1">
      <alignment horizontal="center" wrapText="1"/>
    </xf>
    <xf numFmtId="4" fontId="2" fillId="3" borderId="6" xfId="0" applyNumberFormat="1" applyFont="1" applyFill="1" applyBorder="1"/>
    <xf numFmtId="0" fontId="4" fillId="5" borderId="5" xfId="0" applyFont="1" applyFill="1" applyBorder="1"/>
    <xf numFmtId="0" fontId="0" fillId="0" borderId="12" xfId="0" applyBorder="1" applyAlignment="1">
      <alignment horizontal="right"/>
    </xf>
    <xf numFmtId="4" fontId="5" fillId="0" borderId="12" xfId="0" applyNumberFormat="1" applyFont="1" applyBorder="1"/>
    <xf numFmtId="14" fontId="2" fillId="6" borderId="6" xfId="0" applyNumberFormat="1" applyFont="1" applyFill="1" applyBorder="1"/>
    <xf numFmtId="14" fontId="2" fillId="7" borderId="6" xfId="0" applyNumberFormat="1" applyFont="1" applyFill="1" applyBorder="1"/>
    <xf numFmtId="0" fontId="2" fillId="7" borderId="11" xfId="0" applyFont="1" applyFill="1" applyBorder="1"/>
    <xf numFmtId="164" fontId="4" fillId="7" borderId="6" xfId="0" applyNumberFormat="1" applyFont="1" applyFill="1" applyBorder="1"/>
    <xf numFmtId="0" fontId="2" fillId="7" borderId="6" xfId="0" applyFont="1" applyFill="1" applyBorder="1"/>
    <xf numFmtId="0" fontId="0" fillId="0" borderId="13" xfId="0" applyBorder="1" applyAlignment="1">
      <alignment wrapText="1"/>
    </xf>
    <xf numFmtId="4" fontId="5" fillId="0" borderId="13" xfId="0" applyNumberFormat="1" applyFont="1" applyBorder="1"/>
    <xf numFmtId="0" fontId="2" fillId="0" borderId="14" xfId="0" applyFont="1" applyBorder="1"/>
    <xf numFmtId="0" fontId="2" fillId="0" borderId="15" xfId="0" applyFont="1" applyBorder="1"/>
    <xf numFmtId="164" fontId="4" fillId="0" borderId="16" xfId="0" applyNumberFormat="1" applyFont="1" applyBorder="1"/>
    <xf numFmtId="14" fontId="2" fillId="0" borderId="16" xfId="0" applyNumberFormat="1" applyFont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4" fontId="4" fillId="0" borderId="17" xfId="0" applyNumberFormat="1" applyFont="1" applyBorder="1" applyAlignment="1">
      <alignment horizontal="center"/>
    </xf>
    <xf numFmtId="165" fontId="4" fillId="0" borderId="17" xfId="0" applyNumberFormat="1" applyFont="1" applyBorder="1"/>
    <xf numFmtId="0" fontId="2" fillId="0" borderId="18" xfId="0" applyFont="1" applyBorder="1"/>
    <xf numFmtId="0" fontId="2" fillId="0" borderId="19" xfId="0" applyFont="1" applyBorder="1"/>
    <xf numFmtId="4" fontId="4" fillId="0" borderId="6" xfId="0" applyNumberFormat="1" applyFont="1" applyBorder="1" applyAlignment="1">
      <alignment horizontal="center"/>
    </xf>
    <xf numFmtId="164" fontId="4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2" fillId="7" borderId="6" xfId="0" applyFont="1" applyFill="1" applyBorder="1" applyAlignment="1">
      <alignment horizontal="left"/>
    </xf>
    <xf numFmtId="4" fontId="2" fillId="3" borderId="0" xfId="0" applyNumberFormat="1" applyFont="1" applyFill="1"/>
    <xf numFmtId="14" fontId="2" fillId="0" borderId="6" xfId="0" applyNumberFormat="1" applyFont="1" applyBorder="1" applyAlignment="1">
      <alignment horizontal="left"/>
    </xf>
    <xf numFmtId="4" fontId="2" fillId="3" borderId="16" xfId="0" applyNumberFormat="1" applyFont="1" applyFill="1" applyBorder="1"/>
    <xf numFmtId="0" fontId="14" fillId="0" borderId="0" xfId="2"/>
    <xf numFmtId="3" fontId="14" fillId="0" borderId="0" xfId="2" applyNumberFormat="1"/>
    <xf numFmtId="0" fontId="0" fillId="0" borderId="0" xfId="2" applyFont="1"/>
    <xf numFmtId="4" fontId="15" fillId="0" borderId="20" xfId="2" applyNumberFormat="1" applyFont="1" applyBorder="1" applyAlignment="1">
      <alignment horizontal="center" vertical="center" wrapText="1"/>
    </xf>
    <xf numFmtId="166" fontId="16" fillId="0" borderId="20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vertical="top" wrapText="1"/>
    </xf>
    <xf numFmtId="4" fontId="17" fillId="0" borderId="0" xfId="2" applyNumberFormat="1" applyFont="1"/>
    <xf numFmtId="0" fontId="0" fillId="0" borderId="0" xfId="2" applyFont="1" applyAlignment="1">
      <alignment horizontal="center"/>
    </xf>
    <xf numFmtId="4" fontId="15" fillId="0" borderId="20" xfId="2" applyNumberFormat="1" applyFont="1" applyBorder="1" applyAlignment="1">
      <alignment horizontal="center" vertical="center"/>
    </xf>
    <xf numFmtId="0" fontId="17" fillId="6" borderId="21" xfId="0" applyFont="1" applyFill="1" applyBorder="1"/>
    <xf numFmtId="3" fontId="17" fillId="6" borderId="2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6" borderId="21" xfId="0" applyFill="1" applyBorder="1"/>
    <xf numFmtId="3" fontId="0" fillId="6" borderId="21" xfId="0" applyNumberFormat="1" applyFill="1" applyBorder="1" applyAlignment="1">
      <alignment horizontal="center" vertical="center"/>
    </xf>
    <xf numFmtId="4" fontId="15" fillId="0" borderId="0" xfId="2" applyNumberFormat="1" applyFont="1" applyAlignment="1">
      <alignment horizontal="center" vertical="center"/>
    </xf>
    <xf numFmtId="166" fontId="16" fillId="0" borderId="0" xfId="2" applyNumberFormat="1" applyFont="1" applyAlignment="1">
      <alignment horizontal="center" vertical="center" wrapText="1"/>
    </xf>
    <xf numFmtId="4" fontId="17" fillId="0" borderId="0" xfId="0" applyNumberFormat="1" applyFont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18" fillId="0" borderId="4" xfId="0" applyFont="1" applyBorder="1"/>
    <xf numFmtId="0" fontId="18" fillId="0" borderId="11" xfId="0" applyFont="1" applyBorder="1"/>
    <xf numFmtId="164" fontId="19" fillId="0" borderId="5" xfId="0" applyNumberFormat="1" applyFont="1" applyBorder="1"/>
    <xf numFmtId="14" fontId="18" fillId="0" borderId="5" xfId="0" applyNumberFormat="1" applyFont="1" applyBorder="1"/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4" fontId="18" fillId="0" borderId="5" xfId="0" applyNumberFormat="1" applyFont="1" applyBorder="1"/>
    <xf numFmtId="3" fontId="18" fillId="0" borderId="5" xfId="0" applyNumberFormat="1" applyFont="1" applyBorder="1" applyAlignment="1">
      <alignment horizontal="center"/>
    </xf>
    <xf numFmtId="4" fontId="18" fillId="0" borderId="5" xfId="0" applyNumberFormat="1" applyFont="1" applyBorder="1" applyAlignment="1">
      <alignment horizontal="center"/>
    </xf>
    <xf numFmtId="4" fontId="19" fillId="0" borderId="5" xfId="0" applyNumberFormat="1" applyFont="1" applyBorder="1" applyAlignment="1">
      <alignment horizontal="center"/>
    </xf>
    <xf numFmtId="165" fontId="18" fillId="0" borderId="5" xfId="0" applyNumberFormat="1" applyFont="1" applyBorder="1"/>
    <xf numFmtId="4" fontId="20" fillId="0" borderId="0" xfId="0" applyNumberFormat="1" applyFont="1"/>
    <xf numFmtId="0" fontId="18" fillId="0" borderId="14" xfId="0" applyFont="1" applyBorder="1"/>
    <xf numFmtId="0" fontId="18" fillId="0" borderId="15" xfId="0" applyFont="1" applyBorder="1"/>
    <xf numFmtId="164" fontId="19" fillId="0" borderId="17" xfId="0" applyNumberFormat="1" applyFont="1" applyBorder="1"/>
    <xf numFmtId="14" fontId="18" fillId="0" borderId="17" xfId="0" applyNumberFormat="1" applyFont="1" applyBorder="1"/>
    <xf numFmtId="0" fontId="18" fillId="0" borderId="17" xfId="0" applyFont="1" applyBorder="1"/>
    <xf numFmtId="0" fontId="18" fillId="0" borderId="17" xfId="0" applyFont="1" applyBorder="1" applyAlignment="1">
      <alignment horizontal="center"/>
    </xf>
    <xf numFmtId="4" fontId="18" fillId="0" borderId="17" xfId="0" applyNumberFormat="1" applyFont="1" applyBorder="1"/>
    <xf numFmtId="3" fontId="18" fillId="0" borderId="17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4" fontId="19" fillId="0" borderId="17" xfId="0" applyNumberFormat="1" applyFont="1" applyBorder="1" applyAlignment="1">
      <alignment horizontal="center"/>
    </xf>
    <xf numFmtId="165" fontId="18" fillId="0" borderId="17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0" fontId="2" fillId="3" borderId="4" xfId="0" applyFont="1" applyFill="1" applyBorder="1"/>
    <xf numFmtId="3" fontId="4" fillId="3" borderId="0" xfId="0" applyNumberFormat="1" applyFont="1" applyFill="1" applyAlignment="1">
      <alignment horizontal="center"/>
    </xf>
    <xf numFmtId="0" fontId="20" fillId="0" borderId="0" xfId="0" applyFont="1"/>
    <xf numFmtId="0" fontId="18" fillId="2" borderId="21" xfId="0" applyFont="1" applyFill="1" applyBorder="1" applyAlignment="1">
      <alignment horizontal="center" vertical="center" wrapText="1"/>
    </xf>
    <xf numFmtId="14" fontId="2" fillId="0" borderId="5" xfId="0" applyNumberFormat="1" applyFont="1" applyBorder="1"/>
    <xf numFmtId="4" fontId="2" fillId="0" borderId="5" xfId="0" applyNumberFormat="1" applyFont="1" applyBorder="1"/>
    <xf numFmtId="3" fontId="2" fillId="0" borderId="5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0" fillId="0" borderId="13" xfId="0" applyBorder="1" applyAlignment="1">
      <alignment horizontal="right"/>
    </xf>
    <xf numFmtId="4" fontId="0" fillId="0" borderId="13" xfId="0" applyNumberFormat="1" applyBorder="1"/>
    <xf numFmtId="14" fontId="2" fillId="8" borderId="5" xfId="0" applyNumberFormat="1" applyFont="1" applyFill="1" applyBorder="1"/>
    <xf numFmtId="0" fontId="21" fillId="0" borderId="5" xfId="0" applyFont="1" applyBorder="1"/>
    <xf numFmtId="4" fontId="21" fillId="0" borderId="5" xfId="0" applyNumberFormat="1" applyFont="1" applyFill="1" applyBorder="1"/>
    <xf numFmtId="3" fontId="21" fillId="0" borderId="5" xfId="0" applyNumberFormat="1" applyFont="1" applyBorder="1" applyAlignment="1">
      <alignment horizontal="center"/>
    </xf>
    <xf numFmtId="4" fontId="21" fillId="0" borderId="5" xfId="0" applyNumberFormat="1" applyFont="1" applyBorder="1" applyAlignment="1">
      <alignment horizontal="center"/>
    </xf>
    <xf numFmtId="4" fontId="22" fillId="0" borderId="5" xfId="0" applyNumberFormat="1" applyFont="1" applyFill="1" applyBorder="1" applyAlignment="1">
      <alignment horizontal="center"/>
    </xf>
    <xf numFmtId="165" fontId="21" fillId="0" borderId="5" xfId="0" applyNumberFormat="1" applyFont="1" applyBorder="1"/>
    <xf numFmtId="0" fontId="21" fillId="0" borderId="4" xfId="0" applyFont="1" applyFill="1" applyBorder="1"/>
    <xf numFmtId="0" fontId="21" fillId="0" borderId="5" xfId="0" applyFont="1" applyFill="1" applyBorder="1"/>
    <xf numFmtId="0" fontId="21" fillId="0" borderId="5" xfId="0" applyNumberFormat="1" applyFont="1" applyFill="1" applyBorder="1" applyAlignment="1">
      <alignment horizontal="center"/>
    </xf>
    <xf numFmtId="3" fontId="21" fillId="0" borderId="5" xfId="0" applyNumberFormat="1" applyFont="1" applyFill="1" applyBorder="1" applyAlignment="1">
      <alignment horizontal="center"/>
    </xf>
    <xf numFmtId="4" fontId="21" fillId="0" borderId="5" xfId="0" applyNumberFormat="1" applyFont="1" applyFill="1" applyBorder="1" applyAlignment="1">
      <alignment horizontal="center"/>
    </xf>
    <xf numFmtId="165" fontId="21" fillId="0" borderId="5" xfId="0" applyNumberFormat="1" applyFont="1" applyFill="1" applyBorder="1"/>
    <xf numFmtId="0" fontId="21" fillId="0" borderId="5" xfId="0" applyNumberFormat="1" applyFont="1" applyBorder="1" applyAlignment="1">
      <alignment horizontal="center"/>
    </xf>
    <xf numFmtId="164" fontId="22" fillId="0" borderId="5" xfId="0" applyNumberFormat="1" applyFont="1" applyBorder="1"/>
    <xf numFmtId="14" fontId="21" fillId="0" borderId="5" xfId="0" applyNumberFormat="1" applyFont="1" applyBorder="1"/>
    <xf numFmtId="4" fontId="23" fillId="0" borderId="0" xfId="0" applyNumberFormat="1" applyFont="1"/>
    <xf numFmtId="164" fontId="19" fillId="3" borderId="5" xfId="0" applyNumberFormat="1" applyFont="1" applyFill="1" applyBorder="1"/>
    <xf numFmtId="14" fontId="2" fillId="3" borderId="5" xfId="0" applyNumberFormat="1" applyFont="1" applyFill="1" applyBorder="1" applyAlignment="1">
      <alignment horizontal="center"/>
    </xf>
    <xf numFmtId="14" fontId="2" fillId="8" borderId="5" xfId="0" applyNumberFormat="1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left"/>
    </xf>
    <xf numFmtId="164" fontId="4" fillId="9" borderId="6" xfId="0" applyNumberFormat="1" applyFont="1" applyFill="1" applyBorder="1"/>
    <xf numFmtId="14" fontId="2" fillId="9" borderId="6" xfId="0" applyNumberFormat="1" applyFont="1" applyFill="1" applyBorder="1" applyAlignment="1">
      <alignment horizontal="left"/>
    </xf>
    <xf numFmtId="3" fontId="18" fillId="3" borderId="5" xfId="0" applyNumberFormat="1" applyFont="1" applyFill="1" applyBorder="1" applyAlignment="1">
      <alignment horizontal="center"/>
    </xf>
    <xf numFmtId="14" fontId="2" fillId="9" borderId="6" xfId="0" applyNumberFormat="1" applyFont="1" applyFill="1" applyBorder="1" applyAlignment="1">
      <alignment horizontal="center"/>
    </xf>
    <xf numFmtId="14" fontId="2" fillId="9" borderId="5" xfId="0" applyNumberFormat="1" applyFont="1" applyFill="1" applyBorder="1" applyAlignment="1">
      <alignment horizontal="center"/>
    </xf>
    <xf numFmtId="14" fontId="4" fillId="9" borderId="6" xfId="0" applyNumberFormat="1" applyFont="1" applyFill="1" applyBorder="1" applyAlignment="1">
      <alignment horizontal="left"/>
    </xf>
    <xf numFmtId="0" fontId="2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10" borderId="6" xfId="0" applyNumberFormat="1" applyFont="1" applyFill="1" applyBorder="1"/>
    <xf numFmtId="14" fontId="2" fillId="10" borderId="5" xfId="0" applyNumberFormat="1" applyFont="1" applyFill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4" fontId="2" fillId="0" borderId="5" xfId="0" applyNumberFormat="1" applyFont="1" applyFill="1" applyBorder="1"/>
    <xf numFmtId="4" fontId="4" fillId="0" borderId="5" xfId="0" applyNumberFormat="1" applyFont="1" applyFill="1" applyBorder="1" applyAlignment="1">
      <alignment horizontal="center"/>
    </xf>
    <xf numFmtId="164" fontId="4" fillId="0" borderId="17" xfId="0" applyNumberFormat="1" applyFont="1" applyBorder="1"/>
    <xf numFmtId="14" fontId="2" fillId="0" borderId="17" xfId="0" applyNumberFormat="1" applyFont="1" applyBorder="1"/>
    <xf numFmtId="0" fontId="2" fillId="0" borderId="17" xfId="0" applyFont="1" applyBorder="1"/>
    <xf numFmtId="0" fontId="2" fillId="0" borderId="17" xfId="0" applyNumberFormat="1" applyFont="1" applyBorder="1" applyAlignment="1">
      <alignment horizontal="center"/>
    </xf>
    <xf numFmtId="4" fontId="2" fillId="0" borderId="17" xfId="0" applyNumberFormat="1" applyFont="1" applyFill="1" applyBorder="1"/>
    <xf numFmtId="3" fontId="2" fillId="0" borderId="17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4" fillId="0" borderId="17" xfId="0" applyNumberFormat="1" applyFont="1" applyFill="1" applyBorder="1" applyAlignment="1">
      <alignment horizontal="center"/>
    </xf>
    <xf numFmtId="165" fontId="2" fillId="0" borderId="17" xfId="0" applyNumberFormat="1" applyFont="1" applyBorder="1"/>
    <xf numFmtId="0" fontId="24" fillId="0" borderId="5" xfId="0" applyFont="1" applyBorder="1"/>
    <xf numFmtId="0" fontId="24" fillId="0" borderId="5" xfId="0" applyNumberFormat="1" applyFont="1" applyBorder="1" applyAlignment="1">
      <alignment horizontal="center"/>
    </xf>
    <xf numFmtId="4" fontId="24" fillId="0" borderId="5" xfId="0" applyNumberFormat="1" applyFont="1" applyFill="1" applyBorder="1"/>
    <xf numFmtId="3" fontId="24" fillId="0" borderId="5" xfId="0" applyNumberFormat="1" applyFont="1" applyBorder="1" applyAlignment="1">
      <alignment horizontal="center"/>
    </xf>
    <xf numFmtId="4" fontId="24" fillId="0" borderId="5" xfId="0" applyNumberFormat="1" applyFont="1" applyBorder="1" applyAlignment="1">
      <alignment horizontal="center"/>
    </xf>
    <xf numFmtId="4" fontId="25" fillId="0" borderId="5" xfId="0" applyNumberFormat="1" applyFont="1" applyFill="1" applyBorder="1" applyAlignment="1">
      <alignment horizontal="center"/>
    </xf>
    <xf numFmtId="165" fontId="24" fillId="0" borderId="5" xfId="0" applyNumberFormat="1" applyFont="1" applyBorder="1"/>
    <xf numFmtId="4" fontId="2" fillId="0" borderId="19" xfId="0" applyNumberFormat="1" applyFont="1" applyBorder="1"/>
    <xf numFmtId="0" fontId="2" fillId="0" borderId="17" xfId="0" applyFont="1" applyBorder="1" applyAlignment="1">
      <alignment horizontal="center"/>
    </xf>
    <xf numFmtId="0" fontId="0" fillId="7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0" fillId="7" borderId="0" xfId="0" applyFill="1" applyBorder="1" applyAlignment="1">
      <alignment horizontal="center" vertical="center" wrapText="1"/>
    </xf>
    <xf numFmtId="0" fontId="26" fillId="0" borderId="14" xfId="0" applyFont="1" applyBorder="1"/>
    <xf numFmtId="0" fontId="26" fillId="0" borderId="15" xfId="0" applyFont="1" applyBorder="1"/>
    <xf numFmtId="0" fontId="26" fillId="0" borderId="17" xfId="0" applyFont="1" applyBorder="1"/>
    <xf numFmtId="0" fontId="26" fillId="0" borderId="17" xfId="0" applyNumberFormat="1" applyFont="1" applyBorder="1" applyAlignment="1">
      <alignment horizontal="center"/>
    </xf>
    <xf numFmtId="4" fontId="26" fillId="0" borderId="17" xfId="0" applyNumberFormat="1" applyFont="1" applyFill="1" applyBorder="1"/>
    <xf numFmtId="3" fontId="26" fillId="0" borderId="17" xfId="0" applyNumberFormat="1" applyFont="1" applyBorder="1" applyAlignment="1">
      <alignment horizontal="center"/>
    </xf>
    <xf numFmtId="4" fontId="26" fillId="0" borderId="17" xfId="0" applyNumberFormat="1" applyFont="1" applyBorder="1" applyAlignment="1">
      <alignment horizontal="center"/>
    </xf>
    <xf numFmtId="4" fontId="27" fillId="0" borderId="17" xfId="0" applyNumberFormat="1" applyFont="1" applyFill="1" applyBorder="1" applyAlignment="1">
      <alignment horizontal="center"/>
    </xf>
    <xf numFmtId="165" fontId="26" fillId="0" borderId="17" xfId="0" applyNumberFormat="1" applyFont="1" applyBorder="1"/>
    <xf numFmtId="4" fontId="28" fillId="0" borderId="0" xfId="0" applyNumberFormat="1" applyFont="1" applyBorder="1"/>
    <xf numFmtId="0" fontId="26" fillId="0" borderId="17" xfId="0" applyNumberFormat="1" applyFont="1" applyBorder="1" applyAlignment="1">
      <alignment horizontal="center" wrapText="1"/>
    </xf>
    <xf numFmtId="0" fontId="28" fillId="0" borderId="0" xfId="0" applyFont="1" applyBorder="1"/>
    <xf numFmtId="164" fontId="27" fillId="10" borderId="17" xfId="0" applyNumberFormat="1" applyFont="1" applyFill="1" applyBorder="1"/>
    <xf numFmtId="14" fontId="26" fillId="10" borderId="17" xfId="0" applyNumberFormat="1" applyFont="1" applyFill="1" applyBorder="1" applyAlignment="1">
      <alignment horizontal="center"/>
    </xf>
    <xf numFmtId="0" fontId="29" fillId="0" borderId="14" xfId="0" applyFont="1" applyBorder="1"/>
    <xf numFmtId="0" fontId="29" fillId="0" borderId="15" xfId="0" applyFont="1" applyBorder="1"/>
    <xf numFmtId="164" fontId="30" fillId="10" borderId="17" xfId="0" applyNumberFormat="1" applyFont="1" applyFill="1" applyBorder="1"/>
    <xf numFmtId="14" fontId="29" fillId="10" borderId="17" xfId="0" applyNumberFormat="1" applyFont="1" applyFill="1" applyBorder="1" applyAlignment="1">
      <alignment horizontal="center"/>
    </xf>
    <xf numFmtId="0" fontId="29" fillId="0" borderId="17" xfId="0" applyFont="1" applyBorder="1"/>
    <xf numFmtId="0" fontId="29" fillId="0" borderId="17" xfId="0" applyNumberFormat="1" applyFont="1" applyBorder="1" applyAlignment="1">
      <alignment horizontal="center"/>
    </xf>
    <xf numFmtId="4" fontId="29" fillId="0" borderId="17" xfId="0" applyNumberFormat="1" applyFont="1" applyFill="1" applyBorder="1"/>
    <xf numFmtId="3" fontId="29" fillId="0" borderId="17" xfId="0" applyNumberFormat="1" applyFont="1" applyBorder="1" applyAlignment="1">
      <alignment horizontal="center"/>
    </xf>
    <xf numFmtId="4" fontId="29" fillId="0" borderId="17" xfId="0" applyNumberFormat="1" applyFont="1" applyBorder="1" applyAlignment="1">
      <alignment horizontal="center"/>
    </xf>
    <xf numFmtId="4" fontId="30" fillId="0" borderId="17" xfId="0" applyNumberFormat="1" applyFont="1" applyFill="1" applyBorder="1" applyAlignment="1">
      <alignment horizontal="center"/>
    </xf>
    <xf numFmtId="165" fontId="29" fillId="0" borderId="17" xfId="0" applyNumberFormat="1" applyFont="1" applyBorder="1"/>
    <xf numFmtId="4" fontId="31" fillId="0" borderId="0" xfId="0" applyNumberFormat="1" applyFont="1" applyBorder="1"/>
    <xf numFmtId="0" fontId="31" fillId="0" borderId="0" xfId="0" applyFont="1" applyBorder="1"/>
    <xf numFmtId="164" fontId="4" fillId="10" borderId="17" xfId="0" applyNumberFormat="1" applyFont="1" applyFill="1" applyBorder="1"/>
    <xf numFmtId="14" fontId="2" fillId="10" borderId="17" xfId="0" applyNumberFormat="1" applyFont="1" applyFill="1" applyBorder="1" applyAlignment="1">
      <alignment horizontal="center"/>
    </xf>
    <xf numFmtId="0" fontId="20" fillId="0" borderId="0" xfId="0" applyFont="1" applyBorder="1"/>
    <xf numFmtId="0" fontId="32" fillId="0" borderId="17" xfId="0" applyFont="1" applyBorder="1"/>
    <xf numFmtId="0" fontId="32" fillId="0" borderId="17" xfId="0" applyNumberFormat="1" applyFont="1" applyBorder="1" applyAlignment="1">
      <alignment horizontal="center"/>
    </xf>
    <xf numFmtId="4" fontId="32" fillId="0" borderId="17" xfId="0" applyNumberFormat="1" applyFont="1" applyFill="1" applyBorder="1"/>
    <xf numFmtId="3" fontId="32" fillId="0" borderId="17" xfId="0" applyNumberFormat="1" applyFont="1" applyBorder="1" applyAlignment="1">
      <alignment horizontal="center"/>
    </xf>
    <xf numFmtId="4" fontId="32" fillId="0" borderId="17" xfId="0" applyNumberFormat="1" applyFont="1" applyBorder="1" applyAlignment="1">
      <alignment horizontal="center"/>
    </xf>
    <xf numFmtId="4" fontId="33" fillId="0" borderId="17" xfId="0" applyNumberFormat="1" applyFont="1" applyFill="1" applyBorder="1" applyAlignment="1">
      <alignment horizontal="center"/>
    </xf>
    <xf numFmtId="165" fontId="32" fillId="0" borderId="17" xfId="0" applyNumberFormat="1" applyFont="1" applyBorder="1"/>
    <xf numFmtId="0" fontId="34" fillId="0" borderId="0" xfId="0" applyFont="1" applyBorder="1"/>
    <xf numFmtId="4" fontId="34" fillId="0" borderId="0" xfId="0" applyNumberFormat="1" applyFont="1" applyBorder="1"/>
    <xf numFmtId="0" fontId="32" fillId="0" borderId="14" xfId="0" applyFont="1" applyBorder="1"/>
    <xf numFmtId="0" fontId="32" fillId="0" borderId="15" xfId="0" applyFont="1" applyBorder="1"/>
    <xf numFmtId="164" fontId="33" fillId="10" borderId="17" xfId="0" applyNumberFormat="1" applyFont="1" applyFill="1" applyBorder="1"/>
    <xf numFmtId="14" fontId="32" fillId="10" borderId="17" xfId="0" applyNumberFormat="1" applyFont="1" applyFill="1" applyBorder="1" applyAlignment="1">
      <alignment horizontal="center"/>
    </xf>
    <xf numFmtId="0" fontId="35" fillId="0" borderId="5" xfId="0" applyFont="1" applyBorder="1"/>
    <xf numFmtId="4" fontId="35" fillId="0" borderId="5" xfId="0" applyNumberFormat="1" applyFont="1" applyFill="1" applyBorder="1"/>
    <xf numFmtId="3" fontId="35" fillId="0" borderId="5" xfId="0" applyNumberFormat="1" applyFont="1" applyBorder="1" applyAlignment="1">
      <alignment horizontal="center"/>
    </xf>
    <xf numFmtId="4" fontId="35" fillId="0" borderId="5" xfId="0" applyNumberFormat="1" applyFont="1" applyBorder="1" applyAlignment="1">
      <alignment horizontal="center"/>
    </xf>
    <xf numFmtId="4" fontId="36" fillId="0" borderId="5" xfId="0" applyNumberFormat="1" applyFont="1" applyFill="1" applyBorder="1" applyAlignment="1">
      <alignment horizontal="center"/>
    </xf>
    <xf numFmtId="165" fontId="35" fillId="0" borderId="5" xfId="0" applyNumberFormat="1" applyFont="1" applyBorder="1"/>
    <xf numFmtId="0" fontId="37" fillId="0" borderId="0" xfId="0" applyFont="1" applyBorder="1"/>
    <xf numFmtId="4" fontId="37" fillId="0" borderId="0" xfId="0" applyNumberFormat="1" applyFont="1"/>
    <xf numFmtId="0" fontId="35" fillId="0" borderId="17" xfId="0" applyFont="1" applyBorder="1"/>
    <xf numFmtId="4" fontId="35" fillId="0" borderId="17" xfId="0" applyNumberFormat="1" applyFont="1" applyFill="1" applyBorder="1"/>
    <xf numFmtId="3" fontId="35" fillId="0" borderId="17" xfId="0" applyNumberFormat="1" applyFont="1" applyBorder="1" applyAlignment="1">
      <alignment horizontal="center"/>
    </xf>
    <xf numFmtId="4" fontId="37" fillId="0" borderId="0" xfId="0" applyNumberFormat="1" applyFont="1" applyBorder="1"/>
    <xf numFmtId="164" fontId="4" fillId="3" borderId="6" xfId="0" applyNumberFormat="1" applyFont="1" applyFill="1" applyBorder="1"/>
    <xf numFmtId="4" fontId="20" fillId="0" borderId="0" xfId="0" applyNumberFormat="1" applyFont="1" applyBorder="1"/>
    <xf numFmtId="164" fontId="36" fillId="3" borderId="17" xfId="0" applyNumberFormat="1" applyFont="1" applyFill="1" applyBorder="1"/>
    <xf numFmtId="14" fontId="35" fillId="3" borderId="17" xfId="0" applyNumberFormat="1" applyFont="1" applyFill="1" applyBorder="1" applyAlignment="1">
      <alignment horizontal="center"/>
    </xf>
    <xf numFmtId="0" fontId="35" fillId="0" borderId="17" xfId="0" applyNumberFormat="1" applyFont="1" applyBorder="1" applyAlignment="1">
      <alignment horizontal="center"/>
    </xf>
    <xf numFmtId="4" fontId="35" fillId="0" borderId="17" xfId="0" applyNumberFormat="1" applyFont="1" applyBorder="1" applyAlignment="1">
      <alignment horizontal="center"/>
    </xf>
    <xf numFmtId="4" fontId="36" fillId="0" borderId="17" xfId="0" applyNumberFormat="1" applyFont="1" applyFill="1" applyBorder="1" applyAlignment="1">
      <alignment horizontal="center"/>
    </xf>
    <xf numFmtId="165" fontId="35" fillId="0" borderId="17" xfId="0" applyNumberFormat="1" applyFont="1" applyBorder="1"/>
    <xf numFmtId="164" fontId="4" fillId="3" borderId="17" xfId="0" applyNumberFormat="1" applyFont="1" applyFill="1" applyBorder="1"/>
    <xf numFmtId="14" fontId="2" fillId="3" borderId="17" xfId="0" applyNumberFormat="1" applyFont="1" applyFill="1" applyBorder="1" applyAlignment="1">
      <alignment horizontal="center"/>
    </xf>
    <xf numFmtId="0" fontId="38" fillId="0" borderId="17" xfId="0" applyFont="1" applyBorder="1"/>
    <xf numFmtId="0" fontId="38" fillId="0" borderId="17" xfId="0" applyNumberFormat="1" applyFont="1" applyBorder="1" applyAlignment="1">
      <alignment horizontal="center"/>
    </xf>
    <xf numFmtId="4" fontId="38" fillId="0" borderId="17" xfId="0" applyNumberFormat="1" applyFont="1" applyFill="1" applyBorder="1"/>
    <xf numFmtId="3" fontId="38" fillId="0" borderId="17" xfId="0" applyNumberFormat="1" applyFont="1" applyBorder="1" applyAlignment="1">
      <alignment horizontal="center"/>
    </xf>
    <xf numFmtId="4" fontId="38" fillId="0" borderId="17" xfId="0" applyNumberFormat="1" applyFont="1" applyBorder="1" applyAlignment="1">
      <alignment horizontal="center"/>
    </xf>
    <xf numFmtId="4" fontId="39" fillId="0" borderId="17" xfId="0" applyNumberFormat="1" applyFont="1" applyFill="1" applyBorder="1" applyAlignment="1">
      <alignment horizontal="center"/>
    </xf>
    <xf numFmtId="165" fontId="38" fillId="0" borderId="17" xfId="0" applyNumberFormat="1" applyFont="1" applyBorder="1"/>
    <xf numFmtId="4" fontId="40" fillId="0" borderId="0" xfId="0" applyNumberFormat="1" applyFont="1" applyBorder="1"/>
    <xf numFmtId="164" fontId="39" fillId="3" borderId="17" xfId="0" applyNumberFormat="1" applyFont="1" applyFill="1" applyBorder="1"/>
    <xf numFmtId="14" fontId="38" fillId="3" borderId="17" xfId="0" applyNumberFormat="1" applyFont="1" applyFill="1" applyBorder="1" applyAlignment="1">
      <alignment horizontal="center"/>
    </xf>
    <xf numFmtId="0" fontId="40" fillId="0" borderId="0" xfId="0" applyFont="1" applyBorder="1"/>
    <xf numFmtId="0" fontId="38" fillId="0" borderId="17" xfId="0" applyNumberFormat="1" applyFont="1" applyBorder="1" applyAlignment="1">
      <alignment horizontal="center" wrapText="1"/>
    </xf>
    <xf numFmtId="164" fontId="4" fillId="3" borderId="5" xfId="0" applyNumberFormat="1" applyFont="1" applyFill="1" applyBorder="1"/>
    <xf numFmtId="0" fontId="2" fillId="0" borderId="14" xfId="0" applyFont="1" applyBorder="1" applyAlignment="1">
      <alignment wrapText="1"/>
    </xf>
    <xf numFmtId="0" fontId="41" fillId="0" borderId="17" xfId="0" applyFont="1" applyBorder="1"/>
    <xf numFmtId="4" fontId="41" fillId="0" borderId="17" xfId="0" applyNumberFormat="1" applyFont="1" applyFill="1" applyBorder="1"/>
    <xf numFmtId="3" fontId="41" fillId="0" borderId="17" xfId="0" applyNumberFormat="1" applyFont="1" applyBorder="1" applyAlignment="1">
      <alignment horizontal="center"/>
    </xf>
    <xf numFmtId="4" fontId="41" fillId="0" borderId="17" xfId="0" applyNumberFormat="1" applyFont="1" applyBorder="1" applyAlignment="1">
      <alignment horizontal="center"/>
    </xf>
    <xf numFmtId="4" fontId="42" fillId="0" borderId="17" xfId="0" applyNumberFormat="1" applyFont="1" applyFill="1" applyBorder="1" applyAlignment="1">
      <alignment horizontal="center"/>
    </xf>
    <xf numFmtId="165" fontId="41" fillId="0" borderId="17" xfId="0" applyNumberFormat="1" applyFont="1" applyBorder="1"/>
    <xf numFmtId="0" fontId="43" fillId="0" borderId="0" xfId="0" applyFont="1" applyBorder="1"/>
    <xf numFmtId="0" fontId="41" fillId="0" borderId="14" xfId="0" applyFont="1" applyBorder="1"/>
    <xf numFmtId="0" fontId="41" fillId="0" borderId="17" xfId="0" applyNumberFormat="1" applyFont="1" applyBorder="1" applyAlignment="1">
      <alignment horizontal="center"/>
    </xf>
    <xf numFmtId="0" fontId="41" fillId="0" borderId="5" xfId="0" applyFont="1" applyBorder="1"/>
    <xf numFmtId="4" fontId="41" fillId="0" borderId="5" xfId="0" applyNumberFormat="1" applyFont="1" applyFill="1" applyBorder="1"/>
    <xf numFmtId="3" fontId="41" fillId="0" borderId="5" xfId="0" applyNumberFormat="1" applyFont="1" applyBorder="1" applyAlignment="1">
      <alignment horizontal="center"/>
    </xf>
    <xf numFmtId="4" fontId="41" fillId="0" borderId="5" xfId="0" applyNumberFormat="1" applyFont="1" applyBorder="1" applyAlignment="1">
      <alignment horizontal="center"/>
    </xf>
    <xf numFmtId="4" fontId="43" fillId="0" borderId="0" xfId="0" applyNumberFormat="1" applyFont="1"/>
    <xf numFmtId="4" fontId="43" fillId="0" borderId="0" xfId="0" applyNumberFormat="1" applyFont="1" applyBorder="1"/>
    <xf numFmtId="14" fontId="41" fillId="3" borderId="17" xfId="0" applyNumberFormat="1" applyFont="1" applyFill="1" applyBorder="1" applyAlignment="1">
      <alignment horizontal="center" vertical="center"/>
    </xf>
    <xf numFmtId="4" fontId="42" fillId="0" borderId="5" xfId="0" applyNumberFormat="1" applyFont="1" applyFill="1" applyBorder="1" applyAlignment="1">
      <alignment horizontal="center"/>
    </xf>
    <xf numFmtId="165" fontId="41" fillId="0" borderId="5" xfId="0" applyNumberFormat="1" applyFont="1" applyBorder="1"/>
    <xf numFmtId="0" fontId="43" fillId="0" borderId="0" xfId="0" applyFont="1"/>
    <xf numFmtId="14" fontId="41" fillId="3" borderId="17" xfId="0" applyNumberFormat="1" applyFont="1" applyFill="1" applyBorder="1" applyAlignment="1">
      <alignment horizontal="center"/>
    </xf>
    <xf numFmtId="164" fontId="45" fillId="3" borderId="17" xfId="0" applyNumberFormat="1" applyFont="1" applyFill="1" applyBorder="1"/>
    <xf numFmtId="14" fontId="44" fillId="3" borderId="17" xfId="0" applyNumberFormat="1" applyFont="1" applyFill="1" applyBorder="1" applyAlignment="1">
      <alignment horizontal="center"/>
    </xf>
    <xf numFmtId="0" fontId="44" fillId="0" borderId="17" xfId="0" applyFont="1" applyBorder="1"/>
    <xf numFmtId="4" fontId="44" fillId="0" borderId="17" xfId="0" applyNumberFormat="1" applyFont="1" applyFill="1" applyBorder="1"/>
    <xf numFmtId="3" fontId="44" fillId="0" borderId="17" xfId="0" applyNumberFormat="1" applyFont="1" applyBorder="1" applyAlignment="1">
      <alignment horizontal="center"/>
    </xf>
    <xf numFmtId="4" fontId="44" fillId="0" borderId="17" xfId="0" applyNumberFormat="1" applyFont="1" applyBorder="1" applyAlignment="1">
      <alignment horizontal="center"/>
    </xf>
    <xf numFmtId="4" fontId="46" fillId="0" borderId="0" xfId="0" applyNumberFormat="1" applyFont="1" applyBorder="1"/>
    <xf numFmtId="0" fontId="2" fillId="0" borderId="17" xfId="0" applyNumberFormat="1" applyFont="1" applyBorder="1" applyAlignment="1">
      <alignment horizontal="center" wrapText="1"/>
    </xf>
    <xf numFmtId="4" fontId="45" fillId="0" borderId="17" xfId="0" applyNumberFormat="1" applyFont="1" applyFill="1" applyBorder="1" applyAlignment="1">
      <alignment horizontal="center"/>
    </xf>
    <xf numFmtId="165" fontId="44" fillId="0" borderId="17" xfId="0" applyNumberFormat="1" applyFont="1" applyBorder="1"/>
    <xf numFmtId="0" fontId="46" fillId="0" borderId="0" xfId="0" applyFont="1" applyBorder="1"/>
    <xf numFmtId="0" fontId="2" fillId="3" borderId="5" xfId="0" applyFont="1" applyFill="1" applyBorder="1" applyAlignment="1">
      <alignment horizontal="center"/>
    </xf>
    <xf numFmtId="0" fontId="26" fillId="3" borderId="17" xfId="0" applyNumberFormat="1" applyFont="1" applyFill="1" applyBorder="1" applyAlignment="1">
      <alignment horizontal="center"/>
    </xf>
    <xf numFmtId="0" fontId="2" fillId="3" borderId="17" xfId="0" applyNumberFormat="1" applyFont="1" applyFill="1" applyBorder="1" applyAlignment="1">
      <alignment horizontal="center"/>
    </xf>
    <xf numFmtId="0" fontId="41" fillId="3" borderId="17" xfId="0" applyNumberFormat="1" applyFont="1" applyFill="1" applyBorder="1" applyAlignment="1">
      <alignment horizontal="center"/>
    </xf>
    <xf numFmtId="0" fontId="44" fillId="0" borderId="5" xfId="0" applyFont="1" applyBorder="1"/>
    <xf numFmtId="4" fontId="44" fillId="0" borderId="5" xfId="0" applyNumberFormat="1" applyFont="1" applyFill="1" applyBorder="1"/>
    <xf numFmtId="3" fontId="44" fillId="0" borderId="5" xfId="0" applyNumberFormat="1" applyFont="1" applyBorder="1" applyAlignment="1">
      <alignment horizontal="center"/>
    </xf>
    <xf numFmtId="4" fontId="44" fillId="0" borderId="5" xfId="0" applyNumberFormat="1" applyFont="1" applyBorder="1" applyAlignment="1">
      <alignment horizontal="center"/>
    </xf>
    <xf numFmtId="4" fontId="45" fillId="0" borderId="5" xfId="0" applyNumberFormat="1" applyFont="1" applyFill="1" applyBorder="1" applyAlignment="1">
      <alignment horizontal="center"/>
    </xf>
    <xf numFmtId="4" fontId="46" fillId="0" borderId="0" xfId="0" applyNumberFormat="1" applyFont="1"/>
    <xf numFmtId="0" fontId="44" fillId="0" borderId="17" xfId="0" applyNumberFormat="1" applyFont="1" applyBorder="1" applyAlignment="1">
      <alignment horizontal="center"/>
    </xf>
    <xf numFmtId="164" fontId="4" fillId="11" borderId="17" xfId="0" applyNumberFormat="1" applyFont="1" applyFill="1" applyBorder="1"/>
    <xf numFmtId="14" fontId="2" fillId="11" borderId="17" xfId="0" applyNumberFormat="1" applyFont="1" applyFill="1" applyBorder="1" applyAlignment="1">
      <alignment horizontal="center"/>
    </xf>
    <xf numFmtId="0" fontId="47" fillId="0" borderId="17" xfId="0" applyFont="1" applyBorder="1"/>
    <xf numFmtId="0" fontId="47" fillId="0" borderId="17" xfId="0" applyNumberFormat="1" applyFont="1" applyBorder="1" applyAlignment="1">
      <alignment horizontal="center"/>
    </xf>
    <xf numFmtId="4" fontId="47" fillId="0" borderId="17" xfId="0" applyNumberFormat="1" applyFont="1" applyFill="1" applyBorder="1"/>
    <xf numFmtId="3" fontId="47" fillId="0" borderId="17" xfId="0" applyNumberFormat="1" applyFont="1" applyBorder="1" applyAlignment="1">
      <alignment horizontal="center"/>
    </xf>
    <xf numFmtId="4" fontId="47" fillId="0" borderId="17" xfId="0" applyNumberFormat="1" applyFont="1" applyBorder="1" applyAlignment="1">
      <alignment horizontal="center"/>
    </xf>
    <xf numFmtId="4" fontId="48" fillId="0" borderId="17" xfId="0" applyNumberFormat="1" applyFont="1" applyFill="1" applyBorder="1" applyAlignment="1">
      <alignment horizontal="center"/>
    </xf>
    <xf numFmtId="165" fontId="47" fillId="0" borderId="17" xfId="0" applyNumberFormat="1" applyFont="1" applyBorder="1"/>
    <xf numFmtId="164" fontId="48" fillId="11" borderId="17" xfId="0" applyNumberFormat="1" applyFont="1" applyFill="1" applyBorder="1"/>
    <xf numFmtId="14" fontId="47" fillId="11" borderId="17" xfId="0" applyNumberFormat="1" applyFont="1" applyFill="1" applyBorder="1" applyAlignment="1">
      <alignment horizontal="center"/>
    </xf>
    <xf numFmtId="0" fontId="49" fillId="0" borderId="5" xfId="0" applyFont="1" applyBorder="1"/>
    <xf numFmtId="0" fontId="49" fillId="0" borderId="5" xfId="0" applyNumberFormat="1" applyFont="1" applyBorder="1" applyAlignment="1">
      <alignment horizontal="center"/>
    </xf>
    <xf numFmtId="4" fontId="49" fillId="0" borderId="5" xfId="0" applyNumberFormat="1" applyFont="1" applyFill="1" applyBorder="1"/>
    <xf numFmtId="3" fontId="49" fillId="0" borderId="5" xfId="0" applyNumberFormat="1" applyFont="1" applyBorder="1" applyAlignment="1">
      <alignment horizontal="center"/>
    </xf>
    <xf numFmtId="4" fontId="49" fillId="0" borderId="5" xfId="0" applyNumberFormat="1" applyFont="1" applyBorder="1" applyAlignment="1">
      <alignment horizontal="center"/>
    </xf>
    <xf numFmtId="4" fontId="50" fillId="0" borderId="5" xfId="0" applyNumberFormat="1" applyFont="1" applyFill="1" applyBorder="1" applyAlignment="1">
      <alignment horizontal="center"/>
    </xf>
    <xf numFmtId="165" fontId="49" fillId="0" borderId="5" xfId="0" applyNumberFormat="1" applyFont="1" applyBorder="1"/>
    <xf numFmtId="4" fontId="51" fillId="0" borderId="0" xfId="0" applyNumberFormat="1" applyFont="1"/>
    <xf numFmtId="0" fontId="49" fillId="0" borderId="17" xfId="0" applyFont="1" applyBorder="1"/>
    <xf numFmtId="0" fontId="49" fillId="0" borderId="17" xfId="0" applyNumberFormat="1" applyFont="1" applyBorder="1" applyAlignment="1">
      <alignment horizontal="center"/>
    </xf>
    <xf numFmtId="4" fontId="49" fillId="0" borderId="17" xfId="0" applyNumberFormat="1" applyFont="1" applyFill="1" applyBorder="1"/>
    <xf numFmtId="3" fontId="49" fillId="0" borderId="17" xfId="0" applyNumberFormat="1" applyFont="1" applyBorder="1" applyAlignment="1">
      <alignment horizontal="center"/>
    </xf>
    <xf numFmtId="4" fontId="49" fillId="0" borderId="17" xfId="0" applyNumberFormat="1" applyFont="1" applyBorder="1" applyAlignment="1">
      <alignment horizontal="center"/>
    </xf>
    <xf numFmtId="4" fontId="51" fillId="0" borderId="0" xfId="0" applyNumberFormat="1" applyFont="1" applyBorder="1"/>
    <xf numFmtId="164" fontId="50" fillId="11" borderId="5" xfId="0" applyNumberFormat="1" applyFont="1" applyFill="1" applyBorder="1"/>
    <xf numFmtId="14" fontId="49" fillId="11" borderId="5" xfId="0" applyNumberFormat="1" applyFont="1" applyFill="1" applyBorder="1" applyAlignment="1">
      <alignment horizontal="center"/>
    </xf>
    <xf numFmtId="164" fontId="50" fillId="11" borderId="17" xfId="0" applyNumberFormat="1" applyFont="1" applyFill="1" applyBorder="1"/>
    <xf numFmtId="14" fontId="49" fillId="11" borderId="17" xfId="0" applyNumberFormat="1" applyFont="1" applyFill="1" applyBorder="1" applyAlignment="1">
      <alignment horizontal="center"/>
    </xf>
    <xf numFmtId="0" fontId="49" fillId="12" borderId="4" xfId="0" applyFont="1" applyFill="1" applyBorder="1"/>
    <xf numFmtId="0" fontId="49" fillId="12" borderId="5" xfId="0" applyFont="1" applyFill="1" applyBorder="1"/>
    <xf numFmtId="0" fontId="49" fillId="12" borderId="5" xfId="0" applyNumberFormat="1" applyFont="1" applyFill="1" applyBorder="1" applyAlignment="1">
      <alignment horizontal="center"/>
    </xf>
    <xf numFmtId="0" fontId="49" fillId="0" borderId="5" xfId="0" applyNumberFormat="1" applyFont="1" applyBorder="1" applyAlignment="1">
      <alignment horizontal="center" wrapText="1"/>
    </xf>
    <xf numFmtId="0" fontId="49" fillId="0" borderId="14" xfId="0" applyFont="1" applyBorder="1"/>
    <xf numFmtId="4" fontId="50" fillId="0" borderId="17" xfId="0" applyNumberFormat="1" applyFont="1" applyFill="1" applyBorder="1" applyAlignment="1">
      <alignment horizontal="center"/>
    </xf>
    <xf numFmtId="165" fontId="49" fillId="0" borderId="17" xfId="0" applyNumberFormat="1" applyFont="1" applyBorder="1"/>
    <xf numFmtId="0" fontId="51" fillId="0" borderId="0" xfId="0" applyFont="1"/>
    <xf numFmtId="0" fontId="51" fillId="0" borderId="0" xfId="0" applyFont="1" applyBorder="1"/>
    <xf numFmtId="14" fontId="2" fillId="11" borderId="5" xfId="0" applyNumberFormat="1" applyFont="1" applyFill="1" applyBorder="1" applyAlignment="1">
      <alignment horizontal="center"/>
    </xf>
    <xf numFmtId="0" fontId="52" fillId="0" borderId="17" xfId="0" applyFont="1" applyBorder="1"/>
    <xf numFmtId="0" fontId="52" fillId="0" borderId="17" xfId="0" applyNumberFormat="1" applyFont="1" applyBorder="1" applyAlignment="1">
      <alignment horizontal="center"/>
    </xf>
    <xf numFmtId="4" fontId="52" fillId="0" borderId="17" xfId="0" applyNumberFormat="1" applyFont="1" applyFill="1" applyBorder="1"/>
    <xf numFmtId="3" fontId="52" fillId="0" borderId="17" xfId="0" applyNumberFormat="1" applyFont="1" applyBorder="1" applyAlignment="1">
      <alignment horizontal="center"/>
    </xf>
    <xf numFmtId="4" fontId="52" fillId="0" borderId="17" xfId="0" applyNumberFormat="1" applyFont="1" applyBorder="1" applyAlignment="1">
      <alignment horizontal="center"/>
    </xf>
    <xf numFmtId="4" fontId="53" fillId="0" borderId="17" xfId="0" applyNumberFormat="1" applyFont="1" applyFill="1" applyBorder="1" applyAlignment="1">
      <alignment horizontal="center"/>
    </xf>
    <xf numFmtId="165" fontId="52" fillId="0" borderId="17" xfId="0" applyNumberFormat="1" applyFont="1" applyBorder="1"/>
    <xf numFmtId="4" fontId="54" fillId="0" borderId="0" xfId="0" applyNumberFormat="1" applyFont="1" applyBorder="1"/>
    <xf numFmtId="164" fontId="53" fillId="11" borderId="17" xfId="0" applyNumberFormat="1" applyFont="1" applyFill="1" applyBorder="1"/>
    <xf numFmtId="14" fontId="52" fillId="11" borderId="17" xfId="0" applyNumberFormat="1" applyFont="1" applyFill="1" applyBorder="1" applyAlignment="1">
      <alignment horizontal="center"/>
    </xf>
    <xf numFmtId="0" fontId="54" fillId="0" borderId="0" xfId="0" applyFont="1" applyBorder="1"/>
    <xf numFmtId="0" fontId="52" fillId="0" borderId="5" xfId="0" applyFont="1" applyBorder="1"/>
    <xf numFmtId="4" fontId="52" fillId="0" borderId="5" xfId="0" applyNumberFormat="1" applyFont="1" applyFill="1" applyBorder="1"/>
    <xf numFmtId="3" fontId="52" fillId="0" borderId="5" xfId="0" applyNumberFormat="1" applyFont="1" applyBorder="1" applyAlignment="1">
      <alignment horizontal="center"/>
    </xf>
    <xf numFmtId="4" fontId="52" fillId="0" borderId="5" xfId="0" applyNumberFormat="1" applyFont="1" applyBorder="1" applyAlignment="1">
      <alignment horizontal="center"/>
    </xf>
    <xf numFmtId="4" fontId="54" fillId="0" borderId="0" xfId="0" applyNumberFormat="1" applyFont="1"/>
    <xf numFmtId="0" fontId="52" fillId="0" borderId="14" xfId="0" applyFont="1" applyBorder="1"/>
    <xf numFmtId="0" fontId="55" fillId="0" borderId="4" xfId="0" applyFont="1" applyBorder="1"/>
    <xf numFmtId="0" fontId="55" fillId="0" borderId="5" xfId="0" applyFont="1" applyBorder="1"/>
    <xf numFmtId="0" fontId="55" fillId="0" borderId="5" xfId="0" applyNumberFormat="1" applyFont="1" applyBorder="1" applyAlignment="1">
      <alignment horizontal="center"/>
    </xf>
    <xf numFmtId="4" fontId="55" fillId="0" borderId="5" xfId="0" applyNumberFormat="1" applyFont="1" applyFill="1" applyBorder="1"/>
    <xf numFmtId="3" fontId="55" fillId="0" borderId="5" xfId="0" applyNumberFormat="1" applyFont="1" applyBorder="1" applyAlignment="1">
      <alignment horizontal="center"/>
    </xf>
    <xf numFmtId="4" fontId="55" fillId="0" borderId="5" xfId="0" applyNumberFormat="1" applyFont="1" applyBorder="1" applyAlignment="1">
      <alignment horizontal="center"/>
    </xf>
    <xf numFmtId="4" fontId="56" fillId="0" borderId="5" xfId="0" applyNumberFormat="1" applyFont="1" applyFill="1" applyBorder="1" applyAlignment="1">
      <alignment horizontal="center"/>
    </xf>
    <xf numFmtId="165" fontId="55" fillId="0" borderId="5" xfId="0" applyNumberFormat="1" applyFont="1" applyBorder="1"/>
    <xf numFmtId="0" fontId="57" fillId="0" borderId="0" xfId="0" applyFont="1"/>
    <xf numFmtId="0" fontId="55" fillId="0" borderId="14" xfId="0" applyFont="1" applyBorder="1"/>
    <xf numFmtId="0" fontId="55" fillId="0" borderId="15" xfId="0" applyFont="1" applyBorder="1"/>
    <xf numFmtId="0" fontId="55" fillId="0" borderId="17" xfId="0" applyFont="1" applyBorder="1"/>
    <xf numFmtId="0" fontId="55" fillId="0" borderId="17" xfId="0" applyNumberFormat="1" applyFont="1" applyBorder="1" applyAlignment="1">
      <alignment horizontal="center"/>
    </xf>
    <xf numFmtId="4" fontId="55" fillId="0" borderId="17" xfId="0" applyNumberFormat="1" applyFont="1" applyFill="1" applyBorder="1"/>
    <xf numFmtId="3" fontId="55" fillId="0" borderId="17" xfId="0" applyNumberFormat="1" applyFont="1" applyBorder="1" applyAlignment="1">
      <alignment horizontal="center"/>
    </xf>
    <xf numFmtId="4" fontId="55" fillId="0" borderId="17" xfId="0" applyNumberFormat="1" applyFont="1" applyBorder="1" applyAlignment="1">
      <alignment horizontal="center"/>
    </xf>
    <xf numFmtId="4" fontId="56" fillId="0" borderId="17" xfId="0" applyNumberFormat="1" applyFont="1" applyFill="1" applyBorder="1" applyAlignment="1">
      <alignment horizontal="center"/>
    </xf>
    <xf numFmtId="165" fontId="55" fillId="0" borderId="17" xfId="0" applyNumberFormat="1" applyFont="1" applyBorder="1"/>
    <xf numFmtId="0" fontId="57" fillId="0" borderId="0" xfId="0" applyFont="1" applyBorder="1"/>
    <xf numFmtId="0" fontId="55" fillId="12" borderId="11" xfId="0" applyFont="1" applyFill="1" applyBorder="1"/>
    <xf numFmtId="164" fontId="56" fillId="11" borderId="5" xfId="0" applyNumberFormat="1" applyFont="1" applyFill="1" applyBorder="1"/>
    <xf numFmtId="14" fontId="55" fillId="11" borderId="5" xfId="0" applyNumberFormat="1" applyFont="1" applyFill="1" applyBorder="1" applyAlignment="1">
      <alignment horizontal="center"/>
    </xf>
    <xf numFmtId="4" fontId="57" fillId="0" borderId="0" xfId="0" applyNumberFormat="1" applyFont="1"/>
    <xf numFmtId="4" fontId="57" fillId="0" borderId="0" xfId="0" applyNumberFormat="1" applyFont="1" applyBorder="1"/>
    <xf numFmtId="14" fontId="55" fillId="11" borderId="17" xfId="0" applyNumberFormat="1" applyFont="1" applyFill="1" applyBorder="1" applyAlignment="1">
      <alignment horizontal="center"/>
    </xf>
    <xf numFmtId="164" fontId="56" fillId="11" borderId="17" xfId="0" applyNumberFormat="1" applyFont="1" applyFill="1" applyBorder="1"/>
    <xf numFmtId="164" fontId="59" fillId="11" borderId="17" xfId="0" applyNumberFormat="1" applyFont="1" applyFill="1" applyBorder="1"/>
    <xf numFmtId="14" fontId="58" fillId="11" borderId="17" xfId="0" applyNumberFormat="1" applyFont="1" applyFill="1" applyBorder="1" applyAlignment="1">
      <alignment horizontal="center"/>
    </xf>
    <xf numFmtId="0" fontId="58" fillId="0" borderId="17" xfId="0" applyFont="1" applyBorder="1"/>
    <xf numFmtId="0" fontId="58" fillId="0" borderId="17" xfId="0" applyNumberFormat="1" applyFont="1" applyBorder="1" applyAlignment="1">
      <alignment horizontal="center"/>
    </xf>
    <xf numFmtId="4" fontId="58" fillId="0" borderId="17" xfId="0" applyNumberFormat="1" applyFont="1" applyFill="1" applyBorder="1"/>
    <xf numFmtId="3" fontId="58" fillId="0" borderId="17" xfId="0" applyNumberFormat="1" applyFont="1" applyBorder="1" applyAlignment="1">
      <alignment horizontal="center"/>
    </xf>
    <xf numFmtId="4" fontId="58" fillId="0" borderId="17" xfId="0" applyNumberFormat="1" applyFont="1" applyBorder="1" applyAlignment="1">
      <alignment horizontal="center"/>
    </xf>
    <xf numFmtId="4" fontId="59" fillId="0" borderId="17" xfId="0" applyNumberFormat="1" applyFont="1" applyFill="1" applyBorder="1" applyAlignment="1">
      <alignment horizontal="center"/>
    </xf>
    <xf numFmtId="165" fontId="58" fillId="0" borderId="17" xfId="0" applyNumberFormat="1" applyFont="1" applyBorder="1"/>
    <xf numFmtId="0" fontId="60" fillId="0" borderId="0" xfId="0" applyFont="1" applyBorder="1"/>
    <xf numFmtId="0" fontId="61" fillId="0" borderId="4" xfId="0" applyFont="1" applyBorder="1"/>
    <xf numFmtId="0" fontId="61" fillId="0" borderId="5" xfId="0" applyFont="1" applyBorder="1"/>
    <xf numFmtId="0" fontId="61" fillId="0" borderId="5" xfId="0" applyNumberFormat="1" applyFont="1" applyBorder="1" applyAlignment="1">
      <alignment horizontal="center"/>
    </xf>
    <xf numFmtId="4" fontId="61" fillId="0" borderId="5" xfId="0" applyNumberFormat="1" applyFont="1" applyFill="1" applyBorder="1"/>
    <xf numFmtId="3" fontId="61" fillId="0" borderId="5" xfId="0" applyNumberFormat="1" applyFont="1" applyBorder="1" applyAlignment="1">
      <alignment horizontal="center"/>
    </xf>
    <xf numFmtId="4" fontId="61" fillId="0" borderId="5" xfId="0" applyNumberFormat="1" applyFont="1" applyBorder="1" applyAlignment="1">
      <alignment horizontal="center"/>
    </xf>
    <xf numFmtId="4" fontId="62" fillId="0" borderId="0" xfId="0" applyNumberFormat="1" applyFont="1"/>
    <xf numFmtId="0" fontId="61" fillId="0" borderId="15" xfId="0" applyFont="1" applyBorder="1"/>
    <xf numFmtId="0" fontId="61" fillId="0" borderId="17" xfId="0" applyFont="1" applyBorder="1"/>
    <xf numFmtId="4" fontId="61" fillId="0" borderId="17" xfId="0" applyNumberFormat="1" applyFont="1" applyFill="1" applyBorder="1"/>
    <xf numFmtId="3" fontId="61" fillId="0" borderId="17" xfId="0" applyNumberFormat="1" applyFont="1" applyBorder="1" applyAlignment="1">
      <alignment horizontal="center"/>
    </xf>
    <xf numFmtId="4" fontId="61" fillId="0" borderId="17" xfId="0" applyNumberFormat="1" applyFont="1" applyBorder="1" applyAlignment="1">
      <alignment horizontal="center"/>
    </xf>
    <xf numFmtId="4" fontId="62" fillId="0" borderId="0" xfId="0" applyNumberFormat="1" applyFont="1" applyBorder="1"/>
    <xf numFmtId="0" fontId="63" fillId="0" borderId="14" xfId="0" applyFont="1" applyBorder="1"/>
    <xf numFmtId="164" fontId="64" fillId="11" borderId="17" xfId="0" applyNumberFormat="1" applyFont="1" applyFill="1" applyBorder="1"/>
    <xf numFmtId="14" fontId="63" fillId="11" borderId="17" xfId="0" applyNumberFormat="1" applyFont="1" applyFill="1" applyBorder="1" applyAlignment="1">
      <alignment horizontal="center"/>
    </xf>
    <xf numFmtId="0" fontId="63" fillId="0" borderId="17" xfId="0" applyFont="1" applyBorder="1"/>
    <xf numFmtId="4" fontId="63" fillId="0" borderId="17" xfId="0" applyNumberFormat="1" applyFont="1" applyFill="1" applyBorder="1"/>
    <xf numFmtId="3" fontId="63" fillId="0" borderId="17" xfId="0" applyNumberFormat="1" applyFont="1" applyBorder="1" applyAlignment="1">
      <alignment horizontal="center"/>
    </xf>
    <xf numFmtId="4" fontId="63" fillId="0" borderId="17" xfId="0" applyNumberFormat="1" applyFont="1" applyBorder="1" applyAlignment="1">
      <alignment horizontal="center"/>
    </xf>
    <xf numFmtId="4" fontId="64" fillId="0" borderId="17" xfId="0" applyNumberFormat="1" applyFont="1" applyFill="1" applyBorder="1" applyAlignment="1">
      <alignment horizontal="center"/>
    </xf>
    <xf numFmtId="165" fontId="63" fillId="0" borderId="17" xfId="0" applyNumberFormat="1" applyFont="1" applyBorder="1"/>
    <xf numFmtId="164" fontId="64" fillId="9" borderId="17" xfId="0" applyNumberFormat="1" applyFont="1" applyFill="1" applyBorder="1"/>
    <xf numFmtId="0" fontId="63" fillId="0" borderId="17" xfId="0" applyNumberFormat="1" applyFont="1" applyBorder="1" applyAlignment="1">
      <alignment horizontal="center"/>
    </xf>
    <xf numFmtId="14" fontId="63" fillId="9" borderId="17" xfId="0" applyNumberFormat="1" applyFont="1" applyFill="1" applyBorder="1" applyAlignment="1">
      <alignment horizontal="center"/>
    </xf>
    <xf numFmtId="164" fontId="4" fillId="9" borderId="17" xfId="0" applyNumberFormat="1" applyFont="1" applyFill="1" applyBorder="1"/>
    <xf numFmtId="14" fontId="2" fillId="9" borderId="17" xfId="0" applyNumberFormat="1" applyFont="1" applyFill="1" applyBorder="1" applyAlignment="1">
      <alignment horizontal="center"/>
    </xf>
    <xf numFmtId="164" fontId="66" fillId="9" borderId="17" xfId="0" applyNumberFormat="1" applyFont="1" applyFill="1" applyBorder="1"/>
    <xf numFmtId="14" fontId="65" fillId="9" borderId="17" xfId="0" applyNumberFormat="1" applyFont="1" applyFill="1" applyBorder="1" applyAlignment="1">
      <alignment horizontal="center"/>
    </xf>
    <xf numFmtId="0" fontId="65" fillId="0" borderId="17" xfId="0" applyFont="1" applyBorder="1"/>
    <xf numFmtId="0" fontId="65" fillId="0" borderId="17" xfId="0" applyNumberFormat="1" applyFont="1" applyBorder="1" applyAlignment="1">
      <alignment horizontal="center"/>
    </xf>
    <xf numFmtId="4" fontId="65" fillId="0" borderId="17" xfId="0" applyNumberFormat="1" applyFont="1" applyFill="1" applyBorder="1"/>
    <xf numFmtId="3" fontId="65" fillId="0" borderId="17" xfId="0" applyNumberFormat="1" applyFont="1" applyBorder="1" applyAlignment="1">
      <alignment horizontal="center"/>
    </xf>
    <xf numFmtId="4" fontId="65" fillId="0" borderId="17" xfId="0" applyNumberFormat="1" applyFont="1" applyBorder="1" applyAlignment="1">
      <alignment horizontal="center"/>
    </xf>
    <xf numFmtId="4" fontId="66" fillId="0" borderId="17" xfId="0" applyNumberFormat="1" applyFont="1" applyFill="1" applyBorder="1" applyAlignment="1">
      <alignment horizontal="center"/>
    </xf>
    <xf numFmtId="165" fontId="65" fillId="0" borderId="17" xfId="0" applyNumberFormat="1" applyFont="1" applyBorder="1"/>
    <xf numFmtId="0" fontId="67" fillId="0" borderId="0" xfId="0" applyFont="1" applyBorder="1"/>
    <xf numFmtId="0" fontId="65" fillId="0" borderId="4" xfId="0" applyFont="1" applyBorder="1"/>
    <xf numFmtId="164" fontId="66" fillId="9" borderId="5" xfId="0" applyNumberFormat="1" applyFont="1" applyFill="1" applyBorder="1"/>
    <xf numFmtId="14" fontId="65" fillId="9" borderId="5" xfId="0" applyNumberFormat="1" applyFont="1" applyFill="1" applyBorder="1" applyAlignment="1">
      <alignment horizontal="center"/>
    </xf>
    <xf numFmtId="0" fontId="65" fillId="0" borderId="5" xfId="0" applyFont="1" applyBorder="1"/>
    <xf numFmtId="0" fontId="65" fillId="0" borderId="5" xfId="0" applyNumberFormat="1" applyFont="1" applyBorder="1" applyAlignment="1">
      <alignment horizontal="center"/>
    </xf>
    <xf numFmtId="4" fontId="65" fillId="0" borderId="5" xfId="0" applyNumberFormat="1" applyFont="1" applyFill="1" applyBorder="1"/>
    <xf numFmtId="3" fontId="65" fillId="0" borderId="5" xfId="0" applyNumberFormat="1" applyFont="1" applyBorder="1" applyAlignment="1">
      <alignment horizontal="center"/>
    </xf>
    <xf numFmtId="4" fontId="65" fillId="0" borderId="5" xfId="0" applyNumberFormat="1" applyFont="1" applyBorder="1" applyAlignment="1">
      <alignment horizontal="center"/>
    </xf>
    <xf numFmtId="4" fontId="66" fillId="0" borderId="5" xfId="0" applyNumberFormat="1" applyFont="1" applyFill="1" applyBorder="1" applyAlignment="1">
      <alignment horizontal="center"/>
    </xf>
    <xf numFmtId="165" fontId="65" fillId="0" borderId="5" xfId="0" applyNumberFormat="1" applyFont="1" applyBorder="1"/>
    <xf numFmtId="0" fontId="67" fillId="0" borderId="0" xfId="0" applyFont="1"/>
    <xf numFmtId="0" fontId="65" fillId="0" borderId="14" xfId="0" applyFont="1" applyBorder="1"/>
    <xf numFmtId="0" fontId="65" fillId="0" borderId="15" xfId="0" applyFont="1" applyBorder="1"/>
    <xf numFmtId="4" fontId="67" fillId="0" borderId="0" xfId="0" applyNumberFormat="1" applyFont="1"/>
    <xf numFmtId="164" fontId="66" fillId="11" borderId="17" xfId="0" applyNumberFormat="1" applyFont="1" applyFill="1" applyBorder="1"/>
    <xf numFmtId="14" fontId="65" fillId="11" borderId="17" xfId="0" applyNumberFormat="1" applyFont="1" applyFill="1" applyBorder="1" applyAlignment="1">
      <alignment horizontal="center"/>
    </xf>
    <xf numFmtId="4" fontId="67" fillId="0" borderId="0" xfId="0" applyNumberFormat="1" applyFont="1" applyBorder="1"/>
    <xf numFmtId="0" fontId="65" fillId="0" borderId="5" xfId="0" applyNumberFormat="1" applyFont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65" fillId="0" borderId="14" xfId="0" applyFont="1" applyBorder="1" applyAlignment="1">
      <alignment wrapText="1"/>
    </xf>
    <xf numFmtId="164" fontId="4" fillId="9" borderId="5" xfId="0" applyNumberFormat="1" applyFont="1" applyFill="1" applyBorder="1"/>
    <xf numFmtId="0" fontId="68" fillId="0" borderId="17" xfId="0" applyFont="1" applyBorder="1" applyAlignment="1">
      <alignment wrapText="1"/>
    </xf>
    <xf numFmtId="0" fontId="68" fillId="0" borderId="17" xfId="0" applyNumberFormat="1" applyFont="1" applyBorder="1" applyAlignment="1">
      <alignment horizontal="center"/>
    </xf>
    <xf numFmtId="4" fontId="68" fillId="0" borderId="17" xfId="0" applyNumberFormat="1" applyFont="1" applyFill="1" applyBorder="1"/>
    <xf numFmtId="3" fontId="68" fillId="0" borderId="17" xfId="0" applyNumberFormat="1" applyFont="1" applyBorder="1" applyAlignment="1">
      <alignment horizontal="center"/>
    </xf>
    <xf numFmtId="4" fontId="68" fillId="0" borderId="17" xfId="0" applyNumberFormat="1" applyFont="1" applyBorder="1" applyAlignment="1">
      <alignment horizontal="center"/>
    </xf>
    <xf numFmtId="4" fontId="69" fillId="0" borderId="17" xfId="0" applyNumberFormat="1" applyFont="1" applyFill="1" applyBorder="1" applyAlignment="1">
      <alignment horizontal="center"/>
    </xf>
    <xf numFmtId="165" fontId="68" fillId="0" borderId="17" xfId="0" applyNumberFormat="1" applyFont="1" applyBorder="1"/>
    <xf numFmtId="0" fontId="68" fillId="0" borderId="17" xfId="0" applyFont="1" applyBorder="1"/>
    <xf numFmtId="0" fontId="70" fillId="0" borderId="0" xfId="0" applyFont="1" applyBorder="1"/>
    <xf numFmtId="0" fontId="71" fillId="0" borderId="14" xfId="0" applyFont="1" applyBorder="1"/>
    <xf numFmtId="0" fontId="71" fillId="0" borderId="15" xfId="0" applyFont="1" applyBorder="1"/>
    <xf numFmtId="0" fontId="71" fillId="0" borderId="17" xfId="0" applyFont="1" applyBorder="1"/>
    <xf numFmtId="0" fontId="71" fillId="0" borderId="17" xfId="0" applyNumberFormat="1" applyFont="1" applyBorder="1" applyAlignment="1">
      <alignment horizontal="center"/>
    </xf>
    <xf numFmtId="4" fontId="71" fillId="0" borderId="17" xfId="0" applyNumberFormat="1" applyFont="1" applyFill="1" applyBorder="1"/>
    <xf numFmtId="3" fontId="71" fillId="0" borderId="17" xfId="0" applyNumberFormat="1" applyFont="1" applyBorder="1" applyAlignment="1">
      <alignment horizontal="center"/>
    </xf>
    <xf numFmtId="4" fontId="71" fillId="0" borderId="17" xfId="0" applyNumberFormat="1" applyFont="1" applyBorder="1" applyAlignment="1">
      <alignment horizontal="center"/>
    </xf>
    <xf numFmtId="4" fontId="72" fillId="0" borderId="17" xfId="0" applyNumberFormat="1" applyFont="1" applyFill="1" applyBorder="1" applyAlignment="1">
      <alignment horizontal="center"/>
    </xf>
    <xf numFmtId="165" fontId="71" fillId="0" borderId="17" xfId="0" applyNumberFormat="1" applyFont="1" applyBorder="1"/>
    <xf numFmtId="0" fontId="73" fillId="0" borderId="0" xfId="0" applyFont="1" applyBorder="1"/>
    <xf numFmtId="0" fontId="18" fillId="11" borderId="11" xfId="0" applyFont="1" applyFill="1" applyBorder="1"/>
    <xf numFmtId="0" fontId="32" fillId="11" borderId="15" xfId="0" applyFont="1" applyFill="1" applyBorder="1"/>
    <xf numFmtId="0" fontId="2" fillId="11" borderId="11" xfId="0" applyFont="1" applyFill="1" applyBorder="1"/>
    <xf numFmtId="0" fontId="49" fillId="11" borderId="15" xfId="0" applyFont="1" applyFill="1" applyBorder="1"/>
    <xf numFmtId="0" fontId="29" fillId="11" borderId="15" xfId="0" applyFont="1" applyFill="1" applyBorder="1"/>
    <xf numFmtId="0" fontId="49" fillId="13" borderId="11" xfId="0" applyFont="1" applyFill="1" applyBorder="1"/>
    <xf numFmtId="0" fontId="2" fillId="11" borderId="15" xfId="0" applyFont="1" applyFill="1" applyBorder="1"/>
    <xf numFmtId="0" fontId="55" fillId="13" borderId="11" xfId="0" applyFont="1" applyFill="1" applyBorder="1"/>
    <xf numFmtId="0" fontId="55" fillId="11" borderId="15" xfId="0" applyFont="1" applyFill="1" applyBorder="1"/>
    <xf numFmtId="0" fontId="61" fillId="11" borderId="11" xfId="0" applyFont="1" applyFill="1" applyBorder="1"/>
    <xf numFmtId="0" fontId="61" fillId="11" borderId="15" xfId="0" applyFont="1" applyFill="1" applyBorder="1"/>
    <xf numFmtId="0" fontId="2" fillId="12" borderId="11" xfId="0" applyFont="1" applyFill="1" applyBorder="1"/>
    <xf numFmtId="0" fontId="2" fillId="12" borderId="5" xfId="0" applyFont="1" applyFill="1" applyBorder="1"/>
    <xf numFmtId="4" fontId="2" fillId="12" borderId="5" xfId="0" applyNumberFormat="1" applyFont="1" applyFill="1" applyBorder="1" applyAlignment="1">
      <alignment horizontal="center"/>
    </xf>
    <xf numFmtId="0" fontId="0" fillId="7" borderId="12" xfId="0" applyFill="1" applyBorder="1" applyAlignment="1">
      <alignment horizontal="left" vertical="center"/>
    </xf>
    <xf numFmtId="0" fontId="2" fillId="0" borderId="5" xfId="0" applyNumberFormat="1" applyFont="1" applyBorder="1" applyAlignment="1">
      <alignment horizontal="center" wrapText="1"/>
    </xf>
    <xf numFmtId="164" fontId="4" fillId="10" borderId="5" xfId="0" applyNumberFormat="1" applyFont="1" applyFill="1" applyBorder="1"/>
    <xf numFmtId="164" fontId="75" fillId="9" borderId="17" xfId="0" applyNumberFormat="1" applyFont="1" applyFill="1" applyBorder="1"/>
    <xf numFmtId="14" fontId="74" fillId="9" borderId="17" xfId="0" applyNumberFormat="1" applyFont="1" applyFill="1" applyBorder="1" applyAlignment="1">
      <alignment horizontal="center"/>
    </xf>
    <xf numFmtId="0" fontId="74" fillId="0" borderId="17" xfId="0" applyFont="1" applyBorder="1"/>
    <xf numFmtId="0" fontId="74" fillId="0" borderId="17" xfId="0" applyNumberFormat="1" applyFont="1" applyBorder="1" applyAlignment="1">
      <alignment horizontal="center"/>
    </xf>
    <xf numFmtId="4" fontId="74" fillId="0" borderId="17" xfId="0" applyNumberFormat="1" applyFont="1" applyFill="1" applyBorder="1"/>
    <xf numFmtId="3" fontId="74" fillId="0" borderId="17" xfId="0" applyNumberFormat="1" applyFont="1" applyBorder="1" applyAlignment="1">
      <alignment horizontal="center"/>
    </xf>
    <xf numFmtId="4" fontId="74" fillId="0" borderId="17" xfId="0" applyNumberFormat="1" applyFont="1" applyBorder="1" applyAlignment="1">
      <alignment horizontal="center"/>
    </xf>
    <xf numFmtId="4" fontId="76" fillId="0" borderId="0" xfId="0" applyNumberFormat="1" applyFont="1" applyBorder="1"/>
    <xf numFmtId="0" fontId="2" fillId="0" borderId="4" xfId="0" applyFont="1" applyBorder="1" applyAlignment="1">
      <alignment wrapText="1"/>
    </xf>
    <xf numFmtId="164" fontId="78" fillId="10" borderId="17" xfId="0" applyNumberFormat="1" applyFont="1" applyFill="1" applyBorder="1"/>
    <xf numFmtId="14" fontId="77" fillId="10" borderId="17" xfId="0" applyNumberFormat="1" applyFont="1" applyFill="1" applyBorder="1" applyAlignment="1">
      <alignment horizontal="center"/>
    </xf>
    <xf numFmtId="0" fontId="77" fillId="0" borderId="17" xfId="0" applyFont="1" applyBorder="1"/>
    <xf numFmtId="0" fontId="77" fillId="0" borderId="17" xfId="0" applyNumberFormat="1" applyFont="1" applyBorder="1" applyAlignment="1">
      <alignment horizontal="center"/>
    </xf>
    <xf numFmtId="4" fontId="77" fillId="0" borderId="17" xfId="0" applyNumberFormat="1" applyFont="1" applyFill="1" applyBorder="1"/>
    <xf numFmtId="3" fontId="77" fillId="0" borderId="17" xfId="0" applyNumberFormat="1" applyFont="1" applyBorder="1" applyAlignment="1">
      <alignment horizontal="center"/>
    </xf>
    <xf numFmtId="4" fontId="77" fillId="0" borderId="17" xfId="0" applyNumberFormat="1" applyFont="1" applyBorder="1" applyAlignment="1">
      <alignment horizontal="center"/>
    </xf>
    <xf numFmtId="4" fontId="79" fillId="0" borderId="0" xfId="0" applyNumberFormat="1" applyFont="1" applyBorder="1"/>
    <xf numFmtId="0" fontId="77" fillId="0" borderId="17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8" fillId="10" borderId="4" xfId="0" applyFont="1" applyFill="1" applyBorder="1"/>
    <xf numFmtId="0" fontId="2" fillId="10" borderId="11" xfId="0" applyFont="1" applyFill="1" applyBorder="1"/>
    <xf numFmtId="0" fontId="2" fillId="10" borderId="0" xfId="0" applyFont="1" applyFill="1"/>
    <xf numFmtId="164" fontId="66" fillId="10" borderId="17" xfId="0" applyNumberFormat="1" applyFont="1" applyFill="1" applyBorder="1"/>
    <xf numFmtId="14" fontId="65" fillId="10" borderId="17" xfId="0" applyNumberFormat="1" applyFont="1" applyFill="1" applyBorder="1" applyAlignment="1">
      <alignment horizontal="center"/>
    </xf>
    <xf numFmtId="0" fontId="65" fillId="10" borderId="17" xfId="0" applyFont="1" applyFill="1" applyBorder="1"/>
    <xf numFmtId="0" fontId="65" fillId="10" borderId="17" xfId="0" applyNumberFormat="1" applyFont="1" applyFill="1" applyBorder="1" applyAlignment="1">
      <alignment horizontal="center"/>
    </xf>
    <xf numFmtId="4" fontId="65" fillId="10" borderId="17" xfId="0" applyNumberFormat="1" applyFont="1" applyFill="1" applyBorder="1"/>
    <xf numFmtId="3" fontId="65" fillId="10" borderId="17" xfId="0" applyNumberFormat="1" applyFont="1" applyFill="1" applyBorder="1" applyAlignment="1">
      <alignment horizontal="center"/>
    </xf>
    <xf numFmtId="4" fontId="65" fillId="10" borderId="17" xfId="0" applyNumberFormat="1" applyFont="1" applyFill="1" applyBorder="1" applyAlignment="1">
      <alignment horizontal="center"/>
    </xf>
    <xf numFmtId="4" fontId="66" fillId="10" borderId="17" xfId="0" applyNumberFormat="1" applyFont="1" applyFill="1" applyBorder="1" applyAlignment="1">
      <alignment horizontal="center"/>
    </xf>
    <xf numFmtId="165" fontId="65" fillId="10" borderId="17" xfId="0" applyNumberFormat="1" applyFont="1" applyFill="1" applyBorder="1"/>
    <xf numFmtId="0" fontId="67" fillId="10" borderId="0" xfId="0" applyFont="1" applyFill="1" applyBorder="1"/>
    <xf numFmtId="0" fontId="65" fillId="14" borderId="4" xfId="0" applyFont="1" applyFill="1" applyBorder="1"/>
    <xf numFmtId="164" fontId="66" fillId="10" borderId="5" xfId="0" applyNumberFormat="1" applyFont="1" applyFill="1" applyBorder="1"/>
    <xf numFmtId="0" fontId="65" fillId="10" borderId="5" xfId="0" applyFont="1" applyFill="1" applyBorder="1"/>
    <xf numFmtId="0" fontId="65" fillId="14" borderId="5" xfId="0" applyNumberFormat="1" applyFont="1" applyFill="1" applyBorder="1" applyAlignment="1">
      <alignment horizontal="center"/>
    </xf>
    <xf numFmtId="4" fontId="65" fillId="10" borderId="5" xfId="0" applyNumberFormat="1" applyFont="1" applyFill="1" applyBorder="1"/>
    <xf numFmtId="3" fontId="65" fillId="10" borderId="5" xfId="0" applyNumberFormat="1" applyFont="1" applyFill="1" applyBorder="1" applyAlignment="1">
      <alignment horizontal="center"/>
    </xf>
    <xf numFmtId="4" fontId="65" fillId="10" borderId="5" xfId="0" applyNumberFormat="1" applyFont="1" applyFill="1" applyBorder="1" applyAlignment="1">
      <alignment horizontal="center"/>
    </xf>
    <xf numFmtId="4" fontId="66" fillId="10" borderId="5" xfId="0" applyNumberFormat="1" applyFont="1" applyFill="1" applyBorder="1" applyAlignment="1">
      <alignment horizontal="center"/>
    </xf>
    <xf numFmtId="165" fontId="65" fillId="10" borderId="5" xfId="0" applyNumberFormat="1" applyFont="1" applyFill="1" applyBorder="1"/>
    <xf numFmtId="0" fontId="67" fillId="10" borderId="0" xfId="0" applyFont="1" applyFill="1"/>
    <xf numFmtId="0" fontId="65" fillId="10" borderId="14" xfId="0" applyFont="1" applyFill="1" applyBorder="1"/>
    <xf numFmtId="14" fontId="65" fillId="10" borderId="5" xfId="0" applyNumberFormat="1" applyFont="1" applyFill="1" applyBorder="1" applyAlignment="1">
      <alignment horizontal="center"/>
    </xf>
    <xf numFmtId="0" fontId="18" fillId="0" borderId="4" xfId="0" applyFont="1" applyFill="1" applyBorder="1"/>
    <xf numFmtId="0" fontId="2" fillId="0" borderId="11" xfId="0" applyFont="1" applyFill="1" applyBorder="1"/>
    <xf numFmtId="164" fontId="50" fillId="0" borderId="5" xfId="0" applyNumberFormat="1" applyFont="1" applyFill="1" applyBorder="1"/>
    <xf numFmtId="14" fontId="2" fillId="0" borderId="5" xfId="0" applyNumberFormat="1" applyFont="1" applyFill="1" applyBorder="1" applyAlignment="1">
      <alignment horizontal="center"/>
    </xf>
    <xf numFmtId="0" fontId="2" fillId="0" borderId="17" xfId="0" applyFont="1" applyFill="1" applyBorder="1"/>
    <xf numFmtId="0" fontId="2" fillId="0" borderId="5" xfId="0" applyFont="1" applyFill="1" applyBorder="1" applyAlignment="1">
      <alignment horizontal="center"/>
    </xf>
    <xf numFmtId="3" fontId="49" fillId="0" borderId="5" xfId="0" applyNumberFormat="1" applyFont="1" applyFill="1" applyBorder="1" applyAlignment="1">
      <alignment horizontal="center"/>
    </xf>
    <xf numFmtId="4" fontId="49" fillId="0" borderId="5" xfId="0" applyNumberFormat="1" applyFont="1" applyFill="1" applyBorder="1" applyAlignment="1">
      <alignment horizontal="center"/>
    </xf>
    <xf numFmtId="165" fontId="49" fillId="0" borderId="5" xfId="0" applyNumberFormat="1" applyFont="1" applyFill="1" applyBorder="1"/>
    <xf numFmtId="0" fontId="49" fillId="0" borderId="5" xfId="0" applyFont="1" applyFill="1" applyBorder="1"/>
    <xf numFmtId="0" fontId="51" fillId="0" borderId="0" xfId="0" applyFont="1" applyFill="1"/>
    <xf numFmtId="0" fontId="2" fillId="0" borderId="0" xfId="0" applyFont="1" applyFill="1"/>
    <xf numFmtId="0" fontId="2" fillId="0" borderId="14" xfId="0" applyFont="1" applyFill="1" applyBorder="1"/>
    <xf numFmtId="164" fontId="53" fillId="0" borderId="17" xfId="0" applyNumberFormat="1" applyFont="1" applyFill="1" applyBorder="1"/>
    <xf numFmtId="14" fontId="2" fillId="0" borderId="17" xfId="0" applyNumberFormat="1" applyFont="1" applyFill="1" applyBorder="1" applyAlignment="1">
      <alignment horizontal="center"/>
    </xf>
    <xf numFmtId="0" fontId="2" fillId="0" borderId="17" xfId="0" applyNumberFormat="1" applyFont="1" applyFill="1" applyBorder="1" applyAlignment="1">
      <alignment horizontal="center"/>
    </xf>
    <xf numFmtId="3" fontId="2" fillId="0" borderId="17" xfId="0" applyNumberFormat="1" applyFont="1" applyFill="1" applyBorder="1" applyAlignment="1">
      <alignment horizontal="center"/>
    </xf>
    <xf numFmtId="4" fontId="2" fillId="0" borderId="17" xfId="0" applyNumberFormat="1" applyFont="1" applyFill="1" applyBorder="1" applyAlignment="1">
      <alignment horizontal="center"/>
    </xf>
    <xf numFmtId="165" fontId="2" fillId="0" borderId="17" xfId="0" applyNumberFormat="1" applyFont="1" applyFill="1" applyBorder="1"/>
    <xf numFmtId="0" fontId="20" fillId="0" borderId="0" xfId="0" applyFont="1" applyFill="1" applyBorder="1"/>
    <xf numFmtId="0" fontId="2" fillId="14" borderId="11" xfId="0" applyFont="1" applyFill="1" applyBorder="1"/>
    <xf numFmtId="0" fontId="2" fillId="10" borderId="15" xfId="0" applyFont="1" applyFill="1" applyBorder="1"/>
  </cellXfs>
  <cellStyles count="3"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94">
    <dxf>
      <fill>
        <patternFill patternType="solid">
          <fgColor rgb="FFFFC000"/>
          <bgColor rgb="FF00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_ ;[Red]\-#,##0\ 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19]mmmm\ yyyy;@"/>
      <fill>
        <patternFill patternType="none">
          <fgColor indexed="64"/>
          <bgColor auto="1"/>
        </patternFill>
      </fill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8;&#1088;&#1072;&#1083;&#1099;/&#1058;&#1077;&#1085;&#1090;&#1052;&#1086;&#1076;&#1077;&#1083;&#1100;_v4.0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1;&#1045;&#1064;&#1040;&#1050;&#1072;&#1083;&#1100;&#1082;&#1091;&#1083;&#1103;&#1090;&#1086;&#1088;%20&#1101;&#1082;&#1089;&#1087;&#1077;&#1076;&#1080;&#1094;&#1080;&#1103;%20&#1089;&#1090;&#1086;&#1088;&#1086;&#1085;&#1085;&#1080;&#1077;%20&#1087;&#1077;&#1088;&#1077;&#1074;&#1086;&#1079;&#1095;&#1080;&#1082;&#1080;%20&#1085;&#1072;%2004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йсы (до 130 км)"/>
      <sheetName val="Более 250 км."/>
      <sheetName val="от 130 до 250 км."/>
      <sheetName val="До 130 км."/>
      <sheetName val="СС 1 км."/>
      <sheetName val="80К"/>
      <sheetName val="Калькулятор"/>
      <sheetName val="Тягач+полуприцеп"/>
      <sheetName val="СС"/>
      <sheetName val="Инфо"/>
      <sheetName val="С грузом Без груза"/>
      <sheetName val="РейсыИстор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39.078055555555558</v>
          </cell>
        </row>
      </sheetData>
      <sheetData sheetId="9">
        <row r="4">
          <cell r="D4">
            <v>10</v>
          </cell>
        </row>
        <row r="8">
          <cell r="D8">
            <v>385</v>
          </cell>
        </row>
        <row r="10">
          <cell r="D10">
            <v>10</v>
          </cell>
        </row>
        <row r="12">
          <cell r="D12">
            <v>9500</v>
          </cell>
        </row>
        <row r="14">
          <cell r="D14">
            <v>40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латы"/>
      <sheetName val="0-99 км (130грн)"/>
      <sheetName val="100-199км (70 грн)"/>
      <sheetName val="от 200 км (60 грн)"/>
      <sheetName val="Тралы"/>
      <sheetName val="Мелкие грузы"/>
      <sheetName val="Топливо_200К"/>
      <sheetName val="ЛЕШАКалькулятор экспедиция ст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2423" displayName="Таблица22423" ref="A3:N96" totalsRowShown="0" headerRowDxfId="93" dataDxfId="91" headerRowBorderDxfId="92" tableBorderDxfId="90">
  <autoFilter ref="A3:N96" xr:uid="{00000000-0009-0000-0100-000002000000}"/>
  <tableColumns count="14">
    <tableColumn id="1" xr3:uid="{00000000-0010-0000-0000-000001000000}" name="Заказчик (объект)" dataDxfId="89"/>
    <tableColumn id="30" xr3:uid="{00000000-0010-0000-0000-00001E000000}" name="Перевозчик" dataDxfId="88"/>
    <tableColumn id="29" xr3:uid="{00000000-0010-0000-0000-00001D000000}" name="Месяц" dataDxfId="87"/>
    <tableColumn id="31" xr3:uid="{00000000-0010-0000-0000-00001F000000}" name="Дата  перевозки " dataDxfId="86"/>
    <tableColumn id="33" xr3:uid="{00000000-0010-0000-0000-000021000000}" name="Маршрут" dataDxfId="85"/>
    <tableColumn id="7" xr3:uid="{00000000-0010-0000-0000-000007000000}" name="Наименование груза" dataDxfId="84"/>
    <tableColumn id="9" xr3:uid="{00000000-0010-0000-0000-000009000000}" name="Стоимость, _x000a_грн" dataDxfId="83">
      <calculatedColumnFormula>#REF!*#REF!</calculatedColumnFormula>
    </tableColumn>
    <tableColumn id="13" xr3:uid="{00000000-0010-0000-0000-00000D000000}" name="Километраж, _x000a_км" dataDxfId="82">
      <calculatedColumnFormula>SUM(#REF!)</calculatedColumnFormula>
    </tableColumn>
    <tableColumn id="10" xr3:uid="{00000000-0010-0000-0000-00000A000000}" name="Доход, _x000a_грн/рейс" dataDxfId="81">
      <calculatedColumnFormula>Таблица22423[[#This Row],[Стоимость, 
грн]]</calculatedColumnFormula>
    </tableColumn>
    <tableColumn id="14" xr3:uid="{00000000-0010-0000-0000-00000E000000}" name="Фактическая стоимость для заказчика_x000a_грн/км" dataDxfId="80">
      <calculatedColumnFormula>Таблица22423[[#This Row],[Доход, 
грн/рейс]]/Таблица22423[[#This Row],[Километраж, 
км]]</calculatedColumnFormula>
    </tableColumn>
    <tableColumn id="19" xr3:uid="{00000000-0010-0000-0000-000013000000}" name="СС, _x000a_грн/рейс" dataDxfId="79"/>
    <tableColumn id="2" xr3:uid="{00000000-0010-0000-0000-000002000000}" name="Фактическая сс _x000a_грн/км2" dataDxfId="78">
      <calculatedColumnFormula>Таблица22423[[#This Row],[СС, 
грн/рейс]]/Таблица22423[[#This Row],[Километраж, 
км]]</calculatedColumnFormula>
    </tableColumn>
    <tableColumn id="24" xr3:uid="{00000000-0010-0000-0000-000018000000}" name="Маржинальная прибыль , _x000a_грн/рейс" dataDxfId="77">
      <calculatedColumnFormula>Таблица22423[[#This Row],[Доход, 
грн/рейс]]-Таблица22423[[#This Row],[СС, 
грн/рейс]]</calculatedColumnFormula>
    </tableColumn>
    <tableColumn id="22" xr3:uid="{00000000-0010-0000-0000-000016000000}" name="Комментарии" dataDxfId="7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аблица22424" displayName="Таблица22424" ref="A3:N101" totalsRowShown="0" headerRowDxfId="75" dataDxfId="73" headerRowBorderDxfId="74" tableBorderDxfId="72">
  <autoFilter ref="A3:N101" xr:uid="{00000000-0009-0000-0100-000003000000}">
    <filterColumn colId="0">
      <filters>
        <filter val="Глобино"/>
      </filters>
    </filterColumn>
  </autoFilter>
  <tableColumns count="14">
    <tableColumn id="1" xr3:uid="{00000000-0010-0000-0100-000001000000}" name="Заказчик (объект)" dataDxfId="71"/>
    <tableColumn id="30" xr3:uid="{00000000-0010-0000-0100-00001E000000}" name="Перевозчик" dataDxfId="70"/>
    <tableColumn id="29" xr3:uid="{00000000-0010-0000-0100-00001D000000}" name="Месяц" dataDxfId="69"/>
    <tableColumn id="31" xr3:uid="{00000000-0010-0000-0100-00001F000000}" name="Дата  перевозки " dataDxfId="68"/>
    <tableColumn id="33" xr3:uid="{00000000-0010-0000-0100-000021000000}" name="Маршрут" dataDxfId="67"/>
    <tableColumn id="7" xr3:uid="{00000000-0010-0000-0100-000007000000}" name="Наименование груза" dataDxfId="66"/>
    <tableColumn id="9" xr3:uid="{00000000-0010-0000-0100-000009000000}" name="Стоимость, _x000a_грн" dataDxfId="65">
      <calculatedColumnFormula>#REF!*#REF!</calculatedColumnFormula>
    </tableColumn>
    <tableColumn id="13" xr3:uid="{00000000-0010-0000-0100-00000D000000}" name="Километраж, _x000a_км" dataDxfId="64">
      <calculatedColumnFormula>SUM(#REF!)</calculatedColumnFormula>
    </tableColumn>
    <tableColumn id="10" xr3:uid="{00000000-0010-0000-0100-00000A000000}" name="Доход, _x000a_грн/рейс" dataDxfId="63">
      <calculatedColumnFormula>Таблица22424[[#This Row],[Стоимость, 
грн]]</calculatedColumnFormula>
    </tableColumn>
    <tableColumn id="14" xr3:uid="{00000000-0010-0000-0100-00000E000000}" name="Фактическая стоимость для заказчика_x000a_грн/км" dataDxfId="62">
      <calculatedColumnFormula>Таблица22424[[#This Row],[Доход, 
грн/рейс]]/Таблица22424[[#This Row],[Километраж, 
км]]</calculatedColumnFormula>
    </tableColumn>
    <tableColumn id="19" xr3:uid="{00000000-0010-0000-0100-000013000000}" name="СС, _x000a_грн/рейс" dataDxfId="61"/>
    <tableColumn id="2" xr3:uid="{00000000-0010-0000-0100-000002000000}" name="Фактическая сс _x000a_грн/км2" dataDxfId="60">
      <calculatedColumnFormula>Таблица22424[[#This Row],[СС, 
грн/рейс]]/Таблица22424[[#This Row],[Километраж, 
км]]</calculatedColumnFormula>
    </tableColumn>
    <tableColumn id="24" xr3:uid="{00000000-0010-0000-0100-000018000000}" name="Маржинальная прибыль , _x000a_грн/рейс" dataDxfId="59">
      <calculatedColumnFormula>Таблица22424[[#This Row],[Доход, 
грн/рейс]]-Таблица22424[[#This Row],[СС, 
грн/рейс]]</calculatedColumnFormula>
    </tableColumn>
    <tableColumn id="22" xr3:uid="{00000000-0010-0000-0100-000016000000}" name="Комментарии" dataDxfId="58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Таблица22425" displayName="Таблица22425" ref="A3:O210" totalsRowShown="0" headerRowDxfId="57" dataDxfId="55" headerRowBorderDxfId="56" tableBorderDxfId="54">
  <autoFilter ref="A3:O210" xr:uid="{00000000-0009-0000-0100-000004000000}">
    <filterColumn colId="1">
      <colorFilter dxfId="0"/>
    </filterColumn>
  </autoFilter>
  <tableColumns count="15">
    <tableColumn id="1" xr3:uid="{00000000-0010-0000-0200-000001000000}" name="Заказчик (объект)" dataDxfId="53"/>
    <tableColumn id="30" xr3:uid="{00000000-0010-0000-0200-00001E000000}" name="Перевозчик" dataDxfId="52"/>
    <tableColumn id="29" xr3:uid="{00000000-0010-0000-0200-00001D000000}" name="Месяц" dataDxfId="51"/>
    <tableColumn id="31" xr3:uid="{00000000-0010-0000-0200-00001F000000}" name="Дата  перевозки " dataDxfId="50"/>
    <tableColumn id="33" xr3:uid="{00000000-0010-0000-0200-000021000000}" name="Маршрут" dataDxfId="49"/>
    <tableColumn id="7" xr3:uid="{00000000-0010-0000-0200-000007000000}" name="Наименование груза" dataDxfId="48"/>
    <tableColumn id="9" xr3:uid="{00000000-0010-0000-0200-000009000000}" name="Стоимость, _x000a_грн" dataDxfId="47">
      <calculatedColumnFormula>#REF!*#REF!</calculatedColumnFormula>
    </tableColumn>
    <tableColumn id="13" xr3:uid="{00000000-0010-0000-0200-00000D000000}" name="Километраж, _x000a_км" dataDxfId="46">
      <calculatedColumnFormula>SUM(#REF!)</calculatedColumnFormula>
    </tableColumn>
    <tableColumn id="10" xr3:uid="{00000000-0010-0000-0200-00000A000000}" name="Доход, _x000a_грн/рейс" dataDxfId="45">
      <calculatedColumnFormula>Таблица22425[[#This Row],[Стоимость, 
грн]]</calculatedColumnFormula>
    </tableColumn>
    <tableColumn id="14" xr3:uid="{00000000-0010-0000-0200-00000E000000}" name="Фактическая стоимость для заказчика_x000a_грн/км" dataDxfId="44">
      <calculatedColumnFormula>Таблица22425[[#This Row],[Доход, 
грн/рейс]]/Таблица22425[[#This Row],[Километраж, 
км]]</calculatedColumnFormula>
    </tableColumn>
    <tableColumn id="19" xr3:uid="{00000000-0010-0000-0200-000013000000}" name="СС, _x000a_грн/рейс" dataDxfId="43"/>
    <tableColumn id="2" xr3:uid="{00000000-0010-0000-0200-000002000000}" name="Фактическая сс _x000a_грн/км2" dataDxfId="42">
      <calculatedColumnFormula>Таблица22425[[#This Row],[СС, 
грн/рейс]]/Таблица22425[[#This Row],[Километраж, 
км]]</calculatedColumnFormula>
    </tableColumn>
    <tableColumn id="24" xr3:uid="{00000000-0010-0000-0200-000018000000}" name="Маржинальная прибыль , _x000a_грн/рейс" dataDxfId="41">
      <calculatedColumnFormula>Таблица22425[[#This Row],[Доход, 
грн/рейс]]-Таблица22425[[#This Row],[СС, 
грн/рейс]]</calculatedColumnFormula>
    </tableColumn>
    <tableColumn id="22" xr3:uid="{00000000-0010-0000-0200-000016000000}" name="Комментарии" dataDxfId="40"/>
    <tableColumn id="3" xr3:uid="{00000000-0010-0000-0200-000003000000}" name="Столбец1" dataDxfId="39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Таблица22426" displayName="Таблица22426" ref="A3:N219" totalsRowShown="0" headerRowDxfId="38" dataDxfId="36" headerRowBorderDxfId="37" tableBorderDxfId="35">
  <autoFilter ref="A3:N219" xr:uid="{00000000-0009-0000-0100-000005000000}">
    <filterColumn colId="2">
      <filters blank="1">
        <dateGroupItem year="2025" dateTimeGrouping="year"/>
      </filters>
    </filterColumn>
    <filterColumn colId="3">
      <filters>
        <filter val="06.03 - 07.03"/>
      </filters>
    </filterColumn>
  </autoFilter>
  <tableColumns count="14">
    <tableColumn id="1" xr3:uid="{00000000-0010-0000-0300-000001000000}" name="Заказчик (объект)" dataDxfId="34"/>
    <tableColumn id="30" xr3:uid="{00000000-0010-0000-0300-00001E000000}" name="Перевозчик" dataDxfId="33"/>
    <tableColumn id="29" xr3:uid="{00000000-0010-0000-0300-00001D000000}" name="Месяц" dataDxfId="32"/>
    <tableColumn id="31" xr3:uid="{00000000-0010-0000-0300-00001F000000}" name="Дата  перевозки " dataDxfId="31"/>
    <tableColumn id="33" xr3:uid="{00000000-0010-0000-0300-000021000000}" name="Маршрут" dataDxfId="30"/>
    <tableColumn id="7" xr3:uid="{00000000-0010-0000-0300-000007000000}" name="Наименование груза" dataDxfId="29"/>
    <tableColumn id="9" xr3:uid="{00000000-0010-0000-0300-000009000000}" name="Стоимость, _x000a_грн" dataDxfId="28">
      <calculatedColumnFormula>#REF!*#REF!</calculatedColumnFormula>
    </tableColumn>
    <tableColumn id="13" xr3:uid="{00000000-0010-0000-0300-00000D000000}" name="Километраж, _x000a_км" dataDxfId="27">
      <calculatedColumnFormula>SUM(#REF!)</calculatedColumnFormula>
    </tableColumn>
    <tableColumn id="10" xr3:uid="{00000000-0010-0000-0300-00000A000000}" name="Доход, _x000a_грн/рейс" dataDxfId="26">
      <calculatedColumnFormula>Таблица22426[[#This Row],[Стоимость, 
грн]]</calculatedColumnFormula>
    </tableColumn>
    <tableColumn id="14" xr3:uid="{00000000-0010-0000-0300-00000E000000}" name="Фактическая стоимость для заказчика_x000a_грн/км" dataDxfId="25">
      <calculatedColumnFormula>Таблица22426[[#This Row],[Доход, 
грн/рейс]]/Таблица22426[[#This Row],[Километраж, 
км]]</calculatedColumnFormula>
    </tableColumn>
    <tableColumn id="19" xr3:uid="{00000000-0010-0000-0300-000013000000}" name="СС, _x000a_грн/рейс" dataDxfId="24"/>
    <tableColumn id="2" xr3:uid="{00000000-0010-0000-0300-000002000000}" name="Фактическая сс _x000a_грн/км2" dataDxfId="23">
      <calculatedColumnFormula>Таблица22426[[#This Row],[СС, 
грн/рейс]]/Таблица22426[[#This Row],[Километраж, 
км]]</calculatedColumnFormula>
    </tableColumn>
    <tableColumn id="24" xr3:uid="{00000000-0010-0000-0300-000018000000}" name="Маржинальная прибыль , _x000a_грн/рейс" dataDxfId="22">
      <calculatedColumnFormula>Таблица22426[[#This Row],[Доход, 
грн/рейс]]-Таблица22426[[#This Row],[СС, 
грн/рейс]]</calculatedColumnFormula>
    </tableColumn>
    <tableColumn id="22" xr3:uid="{00000000-0010-0000-0300-000016000000}" name="Комментарии" dataDxfId="21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Таблица224267" displayName="Таблица224267" ref="A3:O289" totalsRowShown="0" headerRowDxfId="20" dataDxfId="18" headerRowBorderDxfId="19" tableBorderDxfId="17">
  <autoFilter ref="A3:O289" xr:uid="{00000000-0009-0000-0100-000006000000}">
    <filterColumn colId="2">
      <filters blank="1">
        <dateGroupItem year="2025" dateTimeGrouping="year"/>
      </filters>
    </filterColumn>
    <filterColumn colId="3">
      <filters>
        <filter val="03.03 - 03.03"/>
        <filter val="04.03 - 04.03"/>
        <filter val="05.03 - 05.03"/>
        <filter val="06.03 - 06.03"/>
        <filter val="07.03 - 07.03"/>
        <filter val="10.03 - 10.03"/>
        <filter val="11.03 - 11.03"/>
        <filter val="12.03 - 12.03"/>
        <filter val="13.03 - 13.03"/>
      </filters>
    </filterColumn>
  </autoFilter>
  <tableColumns count="15">
    <tableColumn id="1" xr3:uid="{00000000-0010-0000-0400-000001000000}" name="Заказчик (объект)" dataDxfId="16"/>
    <tableColumn id="30" xr3:uid="{00000000-0010-0000-0400-00001E000000}" name="Перевозчик" dataDxfId="15"/>
    <tableColumn id="29" xr3:uid="{00000000-0010-0000-0400-00001D000000}" name="Месяц" dataDxfId="14"/>
    <tableColumn id="31" xr3:uid="{00000000-0010-0000-0400-00001F000000}" name="Дата  перевозки " dataDxfId="13"/>
    <tableColumn id="33" xr3:uid="{00000000-0010-0000-0400-000021000000}" name="Маршрут" dataDxfId="12"/>
    <tableColumn id="7" xr3:uid="{00000000-0010-0000-0400-000007000000}" name="Наименование груза" dataDxfId="11"/>
    <tableColumn id="9" xr3:uid="{00000000-0010-0000-0400-000009000000}" name="Стоимость, _x000a_грн" dataDxfId="10">
      <calculatedColumnFormula>#REF!*#REF!</calculatedColumnFormula>
    </tableColumn>
    <tableColumn id="13" xr3:uid="{00000000-0010-0000-0400-00000D000000}" name="Километраж, _x000a_км" dataDxfId="9">
      <calculatedColumnFormula>SUM(#REF!)</calculatedColumnFormula>
    </tableColumn>
    <tableColumn id="10" xr3:uid="{00000000-0010-0000-0400-00000A000000}" name="Доход, _x000a_грн/рейс" dataDxfId="8">
      <calculatedColumnFormula>Таблица224267[[#This Row],[Стоимость, 
грн]]</calculatedColumnFormula>
    </tableColumn>
    <tableColumn id="14" xr3:uid="{00000000-0010-0000-0400-00000E000000}" name="Фактическая стоимость для заказчика_x000a_грн/км" dataDxfId="7"/>
    <tableColumn id="19" xr3:uid="{00000000-0010-0000-0400-000013000000}" name="СС, _x000a_грн/рейс" dataDxfId="6"/>
    <tableColumn id="2" xr3:uid="{00000000-0010-0000-0400-000002000000}" name="Фактическая сс _x000a_грн/км2" dataDxfId="5"/>
    <tableColumn id="24" xr3:uid="{00000000-0010-0000-0400-000018000000}" name="Маржинальная прибыль , _x000a_грн/рейс" dataDxfId="4"/>
    <tableColumn id="22" xr3:uid="{00000000-0010-0000-0400-000016000000}" name="Комментарии" dataDxfId="3"/>
    <tableColumn id="3" xr3:uid="{00000000-0010-0000-0400-000003000000}" name="Столбец1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8"/>
  <sheetViews>
    <sheetView workbookViewId="0">
      <selection activeCell="C30" sqref="C30"/>
    </sheetView>
  </sheetViews>
  <sheetFormatPr defaultRowHeight="14.4" outlineLevelRow="1" x14ac:dyDescent="0.3"/>
  <cols>
    <col min="1" max="1" width="35.21875" customWidth="1"/>
    <col min="2" max="2" width="26.77734375" customWidth="1"/>
    <col min="3" max="3" width="19.5546875" customWidth="1"/>
    <col min="4" max="4" width="24.33203125" customWidth="1"/>
    <col min="5" max="5" width="11.33203125" bestFit="1" customWidth="1"/>
    <col min="6" max="6" width="11.77734375" customWidth="1"/>
  </cols>
  <sheetData>
    <row r="2" spans="1:7" ht="8.4" customHeight="1" x14ac:dyDescent="0.3"/>
    <row r="3" spans="1:7" hidden="1" x14ac:dyDescent="0.3"/>
    <row r="4" spans="1:7" ht="30" customHeight="1" x14ac:dyDescent="0.3">
      <c r="A4" s="68" t="s">
        <v>54</v>
      </c>
      <c r="B4" s="68" t="s">
        <v>56</v>
      </c>
      <c r="C4" s="68" t="s">
        <v>118</v>
      </c>
      <c r="D4" s="68" t="s">
        <v>57</v>
      </c>
    </row>
    <row r="5" spans="1:7" x14ac:dyDescent="0.3">
      <c r="A5" s="66" t="s">
        <v>73</v>
      </c>
      <c r="B5" s="76" t="e">
        <f>SUM(Таблица22423[Стоимость, 
грн])+SUM(Таблица22424[Стоимость, 
грн])+SUM(Таблица22425[Стоимость, 
грн])+SUM(Таблица22426[Стоимость, 
грн])+SUM(Таблица224267[Стоимость, 
грн])</f>
        <v>#REF!</v>
      </c>
      <c r="C5" s="76">
        <f>SUM(C6:C14)</f>
        <v>5359670</v>
      </c>
      <c r="D5" s="76" t="e">
        <f>B5-C5</f>
        <v>#REF!</v>
      </c>
      <c r="E5" s="15"/>
      <c r="F5" s="15"/>
      <c r="G5" s="15"/>
    </row>
    <row r="6" spans="1:7" hidden="1" outlineLevel="1" x14ac:dyDescent="0.3">
      <c r="A6" s="75" t="s">
        <v>172</v>
      </c>
      <c r="B6" s="67">
        <f>23200+22500+14000+81000+5700</f>
        <v>146400</v>
      </c>
      <c r="C6" s="67">
        <v>123200</v>
      </c>
      <c r="D6" s="76"/>
      <c r="E6" s="15"/>
      <c r="F6" s="15"/>
      <c r="G6" s="15"/>
    </row>
    <row r="7" spans="1:7" hidden="1" outlineLevel="1" x14ac:dyDescent="0.3">
      <c r="A7" s="75" t="s">
        <v>173</v>
      </c>
      <c r="B7" s="67">
        <f>56350+7800+18000+117150+12800</f>
        <v>212100</v>
      </c>
      <c r="C7" s="67">
        <v>212180</v>
      </c>
      <c r="D7" s="76"/>
      <c r="E7" s="15"/>
      <c r="F7" s="15"/>
      <c r="G7" s="15"/>
    </row>
    <row r="8" spans="1:7" hidden="1" outlineLevel="1" x14ac:dyDescent="0.3">
      <c r="A8" s="75" t="s">
        <v>174</v>
      </c>
      <c r="B8" s="67">
        <f>32950+8800+56490+39200+23550</f>
        <v>160990</v>
      </c>
      <c r="C8" s="67">
        <v>129160</v>
      </c>
      <c r="D8" s="76"/>
      <c r="E8" s="15"/>
      <c r="F8" s="15"/>
      <c r="G8" s="15"/>
    </row>
    <row r="9" spans="1:7" hidden="1" outlineLevel="1" x14ac:dyDescent="0.3">
      <c r="A9" s="75" t="s">
        <v>210</v>
      </c>
      <c r="B9" s="67">
        <f>101000+84450+329900+164500+30250</f>
        <v>710100</v>
      </c>
      <c r="C9" s="67">
        <v>398600</v>
      </c>
      <c r="D9" s="76"/>
      <c r="E9" s="15"/>
      <c r="F9" s="15"/>
      <c r="G9" s="15"/>
    </row>
    <row r="10" spans="1:7" hidden="1" outlineLevel="1" x14ac:dyDescent="0.3">
      <c r="A10" s="75" t="s">
        <v>263</v>
      </c>
      <c r="B10" s="67">
        <f>29000+39250+400450+176050+42750+250</f>
        <v>687750</v>
      </c>
      <c r="C10" s="67">
        <v>560930</v>
      </c>
      <c r="D10" s="76"/>
      <c r="E10" s="15"/>
      <c r="F10" s="15"/>
      <c r="G10" s="15"/>
    </row>
    <row r="11" spans="1:7" hidden="1" outlineLevel="1" collapsed="1" x14ac:dyDescent="0.3">
      <c r="A11" s="75" t="s">
        <v>368</v>
      </c>
      <c r="B11" s="67">
        <f>48500+30350+1219150+556980+32800+11000+64350</f>
        <v>1963130</v>
      </c>
      <c r="C11" s="67">
        <v>1279025</v>
      </c>
      <c r="D11" s="83"/>
      <c r="E11" s="15"/>
      <c r="F11" s="15"/>
      <c r="G11" s="15"/>
    </row>
    <row r="12" spans="1:7" hidden="1" outlineLevel="1" x14ac:dyDescent="0.3">
      <c r="A12" s="75" t="s">
        <v>551</v>
      </c>
      <c r="B12" s="67">
        <f>43400+40650+867250+349650+28000</f>
        <v>1328950</v>
      </c>
      <c r="C12" s="67">
        <v>1389835</v>
      </c>
      <c r="D12" s="83"/>
      <c r="E12" s="15"/>
      <c r="F12" s="15"/>
      <c r="G12" s="15"/>
    </row>
    <row r="13" spans="1:7" collapsed="1" x14ac:dyDescent="0.3">
      <c r="A13" s="159" t="s">
        <v>644</v>
      </c>
      <c r="B13" s="160">
        <f>42050+36550+112200+340500+18650</f>
        <v>549950</v>
      </c>
      <c r="C13" s="160">
        <v>683870</v>
      </c>
      <c r="D13" s="83"/>
      <c r="E13" s="15"/>
      <c r="F13" s="15"/>
      <c r="G13" s="15"/>
    </row>
    <row r="14" spans="1:7" x14ac:dyDescent="0.3">
      <c r="A14" s="159" t="s">
        <v>695</v>
      </c>
      <c r="B14" s="160">
        <f>31350+26200+114950+111050+18500</f>
        <v>302050</v>
      </c>
      <c r="C14" s="160">
        <v>582870</v>
      </c>
      <c r="D14" s="83"/>
      <c r="E14" s="15"/>
      <c r="F14" s="15"/>
      <c r="G14" s="15"/>
    </row>
    <row r="15" spans="1:7" ht="28.8" x14ac:dyDescent="0.3">
      <c r="A15" s="82" t="s">
        <v>55</v>
      </c>
      <c r="B15" s="83">
        <f>'0-99 км (130грн)'!K2+'100-199км (70 грн)'!K2+'от 200 км (60 грн)'!K2+' Трали Спецтехника'!K2+'Мелкие грузы'!K2</f>
        <v>8257505</v>
      </c>
      <c r="C15" s="83">
        <f>SUM(C16:C24)</f>
        <v>4344441.5999999996</v>
      </c>
      <c r="D15" s="83">
        <f>B15-C15</f>
        <v>3913063.4000000004</v>
      </c>
    </row>
    <row r="16" spans="1:7" hidden="1" outlineLevel="1" x14ac:dyDescent="0.3">
      <c r="A16" s="75" t="s">
        <v>172</v>
      </c>
      <c r="B16" s="67">
        <f>20300+21000+11000+65600+5500</f>
        <v>123400</v>
      </c>
      <c r="C16" s="67">
        <v>60600</v>
      </c>
      <c r="D16" s="76"/>
      <c r="E16" s="15"/>
      <c r="F16" s="15"/>
      <c r="G16" s="15"/>
    </row>
    <row r="17" spans="1:7" hidden="1" outlineLevel="1" x14ac:dyDescent="0.3">
      <c r="A17" s="75" t="s">
        <v>173</v>
      </c>
      <c r="B17" s="67">
        <f>48150+7000+16000+106500+11900</f>
        <v>189550</v>
      </c>
      <c r="C17" s="67">
        <v>151440</v>
      </c>
      <c r="D17" s="76"/>
      <c r="E17" s="15"/>
      <c r="F17" s="15"/>
      <c r="G17" s="15"/>
    </row>
    <row r="18" spans="1:7" hidden="1" outlineLevel="1" x14ac:dyDescent="0.3">
      <c r="A18" s="75" t="s">
        <v>174</v>
      </c>
      <c r="B18" s="67">
        <f>29500+8000+48490+34000+21400</f>
        <v>141390</v>
      </c>
      <c r="C18" s="67">
        <v>94000</v>
      </c>
      <c r="D18" s="76"/>
      <c r="E18" s="15"/>
      <c r="F18" s="15"/>
      <c r="G18" s="15"/>
    </row>
    <row r="19" spans="1:7" hidden="1" outlineLevel="1" x14ac:dyDescent="0.3">
      <c r="A19" s="75" t="s">
        <v>210</v>
      </c>
      <c r="B19" s="67">
        <f>90200+77500+286700+150000+26000</f>
        <v>630400</v>
      </c>
      <c r="C19" s="67">
        <v>266800</v>
      </c>
      <c r="D19" s="76"/>
      <c r="E19" s="15"/>
      <c r="F19" s="15"/>
      <c r="G19" s="15"/>
    </row>
    <row r="20" spans="1:7" hidden="1" outlineLevel="1" x14ac:dyDescent="0.3">
      <c r="A20" s="75" t="s">
        <v>263</v>
      </c>
      <c r="B20" s="67">
        <f>25000+35700+377500+167900+38700</f>
        <v>644800</v>
      </c>
      <c r="C20" s="67">
        <v>329300</v>
      </c>
      <c r="D20" s="76"/>
      <c r="E20" s="15"/>
      <c r="F20" s="15"/>
      <c r="G20" s="15"/>
    </row>
    <row r="21" spans="1:7" hidden="1" outlineLevel="1" collapsed="1" x14ac:dyDescent="0.3">
      <c r="A21" s="75" t="s">
        <v>368</v>
      </c>
      <c r="B21" s="67">
        <f>56000+28200+1122500+448115+29700+61300</f>
        <v>1745815</v>
      </c>
      <c r="C21" s="67">
        <v>1041700</v>
      </c>
      <c r="D21" s="76"/>
      <c r="E21" s="15"/>
      <c r="F21" s="15"/>
      <c r="G21" s="15"/>
    </row>
    <row r="22" spans="1:7" hidden="1" outlineLevel="1" x14ac:dyDescent="0.3">
      <c r="A22" s="75" t="s">
        <v>551</v>
      </c>
      <c r="B22" s="67">
        <f>40500+37700+811300+313900+25200</f>
        <v>1228600</v>
      </c>
      <c r="C22" s="67">
        <v>1240200</v>
      </c>
      <c r="D22" s="76"/>
      <c r="E22" s="15"/>
      <c r="F22" s="15"/>
      <c r="G22" s="15"/>
    </row>
    <row r="23" spans="1:7" collapsed="1" x14ac:dyDescent="0.3">
      <c r="A23" s="75" t="s">
        <v>644</v>
      </c>
      <c r="B23" s="67">
        <f>38500+33400+106000+305200+16800</f>
        <v>499900</v>
      </c>
      <c r="C23" s="67">
        <v>729201.6</v>
      </c>
      <c r="D23" s="76"/>
      <c r="E23" s="15"/>
      <c r="F23" s="15"/>
      <c r="G23" s="15"/>
    </row>
    <row r="24" spans="1:7" x14ac:dyDescent="0.3">
      <c r="A24" s="75" t="s">
        <v>695</v>
      </c>
      <c r="B24" s="67">
        <f>29000+25500+107000+105800+16900</f>
        <v>284200</v>
      </c>
      <c r="C24" s="67">
        <v>431200</v>
      </c>
      <c r="D24" s="76"/>
      <c r="E24" s="15"/>
      <c r="F24" s="15"/>
      <c r="G24" s="15"/>
    </row>
    <row r="25" spans="1:7" x14ac:dyDescent="0.3">
      <c r="A25" s="69" t="s">
        <v>732</v>
      </c>
      <c r="B25" s="15"/>
      <c r="C25" s="15"/>
      <c r="D25" s="15"/>
    </row>
    <row r="26" spans="1:7" x14ac:dyDescent="0.3">
      <c r="B26" s="15"/>
      <c r="D26" s="15"/>
    </row>
    <row r="30" spans="1:7" x14ac:dyDescent="0.3">
      <c r="B30" s="105"/>
      <c r="C30" s="105"/>
      <c r="D30" s="106"/>
      <c r="E30" s="107"/>
      <c r="F30" s="105"/>
      <c r="G30" s="105"/>
    </row>
    <row r="31" spans="1:7" ht="15" hidden="1" outlineLevel="1" thickBot="1" x14ac:dyDescent="0.35">
      <c r="B31" s="108" t="s">
        <v>369</v>
      </c>
      <c r="C31" s="109" t="e">
        <f>D5</f>
        <v>#REF!</v>
      </c>
      <c r="D31" s="110"/>
      <c r="E31" s="105"/>
      <c r="F31" s="105"/>
      <c r="G31" s="105"/>
    </row>
    <row r="32" spans="1:7" ht="15" hidden="1" outlineLevel="1" thickTop="1" x14ac:dyDescent="0.3">
      <c r="B32" s="111"/>
      <c r="C32" s="111"/>
      <c r="D32" s="112" t="s">
        <v>370</v>
      </c>
      <c r="E32" s="105"/>
      <c r="F32" s="105"/>
      <c r="G32" s="105"/>
    </row>
    <row r="33" spans="2:7" ht="15" hidden="1" outlineLevel="1" thickBot="1" x14ac:dyDescent="0.35">
      <c r="B33" s="108" t="s">
        <v>371</v>
      </c>
      <c r="C33" s="113">
        <f>D15</f>
        <v>3913063.4000000004</v>
      </c>
      <c r="D33" s="113"/>
      <c r="E33" s="105"/>
      <c r="F33" s="105"/>
      <c r="G33" s="105"/>
    </row>
    <row r="34" spans="2:7" ht="15" hidden="1" outlineLevel="1" thickTop="1" x14ac:dyDescent="0.3">
      <c r="B34" s="105"/>
      <c r="C34" s="105"/>
      <c r="D34" s="105"/>
      <c r="E34" s="105"/>
      <c r="F34" s="105"/>
      <c r="G34" s="105"/>
    </row>
    <row r="35" spans="2:7" ht="15" hidden="1" outlineLevel="1" thickBot="1" x14ac:dyDescent="0.35">
      <c r="B35" s="114" t="s">
        <v>376</v>
      </c>
      <c r="C35" s="115">
        <v>521930</v>
      </c>
      <c r="D35" s="105"/>
      <c r="E35" s="105"/>
      <c r="F35" s="105"/>
      <c r="G35" s="105"/>
    </row>
    <row r="36" spans="2:7" ht="15" hidden="1" outlineLevel="1" thickTop="1" x14ac:dyDescent="0.3">
      <c r="B36" t="s">
        <v>375</v>
      </c>
      <c r="C36" s="116">
        <f>C11</f>
        <v>1279025</v>
      </c>
      <c r="D36" s="105"/>
      <c r="E36" s="105"/>
      <c r="F36" s="105"/>
      <c r="G36" s="105"/>
    </row>
    <row r="37" spans="2:7" hidden="1" outlineLevel="1" x14ac:dyDescent="0.3">
      <c r="B37" t="s">
        <v>377</v>
      </c>
      <c r="C37" s="116">
        <f>C21</f>
        <v>1041700</v>
      </c>
      <c r="D37" s="105"/>
      <c r="E37" s="105"/>
      <c r="F37" s="105"/>
      <c r="G37" s="105"/>
    </row>
    <row r="38" spans="2:7" hidden="1" outlineLevel="1" x14ac:dyDescent="0.3">
      <c r="B38" t="s">
        <v>372</v>
      </c>
      <c r="C38" s="116"/>
      <c r="D38" s="105"/>
      <c r="E38" s="105"/>
      <c r="F38" s="105"/>
      <c r="G38" s="105"/>
    </row>
    <row r="39" spans="2:7" ht="15" hidden="1" outlineLevel="1" thickBot="1" x14ac:dyDescent="0.35">
      <c r="B39" s="117" t="s">
        <v>378</v>
      </c>
      <c r="C39" s="118">
        <f>C36-C37-C38</f>
        <v>237325</v>
      </c>
      <c r="D39" s="106"/>
      <c r="E39" s="106"/>
      <c r="F39" s="107"/>
      <c r="G39" s="105"/>
    </row>
    <row r="40" spans="2:7" ht="15" hidden="1" outlineLevel="1" thickTop="1" x14ac:dyDescent="0.3">
      <c r="C40" s="116"/>
      <c r="D40" s="105"/>
      <c r="E40" s="106">
        <f>-(35000+350+15000+600)*5</f>
        <v>-254750</v>
      </c>
      <c r="F40" s="105" t="s">
        <v>379</v>
      </c>
      <c r="G40" s="105"/>
    </row>
    <row r="41" spans="2:7" hidden="1" outlineLevel="1" x14ac:dyDescent="0.3">
      <c r="C41" s="116"/>
      <c r="D41" s="105"/>
      <c r="E41" s="106"/>
      <c r="F41" s="105"/>
      <c r="G41" s="105"/>
    </row>
    <row r="42" spans="2:7" hidden="1" outlineLevel="1" x14ac:dyDescent="0.3">
      <c r="B42" s="119" t="s">
        <v>373</v>
      </c>
      <c r="C42" s="120">
        <f>D28+H28+L28</f>
        <v>0</v>
      </c>
      <c r="D42" s="105"/>
      <c r="E42" s="105"/>
      <c r="F42" s="105"/>
      <c r="G42" s="105"/>
    </row>
    <row r="43" spans="2:7" hidden="1" outlineLevel="1" x14ac:dyDescent="0.3">
      <c r="B43" s="119"/>
      <c r="C43" s="121"/>
      <c r="D43" s="105"/>
      <c r="E43" s="105"/>
      <c r="F43" s="105"/>
      <c r="G43" s="105"/>
    </row>
    <row r="44" spans="2:7" ht="15" hidden="1" outlineLevel="1" thickBot="1" x14ac:dyDescent="0.35">
      <c r="B44" s="108" t="s">
        <v>374</v>
      </c>
      <c r="C44" s="109" t="e">
        <f>C31-C33+C35+C42+C39</f>
        <v>#REF!</v>
      </c>
      <c r="D44" s="105"/>
      <c r="E44" s="105"/>
      <c r="F44" s="105"/>
      <c r="G44" s="105"/>
    </row>
    <row r="45" spans="2:7" ht="15" hidden="1" outlineLevel="1" thickTop="1" x14ac:dyDescent="0.3">
      <c r="C45" s="123" t="e">
        <f>C44+E40</f>
        <v>#REF!</v>
      </c>
    </row>
    <row r="46" spans="2:7" hidden="1" outlineLevel="1" x14ac:dyDescent="0.3"/>
    <row r="47" spans="2:7" hidden="1" outlineLevel="1" x14ac:dyDescent="0.3">
      <c r="C47" s="122"/>
    </row>
    <row r="48" spans="2:7" collapsed="1" x14ac:dyDescent="0.3"/>
  </sheetData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fitToPage="1"/>
  </sheetPr>
  <dimension ref="A1:N9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4" sqref="D24"/>
    </sheetView>
  </sheetViews>
  <sheetFormatPr defaultRowHeight="14.4" outlineLevelRow="1" outlineLevelCol="1" x14ac:dyDescent="0.3"/>
  <cols>
    <col min="1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32.55468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1" width="12.88671875" style="1" customWidth="1" outlineLevel="1"/>
    <col min="12" max="12" width="14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546" t="s">
        <v>58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thickBot="1" x14ac:dyDescent="0.3">
      <c r="A2" s="2"/>
      <c r="B2" s="2"/>
      <c r="C2" s="17"/>
      <c r="D2" s="19"/>
      <c r="E2" s="2"/>
      <c r="G2" s="3">
        <f>SUM(Таблица22423[[#All],[Стоимость, 
грн]])</f>
        <v>543210</v>
      </c>
      <c r="I2" s="3"/>
      <c r="J2" s="65"/>
      <c r="K2" s="3">
        <f>SUM(Таблица22423[[#All],[СС, 
грн/рейс]])</f>
        <v>488650</v>
      </c>
      <c r="L2" s="3"/>
      <c r="M2" s="3"/>
    </row>
    <row r="3" spans="1:14" s="23" customFormat="1" ht="58.8" customHeight="1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8" outlineLevel="1" thickTop="1" x14ac:dyDescent="0.25">
      <c r="A4" s="14" t="s">
        <v>13</v>
      </c>
      <c r="B4" s="62" t="s">
        <v>19</v>
      </c>
      <c r="C4" s="16">
        <v>45396</v>
      </c>
      <c r="D4" s="57" t="s">
        <v>25</v>
      </c>
      <c r="E4" s="24" t="s">
        <v>14</v>
      </c>
      <c r="F4" s="9" t="s">
        <v>40</v>
      </c>
      <c r="G4" s="64">
        <v>8200</v>
      </c>
      <c r="H4" s="11">
        <v>67</v>
      </c>
      <c r="I4" s="60">
        <f>Таблица22423[[#This Row],[Стоимость, 
грн]]</f>
        <v>8200</v>
      </c>
      <c r="J4" s="12">
        <f>Таблица22423[[#This Row],[Доход, 
грн/рейс]]/Таблица22423[[#This Row],[Километраж, 
км]]</f>
        <v>122.38805970149254</v>
      </c>
      <c r="K4" s="59">
        <v>7000</v>
      </c>
      <c r="L4" s="59">
        <f>Таблица22423[[#This Row],[СС, 
грн/рейс]]/Таблица22423[[#This Row],[Километраж, 
км]]</f>
        <v>104.4776119402985</v>
      </c>
      <c r="M4" s="26">
        <f>Таблица22423[[#This Row],[Доход, 
грн/рейс]]-Таблица22423[[#This Row],[СС, 
грн/рейс]]</f>
        <v>1200</v>
      </c>
      <c r="N4" s="24" t="s">
        <v>71</v>
      </c>
    </row>
    <row r="5" spans="1:14" ht="15" customHeight="1" outlineLevel="1" x14ac:dyDescent="0.25">
      <c r="A5" s="14" t="s">
        <v>13</v>
      </c>
      <c r="B5" s="62" t="s">
        <v>19</v>
      </c>
      <c r="C5" s="16">
        <v>45396</v>
      </c>
      <c r="D5" s="57" t="s">
        <v>26</v>
      </c>
      <c r="E5" s="24" t="s">
        <v>34</v>
      </c>
      <c r="F5" s="9" t="s">
        <v>40</v>
      </c>
      <c r="G5" s="64">
        <v>5500</v>
      </c>
      <c r="H5" s="11">
        <v>67</v>
      </c>
      <c r="I5" s="60">
        <f>Таблица22423[[#This Row],[Стоимость, 
грн]]</f>
        <v>5500</v>
      </c>
      <c r="J5" s="12">
        <f>Таблица22423[[#This Row],[Доход, 
грн/рейс]]/Таблица22423[[#This Row],[Километраж, 
км]]</f>
        <v>82.089552238805965</v>
      </c>
      <c r="K5" s="12">
        <v>4800</v>
      </c>
      <c r="L5" s="12">
        <f>Таблица22423[[#This Row],[СС, 
грн/рейс]]/Таблица22423[[#This Row],[Километраж, 
км]]</f>
        <v>71.641791044776113</v>
      </c>
      <c r="M5" s="26">
        <f>Таблица22423[[#This Row],[Доход, 
грн/рейс]]-Таблица22423[[#This Row],[СС, 
грн/рейс]]</f>
        <v>700</v>
      </c>
      <c r="N5" s="24" t="s">
        <v>70</v>
      </c>
    </row>
    <row r="6" spans="1:14" ht="13.8" customHeight="1" outlineLevel="1" x14ac:dyDescent="0.25">
      <c r="A6" s="14" t="s">
        <v>13</v>
      </c>
      <c r="B6" s="62" t="s">
        <v>19</v>
      </c>
      <c r="C6" s="25">
        <v>45396</v>
      </c>
      <c r="D6" s="57" t="s">
        <v>53</v>
      </c>
      <c r="E6" s="24" t="s">
        <v>34</v>
      </c>
      <c r="F6" s="9" t="s">
        <v>40</v>
      </c>
      <c r="G6" s="64">
        <v>9500</v>
      </c>
      <c r="H6" s="11">
        <v>67</v>
      </c>
      <c r="I6" s="60">
        <v>9500</v>
      </c>
      <c r="J6" s="72">
        <f>Таблица22423[[#This Row],[Доход, 
грн/рейс]]/Таблица22423[[#This Row],[Километраж, 
км]]</f>
        <v>141.79104477611941</v>
      </c>
      <c r="K6" s="12">
        <v>8500</v>
      </c>
      <c r="L6" s="12">
        <f>Таблица22423[[#This Row],[СС, 
грн/рейс]]/Таблица22423[[#This Row],[Километраж, 
км]]</f>
        <v>126.86567164179104</v>
      </c>
      <c r="M6" s="26">
        <f>Таблица22423[[#This Row],[Доход, 
грн/рейс]]-Таблица22423[[#This Row],[СС, 
грн/рейс]]</f>
        <v>1000</v>
      </c>
      <c r="N6" s="24" t="s">
        <v>70</v>
      </c>
    </row>
    <row r="7" spans="1:14" ht="13.2" outlineLevel="1" x14ac:dyDescent="0.25">
      <c r="A7" s="14" t="s">
        <v>13</v>
      </c>
      <c r="B7" s="62" t="s">
        <v>63</v>
      </c>
      <c r="C7" s="25">
        <v>45419</v>
      </c>
      <c r="D7" s="57" t="s">
        <v>64</v>
      </c>
      <c r="E7" s="24" t="s">
        <v>34</v>
      </c>
      <c r="F7" s="9" t="s">
        <v>40</v>
      </c>
      <c r="G7" s="73">
        <v>7100</v>
      </c>
      <c r="H7" s="11">
        <v>67</v>
      </c>
      <c r="I7" s="60">
        <f>Таблица22423[[#This Row],[Стоимость, 
грн]]</f>
        <v>7100</v>
      </c>
      <c r="J7" s="12">
        <f>Таблица22423[[#This Row],[Доход, 
грн/рейс]]/Таблица22423[[#This Row],[Километраж, 
км]]</f>
        <v>105.97014925373135</v>
      </c>
      <c r="K7" s="12">
        <v>6500</v>
      </c>
      <c r="L7" s="12">
        <f>Таблица22423[[#This Row],[СС, 
грн/рейс]]/Таблица22423[[#This Row],[Километраж, 
км]]</f>
        <v>97.014925373134332</v>
      </c>
      <c r="M7" s="26">
        <f>Таблица22423[[#This Row],[Доход, 
грн/рейс]]-Таблица22423[[#This Row],[СС, 
грн/рейс]]</f>
        <v>600</v>
      </c>
      <c r="N7" s="24" t="s">
        <v>122</v>
      </c>
    </row>
    <row r="8" spans="1:14" ht="13.2" outlineLevel="1" x14ac:dyDescent="0.25">
      <c r="A8" s="14" t="s">
        <v>13</v>
      </c>
      <c r="B8" s="62" t="s">
        <v>63</v>
      </c>
      <c r="C8" s="25">
        <v>45420</v>
      </c>
      <c r="D8" s="57" t="s">
        <v>74</v>
      </c>
      <c r="E8" s="24" t="s">
        <v>14</v>
      </c>
      <c r="F8" s="9" t="s">
        <v>40</v>
      </c>
      <c r="G8" s="73">
        <v>7100</v>
      </c>
      <c r="H8" s="11">
        <v>67</v>
      </c>
      <c r="I8" s="60">
        <f>Таблица22423[[#This Row],[Стоимость, 
грн]]</f>
        <v>7100</v>
      </c>
      <c r="J8" s="12">
        <f>Таблица22423[[#This Row],[Доход, 
грн/рейс]]/Таблица22423[[#This Row],[Километраж, 
км]]</f>
        <v>105.97014925373135</v>
      </c>
      <c r="K8" s="12">
        <v>6000</v>
      </c>
      <c r="L8" s="12">
        <f>Таблица22423[[#This Row],[СС, 
грн/рейс]]/Таблица22423[[#This Row],[Километраж, 
км]]</f>
        <v>89.552238805970148</v>
      </c>
      <c r="M8" s="26">
        <f>Таблица22423[[#This Row],[Доход, 
грн/рейс]]-Таблица22423[[#This Row],[СС, 
грн/рейс]]</f>
        <v>1100</v>
      </c>
      <c r="N8" s="24" t="s">
        <v>122</v>
      </c>
    </row>
    <row r="9" spans="1:14" ht="13.2" outlineLevel="1" x14ac:dyDescent="0.25">
      <c r="A9" s="14" t="s">
        <v>13</v>
      </c>
      <c r="B9" s="62" t="s">
        <v>63</v>
      </c>
      <c r="C9" s="25">
        <v>45420</v>
      </c>
      <c r="D9" s="57" t="s">
        <v>80</v>
      </c>
      <c r="E9" s="24" t="s">
        <v>14</v>
      </c>
      <c r="F9" s="9" t="s">
        <v>40</v>
      </c>
      <c r="G9" s="73">
        <v>6500</v>
      </c>
      <c r="H9" s="11">
        <v>67</v>
      </c>
      <c r="I9" s="60">
        <f>Таблица22423[[#This Row],[Стоимость, 
грн]]</f>
        <v>6500</v>
      </c>
      <c r="J9" s="12">
        <f>Таблица22423[[#This Row],[Доход, 
грн/рейс]]/Таблица22423[[#This Row],[Километраж, 
км]]</f>
        <v>97.014925373134332</v>
      </c>
      <c r="K9" s="12">
        <v>4000</v>
      </c>
      <c r="L9" s="12">
        <f>Таблица22423[[#This Row],[СС, 
грн/рейс]]/Таблица22423[[#This Row],[Километраж, 
км]]</f>
        <v>59.701492537313435</v>
      </c>
      <c r="M9" s="26">
        <f>Таблица22423[[#This Row],[Доход, 
грн/рейс]]-Таблица22423[[#This Row],[СС, 
грн/рейс]]</f>
        <v>2500</v>
      </c>
      <c r="N9" s="24" t="s">
        <v>97</v>
      </c>
    </row>
    <row r="10" spans="1:14" ht="13.2" outlineLevel="1" x14ac:dyDescent="0.25">
      <c r="A10" s="14" t="s">
        <v>82</v>
      </c>
      <c r="B10" s="62" t="s">
        <v>83</v>
      </c>
      <c r="C10" s="25">
        <v>45420</v>
      </c>
      <c r="D10" s="57" t="s">
        <v>84</v>
      </c>
      <c r="E10" s="24" t="s">
        <v>85</v>
      </c>
      <c r="F10" s="9" t="s">
        <v>86</v>
      </c>
      <c r="G10" s="73">
        <v>4650</v>
      </c>
      <c r="H10" s="11">
        <v>40</v>
      </c>
      <c r="I10" s="60">
        <f>Таблица22423[[#This Row],[Стоимость, 
грн]]</f>
        <v>4650</v>
      </c>
      <c r="J10" s="12">
        <f>Таблица22423[[#This Row],[Доход, 
грн/рейс]]/Таблица22423[[#This Row],[Километраж, 
км]]</f>
        <v>116.25</v>
      </c>
      <c r="K10" s="12">
        <v>4650</v>
      </c>
      <c r="L10" s="12">
        <f>Таблица22423[[#This Row],[СС, 
грн/рейс]]/Таблица22423[[#This Row],[Километраж, 
км]]</f>
        <v>116.25</v>
      </c>
      <c r="M10" s="26">
        <f>Таблица22423[[#This Row],[Доход, 
грн/рейс]]-Таблица22423[[#This Row],[СС, 
грн/рейс]]</f>
        <v>0</v>
      </c>
      <c r="N10" s="24" t="s">
        <v>115</v>
      </c>
    </row>
    <row r="11" spans="1:14" ht="13.2" outlineLevel="1" x14ac:dyDescent="0.25">
      <c r="A11" s="14" t="s">
        <v>99</v>
      </c>
      <c r="B11" s="62" t="s">
        <v>63</v>
      </c>
      <c r="C11" s="25">
        <v>45420</v>
      </c>
      <c r="D11" s="57" t="s">
        <v>100</v>
      </c>
      <c r="E11" s="24" t="s">
        <v>101</v>
      </c>
      <c r="F11" s="9" t="s">
        <v>102</v>
      </c>
      <c r="G11" s="73">
        <v>5000</v>
      </c>
      <c r="H11" s="11">
        <v>75</v>
      </c>
      <c r="I11" s="60">
        <f>Таблица22423[[#This Row],[Стоимость, 
грн]]</f>
        <v>5000</v>
      </c>
      <c r="J11" s="12">
        <f>Таблица22423[[#This Row],[Доход, 
грн/рейс]]/Таблица22423[[#This Row],[Километраж, 
км]]</f>
        <v>66.666666666666671</v>
      </c>
      <c r="K11" s="12">
        <v>4500</v>
      </c>
      <c r="L11" s="12">
        <f>Таблица22423[[#This Row],[СС, 
грн/рейс]]/Таблица22423[[#This Row],[Километраж, 
км]]</f>
        <v>60</v>
      </c>
      <c r="M11" s="26">
        <f>Таблица22423[[#This Row],[Доход, 
грн/рейс]]-Таблица22423[[#This Row],[СС, 
грн/рейс]]</f>
        <v>500</v>
      </c>
      <c r="N11" s="24" t="s">
        <v>117</v>
      </c>
    </row>
    <row r="12" spans="1:14" ht="13.2" outlineLevel="1" x14ac:dyDescent="0.25">
      <c r="A12" s="14" t="s">
        <v>13</v>
      </c>
      <c r="B12" s="62" t="s">
        <v>63</v>
      </c>
      <c r="C12" s="25">
        <v>45420</v>
      </c>
      <c r="D12" s="57" t="s">
        <v>103</v>
      </c>
      <c r="E12" s="24" t="s">
        <v>14</v>
      </c>
      <c r="F12" s="9" t="s">
        <v>40</v>
      </c>
      <c r="G12" s="73">
        <v>8500</v>
      </c>
      <c r="H12" s="56">
        <v>67</v>
      </c>
      <c r="I12" s="60">
        <f>Таблица22423[[#This Row],[Стоимость, 
грн]]</f>
        <v>8500</v>
      </c>
      <c r="J12" s="12">
        <f>Таблица22423[[#This Row],[Доход, 
грн/рейс]]/Таблица22423[[#This Row],[Километраж, 
км]]</f>
        <v>126.86567164179104</v>
      </c>
      <c r="K12" s="12">
        <v>7500</v>
      </c>
      <c r="L12" s="12">
        <f>Таблица22423[[#This Row],[СС, 
грн/рейс]]/Таблица22423[[#This Row],[Километраж, 
км]]</f>
        <v>111.94029850746269</v>
      </c>
      <c r="M12" s="26">
        <f>Таблица22423[[#This Row],[Доход, 
грн/рейс]]-Таблица22423[[#This Row],[СС, 
грн/рейс]]</f>
        <v>1000</v>
      </c>
      <c r="N12" s="24" t="s">
        <v>123</v>
      </c>
    </row>
    <row r="13" spans="1:14" ht="13.2" outlineLevel="1" x14ac:dyDescent="0.25">
      <c r="A13" s="14" t="s">
        <v>13</v>
      </c>
      <c r="B13" s="62" t="s">
        <v>63</v>
      </c>
      <c r="C13" s="25">
        <v>45420</v>
      </c>
      <c r="D13" s="57" t="s">
        <v>104</v>
      </c>
      <c r="E13" s="24" t="s">
        <v>14</v>
      </c>
      <c r="F13" s="9" t="s">
        <v>40</v>
      </c>
      <c r="G13" s="73">
        <v>7100</v>
      </c>
      <c r="H13" s="56">
        <v>67</v>
      </c>
      <c r="I13" s="60">
        <f>Таблица22423[[#This Row],[Стоимость, 
грн]]</f>
        <v>7100</v>
      </c>
      <c r="J13" s="12">
        <f>Таблица22423[[#This Row],[Доход, 
грн/рейс]]/Таблица22423[[#This Row],[Километраж, 
км]]</f>
        <v>105.97014925373135</v>
      </c>
      <c r="K13" s="12">
        <v>6000</v>
      </c>
      <c r="L13" s="12">
        <f>Таблица22423[[#This Row],[СС, 
грн/рейс]]/Таблица22423[[#This Row],[Километраж, 
км]]</f>
        <v>89.552238805970148</v>
      </c>
      <c r="M13" s="26">
        <f>Таблица22423[[#This Row],[Доход, 
грн/рейс]]-Таблица22423[[#This Row],[СС, 
грн/рейс]]</f>
        <v>1100</v>
      </c>
      <c r="N13" s="24" t="s">
        <v>123</v>
      </c>
    </row>
    <row r="14" spans="1:14" ht="13.2" outlineLevel="1" x14ac:dyDescent="0.25">
      <c r="A14" s="14" t="s">
        <v>82</v>
      </c>
      <c r="B14" s="62" t="s">
        <v>63</v>
      </c>
      <c r="C14" s="25">
        <v>45421</v>
      </c>
      <c r="D14" s="57" t="s">
        <v>105</v>
      </c>
      <c r="E14" s="24" t="s">
        <v>106</v>
      </c>
      <c r="F14" s="9" t="s">
        <v>102</v>
      </c>
      <c r="G14" s="73">
        <v>10400</v>
      </c>
      <c r="H14" s="60">
        <v>80</v>
      </c>
      <c r="I14" s="60">
        <f>Таблица22423[[#This Row],[Стоимость, 
грн]]</f>
        <v>10400</v>
      </c>
      <c r="J14" s="12">
        <f>Таблица22423[[#This Row],[Доход, 
грн/рейс]]/Таблица22423[[#This Row],[Километраж, 
км]]</f>
        <v>130</v>
      </c>
      <c r="K14" s="12">
        <v>9000</v>
      </c>
      <c r="L14" s="12">
        <f>Таблица22423[[#This Row],[СС, 
грн/рейс]]/Таблица22423[[#This Row],[Километраж, 
км]]</f>
        <v>112.5</v>
      </c>
      <c r="M14" s="26">
        <f>Таблица22423[[#This Row],[Доход, 
грн/рейс]]-Таблица22423[[#This Row],[СС, 
грн/рейс]]</f>
        <v>1400</v>
      </c>
      <c r="N14" s="24" t="s">
        <v>142</v>
      </c>
    </row>
    <row r="15" spans="1:14" ht="13.2" outlineLevel="1" x14ac:dyDescent="0.25">
      <c r="A15" s="14" t="s">
        <v>82</v>
      </c>
      <c r="B15" s="62" t="s">
        <v>19</v>
      </c>
      <c r="C15" s="25">
        <v>45446</v>
      </c>
      <c r="D15" s="57" t="s">
        <v>119</v>
      </c>
      <c r="E15" s="24" t="s">
        <v>120</v>
      </c>
      <c r="F15" s="9" t="s">
        <v>121</v>
      </c>
      <c r="G15" s="73">
        <v>10000</v>
      </c>
      <c r="H15" s="56">
        <v>98</v>
      </c>
      <c r="I15" s="60">
        <v>10000</v>
      </c>
      <c r="J15" s="12">
        <f>Таблица22423[[#This Row],[Доход, 
грн/рейс]]/Таблица22423[[#This Row],[Километраж, 
км]]</f>
        <v>102.04081632653062</v>
      </c>
      <c r="K15" s="12">
        <v>9000</v>
      </c>
      <c r="L15" s="12">
        <f>Таблица22423[[#This Row],[СС, 
грн/рейс]]/Таблица22423[[#This Row],[Километраж, 
км]]</f>
        <v>91.836734693877546</v>
      </c>
      <c r="M15" s="26">
        <f>Таблица22423[[#This Row],[Доход, 
грн/рейс]]-Таблица22423[[#This Row],[СС, 
грн/рейс]]</f>
        <v>1000</v>
      </c>
      <c r="N15" s="24" t="s">
        <v>140</v>
      </c>
    </row>
    <row r="16" spans="1:14" ht="13.2" outlineLevel="1" x14ac:dyDescent="0.25">
      <c r="A16" s="14" t="s">
        <v>13</v>
      </c>
      <c r="B16" s="62" t="s">
        <v>63</v>
      </c>
      <c r="C16" s="25">
        <v>45447</v>
      </c>
      <c r="D16" s="57" t="s">
        <v>155</v>
      </c>
      <c r="E16" s="24" t="s">
        <v>34</v>
      </c>
      <c r="F16" s="9" t="s">
        <v>40</v>
      </c>
      <c r="G16" s="73">
        <v>8500</v>
      </c>
      <c r="H16" s="56">
        <v>67</v>
      </c>
      <c r="I16" s="60">
        <f>Таблица22423[[#This Row],[Стоимость, 
грн]]</f>
        <v>8500</v>
      </c>
      <c r="J16" s="12">
        <f>Таблица22423[[#This Row],[Доход, 
грн/рейс]]/Таблица22423[[#This Row],[Километраж, 
км]]</f>
        <v>126.86567164179104</v>
      </c>
      <c r="K16" s="12">
        <v>8000</v>
      </c>
      <c r="L16" s="12">
        <f>Таблица22423[[#This Row],[СС, 
грн/рейс]]/Таблица22423[[#This Row],[Километраж, 
км]]</f>
        <v>119.40298507462687</v>
      </c>
      <c r="M16" s="26">
        <f>Таблица22423[[#This Row],[Доход, 
грн/рейс]]-Таблица22423[[#This Row],[СС, 
грн/рейс]]</f>
        <v>500</v>
      </c>
      <c r="N16" s="24" t="s">
        <v>207</v>
      </c>
    </row>
    <row r="17" spans="1:14" ht="13.2" outlineLevel="1" x14ac:dyDescent="0.25">
      <c r="A17" s="14" t="s">
        <v>158</v>
      </c>
      <c r="B17" s="62" t="s">
        <v>63</v>
      </c>
      <c r="C17" s="25">
        <v>45458</v>
      </c>
      <c r="D17" s="57" t="s">
        <v>159</v>
      </c>
      <c r="E17" s="24" t="s">
        <v>169</v>
      </c>
      <c r="F17" s="9" t="s">
        <v>170</v>
      </c>
      <c r="G17" s="73">
        <v>2750</v>
      </c>
      <c r="H17" s="60">
        <v>68</v>
      </c>
      <c r="I17" s="60">
        <f>Таблица22423[[#This Row],[Стоимость, 
грн]]</f>
        <v>2750</v>
      </c>
      <c r="J17" s="12">
        <f>Таблица22423[[#This Row],[Доход, 
грн/рейс]]/Таблица22423[[#This Row],[Километраж, 
км]]</f>
        <v>40.441176470588232</v>
      </c>
      <c r="K17" s="12">
        <v>2500</v>
      </c>
      <c r="L17" s="12">
        <f>Таблица22423[[#This Row],[СС, 
грн/рейс]]/Таблица22423[[#This Row],[Километраж, 
км]]</f>
        <v>36.764705882352942</v>
      </c>
      <c r="M17" s="26">
        <f>Таблица22423[[#This Row],[Доход, 
грн/рейс]]-Таблица22423[[#This Row],[СС, 
грн/рейс]]</f>
        <v>250</v>
      </c>
      <c r="N17" s="24" t="s">
        <v>229</v>
      </c>
    </row>
    <row r="18" spans="1:14" ht="13.2" outlineLevel="1" x14ac:dyDescent="0.25">
      <c r="A18" s="14" t="s">
        <v>13</v>
      </c>
      <c r="B18" s="62" t="s">
        <v>63</v>
      </c>
      <c r="C18" s="25">
        <v>45459</v>
      </c>
      <c r="D18" s="57" t="s">
        <v>161</v>
      </c>
      <c r="E18" s="24" t="s">
        <v>13</v>
      </c>
      <c r="F18" s="9" t="s">
        <v>198</v>
      </c>
      <c r="G18" s="73">
        <v>1500</v>
      </c>
      <c r="H18" s="56"/>
      <c r="I18" s="60">
        <f>Таблица22423[[#This Row],[Стоимость, 
грн]]</f>
        <v>1500</v>
      </c>
      <c r="J18" s="12"/>
      <c r="K18" s="12">
        <v>1000</v>
      </c>
      <c r="L18" s="12"/>
      <c r="M18" s="26">
        <f>Таблица22423[[#This Row],[Доход, 
грн/рейс]]-Таблица22423[[#This Row],[СС, 
грн/рейс]]</f>
        <v>500</v>
      </c>
      <c r="N18" s="24" t="s">
        <v>207</v>
      </c>
    </row>
    <row r="19" spans="1:14" ht="13.2" outlineLevel="1" x14ac:dyDescent="0.25">
      <c r="A19" s="14" t="s">
        <v>13</v>
      </c>
      <c r="B19" s="62" t="s">
        <v>63</v>
      </c>
      <c r="C19" s="25">
        <v>45447</v>
      </c>
      <c r="D19" s="57" t="s">
        <v>171</v>
      </c>
      <c r="E19" s="24" t="s">
        <v>34</v>
      </c>
      <c r="F19" s="9" t="s">
        <v>40</v>
      </c>
      <c r="G19" s="73">
        <v>8500</v>
      </c>
      <c r="H19" s="60">
        <v>67</v>
      </c>
      <c r="I19" s="60">
        <f>Таблица22423[[#This Row],[Стоимость, 
грн]]</f>
        <v>8500</v>
      </c>
      <c r="J19" s="12">
        <f>Таблица22423[[#This Row],[Доход, 
грн/рейс]]/Таблица22423[[#This Row],[Километраж, 
км]]</f>
        <v>126.86567164179104</v>
      </c>
      <c r="K19" s="12">
        <v>7500</v>
      </c>
      <c r="L19" s="12">
        <f>Таблица22423[[#This Row],[СС, 
грн/рейс]]/Таблица22423[[#This Row],[Километраж, 
км]]</f>
        <v>111.94029850746269</v>
      </c>
      <c r="M19" s="26">
        <f>Таблица22423[[#This Row],[Доход, 
грн/рейс]]-Таблица22423[[#This Row],[СС, 
грн/рейс]]</f>
        <v>1000</v>
      </c>
      <c r="N19" s="24" t="s">
        <v>207</v>
      </c>
    </row>
    <row r="20" spans="1:14" ht="13.2" outlineLevel="1" collapsed="1" x14ac:dyDescent="0.25">
      <c r="A20" s="14" t="s">
        <v>158</v>
      </c>
      <c r="B20" s="62" t="s">
        <v>63</v>
      </c>
      <c r="C20" s="25">
        <v>45448</v>
      </c>
      <c r="D20" s="57" t="s">
        <v>199</v>
      </c>
      <c r="E20" s="24" t="s">
        <v>200</v>
      </c>
      <c r="F20" s="9" t="s">
        <v>201</v>
      </c>
      <c r="G20" s="73">
        <v>1700</v>
      </c>
      <c r="H20" s="56">
        <v>46</v>
      </c>
      <c r="I20" s="60">
        <f>Таблица22423[[#This Row],[Стоимость, 
грн]]</f>
        <v>1700</v>
      </c>
      <c r="J20" s="12">
        <f>Таблица22423[[#This Row],[Доход, 
грн/рейс]]/Таблица22423[[#This Row],[Километраж, 
км]]</f>
        <v>36.956521739130437</v>
      </c>
      <c r="K20" s="12">
        <v>1500</v>
      </c>
      <c r="L20" s="12">
        <f>Таблица22423[[#This Row],[СС, 
грн/рейс]]/Таблица22423[[#This Row],[Километраж, 
км]]</f>
        <v>32.608695652173914</v>
      </c>
      <c r="M20" s="26">
        <f>Таблица22423[[#This Row],[Доход, 
грн/рейс]]-Таблица22423[[#This Row],[СС, 
грн/рейс]]</f>
        <v>200</v>
      </c>
      <c r="N20" s="24" t="s">
        <v>403</v>
      </c>
    </row>
    <row r="21" spans="1:14" ht="13.2" outlineLevel="1" x14ac:dyDescent="0.25">
      <c r="A21" s="14" t="s">
        <v>13</v>
      </c>
      <c r="B21" s="62" t="s">
        <v>63</v>
      </c>
      <c r="C21" s="25">
        <v>45474</v>
      </c>
      <c r="D21" s="57" t="s">
        <v>202</v>
      </c>
      <c r="E21" s="24" t="s">
        <v>34</v>
      </c>
      <c r="F21" s="9" t="s">
        <v>40</v>
      </c>
      <c r="G21" s="73">
        <v>8500</v>
      </c>
      <c r="H21" s="56">
        <v>67</v>
      </c>
      <c r="I21" s="60">
        <f>Таблица22423[[#This Row],[Стоимость, 
грн]]</f>
        <v>8500</v>
      </c>
      <c r="J21" s="12">
        <f>Таблица22423[[#This Row],[Доход, 
грн/рейс]]/Таблица22423[[#This Row],[Километраж, 
км]]</f>
        <v>126.86567164179104</v>
      </c>
      <c r="K21" s="12">
        <v>8000</v>
      </c>
      <c r="L21" s="12">
        <f>Таблица22423[[#This Row],[СС, 
грн/рейс]]/Таблица22423[[#This Row],[Километраж, 
км]]</f>
        <v>119.40298507462687</v>
      </c>
      <c r="M21" s="26">
        <f>Таблица22423[[#This Row],[Доход, 
грн/рейс]]-Таблица22423[[#This Row],[СС, 
грн/рейс]]</f>
        <v>500</v>
      </c>
      <c r="N21" s="24" t="s">
        <v>207</v>
      </c>
    </row>
    <row r="22" spans="1:14" ht="13.2" outlineLevel="1" x14ac:dyDescent="0.25">
      <c r="A22" s="14" t="s">
        <v>13</v>
      </c>
      <c r="B22" s="62" t="s">
        <v>63</v>
      </c>
      <c r="C22" s="25">
        <v>45475</v>
      </c>
      <c r="D22" s="57" t="s">
        <v>203</v>
      </c>
      <c r="E22" s="24" t="s">
        <v>14</v>
      </c>
      <c r="F22" s="9" t="s">
        <v>40</v>
      </c>
      <c r="G22" s="73">
        <v>4500</v>
      </c>
      <c r="H22" s="60">
        <v>67</v>
      </c>
      <c r="I22" s="60">
        <f>Таблица22423[[#This Row],[Стоимость, 
грн]]</f>
        <v>4500</v>
      </c>
      <c r="J22" s="12">
        <f>Таблица22423[[#This Row],[Доход, 
грн/рейс]]/Таблица22423[[#This Row],[Километраж, 
км]]</f>
        <v>67.164179104477611</v>
      </c>
      <c r="K22" s="12">
        <v>4000</v>
      </c>
      <c r="L22" s="12">
        <f>Таблица22423[[#This Row],[СС, 
грн/рейс]]/Таблица22423[[#This Row],[Километраж, 
км]]</f>
        <v>59.701492537313435</v>
      </c>
      <c r="M22" s="26">
        <f>Таблица22423[[#This Row],[Доход, 
грн/рейс]]-Таблица22423[[#This Row],[СС, 
грн/рейс]]</f>
        <v>500</v>
      </c>
      <c r="N22" s="24" t="s">
        <v>209</v>
      </c>
    </row>
    <row r="23" spans="1:14" ht="13.2" outlineLevel="1" x14ac:dyDescent="0.25">
      <c r="A23" s="14" t="s">
        <v>13</v>
      </c>
      <c r="B23" s="62" t="s">
        <v>63</v>
      </c>
      <c r="C23" s="25">
        <v>45476</v>
      </c>
      <c r="D23" s="57" t="s">
        <v>204</v>
      </c>
      <c r="E23" s="24" t="s">
        <v>34</v>
      </c>
      <c r="F23" s="9" t="s">
        <v>40</v>
      </c>
      <c r="G23" s="73">
        <v>8500</v>
      </c>
      <c r="H23" s="56">
        <v>67</v>
      </c>
      <c r="I23" s="60">
        <f>Таблица22423[[#This Row],[Стоимость, 
грн]]</f>
        <v>8500</v>
      </c>
      <c r="J23" s="12">
        <f>Таблица22423[[#This Row],[Доход, 
грн/рейс]]/Таблица22423[[#This Row],[Километраж, 
км]]</f>
        <v>126.86567164179104</v>
      </c>
      <c r="K23" s="12">
        <v>7500</v>
      </c>
      <c r="L23" s="12">
        <f>Таблица22423[[#This Row],[СС, 
грн/рейс]]/Таблица22423[[#This Row],[Километраж, 
км]]</f>
        <v>111.94029850746269</v>
      </c>
      <c r="M23" s="26">
        <f>Таблица22423[[#This Row],[Доход, 
грн/рейс]]-Таблица22423[[#This Row],[СС, 
грн/рейс]]</f>
        <v>1000</v>
      </c>
      <c r="N23" s="24" t="s">
        <v>209</v>
      </c>
    </row>
    <row r="24" spans="1:14" ht="13.2" outlineLevel="1" x14ac:dyDescent="0.25">
      <c r="A24" s="14" t="s">
        <v>82</v>
      </c>
      <c r="B24" s="62" t="s">
        <v>63</v>
      </c>
      <c r="C24" s="25">
        <v>45477</v>
      </c>
      <c r="D24" s="57" t="s">
        <v>186</v>
      </c>
      <c r="E24" s="24" t="s">
        <v>205</v>
      </c>
      <c r="F24" s="9" t="s">
        <v>206</v>
      </c>
      <c r="G24" s="73">
        <v>7500</v>
      </c>
      <c r="H24" s="56">
        <v>90</v>
      </c>
      <c r="I24" s="60">
        <f>Таблица22423[[#This Row],[Стоимость, 
грн]]</f>
        <v>7500</v>
      </c>
      <c r="J24" s="12">
        <f>Таблица22423[[#This Row],[Доход, 
грн/рейс]]/Таблица22423[[#This Row],[Километраж, 
км]]</f>
        <v>83.333333333333329</v>
      </c>
      <c r="K24" s="12">
        <v>5500</v>
      </c>
      <c r="L24" s="12">
        <f>Таблица22423[[#This Row],[СС, 
грн/рейс]]/Таблица22423[[#This Row],[Километраж, 
км]]</f>
        <v>61.111111111111114</v>
      </c>
      <c r="M24" s="26">
        <f>Таблица22423[[#This Row],[Доход, 
грн/рейс]]-Таблица22423[[#This Row],[СС, 
грн/рейс]]</f>
        <v>2000</v>
      </c>
      <c r="N24" s="24" t="s">
        <v>229</v>
      </c>
    </row>
    <row r="25" spans="1:14" ht="13.2" outlineLevel="1" x14ac:dyDescent="0.25">
      <c r="A25" s="14" t="s">
        <v>13</v>
      </c>
      <c r="B25" s="62" t="s">
        <v>63</v>
      </c>
      <c r="C25" s="25">
        <v>45476</v>
      </c>
      <c r="D25" s="57" t="s">
        <v>186</v>
      </c>
      <c r="E25" s="24" t="s">
        <v>34</v>
      </c>
      <c r="F25" s="9" t="s">
        <v>40</v>
      </c>
      <c r="G25" s="73">
        <v>8500</v>
      </c>
      <c r="H25" s="60">
        <v>67</v>
      </c>
      <c r="I25" s="60">
        <f>Таблица22423[[#This Row],[Стоимость, 
грн]]</f>
        <v>8500</v>
      </c>
      <c r="J25" s="12">
        <f>Таблица22423[[#This Row],[Доход, 
грн/рейс]]/Таблица22423[[#This Row],[Километраж, 
км]]</f>
        <v>126.86567164179104</v>
      </c>
      <c r="K25" s="12">
        <v>7500</v>
      </c>
      <c r="L25" s="12">
        <f>Таблица22423[[#This Row],[СС, 
грн/рейс]]/Таблица22423[[#This Row],[Километраж, 
км]]</f>
        <v>111.94029850746269</v>
      </c>
      <c r="M25" s="26">
        <f>Таблица22423[[#This Row],[Доход, 
грн/рейс]]-Таблица22423[[#This Row],[СС, 
грн/рейс]]</f>
        <v>1000</v>
      </c>
      <c r="N25" s="24" t="s">
        <v>280</v>
      </c>
    </row>
    <row r="26" spans="1:14" ht="13.2" outlineLevel="1" x14ac:dyDescent="0.25">
      <c r="A26" s="14" t="s">
        <v>13</v>
      </c>
      <c r="B26" s="62" t="s">
        <v>19</v>
      </c>
      <c r="C26" s="25">
        <v>45477</v>
      </c>
      <c r="D26" s="57" t="s">
        <v>197</v>
      </c>
      <c r="E26" s="24" t="s">
        <v>34</v>
      </c>
      <c r="F26" s="9" t="s">
        <v>40</v>
      </c>
      <c r="G26" s="73">
        <v>7500</v>
      </c>
      <c r="H26" s="56">
        <v>67</v>
      </c>
      <c r="I26" s="60">
        <f>Таблица22423[[#This Row],[Стоимость, 
грн]]</f>
        <v>7500</v>
      </c>
      <c r="J26" s="12">
        <f>Таблица22423[[#This Row],[Доход, 
грн/рейс]]/Таблица22423[[#This Row],[Километраж, 
км]]</f>
        <v>111.94029850746269</v>
      </c>
      <c r="K26" s="12">
        <v>7000</v>
      </c>
      <c r="L26" s="12">
        <f>Таблица22423[[#This Row],[СС, 
грн/рейс]]/Таблица22423[[#This Row],[Километраж, 
км]]</f>
        <v>104.4776119402985</v>
      </c>
      <c r="M26" s="26">
        <f>Таблица22423[[#This Row],[Доход, 
грн/рейс]]-Таблица22423[[#This Row],[СС, 
грн/рейс]]</f>
        <v>500</v>
      </c>
      <c r="N26" s="24" t="s">
        <v>229</v>
      </c>
    </row>
    <row r="27" spans="1:14" ht="13.2" outlineLevel="1" x14ac:dyDescent="0.25">
      <c r="A27" s="14" t="s">
        <v>158</v>
      </c>
      <c r="B27" s="62" t="s">
        <v>63</v>
      </c>
      <c r="C27" s="25">
        <v>45478</v>
      </c>
      <c r="D27" s="57" t="s">
        <v>197</v>
      </c>
      <c r="E27" s="24" t="s">
        <v>169</v>
      </c>
      <c r="F27" s="9" t="s">
        <v>170</v>
      </c>
      <c r="G27" s="73">
        <v>3000</v>
      </c>
      <c r="H27" s="56">
        <v>68</v>
      </c>
      <c r="I27" s="60">
        <f>Таблица22423[[#This Row],[Стоимость, 
грн]]</f>
        <v>3000</v>
      </c>
      <c r="J27" s="12">
        <f>Таблица22423[[#This Row],[Доход, 
грн/рейс]]/Таблица22423[[#This Row],[Километраж, 
км]]</f>
        <v>44.117647058823529</v>
      </c>
      <c r="K27" s="12">
        <v>2700</v>
      </c>
      <c r="L27" s="12">
        <f>Таблица22423[[#This Row],[СС, 
грн/рейс]]/Таблица22423[[#This Row],[Километраж, 
км]]</f>
        <v>39.705882352941174</v>
      </c>
      <c r="M27" s="26">
        <f>Таблица22423[[#This Row],[Доход, 
грн/рейс]]-Таблица22423[[#This Row],[СС, 
грн/рейс]]</f>
        <v>300</v>
      </c>
      <c r="N27" s="24" t="s">
        <v>408</v>
      </c>
    </row>
    <row r="28" spans="1:14" ht="13.2" outlineLevel="1" x14ac:dyDescent="0.25">
      <c r="A28" s="14" t="s">
        <v>158</v>
      </c>
      <c r="B28" s="62" t="s">
        <v>63</v>
      </c>
      <c r="C28" s="25">
        <v>45479</v>
      </c>
      <c r="D28" s="57" t="s">
        <v>211</v>
      </c>
      <c r="E28" s="24" t="s">
        <v>222</v>
      </c>
      <c r="F28" s="9" t="s">
        <v>223</v>
      </c>
      <c r="G28" s="73">
        <v>14300</v>
      </c>
      <c r="H28" s="60">
        <v>70</v>
      </c>
      <c r="I28" s="60">
        <f>Таблица22423[[#This Row],[Стоимость, 
грн]]</f>
        <v>14300</v>
      </c>
      <c r="J28" s="12">
        <f>Таблица22423[[#This Row],[Доход, 
грн/рейс]]/Таблица22423[[#This Row],[Километраж, 
км]]</f>
        <v>204.28571428571428</v>
      </c>
      <c r="K28" s="12">
        <v>13000</v>
      </c>
      <c r="L28" s="12">
        <f>Таблица22423[[#This Row],[СС, 
грн/рейс]]/Таблица22423[[#This Row],[Километраж, 
км]]</f>
        <v>185.71428571428572</v>
      </c>
      <c r="M28" s="26">
        <f>Таблица22423[[#This Row],[Доход, 
грн/рейс]]-Таблица22423[[#This Row],[СС, 
грн/рейс]]</f>
        <v>1300</v>
      </c>
      <c r="N28" s="24" t="s">
        <v>316</v>
      </c>
    </row>
    <row r="29" spans="1:14" ht="13.2" outlineLevel="1" x14ac:dyDescent="0.25">
      <c r="A29" s="14" t="s">
        <v>13</v>
      </c>
      <c r="B29" s="62" t="s">
        <v>19</v>
      </c>
      <c r="C29" s="25">
        <v>45480</v>
      </c>
      <c r="D29" s="57" t="s">
        <v>224</v>
      </c>
      <c r="E29" s="24" t="s">
        <v>34</v>
      </c>
      <c r="F29" s="9" t="s">
        <v>40</v>
      </c>
      <c r="G29" s="73">
        <v>9000</v>
      </c>
      <c r="H29" s="56">
        <v>67</v>
      </c>
      <c r="I29" s="60">
        <f>Таблица22423[[#This Row],[Стоимость, 
грн]]</f>
        <v>9000</v>
      </c>
      <c r="J29" s="12">
        <f>Таблица22423[[#This Row],[Доход, 
грн/рейс]]/Таблица22423[[#This Row],[Километраж, 
км]]</f>
        <v>134.32835820895522</v>
      </c>
      <c r="K29" s="12">
        <v>8500</v>
      </c>
      <c r="L29" s="12">
        <f>Таблица22423[[#This Row],[СС, 
грн/рейс]]/Таблица22423[[#This Row],[Километраж, 
км]]</f>
        <v>126.86567164179104</v>
      </c>
      <c r="M29" s="26">
        <f>Таблица22423[[#This Row],[Доход, 
грн/рейс]]-Таблица22423[[#This Row],[СС, 
грн/рейс]]</f>
        <v>500</v>
      </c>
      <c r="N29" s="24" t="s">
        <v>280</v>
      </c>
    </row>
    <row r="30" spans="1:14" ht="13.2" outlineLevel="1" x14ac:dyDescent="0.25">
      <c r="A30" s="14" t="s">
        <v>13</v>
      </c>
      <c r="B30" s="62" t="s">
        <v>63</v>
      </c>
      <c r="C30" s="25">
        <v>45481</v>
      </c>
      <c r="D30" s="57" t="s">
        <v>225</v>
      </c>
      <c r="E30" s="24" t="s">
        <v>226</v>
      </c>
      <c r="F30" s="9" t="s">
        <v>219</v>
      </c>
      <c r="G30" s="73">
        <v>12000</v>
      </c>
      <c r="H30" s="56">
        <v>69</v>
      </c>
      <c r="I30" s="60">
        <f>Таблица22423[[#This Row],[Стоимость, 
грн]]</f>
        <v>12000</v>
      </c>
      <c r="J30" s="12">
        <f>Таблица22423[[#This Row],[Доход, 
грн/рейс]]/Таблица22423[[#This Row],[Километраж, 
км]]</f>
        <v>173.91304347826087</v>
      </c>
      <c r="K30" s="12">
        <v>11000</v>
      </c>
      <c r="L30" s="12">
        <f>Таблица22423[[#This Row],[СС, 
грн/рейс]]/Таблица22423[[#This Row],[Километраж, 
км]]</f>
        <v>159.42028985507247</v>
      </c>
      <c r="M30" s="26">
        <f>Таблица22423[[#This Row],[Доход, 
грн/рейс]]-Таблица22423[[#This Row],[СС, 
грн/рейс]]</f>
        <v>1000</v>
      </c>
      <c r="N30" s="24" t="s">
        <v>280</v>
      </c>
    </row>
    <row r="31" spans="1:14" ht="13.2" outlineLevel="1" x14ac:dyDescent="0.25">
      <c r="A31" s="14" t="s">
        <v>13</v>
      </c>
      <c r="B31" s="62" t="s">
        <v>63</v>
      </c>
      <c r="C31" s="25">
        <v>45482</v>
      </c>
      <c r="D31" s="57" t="s">
        <v>225</v>
      </c>
      <c r="E31" s="24" t="s">
        <v>226</v>
      </c>
      <c r="F31" s="9" t="s">
        <v>227</v>
      </c>
      <c r="G31" s="73">
        <v>5000</v>
      </c>
      <c r="H31" s="60">
        <v>45</v>
      </c>
      <c r="I31" s="60">
        <f>Таблица22423[[#This Row],[Стоимость, 
грн]]</f>
        <v>5000</v>
      </c>
      <c r="J31" s="12">
        <f>Таблица22423[[#This Row],[Доход, 
грн/рейс]]/Таблица22423[[#This Row],[Километраж, 
км]]</f>
        <v>111.11111111111111</v>
      </c>
      <c r="K31" s="12">
        <v>4000</v>
      </c>
      <c r="L31" s="12">
        <f>Таблица22423[[#This Row],[СС, 
грн/рейс]]/Таблица22423[[#This Row],[Километраж, 
км]]</f>
        <v>88.888888888888886</v>
      </c>
      <c r="M31" s="26">
        <f>Таблица22423[[#This Row],[Доход, 
грн/рейс]]-Таблица22423[[#This Row],[СС, 
грн/рейс]]</f>
        <v>1000</v>
      </c>
      <c r="N31" s="24" t="s">
        <v>280</v>
      </c>
    </row>
    <row r="32" spans="1:14" ht="13.2" outlineLevel="1" x14ac:dyDescent="0.25">
      <c r="A32" s="14" t="s">
        <v>13</v>
      </c>
      <c r="B32" s="62" t="s">
        <v>63</v>
      </c>
      <c r="C32" s="25">
        <v>45483</v>
      </c>
      <c r="D32" s="57" t="s">
        <v>239</v>
      </c>
      <c r="E32" s="24" t="s">
        <v>34</v>
      </c>
      <c r="F32" s="9" t="s">
        <v>40</v>
      </c>
      <c r="G32" s="73">
        <v>7200</v>
      </c>
      <c r="H32" s="56">
        <v>67</v>
      </c>
      <c r="I32" s="60">
        <f>Таблица22423[[#This Row],[Стоимость, 
грн]]</f>
        <v>7200</v>
      </c>
      <c r="J32" s="12">
        <f>Таблица22423[[#This Row],[Доход, 
грн/рейс]]/Таблица22423[[#This Row],[Километраж, 
км]]</f>
        <v>107.46268656716418</v>
      </c>
      <c r="K32" s="12">
        <v>6500</v>
      </c>
      <c r="L32" s="12">
        <f>Таблица22423[[#This Row],[СС, 
грн/рейс]]/Таблица22423[[#This Row],[Километраж, 
км]]</f>
        <v>97.014925373134332</v>
      </c>
      <c r="M32" s="26">
        <f>Таблица22423[[#This Row],[Доход, 
грн/рейс]]-Таблица22423[[#This Row],[СС, 
грн/рейс]]</f>
        <v>700</v>
      </c>
      <c r="N32" s="24" t="s">
        <v>280</v>
      </c>
    </row>
    <row r="33" spans="1:14" ht="13.2" outlineLevel="1" x14ac:dyDescent="0.25">
      <c r="A33" s="14" t="s">
        <v>13</v>
      </c>
      <c r="B33" s="62" t="s">
        <v>19</v>
      </c>
      <c r="C33" s="25">
        <v>45483</v>
      </c>
      <c r="D33" s="57" t="s">
        <v>259</v>
      </c>
      <c r="E33" s="24" t="s">
        <v>34</v>
      </c>
      <c r="F33" s="9" t="s">
        <v>40</v>
      </c>
      <c r="G33" s="73">
        <v>5500</v>
      </c>
      <c r="H33" s="56">
        <v>67</v>
      </c>
      <c r="I33" s="60">
        <f>Таблица22423[[#This Row],[Стоимость, 
грн]]</f>
        <v>5500</v>
      </c>
      <c r="J33" s="12">
        <f>Таблица22423[[#This Row],[Доход, 
грн/рейс]]/Таблица22423[[#This Row],[Километраж, 
км]]</f>
        <v>82.089552238805965</v>
      </c>
      <c r="K33" s="12">
        <v>5000</v>
      </c>
      <c r="L33" s="12">
        <f>Таблица22423[[#This Row],[СС, 
грн/рейс]]/Таблица22423[[#This Row],[Километраж, 
км]]</f>
        <v>74.626865671641795</v>
      </c>
      <c r="M33" s="26">
        <f>Таблица22423[[#This Row],[Доход, 
грн/рейс]]-Таблица22423[[#This Row],[СС, 
грн/рейс]]</f>
        <v>500</v>
      </c>
      <c r="N33" s="24" t="s">
        <v>280</v>
      </c>
    </row>
    <row r="34" spans="1:14" ht="13.2" outlineLevel="1" x14ac:dyDescent="0.25">
      <c r="A34" s="14" t="s">
        <v>158</v>
      </c>
      <c r="B34" s="62" t="s">
        <v>63</v>
      </c>
      <c r="C34" s="25">
        <v>45509</v>
      </c>
      <c r="D34" s="57" t="s">
        <v>272</v>
      </c>
      <c r="E34" s="24" t="s">
        <v>273</v>
      </c>
      <c r="F34" s="55" t="s">
        <v>274</v>
      </c>
      <c r="G34" s="73">
        <v>4000</v>
      </c>
      <c r="H34" s="60">
        <v>93</v>
      </c>
      <c r="I34" s="60">
        <f>Таблица22423[[#This Row],[Стоимость, 
грн]]</f>
        <v>4000</v>
      </c>
      <c r="J34" s="12">
        <f>Таблица22423[[#This Row],[Доход, 
грн/рейс]]/Таблица22423[[#This Row],[Километраж, 
км]]</f>
        <v>43.01075268817204</v>
      </c>
      <c r="K34" s="12">
        <v>3500</v>
      </c>
      <c r="L34" s="12">
        <f>Таблица22423[[#This Row],[СС, 
грн/рейс]]/Таблица22423[[#This Row],[Километраж, 
км]]</f>
        <v>37.634408602150536</v>
      </c>
      <c r="M34" s="26">
        <f>Таблица22423[[#This Row],[Доход, 
грн/рейс]]-Таблица22423[[#This Row],[СС, 
грн/рейс]]</f>
        <v>500</v>
      </c>
      <c r="N34" s="24" t="s">
        <v>317</v>
      </c>
    </row>
    <row r="35" spans="1:14" ht="13.2" outlineLevel="1" x14ac:dyDescent="0.25">
      <c r="A35" s="14" t="s">
        <v>158</v>
      </c>
      <c r="B35" s="62" t="s">
        <v>63</v>
      </c>
      <c r="C35" s="25">
        <v>45510</v>
      </c>
      <c r="D35" s="57" t="s">
        <v>281</v>
      </c>
      <c r="E35" s="24" t="s">
        <v>308</v>
      </c>
      <c r="F35" s="55" t="s">
        <v>309</v>
      </c>
      <c r="G35" s="73">
        <v>5500</v>
      </c>
      <c r="H35" s="56">
        <v>72</v>
      </c>
      <c r="I35" s="60">
        <f>Таблица22423[[#This Row],[Стоимость, 
грн]]</f>
        <v>5500</v>
      </c>
      <c r="J35" s="12">
        <f>Таблица22423[[#This Row],[Доход, 
грн/рейс]]/Таблица22423[[#This Row],[Километраж, 
км]]</f>
        <v>76.388888888888886</v>
      </c>
      <c r="K35" s="12">
        <v>5000</v>
      </c>
      <c r="L35" s="12">
        <f>Таблица22423[[#This Row],[СС, 
грн/рейс]]/Таблица22423[[#This Row],[Километраж, 
км]]</f>
        <v>69.444444444444443</v>
      </c>
      <c r="M35" s="26">
        <f>Таблица22423[[#This Row],[Доход, 
грн/рейс]]-Таблица22423[[#This Row],[СС, 
грн/рейс]]</f>
        <v>500</v>
      </c>
      <c r="N35" s="24" t="s">
        <v>339</v>
      </c>
    </row>
    <row r="36" spans="1:14" ht="13.2" outlineLevel="1" x14ac:dyDescent="0.25">
      <c r="A36" s="14" t="s">
        <v>310</v>
      </c>
      <c r="B36" s="62" t="s">
        <v>63</v>
      </c>
      <c r="C36" s="25">
        <v>45511</v>
      </c>
      <c r="D36" s="57" t="s">
        <v>289</v>
      </c>
      <c r="E36" s="24" t="s">
        <v>311</v>
      </c>
      <c r="F36" s="55" t="s">
        <v>312</v>
      </c>
      <c r="G36" s="73">
        <v>9500</v>
      </c>
      <c r="H36" s="56">
        <v>76</v>
      </c>
      <c r="I36" s="60">
        <f>Таблица22423[[#This Row],[Стоимость, 
грн]]</f>
        <v>9500</v>
      </c>
      <c r="J36" s="12">
        <f>Таблица22423[[#This Row],[Доход, 
грн/рейс]]/Таблица22423[[#This Row],[Километраж, 
км]]</f>
        <v>125</v>
      </c>
      <c r="K36" s="12">
        <v>8500</v>
      </c>
      <c r="L36" s="12">
        <f>Таблица22423[[#This Row],[СС, 
грн/рейс]]/Таблица22423[[#This Row],[Километраж, 
км]]</f>
        <v>111.84210526315789</v>
      </c>
      <c r="M36" s="26">
        <f>Таблица22423[[#This Row],[Доход, 
грн/рейс]]-Таблица22423[[#This Row],[СС, 
грн/рейс]]</f>
        <v>1000</v>
      </c>
      <c r="N36" s="24" t="s">
        <v>365</v>
      </c>
    </row>
    <row r="37" spans="1:14" ht="13.2" outlineLevel="1" x14ac:dyDescent="0.25">
      <c r="A37" s="14" t="s">
        <v>82</v>
      </c>
      <c r="B37" s="62" t="s">
        <v>63</v>
      </c>
      <c r="C37" s="25">
        <v>45511</v>
      </c>
      <c r="D37" s="103">
        <v>45520</v>
      </c>
      <c r="E37" s="24" t="s">
        <v>205</v>
      </c>
      <c r="F37" s="9" t="s">
        <v>206</v>
      </c>
      <c r="G37" s="73">
        <v>7500</v>
      </c>
      <c r="H37" s="60">
        <v>90</v>
      </c>
      <c r="I37" s="60">
        <f>Таблица22423[[#This Row],[Стоимость, 
грн]]</f>
        <v>7500</v>
      </c>
      <c r="J37" s="12">
        <f>Таблица22423[[#This Row],[Доход, 
грн/рейс]]/Таблица22423[[#This Row],[Километраж, 
км]]</f>
        <v>83.333333333333329</v>
      </c>
      <c r="K37" s="12">
        <v>5500</v>
      </c>
      <c r="L37" s="12">
        <f>Таблица22423[[#This Row],[СС, 
грн/рейс]]/Таблица22423[[#This Row],[Километраж, 
км]]</f>
        <v>61.111111111111114</v>
      </c>
      <c r="M37" s="26">
        <f>Таблица22423[[#This Row],[Доход, 
грн/рейс]]-Таблица22423[[#This Row],[СС, 
грн/рейс]]</f>
        <v>2000</v>
      </c>
      <c r="N37" s="24" t="s">
        <v>320</v>
      </c>
    </row>
    <row r="38" spans="1:14" ht="13.2" outlineLevel="1" x14ac:dyDescent="0.25">
      <c r="A38" s="14" t="s">
        <v>158</v>
      </c>
      <c r="B38" s="62" t="s">
        <v>63</v>
      </c>
      <c r="C38" s="25">
        <v>45512</v>
      </c>
      <c r="D38" s="57" t="s">
        <v>323</v>
      </c>
      <c r="E38" s="24" t="s">
        <v>169</v>
      </c>
      <c r="F38" s="55" t="s">
        <v>170</v>
      </c>
      <c r="G38" s="73">
        <v>2750</v>
      </c>
      <c r="H38" s="56">
        <v>68</v>
      </c>
      <c r="I38" s="60">
        <f>Таблица22423[[#This Row],[Стоимость, 
грн]]</f>
        <v>2750</v>
      </c>
      <c r="J38" s="12">
        <f>Таблица22423[[#This Row],[Доход, 
грн/рейс]]/Таблица22423[[#This Row],[Километраж, 
км]]</f>
        <v>40.441176470588232</v>
      </c>
      <c r="K38" s="12">
        <v>2500</v>
      </c>
      <c r="L38" s="12">
        <f>Таблица22423[[#This Row],[СС, 
грн/рейс]]/Таблица22423[[#This Row],[Километраж, 
км]]</f>
        <v>36.764705882352942</v>
      </c>
      <c r="M38" s="26">
        <f>Таблица22423[[#This Row],[Доход, 
грн/рейс]]-Таблица22423[[#This Row],[СС, 
грн/рейс]]</f>
        <v>250</v>
      </c>
      <c r="N38" s="24" t="s">
        <v>409</v>
      </c>
    </row>
    <row r="39" spans="1:14" ht="13.2" outlineLevel="1" collapsed="1" x14ac:dyDescent="0.25">
      <c r="A39" s="14" t="s">
        <v>158</v>
      </c>
      <c r="B39" s="62" t="s">
        <v>63</v>
      </c>
      <c r="C39" s="25">
        <v>45539</v>
      </c>
      <c r="D39" s="57" t="s">
        <v>382</v>
      </c>
      <c r="E39" s="24" t="s">
        <v>169</v>
      </c>
      <c r="F39" s="55" t="s">
        <v>170</v>
      </c>
      <c r="G39" s="73">
        <v>5000</v>
      </c>
      <c r="H39" s="56">
        <v>68</v>
      </c>
      <c r="I39" s="60">
        <f>Таблица22423[[#This Row],[Стоимость, 
грн]]</f>
        <v>5000</v>
      </c>
      <c r="J39" s="12">
        <f>Таблица22423[[#This Row],[Доход, 
грн/рейс]]/Таблица22423[[#This Row],[Километраж, 
км]]</f>
        <v>73.529411764705884</v>
      </c>
      <c r="K39" s="12">
        <v>4500</v>
      </c>
      <c r="L39" s="12">
        <f>Таблица22423[[#This Row],[СС, 
грн/рейс]]/Таблица22423[[#This Row],[Километраж, 
км]]</f>
        <v>66.17647058823529</v>
      </c>
      <c r="M39" s="26">
        <f>Таблица22423[[#This Row],[Доход, 
грн/рейс]]-Таблица22423[[#This Row],[СС, 
грн/рейс]]</f>
        <v>500</v>
      </c>
      <c r="N39" s="24" t="s">
        <v>405</v>
      </c>
    </row>
    <row r="40" spans="1:14" ht="13.2" outlineLevel="1" x14ac:dyDescent="0.25">
      <c r="A40" s="14" t="s">
        <v>13</v>
      </c>
      <c r="B40" s="62" t="s">
        <v>19</v>
      </c>
      <c r="C40" s="25">
        <v>45539</v>
      </c>
      <c r="D40" s="57" t="s">
        <v>384</v>
      </c>
      <c r="E40" s="24" t="s">
        <v>13</v>
      </c>
      <c r="F40" s="55" t="s">
        <v>227</v>
      </c>
      <c r="G40" s="58">
        <v>5500</v>
      </c>
      <c r="H40" s="149"/>
      <c r="I40" s="60">
        <f>Таблица22423[[#This Row],[Стоимость, 
грн]]</f>
        <v>5500</v>
      </c>
      <c r="J40" s="12" t="e">
        <f>Таблица22423[[#This Row],[Доход, 
грн/рейс]]/Таблица22423[[#This Row],[Километраж, 
км]]</f>
        <v>#DIV/0!</v>
      </c>
      <c r="K40" s="12">
        <v>5000</v>
      </c>
      <c r="L40" s="12" t="e">
        <f>Таблица22423[[#This Row],[СС, 
грн/рейс]]/Таблица22423[[#This Row],[Километраж, 
км]]</f>
        <v>#DIV/0!</v>
      </c>
      <c r="M40" s="26">
        <f>Таблица22423[[#This Row],[Доход, 
грн/рейс]]-Таблица22423[[#This Row],[СС, 
грн/рейс]]</f>
        <v>500</v>
      </c>
      <c r="N40" s="24"/>
    </row>
    <row r="41" spans="1:14" ht="13.2" outlineLevel="1" x14ac:dyDescent="0.25">
      <c r="A41" s="14" t="s">
        <v>13</v>
      </c>
      <c r="B41" s="62" t="s">
        <v>19</v>
      </c>
      <c r="C41" s="25">
        <v>45539</v>
      </c>
      <c r="D41" s="57" t="s">
        <v>384</v>
      </c>
      <c r="E41" s="24" t="s">
        <v>13</v>
      </c>
      <c r="F41" s="55" t="s">
        <v>227</v>
      </c>
      <c r="G41" s="58">
        <v>5500</v>
      </c>
      <c r="H41" s="147"/>
      <c r="I41" s="60">
        <f>Таблица22423[[#This Row],[Стоимость, 
грн]]</f>
        <v>5500</v>
      </c>
      <c r="J41" s="12" t="e">
        <f>Таблица22423[[#This Row],[Доход, 
грн/рейс]]/Таблица22423[[#This Row],[Километраж, 
км]]</f>
        <v>#DIV/0!</v>
      </c>
      <c r="K41" s="12">
        <v>5000</v>
      </c>
      <c r="L41" s="12" t="e">
        <f>Таблица22423[[#This Row],[СС, 
грн/рейс]]/Таблица22423[[#This Row],[Километраж, 
км]]</f>
        <v>#DIV/0!</v>
      </c>
      <c r="M41" s="26">
        <f>Таблица22423[[#This Row],[Доход, 
грн/рейс]]-Таблица22423[[#This Row],[СС, 
грн/рейс]]</f>
        <v>500</v>
      </c>
      <c r="N41" s="24"/>
    </row>
    <row r="42" spans="1:14" ht="13.2" outlineLevel="1" x14ac:dyDescent="0.25">
      <c r="A42" s="14" t="s">
        <v>13</v>
      </c>
      <c r="B42" s="62" t="s">
        <v>63</v>
      </c>
      <c r="C42" s="25">
        <v>45539</v>
      </c>
      <c r="D42" s="57" t="s">
        <v>384</v>
      </c>
      <c r="E42" s="24" t="s">
        <v>13</v>
      </c>
      <c r="F42" s="55" t="s">
        <v>227</v>
      </c>
      <c r="G42" s="58">
        <v>5500</v>
      </c>
      <c r="H42" s="147"/>
      <c r="I42" s="60">
        <f>Таблица22423[[#This Row],[Стоимость, 
грн]]</f>
        <v>5500</v>
      </c>
      <c r="J42" s="12" t="e">
        <f>Таблица22423[[#This Row],[Доход, 
грн/рейс]]/Таблица22423[[#This Row],[Километраж, 
км]]</f>
        <v>#DIV/0!</v>
      </c>
      <c r="K42" s="12">
        <v>5000</v>
      </c>
      <c r="L42" s="12" t="e">
        <f>Таблица22423[[#This Row],[СС, 
грн/рейс]]/Таблица22423[[#This Row],[Километраж, 
км]]</f>
        <v>#DIV/0!</v>
      </c>
      <c r="M42" s="26">
        <f>Таблица22423[[#This Row],[Доход, 
грн/рейс]]-Таблица22423[[#This Row],[СС, 
грн/рейс]]</f>
        <v>500</v>
      </c>
      <c r="N42" s="24"/>
    </row>
    <row r="43" spans="1:14" ht="13.2" outlineLevel="1" x14ac:dyDescent="0.25">
      <c r="A43" s="14" t="s">
        <v>13</v>
      </c>
      <c r="B43" s="62" t="s">
        <v>19</v>
      </c>
      <c r="C43" s="25">
        <v>45539</v>
      </c>
      <c r="D43" s="57" t="s">
        <v>415</v>
      </c>
      <c r="E43" s="24" t="s">
        <v>226</v>
      </c>
      <c r="F43" s="55" t="s">
        <v>473</v>
      </c>
      <c r="G43" s="58">
        <v>9000</v>
      </c>
      <c r="H43" s="60">
        <v>70</v>
      </c>
      <c r="I43" s="60">
        <f>Таблица22423[[#This Row],[Стоимость, 
грн]]</f>
        <v>9000</v>
      </c>
      <c r="J43" s="12">
        <f>Таблица22423[[#This Row],[Доход, 
грн/рейс]]/Таблица22423[[#This Row],[Километраж, 
км]]</f>
        <v>128.57142857142858</v>
      </c>
      <c r="K43" s="12">
        <v>8500</v>
      </c>
      <c r="L43" s="12">
        <f>Таблица22423[[#This Row],[СС, 
грн/рейс]]/Таблица22423[[#This Row],[Километраж, 
км]]</f>
        <v>121.42857142857143</v>
      </c>
      <c r="M43" s="26">
        <f>Таблица22423[[#This Row],[Доход, 
грн/рейс]]-Таблица22423[[#This Row],[СС, 
грн/рейс]]</f>
        <v>500</v>
      </c>
      <c r="N43" s="24"/>
    </row>
    <row r="44" spans="1:14" ht="13.2" outlineLevel="1" x14ac:dyDescent="0.25">
      <c r="A44" s="14" t="s">
        <v>13</v>
      </c>
      <c r="B44" s="62" t="s">
        <v>19</v>
      </c>
      <c r="C44" s="25">
        <v>45539</v>
      </c>
      <c r="D44" s="57" t="s">
        <v>419</v>
      </c>
      <c r="E44" s="24" t="s">
        <v>226</v>
      </c>
      <c r="F44" s="55" t="s">
        <v>474</v>
      </c>
      <c r="G44" s="58">
        <v>9000</v>
      </c>
      <c r="H44" s="56">
        <v>70</v>
      </c>
      <c r="I44" s="60">
        <f>Таблица22423[[#This Row],[Стоимость, 
грн]]</f>
        <v>9000</v>
      </c>
      <c r="J44" s="12">
        <f>Таблица22423[[#This Row],[Доход, 
грн/рейс]]/Таблица22423[[#This Row],[Километраж, 
км]]</f>
        <v>128.57142857142858</v>
      </c>
      <c r="K44" s="12">
        <v>8500</v>
      </c>
      <c r="L44" s="12">
        <f>Таблица22423[[#This Row],[СС, 
грн/рейс]]/Таблица22423[[#This Row],[Километраж, 
км]]</f>
        <v>121.42857142857143</v>
      </c>
      <c r="M44" s="26">
        <f>Таблица22423[[#This Row],[Доход, 
грн/рейс]]-Таблица22423[[#This Row],[СС, 
грн/рейс]]</f>
        <v>500</v>
      </c>
      <c r="N44" s="24"/>
    </row>
    <row r="45" spans="1:14" ht="13.2" outlineLevel="1" x14ac:dyDescent="0.25">
      <c r="A45" s="14" t="s">
        <v>13</v>
      </c>
      <c r="B45" s="62" t="s">
        <v>19</v>
      </c>
      <c r="C45" s="25">
        <v>45539</v>
      </c>
      <c r="D45" s="57" t="s">
        <v>475</v>
      </c>
      <c r="E45" s="24" t="s">
        <v>226</v>
      </c>
      <c r="F45" s="55" t="s">
        <v>476</v>
      </c>
      <c r="G45" s="58">
        <v>9000</v>
      </c>
      <c r="H45" s="56">
        <v>70</v>
      </c>
      <c r="I45" s="60">
        <f>Таблица22423[[#This Row],[Стоимость, 
грн]]</f>
        <v>9000</v>
      </c>
      <c r="J45" s="12">
        <f>Таблица22423[[#This Row],[Доход, 
грн/рейс]]/Таблица22423[[#This Row],[Километраж, 
км]]</f>
        <v>128.57142857142858</v>
      </c>
      <c r="K45" s="12">
        <v>8500</v>
      </c>
      <c r="L45" s="12">
        <f>Таблица22423[[#This Row],[СС, 
грн/рейс]]/Таблица22423[[#This Row],[Километраж, 
км]]</f>
        <v>121.42857142857143</v>
      </c>
      <c r="M45" s="26">
        <f>Таблица22423[[#This Row],[Доход, 
грн/рейс]]-Таблица22423[[#This Row],[СС, 
грн/рейс]]</f>
        <v>500</v>
      </c>
      <c r="N45" s="24"/>
    </row>
    <row r="46" spans="1:14" ht="13.2" outlineLevel="1" collapsed="1" x14ac:dyDescent="0.25">
      <c r="A46" s="14" t="s">
        <v>546</v>
      </c>
      <c r="B46" s="62" t="s">
        <v>466</v>
      </c>
      <c r="C46" s="25">
        <v>45568</v>
      </c>
      <c r="D46" s="57" t="s">
        <v>547</v>
      </c>
      <c r="E46" s="24" t="s">
        <v>548</v>
      </c>
      <c r="F46" s="55" t="s">
        <v>40</v>
      </c>
      <c r="G46" s="58">
        <v>8500</v>
      </c>
      <c r="H46" s="60">
        <v>67</v>
      </c>
      <c r="I46" s="60">
        <f>Таблица22423[[#This Row],[Стоимость, 
грн]]</f>
        <v>8500</v>
      </c>
      <c r="J46" s="12">
        <f>Таблица22423[[#This Row],[Доход, 
грн/рейс]]/Таблица22423[[#This Row],[Километраж, 
км]]</f>
        <v>126.86567164179104</v>
      </c>
      <c r="K46" s="12">
        <v>8000</v>
      </c>
      <c r="L46" s="12">
        <f>Таблица22423[[#This Row],[СС, 
грн/рейс]]/Таблица22423[[#This Row],[Километраж, 
км]]</f>
        <v>119.40298507462687</v>
      </c>
      <c r="M46" s="26">
        <f>Таблица22423[[#This Row],[Доход, 
грн/рейс]]-Таблица22423[[#This Row],[СС, 
грн/рейс]]</f>
        <v>500</v>
      </c>
      <c r="N46" s="24"/>
    </row>
    <row r="47" spans="1:14" ht="13.2" outlineLevel="1" x14ac:dyDescent="0.25">
      <c r="A47" s="14" t="s">
        <v>546</v>
      </c>
      <c r="B47" s="62" t="s">
        <v>466</v>
      </c>
      <c r="C47" s="25">
        <v>45568</v>
      </c>
      <c r="D47" s="57" t="s">
        <v>565</v>
      </c>
      <c r="E47" s="24" t="s">
        <v>548</v>
      </c>
      <c r="F47" s="55" t="s">
        <v>566</v>
      </c>
      <c r="G47" s="58">
        <v>2750</v>
      </c>
      <c r="H47" s="56">
        <v>67</v>
      </c>
      <c r="I47" s="60">
        <f>Таблица22423[[#This Row],[Стоимость, 
грн]]</f>
        <v>2750</v>
      </c>
      <c r="J47" s="12">
        <f>Таблица22423[[#This Row],[Доход, 
грн/рейс]]/Таблица22423[[#This Row],[Километраж, 
км]]</f>
        <v>41.044776119402982</v>
      </c>
      <c r="K47" s="12">
        <v>2500</v>
      </c>
      <c r="L47" s="12">
        <f>Таблица22423[[#This Row],[СС, 
грн/рейс]]/Таблица22423[[#This Row],[Километраж, 
км]]</f>
        <v>37.313432835820898</v>
      </c>
      <c r="M47" s="26">
        <f>Таблица22423[[#This Row],[Доход, 
грн/рейс]]-Таблица22423[[#This Row],[СС, 
грн/рейс]]</f>
        <v>250</v>
      </c>
      <c r="N47" s="24"/>
    </row>
    <row r="48" spans="1:14" ht="13.2" outlineLevel="1" x14ac:dyDescent="0.25">
      <c r="A48" s="14" t="s">
        <v>13</v>
      </c>
      <c r="B48" s="62" t="s">
        <v>515</v>
      </c>
      <c r="C48" s="25">
        <v>45539</v>
      </c>
      <c r="D48" s="57" t="s">
        <v>426</v>
      </c>
      <c r="E48" s="24" t="s">
        <v>13</v>
      </c>
      <c r="F48" s="55" t="s">
        <v>227</v>
      </c>
      <c r="G48" s="58">
        <v>11000</v>
      </c>
      <c r="H48" s="56">
        <v>0</v>
      </c>
      <c r="I48" s="60">
        <f>Таблица22423[[#This Row],[Стоимость, 
грн]]</f>
        <v>11000</v>
      </c>
      <c r="J48" s="12" t="e">
        <f>Таблица22423[[#This Row],[Доход, 
грн/рейс]]/Таблица22423[[#This Row],[Километраж, 
км]]</f>
        <v>#DIV/0!</v>
      </c>
      <c r="K48" s="12">
        <v>11000</v>
      </c>
      <c r="L48" s="12" t="e">
        <f>Таблица22423[[#This Row],[СС, 
грн/рейс]]/Таблица22423[[#This Row],[Километраж, 
км]]</f>
        <v>#DIV/0!</v>
      </c>
      <c r="M48" s="26">
        <f>Таблица22423[[#This Row],[Доход, 
грн/рейс]]-Таблица22423[[#This Row],[СС, 
грн/рейс]]</f>
        <v>0</v>
      </c>
      <c r="N48" s="24"/>
    </row>
    <row r="49" spans="1:14" ht="13.2" outlineLevel="1" x14ac:dyDescent="0.25">
      <c r="A49" s="14" t="s">
        <v>546</v>
      </c>
      <c r="B49" s="62" t="s">
        <v>515</v>
      </c>
      <c r="C49" s="25">
        <v>45568</v>
      </c>
      <c r="D49" s="57" t="s">
        <v>608</v>
      </c>
      <c r="E49" s="24" t="s">
        <v>609</v>
      </c>
      <c r="F49" s="55" t="s">
        <v>40</v>
      </c>
      <c r="G49" s="58">
        <v>5500</v>
      </c>
      <c r="H49" s="60">
        <v>67</v>
      </c>
      <c r="I49" s="60">
        <f>Таблица22423[[#This Row],[Стоимость, 
грн]]</f>
        <v>5500</v>
      </c>
      <c r="J49" s="12">
        <f>Таблица22423[[#This Row],[Доход, 
грн/рейс]]/Таблица22423[[#This Row],[Километраж, 
км]]</f>
        <v>82.089552238805965</v>
      </c>
      <c r="K49" s="12">
        <v>5000</v>
      </c>
      <c r="L49" s="12">
        <f>Таблица22423[[#This Row],[СС, 
грн/рейс]]/Таблица22423[[#This Row],[Километраж, 
км]]</f>
        <v>74.626865671641795</v>
      </c>
      <c r="M49" s="26">
        <f>Таблица22423[[#This Row],[Доход, 
грн/рейс]]-Таблица22423[[#This Row],[СС, 
грн/рейс]]</f>
        <v>500</v>
      </c>
      <c r="N49" s="24"/>
    </row>
    <row r="50" spans="1:14" ht="13.2" outlineLevel="1" x14ac:dyDescent="0.25">
      <c r="A50" s="14" t="s">
        <v>546</v>
      </c>
      <c r="B50" s="62" t="s">
        <v>19</v>
      </c>
      <c r="C50" s="25">
        <v>45568</v>
      </c>
      <c r="D50" s="57" t="s">
        <v>610</v>
      </c>
      <c r="E50" s="24" t="s">
        <v>609</v>
      </c>
      <c r="F50" s="55" t="s">
        <v>40</v>
      </c>
      <c r="G50" s="58">
        <v>8500</v>
      </c>
      <c r="H50" s="56">
        <v>67</v>
      </c>
      <c r="I50" s="60">
        <v>8500</v>
      </c>
      <c r="J50" s="12">
        <f>Таблица22423[[#This Row],[Доход, 
грн/рейс]]/Таблица22423[[#This Row],[Километраж, 
км]]</f>
        <v>126.86567164179104</v>
      </c>
      <c r="K50" s="12">
        <v>8000</v>
      </c>
      <c r="L50" s="12">
        <f>Таблица22423[[#This Row],[СС, 
грн/рейс]]/Таблица22423[[#This Row],[Километраж, 
км]]</f>
        <v>119.40298507462687</v>
      </c>
      <c r="M50" s="26">
        <f>Таблица22423[[#This Row],[Доход, 
грн/рейс]]-Таблица22423[[#This Row],[СС, 
грн/рейс]]</f>
        <v>500</v>
      </c>
      <c r="N50" s="24"/>
    </row>
    <row r="51" spans="1:14" ht="13.2" outlineLevel="1" x14ac:dyDescent="0.25">
      <c r="A51" s="14" t="s">
        <v>630</v>
      </c>
      <c r="B51" s="62" t="s">
        <v>19</v>
      </c>
      <c r="C51" s="25">
        <v>45568</v>
      </c>
      <c r="D51" s="57" t="s">
        <v>631</v>
      </c>
      <c r="E51" s="24" t="s">
        <v>632</v>
      </c>
      <c r="F51" s="55" t="s">
        <v>40</v>
      </c>
      <c r="G51" s="58">
        <v>7000</v>
      </c>
      <c r="H51" s="56">
        <v>70</v>
      </c>
      <c r="I51" s="60">
        <f>Таблица22423[[#This Row],[Стоимость, 
грн]]</f>
        <v>7000</v>
      </c>
      <c r="J51" s="12">
        <f>Таблица22423[[#This Row],[Доход, 
грн/рейс]]/Таблица22423[[#This Row],[Километраж, 
км]]</f>
        <v>100</v>
      </c>
      <c r="K51" s="12">
        <v>6500</v>
      </c>
      <c r="L51" s="12">
        <f>Таблица22423[[#This Row],[СС, 
грн/рейс]]/Таблица22423[[#This Row],[Километраж, 
км]]</f>
        <v>92.857142857142861</v>
      </c>
      <c r="M51" s="26">
        <f>Таблица22423[[#This Row],[Доход, 
грн/рейс]]-Таблица22423[[#This Row],[СС, 
грн/рейс]]</f>
        <v>500</v>
      </c>
      <c r="N51" s="24"/>
    </row>
    <row r="52" spans="1:14" ht="13.2" outlineLevel="1" x14ac:dyDescent="0.25">
      <c r="A52" s="14" t="s">
        <v>261</v>
      </c>
      <c r="B52" s="62" t="s">
        <v>515</v>
      </c>
      <c r="C52" s="25">
        <v>45568</v>
      </c>
      <c r="D52" s="57" t="s">
        <v>631</v>
      </c>
      <c r="E52" s="24" t="s">
        <v>294</v>
      </c>
      <c r="F52" s="55" t="s">
        <v>633</v>
      </c>
      <c r="G52" s="58">
        <v>8400</v>
      </c>
      <c r="H52" s="60">
        <v>58</v>
      </c>
      <c r="I52" s="60">
        <f>Таблица22423[[#This Row],[Стоимость, 
грн]]</f>
        <v>8400</v>
      </c>
      <c r="J52" s="12">
        <f>Таблица22423[[#This Row],[Доход, 
грн/рейс]]/Таблица22423[[#This Row],[Километраж, 
км]]</f>
        <v>144.82758620689654</v>
      </c>
      <c r="K52" s="12">
        <v>8000</v>
      </c>
      <c r="L52" s="12">
        <f>Таблица22423[[#This Row],[СС, 
грн/рейс]]/Таблица22423[[#This Row],[Километраж, 
км]]</f>
        <v>137.93103448275863</v>
      </c>
      <c r="M52" s="26">
        <f>Таблица22423[[#This Row],[Доход, 
грн/рейс]]-Таблица22423[[#This Row],[СС, 
грн/рейс]]</f>
        <v>400</v>
      </c>
      <c r="N52" s="24"/>
    </row>
    <row r="53" spans="1:14" ht="13.2" outlineLevel="1" x14ac:dyDescent="0.25">
      <c r="A53" s="14" t="s">
        <v>158</v>
      </c>
      <c r="B53" s="62" t="s">
        <v>466</v>
      </c>
      <c r="C53" s="25">
        <v>45568</v>
      </c>
      <c r="D53" s="57" t="s">
        <v>643</v>
      </c>
      <c r="E53" s="24" t="s">
        <v>169</v>
      </c>
      <c r="F53" s="55" t="s">
        <v>170</v>
      </c>
      <c r="G53" s="58">
        <v>2750</v>
      </c>
      <c r="H53" s="56">
        <v>70</v>
      </c>
      <c r="I53" s="60">
        <f>Таблица22423[[#This Row],[Стоимость, 
грн]]</f>
        <v>2750</v>
      </c>
      <c r="J53" s="12">
        <f>Таблица22423[[#This Row],[Доход, 
грн/рейс]]/Таблица22423[[#This Row],[Километраж, 
км]]</f>
        <v>39.285714285714285</v>
      </c>
      <c r="K53" s="12">
        <v>2500</v>
      </c>
      <c r="L53" s="12">
        <f>Таблица22423[[#This Row],[СС, 
грн/рейс]]/Таблица22423[[#This Row],[Километраж, 
км]]</f>
        <v>35.714285714285715</v>
      </c>
      <c r="M53" s="26">
        <f>Таблица22423[[#This Row],[Доход, 
грн/рейс]]-Таблица22423[[#This Row],[СС, 
грн/рейс]]</f>
        <v>250</v>
      </c>
      <c r="N53" s="24"/>
    </row>
    <row r="54" spans="1:14" ht="13.2" outlineLevel="1" collapsed="1" x14ac:dyDescent="0.25">
      <c r="A54" s="14" t="s">
        <v>630</v>
      </c>
      <c r="B54" s="62" t="s">
        <v>670</v>
      </c>
      <c r="C54" s="25">
        <v>45597</v>
      </c>
      <c r="D54" s="57" t="s">
        <v>665</v>
      </c>
      <c r="E54" s="24" t="s">
        <v>671</v>
      </c>
      <c r="F54" s="55" t="s">
        <v>40</v>
      </c>
      <c r="G54" s="58">
        <v>8000</v>
      </c>
      <c r="H54" s="56">
        <v>70</v>
      </c>
      <c r="I54" s="60">
        <f>Таблица22423[[#This Row],[Стоимость, 
грн]]</f>
        <v>8000</v>
      </c>
      <c r="J54" s="12">
        <f>Таблица22423[[#This Row],[Доход, 
грн/рейс]]/Таблица22423[[#This Row],[Километраж, 
км]]</f>
        <v>114.28571428571429</v>
      </c>
      <c r="K54" s="12">
        <v>7500</v>
      </c>
      <c r="L54" s="12">
        <f>Таблица22423[[#This Row],[СС, 
грн/рейс]]/Таблица22423[[#This Row],[Километраж, 
км]]</f>
        <v>107.14285714285714</v>
      </c>
      <c r="M54" s="26">
        <f>Таблица22423[[#This Row],[Доход, 
грн/рейс]]-Таблица22423[[#This Row],[СС, 
грн/рейс]]</f>
        <v>500</v>
      </c>
      <c r="N54" s="24"/>
    </row>
    <row r="55" spans="1:14" ht="13.2" outlineLevel="1" x14ac:dyDescent="0.25">
      <c r="A55" s="14" t="s">
        <v>546</v>
      </c>
      <c r="B55" s="62" t="s">
        <v>670</v>
      </c>
      <c r="C55" s="25">
        <v>45597</v>
      </c>
      <c r="D55" s="57" t="s">
        <v>646</v>
      </c>
      <c r="E55" s="24" t="s">
        <v>672</v>
      </c>
      <c r="F55" s="55" t="s">
        <v>673</v>
      </c>
      <c r="G55" s="58">
        <v>8250</v>
      </c>
      <c r="H55" s="60">
        <v>98</v>
      </c>
      <c r="I55" s="60">
        <f>Таблица22423[[#This Row],[Стоимость, 
грн]]</f>
        <v>8250</v>
      </c>
      <c r="J55" s="12">
        <f>Таблица22423[[#This Row],[Доход, 
грн/рейс]]/Таблица22423[[#This Row],[Километраж, 
км]]</f>
        <v>84.183673469387756</v>
      </c>
      <c r="K55" s="12">
        <v>7500</v>
      </c>
      <c r="L55" s="12">
        <f>Таблица22423[[#This Row],[СС, 
грн/рейс]]/Таблица22423[[#This Row],[Километраж, 
км]]</f>
        <v>76.530612244897952</v>
      </c>
      <c r="M55" s="26">
        <f>Таблица22423[[#This Row],[Доход, 
грн/рейс]]-Таблица22423[[#This Row],[СС, 
грн/рейс]]</f>
        <v>750</v>
      </c>
      <c r="N55" s="24"/>
    </row>
    <row r="56" spans="1:14" ht="13.2" outlineLevel="1" x14ac:dyDescent="0.25">
      <c r="A56" s="14" t="s">
        <v>630</v>
      </c>
      <c r="B56" s="62" t="s">
        <v>466</v>
      </c>
      <c r="C56" s="25">
        <v>45597</v>
      </c>
      <c r="D56" s="57" t="s">
        <v>646</v>
      </c>
      <c r="E56" s="24" t="s">
        <v>657</v>
      </c>
      <c r="F56" s="55" t="s">
        <v>674</v>
      </c>
      <c r="G56" s="58">
        <v>5500</v>
      </c>
      <c r="H56" s="56">
        <v>65</v>
      </c>
      <c r="I56" s="60">
        <f>Таблица22423[[#This Row],[Стоимость, 
грн]]</f>
        <v>5500</v>
      </c>
      <c r="J56" s="12">
        <f>Таблица22423[[#This Row],[Доход, 
грн/рейс]]/Таблица22423[[#This Row],[Километраж, 
км]]</f>
        <v>84.615384615384613</v>
      </c>
      <c r="K56" s="12">
        <v>5000</v>
      </c>
      <c r="L56" s="12">
        <f>Таблица22423[[#This Row],[СС, 
грн/рейс]]/Таблица22423[[#This Row],[Километраж, 
км]]</f>
        <v>76.92307692307692</v>
      </c>
      <c r="M56" s="26">
        <f>Таблица22423[[#This Row],[Доход, 
грн/рейс]]-Таблица22423[[#This Row],[СС, 
грн/рейс]]</f>
        <v>500</v>
      </c>
      <c r="N56" s="24"/>
    </row>
    <row r="57" spans="1:14" ht="13.2" outlineLevel="1" x14ac:dyDescent="0.25">
      <c r="A57" s="14" t="s">
        <v>630</v>
      </c>
      <c r="B57" s="62" t="s">
        <v>526</v>
      </c>
      <c r="C57" s="25">
        <v>45597</v>
      </c>
      <c r="D57" s="57" t="s">
        <v>677</v>
      </c>
      <c r="E57" s="24" t="s">
        <v>632</v>
      </c>
      <c r="F57" s="55" t="s">
        <v>40</v>
      </c>
      <c r="G57" s="58">
        <v>8500</v>
      </c>
      <c r="H57" s="56">
        <v>70</v>
      </c>
      <c r="I57" s="60">
        <f>Таблица22423[[#This Row],[Стоимость, 
грн]]</f>
        <v>8500</v>
      </c>
      <c r="J57" s="12">
        <f>Таблица22423[[#This Row],[Доход, 
грн/рейс]]/Таблица22423[[#This Row],[Километраж, 
км]]</f>
        <v>121.42857142857143</v>
      </c>
      <c r="K57" s="12">
        <v>7500</v>
      </c>
      <c r="L57" s="12">
        <f>Таблица22423[[#This Row],[СС, 
грн/рейс]]/Таблица22423[[#This Row],[Километраж, 
км]]</f>
        <v>107.14285714285714</v>
      </c>
      <c r="M57" s="26">
        <f>Таблица22423[[#This Row],[Доход, 
грн/рейс]]-Таблица22423[[#This Row],[СС, 
грн/рейс]]</f>
        <v>1000</v>
      </c>
      <c r="N57" s="24"/>
    </row>
    <row r="58" spans="1:14" ht="13.2" outlineLevel="1" x14ac:dyDescent="0.25">
      <c r="A58" s="14" t="s">
        <v>630</v>
      </c>
      <c r="B58" s="62" t="s">
        <v>670</v>
      </c>
      <c r="C58" s="25">
        <v>45597</v>
      </c>
      <c r="D58" s="57" t="s">
        <v>677</v>
      </c>
      <c r="E58" s="24" t="s">
        <v>632</v>
      </c>
      <c r="F58" s="55" t="s">
        <v>40</v>
      </c>
      <c r="G58" s="58">
        <v>8500</v>
      </c>
      <c r="H58" s="60">
        <v>70</v>
      </c>
      <c r="I58" s="60">
        <f>Таблица22423[[#This Row],[Стоимость, 
грн]]</f>
        <v>8500</v>
      </c>
      <c r="J58" s="12">
        <f>Таблица22423[[#This Row],[Доход, 
грн/рейс]]/Таблица22423[[#This Row],[Километраж, 
км]]</f>
        <v>121.42857142857143</v>
      </c>
      <c r="K58" s="12">
        <v>8000</v>
      </c>
      <c r="L58" s="12">
        <f>Таблица22423[[#This Row],[СС, 
грн/рейс]]/Таблица22423[[#This Row],[Километраж, 
км]]</f>
        <v>114.28571428571429</v>
      </c>
      <c r="M58" s="26">
        <f>Таблица22423[[#This Row],[Доход, 
грн/рейс]]-Таблица22423[[#This Row],[СС, 
грн/рейс]]</f>
        <v>500</v>
      </c>
      <c r="N58" s="24"/>
    </row>
    <row r="59" spans="1:14" ht="13.2" outlineLevel="1" x14ac:dyDescent="0.25">
      <c r="A59" s="14" t="s">
        <v>630</v>
      </c>
      <c r="B59" s="62" t="s">
        <v>466</v>
      </c>
      <c r="C59" s="25">
        <v>45597</v>
      </c>
      <c r="D59" s="57" t="s">
        <v>683</v>
      </c>
      <c r="E59" s="24" t="s">
        <v>657</v>
      </c>
      <c r="F59" s="55" t="s">
        <v>682</v>
      </c>
      <c r="G59" s="58">
        <v>3300</v>
      </c>
      <c r="H59" s="56">
        <v>65</v>
      </c>
      <c r="I59" s="60">
        <f>Таблица22423[[#This Row],[Стоимость, 
грн]]</f>
        <v>3300</v>
      </c>
      <c r="J59" s="12">
        <f>Таблица22423[[#This Row],[Доход, 
грн/рейс]]/Таблица22423[[#This Row],[Километраж, 
км]]</f>
        <v>50.769230769230766</v>
      </c>
      <c r="K59" s="12">
        <v>3000</v>
      </c>
      <c r="L59" s="12">
        <f>Таблица22423[[#This Row],[СС, 
грн/рейс]]/Таблица22423[[#This Row],[Километраж, 
км]]</f>
        <v>46.153846153846153</v>
      </c>
      <c r="M59" s="26">
        <f>Таблица22423[[#This Row],[Доход, 
грн/рейс]]-Таблица22423[[#This Row],[СС, 
грн/рейс]]</f>
        <v>300</v>
      </c>
      <c r="N59" s="24"/>
    </row>
    <row r="60" spans="1:14" ht="13.2" x14ac:dyDescent="0.25">
      <c r="A60" s="14" t="s">
        <v>630</v>
      </c>
      <c r="B60" s="62" t="s">
        <v>526</v>
      </c>
      <c r="C60" s="25">
        <v>45627</v>
      </c>
      <c r="D60" s="57" t="s">
        <v>691</v>
      </c>
      <c r="E60" s="24" t="s">
        <v>632</v>
      </c>
      <c r="F60" s="55" t="s">
        <v>692</v>
      </c>
      <c r="G60" s="58">
        <v>2750</v>
      </c>
      <c r="H60" s="56">
        <v>70</v>
      </c>
      <c r="I60" s="60">
        <f>Таблица22423[[#This Row],[Стоимость, 
грн]]</f>
        <v>2750</v>
      </c>
      <c r="J60" s="12">
        <f>Таблица22423[[#This Row],[Доход, 
грн/рейс]]/Таблица22423[[#This Row],[Километраж, 
км]]</f>
        <v>39.285714285714285</v>
      </c>
      <c r="K60" s="12">
        <v>2500</v>
      </c>
      <c r="L60" s="12">
        <f>Таблица22423[[#This Row],[СС, 
грн/рейс]]/Таблица22423[[#This Row],[Километраж, 
км]]</f>
        <v>35.714285714285715</v>
      </c>
      <c r="M60" s="26">
        <f>Таблица22423[[#This Row],[Доход, 
грн/рейс]]-Таблица22423[[#This Row],[СС, 
грн/рейс]]</f>
        <v>250</v>
      </c>
      <c r="N60" s="24"/>
    </row>
    <row r="61" spans="1:14" ht="13.2" x14ac:dyDescent="0.25">
      <c r="A61" s="14" t="s">
        <v>693</v>
      </c>
      <c r="B61" s="62" t="s">
        <v>670</v>
      </c>
      <c r="C61" s="25">
        <v>45627</v>
      </c>
      <c r="D61" s="57" t="s">
        <v>694</v>
      </c>
      <c r="E61" s="24" t="s">
        <v>672</v>
      </c>
      <c r="F61" s="190" t="s">
        <v>673</v>
      </c>
      <c r="G61" s="58">
        <v>10000</v>
      </c>
      <c r="H61" s="60">
        <v>98</v>
      </c>
      <c r="I61" s="60">
        <f>Таблица22423[[#This Row],[Стоимость, 
грн]]</f>
        <v>10000</v>
      </c>
      <c r="J61" s="12">
        <f>Таблица22423[[#This Row],[Доход, 
грн/рейс]]/Таблица22423[[#This Row],[Километраж, 
км]]</f>
        <v>102.04081632653062</v>
      </c>
      <c r="K61" s="12">
        <v>9500</v>
      </c>
      <c r="L61" s="12">
        <f>Таблица22423[[#This Row],[СС, 
грн/рейс]]/Таблица22423[[#This Row],[Километраж, 
км]]</f>
        <v>96.938775510204081</v>
      </c>
      <c r="M61" s="26">
        <f>Таблица22423[[#This Row],[Доход, 
грн/рейс]]-Таблица22423[[#This Row],[СС, 
грн/рейс]]</f>
        <v>500</v>
      </c>
      <c r="N61" s="24"/>
    </row>
    <row r="62" spans="1:14" ht="13.2" x14ac:dyDescent="0.25">
      <c r="A62" s="124" t="s">
        <v>693</v>
      </c>
      <c r="B62" s="125" t="s">
        <v>670</v>
      </c>
      <c r="C62" s="126">
        <v>45627</v>
      </c>
      <c r="D62" s="127" t="s">
        <v>700</v>
      </c>
      <c r="E62" s="128" t="s">
        <v>672</v>
      </c>
      <c r="F62" s="191" t="s">
        <v>673</v>
      </c>
      <c r="G62" s="130">
        <v>9350</v>
      </c>
      <c r="H62" s="131">
        <v>98</v>
      </c>
      <c r="I62" s="131">
        <f>Таблица22423[[#This Row],[Стоимость, 
грн]]</f>
        <v>9350</v>
      </c>
      <c r="J62" s="132">
        <f>Таблица22423[[#This Row],[Доход, 
грн/рейс]]/Таблица22423[[#This Row],[Километраж, 
км]]</f>
        <v>95.408163265306129</v>
      </c>
      <c r="K62" s="132">
        <v>8500</v>
      </c>
      <c r="L62" s="133">
        <f>Таблица22423[[#This Row],[СС, 
грн/рейс]]/Таблица22423[[#This Row],[Километраж, 
км]]</f>
        <v>86.734693877551024</v>
      </c>
      <c r="M62" s="134">
        <f>Таблица22423[[#This Row],[Доход, 
грн/рейс]]-Таблица22423[[#This Row],[СС, 
грн/рейс]]</f>
        <v>850</v>
      </c>
      <c r="N62" s="128"/>
    </row>
    <row r="63" spans="1:14" ht="13.2" x14ac:dyDescent="0.25">
      <c r="A63" s="124" t="s">
        <v>630</v>
      </c>
      <c r="B63" s="125" t="s">
        <v>526</v>
      </c>
      <c r="C63" s="126">
        <v>45627</v>
      </c>
      <c r="D63" s="127" t="s">
        <v>707</v>
      </c>
      <c r="E63" s="128" t="s">
        <v>632</v>
      </c>
      <c r="F63" s="191" t="s">
        <v>40</v>
      </c>
      <c r="G63" s="130">
        <v>7150</v>
      </c>
      <c r="H63" s="131">
        <v>70</v>
      </c>
      <c r="I63" s="131">
        <f>Таблица22423[[#This Row],[Стоимость, 
грн]]</f>
        <v>7150</v>
      </c>
      <c r="J63" s="132">
        <f>Таблица22423[[#This Row],[Доход, 
грн/рейс]]/Таблица22423[[#This Row],[Километраж, 
км]]</f>
        <v>102.14285714285714</v>
      </c>
      <c r="K63" s="132">
        <v>6500</v>
      </c>
      <c r="L63" s="133">
        <f>Таблица22423[[#This Row],[СС, 
грн/рейс]]/Таблица22423[[#This Row],[Километраж, 
км]]</f>
        <v>92.857142857142861</v>
      </c>
      <c r="M63" s="134">
        <f>Таблица22423[[#This Row],[Доход, 
грн/рейс]]-Таблица22423[[#This Row],[СС, 
грн/рейс]]</f>
        <v>650</v>
      </c>
      <c r="N63" s="128"/>
    </row>
    <row r="64" spans="1:14" ht="13.2" x14ac:dyDescent="0.25">
      <c r="A64" s="124" t="s">
        <v>630</v>
      </c>
      <c r="B64" s="125" t="s">
        <v>466</v>
      </c>
      <c r="C64" s="126">
        <v>45627</v>
      </c>
      <c r="D64" s="127" t="s">
        <v>721</v>
      </c>
      <c r="E64" s="128" t="s">
        <v>730</v>
      </c>
      <c r="F64" s="129" t="s">
        <v>731</v>
      </c>
      <c r="G64" s="130">
        <v>2100</v>
      </c>
      <c r="H64" s="131">
        <v>40</v>
      </c>
      <c r="I64" s="131">
        <f>Таблица22423[[#This Row],[Стоимость, 
грн]]</f>
        <v>2100</v>
      </c>
      <c r="J64" s="132">
        <f>Таблица22423[[#This Row],[Доход, 
грн/рейс]]/Таблица22423[[#This Row],[Километраж, 
км]]</f>
        <v>52.5</v>
      </c>
      <c r="K64" s="132">
        <v>2000</v>
      </c>
      <c r="L64" s="133">
        <f>Таблица22423[[#This Row],[СС, 
грн/рейс]]/Таблица22423[[#This Row],[Километраж, 
км]]</f>
        <v>50</v>
      </c>
      <c r="M64" s="134">
        <f>Таблица22423[[#This Row],[Доход, 
грн/рейс]]-Таблица22423[[#This Row],[СС, 
грн/рейс]]</f>
        <v>100</v>
      </c>
      <c r="N64" s="128"/>
    </row>
    <row r="65" spans="1:14" ht="13.2" x14ac:dyDescent="0.25">
      <c r="A65" s="168" t="s">
        <v>743</v>
      </c>
      <c r="B65" s="125" t="s">
        <v>466</v>
      </c>
      <c r="C65" s="126">
        <v>45627</v>
      </c>
      <c r="D65" s="161" t="s">
        <v>735</v>
      </c>
      <c r="E65" s="169" t="s">
        <v>742</v>
      </c>
      <c r="F65" s="170" t="s">
        <v>741</v>
      </c>
      <c r="G65" s="163">
        <v>2200</v>
      </c>
      <c r="H65" s="171">
        <v>50</v>
      </c>
      <c r="I65" s="171">
        <f>Таблица22423[[#This Row],[Стоимость, 
грн]]</f>
        <v>2200</v>
      </c>
      <c r="J65" s="172">
        <f>Таблица22423[[#This Row],[Доход, 
грн/рейс]]/Таблица22423[[#This Row],[Километраж, 
км]]</f>
        <v>44</v>
      </c>
      <c r="K65" s="172">
        <v>2000</v>
      </c>
      <c r="L65" s="166">
        <f>Таблица22423[[#This Row],[СС, 
грн/рейс]]/Таблица22423[[#This Row],[Километраж, 
км]]</f>
        <v>40</v>
      </c>
      <c r="M65" s="173">
        <f>Таблица22423[[#This Row],[Доход, 
грн/рейс]]-Таблица22423[[#This Row],[СС, 
грн/рейс]]</f>
        <v>200</v>
      </c>
      <c r="N65" s="169"/>
    </row>
    <row r="66" spans="1:14" ht="13.2" x14ac:dyDescent="0.25">
      <c r="A66" s="124" t="s">
        <v>630</v>
      </c>
      <c r="B66" s="125" t="s">
        <v>670</v>
      </c>
      <c r="C66" s="126">
        <v>45627</v>
      </c>
      <c r="D66" s="161" t="s">
        <v>748</v>
      </c>
      <c r="E66" s="157" t="s">
        <v>671</v>
      </c>
      <c r="F66" s="192" t="s">
        <v>40</v>
      </c>
      <c r="G66" s="130">
        <v>9600</v>
      </c>
      <c r="H66" s="131">
        <v>80</v>
      </c>
      <c r="I66" s="131">
        <f>Таблица22423[[#This Row],[Стоимость, 
грн]]</f>
        <v>9600</v>
      </c>
      <c r="J66" s="132">
        <f>Таблица22423[[#This Row],[Доход, 
грн/рейс]]/Таблица22423[[#This Row],[Километраж, 
км]]</f>
        <v>120</v>
      </c>
      <c r="K66" s="132">
        <v>9000</v>
      </c>
      <c r="L66" s="133">
        <f>Таблица22423[[#This Row],[СС, 
грн/рейс]]/Таблица22423[[#This Row],[Километраж, 
км]]</f>
        <v>112.5</v>
      </c>
      <c r="M66" s="134">
        <f>Таблица22423[[#This Row],[Доход, 
грн/рейс]]-Таблица22423[[#This Row],[СС, 
грн/рейс]]</f>
        <v>600</v>
      </c>
      <c r="N66" s="128"/>
    </row>
    <row r="67" spans="1:14" ht="13.2" x14ac:dyDescent="0.25">
      <c r="A67" s="124" t="s">
        <v>630</v>
      </c>
      <c r="B67" s="125" t="s">
        <v>526</v>
      </c>
      <c r="C67" s="126">
        <v>45627</v>
      </c>
      <c r="D67" s="161" t="s">
        <v>746</v>
      </c>
      <c r="E67" s="157" t="s">
        <v>671</v>
      </c>
      <c r="F67" s="192" t="s">
        <v>40</v>
      </c>
      <c r="G67" s="130">
        <v>9800</v>
      </c>
      <c r="H67" s="131">
        <v>80</v>
      </c>
      <c r="I67" s="131">
        <f>Таблица22423[[#This Row],[Стоимость, 
грн]]</f>
        <v>9800</v>
      </c>
      <c r="J67" s="132">
        <f>Таблица22423[[#This Row],[Доход, 
грн/рейс]]/Таблица22423[[#This Row],[Километраж, 
км]]</f>
        <v>122.5</v>
      </c>
      <c r="K67" s="132">
        <v>9200</v>
      </c>
      <c r="L67" s="133">
        <f>Таблица22423[[#This Row],[СС, 
грн/рейс]]/Таблица22423[[#This Row],[Километраж, 
км]]</f>
        <v>115</v>
      </c>
      <c r="M67" s="134">
        <f>Таблица22423[[#This Row],[Доход, 
грн/рейс]]-Таблица22423[[#This Row],[СС, 
грн/рейс]]</f>
        <v>600</v>
      </c>
      <c r="N67" s="128"/>
    </row>
    <row r="68" spans="1:14" ht="13.2" x14ac:dyDescent="0.25">
      <c r="A68" s="14" t="s">
        <v>310</v>
      </c>
      <c r="B68" s="62" t="s">
        <v>526</v>
      </c>
      <c r="C68" s="126">
        <v>45627</v>
      </c>
      <c r="D68" s="161" t="s">
        <v>753</v>
      </c>
      <c r="E68" s="157" t="s">
        <v>751</v>
      </c>
      <c r="F68" s="129" t="s">
        <v>752</v>
      </c>
      <c r="G68" s="130">
        <v>2640</v>
      </c>
      <c r="H68" s="131">
        <v>72</v>
      </c>
      <c r="I68" s="131">
        <f>Таблица22423[[#This Row],[Стоимость, 
грн]]</f>
        <v>2640</v>
      </c>
      <c r="J68" s="132">
        <f>Таблица22423[[#This Row],[Доход, 
грн/рейс]]/Таблица22423[[#This Row],[Километраж, 
км]]</f>
        <v>36.666666666666664</v>
      </c>
      <c r="K68" s="132">
        <v>2400</v>
      </c>
      <c r="L68" s="133">
        <f>Таблица22423[[#This Row],[СС, 
грн/рейс]]/Таблица22423[[#This Row],[Километраж, 
км]]</f>
        <v>33.333333333333336</v>
      </c>
      <c r="M68" s="134">
        <f>Таблица22423[[#This Row],[Доход, 
грн/рейс]]-Таблица22423[[#This Row],[СС, 
грн/рейс]]</f>
        <v>240</v>
      </c>
      <c r="N68" s="128"/>
    </row>
    <row r="69" spans="1:14" ht="13.2" x14ac:dyDescent="0.25">
      <c r="A69" s="124" t="s">
        <v>630</v>
      </c>
      <c r="B69" s="62" t="s">
        <v>526</v>
      </c>
      <c r="C69" s="178">
        <v>45658</v>
      </c>
      <c r="D69" s="179" t="s">
        <v>756</v>
      </c>
      <c r="E69" s="157" t="s">
        <v>671</v>
      </c>
      <c r="F69" s="331" t="s">
        <v>40</v>
      </c>
      <c r="G69" s="130">
        <v>8500</v>
      </c>
      <c r="H69" s="131">
        <v>80</v>
      </c>
      <c r="I69" s="131">
        <f>Таблица22423[[#This Row],[Стоимость, 
грн]]</f>
        <v>8500</v>
      </c>
      <c r="J69" s="132">
        <f>Таблица22423[[#This Row],[Доход, 
грн/рейс]]/Таблица22423[[#This Row],[Километраж, 
км]]</f>
        <v>106.25</v>
      </c>
      <c r="K69" s="132">
        <v>8000</v>
      </c>
      <c r="L69" s="133">
        <f>Таблица22423[[#This Row],[СС, 
грн/рейс]]/Таблица22423[[#This Row],[Километраж, 
км]]</f>
        <v>100</v>
      </c>
      <c r="M69" s="134">
        <f>Таблица22423[[#This Row],[Доход, 
грн/рейс]]-Таблица22423[[#This Row],[СС, 
грн/рейс]]</f>
        <v>500</v>
      </c>
      <c r="N69" s="128"/>
    </row>
    <row r="70" spans="1:14" ht="13.2" x14ac:dyDescent="0.25">
      <c r="A70" s="124" t="s">
        <v>630</v>
      </c>
      <c r="B70" s="62" t="s">
        <v>526</v>
      </c>
      <c r="C70" s="178">
        <v>45658</v>
      </c>
      <c r="D70" s="179" t="s">
        <v>757</v>
      </c>
      <c r="E70" s="157" t="s">
        <v>671</v>
      </c>
      <c r="F70" s="158" t="s">
        <v>40</v>
      </c>
      <c r="G70" s="130">
        <v>5000</v>
      </c>
      <c r="H70" s="131">
        <v>80</v>
      </c>
      <c r="I70" s="131">
        <f>Таблица22423[[#This Row],[Стоимость, 
грн]]</f>
        <v>5000</v>
      </c>
      <c r="J70" s="132">
        <f>Таблица22423[[#This Row],[Доход, 
грн/рейс]]/Таблица22423[[#This Row],[Километраж, 
км]]</f>
        <v>62.5</v>
      </c>
      <c r="K70" s="132">
        <v>4500</v>
      </c>
      <c r="L70" s="133">
        <f>Таблица22423[[#This Row],[СС, 
грн/рейс]]/Таблица22423[[#This Row],[Километраж, 
км]]</f>
        <v>56.25</v>
      </c>
      <c r="M70" s="134">
        <f>Таблица22423[[#This Row],[Доход, 
грн/рейс]]-Таблица22423[[#This Row],[СС, 
грн/рейс]]</f>
        <v>500</v>
      </c>
      <c r="N70" s="128"/>
    </row>
    <row r="71" spans="1:14" ht="13.2" x14ac:dyDescent="0.25">
      <c r="A71" s="168" t="s">
        <v>743</v>
      </c>
      <c r="B71" s="125" t="s">
        <v>466</v>
      </c>
      <c r="C71" s="178">
        <v>45658</v>
      </c>
      <c r="D71" s="179" t="s">
        <v>758</v>
      </c>
      <c r="E71" s="157" t="s">
        <v>742</v>
      </c>
      <c r="F71" s="158" t="s">
        <v>759</v>
      </c>
      <c r="G71" s="130">
        <v>2400</v>
      </c>
      <c r="H71" s="131">
        <v>35</v>
      </c>
      <c r="I71" s="131">
        <f>Таблица22423[[#This Row],[Стоимость, 
грн]]</f>
        <v>2400</v>
      </c>
      <c r="J71" s="132">
        <f>Таблица22423[[#This Row],[Доход, 
грн/рейс]]/Таблица22423[[#This Row],[Километраж, 
км]]</f>
        <v>68.571428571428569</v>
      </c>
      <c r="K71" s="132">
        <v>2200</v>
      </c>
      <c r="L71" s="133">
        <f>Таблица22423[[#This Row],[СС, 
грн/рейс]]/Таблица22423[[#This Row],[Километраж, 
км]]</f>
        <v>62.857142857142854</v>
      </c>
      <c r="M71" s="134">
        <f>Таблица22423[[#This Row],[Доход, 
грн/рейс]]-Таблица22423[[#This Row],[СС, 
грн/рейс]]</f>
        <v>200</v>
      </c>
      <c r="N71" s="128"/>
    </row>
    <row r="72" spans="1:14" ht="13.2" x14ac:dyDescent="0.25">
      <c r="A72" s="124" t="s">
        <v>708</v>
      </c>
      <c r="B72" s="62" t="s">
        <v>526</v>
      </c>
      <c r="C72" s="178">
        <v>45658</v>
      </c>
      <c r="D72" s="179" t="s">
        <v>768</v>
      </c>
      <c r="E72" s="157" t="s">
        <v>769</v>
      </c>
      <c r="F72" s="129" t="s">
        <v>195</v>
      </c>
      <c r="G72" s="130">
        <v>3300</v>
      </c>
      <c r="H72" s="131">
        <v>34</v>
      </c>
      <c r="I72" s="131">
        <f>Таблица22423[[#This Row],[Стоимость, 
грн]]</f>
        <v>3300</v>
      </c>
      <c r="J72" s="132">
        <f>Таблица22423[[#This Row],[Доход, 
грн/рейс]]/Таблица22423[[#This Row],[Километраж, 
км]]</f>
        <v>97.058823529411768</v>
      </c>
      <c r="K72" s="132">
        <v>3000</v>
      </c>
      <c r="L72" s="133">
        <f>Таблица22423[[#This Row],[СС, 
грн/рейс]]/Таблица22423[[#This Row],[Километраж, 
км]]</f>
        <v>88.235294117647058</v>
      </c>
      <c r="M72" s="134">
        <f>Таблица22423[[#This Row],[Доход, 
грн/рейс]]-Таблица22423[[#This Row],[СС, 
грн/рейс]]</f>
        <v>300</v>
      </c>
      <c r="N72" s="128"/>
    </row>
    <row r="73" spans="1:14" ht="13.2" x14ac:dyDescent="0.25">
      <c r="A73" s="168" t="s">
        <v>743</v>
      </c>
      <c r="B73" s="62" t="s">
        <v>526</v>
      </c>
      <c r="C73" s="178">
        <v>45658</v>
      </c>
      <c r="D73" s="179" t="s">
        <v>774</v>
      </c>
      <c r="E73" s="157" t="s">
        <v>742</v>
      </c>
      <c r="F73" s="158" t="s">
        <v>773</v>
      </c>
      <c r="G73" s="130">
        <v>2200</v>
      </c>
      <c r="H73" s="131">
        <v>35</v>
      </c>
      <c r="I73" s="131">
        <f>Таблица22423[[#This Row],[Стоимость, 
грн]]</f>
        <v>2200</v>
      </c>
      <c r="J73" s="132">
        <f>Таблица22423[[#This Row],[Доход, 
грн/рейс]]/Таблица22423[[#This Row],[Километраж, 
км]]</f>
        <v>62.857142857142854</v>
      </c>
      <c r="K73" s="132">
        <v>2000</v>
      </c>
      <c r="L73" s="133">
        <f>Таблица22423[[#This Row],[СС, 
грн/рейс]]/Таблица22423[[#This Row],[Километраж, 
км]]</f>
        <v>57.142857142857146</v>
      </c>
      <c r="M73" s="134">
        <f>Таблица22423[[#This Row],[Доход, 
грн/рейс]]-Таблица22423[[#This Row],[СС, 
грн/рейс]]</f>
        <v>200</v>
      </c>
      <c r="N73" s="128"/>
    </row>
    <row r="74" spans="1:14" ht="13.2" x14ac:dyDescent="0.25">
      <c r="A74" s="14" t="s">
        <v>762</v>
      </c>
      <c r="B74" s="125" t="s">
        <v>526</v>
      </c>
      <c r="C74" s="178">
        <v>45658</v>
      </c>
      <c r="D74" s="179" t="s">
        <v>798</v>
      </c>
      <c r="E74" s="157" t="s">
        <v>169</v>
      </c>
      <c r="F74" s="158" t="s">
        <v>170</v>
      </c>
      <c r="G74" s="130">
        <v>3300</v>
      </c>
      <c r="H74" s="131">
        <v>85</v>
      </c>
      <c r="I74" s="131">
        <f>Таблица22423[[#This Row],[Стоимость, 
грн]]</f>
        <v>3300</v>
      </c>
      <c r="J74" s="132">
        <f>Таблица22423[[#This Row],[Доход, 
грн/рейс]]/Таблица22423[[#This Row],[Километраж, 
км]]</f>
        <v>38.823529411764703</v>
      </c>
      <c r="K74" s="132">
        <v>3000</v>
      </c>
      <c r="L74" s="133">
        <f>Таблица22423[[#This Row],[СС, 
грн/рейс]]/Таблица22423[[#This Row],[Километраж, 
км]]</f>
        <v>35.294117647058826</v>
      </c>
      <c r="M74" s="134">
        <f>Таблица22423[[#This Row],[Доход, 
грн/рейс]]-Таблица22423[[#This Row],[СС, 
грн/рейс]]</f>
        <v>300</v>
      </c>
      <c r="N74" s="128"/>
    </row>
    <row r="75" spans="1:14" ht="13.2" x14ac:dyDescent="0.25">
      <c r="A75" s="14" t="s">
        <v>693</v>
      </c>
      <c r="B75" s="125" t="s">
        <v>670</v>
      </c>
      <c r="C75" s="178">
        <v>45658</v>
      </c>
      <c r="D75" s="179" t="s">
        <v>799</v>
      </c>
      <c r="E75" s="157" t="s">
        <v>85</v>
      </c>
      <c r="F75" s="158" t="s">
        <v>800</v>
      </c>
      <c r="G75" s="130">
        <v>2750</v>
      </c>
      <c r="H75" s="131">
        <v>50</v>
      </c>
      <c r="I75" s="131">
        <f>Таблица22423[[#This Row],[Стоимость, 
грн]]</f>
        <v>2750</v>
      </c>
      <c r="J75" s="132">
        <f>Таблица22423[[#This Row],[Доход, 
грн/рейс]]/Таблица22423[[#This Row],[Километраж, 
км]]</f>
        <v>55</v>
      </c>
      <c r="K75" s="132">
        <v>2500</v>
      </c>
      <c r="L75" s="133">
        <f>Таблица22423[[#This Row],[СС, 
грн/рейс]]/Таблица22423[[#This Row],[Километраж, 
км]]</f>
        <v>50</v>
      </c>
      <c r="M75" s="134">
        <f>Таблица22423[[#This Row],[Доход, 
грн/рейс]]-Таблица22423[[#This Row],[СС, 
грн/рейс]]</f>
        <v>250</v>
      </c>
      <c r="N75" s="128"/>
    </row>
    <row r="76" spans="1:14" ht="13.2" x14ac:dyDescent="0.25">
      <c r="A76" s="14" t="s">
        <v>808</v>
      </c>
      <c r="B76" s="125" t="s">
        <v>526</v>
      </c>
      <c r="C76" s="183">
        <v>45689</v>
      </c>
      <c r="D76" s="186" t="s">
        <v>807</v>
      </c>
      <c r="E76" s="157" t="s">
        <v>809</v>
      </c>
      <c r="F76" s="331" t="s">
        <v>810</v>
      </c>
      <c r="G76" s="130">
        <v>9000</v>
      </c>
      <c r="H76" s="131">
        <v>98</v>
      </c>
      <c r="I76" s="131">
        <f>Таблица22423[[#This Row],[Стоимость, 
грн]]</f>
        <v>9000</v>
      </c>
      <c r="J76" s="132">
        <f>Таблица22423[[#This Row],[Доход, 
грн/рейс]]/Таблица22423[[#This Row],[Километраж, 
км]]</f>
        <v>91.836734693877546</v>
      </c>
      <c r="K76" s="132">
        <v>8500</v>
      </c>
      <c r="L76" s="133">
        <f>Таблица22423[[#This Row],[СС, 
грн/рейс]]/Таблица22423[[#This Row],[Километраж, 
км]]</f>
        <v>86.734693877551024</v>
      </c>
      <c r="M76" s="134">
        <f>Таблица22423[[#This Row],[Доход, 
грн/рейс]]-Таблица22423[[#This Row],[СС, 
грн/рейс]]</f>
        <v>500</v>
      </c>
      <c r="N76" s="128"/>
    </row>
    <row r="77" spans="1:14" ht="13.2" x14ac:dyDescent="0.25">
      <c r="A77" s="14" t="s">
        <v>940</v>
      </c>
      <c r="B77" s="125" t="s">
        <v>670</v>
      </c>
      <c r="C77" s="284">
        <v>45748</v>
      </c>
      <c r="D77" s="285" t="s">
        <v>936</v>
      </c>
      <c r="E77" s="157" t="s">
        <v>544</v>
      </c>
      <c r="F77" s="331" t="s">
        <v>941</v>
      </c>
      <c r="G77" s="130">
        <v>9400</v>
      </c>
      <c r="H77" s="131">
        <v>96</v>
      </c>
      <c r="I77" s="131">
        <f>Таблица22423[[#This Row],[Стоимость, 
грн]]</f>
        <v>9400</v>
      </c>
      <c r="J77" s="132">
        <f>Таблица22423[[#This Row],[Доход, 
грн/рейс]]/Таблица22423[[#This Row],[Километраж, 
км]]</f>
        <v>97.916666666666671</v>
      </c>
      <c r="K77" s="132">
        <v>8500</v>
      </c>
      <c r="L77" s="133">
        <f>Таблица22423[[#This Row],[СС, 
грн/рейс]]/Таблица22423[[#This Row],[Километраж, 
км]]</f>
        <v>88.541666666666671</v>
      </c>
      <c r="M77" s="134">
        <f>Таблица22423[[#This Row],[Доход, 
грн/рейс]]-Таблица22423[[#This Row],[СС, 
грн/рейс]]</f>
        <v>900</v>
      </c>
      <c r="N77" s="128"/>
    </row>
    <row r="78" spans="1:14" ht="13.2" x14ac:dyDescent="0.25">
      <c r="A78" s="221" t="s">
        <v>847</v>
      </c>
      <c r="B78" s="125" t="s">
        <v>526</v>
      </c>
      <c r="C78" s="284">
        <v>45748</v>
      </c>
      <c r="D78" s="285" t="s">
        <v>935</v>
      </c>
      <c r="E78" s="201" t="s">
        <v>946</v>
      </c>
      <c r="F78" s="158" t="s">
        <v>944</v>
      </c>
      <c r="G78" s="130">
        <v>9900</v>
      </c>
      <c r="H78" s="131">
        <v>98</v>
      </c>
      <c r="I78" s="131">
        <f>Таблица22423[[#This Row],[Стоимость, 
грн]]</f>
        <v>9900</v>
      </c>
      <c r="J78" s="132">
        <f>Таблица22423[[#This Row],[Доход, 
грн/рейс]]/Таблица22423[[#This Row],[Километраж, 
км]]</f>
        <v>101.0204081632653</v>
      </c>
      <c r="K78" s="132">
        <v>9000</v>
      </c>
      <c r="L78" s="133">
        <f>Таблица22423[[#This Row],[СС, 
грн/рейс]]/Таблица22423[[#This Row],[Километраж, 
км]]</f>
        <v>91.836734693877546</v>
      </c>
      <c r="M78" s="134">
        <f>Таблица22423[[#This Row],[Доход, 
грн/рейс]]-Таблица22423[[#This Row],[СС, 
грн/рейс]]</f>
        <v>900</v>
      </c>
      <c r="N78" s="128"/>
    </row>
    <row r="79" spans="1:14" ht="13.2" x14ac:dyDescent="0.25">
      <c r="A79" s="14" t="s">
        <v>293</v>
      </c>
      <c r="B79" s="125" t="s">
        <v>466</v>
      </c>
      <c r="C79" s="284">
        <v>45748</v>
      </c>
      <c r="D79" s="285" t="s">
        <v>945</v>
      </c>
      <c r="E79" s="157" t="s">
        <v>273</v>
      </c>
      <c r="F79" s="158" t="s">
        <v>395</v>
      </c>
      <c r="G79" s="130">
        <v>3850</v>
      </c>
      <c r="H79" s="131">
        <v>86</v>
      </c>
      <c r="I79" s="131">
        <f>Таблица22423[[#This Row],[Стоимость, 
грн]]</f>
        <v>3850</v>
      </c>
      <c r="J79" s="132">
        <f>Таблица22423[[#This Row],[Доход, 
грн/рейс]]/Таблица22423[[#This Row],[Километраж, 
км]]</f>
        <v>44.767441860465119</v>
      </c>
      <c r="K79" s="132">
        <v>3500</v>
      </c>
      <c r="L79" s="133">
        <f>Таблица22423[[#This Row],[СС, 
грн/рейс]]/Таблица22423[[#This Row],[Километраж, 
км]]</f>
        <v>40.697674418604649</v>
      </c>
      <c r="M79" s="134">
        <f>Таблица22423[[#This Row],[Доход, 
грн/рейс]]-Таблица22423[[#This Row],[СС, 
грн/рейс]]</f>
        <v>350</v>
      </c>
      <c r="N79" s="128"/>
    </row>
    <row r="80" spans="1:14" ht="13.2" x14ac:dyDescent="0.25">
      <c r="A80" s="221" t="s">
        <v>847</v>
      </c>
      <c r="B80" s="511" t="s">
        <v>466</v>
      </c>
      <c r="C80" s="342">
        <v>45778</v>
      </c>
      <c r="D80" s="343" t="s">
        <v>1013</v>
      </c>
      <c r="E80" s="157" t="s">
        <v>169</v>
      </c>
      <c r="F80" s="158" t="s">
        <v>170</v>
      </c>
      <c r="G80" s="130">
        <v>1650</v>
      </c>
      <c r="H80" s="131">
        <v>86</v>
      </c>
      <c r="I80" s="131">
        <f>Таблица22423[[#This Row],[Стоимость, 
грн]]</f>
        <v>1650</v>
      </c>
      <c r="J80" s="132">
        <f>Таблица22423[[#This Row],[Доход, 
грн/рейс]]/Таблица22423[[#This Row],[Километраж, 
км]]</f>
        <v>19.186046511627907</v>
      </c>
      <c r="K80" s="132">
        <v>1500</v>
      </c>
      <c r="L80" s="133">
        <f>Таблица22423[[#This Row],[СС, 
грн/рейс]]/Таблица22423[[#This Row],[Километраж, 
км]]</f>
        <v>17.441860465116278</v>
      </c>
      <c r="M80" s="134">
        <f>Таблица22423[[#This Row],[Доход, 
грн/рейс]]-Таблица22423[[#This Row],[СС, 
грн/рейс]]</f>
        <v>150</v>
      </c>
      <c r="N80" s="128"/>
    </row>
    <row r="81" spans="1:14" ht="13.2" x14ac:dyDescent="0.25">
      <c r="A81" s="14" t="s">
        <v>546</v>
      </c>
      <c r="B81" s="62" t="s">
        <v>670</v>
      </c>
      <c r="C81" s="461">
        <v>45809</v>
      </c>
      <c r="D81" s="187" t="s">
        <v>148</v>
      </c>
      <c r="E81" s="128" t="s">
        <v>672</v>
      </c>
      <c r="F81" s="158" t="s">
        <v>673</v>
      </c>
      <c r="G81" s="130">
        <v>12350</v>
      </c>
      <c r="H81" s="131">
        <v>95</v>
      </c>
      <c r="I81" s="131">
        <f>Таблица22423[[#This Row],[Стоимость, 
грн]]</f>
        <v>12350</v>
      </c>
      <c r="J81" s="132">
        <f>Таблица22423[[#This Row],[Доход, 
грн/рейс]]/Таблица22423[[#This Row],[Километраж, 
км]]</f>
        <v>130</v>
      </c>
      <c r="K81" s="132">
        <v>8500</v>
      </c>
      <c r="L81" s="133">
        <f>Таблица22423[[#This Row],[СС, 
грн/рейс]]/Таблица22423[[#This Row],[Километраж, 
км]]</f>
        <v>89.473684210526315</v>
      </c>
      <c r="M81" s="134">
        <f>Таблица22423[[#This Row],[Доход, 
грн/рейс]]-Таблица22423[[#This Row],[СС, 
грн/рейс]]</f>
        <v>3850</v>
      </c>
      <c r="N81" s="128"/>
    </row>
    <row r="82" spans="1:14" ht="13.2" x14ac:dyDescent="0.25">
      <c r="A82" s="14" t="s">
        <v>1009</v>
      </c>
      <c r="B82" s="85" t="s">
        <v>515</v>
      </c>
      <c r="C82" s="461">
        <v>45809</v>
      </c>
      <c r="D82" s="187" t="s">
        <v>161</v>
      </c>
      <c r="E82" s="286" t="s">
        <v>544</v>
      </c>
      <c r="F82" s="158" t="s">
        <v>1056</v>
      </c>
      <c r="G82" s="130">
        <v>12870</v>
      </c>
      <c r="H82" s="131">
        <v>99</v>
      </c>
      <c r="I82" s="131">
        <f>Таблица22423[[#This Row],[Стоимость, 
грн]]</f>
        <v>12870</v>
      </c>
      <c r="J82" s="132">
        <f>Таблица22423[[#This Row],[Доход, 
грн/рейс]]/Таблица22423[[#This Row],[Километраж, 
км]]</f>
        <v>130</v>
      </c>
      <c r="K82" s="132">
        <v>12000</v>
      </c>
      <c r="L82" s="133">
        <f>Таблица22423[[#This Row],[СС, 
грн/рейс]]/Таблица22423[[#This Row],[Километраж, 
км]]</f>
        <v>121.21212121212122</v>
      </c>
      <c r="M82" s="134">
        <f>Таблица22423[[#This Row],[Доход, 
грн/рейс]]-Таблица22423[[#This Row],[СС, 
грн/рейс]]</f>
        <v>870</v>
      </c>
      <c r="N82" s="128"/>
    </row>
    <row r="83" spans="1:14" ht="13.2" x14ac:dyDescent="0.25">
      <c r="A83" s="14" t="s">
        <v>1010</v>
      </c>
      <c r="B83" s="125" t="s">
        <v>466</v>
      </c>
      <c r="C83" s="461">
        <v>45809</v>
      </c>
      <c r="D83" s="187" t="s">
        <v>162</v>
      </c>
      <c r="E83" s="157" t="s">
        <v>1063</v>
      </c>
      <c r="F83" s="158" t="s">
        <v>1062</v>
      </c>
      <c r="G83" s="130">
        <v>4400</v>
      </c>
      <c r="H83" s="131">
        <v>98</v>
      </c>
      <c r="I83" s="131">
        <f>Таблица22423[[#This Row],[Стоимость, 
грн]]</f>
        <v>4400</v>
      </c>
      <c r="J83" s="132">
        <f>Таблица22423[[#This Row],[Доход, 
грн/рейс]]/Таблица22423[[#This Row],[Километраж, 
км]]</f>
        <v>44.897959183673471</v>
      </c>
      <c r="K83" s="132">
        <v>4000</v>
      </c>
      <c r="L83" s="133">
        <f>Таблица22423[[#This Row],[СС, 
грн/рейс]]/Таблица22423[[#This Row],[Километраж, 
км]]</f>
        <v>40.816326530612244</v>
      </c>
      <c r="M83" s="134">
        <f>Таблица22423[[#This Row],[Доход, 
грн/рейс]]-Таблица22423[[#This Row],[СС, 
грн/рейс]]</f>
        <v>400</v>
      </c>
      <c r="N83" s="128"/>
    </row>
    <row r="84" spans="1:14" ht="13.2" x14ac:dyDescent="0.25">
      <c r="A84" s="14" t="s">
        <v>1068</v>
      </c>
      <c r="B84" s="125" t="s">
        <v>526</v>
      </c>
      <c r="C84" s="461">
        <v>45809</v>
      </c>
      <c r="D84" s="187" t="s">
        <v>1067</v>
      </c>
      <c r="E84" s="157" t="s">
        <v>273</v>
      </c>
      <c r="F84" s="158" t="s">
        <v>395</v>
      </c>
      <c r="G84" s="130">
        <v>6300</v>
      </c>
      <c r="H84" s="131">
        <v>86</v>
      </c>
      <c r="I84" s="131">
        <f>Таблица22423[[#This Row],[Стоимость, 
грн]]</f>
        <v>6300</v>
      </c>
      <c r="J84" s="132">
        <f>Таблица22423[[#This Row],[Доход, 
грн/рейс]]/Таблица22423[[#This Row],[Километраж, 
км]]</f>
        <v>73.255813953488371</v>
      </c>
      <c r="K84" s="132">
        <v>5700</v>
      </c>
      <c r="L84" s="133">
        <f>Таблица22423[[#This Row],[СС, 
грн/рейс]]/Таблица22423[[#This Row],[Километраж, 
км]]</f>
        <v>66.279069767441854</v>
      </c>
      <c r="M84" s="134">
        <f>Таблица22423[[#This Row],[Доход, 
грн/рейс]]-Таблица22423[[#This Row],[СС, 
грн/рейс]]</f>
        <v>600</v>
      </c>
      <c r="N84" s="128"/>
    </row>
    <row r="85" spans="1:14" ht="13.2" x14ac:dyDescent="0.25">
      <c r="A85" s="299" t="s">
        <v>1071</v>
      </c>
      <c r="B85" s="125" t="s">
        <v>526</v>
      </c>
      <c r="C85" s="527">
        <v>45839</v>
      </c>
      <c r="D85" s="195" t="s">
        <v>182</v>
      </c>
      <c r="E85" s="157" t="s">
        <v>200</v>
      </c>
      <c r="F85" s="158" t="s">
        <v>201</v>
      </c>
      <c r="G85" s="130">
        <v>2750</v>
      </c>
      <c r="H85" s="131">
        <v>50</v>
      </c>
      <c r="I85" s="131">
        <f>Таблица22423[[#This Row],[Стоимость, 
грн]]</f>
        <v>2750</v>
      </c>
      <c r="J85" s="132">
        <f>Таблица22423[[#This Row],[Доход, 
грн/рейс]]/Таблица22423[[#This Row],[Километраж, 
км]]</f>
        <v>55</v>
      </c>
      <c r="K85" s="132">
        <v>2500</v>
      </c>
      <c r="L85" s="133">
        <f>Таблица22423[[#This Row],[СС, 
грн/рейс]]/Таблица22423[[#This Row],[Километраж, 
км]]</f>
        <v>50</v>
      </c>
      <c r="M85" s="134">
        <f>Таблица22423[[#This Row],[Доход, 
грн/рейс]]-Таблица22423[[#This Row],[СС, 
грн/рейс]]</f>
        <v>250</v>
      </c>
      <c r="N85" s="128"/>
    </row>
    <row r="86" spans="1:14" ht="13.2" x14ac:dyDescent="0.25">
      <c r="A86" s="536"/>
      <c r="B86" s="125"/>
      <c r="C86" s="126"/>
      <c r="D86" s="127"/>
      <c r="E86" s="128"/>
      <c r="F86" s="129"/>
      <c r="G86" s="130"/>
      <c r="H86" s="131"/>
      <c r="I86" s="131">
        <f>Таблица22423[[#This Row],[Стоимость, 
грн]]</f>
        <v>0</v>
      </c>
      <c r="J86" s="132" t="e">
        <f>Таблица22423[[#This Row],[Доход, 
грн/рейс]]/Таблица22423[[#This Row],[Километраж, 
км]]</f>
        <v>#DIV/0!</v>
      </c>
      <c r="K86" s="132"/>
      <c r="L86" s="133" t="e">
        <f>Таблица22423[[#This Row],[СС, 
грн/рейс]]/Таблица22423[[#This Row],[Километраж, 
км]]</f>
        <v>#DIV/0!</v>
      </c>
      <c r="M86" s="134">
        <f>Таблица22423[[#This Row],[Доход, 
грн/рейс]]-Таблица22423[[#This Row],[СС, 
грн/рейс]]</f>
        <v>0</v>
      </c>
      <c r="N86" s="128"/>
    </row>
    <row r="87" spans="1:14" ht="13.2" x14ac:dyDescent="0.25">
      <c r="A87" s="124"/>
      <c r="B87" s="125"/>
      <c r="C87" s="126"/>
      <c r="D87" s="127"/>
      <c r="E87" s="128"/>
      <c r="F87" s="129"/>
      <c r="G87" s="130"/>
      <c r="H87" s="131"/>
      <c r="I87" s="131">
        <f>Таблица22423[[#This Row],[Стоимость, 
грн]]</f>
        <v>0</v>
      </c>
      <c r="J87" s="132" t="e">
        <f>Таблица22423[[#This Row],[Доход, 
грн/рейс]]/Таблица22423[[#This Row],[Километраж, 
км]]</f>
        <v>#DIV/0!</v>
      </c>
      <c r="K87" s="132"/>
      <c r="L87" s="133" t="e">
        <f>Таблица22423[[#This Row],[СС, 
грн/рейс]]/Таблица22423[[#This Row],[Километраж, 
км]]</f>
        <v>#DIV/0!</v>
      </c>
      <c r="M87" s="134">
        <f>Таблица22423[[#This Row],[Доход, 
грн/рейс]]-Таблица22423[[#This Row],[СС, 
грн/рейс]]</f>
        <v>0</v>
      </c>
      <c r="N87" s="128"/>
    </row>
    <row r="88" spans="1:14" ht="13.2" x14ac:dyDescent="0.25">
      <c r="A88" s="124"/>
      <c r="B88" s="125"/>
      <c r="C88" s="126"/>
      <c r="D88" s="127"/>
      <c r="E88" s="128"/>
      <c r="F88" s="129"/>
      <c r="G88" s="130"/>
      <c r="H88" s="131"/>
      <c r="I88" s="131">
        <f>Таблица22423[[#This Row],[Стоимость, 
грн]]</f>
        <v>0</v>
      </c>
      <c r="J88" s="132" t="e">
        <f>Таблица22423[[#This Row],[Доход, 
грн/рейс]]/Таблица22423[[#This Row],[Километраж, 
км]]</f>
        <v>#DIV/0!</v>
      </c>
      <c r="K88" s="132"/>
      <c r="L88" s="133" t="e">
        <f>Таблица22423[[#This Row],[СС, 
грн/рейс]]/Таблица22423[[#This Row],[Километраж, 
км]]</f>
        <v>#DIV/0!</v>
      </c>
      <c r="M88" s="134">
        <f>Таблица22423[[#This Row],[Доход, 
грн/рейс]]-Таблица22423[[#This Row],[СС, 
грн/рейс]]</f>
        <v>0</v>
      </c>
      <c r="N88" s="128"/>
    </row>
    <row r="89" spans="1:14" ht="13.2" x14ac:dyDescent="0.25">
      <c r="A89" s="124"/>
      <c r="B89" s="125"/>
      <c r="C89" s="126"/>
      <c r="D89" s="127"/>
      <c r="E89" s="128"/>
      <c r="F89" s="129"/>
      <c r="G89" s="130"/>
      <c r="H89" s="131"/>
      <c r="I89" s="131">
        <f>Таблица22423[[#This Row],[Стоимость, 
грн]]</f>
        <v>0</v>
      </c>
      <c r="J89" s="132" t="e">
        <f>Таблица22423[[#This Row],[Доход, 
грн/рейс]]/Таблица22423[[#This Row],[Километраж, 
км]]</f>
        <v>#DIV/0!</v>
      </c>
      <c r="K89" s="132"/>
      <c r="L89" s="133" t="e">
        <f>Таблица22423[[#This Row],[СС, 
грн/рейс]]/Таблица22423[[#This Row],[Километраж, 
км]]</f>
        <v>#DIV/0!</v>
      </c>
      <c r="M89" s="134">
        <f>Таблица22423[[#This Row],[Доход, 
грн/рейс]]-Таблица22423[[#This Row],[СС, 
грн/рейс]]</f>
        <v>0</v>
      </c>
      <c r="N89" s="128"/>
    </row>
    <row r="90" spans="1:14" ht="13.2" x14ac:dyDescent="0.25">
      <c r="A90" s="124"/>
      <c r="B90" s="125"/>
      <c r="C90" s="126"/>
      <c r="D90" s="127"/>
      <c r="E90" s="128"/>
      <c r="F90" s="129"/>
      <c r="G90" s="130"/>
      <c r="H90" s="131"/>
      <c r="I90" s="131">
        <f>Таблица22423[[#This Row],[Стоимость, 
грн]]</f>
        <v>0</v>
      </c>
      <c r="J90" s="132" t="e">
        <f>Таблица22423[[#This Row],[Доход, 
грн/рейс]]/Таблица22423[[#This Row],[Километраж, 
км]]</f>
        <v>#DIV/0!</v>
      </c>
      <c r="K90" s="132"/>
      <c r="L90" s="133" t="e">
        <f>Таблица22423[[#This Row],[СС, 
грн/рейс]]/Таблица22423[[#This Row],[Километраж, 
км]]</f>
        <v>#DIV/0!</v>
      </c>
      <c r="M90" s="134">
        <f>Таблица22423[[#This Row],[Доход, 
грн/рейс]]-Таблица22423[[#This Row],[СС, 
грн/рейс]]</f>
        <v>0</v>
      </c>
      <c r="N90" s="128"/>
    </row>
    <row r="91" spans="1:14" ht="13.2" x14ac:dyDescent="0.25">
      <c r="A91" s="124"/>
      <c r="B91" s="125"/>
      <c r="C91" s="126"/>
      <c r="D91" s="127"/>
      <c r="E91" s="128"/>
      <c r="F91" s="129"/>
      <c r="G91" s="130"/>
      <c r="H91" s="131"/>
      <c r="I91" s="131">
        <f>Таблица22423[[#This Row],[Стоимость, 
грн]]</f>
        <v>0</v>
      </c>
      <c r="J91" s="132" t="e">
        <f>Таблица22423[[#This Row],[Доход, 
грн/рейс]]/Таблица22423[[#This Row],[Километраж, 
км]]</f>
        <v>#DIV/0!</v>
      </c>
      <c r="K91" s="132"/>
      <c r="L91" s="133" t="e">
        <f>Таблица22423[[#This Row],[СС, 
грн/рейс]]/Таблица22423[[#This Row],[Километраж, 
км]]</f>
        <v>#DIV/0!</v>
      </c>
      <c r="M91" s="134">
        <f>Таблица22423[[#This Row],[Доход, 
грн/рейс]]-Таблица22423[[#This Row],[СС, 
грн/рейс]]</f>
        <v>0</v>
      </c>
      <c r="N91" s="128"/>
    </row>
    <row r="92" spans="1:14" ht="13.2" x14ac:dyDescent="0.25">
      <c r="A92" s="124"/>
      <c r="B92" s="125"/>
      <c r="C92" s="126"/>
      <c r="D92" s="127"/>
      <c r="E92" s="128"/>
      <c r="F92" s="129"/>
      <c r="G92" s="130"/>
      <c r="H92" s="131"/>
      <c r="I92" s="131">
        <f>Таблица22423[[#This Row],[Стоимость, 
грн]]</f>
        <v>0</v>
      </c>
      <c r="J92" s="132" t="e">
        <f>Таблица22423[[#This Row],[Доход, 
грн/рейс]]/Таблица22423[[#This Row],[Километраж, 
км]]</f>
        <v>#DIV/0!</v>
      </c>
      <c r="K92" s="132"/>
      <c r="L92" s="133" t="e">
        <f>Таблица22423[[#This Row],[СС, 
грн/рейс]]/Таблица22423[[#This Row],[Километраж, 
км]]</f>
        <v>#DIV/0!</v>
      </c>
      <c r="M92" s="134">
        <f>Таблица22423[[#This Row],[Доход, 
грн/рейс]]-Таблица22423[[#This Row],[СС, 
грн/рейс]]</f>
        <v>0</v>
      </c>
      <c r="N92" s="128"/>
    </row>
    <row r="93" spans="1:14" ht="13.2" x14ac:dyDescent="0.25">
      <c r="A93" s="124"/>
      <c r="B93" s="125"/>
      <c r="C93" s="126"/>
      <c r="D93" s="127"/>
      <c r="E93" s="128"/>
      <c r="F93" s="129"/>
      <c r="G93" s="130"/>
      <c r="H93" s="131"/>
      <c r="I93" s="131">
        <f>Таблица22423[[#This Row],[Стоимость, 
грн]]</f>
        <v>0</v>
      </c>
      <c r="J93" s="132" t="e">
        <f>Таблица22423[[#This Row],[Доход, 
грн/рейс]]/Таблица22423[[#This Row],[Километраж, 
км]]</f>
        <v>#DIV/0!</v>
      </c>
      <c r="K93" s="132"/>
      <c r="L93" s="133" t="e">
        <f>Таблица22423[[#This Row],[СС, 
грн/рейс]]/Таблица22423[[#This Row],[Километраж, 
км]]</f>
        <v>#DIV/0!</v>
      </c>
      <c r="M93" s="134">
        <f>Таблица22423[[#This Row],[Доход, 
грн/рейс]]-Таблица22423[[#This Row],[СС, 
грн/рейс]]</f>
        <v>0</v>
      </c>
      <c r="N93" s="128"/>
    </row>
    <row r="94" spans="1:14" ht="13.2" x14ac:dyDescent="0.25">
      <c r="A94" s="124"/>
      <c r="B94" s="125"/>
      <c r="C94" s="126"/>
      <c r="D94" s="127"/>
      <c r="E94" s="128"/>
      <c r="F94" s="129"/>
      <c r="G94" s="130"/>
      <c r="H94" s="131"/>
      <c r="I94" s="131">
        <f>Таблица22423[[#This Row],[Стоимость, 
грн]]</f>
        <v>0</v>
      </c>
      <c r="J94" s="132" t="e">
        <f>Таблица22423[[#This Row],[Доход, 
грн/рейс]]/Таблица22423[[#This Row],[Километраж, 
км]]</f>
        <v>#DIV/0!</v>
      </c>
      <c r="K94" s="132"/>
      <c r="L94" s="133" t="e">
        <f>Таблица22423[[#This Row],[СС, 
грн/рейс]]/Таблица22423[[#This Row],[Километраж, 
км]]</f>
        <v>#DIV/0!</v>
      </c>
      <c r="M94" s="134">
        <f>Таблица22423[[#This Row],[Доход, 
грн/рейс]]-Таблица22423[[#This Row],[СС, 
грн/рейс]]</f>
        <v>0</v>
      </c>
      <c r="N94" s="128"/>
    </row>
    <row r="95" spans="1:14" ht="13.2" x14ac:dyDescent="0.25">
      <c r="A95" s="124"/>
      <c r="B95" s="125"/>
      <c r="C95" s="126"/>
      <c r="D95" s="127"/>
      <c r="E95" s="128"/>
      <c r="F95" s="129"/>
      <c r="G95" s="130"/>
      <c r="H95" s="131"/>
      <c r="I95" s="131">
        <f>Таблица22423[[#This Row],[Стоимость, 
грн]]</f>
        <v>0</v>
      </c>
      <c r="J95" s="132" t="e">
        <f>Таблица22423[[#This Row],[Доход, 
грн/рейс]]/Таблица22423[[#This Row],[Километраж, 
км]]</f>
        <v>#DIV/0!</v>
      </c>
      <c r="K95" s="132"/>
      <c r="L95" s="133" t="e">
        <f>Таблица22423[[#This Row],[СС, 
грн/рейс]]/Таблица22423[[#This Row],[Километраж, 
км]]</f>
        <v>#DIV/0!</v>
      </c>
      <c r="M95" s="134">
        <f>Таблица22423[[#This Row],[Доход, 
грн/рейс]]-Таблица22423[[#This Row],[СС, 
грн/рейс]]</f>
        <v>0</v>
      </c>
      <c r="N95" s="128"/>
    </row>
    <row r="96" spans="1:14" ht="13.2" x14ac:dyDescent="0.25">
      <c r="A96" s="136"/>
      <c r="B96" s="137"/>
      <c r="C96" s="138"/>
      <c r="D96" s="139"/>
      <c r="E96" s="140"/>
      <c r="F96" s="141"/>
      <c r="G96" s="142"/>
      <c r="H96" s="143"/>
      <c r="I96" s="143">
        <f>Таблица22423[[#This Row],[Стоимость, 
грн]]</f>
        <v>0</v>
      </c>
      <c r="J96" s="144" t="e">
        <f>Таблица22423[[#This Row],[Доход, 
грн/рейс]]/Таблица22423[[#This Row],[Километраж, 
км]]</f>
        <v>#DIV/0!</v>
      </c>
      <c r="K96" s="144"/>
      <c r="L96" s="145" t="e">
        <f>Таблица22423[[#This Row],[СС, 
грн/рейс]]/Таблица22423[[#This Row],[Километраж, 
км]]</f>
        <v>#DIV/0!</v>
      </c>
      <c r="M96" s="146">
        <f>Таблица22423[[#This Row],[Доход, 
грн/рейс]]-Таблица22423[[#This Row],[СС, 
грн/рейс]]</f>
        <v>0</v>
      </c>
      <c r="N96" s="140"/>
    </row>
  </sheetData>
  <mergeCells count="1">
    <mergeCell ref="A1:N1"/>
  </mergeCells>
  <pageMargins left="0.25" right="0.25" top="0.75" bottom="0.75" header="0.3" footer="0.3"/>
  <pageSetup paperSize="9" scale="36" orientation="landscape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96" sqref="A96"/>
    </sheetView>
  </sheetViews>
  <sheetFormatPr defaultRowHeight="14.4" outlineLevelRow="1" outlineLevelCol="1" x14ac:dyDescent="0.3"/>
  <cols>
    <col min="1" max="1" width="27.109375" style="1" customWidth="1"/>
    <col min="2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25.777343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546" t="s">
        <v>59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thickBot="1" x14ac:dyDescent="0.3">
      <c r="A2" s="2"/>
      <c r="B2" s="2"/>
      <c r="C2" s="17"/>
      <c r="D2" s="19"/>
      <c r="E2" s="2"/>
      <c r="G2" s="3" t="e">
        <f>SUM(Таблица22424[[#All],[Стоимость, 
грн]])</f>
        <v>#REF!</v>
      </c>
      <c r="I2" s="3"/>
      <c r="J2" s="65"/>
      <c r="K2" s="3">
        <f>SUM(Таблица22424[[#All],[СС, 
грн/рейс]])</f>
        <v>467400</v>
      </c>
      <c r="L2" s="3"/>
      <c r="M2" s="3"/>
    </row>
    <row r="3" spans="1:14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ht="13.8" hidden="1" outlineLevel="1" thickTop="1" x14ac:dyDescent="0.25">
      <c r="A4" s="14" t="s">
        <v>37</v>
      </c>
      <c r="B4" s="62" t="s">
        <v>17</v>
      </c>
      <c r="C4" s="16">
        <v>45396</v>
      </c>
      <c r="D4" s="57" t="s">
        <v>24</v>
      </c>
      <c r="E4" s="24" t="s">
        <v>32</v>
      </c>
      <c r="F4" s="9" t="s">
        <v>40</v>
      </c>
      <c r="G4" s="64">
        <v>10000</v>
      </c>
      <c r="H4" s="11">
        <v>130</v>
      </c>
      <c r="I4" s="60">
        <f>Таблица22424[[#This Row],[Стоимость, 
грн]]</f>
        <v>10000</v>
      </c>
      <c r="J4" s="12">
        <f>Таблица22424[[#This Row],[Доход, 
грн/рейс]]/Таблица22424[[#This Row],[Километраж, 
км]]</f>
        <v>76.92307692307692</v>
      </c>
      <c r="K4" s="59">
        <v>10000</v>
      </c>
      <c r="L4" s="59">
        <f>Таблица22424[[#This Row],[СС, 
грн/рейс]]/Таблица22424[[#This Row],[Километраж, 
км]]</f>
        <v>76.92307692307692</v>
      </c>
      <c r="M4" s="26">
        <f>Таблица22424[[#This Row],[Доход, 
грн/рейс]]-Таблица22424[[#This Row],[СС, 
грн/рейс]]</f>
        <v>0</v>
      </c>
      <c r="N4" s="24" t="s">
        <v>48</v>
      </c>
    </row>
    <row r="5" spans="1:14" ht="13.8" hidden="1" outlineLevel="1" thickTop="1" x14ac:dyDescent="0.25">
      <c r="A5" s="14" t="s">
        <v>37</v>
      </c>
      <c r="B5" s="62" t="s">
        <v>17</v>
      </c>
      <c r="C5" s="16">
        <v>45396</v>
      </c>
      <c r="D5" s="57" t="s">
        <v>25</v>
      </c>
      <c r="E5" s="24" t="s">
        <v>33</v>
      </c>
      <c r="F5" s="9" t="s">
        <v>40</v>
      </c>
      <c r="G5" s="64">
        <v>12500</v>
      </c>
      <c r="H5" s="11">
        <v>130</v>
      </c>
      <c r="I5" s="60">
        <f>Таблица22424[[#This Row],[Стоимость, 
грн]]</f>
        <v>12500</v>
      </c>
      <c r="J5" s="12">
        <f>Таблица22424[[#This Row],[Доход, 
грн/рейс]]/Таблица22424[[#This Row],[Километраж, 
км]]</f>
        <v>96.15384615384616</v>
      </c>
      <c r="K5" s="12">
        <v>11000</v>
      </c>
      <c r="L5" s="12">
        <f>Таблица22424[[#This Row],[СС, 
грн/рейс]]/Таблица22424[[#This Row],[Километраж, 
км]]</f>
        <v>84.615384615384613</v>
      </c>
      <c r="M5" s="26">
        <f>Таблица22424[[#This Row],[Доход, 
грн/рейс]]-Таблица22424[[#This Row],[СС, 
грн/рейс]]</f>
        <v>1500</v>
      </c>
      <c r="N5" s="24" t="s">
        <v>49</v>
      </c>
    </row>
    <row r="6" spans="1:14" ht="13.8" hidden="1" outlineLevel="1" thickTop="1" x14ac:dyDescent="0.25">
      <c r="A6" s="14" t="s">
        <v>37</v>
      </c>
      <c r="B6" s="62" t="s">
        <v>63</v>
      </c>
      <c r="C6" s="25">
        <v>45420</v>
      </c>
      <c r="D6" s="57" t="s">
        <v>87</v>
      </c>
      <c r="E6" s="24" t="s">
        <v>33</v>
      </c>
      <c r="F6" s="9" t="s">
        <v>40</v>
      </c>
      <c r="G6" s="73">
        <v>7800</v>
      </c>
      <c r="H6" s="11">
        <v>130</v>
      </c>
      <c r="I6" s="60">
        <f>Таблица22424[[#This Row],[Стоимость, 
грн]]</f>
        <v>7800</v>
      </c>
      <c r="J6" s="12">
        <f>Таблица22424[[#This Row],[Доход, 
грн/рейс]]/Таблица22424[[#This Row],[Километраж, 
км]]</f>
        <v>60</v>
      </c>
      <c r="K6" s="12">
        <v>7000</v>
      </c>
      <c r="L6" s="12">
        <f>Таблица22424[[#This Row],[СС, 
грн/рейс]]/Таблица22424[[#This Row],[Километраж, 
км]]</f>
        <v>53.846153846153847</v>
      </c>
      <c r="M6" s="26">
        <f>Таблица22424[[#This Row],[Доход, 
грн/рейс]]-Таблица22424[[#This Row],[СС, 
грн/рейс]]</f>
        <v>800</v>
      </c>
      <c r="N6" s="24" t="s">
        <v>98</v>
      </c>
    </row>
    <row r="7" spans="1:14" ht="13.8" hidden="1" outlineLevel="1" thickTop="1" x14ac:dyDescent="0.25">
      <c r="A7" s="14" t="s">
        <v>158</v>
      </c>
      <c r="B7" s="62" t="s">
        <v>63</v>
      </c>
      <c r="C7" s="25">
        <v>45459</v>
      </c>
      <c r="D7" s="57" t="s">
        <v>160</v>
      </c>
      <c r="E7" s="24" t="s">
        <v>149</v>
      </c>
      <c r="F7" s="9" t="s">
        <v>167</v>
      </c>
      <c r="G7" s="73">
        <v>4400</v>
      </c>
      <c r="H7" s="11">
        <v>119</v>
      </c>
      <c r="I7" s="60">
        <f>Таблица22424[[#This Row],[Стоимость, 
грн]]</f>
        <v>4400</v>
      </c>
      <c r="J7" s="12">
        <f>Таблица22424[[#This Row],[Доход, 
грн/рейс]]/Таблица22424[[#This Row],[Километраж, 
км]]</f>
        <v>36.974789915966383</v>
      </c>
      <c r="K7" s="12">
        <v>4000</v>
      </c>
      <c r="L7" s="12">
        <f>Таблица22424[[#This Row],[СС, 
грн/рейс]]/Таблица22424[[#This Row],[Километраж, 
км]]</f>
        <v>33.613445378151262</v>
      </c>
      <c r="M7" s="26">
        <f>Таблица22424[[#This Row],[Доход, 
грн/рейс]]-Таблица22424[[#This Row],[СС, 
грн/рейс]]</f>
        <v>400</v>
      </c>
      <c r="N7" s="24" t="s">
        <v>230</v>
      </c>
    </row>
    <row r="8" spans="1:14" ht="13.8" hidden="1" outlineLevel="1" thickTop="1" x14ac:dyDescent="0.25">
      <c r="A8" s="14" t="s">
        <v>158</v>
      </c>
      <c r="B8" s="62" t="s">
        <v>63</v>
      </c>
      <c r="C8" s="25">
        <v>45460</v>
      </c>
      <c r="D8" s="57" t="s">
        <v>160</v>
      </c>
      <c r="E8" s="24" t="s">
        <v>149</v>
      </c>
      <c r="F8" s="9" t="s">
        <v>168</v>
      </c>
      <c r="G8" s="73">
        <v>4400</v>
      </c>
      <c r="H8" s="11">
        <v>126</v>
      </c>
      <c r="I8" s="60">
        <f>Таблица22424[[#This Row],[Стоимость, 
грн]]</f>
        <v>4400</v>
      </c>
      <c r="J8" s="12">
        <f>Таблица22424[[#This Row],[Доход, 
грн/рейс]]/Таблица22424[[#This Row],[Километраж, 
км]]</f>
        <v>34.920634920634917</v>
      </c>
      <c r="K8" s="12">
        <v>4000</v>
      </c>
      <c r="L8" s="12">
        <f>Таблица22424[[#This Row],[СС, 
грн/рейс]]/Таблица22424[[#This Row],[Километраж, 
км]]</f>
        <v>31.746031746031747</v>
      </c>
      <c r="M8" s="26">
        <f>Таблица22424[[#This Row],[Доход, 
грн/рейс]]-Таблица22424[[#This Row],[СС, 
грн/рейс]]</f>
        <v>400</v>
      </c>
      <c r="N8" s="24" t="s">
        <v>231</v>
      </c>
    </row>
    <row r="9" spans="1:14" ht="13.8" hidden="1" outlineLevel="1" thickTop="1" x14ac:dyDescent="0.25">
      <c r="A9" s="14" t="s">
        <v>158</v>
      </c>
      <c r="B9" s="62" t="s">
        <v>63</v>
      </c>
      <c r="C9" s="25">
        <v>45477</v>
      </c>
      <c r="D9" s="57" t="s">
        <v>196</v>
      </c>
      <c r="E9" s="24" t="s">
        <v>149</v>
      </c>
      <c r="F9" s="9" t="s">
        <v>167</v>
      </c>
      <c r="G9" s="73">
        <v>5500</v>
      </c>
      <c r="H9" s="11">
        <v>119</v>
      </c>
      <c r="I9" s="60">
        <f>Таблица22424[[#This Row],[Стоимость, 
грн]]</f>
        <v>5500</v>
      </c>
      <c r="J9" s="12">
        <f>Таблица22424[[#This Row],[Доход, 
грн/рейс]]/Таблица22424[[#This Row],[Километраж, 
км]]</f>
        <v>46.218487394957982</v>
      </c>
      <c r="K9" s="12">
        <v>5000</v>
      </c>
      <c r="L9" s="12">
        <f>Таблица22424[[#This Row],[СС, 
грн/рейс]]/Таблица22424[[#This Row],[Километраж, 
км]]</f>
        <v>42.016806722689076</v>
      </c>
      <c r="M9" s="26">
        <f>Таблица22424[[#This Row],[Доход, 
грн/рейс]]-Таблица22424[[#This Row],[СС, 
грн/рейс]]</f>
        <v>500</v>
      </c>
      <c r="N9" s="24" t="s">
        <v>242</v>
      </c>
    </row>
    <row r="10" spans="1:14" ht="13.8" hidden="1" outlineLevel="1" collapsed="1" thickTop="1" x14ac:dyDescent="0.25">
      <c r="A10" s="14" t="s">
        <v>158</v>
      </c>
      <c r="B10" s="62" t="s">
        <v>63</v>
      </c>
      <c r="C10" s="25">
        <v>45478</v>
      </c>
      <c r="D10" s="57" t="s">
        <v>186</v>
      </c>
      <c r="E10" s="24" t="s">
        <v>149</v>
      </c>
      <c r="F10" s="9" t="s">
        <v>167</v>
      </c>
      <c r="G10" s="73">
        <v>1800</v>
      </c>
      <c r="H10" s="11">
        <v>119</v>
      </c>
      <c r="I10" s="60">
        <f>Таблица22424[[#This Row],[Стоимость, 
грн]]</f>
        <v>1800</v>
      </c>
      <c r="J10" s="12">
        <f>Таблица22424[[#This Row],[Доход, 
грн/рейс]]/Таблица22424[[#This Row],[Километраж, 
км]]</f>
        <v>15.126050420168067</v>
      </c>
      <c r="K10" s="12">
        <v>1600</v>
      </c>
      <c r="L10" s="12">
        <f>Таблица22424[[#This Row],[СС, 
грн/рейс]]/Таблица22424[[#This Row],[Километраж, 
км]]</f>
        <v>13.445378151260504</v>
      </c>
      <c r="M10" s="26">
        <f>Таблица22424[[#This Row],[Доход, 
грн/рейс]]-Таблица22424[[#This Row],[СС, 
грн/рейс]]</f>
        <v>200</v>
      </c>
      <c r="N10" s="24" t="s">
        <v>337</v>
      </c>
    </row>
    <row r="11" spans="1:14" ht="13.8" hidden="1" outlineLevel="1" thickTop="1" x14ac:dyDescent="0.25">
      <c r="A11" s="14" t="s">
        <v>158</v>
      </c>
      <c r="B11" s="62" t="s">
        <v>63</v>
      </c>
      <c r="C11" s="25">
        <v>45479</v>
      </c>
      <c r="D11" s="57" t="s">
        <v>180</v>
      </c>
      <c r="E11" s="24" t="s">
        <v>149</v>
      </c>
      <c r="F11" s="9" t="s">
        <v>167</v>
      </c>
      <c r="G11" s="73">
        <v>6600</v>
      </c>
      <c r="H11" s="56">
        <v>119</v>
      </c>
      <c r="I11" s="60">
        <f>Таблица22424[[#This Row],[Стоимость, 
грн]]</f>
        <v>6600</v>
      </c>
      <c r="J11" s="12">
        <f>Таблица22424[[#This Row],[Доход, 
грн/рейс]]/Таблица22424[[#This Row],[Километраж, 
км]]</f>
        <v>55.462184873949582</v>
      </c>
      <c r="K11" s="12">
        <v>6000</v>
      </c>
      <c r="L11" s="12">
        <f>Таблица22424[[#This Row],[СС, 
грн/рейс]]/Таблица22424[[#This Row],[Километраж, 
км]]</f>
        <v>50.420168067226889</v>
      </c>
      <c r="M11" s="26">
        <f>Таблица22424[[#This Row],[Доход, 
грн/рейс]]-Таблица22424[[#This Row],[СС, 
грн/рейс]]</f>
        <v>600</v>
      </c>
      <c r="N11" s="24" t="s">
        <v>242</v>
      </c>
    </row>
    <row r="12" spans="1:14" ht="13.8" hidden="1" outlineLevel="1" thickTop="1" x14ac:dyDescent="0.25">
      <c r="A12" s="14" t="s">
        <v>37</v>
      </c>
      <c r="B12" s="62" t="s">
        <v>63</v>
      </c>
      <c r="C12" s="25">
        <v>45480</v>
      </c>
      <c r="D12" s="57" t="s">
        <v>212</v>
      </c>
      <c r="E12" s="24" t="s">
        <v>33</v>
      </c>
      <c r="F12" s="9" t="s">
        <v>40</v>
      </c>
      <c r="G12" s="73">
        <v>10300</v>
      </c>
      <c r="H12" s="56">
        <v>135</v>
      </c>
      <c r="I12" s="60">
        <f>Таблица22424[[#This Row],[Стоимость, 
грн]]</f>
        <v>10300</v>
      </c>
      <c r="J12" s="12">
        <f>Таблица22424[[#This Row],[Доход, 
грн/рейс]]/Таблица22424[[#This Row],[Километраж, 
км]]</f>
        <v>76.296296296296291</v>
      </c>
      <c r="K12" s="12">
        <v>10000</v>
      </c>
      <c r="L12" s="12">
        <f>Таблица22424[[#This Row],[СС, 
грн/рейс]]/Таблица22424[[#This Row],[Километраж, 
км]]</f>
        <v>74.074074074074076</v>
      </c>
      <c r="M12" s="26">
        <f>Таблица22424[[#This Row],[Доход, 
грн/рейс]]-Таблица22424[[#This Row],[СС, 
грн/рейс]]</f>
        <v>300</v>
      </c>
      <c r="N12" s="24" t="s">
        <v>245</v>
      </c>
    </row>
    <row r="13" spans="1:14" ht="13.8" hidden="1" outlineLevel="1" thickTop="1" x14ac:dyDescent="0.25">
      <c r="A13" s="14" t="s">
        <v>158</v>
      </c>
      <c r="B13" s="62" t="s">
        <v>63</v>
      </c>
      <c r="C13" s="25">
        <v>45481</v>
      </c>
      <c r="D13" s="57" t="s">
        <v>220</v>
      </c>
      <c r="E13" s="24" t="s">
        <v>149</v>
      </c>
      <c r="F13" s="9" t="s">
        <v>221</v>
      </c>
      <c r="G13" s="73">
        <v>2550</v>
      </c>
      <c r="H13" s="60">
        <v>118</v>
      </c>
      <c r="I13" s="60">
        <f>Таблица22424[[#This Row],[Стоимость, 
грн]]</f>
        <v>2550</v>
      </c>
      <c r="J13" s="12">
        <f>Таблица22424[[#This Row],[Доход, 
грн/рейс]]/Таблица22424[[#This Row],[Километраж, 
км]]</f>
        <v>21.610169491525422</v>
      </c>
      <c r="K13" s="12">
        <v>2300</v>
      </c>
      <c r="L13" s="12">
        <f>Таблица22424[[#This Row],[СС, 
грн/рейс]]/Таблица22424[[#This Row],[Километраж, 
км]]</f>
        <v>19.491525423728813</v>
      </c>
      <c r="M13" s="26">
        <f>Таблица22424[[#This Row],[Доход, 
грн/рейс]]-Таблица22424[[#This Row],[СС, 
грн/рейс]]</f>
        <v>250</v>
      </c>
      <c r="N13" s="24" t="s">
        <v>242</v>
      </c>
    </row>
    <row r="14" spans="1:14" ht="13.8" hidden="1" outlineLevel="1" thickTop="1" x14ac:dyDescent="0.25">
      <c r="A14" s="14" t="s">
        <v>158</v>
      </c>
      <c r="B14" s="62" t="s">
        <v>63</v>
      </c>
      <c r="C14" s="25">
        <v>45482</v>
      </c>
      <c r="D14" s="57" t="s">
        <v>218</v>
      </c>
      <c r="E14" s="24" t="s">
        <v>149</v>
      </c>
      <c r="F14" s="9" t="s">
        <v>168</v>
      </c>
      <c r="G14" s="73">
        <v>5500</v>
      </c>
      <c r="H14" s="56">
        <v>126</v>
      </c>
      <c r="I14" s="60">
        <f>Таблица22424[[#This Row],[Стоимость, 
грн]]</f>
        <v>5500</v>
      </c>
      <c r="J14" s="12">
        <f>Таблица22424[[#This Row],[Доход, 
грн/рейс]]/Таблица22424[[#This Row],[Километраж, 
км]]</f>
        <v>43.650793650793652</v>
      </c>
      <c r="K14" s="12">
        <v>5000</v>
      </c>
      <c r="L14" s="12">
        <f>Таблица22424[[#This Row],[СС, 
грн/рейс]]/Таблица22424[[#This Row],[Километраж, 
км]]</f>
        <v>39.682539682539684</v>
      </c>
      <c r="M14" s="26">
        <f>Таблица22424[[#This Row],[Доход, 
грн/рейс]]-Таблица22424[[#This Row],[СС, 
грн/рейс]]</f>
        <v>500</v>
      </c>
      <c r="N14" s="24" t="s">
        <v>275</v>
      </c>
    </row>
    <row r="15" spans="1:14" ht="13.8" hidden="1" outlineLevel="1" thickTop="1" x14ac:dyDescent="0.25">
      <c r="A15" s="14" t="s">
        <v>37</v>
      </c>
      <c r="B15" s="62" t="s">
        <v>63</v>
      </c>
      <c r="C15" s="25">
        <v>45483</v>
      </c>
      <c r="D15" s="57" t="s">
        <v>218</v>
      </c>
      <c r="E15" s="24" t="s">
        <v>214</v>
      </c>
      <c r="F15" s="9" t="s">
        <v>219</v>
      </c>
      <c r="G15" s="73">
        <v>18500</v>
      </c>
      <c r="H15" s="56">
        <v>195</v>
      </c>
      <c r="I15" s="60">
        <f>Таблица22424[[#This Row],[Стоимость, 
грн]]</f>
        <v>18500</v>
      </c>
      <c r="J15" s="12">
        <f>Таблица22424[[#This Row],[Доход, 
грн/рейс]]/Таблица22424[[#This Row],[Километраж, 
км]]</f>
        <v>94.871794871794876</v>
      </c>
      <c r="K15" s="12">
        <v>17000</v>
      </c>
      <c r="L15" s="12">
        <f>Таблица22424[[#This Row],[СС, 
грн/рейс]]/Таблица22424[[#This Row],[Километраж, 
км]]</f>
        <v>87.179487179487182</v>
      </c>
      <c r="M15" s="26">
        <f>Таблица22424[[#This Row],[Доход, 
грн/рейс]]-Таблица22424[[#This Row],[СС, 
грн/рейс]]</f>
        <v>1500</v>
      </c>
      <c r="N15" s="24" t="s">
        <v>277</v>
      </c>
    </row>
    <row r="16" spans="1:14" ht="13.8" hidden="1" outlineLevel="1" thickTop="1" x14ac:dyDescent="0.25">
      <c r="A16" s="14" t="s">
        <v>37</v>
      </c>
      <c r="B16" s="62" t="s">
        <v>63</v>
      </c>
      <c r="C16" s="25">
        <v>45484</v>
      </c>
      <c r="D16" s="57" t="s">
        <v>236</v>
      </c>
      <c r="E16" s="24" t="s">
        <v>237</v>
      </c>
      <c r="F16" s="9" t="s">
        <v>238</v>
      </c>
      <c r="G16" s="73">
        <v>9900</v>
      </c>
      <c r="H16" s="60">
        <v>199</v>
      </c>
      <c r="I16" s="60">
        <f>Таблица22424[[#This Row],[Стоимость, 
грн]]</f>
        <v>9900</v>
      </c>
      <c r="J16" s="12">
        <f>Таблица22424[[#This Row],[Доход, 
грн/рейс]]/Таблица22424[[#This Row],[Километраж, 
км]]</f>
        <v>49.748743718592962</v>
      </c>
      <c r="K16" s="12">
        <v>9000</v>
      </c>
      <c r="L16" s="12">
        <f>Таблица22424[[#This Row],[СС, 
грн/рейс]]/Таблица22424[[#This Row],[Километраж, 
км]]</f>
        <v>45.226130653266331</v>
      </c>
      <c r="M16" s="26">
        <f>Таблица22424[[#This Row],[Доход, 
грн/рейс]]-Таблица22424[[#This Row],[СС, 
грн/рейс]]</f>
        <v>900</v>
      </c>
      <c r="N16" s="24" t="s">
        <v>243</v>
      </c>
    </row>
    <row r="17" spans="1:14" ht="13.8" hidden="1" outlineLevel="1" thickTop="1" x14ac:dyDescent="0.25">
      <c r="A17" s="14" t="s">
        <v>158</v>
      </c>
      <c r="B17" s="62" t="s">
        <v>63</v>
      </c>
      <c r="C17" s="25">
        <v>45484</v>
      </c>
      <c r="D17" s="57" t="s">
        <v>239</v>
      </c>
      <c r="E17" s="24" t="s">
        <v>149</v>
      </c>
      <c r="F17" s="9" t="s">
        <v>167</v>
      </c>
      <c r="G17" s="73">
        <v>7200</v>
      </c>
      <c r="H17" s="56">
        <v>119</v>
      </c>
      <c r="I17" s="60">
        <f>Таблица22424[[#This Row],[Стоимость, 
грн]]</f>
        <v>7200</v>
      </c>
      <c r="J17" s="12">
        <f>Таблица22424[[#This Row],[Доход, 
грн/рейс]]/Таблица22424[[#This Row],[Километраж, 
км]]</f>
        <v>60.504201680672267</v>
      </c>
      <c r="K17" s="12">
        <v>6500</v>
      </c>
      <c r="L17" s="12">
        <f>Таблица22424[[#This Row],[СС, 
грн/рейс]]/Таблица22424[[#This Row],[Километраж, 
км]]</f>
        <v>54.621848739495796</v>
      </c>
      <c r="M17" s="26">
        <f>Таблица22424[[#This Row],[Доход, 
грн/рейс]]-Таблица22424[[#This Row],[СС, 
грн/рейс]]</f>
        <v>700</v>
      </c>
      <c r="N17" s="24" t="s">
        <v>403</v>
      </c>
    </row>
    <row r="18" spans="1:14" ht="13.8" hidden="1" outlineLevel="1" collapsed="1" thickTop="1" x14ac:dyDescent="0.25">
      <c r="A18" s="14" t="s">
        <v>158</v>
      </c>
      <c r="B18" s="62" t="s">
        <v>63</v>
      </c>
      <c r="C18" s="25">
        <v>45485</v>
      </c>
      <c r="D18" s="57" t="s">
        <v>239</v>
      </c>
      <c r="E18" s="24" t="s">
        <v>149</v>
      </c>
      <c r="F18" s="9" t="s">
        <v>240</v>
      </c>
      <c r="G18" s="73">
        <v>7200</v>
      </c>
      <c r="H18" s="56">
        <v>116</v>
      </c>
      <c r="I18" s="60">
        <f>Таблица22424[[#This Row],[Стоимость, 
грн]]</f>
        <v>7200</v>
      </c>
      <c r="J18" s="12">
        <f>Таблица22424[[#This Row],[Доход, 
грн/рейс]]/Таблица22424[[#This Row],[Километраж, 
км]]</f>
        <v>62.068965517241381</v>
      </c>
      <c r="K18" s="12">
        <v>6500</v>
      </c>
      <c r="L18" s="12">
        <f>Таблица22424[[#This Row],[СС, 
грн/рейс]]/Таблица22424[[#This Row],[Километраж, 
км]]</f>
        <v>56.03448275862069</v>
      </c>
      <c r="M18" s="26">
        <f>Таблица22424[[#This Row],[Доход, 
грн/рейс]]-Таблица22424[[#This Row],[СС, 
грн/рейс]]</f>
        <v>700</v>
      </c>
      <c r="N18" s="24" t="s">
        <v>512</v>
      </c>
    </row>
    <row r="19" spans="1:14" ht="13.8" hidden="1" outlineLevel="1" thickTop="1" x14ac:dyDescent="0.25">
      <c r="A19" s="14" t="s">
        <v>158</v>
      </c>
      <c r="B19" s="62" t="s">
        <v>63</v>
      </c>
      <c r="C19" s="25">
        <v>45486</v>
      </c>
      <c r="D19" s="57" t="s">
        <v>248</v>
      </c>
      <c r="E19" s="24" t="s">
        <v>247</v>
      </c>
      <c r="F19" s="71" t="s">
        <v>246</v>
      </c>
      <c r="G19" s="73">
        <v>4400</v>
      </c>
      <c r="H19" s="60">
        <v>115</v>
      </c>
      <c r="I19" s="60">
        <v>4400</v>
      </c>
      <c r="J19" s="12">
        <f>Таблица22424[[#This Row],[Доход, 
грн/рейс]]/Таблица22424[[#This Row],[Километраж, 
км]]</f>
        <v>38.260869565217391</v>
      </c>
      <c r="K19" s="12">
        <v>4000</v>
      </c>
      <c r="L19" s="12">
        <f>Таблица22424[[#This Row],[СС, 
грн/рейс]]/Таблица22424[[#This Row],[Километраж, 
км]]</f>
        <v>34.782608695652172</v>
      </c>
      <c r="M19" s="26">
        <f>Таблица22424[[#This Row],[Доход, 
грн/рейс]]-Таблица22424[[#This Row],[СС, 
грн/рейс]]</f>
        <v>400</v>
      </c>
      <c r="N19" s="24" t="s">
        <v>321</v>
      </c>
    </row>
    <row r="20" spans="1:14" ht="13.8" hidden="1" outlineLevel="1" thickTop="1" x14ac:dyDescent="0.25">
      <c r="A20" s="14" t="s">
        <v>158</v>
      </c>
      <c r="B20" s="62" t="s">
        <v>63</v>
      </c>
      <c r="C20" s="25">
        <v>45486</v>
      </c>
      <c r="D20" s="57" t="s">
        <v>257</v>
      </c>
      <c r="E20" s="24" t="s">
        <v>258</v>
      </c>
      <c r="F20" s="71" t="s">
        <v>238</v>
      </c>
      <c r="G20" s="73">
        <v>5000</v>
      </c>
      <c r="H20" s="56">
        <v>102</v>
      </c>
      <c r="I20" s="60">
        <f>Таблица22424[[#This Row],[Стоимость, 
грн]]</f>
        <v>5000</v>
      </c>
      <c r="J20" s="12">
        <f>Таблица22424[[#This Row],[Доход, 
грн/рейс]]/Таблица22424[[#This Row],[Километраж, 
км]]</f>
        <v>49.019607843137258</v>
      </c>
      <c r="K20" s="12">
        <v>4600</v>
      </c>
      <c r="L20" s="12">
        <f>Таблица22424[[#This Row],[СС, 
грн/рейс]]/Таблица22424[[#This Row],[Километраж, 
км]]</f>
        <v>45.098039215686278</v>
      </c>
      <c r="M20" s="26">
        <f>Таблица22424[[#This Row],[Доход, 
грн/рейс]]-Таблица22424[[#This Row],[СС, 
грн/рейс]]</f>
        <v>400</v>
      </c>
      <c r="N20" s="24" t="s">
        <v>315</v>
      </c>
    </row>
    <row r="21" spans="1:14" ht="13.8" hidden="1" outlineLevel="1" thickTop="1" x14ac:dyDescent="0.25">
      <c r="A21" s="14" t="s">
        <v>268</v>
      </c>
      <c r="B21" s="62" t="s">
        <v>63</v>
      </c>
      <c r="C21" s="25">
        <v>45506</v>
      </c>
      <c r="D21" s="57" t="s">
        <v>269</v>
      </c>
      <c r="E21" s="24" t="s">
        <v>149</v>
      </c>
      <c r="F21" s="55" t="s">
        <v>270</v>
      </c>
      <c r="G21" s="73">
        <v>2750</v>
      </c>
      <c r="H21" s="56">
        <v>133</v>
      </c>
      <c r="I21" s="60">
        <f>Таблица22424[[#This Row],[Стоимость, 
грн]]</f>
        <v>2750</v>
      </c>
      <c r="J21" s="12">
        <f>Таблица22424[[#This Row],[Доход, 
грн/рейс]]/Таблица22424[[#This Row],[Километраж, 
км]]</f>
        <v>20.676691729323309</v>
      </c>
      <c r="K21" s="12">
        <v>2500</v>
      </c>
      <c r="L21" s="12">
        <f>Таблица22424[[#This Row],[СС, 
грн/рейс]]/Таблица22424[[#This Row],[Километраж, 
км]]</f>
        <v>18.796992481203006</v>
      </c>
      <c r="M21" s="26">
        <f>Таблица22424[[#This Row],[Доход, 
грн/рейс]]-Таблица22424[[#This Row],[СС, 
грн/рейс]]</f>
        <v>250</v>
      </c>
      <c r="N21" s="24" t="s">
        <v>314</v>
      </c>
    </row>
    <row r="22" spans="1:14" ht="13.8" hidden="1" outlineLevel="1" thickTop="1" x14ac:dyDescent="0.25">
      <c r="A22" s="14" t="s">
        <v>268</v>
      </c>
      <c r="B22" s="62" t="s">
        <v>63</v>
      </c>
      <c r="C22" s="25">
        <v>45507</v>
      </c>
      <c r="D22" s="57" t="s">
        <v>267</v>
      </c>
      <c r="E22" s="24" t="s">
        <v>149</v>
      </c>
      <c r="F22" s="55" t="s">
        <v>168</v>
      </c>
      <c r="G22" s="73">
        <v>7150</v>
      </c>
      <c r="H22" s="60">
        <v>126</v>
      </c>
      <c r="I22" s="60">
        <f>Таблица22424[[#This Row],[Стоимость, 
грн]]</f>
        <v>7150</v>
      </c>
      <c r="J22" s="12">
        <f>Таблица22424[[#This Row],[Доход, 
грн/рейс]]/Таблица22424[[#This Row],[Километраж, 
км]]</f>
        <v>56.746031746031747</v>
      </c>
      <c r="K22" s="12">
        <v>6500</v>
      </c>
      <c r="L22" s="12">
        <f>Таблица22424[[#This Row],[СС, 
грн/рейс]]/Таблица22424[[#This Row],[Километраж, 
км]]</f>
        <v>51.587301587301589</v>
      </c>
      <c r="M22" s="26">
        <f>Таблица22424[[#This Row],[Доход, 
грн/рейс]]-Таблица22424[[#This Row],[СС, 
грн/рейс]]</f>
        <v>650</v>
      </c>
      <c r="N22" s="24" t="s">
        <v>339</v>
      </c>
    </row>
    <row r="23" spans="1:14" ht="13.8" hidden="1" outlineLevel="1" thickTop="1" x14ac:dyDescent="0.25">
      <c r="A23" s="14" t="s">
        <v>268</v>
      </c>
      <c r="B23" s="62" t="s">
        <v>63</v>
      </c>
      <c r="C23" s="25">
        <v>45508</v>
      </c>
      <c r="D23" s="57" t="s">
        <v>267</v>
      </c>
      <c r="E23" s="24" t="s">
        <v>149</v>
      </c>
      <c r="F23" s="55" t="s">
        <v>271</v>
      </c>
      <c r="G23" s="73">
        <v>2450</v>
      </c>
      <c r="H23" s="56">
        <v>118</v>
      </c>
      <c r="I23" s="60">
        <f>Таблица22424[[#This Row],[Стоимость, 
грн]]</f>
        <v>2450</v>
      </c>
      <c r="J23" s="12">
        <f>Таблица22424[[#This Row],[Доход, 
грн/рейс]]/Таблица22424[[#This Row],[Километраж, 
км]]</f>
        <v>20.762711864406779</v>
      </c>
      <c r="K23" s="12">
        <v>2200</v>
      </c>
      <c r="L23" s="12">
        <f>Таблица22424[[#This Row],[СС, 
грн/рейс]]/Таблица22424[[#This Row],[Километраж, 
км]]</f>
        <v>18.64406779661017</v>
      </c>
      <c r="M23" s="26">
        <f>Таблица22424[[#This Row],[Доход, 
грн/рейс]]-Таблица22424[[#This Row],[СС, 
грн/рейс]]</f>
        <v>250</v>
      </c>
      <c r="N23" s="24" t="s">
        <v>339</v>
      </c>
    </row>
    <row r="24" spans="1:14" ht="13.8" hidden="1" outlineLevel="1" thickTop="1" x14ac:dyDescent="0.25">
      <c r="A24" s="14" t="s">
        <v>37</v>
      </c>
      <c r="B24" s="62" t="s">
        <v>63</v>
      </c>
      <c r="C24" s="25">
        <v>45509</v>
      </c>
      <c r="D24" s="57" t="s">
        <v>307</v>
      </c>
      <c r="E24" s="24" t="s">
        <v>32</v>
      </c>
      <c r="F24" s="55" t="s">
        <v>40</v>
      </c>
      <c r="G24" s="73">
        <v>10300</v>
      </c>
      <c r="H24" s="56">
        <v>135</v>
      </c>
      <c r="I24" s="60">
        <f>Таблица22424[[#This Row],[Стоимость, 
грн]]</f>
        <v>10300</v>
      </c>
      <c r="J24" s="12">
        <f>Таблица22424[[#This Row],[Доход, 
грн/рейс]]/Таблица22424[[#This Row],[Километраж, 
км]]</f>
        <v>76.296296296296291</v>
      </c>
      <c r="K24" s="12">
        <v>9500</v>
      </c>
      <c r="L24" s="12">
        <f>Таблица22424[[#This Row],[СС, 
грн/рейс]]/Таблица22424[[#This Row],[Километраж, 
км]]</f>
        <v>70.370370370370367</v>
      </c>
      <c r="M24" s="26">
        <f>Таблица22424[[#This Row],[Доход, 
грн/рейс]]-Таблица22424[[#This Row],[СС, 
грн/рейс]]</f>
        <v>800</v>
      </c>
      <c r="N24" s="24" t="s">
        <v>406</v>
      </c>
    </row>
    <row r="25" spans="1:14" ht="13.8" hidden="1" outlineLevel="1" thickTop="1" x14ac:dyDescent="0.25">
      <c r="A25" s="14" t="s">
        <v>37</v>
      </c>
      <c r="B25" s="62" t="s">
        <v>63</v>
      </c>
      <c r="C25" s="25">
        <v>45510</v>
      </c>
      <c r="D25" s="57" t="s">
        <v>322</v>
      </c>
      <c r="E25" s="24" t="s">
        <v>32</v>
      </c>
      <c r="F25" s="55" t="s">
        <v>40</v>
      </c>
      <c r="G25" s="73">
        <v>10000</v>
      </c>
      <c r="H25" s="60">
        <v>135</v>
      </c>
      <c r="I25" s="60">
        <f>Таблица22424[[#This Row],[Стоимость, 
грн]]</f>
        <v>10000</v>
      </c>
      <c r="J25" s="12">
        <f>Таблица22424[[#This Row],[Доход, 
грн/рейс]]/Таблица22424[[#This Row],[Километраж, 
км]]</f>
        <v>74.074074074074076</v>
      </c>
      <c r="K25" s="12">
        <v>9000</v>
      </c>
      <c r="L25" s="12">
        <f>Таблица22424[[#This Row],[СС, 
грн/рейс]]/Таблица22424[[#This Row],[Километраж, 
км]]</f>
        <v>66.666666666666671</v>
      </c>
      <c r="M25" s="26">
        <f>Таблица22424[[#This Row],[Доход, 
грн/рейс]]-Таблица22424[[#This Row],[СС, 
грн/рейс]]</f>
        <v>1000</v>
      </c>
      <c r="N25" s="24" t="s">
        <v>341</v>
      </c>
    </row>
    <row r="26" spans="1:14" ht="13.8" hidden="1" outlineLevel="1" thickTop="1" x14ac:dyDescent="0.25">
      <c r="A26" s="14" t="s">
        <v>158</v>
      </c>
      <c r="B26" s="62" t="s">
        <v>63</v>
      </c>
      <c r="C26" s="25">
        <v>45512</v>
      </c>
      <c r="D26" s="57" t="s">
        <v>343</v>
      </c>
      <c r="E26" s="24" t="s">
        <v>362</v>
      </c>
      <c r="F26" s="55" t="s">
        <v>363</v>
      </c>
      <c r="G26" s="73">
        <v>6600</v>
      </c>
      <c r="H26" s="56">
        <v>129</v>
      </c>
      <c r="I26" s="60">
        <f>Таблица22424[[#This Row],[Стоимость, 
грн]]</f>
        <v>6600</v>
      </c>
      <c r="J26" s="12">
        <f>Таблица22424[[#This Row],[Доход, 
грн/рейс]]/Таблица22424[[#This Row],[Километраж, 
км]]</f>
        <v>51.162790697674417</v>
      </c>
      <c r="K26" s="12">
        <v>6000</v>
      </c>
      <c r="L26" s="12">
        <f>Таблица22424[[#This Row],[СС, 
грн/рейс]]/Таблица22424[[#This Row],[Километраж, 
км]]</f>
        <v>46.511627906976742</v>
      </c>
      <c r="M26" s="26">
        <f>Таблица22424[[#This Row],[Доход, 
грн/рейс]]-Таблица22424[[#This Row],[СС, 
грн/рейс]]</f>
        <v>600</v>
      </c>
      <c r="N26" s="24" t="s">
        <v>367</v>
      </c>
    </row>
    <row r="27" spans="1:14" ht="13.8" hidden="1" outlineLevel="1" collapsed="1" thickTop="1" x14ac:dyDescent="0.25">
      <c r="A27" s="148"/>
      <c r="B27" s="62" t="s">
        <v>63</v>
      </c>
      <c r="C27" s="25">
        <v>45553</v>
      </c>
      <c r="D27" s="57" t="s">
        <v>353</v>
      </c>
      <c r="E27" s="24" t="s">
        <v>149</v>
      </c>
      <c r="F27" s="55" t="s">
        <v>395</v>
      </c>
      <c r="G27" s="73">
        <v>6000</v>
      </c>
      <c r="H27" s="56">
        <v>125</v>
      </c>
      <c r="I27" s="60">
        <f>Таблица22424[[#This Row],[Стоимость, 
грн]]</f>
        <v>6000</v>
      </c>
      <c r="J27" s="12">
        <f>Таблица22424[[#This Row],[Доход, 
грн/рейс]]/Таблица22424[[#This Row],[Километраж, 
км]]</f>
        <v>48</v>
      </c>
      <c r="K27" s="12">
        <v>5500</v>
      </c>
      <c r="L27" s="12">
        <f>Таблица22424[[#This Row],[СС, 
грн/рейс]]/Таблица22424[[#This Row],[Километраж, 
км]]</f>
        <v>44</v>
      </c>
      <c r="M27" s="26">
        <f>Таблица22424[[#This Row],[Доход, 
грн/рейс]]-Таблица22424[[#This Row],[СС, 
грн/рейс]]</f>
        <v>500</v>
      </c>
      <c r="N27" s="24" t="s">
        <v>498</v>
      </c>
    </row>
    <row r="28" spans="1:14" ht="13.8" hidden="1" outlineLevel="1" thickTop="1" x14ac:dyDescent="0.25">
      <c r="A28" s="14" t="s">
        <v>261</v>
      </c>
      <c r="B28" s="62" t="s">
        <v>63</v>
      </c>
      <c r="C28" s="25">
        <v>45553</v>
      </c>
      <c r="D28" s="57" t="s">
        <v>415</v>
      </c>
      <c r="E28" s="24" t="s">
        <v>362</v>
      </c>
      <c r="F28" s="55" t="s">
        <v>363</v>
      </c>
      <c r="G28" s="73">
        <v>5000</v>
      </c>
      <c r="H28" s="60">
        <v>128</v>
      </c>
      <c r="I28" s="60">
        <f>Таблица22424[[#This Row],[Стоимость, 
грн]]</f>
        <v>5000</v>
      </c>
      <c r="J28" s="12">
        <f>Таблица22424[[#This Row],[Доход, 
грн/рейс]]/Таблица22424[[#This Row],[Километраж, 
км]]</f>
        <v>39.0625</v>
      </c>
      <c r="K28" s="12">
        <v>4500</v>
      </c>
      <c r="L28" s="12">
        <f>Таблица22424[[#This Row],[СС, 
грн/рейс]]/Таблица22424[[#This Row],[Километраж, 
км]]</f>
        <v>35.15625</v>
      </c>
      <c r="M28" s="26">
        <f>Таблица22424[[#This Row],[Доход, 
грн/рейс]]-Таблица22424[[#This Row],[СС, 
грн/рейс]]</f>
        <v>500</v>
      </c>
      <c r="N28" s="24" t="s">
        <v>479</v>
      </c>
    </row>
    <row r="29" spans="1:14" ht="13.8" hidden="1" outlineLevel="1" thickTop="1" x14ac:dyDescent="0.25">
      <c r="A29" s="14" t="s">
        <v>261</v>
      </c>
      <c r="B29" s="62" t="s">
        <v>19</v>
      </c>
      <c r="C29" s="25">
        <v>45539</v>
      </c>
      <c r="D29" s="57" t="s">
        <v>424</v>
      </c>
      <c r="E29" s="24" t="s">
        <v>149</v>
      </c>
      <c r="F29" s="55" t="s">
        <v>468</v>
      </c>
      <c r="G29" s="73">
        <v>2750</v>
      </c>
      <c r="H29" s="56">
        <v>118</v>
      </c>
      <c r="I29" s="60">
        <f>Таблица22424[[#This Row],[Стоимость, 
грн]]</f>
        <v>2750</v>
      </c>
      <c r="J29" s="12">
        <f>Таблица22424[[#This Row],[Доход, 
грн/рейс]]/Таблица22424[[#This Row],[Километраж, 
км]]</f>
        <v>23.305084745762713</v>
      </c>
      <c r="K29" s="12">
        <v>2500</v>
      </c>
      <c r="L29" s="12">
        <f>Таблица22424[[#This Row],[СС, 
грн/рейс]]/Таблица22424[[#This Row],[Километраж, 
км]]</f>
        <v>21.1864406779661</v>
      </c>
      <c r="M29" s="26">
        <f>Таблица22424[[#This Row],[Доход, 
грн/рейс]]-Таблица22424[[#This Row],[СС, 
грн/рейс]]</f>
        <v>250</v>
      </c>
      <c r="N29" s="24" t="s">
        <v>492</v>
      </c>
    </row>
    <row r="30" spans="1:14" ht="13.8" hidden="1" outlineLevel="1" thickTop="1" x14ac:dyDescent="0.25">
      <c r="A30" s="14" t="s">
        <v>418</v>
      </c>
      <c r="B30" s="62" t="s">
        <v>19</v>
      </c>
      <c r="C30" s="25">
        <v>45539</v>
      </c>
      <c r="D30" s="57" t="s">
        <v>410</v>
      </c>
      <c r="E30" s="24" t="s">
        <v>469</v>
      </c>
      <c r="F30" s="55" t="s">
        <v>470</v>
      </c>
      <c r="G30" s="58">
        <v>12200</v>
      </c>
      <c r="H30" s="56">
        <v>170</v>
      </c>
      <c r="I30" s="60">
        <f>Таблица22424[[#This Row],[Стоимость, 
грн]]</f>
        <v>12200</v>
      </c>
      <c r="J30" s="12">
        <f>Таблица22424[[#This Row],[Доход, 
грн/рейс]]/Таблица22424[[#This Row],[Километраж, 
км]]</f>
        <v>71.764705882352942</v>
      </c>
      <c r="K30" s="12">
        <v>11700</v>
      </c>
      <c r="L30" s="12">
        <f>Таблица22424[[#This Row],[СС, 
грн/рейс]]/Таблица22424[[#This Row],[Километраж, 
км]]</f>
        <v>68.82352941176471</v>
      </c>
      <c r="M30" s="26">
        <f>Таблица22424[[#This Row],[Доход, 
грн/рейс]]-Таблица22424[[#This Row],[СС, 
грн/рейс]]</f>
        <v>500</v>
      </c>
      <c r="N30" s="24" t="s">
        <v>494</v>
      </c>
    </row>
    <row r="31" spans="1:14" ht="13.8" hidden="1" outlineLevel="1" thickTop="1" x14ac:dyDescent="0.25">
      <c r="A31" s="14" t="s">
        <v>261</v>
      </c>
      <c r="B31" s="62" t="s">
        <v>466</v>
      </c>
      <c r="C31" s="25">
        <v>45539</v>
      </c>
      <c r="D31" s="57" t="s">
        <v>471</v>
      </c>
      <c r="E31" s="24" t="s">
        <v>149</v>
      </c>
      <c r="F31" s="55" t="s">
        <v>472</v>
      </c>
      <c r="G31" s="58">
        <v>4400</v>
      </c>
      <c r="H31" s="60">
        <v>128</v>
      </c>
      <c r="I31" s="60">
        <f>Таблица22424[[#This Row],[Стоимость, 
грн]]</f>
        <v>4400</v>
      </c>
      <c r="J31" s="12">
        <f>Таблица22424[[#This Row],[Доход, 
грн/рейс]]/Таблица22424[[#This Row],[Километраж, 
км]]</f>
        <v>34.375</v>
      </c>
      <c r="K31" s="12">
        <v>4000</v>
      </c>
      <c r="L31" s="12">
        <f>Таблица22424[[#This Row],[СС, 
грн/рейс]]/Таблица22424[[#This Row],[Километраж, 
км]]</f>
        <v>31.25</v>
      </c>
      <c r="M31" s="26">
        <f>Таблица22424[[#This Row],[Доход, 
грн/рейс]]-Таблица22424[[#This Row],[СС, 
грн/рейс]]</f>
        <v>400</v>
      </c>
      <c r="N31" s="24"/>
    </row>
    <row r="32" spans="1:14" ht="13.8" hidden="1" outlineLevel="1" thickTop="1" x14ac:dyDescent="0.25">
      <c r="A32" s="14" t="s">
        <v>418</v>
      </c>
      <c r="B32" s="62" t="s">
        <v>19</v>
      </c>
      <c r="C32" s="25">
        <v>45568</v>
      </c>
      <c r="D32" s="57" t="s">
        <v>542</v>
      </c>
      <c r="E32" s="24" t="s">
        <v>543</v>
      </c>
      <c r="F32" s="55" t="s">
        <v>470</v>
      </c>
      <c r="G32" s="58">
        <v>12200</v>
      </c>
      <c r="H32" s="56">
        <v>170</v>
      </c>
      <c r="I32" s="60">
        <f>Таблица22424[[#This Row],[Стоимость, 
грн]]</f>
        <v>12200</v>
      </c>
      <c r="J32" s="12">
        <f>Таблица22424[[#This Row],[Доход, 
грн/рейс]]/Таблица22424[[#This Row],[Километраж, 
км]]</f>
        <v>71.764705882352942</v>
      </c>
      <c r="K32" s="12">
        <v>11700</v>
      </c>
      <c r="L32" s="12">
        <f>Таблица22424[[#This Row],[СС, 
грн/рейс]]/Таблица22424[[#This Row],[Километраж, 
км]]</f>
        <v>68.82352941176471</v>
      </c>
      <c r="M32" s="26">
        <f>Таблица22424[[#This Row],[Доход, 
грн/рейс]]-Таблица22424[[#This Row],[СС, 
грн/рейс]]</f>
        <v>500</v>
      </c>
      <c r="N32" s="24"/>
    </row>
    <row r="33" spans="1:14" ht="13.8" hidden="1" outlineLevel="1" thickTop="1" x14ac:dyDescent="0.25">
      <c r="A33" s="14" t="s">
        <v>261</v>
      </c>
      <c r="B33" s="62" t="s">
        <v>466</v>
      </c>
      <c r="C33" s="25">
        <v>45568</v>
      </c>
      <c r="D33" s="57" t="s">
        <v>542</v>
      </c>
      <c r="E33" s="24" t="s">
        <v>544</v>
      </c>
      <c r="F33" s="55" t="s">
        <v>545</v>
      </c>
      <c r="G33" s="58">
        <v>2750</v>
      </c>
      <c r="H33" s="56">
        <v>121</v>
      </c>
      <c r="I33" s="60">
        <f>Таблица22424[[#This Row],[Стоимость, 
грн]]</f>
        <v>2750</v>
      </c>
      <c r="J33" s="12">
        <f>Таблица22424[[#This Row],[Доход, 
грн/рейс]]/Таблица22424[[#This Row],[Километраж, 
км]]</f>
        <v>22.727272727272727</v>
      </c>
      <c r="K33" s="12">
        <v>2500</v>
      </c>
      <c r="L33" s="12">
        <f>Таблица22424[[#This Row],[СС, 
грн/рейс]]/Таблица22424[[#This Row],[Километраж, 
км]]</f>
        <v>20.66115702479339</v>
      </c>
      <c r="M33" s="26">
        <f>Таблица22424[[#This Row],[Доход, 
грн/рейс]]-Таблица22424[[#This Row],[СС, 
грн/рейс]]</f>
        <v>250</v>
      </c>
      <c r="N33" s="24"/>
    </row>
    <row r="34" spans="1:14" ht="13.8" hidden="1" outlineLevel="1" thickTop="1" x14ac:dyDescent="0.25">
      <c r="A34" s="14" t="s">
        <v>261</v>
      </c>
      <c r="B34" s="62" t="s">
        <v>466</v>
      </c>
      <c r="C34" s="25">
        <v>45568</v>
      </c>
      <c r="D34" s="57" t="s">
        <v>554</v>
      </c>
      <c r="E34" s="24" t="s">
        <v>544</v>
      </c>
      <c r="F34" s="55" t="s">
        <v>395</v>
      </c>
      <c r="G34" s="73">
        <v>2200</v>
      </c>
      <c r="H34" s="60">
        <v>126</v>
      </c>
      <c r="I34" s="60">
        <f>Таблица22424[[#This Row],[Стоимость, 
грн]]</f>
        <v>2200</v>
      </c>
      <c r="J34" s="12">
        <f>Таблица22424[[#This Row],[Доход, 
грн/рейс]]/Таблица22424[[#This Row],[Километраж, 
км]]</f>
        <v>17.460317460317459</v>
      </c>
      <c r="K34" s="12">
        <v>2000</v>
      </c>
      <c r="L34" s="12">
        <f>Таблица22424[[#This Row],[СС, 
грн/рейс]]/Таблица22424[[#This Row],[Километраж, 
км]]</f>
        <v>15.873015873015873</v>
      </c>
      <c r="M34" s="26">
        <f>Таблица22424[[#This Row],[Доход, 
грн/рейс]]-Таблица22424[[#This Row],[СС, 
грн/рейс]]</f>
        <v>200</v>
      </c>
      <c r="N34" s="24" t="s">
        <v>581</v>
      </c>
    </row>
    <row r="35" spans="1:14" ht="13.8" hidden="1" outlineLevel="1" thickTop="1" x14ac:dyDescent="0.25">
      <c r="A35" s="14" t="s">
        <v>37</v>
      </c>
      <c r="B35" s="62" t="s">
        <v>515</v>
      </c>
      <c r="C35" s="25">
        <v>45568</v>
      </c>
      <c r="D35" s="57" t="s">
        <v>607</v>
      </c>
      <c r="E35" s="24" t="s">
        <v>32</v>
      </c>
      <c r="F35" s="55" t="s">
        <v>40</v>
      </c>
      <c r="G35" s="58">
        <v>10300</v>
      </c>
      <c r="H35" s="56">
        <v>135</v>
      </c>
      <c r="I35" s="60">
        <f>Таблица22424[[#This Row],[Стоимость, 
грн]]</f>
        <v>10300</v>
      </c>
      <c r="J35" s="12">
        <f>Таблица22424[[#This Row],[Доход, 
грн/рейс]]/Таблица22424[[#This Row],[Километраж, 
км]]</f>
        <v>76.296296296296291</v>
      </c>
      <c r="K35" s="12">
        <v>9500</v>
      </c>
      <c r="L35" s="12">
        <f>Таблица22424[[#This Row],[СС, 
грн/рейс]]/Таблица22424[[#This Row],[Километраж, 
км]]</f>
        <v>70.370370370370367</v>
      </c>
      <c r="M35" s="26">
        <f>Таблица22424[[#This Row],[Доход, 
грн/рейс]]-Таблица22424[[#This Row],[СС, 
грн/рейс]]</f>
        <v>800</v>
      </c>
      <c r="N35" s="24"/>
    </row>
    <row r="36" spans="1:14" ht="13.8" hidden="1" outlineLevel="1" thickTop="1" x14ac:dyDescent="0.25">
      <c r="A36" s="14" t="s">
        <v>158</v>
      </c>
      <c r="B36" s="62" t="s">
        <v>19</v>
      </c>
      <c r="C36" s="25">
        <v>45568</v>
      </c>
      <c r="D36" s="57" t="s">
        <v>610</v>
      </c>
      <c r="E36" s="24" t="s">
        <v>544</v>
      </c>
      <c r="F36" s="55" t="s">
        <v>167</v>
      </c>
      <c r="G36" s="58">
        <v>7150</v>
      </c>
      <c r="H36" s="56">
        <v>121</v>
      </c>
      <c r="I36" s="60">
        <f>Таблица22424[[#This Row],[Стоимость, 
грн]]</f>
        <v>7150</v>
      </c>
      <c r="J36" s="12">
        <f>Таблица22424[[#This Row],[Доход, 
грн/рейс]]/Таблица22424[[#This Row],[Километраж, 
км]]</f>
        <v>59.090909090909093</v>
      </c>
      <c r="K36" s="12">
        <v>6500</v>
      </c>
      <c r="L36" s="12">
        <f>Таблица22424[[#This Row],[СС, 
грн/рейс]]/Таблица22424[[#This Row],[Километраж, 
км]]</f>
        <v>53.719008264462808</v>
      </c>
      <c r="M36" s="26">
        <f>Таблица22424[[#This Row],[Доход, 
грн/рейс]]-Таблица22424[[#This Row],[СС, 
грн/рейс]]</f>
        <v>650</v>
      </c>
      <c r="N36" s="24"/>
    </row>
    <row r="37" spans="1:14" ht="13.8" hidden="1" outlineLevel="1" thickTop="1" x14ac:dyDescent="0.25">
      <c r="A37" s="14" t="s">
        <v>158</v>
      </c>
      <c r="B37" s="62" t="s">
        <v>466</v>
      </c>
      <c r="C37" s="25">
        <v>45568</v>
      </c>
      <c r="D37" s="57" t="s">
        <v>611</v>
      </c>
      <c r="E37" s="24" t="s">
        <v>612</v>
      </c>
      <c r="F37" s="55" t="s">
        <v>613</v>
      </c>
      <c r="G37" s="58">
        <v>6050</v>
      </c>
      <c r="H37" s="60">
        <v>132</v>
      </c>
      <c r="I37" s="60">
        <f>Таблица22424[[#This Row],[Стоимость, 
грн]]</f>
        <v>6050</v>
      </c>
      <c r="J37" s="12">
        <f>Таблица22424[[#This Row],[Доход, 
грн/рейс]]/Таблица22424[[#This Row],[Километраж, 
км]]</f>
        <v>45.833333333333336</v>
      </c>
      <c r="K37" s="12">
        <v>5500</v>
      </c>
      <c r="L37" s="12">
        <f>Таблица22424[[#This Row],[СС, 
грн/рейс]]/Таблица22424[[#This Row],[Километраж, 
км]]</f>
        <v>41.666666666666664</v>
      </c>
      <c r="M37" s="26">
        <f>Таблица22424[[#This Row],[Доход, 
грн/рейс]]-Таблица22424[[#This Row],[СС, 
грн/рейс]]</f>
        <v>550</v>
      </c>
      <c r="N37" s="24"/>
    </row>
    <row r="38" spans="1:14" ht="13.8" hidden="1" collapsed="1" thickTop="1" x14ac:dyDescent="0.25">
      <c r="A38" s="14" t="s">
        <v>261</v>
      </c>
      <c r="B38" s="62" t="s">
        <v>466</v>
      </c>
      <c r="C38" s="25">
        <v>45597</v>
      </c>
      <c r="D38" s="57" t="s">
        <v>665</v>
      </c>
      <c r="E38" s="24" t="s">
        <v>544</v>
      </c>
      <c r="F38" s="55" t="s">
        <v>167</v>
      </c>
      <c r="G38" s="58">
        <v>5500</v>
      </c>
      <c r="H38" s="56">
        <v>122</v>
      </c>
      <c r="I38" s="60">
        <f>Таблица22424[[#This Row],[Стоимость, 
грн]]</f>
        <v>5500</v>
      </c>
      <c r="J38" s="12">
        <f>Таблица22424[[#This Row],[Доход, 
грн/рейс]]/Таблица22424[[#This Row],[Километраж, 
км]]</f>
        <v>45.081967213114751</v>
      </c>
      <c r="K38" s="12">
        <v>5000</v>
      </c>
      <c r="L38" s="12">
        <f>Таблица22424[[#This Row],[СС, 
грн/рейс]]/Таблица22424[[#This Row],[Километраж, 
км]]</f>
        <v>40.983606557377051</v>
      </c>
      <c r="M38" s="26">
        <f>Таблица22424[[#This Row],[Доход, 
грн/рейс]]-Таблица22424[[#This Row],[СС, 
грн/рейс]]</f>
        <v>500</v>
      </c>
      <c r="N38" s="24"/>
    </row>
    <row r="39" spans="1:14" ht="13.8" hidden="1" thickTop="1" x14ac:dyDescent="0.25">
      <c r="A39" s="14" t="s">
        <v>261</v>
      </c>
      <c r="B39" s="62" t="s">
        <v>526</v>
      </c>
      <c r="C39" s="25">
        <v>45597</v>
      </c>
      <c r="D39" s="57" t="s">
        <v>647</v>
      </c>
      <c r="E39" s="24" t="s">
        <v>544</v>
      </c>
      <c r="F39" s="55" t="s">
        <v>395</v>
      </c>
      <c r="G39" s="58">
        <v>5000</v>
      </c>
      <c r="H39" s="56">
        <v>125</v>
      </c>
      <c r="I39" s="60">
        <f>Таблица22424[[#This Row],[Стоимость, 
грн]]</f>
        <v>5000</v>
      </c>
      <c r="J39" s="12">
        <f>Таблица22424[[#This Row],[Доход, 
грн/рейс]]/Таблица22424[[#This Row],[Километраж, 
км]]</f>
        <v>40</v>
      </c>
      <c r="K39" s="12">
        <v>4500</v>
      </c>
      <c r="L39" s="12">
        <f>Таблица22424[[#This Row],[СС, 
грн/рейс]]/Таблица22424[[#This Row],[Километраж, 
км]]</f>
        <v>36</v>
      </c>
      <c r="M39" s="26">
        <f>Таблица22424[[#This Row],[Доход, 
грн/рейс]]-Таблица22424[[#This Row],[СС, 
грн/рейс]]</f>
        <v>500</v>
      </c>
      <c r="N39" s="24"/>
    </row>
    <row r="40" spans="1:14" ht="13.8" hidden="1" thickTop="1" x14ac:dyDescent="0.25">
      <c r="A40" s="14" t="s">
        <v>310</v>
      </c>
      <c r="B40" s="62" t="s">
        <v>526</v>
      </c>
      <c r="C40" s="25">
        <v>45597</v>
      </c>
      <c r="D40" s="57" t="s">
        <v>647</v>
      </c>
      <c r="E40" s="24" t="s">
        <v>666</v>
      </c>
      <c r="F40" s="55" t="s">
        <v>619</v>
      </c>
      <c r="G40" s="58">
        <v>8000</v>
      </c>
      <c r="H40" s="60">
        <v>102</v>
      </c>
      <c r="I40" s="60">
        <f>Таблица22424[[#This Row],[Стоимость, 
грн]]</f>
        <v>8000</v>
      </c>
      <c r="J40" s="12">
        <f>Таблица22424[[#This Row],[Доход, 
грн/рейс]]/Таблица22424[[#This Row],[Километраж, 
км]]</f>
        <v>78.431372549019613</v>
      </c>
      <c r="K40" s="12">
        <v>7500</v>
      </c>
      <c r="L40" s="12">
        <f>Таблица22424[[#This Row],[СС, 
грн/рейс]]/Таблица22424[[#This Row],[Километраж, 
км]]</f>
        <v>73.529411764705884</v>
      </c>
      <c r="M40" s="26">
        <f>Таблица22424[[#This Row],[Доход, 
грн/рейс]]-Таблица22424[[#This Row],[СС, 
грн/рейс]]</f>
        <v>500</v>
      </c>
      <c r="N40" s="24"/>
    </row>
    <row r="41" spans="1:14" ht="13.8" hidden="1" thickTop="1" x14ac:dyDescent="0.25">
      <c r="A41" s="14" t="s">
        <v>261</v>
      </c>
      <c r="B41" s="62" t="s">
        <v>526</v>
      </c>
      <c r="C41" s="25">
        <v>45597</v>
      </c>
      <c r="D41" s="57" t="s">
        <v>647</v>
      </c>
      <c r="E41" s="24" t="s">
        <v>544</v>
      </c>
      <c r="F41" s="55" t="s">
        <v>667</v>
      </c>
      <c r="G41" s="58">
        <v>2650</v>
      </c>
      <c r="H41" s="56">
        <v>117</v>
      </c>
      <c r="I41" s="60">
        <f>Таблица22424[[#This Row],[Стоимость, 
грн]]</f>
        <v>2650</v>
      </c>
      <c r="J41" s="12">
        <f>Таблица22424[[#This Row],[Доход, 
грн/рейс]]/Таблица22424[[#This Row],[Километраж, 
км]]</f>
        <v>22.649572649572651</v>
      </c>
      <c r="K41" s="12">
        <v>2400</v>
      </c>
      <c r="L41" s="12">
        <f>Таблица22424[[#This Row],[СС, 
грн/рейс]]/Таблица22424[[#This Row],[Километраж, 
км]]</f>
        <v>20.512820512820515</v>
      </c>
      <c r="M41" s="26">
        <f>Таблица22424[[#This Row],[Доход, 
грн/рейс]]-Таблица22424[[#This Row],[СС, 
грн/рейс]]</f>
        <v>250</v>
      </c>
      <c r="N41" s="24"/>
    </row>
    <row r="42" spans="1:14" ht="13.8" hidden="1" thickTop="1" x14ac:dyDescent="0.25">
      <c r="A42" s="14" t="s">
        <v>261</v>
      </c>
      <c r="B42" s="62" t="s">
        <v>466</v>
      </c>
      <c r="C42" s="25">
        <v>45597</v>
      </c>
      <c r="D42" s="57" t="s">
        <v>648</v>
      </c>
      <c r="E42" s="24" t="s">
        <v>668</v>
      </c>
      <c r="F42" s="55" t="s">
        <v>669</v>
      </c>
      <c r="G42" s="58">
        <v>2750</v>
      </c>
      <c r="H42" s="56">
        <v>125</v>
      </c>
      <c r="I42" s="60">
        <f>Таблица22424[[#This Row],[Стоимость, 
грн]]</f>
        <v>2750</v>
      </c>
      <c r="J42" s="12">
        <f>Таблица22424[[#This Row],[Доход, 
грн/рейс]]/Таблица22424[[#This Row],[Километраж, 
км]]</f>
        <v>22</v>
      </c>
      <c r="K42" s="12">
        <v>2500</v>
      </c>
      <c r="L42" s="12">
        <f>Таблица22424[[#This Row],[СС, 
грн/рейс]]/Таблица22424[[#This Row],[Километраж, 
км]]</f>
        <v>20</v>
      </c>
      <c r="M42" s="26">
        <f>Таблица22424[[#This Row],[Доход, 
грн/рейс]]-Таблица22424[[#This Row],[СС, 
грн/рейс]]</f>
        <v>250</v>
      </c>
      <c r="N42" s="24"/>
    </row>
    <row r="43" spans="1:14" ht="13.8" hidden="1" thickTop="1" x14ac:dyDescent="0.25">
      <c r="A43" s="14" t="s">
        <v>99</v>
      </c>
      <c r="B43" s="62" t="s">
        <v>466</v>
      </c>
      <c r="C43" s="25">
        <v>45597</v>
      </c>
      <c r="D43" s="57" t="s">
        <v>677</v>
      </c>
      <c r="E43" s="24" t="s">
        <v>544</v>
      </c>
      <c r="F43" s="55" t="s">
        <v>681</v>
      </c>
      <c r="G43" s="58">
        <v>2750</v>
      </c>
      <c r="H43" s="60">
        <v>129</v>
      </c>
      <c r="I43" s="60">
        <f>Таблица22424[[#This Row],[Стоимость, 
грн]]</f>
        <v>2750</v>
      </c>
      <c r="J43" s="12">
        <f>Таблица22424[[#This Row],[Доход, 
грн/рейс]]/Таблица22424[[#This Row],[Километраж, 
км]]</f>
        <v>21.31782945736434</v>
      </c>
      <c r="K43" s="12">
        <v>2500</v>
      </c>
      <c r="L43" s="12">
        <f>Таблица22424[[#This Row],[СС, 
грн/рейс]]/Таблица22424[[#This Row],[Километраж, 
км]]</f>
        <v>19.379844961240309</v>
      </c>
      <c r="M43" s="26">
        <f>Таблица22424[[#This Row],[Доход, 
грн/рейс]]-Таблица22424[[#This Row],[СС, 
грн/рейс]]</f>
        <v>250</v>
      </c>
      <c r="N43" s="24"/>
    </row>
    <row r="44" spans="1:14" ht="13.8" hidden="1" thickTop="1" x14ac:dyDescent="0.25">
      <c r="A44" s="14" t="s">
        <v>310</v>
      </c>
      <c r="B44" s="62" t="s">
        <v>526</v>
      </c>
      <c r="C44" s="25">
        <v>45597</v>
      </c>
      <c r="D44" s="57" t="s">
        <v>686</v>
      </c>
      <c r="E44" s="24" t="s">
        <v>544</v>
      </c>
      <c r="F44" s="55" t="s">
        <v>684</v>
      </c>
      <c r="G44" s="58">
        <v>2750</v>
      </c>
      <c r="H44" s="56">
        <v>127</v>
      </c>
      <c r="I44" s="60">
        <f>Таблица22424[[#This Row],[Стоимость, 
грн]]</f>
        <v>2750</v>
      </c>
      <c r="J44" s="12">
        <f>Таблица22424[[#This Row],[Доход, 
грн/рейс]]/Таблица22424[[#This Row],[Километраж, 
км]]</f>
        <v>21.653543307086615</v>
      </c>
      <c r="K44" s="12">
        <v>2500</v>
      </c>
      <c r="L44" s="12">
        <f>Таблица22424[[#This Row],[СС, 
грн/рейс]]/Таблица22424[[#This Row],[Километраж, 
км]]</f>
        <v>19.685039370078741</v>
      </c>
      <c r="M44" s="26">
        <f>Таблица22424[[#This Row],[Доход, 
грн/рейс]]-Таблица22424[[#This Row],[СС, 
грн/рейс]]</f>
        <v>250</v>
      </c>
      <c r="N44" s="24"/>
    </row>
    <row r="45" spans="1:14" ht="13.8" hidden="1" thickTop="1" x14ac:dyDescent="0.25">
      <c r="A45" s="14" t="s">
        <v>261</v>
      </c>
      <c r="B45" s="62" t="s">
        <v>526</v>
      </c>
      <c r="C45" s="25">
        <v>45597</v>
      </c>
      <c r="D45" s="57" t="s">
        <v>687</v>
      </c>
      <c r="E45" s="24" t="s">
        <v>544</v>
      </c>
      <c r="F45" s="55" t="s">
        <v>685</v>
      </c>
      <c r="G45" s="58">
        <v>7150</v>
      </c>
      <c r="H45" s="56">
        <v>108</v>
      </c>
      <c r="I45" s="60">
        <f>Таблица22424[[#This Row],[Стоимость, 
грн]]</f>
        <v>7150</v>
      </c>
      <c r="J45" s="12">
        <f>Таблица22424[[#This Row],[Доход, 
грн/рейс]]/Таблица22424[[#This Row],[Километраж, 
км]]</f>
        <v>66.203703703703709</v>
      </c>
      <c r="K45" s="12">
        <v>6500</v>
      </c>
      <c r="L45" s="12">
        <f>Таблица22424[[#This Row],[СС, 
грн/рейс]]/Таблица22424[[#This Row],[Километраж, 
км]]</f>
        <v>60.185185185185183</v>
      </c>
      <c r="M45" s="26">
        <f>Таблица22424[[#This Row],[Доход, 
грн/рейс]]-Таблица22424[[#This Row],[СС, 
грн/рейс]]</f>
        <v>650</v>
      </c>
      <c r="N45" s="24"/>
    </row>
    <row r="46" spans="1:14" ht="13.8" hidden="1" thickTop="1" x14ac:dyDescent="0.25">
      <c r="A46" s="14" t="s">
        <v>706</v>
      </c>
      <c r="B46" s="62" t="s">
        <v>526</v>
      </c>
      <c r="C46" s="25">
        <v>45627</v>
      </c>
      <c r="D46" s="57" t="s">
        <v>700</v>
      </c>
      <c r="E46" s="24" t="s">
        <v>544</v>
      </c>
      <c r="F46" s="55" t="s">
        <v>167</v>
      </c>
      <c r="G46" s="58">
        <v>4950</v>
      </c>
      <c r="H46" s="60">
        <v>119</v>
      </c>
      <c r="I46" s="60">
        <f>Таблица22424[[#This Row],[Стоимость, 
грн]]</f>
        <v>4950</v>
      </c>
      <c r="J46" s="12">
        <f>Таблица22424[[#This Row],[Доход, 
грн/рейс]]/Таблица22424[[#This Row],[Километраж, 
км]]</f>
        <v>41.596638655462186</v>
      </c>
      <c r="K46" s="12">
        <v>4500</v>
      </c>
      <c r="L46" s="12">
        <f>Таблица22424[[#This Row],[СС, 
грн/рейс]]/Таблица22424[[#This Row],[Километраж, 
км]]</f>
        <v>37.815126050420169</v>
      </c>
      <c r="M46" s="26">
        <f>Таблица22424[[#This Row],[Доход, 
грн/рейс]]-Таблица22424[[#This Row],[СС, 
грн/рейс]]</f>
        <v>450</v>
      </c>
      <c r="N46" s="24"/>
    </row>
    <row r="47" spans="1:14" ht="13.8" hidden="1" thickTop="1" x14ac:dyDescent="0.25">
      <c r="A47" s="14" t="s">
        <v>261</v>
      </c>
      <c r="B47" s="62" t="s">
        <v>526</v>
      </c>
      <c r="C47" s="25">
        <v>45627</v>
      </c>
      <c r="D47" s="176" t="s">
        <v>714</v>
      </c>
      <c r="E47" s="162" t="s">
        <v>779</v>
      </c>
      <c r="F47" s="174" t="s">
        <v>633</v>
      </c>
      <c r="G47" s="163">
        <v>14500</v>
      </c>
      <c r="H47" s="164">
        <v>144</v>
      </c>
      <c r="I47" s="164">
        <f>Таблица22424[[#This Row],[Стоимость, 
грн]]</f>
        <v>14500</v>
      </c>
      <c r="J47" s="165">
        <f>Таблица22424[[#This Row],[Доход, 
грн/рейс]]/Таблица22424[[#This Row],[Километраж, 
км]]</f>
        <v>100.69444444444444</v>
      </c>
      <c r="K47" s="165">
        <v>13200</v>
      </c>
      <c r="L47" s="166">
        <f>Таблица22424[[#This Row],[СС, 
грн/рейс]]/Таблица22424[[#This Row],[Километраж, 
км]]</f>
        <v>91.666666666666671</v>
      </c>
      <c r="M47" s="167">
        <f>Таблица22424[[#This Row],[Доход, 
грн/рейс]]-Таблица22424[[#This Row],[СС, 
грн/рейс]]</f>
        <v>1300</v>
      </c>
      <c r="N47" s="162"/>
    </row>
    <row r="48" spans="1:14" ht="13.8" hidden="1" thickTop="1" x14ac:dyDescent="0.25">
      <c r="A48" s="14" t="s">
        <v>310</v>
      </c>
      <c r="B48" s="62" t="s">
        <v>526</v>
      </c>
      <c r="C48" s="25">
        <v>45627</v>
      </c>
      <c r="D48" s="57" t="s">
        <v>717</v>
      </c>
      <c r="E48" s="24" t="s">
        <v>726</v>
      </c>
      <c r="F48" s="55" t="s">
        <v>727</v>
      </c>
      <c r="G48" s="58">
        <v>2750</v>
      </c>
      <c r="H48" s="56">
        <v>139</v>
      </c>
      <c r="I48" s="60">
        <f>Таблица22424[[#This Row],[Стоимость, 
грн]]</f>
        <v>2750</v>
      </c>
      <c r="J48" s="12">
        <f>Таблица22424[[#This Row],[Доход, 
грн/рейс]]/Таблица22424[[#This Row],[Километраж, 
км]]</f>
        <v>19.784172661870503</v>
      </c>
      <c r="K48" s="12">
        <v>2500</v>
      </c>
      <c r="L48" s="12">
        <f>Таблица22424[[#This Row],[СС, 
грн/рейс]]/Таблица22424[[#This Row],[Километраж, 
км]]</f>
        <v>17.985611510791365</v>
      </c>
      <c r="M48" s="26">
        <f>Таблица22424[[#This Row],[Доход, 
грн/рейс]]-Таблица22424[[#This Row],[СС, 
грн/рейс]]</f>
        <v>250</v>
      </c>
      <c r="N48" s="24"/>
    </row>
    <row r="49" spans="1:14" ht="13.8" hidden="1" thickTop="1" x14ac:dyDescent="0.25">
      <c r="A49" s="14" t="s">
        <v>310</v>
      </c>
      <c r="B49" s="62" t="s">
        <v>722</v>
      </c>
      <c r="C49" s="25">
        <v>45627</v>
      </c>
      <c r="D49" s="57" t="s">
        <v>711</v>
      </c>
      <c r="E49" s="24" t="s">
        <v>728</v>
      </c>
      <c r="F49" s="55" t="s">
        <v>729</v>
      </c>
      <c r="G49" s="58">
        <v>18500</v>
      </c>
      <c r="H49" s="56">
        <v>193</v>
      </c>
      <c r="I49" s="60">
        <f>Таблица22424[[#This Row],[Стоимость, 
грн]]</f>
        <v>18500</v>
      </c>
      <c r="J49" s="12">
        <f>Таблица22424[[#This Row],[Доход, 
грн/рейс]]/Таблица22424[[#This Row],[Километраж, 
км]]</f>
        <v>95.854922279792746</v>
      </c>
      <c r="K49" s="12">
        <v>18500</v>
      </c>
      <c r="L49" s="12">
        <f>Таблица22424[[#This Row],[СС, 
грн/рейс]]/Таблица22424[[#This Row],[Километраж, 
км]]</f>
        <v>95.854922279792746</v>
      </c>
      <c r="M49" s="26">
        <f>Таблица22424[[#This Row],[Доход, 
грн/рейс]]-Таблица22424[[#This Row],[СС, 
грн/рейс]]</f>
        <v>0</v>
      </c>
      <c r="N49" s="24"/>
    </row>
    <row r="50" spans="1:14" ht="13.8" thickTop="1" x14ac:dyDescent="0.25">
      <c r="A50" s="124" t="s">
        <v>135</v>
      </c>
      <c r="B50" s="125" t="s">
        <v>526</v>
      </c>
      <c r="C50" s="126">
        <v>45627</v>
      </c>
      <c r="D50" s="180" t="s">
        <v>735</v>
      </c>
      <c r="E50" s="157" t="s">
        <v>739</v>
      </c>
      <c r="F50" s="158" t="s">
        <v>736</v>
      </c>
      <c r="G50" s="58">
        <v>3700</v>
      </c>
      <c r="H50" s="60">
        <v>110</v>
      </c>
      <c r="I50" s="60">
        <v>3700</v>
      </c>
      <c r="J50" s="12">
        <f>Таблица22424[[#This Row],[Доход, 
грн/рейс]]/Таблица22424[[#This Row],[Километраж, 
км]]</f>
        <v>33.636363636363633</v>
      </c>
      <c r="K50" s="12">
        <v>3700</v>
      </c>
      <c r="L50" s="12">
        <f>Таблица22424[[#This Row],[СС, 
грн/рейс]]/Таблица22424[[#This Row],[Километраж, 
км]]</f>
        <v>33.636363636363633</v>
      </c>
      <c r="M50" s="26">
        <f>Таблица22424[[#This Row],[Доход, 
грн/рейс]]-Таблица22424[[#This Row],[СС, 
грн/рейс]]</f>
        <v>0</v>
      </c>
      <c r="N50" s="24"/>
    </row>
    <row r="51" spans="1:14" ht="13.2" x14ac:dyDescent="0.25">
      <c r="A51" s="124" t="s">
        <v>135</v>
      </c>
      <c r="B51" s="125" t="s">
        <v>526</v>
      </c>
      <c r="C51" s="126">
        <v>45627</v>
      </c>
      <c r="D51" s="180" t="s">
        <v>737</v>
      </c>
      <c r="E51" s="157" t="s">
        <v>739</v>
      </c>
      <c r="F51" s="158" t="s">
        <v>736</v>
      </c>
      <c r="G51" s="58">
        <v>3250</v>
      </c>
      <c r="H51" s="56">
        <v>110</v>
      </c>
      <c r="I51" s="60">
        <v>3250</v>
      </c>
      <c r="J51" s="12">
        <f>Таблица22424[[#This Row],[Доход, 
грн/рейс]]/Таблица22424[[#This Row],[Километраж, 
км]]</f>
        <v>29.545454545454547</v>
      </c>
      <c r="K51" s="12">
        <v>3100</v>
      </c>
      <c r="L51" s="12">
        <f>Таблица22424[[#This Row],[СС, 
грн/рейс]]/Таблица22424[[#This Row],[Километраж, 
км]]</f>
        <v>28.181818181818183</v>
      </c>
      <c r="M51" s="26">
        <f>Таблица22424[[#This Row],[Доход, 
грн/рейс]]-Таблица22424[[#This Row],[СС, 
грн/рейс]]</f>
        <v>150</v>
      </c>
      <c r="N51" s="24"/>
    </row>
    <row r="52" spans="1:14" ht="13.2" hidden="1" x14ac:dyDescent="0.25">
      <c r="A52" s="14" t="s">
        <v>749</v>
      </c>
      <c r="B52" s="125" t="s">
        <v>526</v>
      </c>
      <c r="C52" s="126">
        <v>45627</v>
      </c>
      <c r="D52" s="180" t="s">
        <v>740</v>
      </c>
      <c r="E52" s="24" t="s">
        <v>544</v>
      </c>
      <c r="F52" s="55" t="s">
        <v>395</v>
      </c>
      <c r="G52" s="58">
        <v>4400</v>
      </c>
      <c r="H52" s="56">
        <v>124</v>
      </c>
      <c r="I52" s="60">
        <f>Таблица22424[[#This Row],[Стоимость, 
грн]]</f>
        <v>4400</v>
      </c>
      <c r="J52" s="12">
        <f>Таблица22424[[#This Row],[Доход, 
грн/рейс]]/Таблица22424[[#This Row],[Километраж, 
км]]</f>
        <v>35.483870967741936</v>
      </c>
      <c r="K52" s="12">
        <v>4000</v>
      </c>
      <c r="L52" s="12">
        <f>Таблица22424[[#This Row],[СС, 
грн/рейс]]/Таблица22424[[#This Row],[Километраж, 
км]]</f>
        <v>32.258064516129032</v>
      </c>
      <c r="M52" s="26">
        <f>Таблица22424[[#This Row],[Доход, 
грн/рейс]]-Таблица22424[[#This Row],[СС, 
грн/рейс]]</f>
        <v>400</v>
      </c>
      <c r="N52" s="24"/>
    </row>
    <row r="53" spans="1:14" ht="13.2" hidden="1" x14ac:dyDescent="0.25">
      <c r="A53" s="14" t="s">
        <v>762</v>
      </c>
      <c r="B53" s="125" t="s">
        <v>526</v>
      </c>
      <c r="C53" s="178">
        <v>45658</v>
      </c>
      <c r="D53" s="181" t="s">
        <v>763</v>
      </c>
      <c r="E53" s="24" t="s">
        <v>544</v>
      </c>
      <c r="F53" s="55" t="s">
        <v>274</v>
      </c>
      <c r="G53" s="58">
        <v>2750</v>
      </c>
      <c r="H53" s="60">
        <v>108</v>
      </c>
      <c r="I53" s="60">
        <f>Таблица22424[[#This Row],[Стоимость, 
грн]]</f>
        <v>2750</v>
      </c>
      <c r="J53" s="12">
        <f>Таблица22424[[#This Row],[Доход, 
грн/рейс]]/Таблица22424[[#This Row],[Километраж, 
км]]</f>
        <v>25.462962962962962</v>
      </c>
      <c r="K53" s="12">
        <v>2500</v>
      </c>
      <c r="L53" s="12">
        <f>Таблица22424[[#This Row],[СС, 
грн/рейс]]/Таблица22424[[#This Row],[Километраж, 
км]]</f>
        <v>23.148148148148149</v>
      </c>
      <c r="M53" s="26">
        <f>Таблица22424[[#This Row],[Доход, 
грн/рейс]]-Таблица22424[[#This Row],[СС, 
грн/рейс]]</f>
        <v>250</v>
      </c>
      <c r="N53" s="24"/>
    </row>
    <row r="54" spans="1:14" ht="13.2" hidden="1" x14ac:dyDescent="0.25">
      <c r="A54" s="124" t="s">
        <v>708</v>
      </c>
      <c r="B54" s="125" t="s">
        <v>526</v>
      </c>
      <c r="C54" s="178">
        <v>45658</v>
      </c>
      <c r="D54" s="181" t="s">
        <v>780</v>
      </c>
      <c r="E54" s="162" t="s">
        <v>781</v>
      </c>
      <c r="F54" s="174" t="s">
        <v>633</v>
      </c>
      <c r="G54" s="58">
        <v>14150</v>
      </c>
      <c r="H54" s="56">
        <v>280</v>
      </c>
      <c r="I54" s="60">
        <f>Таблица22424[[#This Row],[Стоимость, 
грн]]</f>
        <v>14150</v>
      </c>
      <c r="J54" s="12">
        <f>Таблица22424[[#This Row],[Доход, 
грн/рейс]]/Таблица22424[[#This Row],[Километраж, 
км]]</f>
        <v>50.535714285714285</v>
      </c>
      <c r="K54" s="12">
        <v>13500</v>
      </c>
      <c r="L54" s="12">
        <f>Таблица22424[[#This Row],[СС, 
грн/рейс]]/Таблица22424[[#This Row],[Километраж, 
км]]</f>
        <v>48.214285714285715</v>
      </c>
      <c r="M54" s="26">
        <f>Таблица22424[[#This Row],[Доход, 
грн/рейс]]-Таблица22424[[#This Row],[СС, 
грн/рейс]]</f>
        <v>650</v>
      </c>
      <c r="N54" s="24"/>
    </row>
    <row r="55" spans="1:14" ht="13.2" hidden="1" x14ac:dyDescent="0.25">
      <c r="A55" s="14" t="s">
        <v>762</v>
      </c>
      <c r="B55" s="125" t="s">
        <v>526</v>
      </c>
      <c r="C55" s="178">
        <v>45658</v>
      </c>
      <c r="D55" s="182" t="s">
        <v>801</v>
      </c>
      <c r="E55" s="24" t="s">
        <v>802</v>
      </c>
      <c r="F55" s="129" t="s">
        <v>195</v>
      </c>
      <c r="G55" s="58">
        <v>6600</v>
      </c>
      <c r="H55" s="56">
        <v>198</v>
      </c>
      <c r="I55" s="60">
        <f>Таблица22424[[#This Row],[Стоимость, 
грн]]</f>
        <v>6600</v>
      </c>
      <c r="J55" s="12">
        <f>Таблица22424[[#This Row],[Доход, 
грн/рейс]]/Таблица22424[[#This Row],[Километраж, 
км]]</f>
        <v>33.333333333333336</v>
      </c>
      <c r="K55" s="12">
        <v>6000</v>
      </c>
      <c r="L55" s="12">
        <f>Таблица22424[[#This Row],[СС, 
грн/рейс]]/Таблица22424[[#This Row],[Километраж, 
км]]</f>
        <v>30.303030303030305</v>
      </c>
      <c r="M55" s="26">
        <f>Таблица22424[[#This Row],[Доход, 
грн/рейс]]-Таблица22424[[#This Row],[СС, 
грн/рейс]]</f>
        <v>600</v>
      </c>
      <c r="N55" s="24"/>
    </row>
    <row r="56" spans="1:14" ht="13.2" hidden="1" x14ac:dyDescent="0.25">
      <c r="A56" s="14" t="s">
        <v>310</v>
      </c>
      <c r="B56" s="125" t="s">
        <v>526</v>
      </c>
      <c r="C56" s="183">
        <v>45689</v>
      </c>
      <c r="D56" s="184" t="s">
        <v>803</v>
      </c>
      <c r="E56" s="24" t="s">
        <v>806</v>
      </c>
      <c r="F56" s="55" t="s">
        <v>701</v>
      </c>
      <c r="G56" s="58">
        <v>7140</v>
      </c>
      <c r="H56" s="60">
        <v>108</v>
      </c>
      <c r="I56" s="60">
        <f>Таблица22424[[#This Row],[Стоимость, 
грн]]</f>
        <v>7140</v>
      </c>
      <c r="J56" s="12">
        <f>Таблица22424[[#This Row],[Доход, 
грн/рейс]]/Таблица22424[[#This Row],[Километраж, 
км]]</f>
        <v>66.111111111111114</v>
      </c>
      <c r="K56" s="12">
        <v>6800</v>
      </c>
      <c r="L56" s="12">
        <f>Таблица22424[[#This Row],[СС, 
грн/рейс]]/Таблица22424[[#This Row],[Километраж, 
км]]</f>
        <v>62.962962962962962</v>
      </c>
      <c r="M56" s="26">
        <f>Таблица22424[[#This Row],[Доход, 
грн/рейс]]-Таблица22424[[#This Row],[СС, 
грн/рейс]]</f>
        <v>340</v>
      </c>
      <c r="N56" s="24"/>
    </row>
    <row r="57" spans="1:14" ht="13.2" hidden="1" x14ac:dyDescent="0.25">
      <c r="A57" s="14" t="s">
        <v>762</v>
      </c>
      <c r="B57" s="62" t="s">
        <v>466</v>
      </c>
      <c r="C57" s="183">
        <v>45689</v>
      </c>
      <c r="D57" s="184" t="s">
        <v>804</v>
      </c>
      <c r="E57" s="24" t="s">
        <v>802</v>
      </c>
      <c r="F57" s="129" t="s">
        <v>195</v>
      </c>
      <c r="G57" s="58">
        <v>4400</v>
      </c>
      <c r="H57" s="56">
        <v>198</v>
      </c>
      <c r="I57" s="60">
        <f>Таблица22424[[#This Row],[Стоимость, 
грн]]</f>
        <v>4400</v>
      </c>
      <c r="J57" s="12">
        <f>Таблица22424[[#This Row],[Доход, 
грн/рейс]]/Таблица22424[[#This Row],[Километраж, 
км]]</f>
        <v>22.222222222222221</v>
      </c>
      <c r="K57" s="12">
        <v>4000</v>
      </c>
      <c r="L57" s="12">
        <f>Таблица22424[[#This Row],[СС, 
грн/рейс]]/Таблица22424[[#This Row],[Километраж, 
км]]</f>
        <v>20.202020202020201</v>
      </c>
      <c r="M57" s="26">
        <f>Таблица22424[[#This Row],[Доход, 
грн/рейс]]-Таблица22424[[#This Row],[СС, 
грн/рейс]]</f>
        <v>400</v>
      </c>
      <c r="N57" s="24"/>
    </row>
    <row r="58" spans="1:14" ht="13.2" hidden="1" x14ac:dyDescent="0.25">
      <c r="A58" s="14" t="s">
        <v>762</v>
      </c>
      <c r="B58" s="125" t="s">
        <v>526</v>
      </c>
      <c r="C58" s="183">
        <v>45689</v>
      </c>
      <c r="D58" s="184" t="s">
        <v>807</v>
      </c>
      <c r="E58" s="24" t="s">
        <v>805</v>
      </c>
      <c r="F58" s="129" t="s">
        <v>195</v>
      </c>
      <c r="G58" s="58">
        <v>7150</v>
      </c>
      <c r="H58" s="56">
        <v>198</v>
      </c>
      <c r="I58" s="60">
        <f>Таблица22424[[#This Row],[Стоимость, 
грн]]</f>
        <v>7150</v>
      </c>
      <c r="J58" s="12">
        <f>Таблица22424[[#This Row],[Доход, 
грн/рейс]]/Таблица22424[[#This Row],[Километраж, 
км]]</f>
        <v>36.111111111111114</v>
      </c>
      <c r="K58" s="12">
        <v>6500</v>
      </c>
      <c r="L58" s="12">
        <f>Таблица22424[[#This Row],[СС, 
грн/рейс]]/Таблица22424[[#This Row],[Километраж, 
км]]</f>
        <v>32.828282828282831</v>
      </c>
      <c r="M58" s="26">
        <f>Таблица22424[[#This Row],[Доход, 
грн/рейс]]-Таблица22424[[#This Row],[СС, 
грн/рейс]]</f>
        <v>650</v>
      </c>
      <c r="N58" s="24"/>
    </row>
    <row r="59" spans="1:14" ht="13.2" hidden="1" x14ac:dyDescent="0.25">
      <c r="A59" s="14" t="s">
        <v>754</v>
      </c>
      <c r="B59" s="125" t="s">
        <v>515</v>
      </c>
      <c r="C59" s="183">
        <v>45689</v>
      </c>
      <c r="D59" s="184" t="s">
        <v>829</v>
      </c>
      <c r="E59" s="24" t="s">
        <v>544</v>
      </c>
      <c r="F59" s="55" t="s">
        <v>274</v>
      </c>
      <c r="G59" s="58">
        <v>2750</v>
      </c>
      <c r="H59" s="60">
        <v>117</v>
      </c>
      <c r="I59" s="60">
        <f>Таблица22424[[#This Row],[Стоимость, 
грн]]</f>
        <v>2750</v>
      </c>
      <c r="J59" s="12">
        <f>Таблица22424[[#This Row],[Доход, 
грн/рейс]]/Таблица22424[[#This Row],[Километраж, 
км]]</f>
        <v>23.504273504273506</v>
      </c>
      <c r="K59" s="12">
        <v>2500</v>
      </c>
      <c r="L59" s="12">
        <f>Таблица22424[[#This Row],[СС, 
грн/рейс]]/Таблица22424[[#This Row],[Километраж, 
км]]</f>
        <v>21.367521367521366</v>
      </c>
      <c r="M59" s="26">
        <f>Таблица22424[[#This Row],[Доход, 
грн/рейс]]-Таблица22424[[#This Row],[СС, 
грн/рейс]]</f>
        <v>250</v>
      </c>
      <c r="N59" s="24"/>
    </row>
    <row r="60" spans="1:14" ht="26.4" hidden="1" x14ac:dyDescent="0.25">
      <c r="A60" s="14" t="s">
        <v>310</v>
      </c>
      <c r="B60" s="62" t="s">
        <v>466</v>
      </c>
      <c r="C60" s="183">
        <v>45689</v>
      </c>
      <c r="D60" s="188" t="s">
        <v>837</v>
      </c>
      <c r="E60" s="189" t="s">
        <v>839</v>
      </c>
      <c r="F60" s="55" t="s">
        <v>838</v>
      </c>
      <c r="G60" s="58">
        <v>3300</v>
      </c>
      <c r="H60" s="56">
        <v>105</v>
      </c>
      <c r="I60" s="60">
        <v>3300</v>
      </c>
      <c r="J60" s="12">
        <f>Таблица22424[[#This Row],[Доход, 
грн/рейс]]/Таблица22424[[#This Row],[Километраж, 
км]]</f>
        <v>31.428571428571427</v>
      </c>
      <c r="K60" s="12">
        <v>3000</v>
      </c>
      <c r="L60" s="12">
        <f>Таблица22424[[#This Row],[СС, 
грн/рейс]]/Таблица22424[[#This Row],[Километраж, 
км]]</f>
        <v>28.571428571428573</v>
      </c>
      <c r="M60" s="26">
        <f>Таблица22424[[#This Row],[Доход, 
грн/рейс]]-Таблица22424[[#This Row],[СС, 
грн/рейс]]</f>
        <v>300</v>
      </c>
      <c r="N60" s="24"/>
    </row>
    <row r="61" spans="1:14" ht="13.2" hidden="1" x14ac:dyDescent="0.25">
      <c r="A61" s="14" t="s">
        <v>310</v>
      </c>
      <c r="B61" s="62" t="s">
        <v>466</v>
      </c>
      <c r="C61" s="183">
        <v>45689</v>
      </c>
      <c r="D61" s="188" t="s">
        <v>837</v>
      </c>
      <c r="E61" s="24" t="s">
        <v>544</v>
      </c>
      <c r="F61" s="55" t="s">
        <v>840</v>
      </c>
      <c r="G61" s="58">
        <v>2200</v>
      </c>
      <c r="H61" s="56">
        <v>117</v>
      </c>
      <c r="I61" s="60">
        <v>2200</v>
      </c>
      <c r="J61" s="12">
        <f>Таблица22424[[#This Row],[Доход, 
грн/рейс]]/Таблица22424[[#This Row],[Километраж, 
км]]</f>
        <v>18.803418803418804</v>
      </c>
      <c r="K61" s="12">
        <v>2000</v>
      </c>
      <c r="L61" s="12">
        <f>Таблица22424[[#This Row],[СС, 
грн/рейс]]/Таблица22424[[#This Row],[Километраж, 
км]]</f>
        <v>17.094017094017094</v>
      </c>
      <c r="M61" s="26">
        <f>Таблица22424[[#This Row],[Доход, 
грн/рейс]]-Таблица22424[[#This Row],[СС, 
грн/рейс]]</f>
        <v>200</v>
      </c>
      <c r="N61" s="24"/>
    </row>
    <row r="62" spans="1:14" ht="13.2" hidden="1" x14ac:dyDescent="0.25">
      <c r="A62" s="14" t="s">
        <v>825</v>
      </c>
      <c r="B62" s="62" t="s">
        <v>722</v>
      </c>
      <c r="C62" s="183">
        <v>45689</v>
      </c>
      <c r="D62" s="188" t="s">
        <v>837</v>
      </c>
      <c r="E62" s="24" t="s">
        <v>544</v>
      </c>
      <c r="F62" s="55" t="s">
        <v>841</v>
      </c>
      <c r="G62" s="58">
        <v>3000</v>
      </c>
      <c r="H62" s="60">
        <v>108</v>
      </c>
      <c r="I62" s="60">
        <f>Таблица22424[[#This Row],[Стоимость, 
грн]]</f>
        <v>3000</v>
      </c>
      <c r="J62" s="12">
        <f>Таблица22424[[#This Row],[Доход, 
грн/рейс]]/Таблица22424[[#This Row],[Километраж, 
км]]</f>
        <v>27.777777777777779</v>
      </c>
      <c r="K62" s="12">
        <v>2700</v>
      </c>
      <c r="L62" s="12">
        <f>Таблица22424[[#This Row],[СС, 
грн/рейс]]/Таблица22424[[#This Row],[Километраж, 
км]]</f>
        <v>25</v>
      </c>
      <c r="M62" s="26">
        <f>Таблица22424[[#This Row],[Доход, 
грн/рейс]]-Таблица22424[[#This Row],[СС, 
грн/рейс]]</f>
        <v>300</v>
      </c>
      <c r="N62" s="24"/>
    </row>
    <row r="63" spans="1:14" ht="13.2" hidden="1" x14ac:dyDescent="0.25">
      <c r="A63" s="14" t="s">
        <v>847</v>
      </c>
      <c r="B63" s="62" t="s">
        <v>515</v>
      </c>
      <c r="C63" s="194">
        <v>45717</v>
      </c>
      <c r="D63" s="195" t="s">
        <v>844</v>
      </c>
      <c r="E63" s="24" t="s">
        <v>544</v>
      </c>
      <c r="F63" s="209" t="s">
        <v>667</v>
      </c>
      <c r="G63" s="210">
        <v>1650</v>
      </c>
      <c r="H63" s="211">
        <v>103</v>
      </c>
      <c r="I63" s="211">
        <f>Таблица22424[[#This Row],[Стоимость, 
грн]]</f>
        <v>1650</v>
      </c>
      <c r="J63" s="212">
        <f>Таблица22424[[#This Row],[Доход, 
грн/рейс]]/Таблица22424[[#This Row],[Километраж, 
км]]</f>
        <v>16.019417475728154</v>
      </c>
      <c r="K63" s="212">
        <v>1500</v>
      </c>
      <c r="L63" s="213">
        <f>Таблица22424[[#This Row],[СС, 
грн/рейс]]/Таблица22424[[#This Row],[Километраж, 
км]]</f>
        <v>14.563106796116505</v>
      </c>
      <c r="M63" s="214">
        <f>Таблица22424[[#This Row],[Доход, 
грн/рейс]]-Таблица22424[[#This Row],[СС, 
грн/рейс]]</f>
        <v>150</v>
      </c>
      <c r="N63" s="208"/>
    </row>
    <row r="64" spans="1:14" ht="13.2" hidden="1" x14ac:dyDescent="0.25">
      <c r="A64" s="14" t="s">
        <v>310</v>
      </c>
      <c r="B64" s="62" t="s">
        <v>466</v>
      </c>
      <c r="C64" s="194">
        <v>45717</v>
      </c>
      <c r="D64" s="195" t="s">
        <v>846</v>
      </c>
      <c r="E64" s="24" t="s">
        <v>544</v>
      </c>
      <c r="F64" s="196" t="s">
        <v>684</v>
      </c>
      <c r="G64" s="197">
        <v>2400</v>
      </c>
      <c r="H64" s="154">
        <v>117</v>
      </c>
      <c r="I64" s="154">
        <f>Таблица22424[[#This Row],[Стоимость, 
грн]]</f>
        <v>2400</v>
      </c>
      <c r="J64" s="155">
        <f>Таблица22424[[#This Row],[Доход, 
грн/рейс]]/Таблица22424[[#This Row],[Километраж, 
км]]</f>
        <v>20.512820512820515</v>
      </c>
      <c r="K64" s="155">
        <v>2200</v>
      </c>
      <c r="L64" s="198">
        <f>Таблица22424[[#This Row],[СС, 
грн/рейс]]/Таблица22424[[#This Row],[Километраж, 
км]]</f>
        <v>18.803418803418804</v>
      </c>
      <c r="M64" s="156">
        <f>Таблица22424[[#This Row],[Доход, 
грн/рейс]]-Таблица22424[[#This Row],[СС, 
грн/рейс]]</f>
        <v>200</v>
      </c>
      <c r="N64" s="157"/>
    </row>
    <row r="65" spans="1:14" ht="13.2" hidden="1" x14ac:dyDescent="0.25">
      <c r="A65" s="14" t="s">
        <v>847</v>
      </c>
      <c r="B65" s="125" t="s">
        <v>515</v>
      </c>
      <c r="C65" s="194">
        <v>45717</v>
      </c>
      <c r="D65" s="195" t="s">
        <v>852</v>
      </c>
      <c r="E65" s="24" t="s">
        <v>544</v>
      </c>
      <c r="F65" s="55" t="s">
        <v>274</v>
      </c>
      <c r="G65" s="197">
        <v>3300</v>
      </c>
      <c r="H65" s="154">
        <v>118</v>
      </c>
      <c r="I65" s="154">
        <f>Таблица22424[[#This Row],[Стоимость, 
грн]]</f>
        <v>3300</v>
      </c>
      <c r="J65" s="155">
        <f>Таблица22424[[#This Row],[Доход, 
грн/рейс]]/Таблица22424[[#This Row],[Километраж, 
км]]</f>
        <v>27.966101694915253</v>
      </c>
      <c r="K65" s="155">
        <v>3000</v>
      </c>
      <c r="L65" s="198">
        <f>Таблица22424[[#This Row],[СС, 
грн/рейс]]/Таблица22424[[#This Row],[Километраж, 
км]]</f>
        <v>25.423728813559322</v>
      </c>
      <c r="M65" s="156">
        <f>Таблица22424[[#This Row],[Доход, 
грн/рейс]]-Таблица22424[[#This Row],[СС, 
грн/рейс]]</f>
        <v>300</v>
      </c>
      <c r="N65" s="157"/>
    </row>
    <row r="66" spans="1:14" ht="13.2" hidden="1" x14ac:dyDescent="0.25">
      <c r="A66" s="14" t="s">
        <v>847</v>
      </c>
      <c r="B66" s="125" t="s">
        <v>515</v>
      </c>
      <c r="C66" s="194">
        <v>45717</v>
      </c>
      <c r="D66" s="195" t="s">
        <v>852</v>
      </c>
      <c r="E66" s="24" t="s">
        <v>544</v>
      </c>
      <c r="F66" s="224" t="s">
        <v>877</v>
      </c>
      <c r="G66" s="197">
        <v>3300</v>
      </c>
      <c r="H66" s="154">
        <v>129</v>
      </c>
      <c r="I66" s="154">
        <v>3300</v>
      </c>
      <c r="J66" s="155">
        <f>Таблица22424[[#This Row],[Доход, 
грн/рейс]]/Таблица22424[[#This Row],[Километраж, 
км]]</f>
        <v>25.581395348837209</v>
      </c>
      <c r="K66" s="155">
        <v>3000</v>
      </c>
      <c r="L66" s="198">
        <f>Таблица22424[[#This Row],[СС, 
грн/рейс]]/Таблица22424[[#This Row],[Километраж, 
км]]</f>
        <v>23.255813953488371</v>
      </c>
      <c r="M66" s="156">
        <f>Таблица22424[[#This Row],[Доход, 
грн/рейс]]-Таблица22424[[#This Row],[СС, 
грн/рейс]]</f>
        <v>300</v>
      </c>
      <c r="N66" s="157"/>
    </row>
    <row r="67" spans="1:14" ht="13.2" hidden="1" x14ac:dyDescent="0.25">
      <c r="A67" s="14" t="s">
        <v>847</v>
      </c>
      <c r="B67" s="125" t="s">
        <v>515</v>
      </c>
      <c r="C67" s="194">
        <v>45717</v>
      </c>
      <c r="D67" s="195" t="s">
        <v>865</v>
      </c>
      <c r="E67" s="24" t="s">
        <v>544</v>
      </c>
      <c r="F67" s="196" t="s">
        <v>864</v>
      </c>
      <c r="G67" s="197">
        <v>4400</v>
      </c>
      <c r="H67" s="154">
        <v>112</v>
      </c>
      <c r="I67" s="154">
        <f>Таблица22424[[#This Row],[Стоимость, 
грн]]</f>
        <v>4400</v>
      </c>
      <c r="J67" s="155">
        <f>Таблица22424[[#This Row],[Доход, 
грн/рейс]]/Таблица22424[[#This Row],[Километраж, 
км]]</f>
        <v>39.285714285714285</v>
      </c>
      <c r="K67" s="155">
        <v>4000</v>
      </c>
      <c r="L67" s="198">
        <f>Таблица22424[[#This Row],[СС, 
грн/рейс]]/Таблица22424[[#This Row],[Километраж, 
км]]</f>
        <v>35.714285714285715</v>
      </c>
      <c r="M67" s="156">
        <f>Таблица22424[[#This Row],[Доход, 
грн/рейс]]-Таблица22424[[#This Row],[СС, 
грн/рейс]]</f>
        <v>400</v>
      </c>
      <c r="N67" s="157"/>
    </row>
    <row r="68" spans="1:14" ht="13.2" hidden="1" x14ac:dyDescent="0.25">
      <c r="A68" s="14" t="s">
        <v>847</v>
      </c>
      <c r="B68" s="125" t="s">
        <v>515</v>
      </c>
      <c r="C68" s="194">
        <v>45717</v>
      </c>
      <c r="D68" s="195" t="s">
        <v>868</v>
      </c>
      <c r="E68" s="24" t="s">
        <v>544</v>
      </c>
      <c r="F68" s="196" t="s">
        <v>168</v>
      </c>
      <c r="G68" s="197">
        <v>1800</v>
      </c>
      <c r="H68" s="154">
        <v>106</v>
      </c>
      <c r="I68" s="154">
        <f>Таблица22424[[#This Row],[Стоимость, 
грн]]</f>
        <v>1800</v>
      </c>
      <c r="J68" s="155">
        <f>Таблица22424[[#This Row],[Доход, 
грн/рейс]]/Таблица22424[[#This Row],[Километраж, 
км]]</f>
        <v>16.981132075471699</v>
      </c>
      <c r="K68" s="155">
        <v>1600</v>
      </c>
      <c r="L68" s="198">
        <f>Таблица22424[[#This Row],[СС, 
грн/рейс]]/Таблица22424[[#This Row],[Километраж, 
км]]</f>
        <v>15.09433962264151</v>
      </c>
      <c r="M68" s="156">
        <f>Таблица22424[[#This Row],[Доход, 
грн/рейс]]-Таблица22424[[#This Row],[СС, 
грн/рейс]]</f>
        <v>200</v>
      </c>
      <c r="N68" s="157"/>
    </row>
    <row r="69" spans="1:14" ht="13.2" hidden="1" x14ac:dyDescent="0.25">
      <c r="A69" s="14"/>
      <c r="B69" s="62"/>
      <c r="C69" s="16"/>
      <c r="D69" s="152"/>
      <c r="E69" s="157"/>
      <c r="F69" s="196"/>
      <c r="G69" s="197" t="e">
        <f>#REF!*#REF!</f>
        <v>#REF!</v>
      </c>
      <c r="H69" s="154" t="e">
        <f>SUM(#REF!)</f>
        <v>#REF!</v>
      </c>
      <c r="I69" s="154" t="e">
        <f>Таблица22424[[#This Row],[Стоимость, 
грн]]</f>
        <v>#REF!</v>
      </c>
      <c r="J69" s="155" t="e">
        <f>Таблица22424[[#This Row],[Доход, 
грн/рейс]]/Таблица22424[[#This Row],[Километраж, 
км]]</f>
        <v>#REF!</v>
      </c>
      <c r="K69" s="155"/>
      <c r="L69" s="198" t="e">
        <f>Таблица22424[[#This Row],[СС, 
грн/рейс]]/Таблица22424[[#This Row],[Километраж, 
км]]</f>
        <v>#REF!</v>
      </c>
      <c r="M69" s="156" t="e">
        <f>Таблица22424[[#This Row],[Доход, 
грн/рейс]]-Таблица22424[[#This Row],[СС, 
грн/рейс]]</f>
        <v>#REF!</v>
      </c>
      <c r="N69" s="157"/>
    </row>
    <row r="70" spans="1:14" ht="13.2" hidden="1" x14ac:dyDescent="0.25">
      <c r="A70" s="14"/>
      <c r="B70" s="62"/>
      <c r="C70" s="16"/>
      <c r="D70" s="152"/>
      <c r="E70" s="157"/>
      <c r="F70" s="196"/>
      <c r="G70" s="197" t="e">
        <f>#REF!*#REF!</f>
        <v>#REF!</v>
      </c>
      <c r="H70" s="154" t="e">
        <f>SUM(#REF!)</f>
        <v>#REF!</v>
      </c>
      <c r="I70" s="154" t="e">
        <f>Таблица22424[[#This Row],[Стоимость, 
грн]]</f>
        <v>#REF!</v>
      </c>
      <c r="J70" s="155" t="e">
        <f>Таблица22424[[#This Row],[Доход, 
грн/рейс]]/Таблица22424[[#This Row],[Километраж, 
км]]</f>
        <v>#REF!</v>
      </c>
      <c r="K70" s="155"/>
      <c r="L70" s="198" t="e">
        <f>Таблица22424[[#This Row],[СС, 
грн/рейс]]/Таблица22424[[#This Row],[Километраж, 
км]]</f>
        <v>#REF!</v>
      </c>
      <c r="M70" s="156" t="e">
        <f>Таблица22424[[#This Row],[Доход, 
грн/рейс]]-Таблица22424[[#This Row],[СС, 
грн/рейс]]</f>
        <v>#REF!</v>
      </c>
      <c r="N70" s="157"/>
    </row>
    <row r="71" spans="1:14" ht="13.2" hidden="1" x14ac:dyDescent="0.25">
      <c r="A71" s="84"/>
      <c r="B71" s="85"/>
      <c r="C71" s="199"/>
      <c r="D71" s="200"/>
      <c r="E71" s="201"/>
      <c r="F71" s="202"/>
      <c r="G71" s="203" t="e">
        <f>#REF!*#REF!</f>
        <v>#REF!</v>
      </c>
      <c r="H71" s="204" t="e">
        <f>SUM(#REF!)</f>
        <v>#REF!</v>
      </c>
      <c r="I71" s="204" t="e">
        <f>Таблица22424[[#This Row],[Стоимость, 
грн]]</f>
        <v>#REF!</v>
      </c>
      <c r="J71" s="205" t="e">
        <f>Таблица22424[[#This Row],[Доход, 
грн/рейс]]/Таблица22424[[#This Row],[Километраж, 
км]]</f>
        <v>#REF!</v>
      </c>
      <c r="K71" s="205"/>
      <c r="L71" s="206" t="e">
        <f>Таблица22424[[#This Row],[СС, 
грн/рейс]]/Таблица22424[[#This Row],[Километраж, 
км]]</f>
        <v>#REF!</v>
      </c>
      <c r="M71" s="207" t="e">
        <f>Таблица22424[[#This Row],[Доход, 
грн/рейс]]-Таблица22424[[#This Row],[СС, 
грн/рейс]]</f>
        <v>#REF!</v>
      </c>
      <c r="N71" s="201"/>
    </row>
    <row r="72" spans="1:14" ht="13.2" hidden="1" x14ac:dyDescent="0.25">
      <c r="A72" s="14" t="s">
        <v>847</v>
      </c>
      <c r="B72" s="125" t="s">
        <v>515</v>
      </c>
      <c r="C72" s="233">
        <v>45717</v>
      </c>
      <c r="D72" s="234" t="s">
        <v>875</v>
      </c>
      <c r="E72" s="24" t="s">
        <v>544</v>
      </c>
      <c r="F72" s="196" t="s">
        <v>876</v>
      </c>
      <c r="G72" s="225">
        <v>2500</v>
      </c>
      <c r="H72" s="154">
        <v>107</v>
      </c>
      <c r="I72" s="226">
        <f>Таблица22424[[#This Row],[Стоимость, 
грн]]</f>
        <v>2500</v>
      </c>
      <c r="J72" s="227">
        <f>Таблица22424[[#This Row],[Доход, 
грн/рейс]]/Таблица22424[[#This Row],[Километраж, 
км]]</f>
        <v>23.364485981308412</v>
      </c>
      <c r="K72" s="227">
        <v>2300</v>
      </c>
      <c r="L72" s="228">
        <f>Таблица22424[[#This Row],[СС, 
грн/рейс]]/Таблица22424[[#This Row],[Километраж, 
км]]</f>
        <v>21.495327102803738</v>
      </c>
      <c r="M72" s="229">
        <f>Таблица22424[[#This Row],[Доход, 
грн/рейс]]-Таблица22424[[#This Row],[СС, 
грн/рейс]]</f>
        <v>200</v>
      </c>
      <c r="N72" s="223"/>
    </row>
    <row r="73" spans="1:14" ht="13.2" hidden="1" x14ac:dyDescent="0.25">
      <c r="A73" s="221" t="s">
        <v>847</v>
      </c>
      <c r="B73" s="125" t="s">
        <v>515</v>
      </c>
      <c r="C73" s="233">
        <v>45717</v>
      </c>
      <c r="D73" s="234" t="s">
        <v>875</v>
      </c>
      <c r="E73" s="223" t="s">
        <v>544</v>
      </c>
      <c r="F73" s="224" t="s">
        <v>877</v>
      </c>
      <c r="G73" s="225">
        <v>2750</v>
      </c>
      <c r="H73" s="154">
        <v>118</v>
      </c>
      <c r="I73" s="226">
        <f>Таблица22424[[#This Row],[Стоимость, 
грн]]</f>
        <v>2750</v>
      </c>
      <c r="J73" s="227">
        <f>Таблица22424[[#This Row],[Доход, 
грн/рейс]]/Таблица22424[[#This Row],[Километраж, 
км]]</f>
        <v>23.305084745762713</v>
      </c>
      <c r="K73" s="227">
        <v>2500</v>
      </c>
      <c r="L73" s="228">
        <f>Таблица22424[[#This Row],[СС, 
грн/рейс]]/Таблица22424[[#This Row],[Километраж, 
км]]</f>
        <v>21.1864406779661</v>
      </c>
      <c r="M73" s="229">
        <f>Таблица22424[[#This Row],[Доход, 
грн/рейс]]-Таблица22424[[#This Row],[СС, 
грн/рейс]]</f>
        <v>250</v>
      </c>
      <c r="N73" s="223"/>
    </row>
    <row r="74" spans="1:14" ht="13.2" hidden="1" x14ac:dyDescent="0.25">
      <c r="A74" s="221" t="s">
        <v>847</v>
      </c>
      <c r="B74" s="125" t="s">
        <v>515</v>
      </c>
      <c r="C74" s="248">
        <v>45717</v>
      </c>
      <c r="D74" s="249" t="s">
        <v>883</v>
      </c>
      <c r="E74" s="223" t="s">
        <v>544</v>
      </c>
      <c r="F74" s="196" t="s">
        <v>876</v>
      </c>
      <c r="G74" s="203">
        <v>2750</v>
      </c>
      <c r="H74" s="204">
        <v>106</v>
      </c>
      <c r="I74" s="204">
        <f>Таблица22424[[#This Row],[Стоимость, 
грн]]</f>
        <v>2750</v>
      </c>
      <c r="J74" s="205">
        <f>Таблица22424[[#This Row],[Доход, 
грн/рейс]]/Таблица22424[[#This Row],[Километраж, 
км]]</f>
        <v>25.943396226415093</v>
      </c>
      <c r="K74" s="205">
        <v>2500</v>
      </c>
      <c r="L74" s="206">
        <f>Таблица22424[[#This Row],[СС, 
грн/рейс]]/Таблица22424[[#This Row],[Километраж, 
км]]</f>
        <v>23.584905660377359</v>
      </c>
      <c r="M74" s="207">
        <f>Таблица22424[[#This Row],[Доход, 
грн/рейс]]-Таблица22424[[#This Row],[СС, 
грн/рейс]]</f>
        <v>250</v>
      </c>
      <c r="N74" s="201"/>
    </row>
    <row r="75" spans="1:14" ht="13.2" hidden="1" x14ac:dyDescent="0.25">
      <c r="A75" s="221" t="s">
        <v>847</v>
      </c>
      <c r="B75" s="62" t="s">
        <v>670</v>
      </c>
      <c r="C75" s="248">
        <v>45717</v>
      </c>
      <c r="D75" s="249" t="s">
        <v>885</v>
      </c>
      <c r="E75" s="251" t="s">
        <v>544</v>
      </c>
      <c r="F75" s="252" t="s">
        <v>877</v>
      </c>
      <c r="G75" s="253">
        <v>2200</v>
      </c>
      <c r="H75" s="254">
        <v>120</v>
      </c>
      <c r="I75" s="254">
        <f>Таблица22424[[#This Row],[Стоимость, 
грн]]</f>
        <v>2200</v>
      </c>
      <c r="J75" s="255">
        <f>Таблица22424[[#This Row],[Доход, 
грн/рейс]]/Таблица22424[[#This Row],[Километраж, 
км]]</f>
        <v>18.333333333333332</v>
      </c>
      <c r="K75" s="255">
        <v>2000</v>
      </c>
      <c r="L75" s="256">
        <f>Таблица22424[[#This Row],[СС, 
грн/рейс]]/Таблица22424[[#This Row],[Километраж, 
км]]</f>
        <v>16.666666666666668</v>
      </c>
      <c r="M75" s="257">
        <f>Таблица22424[[#This Row],[Доход, 
грн/рейс]]-Таблица22424[[#This Row],[СС, 
грн/рейс]]</f>
        <v>200</v>
      </c>
      <c r="N75" s="251"/>
    </row>
    <row r="76" spans="1:14" ht="13.2" hidden="1" x14ac:dyDescent="0.25">
      <c r="A76" s="221" t="s">
        <v>847</v>
      </c>
      <c r="B76" s="85" t="s">
        <v>515</v>
      </c>
      <c r="C76" s="248">
        <v>45717</v>
      </c>
      <c r="D76" s="249" t="s">
        <v>892</v>
      </c>
      <c r="E76" s="251" t="s">
        <v>544</v>
      </c>
      <c r="F76" s="196" t="s">
        <v>891</v>
      </c>
      <c r="G76" s="203">
        <v>3850</v>
      </c>
      <c r="H76" s="204">
        <v>117</v>
      </c>
      <c r="I76" s="204">
        <f>Таблица22424[[#This Row],[Стоимость, 
грн]]</f>
        <v>3850</v>
      </c>
      <c r="J76" s="205">
        <f>Таблица22424[[#This Row],[Доход, 
грн/рейс]]/Таблица22424[[#This Row],[Километраж, 
км]]</f>
        <v>32.905982905982903</v>
      </c>
      <c r="K76" s="205">
        <v>3500</v>
      </c>
      <c r="L76" s="206">
        <f>Таблица22424[[#This Row],[СС, 
грн/рейс]]/Таблица22424[[#This Row],[Километраж, 
км]]</f>
        <v>29.914529914529915</v>
      </c>
      <c r="M76" s="207">
        <f>Таблица22424[[#This Row],[Доход, 
грн/рейс]]-Таблица22424[[#This Row],[СС, 
грн/рейс]]</f>
        <v>350</v>
      </c>
      <c r="N76" s="201"/>
    </row>
    <row r="77" spans="1:14" ht="13.2" hidden="1" x14ac:dyDescent="0.25">
      <c r="A77" s="221" t="s">
        <v>847</v>
      </c>
      <c r="B77" s="62" t="s">
        <v>670</v>
      </c>
      <c r="C77" s="278">
        <v>45748</v>
      </c>
      <c r="D77" s="279" t="s">
        <v>900</v>
      </c>
      <c r="E77" s="272" t="s">
        <v>902</v>
      </c>
      <c r="F77" s="280" t="s">
        <v>903</v>
      </c>
      <c r="G77" s="273">
        <v>5500</v>
      </c>
      <c r="H77" s="274">
        <v>145</v>
      </c>
      <c r="I77" s="274">
        <f>Таблица22424[[#This Row],[Стоимость, 
грн]]</f>
        <v>5500</v>
      </c>
      <c r="J77" s="281">
        <f>Таблица22424[[#This Row],[Доход, 
грн/рейс]]/Таблица22424[[#This Row],[Километраж, 
км]]</f>
        <v>37.931034482758619</v>
      </c>
      <c r="K77" s="281">
        <v>5000</v>
      </c>
      <c r="L77" s="282">
        <f>Таблица22424[[#This Row],[СС, 
грн/рейс]]/Таблица22424[[#This Row],[Километраж, 
км]]</f>
        <v>34.482758620689658</v>
      </c>
      <c r="M77" s="283">
        <f>Таблица22424[[#This Row],[Доход, 
грн/рейс]]-Таблица22424[[#This Row],[СС, 
грн/рейс]]</f>
        <v>500</v>
      </c>
      <c r="N77" s="272"/>
    </row>
    <row r="78" spans="1:14" ht="13.2" hidden="1" x14ac:dyDescent="0.25">
      <c r="A78" s="221" t="s">
        <v>847</v>
      </c>
      <c r="B78" s="62" t="s">
        <v>466</v>
      </c>
      <c r="C78" s="294">
        <v>45748</v>
      </c>
      <c r="D78" s="295" t="s">
        <v>908</v>
      </c>
      <c r="E78" s="251" t="s">
        <v>544</v>
      </c>
      <c r="F78" s="196" t="s">
        <v>876</v>
      </c>
      <c r="G78" s="288">
        <v>3850</v>
      </c>
      <c r="H78" s="289">
        <v>107</v>
      </c>
      <c r="I78" s="289">
        <f>Таблица22424[[#This Row],[Стоимость, 
грн]]</f>
        <v>3850</v>
      </c>
      <c r="J78" s="290">
        <f>Таблица22424[[#This Row],[Доход, 
грн/рейс]]/Таблица22424[[#This Row],[Километраж, 
км]]</f>
        <v>35.981308411214954</v>
      </c>
      <c r="K78" s="290">
        <v>3500</v>
      </c>
      <c r="L78" s="291">
        <f>Таблица22424[[#This Row],[СС, 
грн/рейс]]/Таблица22424[[#This Row],[Километраж, 
км]]</f>
        <v>32.710280373831779</v>
      </c>
      <c r="M78" s="292">
        <f>Таблица22424[[#This Row],[Доход, 
грн/рейс]]-Таблица22424[[#This Row],[СС, 
грн/рейс]]</f>
        <v>350</v>
      </c>
      <c r="N78" s="286"/>
    </row>
    <row r="79" spans="1:14" ht="15" hidden="1" customHeight="1" x14ac:dyDescent="0.25">
      <c r="A79" s="221" t="s">
        <v>847</v>
      </c>
      <c r="B79" s="85" t="s">
        <v>515</v>
      </c>
      <c r="C79" s="294">
        <v>45748</v>
      </c>
      <c r="D79" s="295" t="s">
        <v>910</v>
      </c>
      <c r="E79" s="286" t="s">
        <v>544</v>
      </c>
      <c r="F79" s="297" t="s">
        <v>912</v>
      </c>
      <c r="G79" s="288">
        <v>6600</v>
      </c>
      <c r="H79" s="289">
        <v>117</v>
      </c>
      <c r="I79" s="289">
        <f>Таблица22424[[#This Row],[Стоимость, 
грн]]</f>
        <v>6600</v>
      </c>
      <c r="J79" s="290">
        <f>Таблица22424[[#This Row],[Доход, 
грн/рейс]]/Таблица22424[[#This Row],[Километраж, 
км]]</f>
        <v>56.410256410256409</v>
      </c>
      <c r="K79" s="290">
        <v>6000</v>
      </c>
      <c r="L79" s="291">
        <f>Таблица22424[[#This Row],[СС, 
грн/рейс]]/Таблица22424[[#This Row],[Километраж, 
км]]</f>
        <v>51.282051282051285</v>
      </c>
      <c r="M79" s="292">
        <f>Таблица22424[[#This Row],[Доход, 
грн/рейс]]-Таблица22424[[#This Row],[СС, 
грн/рейс]]</f>
        <v>600</v>
      </c>
      <c r="N79" s="286"/>
    </row>
    <row r="80" spans="1:14" ht="15" hidden="1" customHeight="1" x14ac:dyDescent="0.25">
      <c r="A80" s="221" t="s">
        <v>847</v>
      </c>
      <c r="B80" s="85" t="s">
        <v>515</v>
      </c>
      <c r="C80" s="294">
        <v>45748</v>
      </c>
      <c r="D80" s="295" t="s">
        <v>910</v>
      </c>
      <c r="E80" s="286" t="s">
        <v>544</v>
      </c>
      <c r="F80" s="209" t="s">
        <v>667</v>
      </c>
      <c r="G80" s="288">
        <v>1650</v>
      </c>
      <c r="H80" s="289">
        <v>103</v>
      </c>
      <c r="I80" s="289">
        <f>Таблица22424[[#This Row],[Стоимость, 
грн]]</f>
        <v>1650</v>
      </c>
      <c r="J80" s="290">
        <f>Таблица22424[[#This Row],[Доход, 
грн/рейс]]/Таблица22424[[#This Row],[Километраж, 
км]]</f>
        <v>16.019417475728154</v>
      </c>
      <c r="K80" s="290">
        <v>1500</v>
      </c>
      <c r="L80" s="291">
        <f>Таблица22424[[#This Row],[СС, 
грн/рейс]]/Таблица22424[[#This Row],[Километраж, 
км]]</f>
        <v>14.563106796116505</v>
      </c>
      <c r="M80" s="292">
        <f>Таблица22424[[#This Row],[Доход, 
грн/рейс]]-Таблица22424[[#This Row],[СС, 
грн/рейс]]</f>
        <v>150</v>
      </c>
      <c r="N80" s="286"/>
    </row>
    <row r="81" spans="1:14" ht="13.2" hidden="1" x14ac:dyDescent="0.25">
      <c r="A81" s="221" t="s">
        <v>847</v>
      </c>
      <c r="B81" s="85" t="s">
        <v>515</v>
      </c>
      <c r="C81" s="294">
        <v>45748</v>
      </c>
      <c r="D81" s="295" t="s">
        <v>914</v>
      </c>
      <c r="E81" s="286" t="s">
        <v>544</v>
      </c>
      <c r="F81" s="287" t="s">
        <v>876</v>
      </c>
      <c r="G81" s="288">
        <v>2200</v>
      </c>
      <c r="H81" s="289">
        <v>103</v>
      </c>
      <c r="I81" s="289">
        <f>Таблица22424[[#This Row],[Стоимость, 
грн]]</f>
        <v>2200</v>
      </c>
      <c r="J81" s="290">
        <f>Таблица22424[[#This Row],[Доход, 
грн/рейс]]/Таблица22424[[#This Row],[Километраж, 
км]]</f>
        <v>21.359223300970875</v>
      </c>
      <c r="K81" s="290">
        <v>2000</v>
      </c>
      <c r="L81" s="291">
        <f>Таблица22424[[#This Row],[СС, 
грн/рейс]]/Таблица22424[[#This Row],[Километраж, 
км]]</f>
        <v>19.417475728155338</v>
      </c>
      <c r="M81" s="292">
        <f>Таблица22424[[#This Row],[Доход, 
грн/рейс]]-Таблица22424[[#This Row],[СС, 
грн/рейс]]</f>
        <v>200</v>
      </c>
      <c r="N81" s="286"/>
    </row>
    <row r="82" spans="1:14" ht="13.2" hidden="1" x14ac:dyDescent="0.25">
      <c r="A82" s="84" t="s">
        <v>924</v>
      </c>
      <c r="B82" s="62" t="s">
        <v>466</v>
      </c>
      <c r="C82" s="294">
        <v>45748</v>
      </c>
      <c r="D82" s="285" t="s">
        <v>25</v>
      </c>
      <c r="E82" s="201" t="s">
        <v>922</v>
      </c>
      <c r="F82" s="202" t="s">
        <v>923</v>
      </c>
      <c r="G82" s="203">
        <v>6000</v>
      </c>
      <c r="H82" s="204">
        <v>109</v>
      </c>
      <c r="I82" s="204">
        <f>Таблица22424[[#This Row],[Стоимость, 
грн]]</f>
        <v>6000</v>
      </c>
      <c r="J82" s="205">
        <f>Таблица22424[[#This Row],[Доход, 
грн/рейс]]/Таблица22424[[#This Row],[Километраж, 
км]]</f>
        <v>55.045871559633028</v>
      </c>
      <c r="K82" s="205">
        <v>5500</v>
      </c>
      <c r="L82" s="206">
        <f>Таблица22424[[#This Row],[СС, 
грн/рейс]]/Таблица22424[[#This Row],[Километраж, 
км]]</f>
        <v>50.458715596330272</v>
      </c>
      <c r="M82" s="207">
        <f>Таблица22424[[#This Row],[Доход, 
грн/рейс]]-Таблица22424[[#This Row],[СС, 
грн/рейс]]</f>
        <v>500</v>
      </c>
      <c r="N82" s="201"/>
    </row>
    <row r="83" spans="1:14" ht="13.2" hidden="1" x14ac:dyDescent="0.25">
      <c r="A83" s="221" t="s">
        <v>847</v>
      </c>
      <c r="B83" s="85" t="s">
        <v>515</v>
      </c>
      <c r="C83" s="294">
        <v>45748</v>
      </c>
      <c r="D83" s="285" t="s">
        <v>925</v>
      </c>
      <c r="E83" s="201" t="s">
        <v>544</v>
      </c>
      <c r="F83" s="202" t="s">
        <v>667</v>
      </c>
      <c r="G83" s="203">
        <v>1650</v>
      </c>
      <c r="H83" s="204">
        <v>103</v>
      </c>
      <c r="I83" s="204">
        <f>Таблица22424[[#This Row],[Стоимость, 
грн]]</f>
        <v>1650</v>
      </c>
      <c r="J83" s="205">
        <f>Таблица22424[[#This Row],[Доход, 
грн/рейс]]/Таблица22424[[#This Row],[Километраж, 
км]]</f>
        <v>16.019417475728154</v>
      </c>
      <c r="K83" s="205">
        <v>1500</v>
      </c>
      <c r="L83" s="206">
        <f>Таблица22424[[#This Row],[СС, 
грн/рейс]]/Таблица22424[[#This Row],[Километраж, 
км]]</f>
        <v>14.563106796116505</v>
      </c>
      <c r="M83" s="207">
        <f>Таблица22424[[#This Row],[Доход, 
грн/рейс]]-Таблица22424[[#This Row],[СС, 
грн/рейс]]</f>
        <v>150</v>
      </c>
      <c r="N83" s="201"/>
    </row>
    <row r="84" spans="1:14" ht="13.2" hidden="1" x14ac:dyDescent="0.25">
      <c r="A84" s="221" t="s">
        <v>847</v>
      </c>
      <c r="B84" s="62" t="s">
        <v>670</v>
      </c>
      <c r="C84" s="294">
        <v>45748</v>
      </c>
      <c r="D84" s="285" t="s">
        <v>929</v>
      </c>
      <c r="E84" s="201" t="s">
        <v>927</v>
      </c>
      <c r="F84" s="202" t="s">
        <v>928</v>
      </c>
      <c r="G84" s="203">
        <v>3300</v>
      </c>
      <c r="H84" s="204">
        <v>120</v>
      </c>
      <c r="I84" s="204">
        <f>Таблица22424[[#This Row],[Стоимость, 
грн]]</f>
        <v>3300</v>
      </c>
      <c r="J84" s="205">
        <f>Таблица22424[[#This Row],[Доход, 
грн/рейс]]/Таблица22424[[#This Row],[Километраж, 
км]]</f>
        <v>27.5</v>
      </c>
      <c r="K84" s="205">
        <v>3000</v>
      </c>
      <c r="L84" s="206">
        <f>Таблица22424[[#This Row],[СС, 
грн/рейс]]/Таблица22424[[#This Row],[Километраж, 
км]]</f>
        <v>25</v>
      </c>
      <c r="M84" s="207">
        <f>Таблица22424[[#This Row],[Доход, 
грн/рейс]]-Таблица22424[[#This Row],[СС, 
грн/рейс]]</f>
        <v>300</v>
      </c>
      <c r="N84" s="201"/>
    </row>
    <row r="85" spans="1:14" ht="13.2" hidden="1" x14ac:dyDescent="0.25">
      <c r="A85" s="221" t="s">
        <v>847</v>
      </c>
      <c r="B85" s="511" t="s">
        <v>466</v>
      </c>
      <c r="C85" s="351">
        <v>45778</v>
      </c>
      <c r="D85" s="352" t="s">
        <v>954</v>
      </c>
      <c r="E85" s="344" t="s">
        <v>955</v>
      </c>
      <c r="F85" s="345" t="s">
        <v>956</v>
      </c>
      <c r="G85" s="346">
        <v>6600</v>
      </c>
      <c r="H85" s="347">
        <v>135</v>
      </c>
      <c r="I85" s="347">
        <f>Таблица22424[[#This Row],[Стоимость, 
грн]]</f>
        <v>6600</v>
      </c>
      <c r="J85" s="348">
        <f>Таблица22424[[#This Row],[Доход, 
грн/рейс]]/Таблица22424[[#This Row],[Километраж, 
км]]</f>
        <v>48.888888888888886</v>
      </c>
      <c r="K85" s="348">
        <v>6000</v>
      </c>
      <c r="L85" s="349">
        <f>Таблица22424[[#This Row],[СС, 
грн/рейс]]/Таблица22424[[#This Row],[Километраж, 
км]]</f>
        <v>44.444444444444443</v>
      </c>
      <c r="M85" s="350">
        <f>Таблица22424[[#This Row],[Доход, 
грн/рейс]]-Таблица22424[[#This Row],[СС, 
грн/рейс]]</f>
        <v>600</v>
      </c>
      <c r="N85" s="344"/>
    </row>
    <row r="86" spans="1:14" ht="13.2" hidden="1" x14ac:dyDescent="0.25">
      <c r="A86" s="221" t="s">
        <v>847</v>
      </c>
      <c r="B86" s="517" t="s">
        <v>515</v>
      </c>
      <c r="C86" s="351">
        <v>45778</v>
      </c>
      <c r="D86" s="370" t="s">
        <v>965</v>
      </c>
      <c r="E86" s="24" t="s">
        <v>544</v>
      </c>
      <c r="F86" s="196" t="s">
        <v>968</v>
      </c>
      <c r="G86" s="346">
        <v>1650</v>
      </c>
      <c r="H86" s="347">
        <v>103</v>
      </c>
      <c r="I86" s="347">
        <f>Таблица22424[[#This Row],[Стоимость, 
грн]]</f>
        <v>1650</v>
      </c>
      <c r="J86" s="348">
        <f>Таблица22424[[#This Row],[Доход, 
грн/рейс]]/Таблица22424[[#This Row],[Километраж, 
км]]</f>
        <v>16.019417475728154</v>
      </c>
      <c r="K86" s="348">
        <v>1500</v>
      </c>
      <c r="L86" s="349">
        <f>Таблица22424[[#This Row],[СС, 
грн/рейс]]/Таблица22424[[#This Row],[Километраж, 
км]]</f>
        <v>14.563106796116505</v>
      </c>
      <c r="M86" s="350">
        <f>Таблица22424[[#This Row],[Доход, 
грн/рейс]]-Таблица22424[[#This Row],[СС, 
грн/рейс]]</f>
        <v>150</v>
      </c>
      <c r="N86" s="344"/>
    </row>
    <row r="87" spans="1:14" ht="13.2" hidden="1" x14ac:dyDescent="0.25">
      <c r="A87" s="375" t="s">
        <v>293</v>
      </c>
      <c r="B87" s="513" t="s">
        <v>466</v>
      </c>
      <c r="C87" s="369">
        <v>45778</v>
      </c>
      <c r="D87" s="370" t="s">
        <v>64</v>
      </c>
      <c r="E87" s="361" t="s">
        <v>969</v>
      </c>
      <c r="F87" s="362" t="s">
        <v>970</v>
      </c>
      <c r="G87" s="363">
        <v>8250</v>
      </c>
      <c r="H87" s="364">
        <v>155</v>
      </c>
      <c r="I87" s="364">
        <f>Таблица22424[[#This Row],[Стоимость, 
грн]]</f>
        <v>8250</v>
      </c>
      <c r="J87" s="365">
        <f>Таблица22424[[#This Row],[Доход, 
грн/рейс]]/Таблица22424[[#This Row],[Километраж, 
км]]</f>
        <v>53.225806451612904</v>
      </c>
      <c r="K87" s="365">
        <v>7500</v>
      </c>
      <c r="L87" s="376">
        <f>Таблица22424[[#This Row],[СС, 
грн/рейс]]/Таблица22424[[#This Row],[Километраж, 
км]]</f>
        <v>48.387096774193552</v>
      </c>
      <c r="M87" s="377">
        <f>Таблица22424[[#This Row],[Доход, 
грн/рейс]]-Таблица22424[[#This Row],[СС, 
грн/рейс]]</f>
        <v>750</v>
      </c>
      <c r="N87" s="361"/>
    </row>
    <row r="88" spans="1:14" ht="13.2" hidden="1" x14ac:dyDescent="0.25">
      <c r="A88" s="221" t="s">
        <v>847</v>
      </c>
      <c r="B88" s="517" t="s">
        <v>515</v>
      </c>
      <c r="C88" s="369">
        <v>45778</v>
      </c>
      <c r="D88" s="343" t="s">
        <v>975</v>
      </c>
      <c r="E88" s="286" t="s">
        <v>544</v>
      </c>
      <c r="F88" s="382" t="s">
        <v>667</v>
      </c>
      <c r="G88" s="383">
        <v>1650</v>
      </c>
      <c r="H88" s="384">
        <v>102</v>
      </c>
      <c r="I88" s="384">
        <f>Таблица22424[[#This Row],[Стоимость, 
грн]]</f>
        <v>1650</v>
      </c>
      <c r="J88" s="385">
        <f>Таблица22424[[#This Row],[Доход, 
грн/рейс]]/Таблица22424[[#This Row],[Километраж, 
км]]</f>
        <v>16.176470588235293</v>
      </c>
      <c r="K88" s="385">
        <v>1500</v>
      </c>
      <c r="L88" s="386">
        <f>Таблица22424[[#This Row],[СС, 
грн/рейс]]/Таблица22424[[#This Row],[Километраж, 
км]]</f>
        <v>14.705882352941176</v>
      </c>
      <c r="M88" s="387">
        <f>Таблица22424[[#This Row],[Доход, 
грн/рейс]]-Таблица22424[[#This Row],[СС, 
грн/рейс]]</f>
        <v>150</v>
      </c>
      <c r="N88" s="381"/>
    </row>
    <row r="89" spans="1:14" ht="13.2" hidden="1" x14ac:dyDescent="0.25">
      <c r="A89" s="221" t="s">
        <v>847</v>
      </c>
      <c r="B89" s="513" t="s">
        <v>466</v>
      </c>
      <c r="C89" s="369">
        <v>45778</v>
      </c>
      <c r="D89" s="343" t="s">
        <v>980</v>
      </c>
      <c r="E89" s="286" t="s">
        <v>544</v>
      </c>
      <c r="F89" s="382" t="s">
        <v>877</v>
      </c>
      <c r="G89" s="383">
        <v>3500</v>
      </c>
      <c r="H89" s="384">
        <v>120</v>
      </c>
      <c r="I89" s="384">
        <f>Таблица22424[[#This Row],[Стоимость, 
грн]]</f>
        <v>3500</v>
      </c>
      <c r="J89" s="385">
        <f>Таблица22424[[#This Row],[Доход, 
грн/рейс]]/Таблица22424[[#This Row],[Километраж, 
км]]</f>
        <v>29.166666666666668</v>
      </c>
      <c r="K89" s="385">
        <v>3200</v>
      </c>
      <c r="L89" s="386">
        <f>Таблица22424[[#This Row],[СС, 
грн/рейс]]/Таблица22424[[#This Row],[Километраж, 
км]]</f>
        <v>26.666666666666668</v>
      </c>
      <c r="M89" s="387">
        <f>Таблица22424[[#This Row],[Доход, 
грн/рейс]]-Таблица22424[[#This Row],[СС, 
грн/рейс]]</f>
        <v>300</v>
      </c>
      <c r="N89" s="381"/>
    </row>
    <row r="90" spans="1:14" ht="13.2" hidden="1" x14ac:dyDescent="0.25">
      <c r="A90" s="397" t="s">
        <v>984</v>
      </c>
      <c r="B90" s="513" t="s">
        <v>466</v>
      </c>
      <c r="C90" s="369">
        <v>45778</v>
      </c>
      <c r="D90" s="343" t="s">
        <v>80</v>
      </c>
      <c r="E90" s="286" t="s">
        <v>544</v>
      </c>
      <c r="F90" s="382" t="s">
        <v>985</v>
      </c>
      <c r="G90" s="383">
        <v>3850</v>
      </c>
      <c r="H90" s="384">
        <v>105</v>
      </c>
      <c r="I90" s="384">
        <f>Таблица22424[[#This Row],[Стоимость, 
грн]]</f>
        <v>3850</v>
      </c>
      <c r="J90" s="385">
        <f>Таблица22424[[#This Row],[Доход, 
грн/рейс]]/Таблица22424[[#This Row],[Километраж, 
км]]</f>
        <v>36.666666666666664</v>
      </c>
      <c r="K90" s="385">
        <v>3500</v>
      </c>
      <c r="L90" s="386">
        <f>Таблица22424[[#This Row],[СС, 
грн/рейс]]/Таблица22424[[#This Row],[Километраж, 
км]]</f>
        <v>33.333333333333336</v>
      </c>
      <c r="M90" s="387">
        <f>Таблица22424[[#This Row],[Доход, 
грн/рейс]]-Таблица22424[[#This Row],[СС, 
грн/рейс]]</f>
        <v>350</v>
      </c>
      <c r="N90" s="381"/>
    </row>
    <row r="91" spans="1:14" ht="13.2" hidden="1" x14ac:dyDescent="0.25">
      <c r="A91" s="221" t="s">
        <v>847</v>
      </c>
      <c r="B91" s="513" t="s">
        <v>466</v>
      </c>
      <c r="C91" s="369">
        <v>45778</v>
      </c>
      <c r="D91" s="343" t="s">
        <v>986</v>
      </c>
      <c r="E91" s="201" t="s">
        <v>544</v>
      </c>
      <c r="F91" s="202" t="s">
        <v>987</v>
      </c>
      <c r="G91" s="203">
        <v>2750</v>
      </c>
      <c r="H91" s="204">
        <v>120</v>
      </c>
      <c r="I91" s="204">
        <f>Таблица22424[[#This Row],[Стоимость, 
грн]]</f>
        <v>2750</v>
      </c>
      <c r="J91" s="205">
        <f>Таблица22424[[#This Row],[Доход, 
грн/рейс]]/Таблица22424[[#This Row],[Километраж, 
км]]</f>
        <v>22.916666666666668</v>
      </c>
      <c r="K91" s="205">
        <v>2500</v>
      </c>
      <c r="L91" s="206">
        <f>Таблица22424[[#This Row],[СС, 
грн/рейс]]/Таблица22424[[#This Row],[Километраж, 
км]]</f>
        <v>20.833333333333332</v>
      </c>
      <c r="M91" s="207">
        <f>Таблица22424[[#This Row],[Доход, 
грн/рейс]]-Таблица22424[[#This Row],[СС, 
грн/рейс]]</f>
        <v>250</v>
      </c>
      <c r="N91" s="201"/>
    </row>
    <row r="92" spans="1:14" ht="13.2" hidden="1" x14ac:dyDescent="0.25">
      <c r="A92" s="375" t="s">
        <v>293</v>
      </c>
      <c r="B92" s="519" t="s">
        <v>466</v>
      </c>
      <c r="C92" s="369">
        <v>45778</v>
      </c>
      <c r="D92" s="343" t="s">
        <v>87</v>
      </c>
      <c r="E92" s="409" t="s">
        <v>989</v>
      </c>
      <c r="F92" s="410" t="s">
        <v>990</v>
      </c>
      <c r="G92" s="411">
        <v>4950</v>
      </c>
      <c r="H92" s="412">
        <v>103</v>
      </c>
      <c r="I92" s="412">
        <f>Таблица22424[[#This Row],[Стоимость, 
грн]]</f>
        <v>4950</v>
      </c>
      <c r="J92" s="413">
        <f>Таблица22424[[#This Row],[Доход, 
грн/рейс]]/Таблица22424[[#This Row],[Километраж, 
км]]</f>
        <v>48.058252427184463</v>
      </c>
      <c r="K92" s="413">
        <v>4500</v>
      </c>
      <c r="L92" s="414">
        <f>Таблица22424[[#This Row],[СС, 
грн/рейс]]/Таблица22424[[#This Row],[Километраж, 
км]]</f>
        <v>43.689320388349515</v>
      </c>
      <c r="M92" s="415">
        <f>Таблица22424[[#This Row],[Доход, 
грн/рейс]]-Таблица22424[[#This Row],[СС, 
грн/рейс]]</f>
        <v>450</v>
      </c>
      <c r="N92" s="409"/>
    </row>
    <row r="93" spans="1:14" ht="13.2" hidden="1" x14ac:dyDescent="0.25">
      <c r="A93" s="397" t="s">
        <v>984</v>
      </c>
      <c r="B93" s="519" t="s">
        <v>466</v>
      </c>
      <c r="C93" s="423">
        <v>45778</v>
      </c>
      <c r="D93" s="422" t="s">
        <v>995</v>
      </c>
      <c r="E93" s="201" t="s">
        <v>544</v>
      </c>
      <c r="F93" s="287" t="s">
        <v>876</v>
      </c>
      <c r="G93" s="411">
        <v>1650</v>
      </c>
      <c r="H93" s="412">
        <v>106</v>
      </c>
      <c r="I93" s="412">
        <f>Таблица22424[[#This Row],[Стоимость, 
грн]]</f>
        <v>1650</v>
      </c>
      <c r="J93" s="413">
        <f>Таблица22424[[#This Row],[Доход, 
грн/рейс]]/Таблица22424[[#This Row],[Километраж, 
км]]</f>
        <v>15.566037735849056</v>
      </c>
      <c r="K93" s="413">
        <v>1500</v>
      </c>
      <c r="L93" s="414">
        <f>Таблица22424[[#This Row],[СС, 
грн/рейс]]/Таблица22424[[#This Row],[Километраж, 
км]]</f>
        <v>14.150943396226415</v>
      </c>
      <c r="M93" s="415">
        <f>Таблица22424[[#This Row],[Доход, 
грн/рейс]]-Таблица22424[[#This Row],[СС, 
грн/рейс]]</f>
        <v>150</v>
      </c>
      <c r="N93" s="409"/>
    </row>
    <row r="94" spans="1:14" ht="13.2" hidden="1" x14ac:dyDescent="0.25">
      <c r="A94" s="221" t="s">
        <v>847</v>
      </c>
      <c r="B94" s="517" t="s">
        <v>515</v>
      </c>
      <c r="C94" s="342">
        <v>45778</v>
      </c>
      <c r="D94" s="343" t="s">
        <v>997</v>
      </c>
      <c r="E94" s="201" t="s">
        <v>544</v>
      </c>
      <c r="F94" s="202" t="s">
        <v>667</v>
      </c>
      <c r="G94" s="203">
        <v>1650</v>
      </c>
      <c r="H94" s="204">
        <v>103</v>
      </c>
      <c r="I94" s="204">
        <f>Таблица22424[[#This Row],[Стоимость, 
грн]]</f>
        <v>1650</v>
      </c>
      <c r="J94" s="205">
        <f>Таблица22424[[#This Row],[Доход, 
грн/рейс]]/Таблица22424[[#This Row],[Километраж, 
км]]</f>
        <v>16.019417475728154</v>
      </c>
      <c r="K94" s="205">
        <v>1500</v>
      </c>
      <c r="L94" s="206">
        <f>Таблица22424[[#This Row],[СС, 
грн/рейс]]/Таблица22424[[#This Row],[Километраж, 
км]]</f>
        <v>14.563106796116505</v>
      </c>
      <c r="M94" s="207">
        <f>Таблица22424[[#This Row],[Доход, 
грн/рейс]]-Таблица22424[[#This Row],[СС, 
грн/рейс]]</f>
        <v>150</v>
      </c>
      <c r="N94" s="201"/>
    </row>
    <row r="95" spans="1:14" ht="13.2" hidden="1" x14ac:dyDescent="0.25">
      <c r="A95" s="375" t="s">
        <v>293</v>
      </c>
      <c r="B95" s="519" t="s">
        <v>466</v>
      </c>
      <c r="C95" s="424">
        <v>45778</v>
      </c>
      <c r="D95" s="425" t="s">
        <v>1005</v>
      </c>
      <c r="E95" s="201" t="s">
        <v>1006</v>
      </c>
      <c r="F95" s="410" t="s">
        <v>990</v>
      </c>
      <c r="G95" s="428">
        <v>8250</v>
      </c>
      <c r="H95" s="429">
        <v>175</v>
      </c>
      <c r="I95" s="429">
        <f>Таблица22424[[#This Row],[Стоимость, 
грн]]</f>
        <v>8250</v>
      </c>
      <c r="J95" s="430">
        <f>Таблица22424[[#This Row],[Доход, 
грн/рейс]]/Таблица22424[[#This Row],[Километраж, 
км]]</f>
        <v>47.142857142857146</v>
      </c>
      <c r="K95" s="430">
        <v>7500</v>
      </c>
      <c r="L95" s="431">
        <f>Таблица22424[[#This Row],[СС, 
грн/рейс]]/Таблица22424[[#This Row],[Километраж, 
км]]</f>
        <v>42.857142857142854</v>
      </c>
      <c r="M95" s="432">
        <f>Таблица22424[[#This Row],[Доход, 
грн/рейс]]-Таблица22424[[#This Row],[СС, 
грн/рейс]]</f>
        <v>750</v>
      </c>
      <c r="N95" s="426"/>
    </row>
    <row r="96" spans="1:14" ht="13.2" hidden="1" x14ac:dyDescent="0.25">
      <c r="A96" s="221" t="s">
        <v>847</v>
      </c>
      <c r="B96" s="408" t="s">
        <v>466</v>
      </c>
      <c r="C96" s="456">
        <v>45809</v>
      </c>
      <c r="D96" s="458" t="s">
        <v>1018</v>
      </c>
      <c r="E96" s="450" t="s">
        <v>922</v>
      </c>
      <c r="F96" s="457" t="s">
        <v>1019</v>
      </c>
      <c r="G96" s="451">
        <v>5500</v>
      </c>
      <c r="H96" s="452">
        <v>126</v>
      </c>
      <c r="I96" s="452">
        <f>Таблица22424[[#This Row],[Стоимость, 
грн]]</f>
        <v>5500</v>
      </c>
      <c r="J96" s="453">
        <f>Таблица22424[[#This Row],[Доход, 
грн/рейс]]/Таблица22424[[#This Row],[Километраж, 
км]]</f>
        <v>43.650793650793652</v>
      </c>
      <c r="K96" s="453">
        <v>5000</v>
      </c>
      <c r="L96" s="454">
        <f>Таблица22424[[#This Row],[СС, 
грн/рейс]]/Таблица22424[[#This Row],[Километраж, 
км]]</f>
        <v>39.682539682539684</v>
      </c>
      <c r="M96" s="455">
        <f>Таблица22424[[#This Row],[Доход, 
грн/рейс]]-Таблица22424[[#This Row],[СС, 
грн/рейс]]</f>
        <v>500</v>
      </c>
      <c r="N96" s="450"/>
    </row>
    <row r="97" spans="1:14" ht="13.2" hidden="1" x14ac:dyDescent="0.25">
      <c r="A97" s="221" t="s">
        <v>847</v>
      </c>
      <c r="B97" s="408" t="s">
        <v>466</v>
      </c>
      <c r="C97" s="459">
        <v>45809</v>
      </c>
      <c r="D97" s="460" t="s">
        <v>1020</v>
      </c>
      <c r="E97" s="201" t="s">
        <v>544</v>
      </c>
      <c r="F97" s="202" t="s">
        <v>877</v>
      </c>
      <c r="G97" s="203">
        <v>3300</v>
      </c>
      <c r="H97" s="204">
        <v>121</v>
      </c>
      <c r="I97" s="204">
        <v>3300</v>
      </c>
      <c r="J97" s="205">
        <f>Таблица22424[[#This Row],[Доход, 
грн/рейс]]/Таблица22424[[#This Row],[Километраж, 
км]]</f>
        <v>27.272727272727273</v>
      </c>
      <c r="K97" s="205">
        <v>3000</v>
      </c>
      <c r="L97" s="206">
        <f>Таблица22424[[#This Row],[СС, 
грн/рейс]]/Таблица22424[[#This Row],[Километраж, 
км]]</f>
        <v>24.793388429752067</v>
      </c>
      <c r="M97" s="207">
        <f>Таблица22424[[#This Row],[Доход, 
грн/рейс]]-Таблица22424[[#This Row],[СС, 
грн/рейс]]</f>
        <v>300</v>
      </c>
      <c r="N97" s="201"/>
    </row>
    <row r="98" spans="1:14" ht="13.2" hidden="1" x14ac:dyDescent="0.25">
      <c r="A98" s="375" t="s">
        <v>293</v>
      </c>
      <c r="B98" s="441" t="s">
        <v>526</v>
      </c>
      <c r="C98" s="459">
        <v>45809</v>
      </c>
      <c r="D98" s="460" t="s">
        <v>1032</v>
      </c>
      <c r="E98" s="286" t="s">
        <v>544</v>
      </c>
      <c r="F98" s="202" t="s">
        <v>685</v>
      </c>
      <c r="G98" s="465">
        <v>5500</v>
      </c>
      <c r="H98" s="466">
        <v>117</v>
      </c>
      <c r="I98" s="466">
        <f>Таблица22424[[#This Row],[Стоимость, 
грн]]</f>
        <v>5500</v>
      </c>
      <c r="J98" s="467">
        <f>Таблица22424[[#This Row],[Доход, 
грн/рейс]]/Таблица22424[[#This Row],[Километраж, 
км]]</f>
        <v>47.008547008547012</v>
      </c>
      <c r="K98" s="467">
        <v>5000</v>
      </c>
      <c r="L98" s="468">
        <f>Таблица22424[[#This Row],[СС, 
грн/рейс]]/Таблица22424[[#This Row],[Километраж, 
км]]</f>
        <v>42.735042735042732</v>
      </c>
      <c r="M98" s="207">
        <f>Таблица22424[[#This Row],[Доход, 
грн/рейс]]-Таблица22424[[#This Row],[СС, 
грн/рейс]]</f>
        <v>500</v>
      </c>
      <c r="N98" s="463"/>
    </row>
    <row r="99" spans="1:14" ht="13.2" hidden="1" x14ac:dyDescent="0.25">
      <c r="A99" s="84" t="s">
        <v>1037</v>
      </c>
      <c r="B99" s="408" t="s">
        <v>466</v>
      </c>
      <c r="C99" s="461">
        <v>45809</v>
      </c>
      <c r="D99" s="462" t="s">
        <v>129</v>
      </c>
      <c r="E99" s="286" t="s">
        <v>544</v>
      </c>
      <c r="F99" s="202" t="s">
        <v>1035</v>
      </c>
      <c r="G99" s="465">
        <v>7200</v>
      </c>
      <c r="H99" s="466">
        <v>135</v>
      </c>
      <c r="I99" s="466">
        <f>Таблица22424[[#This Row],[Стоимость, 
грн]]</f>
        <v>7200</v>
      </c>
      <c r="J99" s="467">
        <f>Таблица22424[[#This Row],[Доход, 
грн/рейс]]/Таблица22424[[#This Row],[Километраж, 
км]]</f>
        <v>53.333333333333336</v>
      </c>
      <c r="K99" s="467">
        <v>6500</v>
      </c>
      <c r="L99" s="468">
        <f>Таблица22424[[#This Row],[СС, 
грн/рейс]]/Таблица22424[[#This Row],[Километраж, 
км]]</f>
        <v>48.148148148148145</v>
      </c>
      <c r="M99" s="207">
        <f>Таблица22424[[#This Row],[Доход, 
грн/рейс]]-Таблица22424[[#This Row],[СС, 
грн/рейс]]</f>
        <v>700</v>
      </c>
      <c r="N99" s="463"/>
    </row>
    <row r="100" spans="1:14" ht="13.2" hidden="1" x14ac:dyDescent="0.25">
      <c r="A100" s="482" t="s">
        <v>1010</v>
      </c>
      <c r="B100" s="85" t="s">
        <v>515</v>
      </c>
      <c r="C100" s="461">
        <v>45809</v>
      </c>
      <c r="D100" s="460" t="s">
        <v>1045</v>
      </c>
      <c r="E100" s="286" t="s">
        <v>544</v>
      </c>
      <c r="F100" s="202" t="s">
        <v>667</v>
      </c>
      <c r="G100" s="465">
        <v>1200</v>
      </c>
      <c r="H100" s="466">
        <v>103</v>
      </c>
      <c r="I100" s="466">
        <f>Таблица22424[[#This Row],[Стоимость, 
грн]]</f>
        <v>1200</v>
      </c>
      <c r="J100" s="467">
        <f>Таблица22424[[#This Row],[Доход, 
грн/рейс]]/Таблица22424[[#This Row],[Километраж, 
км]]</f>
        <v>11.650485436893204</v>
      </c>
      <c r="K100" s="467">
        <v>1100</v>
      </c>
      <c r="L100" s="468">
        <f>Таблица22424[[#This Row],[СС, 
грн/рейс]]/Таблица22424[[#This Row],[Километраж, 
км]]</f>
        <v>10.679611650485437</v>
      </c>
      <c r="M100" s="469">
        <f>Таблица22424[[#This Row],[Доход, 
грн/рейс]]-Таблица22424[[#This Row],[СС, 
грн/рейс]]</f>
        <v>100</v>
      </c>
      <c r="N100" s="463"/>
    </row>
    <row r="101" spans="1:14" ht="13.2" hidden="1" x14ac:dyDescent="0.25">
      <c r="A101" s="501" t="s">
        <v>888</v>
      </c>
      <c r="B101" s="408" t="s">
        <v>466</v>
      </c>
      <c r="C101" s="461">
        <v>45809</v>
      </c>
      <c r="D101" s="460" t="s">
        <v>1049</v>
      </c>
      <c r="E101" s="503" t="s">
        <v>544</v>
      </c>
      <c r="F101" s="504" t="s">
        <v>1050</v>
      </c>
      <c r="G101" s="505">
        <v>2750</v>
      </c>
      <c r="H101" s="506">
        <v>116</v>
      </c>
      <c r="I101" s="506">
        <f>Таблица22424[[#This Row],[Стоимость, 
грн]]</f>
        <v>2750</v>
      </c>
      <c r="J101" s="507">
        <f>Таблица22424[[#This Row],[Доход, 
грн/рейс]]/Таблица22424[[#This Row],[Километраж, 
км]]</f>
        <v>23.706896551724139</v>
      </c>
      <c r="K101" s="507">
        <v>2500</v>
      </c>
      <c r="L101" s="508">
        <f>Таблица22424[[#This Row],[СС, 
грн/рейс]]/Таблица22424[[#This Row],[Километраж, 
км]]</f>
        <v>21.551724137931036</v>
      </c>
      <c r="M101" s="509">
        <f>Таблица22424[[#This Row],[Доход, 
грн/рейс]]-Таблица22424[[#This Row],[СС, 
грн/рейс]]</f>
        <v>250</v>
      </c>
      <c r="N101" s="503"/>
    </row>
  </sheetData>
  <mergeCells count="1">
    <mergeCell ref="A1:N1"/>
  </mergeCells>
  <pageMargins left="0.25" right="0.25" top="0.75" bottom="0.75" header="0.3" footer="0.3"/>
  <pageSetup paperSize="9" scale="36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A1:O21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97" sqref="B197"/>
    </sheetView>
  </sheetViews>
  <sheetFormatPr defaultRowHeight="14.4" outlineLevelRow="1" outlineLevelCol="1" x14ac:dyDescent="0.3"/>
  <cols>
    <col min="1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18.777343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5" ht="14.4" customHeight="1" x14ac:dyDescent="0.3">
      <c r="A1" s="546" t="s">
        <v>60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5" ht="13.8" thickBot="1" x14ac:dyDescent="0.3">
      <c r="A2" s="2"/>
      <c r="B2" s="2"/>
      <c r="C2" s="17"/>
      <c r="D2" s="19"/>
      <c r="E2" s="2"/>
      <c r="G2" s="3" t="e">
        <f>SUM(Таблица22425[[#All],[Стоимость, 
грн]])</f>
        <v>#REF!</v>
      </c>
      <c r="I2" s="3"/>
      <c r="J2" s="1"/>
      <c r="K2" s="3">
        <f>SUM(Таблица22425[СС, 
грн/рейс])</f>
        <v>4748890</v>
      </c>
      <c r="L2" s="3"/>
      <c r="M2" s="3"/>
    </row>
    <row r="3" spans="1:15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51" t="s">
        <v>324</v>
      </c>
    </row>
    <row r="4" spans="1:15" ht="13.8" hidden="1" outlineLevel="1" thickTop="1" x14ac:dyDescent="0.25">
      <c r="A4" s="14" t="s">
        <v>52</v>
      </c>
      <c r="B4" s="62" t="s">
        <v>19</v>
      </c>
      <c r="C4" s="16">
        <v>45396</v>
      </c>
      <c r="D4" s="57" t="s">
        <v>23</v>
      </c>
      <c r="E4" s="24" t="s">
        <v>30</v>
      </c>
      <c r="F4" s="193" t="s">
        <v>40</v>
      </c>
      <c r="G4" s="64">
        <v>14000</v>
      </c>
      <c r="H4" s="11">
        <v>317</v>
      </c>
      <c r="I4" s="60">
        <f>Таблица22425[[#This Row],[Стоимость, 
грн]]</f>
        <v>14000</v>
      </c>
      <c r="J4" s="12">
        <f>Таблица22425[[#This Row],[Доход, 
грн/рейс]]/Таблица22425[[#This Row],[Километраж, 
км]]</f>
        <v>44.164037854889592</v>
      </c>
      <c r="K4" s="59">
        <v>11000</v>
      </c>
      <c r="L4" s="59">
        <f>Таблица22425[[#This Row],[СС, 
грн/рейс]]/Таблица22425[[#This Row],[Километраж, 
км]]</f>
        <v>34.700315457413247</v>
      </c>
      <c r="M4" s="26">
        <f>Таблица22425[[#This Row],[Доход, 
грн/рейс]]-Таблица22425[[#This Row],[СС, 
грн/рейс]]</f>
        <v>3000</v>
      </c>
      <c r="N4" s="24" t="s">
        <v>157</v>
      </c>
      <c r="O4" s="150"/>
    </row>
    <row r="5" spans="1:15" ht="13.8" hidden="1" outlineLevel="1" thickTop="1" x14ac:dyDescent="0.25">
      <c r="A5" s="14" t="s">
        <v>76</v>
      </c>
      <c r="B5" s="62" t="s">
        <v>63</v>
      </c>
      <c r="C5" s="25">
        <v>45420</v>
      </c>
      <c r="D5" s="57" t="s">
        <v>88</v>
      </c>
      <c r="E5" s="24" t="s">
        <v>89</v>
      </c>
      <c r="F5" s="55" t="s">
        <v>90</v>
      </c>
      <c r="G5" s="73">
        <v>12000</v>
      </c>
      <c r="H5" s="11">
        <v>250</v>
      </c>
      <c r="I5" s="60">
        <f>Таблица22425[[#This Row],[Стоимость, 
грн]]</f>
        <v>12000</v>
      </c>
      <c r="J5" s="12">
        <f>Таблица22425[[#This Row],[Доход, 
грн/рейс]]/Таблица22425[[#This Row],[Километраж, 
км]]</f>
        <v>48</v>
      </c>
      <c r="K5" s="12">
        <v>10500</v>
      </c>
      <c r="L5" s="12">
        <f>Таблица22425[[#This Row],[СС, 
грн/рейс]]/Таблица22425[[#This Row],[Километраж, 
км]]</f>
        <v>42</v>
      </c>
      <c r="M5" s="26">
        <f>Таблица22425[[#This Row],[Доход, 
грн/рейс]]-Таблица22425[[#This Row],[СС, 
грн/рейс]]</f>
        <v>1500</v>
      </c>
      <c r="N5" s="24" t="s">
        <v>117</v>
      </c>
      <c r="O5" s="150"/>
    </row>
    <row r="6" spans="1:15" ht="13.8" hidden="1" outlineLevel="1" thickTop="1" x14ac:dyDescent="0.25">
      <c r="A6" s="14" t="s">
        <v>65</v>
      </c>
      <c r="B6" s="62" t="s">
        <v>19</v>
      </c>
      <c r="C6" s="25">
        <v>45421</v>
      </c>
      <c r="D6" s="57" t="s">
        <v>107</v>
      </c>
      <c r="E6" s="24" t="s">
        <v>108</v>
      </c>
      <c r="F6" s="55" t="s">
        <v>109</v>
      </c>
      <c r="G6" s="73">
        <v>6000</v>
      </c>
      <c r="H6" s="11">
        <v>265</v>
      </c>
      <c r="I6" s="60">
        <f>Таблица22425[[#This Row],[Стоимость, 
грн]]</f>
        <v>6000</v>
      </c>
      <c r="J6" s="12">
        <f>Таблица22425[[#This Row],[Доход, 
грн/рейс]]/Таблица22425[[#This Row],[Километраж, 
км]]</f>
        <v>22.641509433962263</v>
      </c>
      <c r="K6" s="12">
        <v>5500</v>
      </c>
      <c r="L6" s="12">
        <f>Таблица22425[[#This Row],[СС, 
грн/рейс]]/Таблица22425[[#This Row],[Километраж, 
км]]</f>
        <v>20.754716981132077</v>
      </c>
      <c r="M6" s="26">
        <f>Таблица22425[[#This Row],[Доход, 
грн/рейс]]-Таблица22425[[#This Row],[СС, 
грн/рейс]]</f>
        <v>500</v>
      </c>
      <c r="N6" s="24" t="s">
        <v>141</v>
      </c>
      <c r="O6" s="150"/>
    </row>
    <row r="7" spans="1:15" ht="13.8" hidden="1" outlineLevel="1" thickTop="1" x14ac:dyDescent="0.25">
      <c r="A7" s="14" t="s">
        <v>65</v>
      </c>
      <c r="B7" s="62" t="s">
        <v>132</v>
      </c>
      <c r="C7" s="25">
        <v>45446</v>
      </c>
      <c r="D7" s="57" t="s">
        <v>133</v>
      </c>
      <c r="E7" s="24" t="s">
        <v>134</v>
      </c>
      <c r="F7" s="55" t="s">
        <v>128</v>
      </c>
      <c r="G7" s="73">
        <v>16490</v>
      </c>
      <c r="H7" s="11">
        <v>274</v>
      </c>
      <c r="I7" s="60">
        <f>Таблица22425[[#This Row],[Стоимость, 
грн]]</f>
        <v>16490</v>
      </c>
      <c r="J7" s="12">
        <f>Таблица22425[[#This Row],[Доход, 
грн/рейс]]/Таблица22425[[#This Row],[Километраж, 
км]]</f>
        <v>60.182481751824817</v>
      </c>
      <c r="K7" s="12">
        <v>16490</v>
      </c>
      <c r="L7" s="12">
        <f>Таблица22425[[#This Row],[СС, 
грн/рейс]]/Таблица22425[[#This Row],[Километраж, 
км]]</f>
        <v>60.182481751824817</v>
      </c>
      <c r="M7" s="26">
        <f>Таблица22425[[#This Row],[Доход, 
грн/рейс]]-Таблица22425[[#This Row],[СС, 
грн/рейс]]</f>
        <v>0</v>
      </c>
      <c r="N7" s="24" t="s">
        <v>176</v>
      </c>
      <c r="O7" s="150"/>
    </row>
    <row r="8" spans="1:15" ht="13.8" hidden="1" outlineLevel="1" thickTop="1" x14ac:dyDescent="0.25">
      <c r="A8" s="14" t="s">
        <v>135</v>
      </c>
      <c r="B8" s="62" t="s">
        <v>63</v>
      </c>
      <c r="C8" s="25">
        <v>45456</v>
      </c>
      <c r="D8" s="57" t="s">
        <v>136</v>
      </c>
      <c r="E8" s="24" t="s">
        <v>137</v>
      </c>
      <c r="F8" s="55" t="s">
        <v>138</v>
      </c>
      <c r="G8" s="73">
        <v>22000</v>
      </c>
      <c r="H8" s="11">
        <v>610</v>
      </c>
      <c r="I8" s="60">
        <f>Таблица22425[[#This Row],[Стоимость, 
грн]]</f>
        <v>22000</v>
      </c>
      <c r="J8" s="12">
        <f>Таблица22425[[#This Row],[Доход, 
грн/рейс]]/Таблица22425[[#This Row],[Километраж, 
км]]</f>
        <v>36.065573770491802</v>
      </c>
      <c r="K8" s="12">
        <v>20000</v>
      </c>
      <c r="L8" s="12">
        <f>Таблица22425[[#This Row],[СС, 
грн/рейс]]/Таблица22425[[#This Row],[Километраж, 
км]]</f>
        <v>32.786885245901637</v>
      </c>
      <c r="M8" s="26">
        <f>Таблица22425[[#This Row],[Доход, 
грн/рейс]]-Таблица22425[[#This Row],[СС, 
грн/рейс]]</f>
        <v>2000</v>
      </c>
      <c r="N8" s="24" t="s">
        <v>177</v>
      </c>
      <c r="O8" s="150"/>
    </row>
    <row r="9" spans="1:15" ht="13.8" hidden="1" outlineLevel="1" thickTop="1" x14ac:dyDescent="0.25">
      <c r="A9" s="14" t="s">
        <v>163</v>
      </c>
      <c r="B9" s="62" t="s">
        <v>63</v>
      </c>
      <c r="C9" s="25">
        <v>45457</v>
      </c>
      <c r="D9" s="57" t="s">
        <v>164</v>
      </c>
      <c r="E9" s="24" t="s">
        <v>165</v>
      </c>
      <c r="F9" s="55" t="s">
        <v>166</v>
      </c>
      <c r="G9" s="73">
        <v>18000</v>
      </c>
      <c r="H9" s="11">
        <v>300</v>
      </c>
      <c r="I9" s="60">
        <f>Таблица22425[[#This Row],[Стоимость, 
грн]]</f>
        <v>18000</v>
      </c>
      <c r="J9" s="12">
        <f>Таблица22425[[#This Row],[Доход, 
грн/рейс]]/Таблица22425[[#This Row],[Километраж, 
км]]</f>
        <v>60</v>
      </c>
      <c r="K9" s="12">
        <v>12000</v>
      </c>
      <c r="L9" s="12">
        <f>Таблица22425[[#This Row],[СС, 
грн/рейс]]/Таблица22425[[#This Row],[Километраж, 
км]]</f>
        <v>40</v>
      </c>
      <c r="M9" s="26">
        <f>Таблица22425[[#This Row],[Доход, 
грн/рейс]]-Таблица22425[[#This Row],[СС, 
грн/рейс]]</f>
        <v>6000</v>
      </c>
      <c r="N9" s="24" t="s">
        <v>242</v>
      </c>
      <c r="O9" s="150"/>
    </row>
    <row r="10" spans="1:15" ht="13.8" hidden="1" outlineLevel="1" thickTop="1" x14ac:dyDescent="0.25">
      <c r="A10" s="14" t="s">
        <v>144</v>
      </c>
      <c r="B10" s="62" t="s">
        <v>63</v>
      </c>
      <c r="C10" s="25">
        <v>45478</v>
      </c>
      <c r="D10" s="57" t="s">
        <v>188</v>
      </c>
      <c r="E10" s="24" t="s">
        <v>189</v>
      </c>
      <c r="F10" s="55" t="s">
        <v>190</v>
      </c>
      <c r="G10" s="73">
        <v>11000</v>
      </c>
      <c r="H10" s="56">
        <v>575</v>
      </c>
      <c r="I10" s="60">
        <f>Таблица22425[[#This Row],[Стоимость, 
грн]]</f>
        <v>11000</v>
      </c>
      <c r="J10" s="12">
        <f>Таблица22425[[#This Row],[Доход, 
грн/рейс]]/Таблица22425[[#This Row],[Километраж, 
км]]</f>
        <v>19.130434782608695</v>
      </c>
      <c r="K10" s="12">
        <v>10000</v>
      </c>
      <c r="L10" s="12">
        <f>Таблица22425[[#This Row],[СС, 
грн/рейс]]/Таблица22425[[#This Row],[Километраж, 
км]]</f>
        <v>17.391304347826086</v>
      </c>
      <c r="M10" s="26">
        <f>Таблица22425[[#This Row],[Доход, 
грн/рейс]]-Таблица22425[[#This Row],[СС, 
грн/рейс]]</f>
        <v>1000</v>
      </c>
      <c r="N10" s="24" t="s">
        <v>279</v>
      </c>
      <c r="O10" s="150"/>
    </row>
    <row r="11" spans="1:15" ht="13.8" hidden="1" outlineLevel="1" thickTop="1" x14ac:dyDescent="0.25">
      <c r="A11" s="14" t="s">
        <v>191</v>
      </c>
      <c r="B11" s="62" t="s">
        <v>63</v>
      </c>
      <c r="C11" s="25">
        <v>45479</v>
      </c>
      <c r="D11" s="57" t="s">
        <v>188</v>
      </c>
      <c r="E11" s="24" t="s">
        <v>192</v>
      </c>
      <c r="F11" s="190" t="s">
        <v>193</v>
      </c>
      <c r="G11" s="73">
        <v>48000</v>
      </c>
      <c r="H11" s="56">
        <v>600</v>
      </c>
      <c r="I11" s="60">
        <f>Таблица22425[[#This Row],[Стоимость, 
грн]]</f>
        <v>48000</v>
      </c>
      <c r="J11" s="12">
        <f>Таблица22425[[#This Row],[Доход, 
грн/рейс]]/Таблица22425[[#This Row],[Километраж, 
км]]</f>
        <v>80</v>
      </c>
      <c r="K11" s="12">
        <v>39000</v>
      </c>
      <c r="L11" s="12">
        <f>Таблица22425[[#This Row],[СС, 
грн/рейс]]/Таблица22425[[#This Row],[Километраж, 
км]]</f>
        <v>65</v>
      </c>
      <c r="M11" s="26">
        <f>Таблица22425[[#This Row],[Доход, 
грн/рейс]]-Таблица22425[[#This Row],[СС, 
грн/рейс]]</f>
        <v>9000</v>
      </c>
      <c r="N11" s="24" t="s">
        <v>242</v>
      </c>
      <c r="O11" s="150"/>
    </row>
    <row r="12" spans="1:15" ht="13.8" hidden="1" outlineLevel="1" thickTop="1" x14ac:dyDescent="0.25">
      <c r="A12" s="14" t="s">
        <v>191</v>
      </c>
      <c r="B12" s="62" t="s">
        <v>63</v>
      </c>
      <c r="C12" s="25">
        <v>45480</v>
      </c>
      <c r="D12" s="57" t="s">
        <v>188</v>
      </c>
      <c r="E12" s="24" t="s">
        <v>192</v>
      </c>
      <c r="F12" s="190" t="s">
        <v>193</v>
      </c>
      <c r="G12" s="73">
        <v>48000</v>
      </c>
      <c r="H12" s="60">
        <v>600</v>
      </c>
      <c r="I12" s="60">
        <f>Таблица22425[[#This Row],[Стоимость, 
грн]]</f>
        <v>48000</v>
      </c>
      <c r="J12" s="12">
        <f>Таблица22425[[#This Row],[Доход, 
грн/рейс]]/Таблица22425[[#This Row],[Километраж, 
км]]</f>
        <v>80</v>
      </c>
      <c r="K12" s="12">
        <v>39000</v>
      </c>
      <c r="L12" s="12">
        <f>Таблица22425[[#This Row],[СС, 
грн/рейс]]/Таблица22425[[#This Row],[Километраж, 
км]]</f>
        <v>65</v>
      </c>
      <c r="M12" s="26">
        <f>Таблица22425[[#This Row],[Доход, 
грн/рейс]]-Таблица22425[[#This Row],[СС, 
грн/рейс]]</f>
        <v>9000</v>
      </c>
      <c r="N12" s="24" t="s">
        <v>242</v>
      </c>
      <c r="O12" s="150"/>
    </row>
    <row r="13" spans="1:15" ht="13.8" hidden="1" outlineLevel="1" thickTop="1" x14ac:dyDescent="0.25">
      <c r="A13" s="14" t="s">
        <v>191</v>
      </c>
      <c r="B13" s="62" t="s">
        <v>19</v>
      </c>
      <c r="C13" s="25">
        <v>45481</v>
      </c>
      <c r="D13" s="57" t="s">
        <v>188</v>
      </c>
      <c r="E13" s="24" t="s">
        <v>192</v>
      </c>
      <c r="F13" s="190" t="s">
        <v>193</v>
      </c>
      <c r="G13" s="73">
        <v>48000</v>
      </c>
      <c r="H13" s="56">
        <v>600</v>
      </c>
      <c r="I13" s="60">
        <f>Таблица22425[[#This Row],[Стоимость, 
грн]]</f>
        <v>48000</v>
      </c>
      <c r="J13" s="12">
        <f>Таблица22425[[#This Row],[Доход, 
грн/рейс]]/Таблица22425[[#This Row],[Километраж, 
км]]</f>
        <v>80</v>
      </c>
      <c r="K13" s="12">
        <v>40000</v>
      </c>
      <c r="L13" s="12">
        <f>Таблица22425[[#This Row],[СС, 
грн/рейс]]/Таблица22425[[#This Row],[Километраж, 
км]]</f>
        <v>66.666666666666671</v>
      </c>
      <c r="M13" s="26">
        <f>Таблица22425[[#This Row],[Доход, 
грн/рейс]]-Таблица22425[[#This Row],[СС, 
грн/рейс]]</f>
        <v>8000</v>
      </c>
      <c r="N13" s="24" t="s">
        <v>319</v>
      </c>
      <c r="O13" s="150"/>
    </row>
    <row r="14" spans="1:15" ht="13.8" hidden="1" outlineLevel="1" thickTop="1" x14ac:dyDescent="0.25">
      <c r="A14" s="14" t="s">
        <v>191</v>
      </c>
      <c r="B14" s="62" t="s">
        <v>63</v>
      </c>
      <c r="C14" s="25">
        <v>45480</v>
      </c>
      <c r="D14" s="57" t="s">
        <v>194</v>
      </c>
      <c r="E14" s="24" t="s">
        <v>192</v>
      </c>
      <c r="F14" s="190" t="s">
        <v>195</v>
      </c>
      <c r="G14" s="73">
        <v>45700</v>
      </c>
      <c r="H14" s="56">
        <v>600</v>
      </c>
      <c r="I14" s="60">
        <f>Таблица22425[[#This Row],[Стоимость, 
грн]]</f>
        <v>45700</v>
      </c>
      <c r="J14" s="12">
        <f>Таблица22425[[#This Row],[Доход, 
грн/рейс]]/Таблица22425[[#This Row],[Километраж, 
км]]</f>
        <v>76.166666666666671</v>
      </c>
      <c r="K14" s="12">
        <v>31700</v>
      </c>
      <c r="L14" s="12">
        <f>Таблица22425[[#This Row],[СС, 
грн/рейс]]/Таблица22425[[#This Row],[Километраж, 
км]]</f>
        <v>52.833333333333336</v>
      </c>
      <c r="M14" s="26">
        <f>Таблица22425[[#This Row],[Доход, 
грн/рейс]]-Таблица22425[[#This Row],[СС, 
грн/рейс]]</f>
        <v>14000</v>
      </c>
      <c r="N14" s="24" t="s">
        <v>318</v>
      </c>
      <c r="O14" s="150"/>
    </row>
    <row r="15" spans="1:15" ht="13.8" hidden="1" outlineLevel="1" collapsed="1" thickTop="1" x14ac:dyDescent="0.25">
      <c r="A15" s="14" t="s">
        <v>191</v>
      </c>
      <c r="B15" s="62" t="s">
        <v>63</v>
      </c>
      <c r="C15" s="25">
        <v>45481</v>
      </c>
      <c r="D15" s="57" t="s">
        <v>249</v>
      </c>
      <c r="E15" s="24" t="s">
        <v>250</v>
      </c>
      <c r="F15" s="190" t="s">
        <v>252</v>
      </c>
      <c r="G15" s="73">
        <v>46000</v>
      </c>
      <c r="H15" s="60">
        <v>520</v>
      </c>
      <c r="I15" s="60">
        <f>Таблица22425[[#This Row],[Стоимость, 
грн]]</f>
        <v>46000</v>
      </c>
      <c r="J15" s="12">
        <f>Таблица22425[[#This Row],[Доход, 
грн/рейс]]/Таблица22425[[#This Row],[Километраж, 
км]]</f>
        <v>88.461538461538467</v>
      </c>
      <c r="K15" s="12">
        <v>45000</v>
      </c>
      <c r="L15" s="12">
        <f>Таблица22425[[#This Row],[СС, 
грн/рейс]]/Таблица22425[[#This Row],[Километраж, 
км]]</f>
        <v>86.538461538461533</v>
      </c>
      <c r="M15" s="26">
        <f>Таблица22425[[#This Row],[Доход, 
грн/рейс]]-Таблица22425[[#This Row],[СС, 
грн/рейс]]</f>
        <v>1000</v>
      </c>
      <c r="N15" s="24" t="s">
        <v>313</v>
      </c>
      <c r="O15" s="150"/>
    </row>
    <row r="16" spans="1:15" ht="13.8" hidden="1" outlineLevel="1" thickTop="1" x14ac:dyDescent="0.25">
      <c r="A16" s="14" t="s">
        <v>191</v>
      </c>
      <c r="B16" s="62" t="s">
        <v>63</v>
      </c>
      <c r="C16" s="25">
        <v>45482</v>
      </c>
      <c r="D16" s="57" t="s">
        <v>251</v>
      </c>
      <c r="E16" s="24" t="s">
        <v>250</v>
      </c>
      <c r="F16" s="190" t="s">
        <v>193</v>
      </c>
      <c r="G16" s="73">
        <v>41600</v>
      </c>
      <c r="H16" s="60">
        <v>520</v>
      </c>
      <c r="I16" s="60">
        <f>Таблица22425[[#This Row],[Стоимость, 
грн]]</f>
        <v>41600</v>
      </c>
      <c r="J16" s="12">
        <f>Таблица22425[[#This Row],[Доход, 
грн/рейс]]/Таблица22425[[#This Row],[Километраж, 
км]]</f>
        <v>80</v>
      </c>
      <c r="K16" s="12">
        <v>41000</v>
      </c>
      <c r="L16" s="12">
        <f>Таблица22425[[#This Row],[СС, 
грн/рейс]]/Таблица22425[[#This Row],[Километраж, 
км]]</f>
        <v>78.84615384615384</v>
      </c>
      <c r="M16" s="26">
        <f>Таблица22425[[#This Row],[Доход, 
грн/рейс]]-Таблица22425[[#This Row],[СС, 
грн/рейс]]</f>
        <v>600</v>
      </c>
      <c r="N16" s="24" t="s">
        <v>338</v>
      </c>
      <c r="O16" s="150"/>
    </row>
    <row r="17" spans="1:15" ht="13.8" hidden="1" outlineLevel="1" thickTop="1" x14ac:dyDescent="0.25">
      <c r="A17" s="14" t="s">
        <v>191</v>
      </c>
      <c r="B17" s="62" t="s">
        <v>63</v>
      </c>
      <c r="C17" s="25">
        <v>45483</v>
      </c>
      <c r="D17" s="57" t="s">
        <v>251</v>
      </c>
      <c r="E17" s="24" t="s">
        <v>250</v>
      </c>
      <c r="F17" s="190" t="s">
        <v>193</v>
      </c>
      <c r="G17" s="73">
        <v>41600</v>
      </c>
      <c r="H17" s="60">
        <v>520</v>
      </c>
      <c r="I17" s="60">
        <f>Таблица22425[[#This Row],[Стоимость, 
грн]]</f>
        <v>41600</v>
      </c>
      <c r="J17" s="12">
        <f>Таблица22425[[#This Row],[Доход, 
грн/рейс]]/Таблица22425[[#This Row],[Километраж, 
км]]</f>
        <v>80</v>
      </c>
      <c r="K17" s="12">
        <v>41000</v>
      </c>
      <c r="L17" s="12">
        <f>Таблица22425[[#This Row],[СС, 
грн/рейс]]/Таблица22425[[#This Row],[Километраж, 
км]]</f>
        <v>78.84615384615384</v>
      </c>
      <c r="M17" s="26">
        <f>Таблица22425[[#This Row],[Доход, 
грн/рейс]]-Таблица22425[[#This Row],[СС, 
грн/рейс]]</f>
        <v>600</v>
      </c>
      <c r="N17" s="24" t="s">
        <v>338</v>
      </c>
      <c r="O17" s="150"/>
    </row>
    <row r="18" spans="1:15" ht="13.8" hidden="1" outlineLevel="1" collapsed="1" thickTop="1" x14ac:dyDescent="0.25">
      <c r="A18" s="14" t="s">
        <v>158</v>
      </c>
      <c r="B18" s="62" t="s">
        <v>63</v>
      </c>
      <c r="C18" s="25">
        <v>45510</v>
      </c>
      <c r="D18" s="57" t="s">
        <v>295</v>
      </c>
      <c r="E18" s="24" t="s">
        <v>296</v>
      </c>
      <c r="F18" s="190" t="s">
        <v>193</v>
      </c>
      <c r="G18" s="73">
        <v>17600</v>
      </c>
      <c r="H18" s="60">
        <v>220</v>
      </c>
      <c r="I18" s="60">
        <f>Таблица22425[[#This Row],[Стоимость, 
грн]]</f>
        <v>17600</v>
      </c>
      <c r="J18" s="12">
        <f>Таблица22425[[#This Row],[Доход, 
грн/рейс]]/Таблица22425[[#This Row],[Километраж, 
км]]</f>
        <v>80</v>
      </c>
      <c r="K18" s="12">
        <v>17000</v>
      </c>
      <c r="L18" s="12">
        <f>Таблица22425[[#This Row],[СС, 
грн/рейс]]/Таблица22425[[#This Row],[Километраж, 
км]]</f>
        <v>77.272727272727266</v>
      </c>
      <c r="M18" s="26">
        <f>Таблица22425[[#This Row],[Доход, 
грн/рейс]]-Таблица22425[[#This Row],[СС, 
грн/рейс]]</f>
        <v>600</v>
      </c>
      <c r="N18" s="24" t="s">
        <v>490</v>
      </c>
      <c r="O18" s="150"/>
    </row>
    <row r="19" spans="1:15" ht="13.8" hidden="1" outlineLevel="1" thickTop="1" x14ac:dyDescent="0.25">
      <c r="A19" s="14" t="s">
        <v>158</v>
      </c>
      <c r="B19" s="62" t="s">
        <v>63</v>
      </c>
      <c r="C19" s="25">
        <v>45511</v>
      </c>
      <c r="D19" s="57" t="s">
        <v>295</v>
      </c>
      <c r="E19" s="24" t="s">
        <v>296</v>
      </c>
      <c r="F19" s="190" t="s">
        <v>193</v>
      </c>
      <c r="G19" s="73">
        <v>17600</v>
      </c>
      <c r="H19" s="56">
        <v>220</v>
      </c>
      <c r="I19" s="60">
        <f>Таблица22425[[#This Row],[Стоимость, 
грн]]</f>
        <v>17600</v>
      </c>
      <c r="J19" s="12">
        <f>Таблица22425[[#This Row],[Доход, 
грн/рейс]]/Таблица22425[[#This Row],[Километраж, 
км]]</f>
        <v>80</v>
      </c>
      <c r="K19" s="12">
        <v>17000</v>
      </c>
      <c r="L19" s="12">
        <f>Таблица22425[[#This Row],[СС, 
грн/рейс]]/Таблица22425[[#This Row],[Километраж, 
км]]</f>
        <v>77.272727272727266</v>
      </c>
      <c r="M19" s="26">
        <f>Таблица22425[[#This Row],[Доход, 
грн/рейс]]-Таблица22425[[#This Row],[СС, 
грн/рейс]]</f>
        <v>600</v>
      </c>
      <c r="N19" s="24" t="s">
        <v>490</v>
      </c>
      <c r="O19" s="150"/>
    </row>
    <row r="20" spans="1:15" ht="13.8" hidden="1" outlineLevel="1" thickTop="1" x14ac:dyDescent="0.25">
      <c r="A20" s="14" t="s">
        <v>158</v>
      </c>
      <c r="B20" s="62" t="s">
        <v>63</v>
      </c>
      <c r="C20" s="25">
        <v>45512</v>
      </c>
      <c r="D20" s="57" t="s">
        <v>295</v>
      </c>
      <c r="E20" s="24" t="s">
        <v>296</v>
      </c>
      <c r="F20" s="190" t="s">
        <v>193</v>
      </c>
      <c r="G20" s="73">
        <v>19000</v>
      </c>
      <c r="H20" s="56">
        <v>220</v>
      </c>
      <c r="I20" s="60">
        <f>Таблица22425[[#This Row],[Стоимость, 
грн]]</f>
        <v>19000</v>
      </c>
      <c r="J20" s="12">
        <f>Таблица22425[[#This Row],[Доход, 
грн/рейс]]/Таблица22425[[#This Row],[Километраж, 
км]]</f>
        <v>86.36363636363636</v>
      </c>
      <c r="K20" s="12">
        <v>19000</v>
      </c>
      <c r="L20" s="12">
        <f>Таблица22425[[#This Row],[СС, 
грн/рейс]]/Таблица22425[[#This Row],[Километраж, 
км]]</f>
        <v>86.36363636363636</v>
      </c>
      <c r="M20" s="26">
        <f>Таблица22425[[#This Row],[Доход, 
грн/рейс]]-Таблица22425[[#This Row],[СС, 
грн/рейс]]</f>
        <v>0</v>
      </c>
      <c r="N20" s="24" t="s">
        <v>480</v>
      </c>
      <c r="O20" s="150"/>
    </row>
    <row r="21" spans="1:15" ht="13.8" hidden="1" outlineLevel="1" thickTop="1" x14ac:dyDescent="0.25">
      <c r="A21" s="14" t="s">
        <v>158</v>
      </c>
      <c r="B21" s="62" t="s">
        <v>63</v>
      </c>
      <c r="C21" s="25">
        <v>45513</v>
      </c>
      <c r="D21" s="57" t="s">
        <v>285</v>
      </c>
      <c r="E21" s="24" t="s">
        <v>297</v>
      </c>
      <c r="F21" s="55" t="s">
        <v>298</v>
      </c>
      <c r="G21" s="58">
        <v>8250</v>
      </c>
      <c r="H21" s="60">
        <v>247</v>
      </c>
      <c r="I21" s="60">
        <f>Таблица22425[[#This Row],[Стоимость, 
грн]]</f>
        <v>8250</v>
      </c>
      <c r="J21" s="12">
        <f>Таблица22425[[#This Row],[Доход, 
грн/рейс]]/Таблица22425[[#This Row],[Километраж, 
км]]</f>
        <v>33.400809716599191</v>
      </c>
      <c r="K21" s="12">
        <v>7500</v>
      </c>
      <c r="L21" s="12">
        <f>Таблица22425[[#This Row],[СС, 
грн/рейс]]/Таблица22425[[#This Row],[Километраж, 
км]]</f>
        <v>30.364372469635626</v>
      </c>
      <c r="M21" s="26">
        <f>Таблица22425[[#This Row],[Доход, 
грн/рейс]]-Таблица22425[[#This Row],[СС, 
грн/рейс]]</f>
        <v>750</v>
      </c>
      <c r="N21" s="24"/>
      <c r="O21" s="150"/>
    </row>
    <row r="22" spans="1:15" ht="13.8" hidden="1" outlineLevel="1" thickTop="1" x14ac:dyDescent="0.25">
      <c r="A22" s="14" t="s">
        <v>261</v>
      </c>
      <c r="B22" s="62" t="s">
        <v>63</v>
      </c>
      <c r="C22" s="25">
        <v>45513</v>
      </c>
      <c r="D22" s="57" t="s">
        <v>299</v>
      </c>
      <c r="E22" s="24" t="s">
        <v>300</v>
      </c>
      <c r="F22" s="55" t="s">
        <v>128</v>
      </c>
      <c r="G22" s="73">
        <v>20000</v>
      </c>
      <c r="H22" s="56">
        <v>803</v>
      </c>
      <c r="I22" s="60">
        <f>Таблица22425[[#This Row],[Стоимость, 
грн]]</f>
        <v>20000</v>
      </c>
      <c r="J22" s="12">
        <f>Таблица22425[[#This Row],[Доход, 
грн/рейс]]/Таблица22425[[#This Row],[Километраж, 
км]]</f>
        <v>24.906600249066003</v>
      </c>
      <c r="K22" s="12">
        <v>18000</v>
      </c>
      <c r="L22" s="12">
        <f>Таблица22425[[#This Row],[СС, 
грн/рейс]]/Таблица22425[[#This Row],[Километраж, 
км]]</f>
        <v>22.415940224159403</v>
      </c>
      <c r="M22" s="26">
        <f>Таблица22425[[#This Row],[Доход, 
грн/рейс]]-Таблица22425[[#This Row],[СС, 
грн/рейс]]</f>
        <v>2000</v>
      </c>
      <c r="N22" s="24" t="s">
        <v>489</v>
      </c>
      <c r="O22" s="150"/>
    </row>
    <row r="23" spans="1:15" ht="13.8" hidden="1" outlineLevel="1" thickTop="1" x14ac:dyDescent="0.25">
      <c r="A23" s="14" t="s">
        <v>158</v>
      </c>
      <c r="B23" s="62" t="s">
        <v>63</v>
      </c>
      <c r="C23" s="25">
        <v>45513</v>
      </c>
      <c r="D23" s="57" t="s">
        <v>301</v>
      </c>
      <c r="E23" s="24" t="s">
        <v>302</v>
      </c>
      <c r="F23" s="190" t="s">
        <v>193</v>
      </c>
      <c r="G23" s="73">
        <v>26000</v>
      </c>
      <c r="H23" s="56">
        <v>368</v>
      </c>
      <c r="I23" s="60">
        <f>Таблица22425[[#This Row],[Стоимость, 
грн]]</f>
        <v>26000</v>
      </c>
      <c r="J23" s="12">
        <f>Таблица22425[[#This Row],[Доход, 
грн/рейс]]/Таблица22425[[#This Row],[Километраж, 
км]]</f>
        <v>70.652173913043484</v>
      </c>
      <c r="K23" s="12">
        <v>26000</v>
      </c>
      <c r="L23" s="12">
        <f>Таблица22425[[#This Row],[СС, 
грн/рейс]]/Таблица22425[[#This Row],[Километраж, 
км]]</f>
        <v>70.652173913043484</v>
      </c>
      <c r="M23" s="26">
        <f>Таблица22425[[#This Row],[Доход, 
грн/рейс]]-Таблица22425[[#This Row],[СС, 
грн/рейс]]</f>
        <v>0</v>
      </c>
      <c r="N23" s="24" t="s">
        <v>487</v>
      </c>
      <c r="O23" s="150"/>
    </row>
    <row r="24" spans="1:15" ht="13.8" hidden="1" outlineLevel="1" thickTop="1" x14ac:dyDescent="0.25">
      <c r="A24" s="14" t="s">
        <v>82</v>
      </c>
      <c r="B24" s="62" t="s">
        <v>63</v>
      </c>
      <c r="C24" s="25">
        <v>45513</v>
      </c>
      <c r="D24" s="57" t="s">
        <v>303</v>
      </c>
      <c r="E24" s="24" t="s">
        <v>304</v>
      </c>
      <c r="F24" s="55" t="s">
        <v>290</v>
      </c>
      <c r="G24" s="73">
        <v>20000</v>
      </c>
      <c r="H24" s="60">
        <v>510</v>
      </c>
      <c r="I24" s="60">
        <f>Таблица22425[[#This Row],[Стоимость, 
грн]]</f>
        <v>20000</v>
      </c>
      <c r="J24" s="12">
        <f>Таблица22425[[#This Row],[Доход, 
грн/рейс]]/Таблица22425[[#This Row],[Километраж, 
км]]</f>
        <v>39.215686274509807</v>
      </c>
      <c r="K24" s="12">
        <v>17000</v>
      </c>
      <c r="L24" s="12">
        <f>Таблица22425[[#This Row],[СС, 
грн/рейс]]/Таблица22425[[#This Row],[Километраж, 
км]]</f>
        <v>33.333333333333336</v>
      </c>
      <c r="M24" s="26">
        <f>Таблица22425[[#This Row],[Доход, 
грн/рейс]]-Таблица22425[[#This Row],[СС, 
грн/рейс]]</f>
        <v>3000</v>
      </c>
      <c r="N24" s="24" t="s">
        <v>489</v>
      </c>
      <c r="O24" s="150"/>
    </row>
    <row r="25" spans="1:15" ht="13.8" hidden="1" outlineLevel="1" thickTop="1" x14ac:dyDescent="0.25">
      <c r="A25" s="14" t="s">
        <v>158</v>
      </c>
      <c r="B25" s="62" t="s">
        <v>63</v>
      </c>
      <c r="C25" s="25">
        <v>45513</v>
      </c>
      <c r="D25" s="57" t="s">
        <v>303</v>
      </c>
      <c r="E25" s="24" t="s">
        <v>305</v>
      </c>
      <c r="F25" s="190" t="s">
        <v>193</v>
      </c>
      <c r="G25" s="73">
        <v>40000</v>
      </c>
      <c r="H25" s="56">
        <v>570</v>
      </c>
      <c r="I25" s="60">
        <f>Таблица22425[[#This Row],[Стоимость, 
грн]]</f>
        <v>40000</v>
      </c>
      <c r="J25" s="12">
        <f>Таблица22425[[#This Row],[Доход, 
грн/рейс]]/Таблица22425[[#This Row],[Километраж, 
км]]</f>
        <v>70.175438596491233</v>
      </c>
      <c r="K25" s="12">
        <v>40000</v>
      </c>
      <c r="L25" s="12">
        <f>Таблица22425[[#This Row],[СС, 
грн/рейс]]/Таблица22425[[#This Row],[Километраж, 
км]]</f>
        <v>70.175438596491233</v>
      </c>
      <c r="M25" s="26">
        <f>Таблица22425[[#This Row],[Доход, 
грн/рейс]]-Таблица22425[[#This Row],[СС, 
грн/рейс]]</f>
        <v>0</v>
      </c>
      <c r="N25" s="24" t="s">
        <v>486</v>
      </c>
      <c r="O25" s="150"/>
    </row>
    <row r="26" spans="1:15" ht="13.8" hidden="1" outlineLevel="1" thickTop="1" x14ac:dyDescent="0.25">
      <c r="A26" s="14" t="s">
        <v>158</v>
      </c>
      <c r="B26" s="62" t="s">
        <v>63</v>
      </c>
      <c r="C26" s="25">
        <v>45514</v>
      </c>
      <c r="D26" s="57" t="s">
        <v>306</v>
      </c>
      <c r="E26" s="24" t="s">
        <v>302</v>
      </c>
      <c r="F26" s="190" t="s">
        <v>195</v>
      </c>
      <c r="G26" s="73">
        <v>25600</v>
      </c>
      <c r="H26" s="56">
        <v>368</v>
      </c>
      <c r="I26" s="60">
        <f>Таблица22425[[#This Row],[Стоимость, 
грн]]</f>
        <v>25600</v>
      </c>
      <c r="J26" s="12">
        <f>Таблица22425[[#This Row],[Доход, 
грн/рейс]]/Таблица22425[[#This Row],[Километраж, 
км]]</f>
        <v>69.565217391304344</v>
      </c>
      <c r="K26" s="12">
        <v>23000</v>
      </c>
      <c r="L26" s="12">
        <f>Таблица22425[[#This Row],[СС, 
грн/рейс]]/Таблица22425[[#This Row],[Километраж, 
км]]</f>
        <v>62.5</v>
      </c>
      <c r="M26" s="26">
        <f>Таблица22425[[#This Row],[Доход, 
грн/рейс]]-Таблица22425[[#This Row],[СС, 
грн/рейс]]</f>
        <v>2600</v>
      </c>
      <c r="N26" s="24" t="s">
        <v>488</v>
      </c>
      <c r="O26" s="150"/>
    </row>
    <row r="27" spans="1:15" ht="13.8" hidden="1" outlineLevel="1" thickTop="1" x14ac:dyDescent="0.25">
      <c r="A27" s="14" t="s">
        <v>158</v>
      </c>
      <c r="B27" s="62" t="s">
        <v>63</v>
      </c>
      <c r="C27" s="25">
        <v>45515</v>
      </c>
      <c r="D27" s="57" t="s">
        <v>332</v>
      </c>
      <c r="E27" s="24" t="s">
        <v>333</v>
      </c>
      <c r="F27" s="190" t="s">
        <v>193</v>
      </c>
      <c r="G27" s="73">
        <v>41600</v>
      </c>
      <c r="H27" s="60">
        <v>520</v>
      </c>
      <c r="I27" s="60">
        <f>Таблица22425[[#This Row],[Стоимость, 
грн]]</f>
        <v>41600</v>
      </c>
      <c r="J27" s="12">
        <f>Таблица22425[[#This Row],[Доход, 
грн/рейс]]/Таблица22425[[#This Row],[Километраж, 
км]]</f>
        <v>80</v>
      </c>
      <c r="K27" s="12">
        <v>36000</v>
      </c>
      <c r="L27" s="12">
        <f>Таблица22425[[#This Row],[СС, 
грн/рейс]]/Таблица22425[[#This Row],[Километраж, 
км]]</f>
        <v>69.230769230769226</v>
      </c>
      <c r="M27" s="26">
        <f>Таблица22425[[#This Row],[Доход, 
грн/рейс]]-Таблица22425[[#This Row],[СС, 
грн/рейс]]</f>
        <v>5600</v>
      </c>
      <c r="N27" s="24" t="s">
        <v>573</v>
      </c>
      <c r="O27" s="150"/>
    </row>
    <row r="28" spans="1:15" ht="13.8" hidden="1" outlineLevel="1" thickTop="1" x14ac:dyDescent="0.25">
      <c r="A28" s="14" t="s">
        <v>158</v>
      </c>
      <c r="B28" s="62" t="s">
        <v>63</v>
      </c>
      <c r="C28" s="25">
        <v>45516</v>
      </c>
      <c r="D28" s="57" t="s">
        <v>332</v>
      </c>
      <c r="E28" s="24" t="s">
        <v>333</v>
      </c>
      <c r="F28" s="190" t="s">
        <v>193</v>
      </c>
      <c r="G28" s="73">
        <v>41600</v>
      </c>
      <c r="H28" s="56">
        <v>520</v>
      </c>
      <c r="I28" s="60">
        <f>Таблица22425[[#This Row],[Стоимость, 
грн]]</f>
        <v>41600</v>
      </c>
      <c r="J28" s="12">
        <f>Таблица22425[[#This Row],[Доход, 
грн/рейс]]/Таблица22425[[#This Row],[Километраж, 
км]]</f>
        <v>80</v>
      </c>
      <c r="K28" s="12">
        <v>37000</v>
      </c>
      <c r="L28" s="12">
        <f>Таблица22425[[#This Row],[СС, 
грн/рейс]]/Таблица22425[[#This Row],[Километраж, 
км]]</f>
        <v>71.15384615384616</v>
      </c>
      <c r="M28" s="26">
        <f>Таблица22425[[#This Row],[Доход, 
грн/рейс]]-Таблица22425[[#This Row],[СС, 
грн/рейс]]</f>
        <v>4600</v>
      </c>
      <c r="N28" s="24" t="s">
        <v>573</v>
      </c>
      <c r="O28" s="150"/>
    </row>
    <row r="29" spans="1:15" ht="13.8" hidden="1" outlineLevel="1" thickTop="1" x14ac:dyDescent="0.25">
      <c r="A29" s="14" t="s">
        <v>261</v>
      </c>
      <c r="B29" s="62" t="s">
        <v>63</v>
      </c>
      <c r="C29" s="25">
        <v>45513</v>
      </c>
      <c r="D29" s="57" t="s">
        <v>334</v>
      </c>
      <c r="E29" s="24" t="s">
        <v>305</v>
      </c>
      <c r="F29" s="190" t="s">
        <v>193</v>
      </c>
      <c r="G29" s="58">
        <v>40000</v>
      </c>
      <c r="H29" s="56">
        <v>570</v>
      </c>
      <c r="I29" s="60">
        <f>Таблица22425[[#This Row],[Стоимость, 
грн]]</f>
        <v>40000</v>
      </c>
      <c r="J29" s="12">
        <f>Таблица22425[[#This Row],[Доход, 
грн/рейс]]/Таблица22425[[#This Row],[Километраж, 
км]]</f>
        <v>70.175438596491233</v>
      </c>
      <c r="K29" s="12">
        <v>40000</v>
      </c>
      <c r="L29" s="12">
        <f>Таблица22425[[#This Row],[СС, 
грн/рейс]]/Таблица22425[[#This Row],[Километраж, 
км]]</f>
        <v>70.175438596491233</v>
      </c>
      <c r="M29" s="26">
        <f>Таблица22425[[#This Row],[Доход, 
грн/рейс]]-Таблица22425[[#This Row],[СС, 
грн/рейс]]</f>
        <v>0</v>
      </c>
      <c r="N29" s="24"/>
      <c r="O29" s="150"/>
    </row>
    <row r="30" spans="1:15" ht="13.8" hidden="1" outlineLevel="1" thickTop="1" x14ac:dyDescent="0.25">
      <c r="A30" s="14" t="s">
        <v>158</v>
      </c>
      <c r="B30" s="62" t="s">
        <v>63</v>
      </c>
      <c r="C30" s="25">
        <v>45514</v>
      </c>
      <c r="D30" s="57" t="s">
        <v>335</v>
      </c>
      <c r="E30" s="24" t="s">
        <v>333</v>
      </c>
      <c r="F30" s="190" t="s">
        <v>193</v>
      </c>
      <c r="G30" s="73">
        <v>41600</v>
      </c>
      <c r="H30" s="60">
        <v>520</v>
      </c>
      <c r="I30" s="60">
        <f>Таблица22425[[#This Row],[Стоимость, 
грн]]</f>
        <v>41600</v>
      </c>
      <c r="J30" s="12">
        <f>Таблица22425[[#This Row],[Доход, 
грн/рейс]]/Таблица22425[[#This Row],[Километраж, 
км]]</f>
        <v>80</v>
      </c>
      <c r="K30" s="12">
        <v>40000</v>
      </c>
      <c r="L30" s="12">
        <f>Таблица22425[[#This Row],[СС, 
грн/рейс]]/Таблица22425[[#This Row],[Километраж, 
км]]</f>
        <v>76.92307692307692</v>
      </c>
      <c r="M30" s="26">
        <f>Таблица22425[[#This Row],[Доход, 
грн/рейс]]-Таблица22425[[#This Row],[СС, 
грн/рейс]]</f>
        <v>1600</v>
      </c>
      <c r="N30" s="24" t="s">
        <v>574</v>
      </c>
      <c r="O30" s="150"/>
    </row>
    <row r="31" spans="1:15" ht="13.8" hidden="1" outlineLevel="1" thickTop="1" x14ac:dyDescent="0.25">
      <c r="A31" s="14" t="s">
        <v>158</v>
      </c>
      <c r="B31" s="62" t="s">
        <v>63</v>
      </c>
      <c r="C31" s="25">
        <v>45515</v>
      </c>
      <c r="D31" s="57" t="s">
        <v>335</v>
      </c>
      <c r="E31" s="24" t="s">
        <v>333</v>
      </c>
      <c r="F31" s="190" t="s">
        <v>193</v>
      </c>
      <c r="G31" s="73">
        <v>41600</v>
      </c>
      <c r="H31" s="56">
        <v>520</v>
      </c>
      <c r="I31" s="60">
        <f>Таблица22425[[#This Row],[Стоимость, 
грн]]</f>
        <v>41600</v>
      </c>
      <c r="J31" s="12">
        <f>Таблица22425[[#This Row],[Доход, 
грн/рейс]]/Таблица22425[[#This Row],[Километраж, 
км]]</f>
        <v>80</v>
      </c>
      <c r="K31" s="12">
        <v>40000</v>
      </c>
      <c r="L31" s="12">
        <f>Таблица22425[[#This Row],[СС, 
грн/рейс]]/Таблица22425[[#This Row],[Километраж, 
км]]</f>
        <v>76.92307692307692</v>
      </c>
      <c r="M31" s="26">
        <f>Таблица22425[[#This Row],[Доход, 
грн/рейс]]-Таблица22425[[#This Row],[СС, 
грн/рейс]]</f>
        <v>1600</v>
      </c>
      <c r="N31" s="24" t="s">
        <v>574</v>
      </c>
      <c r="O31" s="150"/>
    </row>
    <row r="32" spans="1:15" ht="13.8" hidden="1" outlineLevel="1" thickTop="1" x14ac:dyDescent="0.25">
      <c r="A32" s="14" t="s">
        <v>158</v>
      </c>
      <c r="B32" s="62" t="s">
        <v>63</v>
      </c>
      <c r="C32" s="25">
        <v>45536</v>
      </c>
      <c r="D32" s="57" t="s">
        <v>355</v>
      </c>
      <c r="E32" s="24" t="s">
        <v>336</v>
      </c>
      <c r="F32" s="190" t="s">
        <v>193</v>
      </c>
      <c r="G32" s="73">
        <v>53600</v>
      </c>
      <c r="H32" s="56">
        <v>670</v>
      </c>
      <c r="I32" s="60">
        <f>Таблица22425[[#This Row],[Стоимость, 
грн]]</f>
        <v>53600</v>
      </c>
      <c r="J32" s="12">
        <f>Таблица22425[[#This Row],[Доход, 
грн/рейс]]/Таблица22425[[#This Row],[Километраж, 
км]]</f>
        <v>80</v>
      </c>
      <c r="K32" s="12">
        <v>46000</v>
      </c>
      <c r="L32" s="12">
        <f>Таблица22425[[#This Row],[СС, 
грн/рейс]]/Таблица22425[[#This Row],[Километраж, 
км]]</f>
        <v>68.656716417910445</v>
      </c>
      <c r="M32" s="26">
        <f>Таблица22425[[#This Row],[Доход, 
грн/рейс]]-Таблица22425[[#This Row],[СС, 
грн/рейс]]</f>
        <v>7600</v>
      </c>
      <c r="N32" s="24" t="s">
        <v>575</v>
      </c>
      <c r="O32" s="150"/>
    </row>
    <row r="33" spans="1:15" ht="13.8" hidden="1" outlineLevel="1" thickTop="1" x14ac:dyDescent="0.25">
      <c r="A33" s="14" t="s">
        <v>158</v>
      </c>
      <c r="B33" s="62" t="s">
        <v>63</v>
      </c>
      <c r="C33" s="25">
        <v>45536</v>
      </c>
      <c r="D33" s="57" t="s">
        <v>356</v>
      </c>
      <c r="E33" s="24" t="s">
        <v>357</v>
      </c>
      <c r="F33" s="190" t="s">
        <v>193</v>
      </c>
      <c r="G33" s="73">
        <v>38000</v>
      </c>
      <c r="H33" s="60">
        <v>475</v>
      </c>
      <c r="I33" s="60">
        <f>Таблица22425[[#This Row],[Стоимость, 
грн]]</f>
        <v>38000</v>
      </c>
      <c r="J33" s="12">
        <f>Таблица22425[[#This Row],[Доход, 
грн/рейс]]/Таблица22425[[#This Row],[Километраж, 
км]]</f>
        <v>80</v>
      </c>
      <c r="K33" s="12">
        <v>33000</v>
      </c>
      <c r="L33" s="12">
        <f>Таблица22425[[#This Row],[СС, 
грн/рейс]]/Таблица22425[[#This Row],[Километраж, 
км]]</f>
        <v>69.473684210526315</v>
      </c>
      <c r="M33" s="26">
        <f>Таблица22425[[#This Row],[Доход, 
грн/рейс]]-Таблица22425[[#This Row],[СС, 
грн/рейс]]</f>
        <v>5000</v>
      </c>
      <c r="N33" s="24" t="s">
        <v>572</v>
      </c>
      <c r="O33" s="150"/>
    </row>
    <row r="34" spans="1:15" ht="13.8" hidden="1" outlineLevel="1" thickTop="1" x14ac:dyDescent="0.25">
      <c r="A34" s="14" t="s">
        <v>158</v>
      </c>
      <c r="B34" s="62" t="s">
        <v>63</v>
      </c>
      <c r="C34" s="25">
        <v>45536</v>
      </c>
      <c r="D34" s="57" t="s">
        <v>356</v>
      </c>
      <c r="E34" s="24" t="s">
        <v>357</v>
      </c>
      <c r="F34" s="190" t="s">
        <v>193</v>
      </c>
      <c r="G34" s="73">
        <v>38000</v>
      </c>
      <c r="H34" s="56">
        <v>475</v>
      </c>
      <c r="I34" s="60">
        <f>Таблица22425[[#This Row],[Стоимость, 
грн]]</f>
        <v>38000</v>
      </c>
      <c r="J34" s="12">
        <f>Таблица22425[[#This Row],[Доход, 
грн/рейс]]/Таблица22425[[#This Row],[Километраж, 
км]]</f>
        <v>80</v>
      </c>
      <c r="K34" s="12">
        <v>34000</v>
      </c>
      <c r="L34" s="12">
        <f>Таблица22425[[#This Row],[СС, 
грн/рейс]]/Таблица22425[[#This Row],[Километраж, 
км]]</f>
        <v>71.578947368421055</v>
      </c>
      <c r="M34" s="26">
        <f>Таблица22425[[#This Row],[Доход, 
грн/рейс]]-Таблица22425[[#This Row],[СС, 
грн/рейс]]</f>
        <v>4000</v>
      </c>
      <c r="N34" s="24" t="s">
        <v>572</v>
      </c>
      <c r="O34" s="150"/>
    </row>
    <row r="35" spans="1:15" ht="13.8" hidden="1" outlineLevel="1" thickTop="1" x14ac:dyDescent="0.25">
      <c r="A35" s="14" t="s">
        <v>158</v>
      </c>
      <c r="B35" s="62" t="s">
        <v>19</v>
      </c>
      <c r="C35" s="25">
        <v>45537</v>
      </c>
      <c r="D35" s="57" t="s">
        <v>358</v>
      </c>
      <c r="E35" s="24" t="s">
        <v>359</v>
      </c>
      <c r="F35" s="55" t="s">
        <v>360</v>
      </c>
      <c r="G35" s="73">
        <v>13200</v>
      </c>
      <c r="H35" s="56">
        <v>500</v>
      </c>
      <c r="I35" s="60">
        <f>Таблица22425[[#This Row],[Стоимость, 
грн]]</f>
        <v>13200</v>
      </c>
      <c r="J35" s="12">
        <f>Таблица22425[[#This Row],[Доход, 
грн/рейс]]/Таблица22425[[#This Row],[Километраж, 
км]]</f>
        <v>26.4</v>
      </c>
      <c r="K35" s="12">
        <v>12000</v>
      </c>
      <c r="L35" s="12">
        <f>Таблица22425[[#This Row],[СС, 
грн/рейс]]/Таблица22425[[#This Row],[Километраж, 
км]]</f>
        <v>24</v>
      </c>
      <c r="M35" s="26">
        <f>Таблица22425[[#This Row],[Доход, 
грн/рейс]]-Таблица22425[[#This Row],[СС, 
грн/рейс]]</f>
        <v>1200</v>
      </c>
      <c r="N35" s="24" t="s">
        <v>513</v>
      </c>
      <c r="O35" s="150"/>
    </row>
    <row r="36" spans="1:15" ht="13.8" hidden="1" outlineLevel="1" thickTop="1" x14ac:dyDescent="0.25">
      <c r="A36" s="14" t="s">
        <v>261</v>
      </c>
      <c r="B36" s="62" t="s">
        <v>63</v>
      </c>
      <c r="C36" s="25">
        <v>45538</v>
      </c>
      <c r="D36" s="57" t="s">
        <v>358</v>
      </c>
      <c r="E36" s="24" t="s">
        <v>305</v>
      </c>
      <c r="F36" s="55" t="s">
        <v>361</v>
      </c>
      <c r="G36" s="58">
        <v>24200</v>
      </c>
      <c r="H36" s="60">
        <v>570</v>
      </c>
      <c r="I36" s="60">
        <f>Таблица22425[[#This Row],[Стоимость, 
грн]]</f>
        <v>24200</v>
      </c>
      <c r="J36" s="12">
        <f>Таблица22425[[#This Row],[Доход, 
грн/рейс]]/Таблица22425[[#This Row],[Километраж, 
км]]</f>
        <v>42.456140350877192</v>
      </c>
      <c r="K36" s="12">
        <v>22000</v>
      </c>
      <c r="L36" s="12">
        <f>Таблица22425[[#This Row],[СС, 
грн/рейс]]/Таблица22425[[#This Row],[Километраж, 
км]]</f>
        <v>38.596491228070178</v>
      </c>
      <c r="M36" s="26">
        <f>Таблица22425[[#This Row],[Доход, 
грн/рейс]]-Таблица22425[[#This Row],[СС, 
грн/рейс]]</f>
        <v>2200</v>
      </c>
      <c r="N36" s="24"/>
      <c r="O36" s="150"/>
    </row>
    <row r="37" spans="1:15" ht="13.8" hidden="1" outlineLevel="1" thickTop="1" x14ac:dyDescent="0.25">
      <c r="A37" s="14" t="s">
        <v>158</v>
      </c>
      <c r="B37" s="62" t="s">
        <v>63</v>
      </c>
      <c r="C37" s="25">
        <v>45539</v>
      </c>
      <c r="D37" s="57" t="s">
        <v>358</v>
      </c>
      <c r="E37" s="24" t="s">
        <v>333</v>
      </c>
      <c r="F37" s="190" t="s">
        <v>195</v>
      </c>
      <c r="G37" s="58">
        <v>41600</v>
      </c>
      <c r="H37" s="56">
        <v>520</v>
      </c>
      <c r="I37" s="60">
        <f>Таблица22425[[#This Row],[Стоимость, 
грн]]</f>
        <v>41600</v>
      </c>
      <c r="J37" s="12">
        <f>Таблица22425[[#This Row],[Доход, 
грн/рейс]]/Таблица22425[[#This Row],[Километраж, 
км]]</f>
        <v>80</v>
      </c>
      <c r="K37" s="12">
        <v>35500</v>
      </c>
      <c r="L37" s="12">
        <f>Таблица22425[[#This Row],[СС, 
грн/рейс]]/Таблица22425[[#This Row],[Километраж, 
км]]</f>
        <v>68.269230769230774</v>
      </c>
      <c r="M37" s="26">
        <f>Таблица22425[[#This Row],[Доход, 
грн/рейс]]-Таблица22425[[#This Row],[СС, 
грн/рейс]]</f>
        <v>6100</v>
      </c>
      <c r="N37" s="24" t="s">
        <v>478</v>
      </c>
      <c r="O37" s="150"/>
    </row>
    <row r="38" spans="1:15" ht="13.8" hidden="1" outlineLevel="1" thickTop="1" x14ac:dyDescent="0.25">
      <c r="A38" s="14" t="s">
        <v>326</v>
      </c>
      <c r="B38" s="62" t="s">
        <v>389</v>
      </c>
      <c r="C38" s="25">
        <v>45539</v>
      </c>
      <c r="D38" s="57" t="s">
        <v>358</v>
      </c>
      <c r="E38" s="24" t="s">
        <v>390</v>
      </c>
      <c r="F38" s="55" t="s">
        <v>391</v>
      </c>
      <c r="G38" s="73">
        <v>14000</v>
      </c>
      <c r="H38" s="56">
        <v>560</v>
      </c>
      <c r="I38" s="60">
        <f>Таблица22425[[#This Row],[Стоимость, 
грн]]</f>
        <v>14000</v>
      </c>
      <c r="J38" s="12">
        <f>Таблица22425[[#This Row],[Доход, 
грн/рейс]]/Таблица22425[[#This Row],[Километраж, 
км]]</f>
        <v>25</v>
      </c>
      <c r="K38" s="12">
        <v>14000</v>
      </c>
      <c r="L38" s="12">
        <f>Таблица22425[[#This Row],[СС, 
грн/рейс]]/Таблица22425[[#This Row],[Километраж, 
км]]</f>
        <v>25</v>
      </c>
      <c r="M38" s="26">
        <f>Таблица22425[[#This Row],[Доход, 
грн/рейс]]-Таблица22425[[#This Row],[СС, 
грн/рейс]]</f>
        <v>0</v>
      </c>
      <c r="N38" s="24" t="s">
        <v>584</v>
      </c>
      <c r="O38" s="150"/>
    </row>
    <row r="39" spans="1:15" ht="13.8" hidden="1" outlineLevel="1" thickTop="1" x14ac:dyDescent="0.25">
      <c r="A39" s="14" t="s">
        <v>326</v>
      </c>
      <c r="B39" s="62" t="s">
        <v>392</v>
      </c>
      <c r="C39" s="25">
        <v>45539</v>
      </c>
      <c r="D39" s="57" t="s">
        <v>358</v>
      </c>
      <c r="E39" s="24" t="s">
        <v>390</v>
      </c>
      <c r="F39" s="55" t="s">
        <v>391</v>
      </c>
      <c r="G39" s="73">
        <v>5000</v>
      </c>
      <c r="H39" s="60">
        <v>560</v>
      </c>
      <c r="I39" s="60">
        <f>Таблица22425[[#This Row],[Стоимость, 
грн]]</f>
        <v>5000</v>
      </c>
      <c r="J39" s="12">
        <f>Таблица22425[[#This Row],[Доход, 
грн/рейс]]/Таблица22425[[#This Row],[Километраж, 
км]]</f>
        <v>8.9285714285714288</v>
      </c>
      <c r="K39" s="12">
        <v>5000</v>
      </c>
      <c r="L39" s="12">
        <f>Таблица22425[[#This Row],[СС, 
грн/рейс]]/Таблица22425[[#This Row],[Километраж, 
км]]</f>
        <v>8.9285714285714288</v>
      </c>
      <c r="M39" s="26">
        <f>Таблица22425[[#This Row],[Доход, 
грн/рейс]]-Таблица22425[[#This Row],[СС, 
грн/рейс]]</f>
        <v>0</v>
      </c>
      <c r="N39" s="24" t="s">
        <v>477</v>
      </c>
      <c r="O39" s="150"/>
    </row>
    <row r="40" spans="1:15" ht="13.8" hidden="1" outlineLevel="1" thickTop="1" x14ac:dyDescent="0.25">
      <c r="A40" s="14" t="s">
        <v>158</v>
      </c>
      <c r="B40" s="62" t="s">
        <v>63</v>
      </c>
      <c r="C40" s="25">
        <v>45536</v>
      </c>
      <c r="D40" s="57" t="s">
        <v>393</v>
      </c>
      <c r="E40" s="24" t="s">
        <v>357</v>
      </c>
      <c r="F40" s="190" t="s">
        <v>195</v>
      </c>
      <c r="G40" s="58">
        <v>38000</v>
      </c>
      <c r="H40" s="56">
        <v>475</v>
      </c>
      <c r="I40" s="60">
        <f>Таблица22425[[#This Row],[Стоимость, 
грн]]</f>
        <v>38000</v>
      </c>
      <c r="J40" s="12">
        <f>Таблица22425[[#This Row],[Доход, 
грн/рейс]]/Таблица22425[[#This Row],[Километраж, 
км]]</f>
        <v>80</v>
      </c>
      <c r="K40" s="12">
        <v>33000</v>
      </c>
      <c r="L40" s="12">
        <f>Таблица22425[[#This Row],[СС, 
грн/рейс]]/Таблица22425[[#This Row],[Километраж, 
км]]</f>
        <v>69.473684210526315</v>
      </c>
      <c r="M40" s="26">
        <f>Таблица22425[[#This Row],[Доход, 
грн/рейс]]-Таблица22425[[#This Row],[СС, 
грн/рейс]]</f>
        <v>5000</v>
      </c>
      <c r="N40" s="24"/>
      <c r="O40" s="150"/>
    </row>
    <row r="41" spans="1:15" ht="13.8" hidden="1" outlineLevel="1" thickTop="1" x14ac:dyDescent="0.25">
      <c r="A41" s="14" t="s">
        <v>158</v>
      </c>
      <c r="B41" s="62" t="s">
        <v>63</v>
      </c>
      <c r="C41" s="25">
        <v>45537</v>
      </c>
      <c r="D41" s="57" t="s">
        <v>381</v>
      </c>
      <c r="E41" s="24" t="s">
        <v>394</v>
      </c>
      <c r="F41" s="55" t="s">
        <v>395</v>
      </c>
      <c r="G41" s="73">
        <v>6050</v>
      </c>
      <c r="H41" s="56">
        <v>244</v>
      </c>
      <c r="I41" s="60">
        <f>Таблица22425[[#This Row],[Стоимость, 
грн]]</f>
        <v>6050</v>
      </c>
      <c r="J41" s="12">
        <f>Таблица22425[[#This Row],[Доход, 
грн/рейс]]/Таблица22425[[#This Row],[Километраж, 
км]]</f>
        <v>24.795081967213115</v>
      </c>
      <c r="K41" s="12">
        <v>5500</v>
      </c>
      <c r="L41" s="12">
        <f>Таблица22425[[#This Row],[СС, 
грн/рейс]]/Таблица22425[[#This Row],[Километраж, 
км]]</f>
        <v>22.540983606557376</v>
      </c>
      <c r="M41" s="26">
        <f>Таблица22425[[#This Row],[Доход, 
грн/рейс]]-Таблица22425[[#This Row],[СС, 
грн/рейс]]</f>
        <v>550</v>
      </c>
      <c r="N41" s="24" t="s">
        <v>479</v>
      </c>
      <c r="O41" s="150"/>
    </row>
    <row r="42" spans="1:15" ht="13.8" hidden="1" outlineLevel="1" thickTop="1" x14ac:dyDescent="0.25">
      <c r="A42" s="14" t="s">
        <v>396</v>
      </c>
      <c r="B42" s="62" t="s">
        <v>63</v>
      </c>
      <c r="C42" s="25">
        <v>45537</v>
      </c>
      <c r="D42" s="57" t="s">
        <v>397</v>
      </c>
      <c r="E42" s="24" t="s">
        <v>398</v>
      </c>
      <c r="F42" s="190" t="s">
        <v>399</v>
      </c>
      <c r="G42" s="58">
        <v>31500</v>
      </c>
      <c r="H42" s="60">
        <v>445</v>
      </c>
      <c r="I42" s="60">
        <f>Таблица22425[[#This Row],[Стоимость, 
грн]]</f>
        <v>31500</v>
      </c>
      <c r="J42" s="12">
        <f>Таблица22425[[#This Row],[Доход, 
грн/рейс]]/Таблица22425[[#This Row],[Километраж, 
км]]</f>
        <v>70.786516853932582</v>
      </c>
      <c r="K42" s="12">
        <v>30000</v>
      </c>
      <c r="L42" s="12">
        <f>Таблица22425[[#This Row],[СС, 
грн/рейс]]/Таблица22425[[#This Row],[Километраж, 
км]]</f>
        <v>67.415730337078656</v>
      </c>
      <c r="M42" s="26">
        <f>Таблица22425[[#This Row],[Доход, 
грн/рейс]]-Таблица22425[[#This Row],[СС, 
грн/рейс]]</f>
        <v>1500</v>
      </c>
      <c r="N42" s="24" t="s">
        <v>484</v>
      </c>
      <c r="O42" s="150"/>
    </row>
    <row r="43" spans="1:15" ht="13.8" hidden="1" outlineLevel="1" thickTop="1" x14ac:dyDescent="0.25">
      <c r="A43" s="14" t="s">
        <v>261</v>
      </c>
      <c r="B43" s="62" t="s">
        <v>19</v>
      </c>
      <c r="C43" s="25">
        <v>45537</v>
      </c>
      <c r="D43" s="57" t="s">
        <v>400</v>
      </c>
      <c r="E43" s="24" t="s">
        <v>305</v>
      </c>
      <c r="F43" s="55" t="s">
        <v>195</v>
      </c>
      <c r="G43" s="73">
        <v>22000</v>
      </c>
      <c r="H43" s="56">
        <v>625</v>
      </c>
      <c r="I43" s="60">
        <f>Таблица22425[[#This Row],[Стоимость, 
грн]]</f>
        <v>22000</v>
      </c>
      <c r="J43" s="12">
        <f>Таблица22425[[#This Row],[Доход, 
грн/рейс]]/Таблица22425[[#This Row],[Километраж, 
км]]</f>
        <v>35.200000000000003</v>
      </c>
      <c r="K43" s="12">
        <v>20000</v>
      </c>
      <c r="L43" s="12">
        <f>Таблица22425[[#This Row],[СС, 
грн/рейс]]/Таблица22425[[#This Row],[Километраж, 
км]]</f>
        <v>32</v>
      </c>
      <c r="M43" s="26">
        <f>Таблица22425[[#This Row],[Доход, 
грн/рейс]]-Таблица22425[[#This Row],[СС, 
грн/рейс]]</f>
        <v>2000</v>
      </c>
      <c r="N43" s="24" t="s">
        <v>504</v>
      </c>
      <c r="O43" s="150"/>
    </row>
    <row r="44" spans="1:15" ht="13.8" hidden="1" outlineLevel="1" thickTop="1" x14ac:dyDescent="0.25">
      <c r="A44" s="14" t="s">
        <v>158</v>
      </c>
      <c r="B44" s="62" t="s">
        <v>19</v>
      </c>
      <c r="C44" s="25">
        <v>45537</v>
      </c>
      <c r="D44" s="57" t="s">
        <v>419</v>
      </c>
      <c r="E44" s="24" t="s">
        <v>357</v>
      </c>
      <c r="F44" s="55" t="s">
        <v>195</v>
      </c>
      <c r="G44" s="58">
        <v>16500</v>
      </c>
      <c r="H44" s="56">
        <v>475</v>
      </c>
      <c r="I44" s="60">
        <f>Таблица22425[[#This Row],[Стоимость, 
грн]]</f>
        <v>16500</v>
      </c>
      <c r="J44" s="12">
        <f>Таблица22425[[#This Row],[Доход, 
грн/рейс]]/Таблица22425[[#This Row],[Километраж, 
км]]</f>
        <v>34.736842105263158</v>
      </c>
      <c r="K44" s="12">
        <v>15000</v>
      </c>
      <c r="L44" s="12">
        <f>Таблица22425[[#This Row],[СС, 
грн/рейс]]/Таблица22425[[#This Row],[Километраж, 
км]]</f>
        <v>31.578947368421051</v>
      </c>
      <c r="M44" s="26">
        <f>Таблица22425[[#This Row],[Доход, 
грн/рейс]]-Таблица22425[[#This Row],[СС, 
грн/рейс]]</f>
        <v>1500</v>
      </c>
      <c r="N44" s="24" t="s">
        <v>485</v>
      </c>
      <c r="O44" s="150"/>
    </row>
    <row r="45" spans="1:15" ht="13.8" hidden="1" outlineLevel="1" thickTop="1" x14ac:dyDescent="0.25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447</v>
      </c>
      <c r="F45" s="190" t="s">
        <v>399</v>
      </c>
      <c r="G45" s="58">
        <v>31500</v>
      </c>
      <c r="H45" s="60">
        <v>455</v>
      </c>
      <c r="I45" s="60">
        <f>Таблица22425[[#This Row],[Стоимость, 
грн]]</f>
        <v>31500</v>
      </c>
      <c r="J45" s="12">
        <f>Таблица22425[[#This Row],[Доход, 
грн/рейс]]/Таблица22425[[#This Row],[Километраж, 
км]]</f>
        <v>69.230769230769226</v>
      </c>
      <c r="K45" s="12">
        <v>30000</v>
      </c>
      <c r="L45" s="12">
        <f>Таблица22425[[#This Row],[СС, 
грн/рейс]]/Таблица22425[[#This Row],[Километраж, 
км]]</f>
        <v>65.934065934065927</v>
      </c>
      <c r="M45" s="26">
        <f>Таблица22425[[#This Row],[Доход, 
грн/рейс]]-Таблица22425[[#This Row],[СС, 
грн/рейс]]</f>
        <v>1500</v>
      </c>
      <c r="N45" s="24" t="s">
        <v>484</v>
      </c>
      <c r="O45" s="150"/>
    </row>
    <row r="46" spans="1:15" ht="13.8" hidden="1" outlineLevel="1" thickTop="1" x14ac:dyDescent="0.25">
      <c r="A46" s="14" t="s">
        <v>418</v>
      </c>
      <c r="B46" s="62" t="s">
        <v>63</v>
      </c>
      <c r="C46" s="25">
        <v>45539</v>
      </c>
      <c r="D46" s="57" t="s">
        <v>419</v>
      </c>
      <c r="E46" s="24" t="s">
        <v>448</v>
      </c>
      <c r="F46" s="55" t="s">
        <v>449</v>
      </c>
      <c r="G46" s="58">
        <v>48400</v>
      </c>
      <c r="H46" s="56">
        <v>1010</v>
      </c>
      <c r="I46" s="60">
        <f>Таблица22425[[#This Row],[Стоимость, 
грн]]</f>
        <v>48400</v>
      </c>
      <c r="J46" s="12">
        <f>Таблица22425[[#This Row],[Доход, 
грн/рейс]]/Таблица22425[[#This Row],[Километраж, 
км]]</f>
        <v>47.920792079207921</v>
      </c>
      <c r="K46" s="12">
        <v>44000</v>
      </c>
      <c r="L46" s="12">
        <f>Таблица22425[[#This Row],[СС, 
грн/рейс]]/Таблица22425[[#This Row],[Километраж, 
км]]</f>
        <v>43.564356435643568</v>
      </c>
      <c r="M46" s="26">
        <f>Таблица22425[[#This Row],[Доход, 
грн/рейс]]-Таблица22425[[#This Row],[СС, 
грн/рейс]]</f>
        <v>4400</v>
      </c>
      <c r="N46" s="24" t="s">
        <v>481</v>
      </c>
      <c r="O46" s="150"/>
    </row>
    <row r="47" spans="1:15" ht="13.8" hidden="1" outlineLevel="1" thickTop="1" x14ac:dyDescent="0.25">
      <c r="A47" s="14" t="s">
        <v>158</v>
      </c>
      <c r="B47" s="62" t="s">
        <v>63</v>
      </c>
      <c r="C47" s="25">
        <v>45539</v>
      </c>
      <c r="D47" s="57" t="s">
        <v>458</v>
      </c>
      <c r="E47" s="24" t="s">
        <v>359</v>
      </c>
      <c r="F47" s="55" t="s">
        <v>170</v>
      </c>
      <c r="G47" s="58">
        <v>15400</v>
      </c>
      <c r="H47" s="56">
        <v>500</v>
      </c>
      <c r="I47" s="60">
        <f>Таблица22425[[#This Row],[Стоимость, 
грн]]</f>
        <v>15400</v>
      </c>
      <c r="J47" s="12">
        <f>Таблица22425[[#This Row],[Доход, 
грн/рейс]]/Таблица22425[[#This Row],[Километраж, 
км]]</f>
        <v>30.8</v>
      </c>
      <c r="K47" s="12">
        <v>14000</v>
      </c>
      <c r="L47" s="12">
        <f>Таблица22425[[#This Row],[СС, 
грн/рейс]]/Таблица22425[[#This Row],[Километраж, 
км]]</f>
        <v>28</v>
      </c>
      <c r="M47" s="26">
        <f>Таблица22425[[#This Row],[Доход, 
грн/рейс]]-Таблица22425[[#This Row],[СС, 
грн/рейс]]</f>
        <v>1400</v>
      </c>
      <c r="N47" s="24" t="s">
        <v>568</v>
      </c>
      <c r="O47" s="150"/>
    </row>
    <row r="48" spans="1:15" ht="13.8" hidden="1" outlineLevel="1" thickTop="1" x14ac:dyDescent="0.25">
      <c r="A48" s="14" t="s">
        <v>158</v>
      </c>
      <c r="B48" s="62" t="s">
        <v>19</v>
      </c>
      <c r="C48" s="25">
        <v>45539</v>
      </c>
      <c r="D48" s="57" t="s">
        <v>459</v>
      </c>
      <c r="E48" s="24" t="s">
        <v>336</v>
      </c>
      <c r="F48" s="190" t="s">
        <v>195</v>
      </c>
      <c r="G48" s="58">
        <v>50000</v>
      </c>
      <c r="H48" s="60">
        <v>670</v>
      </c>
      <c r="I48" s="60">
        <f>Таблица22425[[#This Row],[Стоимость, 
грн]]</f>
        <v>50000</v>
      </c>
      <c r="J48" s="12">
        <f>Таблица22425[[#This Row],[Доход, 
грн/рейс]]/Таблица22425[[#This Row],[Километраж, 
км]]</f>
        <v>74.626865671641795</v>
      </c>
      <c r="K48" s="12">
        <v>37000</v>
      </c>
      <c r="L48" s="12">
        <f>Таблица22425[[#This Row],[СС, 
грн/рейс]]/Таблица22425[[#This Row],[Километраж, 
км]]</f>
        <v>55.223880597014926</v>
      </c>
      <c r="M48" s="26">
        <f>Таблица22425[[#This Row],[Доход, 
грн/рейс]]-Таблица22425[[#This Row],[СС, 
грн/рейс]]</f>
        <v>13000</v>
      </c>
      <c r="N48" s="24" t="s">
        <v>514</v>
      </c>
      <c r="O48" s="150"/>
    </row>
    <row r="49" spans="1:15" ht="13.8" hidden="1" outlineLevel="1" thickTop="1" x14ac:dyDescent="0.25">
      <c r="A49" s="14" t="s">
        <v>158</v>
      </c>
      <c r="B49" s="62" t="s">
        <v>63</v>
      </c>
      <c r="C49" s="25">
        <v>45539</v>
      </c>
      <c r="D49" s="57" t="s">
        <v>459</v>
      </c>
      <c r="E49" s="24" t="s">
        <v>450</v>
      </c>
      <c r="F49" s="190" t="s">
        <v>193</v>
      </c>
      <c r="G49" s="58">
        <v>47600</v>
      </c>
      <c r="H49" s="56">
        <v>595</v>
      </c>
      <c r="I49" s="60">
        <f>Таблица22425[[#This Row],[Стоимость, 
грн]]</f>
        <v>47600</v>
      </c>
      <c r="J49" s="12">
        <f>Таблица22425[[#This Row],[Доход, 
грн/рейс]]/Таблица22425[[#This Row],[Километраж, 
км]]</f>
        <v>80</v>
      </c>
      <c r="K49" s="12">
        <v>43000</v>
      </c>
      <c r="L49" s="12">
        <f>Таблица22425[[#This Row],[СС, 
грн/рейс]]/Таблица22425[[#This Row],[Километраж, 
км]]</f>
        <v>72.268907563025209</v>
      </c>
      <c r="M49" s="26">
        <f>Таблица22425[[#This Row],[Доход, 
грн/рейс]]-Таблица22425[[#This Row],[СС, 
грн/рейс]]</f>
        <v>4600</v>
      </c>
      <c r="N49" s="24" t="s">
        <v>493</v>
      </c>
      <c r="O49" s="150"/>
    </row>
    <row r="50" spans="1:15" ht="13.8" hidden="1" outlineLevel="1" thickTop="1" x14ac:dyDescent="0.25">
      <c r="A50" s="14" t="s">
        <v>261</v>
      </c>
      <c r="B50" s="62" t="s">
        <v>63</v>
      </c>
      <c r="C50" s="25">
        <v>45539</v>
      </c>
      <c r="D50" s="57" t="s">
        <v>460</v>
      </c>
      <c r="E50" s="24" t="s">
        <v>305</v>
      </c>
      <c r="F50" s="190" t="s">
        <v>193</v>
      </c>
      <c r="G50" s="58">
        <v>40000</v>
      </c>
      <c r="H50" s="56">
        <v>570</v>
      </c>
      <c r="I50" s="60">
        <f>Таблица22425[[#This Row],[Стоимость, 
грн]]</f>
        <v>40000</v>
      </c>
      <c r="J50" s="12">
        <f>Таблица22425[[#This Row],[Доход, 
грн/рейс]]/Таблица22425[[#This Row],[Километраж, 
км]]</f>
        <v>70.175438596491233</v>
      </c>
      <c r="K50" s="12">
        <v>40000</v>
      </c>
      <c r="L50" s="12">
        <f>Таблица22425[[#This Row],[СС, 
грн/рейс]]/Таблица22425[[#This Row],[Километраж, 
км]]</f>
        <v>70.175438596491233</v>
      </c>
      <c r="M50" s="26">
        <f>Таблица22425[[#This Row],[Доход, 
грн/рейс]]-Таблица22425[[#This Row],[СС, 
грн/рейс]]</f>
        <v>0</v>
      </c>
      <c r="N50" s="24"/>
      <c r="O50" s="150"/>
    </row>
    <row r="51" spans="1:15" ht="13.8" hidden="1" outlineLevel="1" thickTop="1" x14ac:dyDescent="0.25">
      <c r="A51" s="14" t="s">
        <v>135</v>
      </c>
      <c r="B51" s="62" t="s">
        <v>19</v>
      </c>
      <c r="C51" s="25">
        <v>45539</v>
      </c>
      <c r="D51" s="57" t="s">
        <v>434</v>
      </c>
      <c r="E51" s="24" t="s">
        <v>451</v>
      </c>
      <c r="F51" s="190" t="s">
        <v>452</v>
      </c>
      <c r="G51" s="58">
        <v>24000</v>
      </c>
      <c r="H51" s="60">
        <v>370</v>
      </c>
      <c r="I51" s="60">
        <f>Таблица22425[[#This Row],[Стоимость, 
грн]]</f>
        <v>24000</v>
      </c>
      <c r="J51" s="12">
        <f>Таблица22425[[#This Row],[Доход, 
грн/рейс]]/Таблица22425[[#This Row],[Километраж, 
км]]</f>
        <v>64.86486486486487</v>
      </c>
      <c r="K51" s="12">
        <v>23000</v>
      </c>
      <c r="L51" s="12">
        <f>Таблица22425[[#This Row],[СС, 
грн/рейс]]/Таблица22425[[#This Row],[Километраж, 
км]]</f>
        <v>62.162162162162161</v>
      </c>
      <c r="M51" s="26">
        <f>Таблица22425[[#This Row],[Доход, 
грн/рейс]]-Таблица22425[[#This Row],[СС, 
грн/рейс]]</f>
        <v>1000</v>
      </c>
      <c r="N51" s="24" t="s">
        <v>510</v>
      </c>
      <c r="O51" s="150"/>
    </row>
    <row r="52" spans="1:15" ht="13.8" hidden="1" outlineLevel="1" thickTop="1" x14ac:dyDescent="0.25">
      <c r="A52" s="14" t="s">
        <v>261</v>
      </c>
      <c r="B52" s="62" t="s">
        <v>63</v>
      </c>
      <c r="C52" s="25">
        <v>45539</v>
      </c>
      <c r="D52" s="57" t="s">
        <v>434</v>
      </c>
      <c r="E52" s="24" t="s">
        <v>305</v>
      </c>
      <c r="F52" s="190" t="s">
        <v>193</v>
      </c>
      <c r="G52" s="58">
        <v>40000</v>
      </c>
      <c r="H52" s="56">
        <v>570</v>
      </c>
      <c r="I52" s="60">
        <f>Таблица22425[[#This Row],[Стоимость, 
грн]]</f>
        <v>40000</v>
      </c>
      <c r="J52" s="12">
        <f>Таблица22425[[#This Row],[Доход, 
грн/рейс]]/Таблица22425[[#This Row],[Километраж, 
км]]</f>
        <v>70.175438596491233</v>
      </c>
      <c r="K52" s="12">
        <v>40000</v>
      </c>
      <c r="L52" s="12">
        <f>Таблица22425[[#This Row],[СС, 
грн/рейс]]/Таблица22425[[#This Row],[Километраж, 
км]]</f>
        <v>70.175438596491233</v>
      </c>
      <c r="M52" s="26">
        <f>Таблица22425[[#This Row],[Доход, 
грн/рейс]]-Таблица22425[[#This Row],[СС, 
грн/рейс]]</f>
        <v>0</v>
      </c>
      <c r="N52" s="24"/>
      <c r="O52" s="150"/>
    </row>
    <row r="53" spans="1:15" ht="13.8" hidden="1" outlineLevel="1" thickTop="1" x14ac:dyDescent="0.25">
      <c r="A53" s="14" t="s">
        <v>135</v>
      </c>
      <c r="B53" s="62" t="s">
        <v>19</v>
      </c>
      <c r="C53" s="25">
        <v>45539</v>
      </c>
      <c r="D53" s="57" t="s">
        <v>434</v>
      </c>
      <c r="E53" s="24" t="s">
        <v>445</v>
      </c>
      <c r="F53" s="55" t="s">
        <v>453</v>
      </c>
      <c r="G53" s="73">
        <v>9900</v>
      </c>
      <c r="H53" s="56">
        <v>400</v>
      </c>
      <c r="I53" s="60">
        <f>Таблица22425[[#This Row],[Стоимость, 
грн]]</f>
        <v>9900</v>
      </c>
      <c r="J53" s="12">
        <f>Таблица22425[[#This Row],[Доход, 
грн/рейс]]/Таблица22425[[#This Row],[Километраж, 
км]]</f>
        <v>24.75</v>
      </c>
      <c r="K53" s="12">
        <v>9000</v>
      </c>
      <c r="L53" s="12">
        <f>Таблица22425[[#This Row],[СС, 
грн/рейс]]/Таблица22425[[#This Row],[Километраж, 
км]]</f>
        <v>22.5</v>
      </c>
      <c r="M53" s="26">
        <f>Таблица22425[[#This Row],[Доход, 
грн/рейс]]-Таблица22425[[#This Row],[СС, 
грн/рейс]]</f>
        <v>900</v>
      </c>
      <c r="N53" s="24" t="s">
        <v>505</v>
      </c>
      <c r="O53" s="150"/>
    </row>
    <row r="54" spans="1:15" ht="13.8" hidden="1" outlineLevel="1" thickTop="1" x14ac:dyDescent="0.25">
      <c r="A54" s="14" t="s">
        <v>158</v>
      </c>
      <c r="B54" s="62" t="s">
        <v>63</v>
      </c>
      <c r="C54" s="25">
        <v>45539</v>
      </c>
      <c r="D54" s="57" t="s">
        <v>461</v>
      </c>
      <c r="E54" s="24" t="s">
        <v>450</v>
      </c>
      <c r="F54" s="190" t="s">
        <v>195</v>
      </c>
      <c r="G54" s="73">
        <v>44000</v>
      </c>
      <c r="H54" s="60">
        <v>595</v>
      </c>
      <c r="I54" s="60">
        <f>Таблица22425[[#This Row],[Стоимость, 
грн]]</f>
        <v>44000</v>
      </c>
      <c r="J54" s="12">
        <f>Таблица22425[[#This Row],[Доход, 
грн/рейс]]/Таблица22425[[#This Row],[Километраж, 
км]]</f>
        <v>73.949579831932766</v>
      </c>
      <c r="K54" s="12">
        <v>40000</v>
      </c>
      <c r="L54" s="12">
        <f>Таблица22425[[#This Row],[СС, 
грн/рейс]]/Таблица22425[[#This Row],[Километраж, 
км]]</f>
        <v>67.226890756302524</v>
      </c>
      <c r="M54" s="26">
        <f>Таблица22425[[#This Row],[Доход, 
грн/рейс]]-Таблица22425[[#This Row],[СС, 
грн/рейс]]</f>
        <v>4000</v>
      </c>
      <c r="N54" s="24" t="s">
        <v>499</v>
      </c>
      <c r="O54" s="150"/>
    </row>
    <row r="55" spans="1:15" ht="13.8" hidden="1" outlineLevel="1" thickTop="1" x14ac:dyDescent="0.25">
      <c r="A55" s="14" t="s">
        <v>158</v>
      </c>
      <c r="B55" s="62" t="s">
        <v>19</v>
      </c>
      <c r="C55" s="25">
        <v>45539</v>
      </c>
      <c r="D55" s="57" t="s">
        <v>462</v>
      </c>
      <c r="E55" s="24" t="s">
        <v>454</v>
      </c>
      <c r="F55" s="190" t="s">
        <v>455</v>
      </c>
      <c r="G55" s="58">
        <v>42000</v>
      </c>
      <c r="H55" s="56">
        <v>490</v>
      </c>
      <c r="I55" s="60">
        <f>Таблица22425[[#This Row],[Стоимость, 
грн]]</f>
        <v>42000</v>
      </c>
      <c r="J55" s="12">
        <f>Таблица22425[[#This Row],[Доход, 
грн/рейс]]/Таблица22425[[#This Row],[Километраж, 
км]]</f>
        <v>85.714285714285708</v>
      </c>
      <c r="K55" s="12">
        <v>42000</v>
      </c>
      <c r="L55" s="12">
        <f>Таблица22425[[#This Row],[СС, 
грн/рейс]]/Таблица22425[[#This Row],[Километраж, 
км]]</f>
        <v>85.714285714285708</v>
      </c>
      <c r="M55" s="26">
        <f>Таблица22425[[#This Row],[Доход, 
грн/рейс]]-Таблица22425[[#This Row],[СС, 
грн/рейс]]</f>
        <v>0</v>
      </c>
      <c r="N55" s="24" t="s">
        <v>503</v>
      </c>
      <c r="O55" s="150"/>
    </row>
    <row r="56" spans="1:15" ht="13.8" hidden="1" outlineLevel="1" thickTop="1" x14ac:dyDescent="0.25">
      <c r="A56" s="14" t="s">
        <v>158</v>
      </c>
      <c r="B56" s="62" t="s">
        <v>63</v>
      </c>
      <c r="C56" s="25">
        <v>45539</v>
      </c>
      <c r="D56" s="57" t="s">
        <v>462</v>
      </c>
      <c r="E56" s="24" t="s">
        <v>454</v>
      </c>
      <c r="F56" s="190" t="s">
        <v>193</v>
      </c>
      <c r="G56" s="58">
        <v>39200</v>
      </c>
      <c r="H56" s="56">
        <v>490</v>
      </c>
      <c r="I56" s="60">
        <f>Таблица22425[[#This Row],[Стоимость, 
грн]]</f>
        <v>39200</v>
      </c>
      <c r="J56" s="12">
        <f>Таблица22425[[#This Row],[Доход, 
грн/рейс]]/Таблица22425[[#This Row],[Километраж, 
км]]</f>
        <v>80</v>
      </c>
      <c r="K56" s="12">
        <v>37000</v>
      </c>
      <c r="L56" s="12">
        <f>Таблица22425[[#This Row],[СС, 
грн/рейс]]/Таблица22425[[#This Row],[Километраж, 
км]]</f>
        <v>75.510204081632651</v>
      </c>
      <c r="M56" s="26">
        <f>Таблица22425[[#This Row],[Доход, 
грн/рейс]]-Таблица22425[[#This Row],[СС, 
грн/рейс]]</f>
        <v>2200</v>
      </c>
      <c r="N56" s="24" t="s">
        <v>502</v>
      </c>
      <c r="O56" s="150"/>
    </row>
    <row r="57" spans="1:15" ht="13.8" hidden="1" outlineLevel="1" thickTop="1" x14ac:dyDescent="0.25">
      <c r="A57" s="14" t="s">
        <v>158</v>
      </c>
      <c r="B57" s="62" t="s">
        <v>63</v>
      </c>
      <c r="C57" s="25">
        <v>45539</v>
      </c>
      <c r="D57" s="57" t="s">
        <v>462</v>
      </c>
      <c r="E57" s="24" t="s">
        <v>454</v>
      </c>
      <c r="F57" s="190" t="s">
        <v>193</v>
      </c>
      <c r="G57" s="58">
        <v>39200</v>
      </c>
      <c r="H57" s="60">
        <v>490</v>
      </c>
      <c r="I57" s="60">
        <f>Таблица22425[[#This Row],[Стоимость, 
грн]]</f>
        <v>39200</v>
      </c>
      <c r="J57" s="12">
        <f>Таблица22425[[#This Row],[Доход, 
грн/рейс]]/Таблица22425[[#This Row],[Километраж, 
км]]</f>
        <v>80</v>
      </c>
      <c r="K57" s="12">
        <v>37000</v>
      </c>
      <c r="L57" s="12">
        <f>Таблица22425[[#This Row],[СС, 
грн/рейс]]/Таблица22425[[#This Row],[Километраж, 
км]]</f>
        <v>75.510204081632651</v>
      </c>
      <c r="M57" s="26">
        <f>Таблица22425[[#This Row],[Доход, 
грн/рейс]]-Таблица22425[[#This Row],[СС, 
грн/рейс]]</f>
        <v>2200</v>
      </c>
      <c r="N57" s="24" t="s">
        <v>502</v>
      </c>
      <c r="O57" s="150"/>
    </row>
    <row r="58" spans="1:15" ht="13.8" hidden="1" outlineLevel="1" thickTop="1" x14ac:dyDescent="0.25">
      <c r="A58" s="14" t="s">
        <v>135</v>
      </c>
      <c r="B58" s="62" t="s">
        <v>63</v>
      </c>
      <c r="C58" s="25">
        <v>45539</v>
      </c>
      <c r="D58" s="57" t="s">
        <v>462</v>
      </c>
      <c r="E58" s="24" t="s">
        <v>445</v>
      </c>
      <c r="F58" s="190" t="s">
        <v>456</v>
      </c>
      <c r="G58" s="58">
        <v>24000</v>
      </c>
      <c r="H58" s="56">
        <v>400</v>
      </c>
      <c r="I58" s="60">
        <f>Таблица22425[[#This Row],[Стоимость, 
грн]]</f>
        <v>24000</v>
      </c>
      <c r="J58" s="12">
        <f>Таблица22425[[#This Row],[Доход, 
грн/рейс]]/Таблица22425[[#This Row],[Километраж, 
км]]</f>
        <v>60</v>
      </c>
      <c r="K58" s="12">
        <v>22000</v>
      </c>
      <c r="L58" s="12">
        <f>Таблица22425[[#This Row],[СС, 
грн/рейс]]/Таблица22425[[#This Row],[Километраж, 
км]]</f>
        <v>55</v>
      </c>
      <c r="M58" s="26">
        <f>Таблица22425[[#This Row],[Доход, 
грн/рейс]]-Таблица22425[[#This Row],[СС, 
грн/рейс]]</f>
        <v>2000</v>
      </c>
      <c r="N58" s="24" t="s">
        <v>506</v>
      </c>
      <c r="O58" s="150"/>
    </row>
    <row r="59" spans="1:15" ht="13.8" hidden="1" outlineLevel="1" thickTop="1" x14ac:dyDescent="0.25">
      <c r="A59" s="14" t="s">
        <v>135</v>
      </c>
      <c r="B59" s="62" t="s">
        <v>63</v>
      </c>
      <c r="C59" s="25">
        <v>45539</v>
      </c>
      <c r="D59" s="57" t="s">
        <v>463</v>
      </c>
      <c r="E59" s="24" t="s">
        <v>445</v>
      </c>
      <c r="F59" s="190" t="s">
        <v>219</v>
      </c>
      <c r="G59" s="58">
        <v>26000</v>
      </c>
      <c r="H59" s="56">
        <v>400</v>
      </c>
      <c r="I59" s="60">
        <f>Таблица22425[[#This Row],[Стоимость, 
грн]]</f>
        <v>26000</v>
      </c>
      <c r="J59" s="12">
        <f>Таблица22425[[#This Row],[Доход, 
грн/рейс]]/Таблица22425[[#This Row],[Километраж, 
км]]</f>
        <v>65</v>
      </c>
      <c r="K59" s="12">
        <v>26000</v>
      </c>
      <c r="L59" s="12">
        <f>Таблица22425[[#This Row],[СС, 
грн/рейс]]/Таблица22425[[#This Row],[Километраж, 
км]]</f>
        <v>65</v>
      </c>
      <c r="M59" s="26">
        <f>Таблица22425[[#This Row],[Доход, 
грн/рейс]]-Таблица22425[[#This Row],[СС, 
грн/рейс]]</f>
        <v>0</v>
      </c>
      <c r="N59" s="24" t="s">
        <v>507</v>
      </c>
      <c r="O59" s="150"/>
    </row>
    <row r="60" spans="1:15" ht="13.8" hidden="1" outlineLevel="1" thickTop="1" x14ac:dyDescent="0.25">
      <c r="A60" s="14" t="s">
        <v>135</v>
      </c>
      <c r="B60" s="62" t="s">
        <v>19</v>
      </c>
      <c r="C60" s="25">
        <v>45539</v>
      </c>
      <c r="D60" s="57" t="s">
        <v>412</v>
      </c>
      <c r="E60" s="24" t="s">
        <v>445</v>
      </c>
      <c r="F60" s="190" t="s">
        <v>219</v>
      </c>
      <c r="G60" s="58">
        <v>20000</v>
      </c>
      <c r="H60" s="60">
        <v>400</v>
      </c>
      <c r="I60" s="60">
        <f>Таблица22425[[#This Row],[Стоимость, 
грн]]</f>
        <v>20000</v>
      </c>
      <c r="J60" s="12">
        <f>Таблица22425[[#This Row],[Доход, 
грн/рейс]]/Таблица22425[[#This Row],[Километраж, 
км]]</f>
        <v>50</v>
      </c>
      <c r="K60" s="12">
        <v>20000</v>
      </c>
      <c r="L60" s="12">
        <f>Таблица22425[[#This Row],[СС, 
грн/рейс]]/Таблица22425[[#This Row],[Километраж, 
км]]</f>
        <v>50</v>
      </c>
      <c r="M60" s="26">
        <f>Таблица22425[[#This Row],[Доход, 
грн/рейс]]-Таблица22425[[#This Row],[СС, 
грн/рейс]]</f>
        <v>0</v>
      </c>
      <c r="N60" s="24"/>
      <c r="O60" s="150"/>
    </row>
    <row r="61" spans="1:15" ht="13.8" hidden="1" outlineLevel="1" thickTop="1" x14ac:dyDescent="0.25">
      <c r="A61" s="124" t="s">
        <v>158</v>
      </c>
      <c r="B61" s="125" t="s">
        <v>63</v>
      </c>
      <c r="C61" s="126">
        <v>45539</v>
      </c>
      <c r="D61" s="127" t="s">
        <v>464</v>
      </c>
      <c r="E61" s="128" t="s">
        <v>457</v>
      </c>
      <c r="F61" s="191" t="s">
        <v>193</v>
      </c>
      <c r="G61" s="130">
        <v>39600</v>
      </c>
      <c r="H61" s="131">
        <v>495</v>
      </c>
      <c r="I61" s="60">
        <f>Таблица22425[[#This Row],[Стоимость, 
грн]]</f>
        <v>39600</v>
      </c>
      <c r="J61" s="12">
        <f>Таблица22425[[#This Row],[Доход, 
грн/рейс]]/Таблица22425[[#This Row],[Километраж, 
км]]</f>
        <v>80</v>
      </c>
      <c r="K61" s="12">
        <v>37000</v>
      </c>
      <c r="L61" s="12">
        <f>Таблица22425[[#This Row],[СС, 
грн/рейс]]/Таблица22425[[#This Row],[Километраж, 
км]]</f>
        <v>74.747474747474755</v>
      </c>
      <c r="M61" s="26">
        <f>Таблица22425[[#This Row],[Доход, 
грн/рейс]]-Таблица22425[[#This Row],[СС, 
грн/рейс]]</f>
        <v>2600</v>
      </c>
      <c r="N61" s="24" t="s">
        <v>579</v>
      </c>
      <c r="O61" s="150"/>
    </row>
    <row r="62" spans="1:15" ht="13.8" hidden="1" outlineLevel="1" thickTop="1" x14ac:dyDescent="0.25">
      <c r="A62" s="124" t="s">
        <v>158</v>
      </c>
      <c r="B62" s="125" t="s">
        <v>63</v>
      </c>
      <c r="C62" s="126">
        <v>45539</v>
      </c>
      <c r="D62" s="127" t="s">
        <v>464</v>
      </c>
      <c r="E62" s="128" t="s">
        <v>457</v>
      </c>
      <c r="F62" s="191" t="s">
        <v>193</v>
      </c>
      <c r="G62" s="130">
        <v>39600</v>
      </c>
      <c r="H62" s="131">
        <v>495</v>
      </c>
      <c r="I62" s="60">
        <f>Таблица22425[[#This Row],[Стоимость, 
грн]]</f>
        <v>39600</v>
      </c>
      <c r="J62" s="12">
        <f>Таблица22425[[#This Row],[Доход, 
грн/рейс]]/Таблица22425[[#This Row],[Километраж, 
км]]</f>
        <v>80</v>
      </c>
      <c r="K62" s="12">
        <v>37000</v>
      </c>
      <c r="L62" s="12">
        <f>Таблица22425[[#This Row],[СС, 
грн/рейс]]/Таблица22425[[#This Row],[Километраж, 
км]]</f>
        <v>74.747474747474755</v>
      </c>
      <c r="M62" s="26">
        <f>Таблица22425[[#This Row],[Доход, 
грн/рейс]]-Таблица22425[[#This Row],[СС, 
грн/рейс]]</f>
        <v>2600</v>
      </c>
      <c r="N62" s="24" t="s">
        <v>579</v>
      </c>
      <c r="O62" s="150"/>
    </row>
    <row r="63" spans="1:15" ht="13.8" hidden="1" outlineLevel="1" thickTop="1" x14ac:dyDescent="0.25">
      <c r="A63" s="124" t="s">
        <v>261</v>
      </c>
      <c r="B63" s="125" t="s">
        <v>19</v>
      </c>
      <c r="C63" s="126">
        <v>45539</v>
      </c>
      <c r="D63" s="127" t="s">
        <v>465</v>
      </c>
      <c r="E63" s="128" t="s">
        <v>305</v>
      </c>
      <c r="F63" s="129" t="s">
        <v>195</v>
      </c>
      <c r="G63" s="130">
        <v>16500</v>
      </c>
      <c r="H63" s="131">
        <v>610</v>
      </c>
      <c r="I63" s="60">
        <f>Таблица22425[[#This Row],[Стоимость, 
грн]]</f>
        <v>16500</v>
      </c>
      <c r="J63" s="12">
        <f>Таблица22425[[#This Row],[Доход, 
грн/рейс]]/Таблица22425[[#This Row],[Километраж, 
км]]</f>
        <v>27.049180327868854</v>
      </c>
      <c r="K63" s="12">
        <v>15000</v>
      </c>
      <c r="L63" s="12">
        <f>Таблица22425[[#This Row],[СС, 
грн/рейс]]/Таблица22425[[#This Row],[Километраж, 
км]]</f>
        <v>24.590163934426229</v>
      </c>
      <c r="M63" s="26">
        <f>Таблица22425[[#This Row],[Доход, 
грн/рейс]]-Таблица22425[[#This Row],[СС, 
грн/рейс]]</f>
        <v>1500</v>
      </c>
      <c r="N63" s="24"/>
      <c r="O63" s="150"/>
    </row>
    <row r="64" spans="1:15" ht="13.8" hidden="1" outlineLevel="1" thickTop="1" x14ac:dyDescent="0.25">
      <c r="A64" s="124" t="s">
        <v>158</v>
      </c>
      <c r="B64" s="125" t="s">
        <v>466</v>
      </c>
      <c r="C64" s="126">
        <v>45539</v>
      </c>
      <c r="D64" s="127" t="s">
        <v>467</v>
      </c>
      <c r="E64" s="128" t="s">
        <v>450</v>
      </c>
      <c r="F64" s="129" t="s">
        <v>195</v>
      </c>
      <c r="G64" s="130">
        <v>11000</v>
      </c>
      <c r="H64" s="131">
        <v>595</v>
      </c>
      <c r="I64" s="60">
        <f>Таблица22425[[#This Row],[Стоимость, 
грн]]</f>
        <v>11000</v>
      </c>
      <c r="J64" s="12">
        <f>Таблица22425[[#This Row],[Доход, 
грн/рейс]]/Таблица22425[[#This Row],[Километраж, 
км]]</f>
        <v>18.487394957983192</v>
      </c>
      <c r="K64" s="12">
        <v>10000</v>
      </c>
      <c r="L64" s="12">
        <f>Таблица22425[[#This Row],[СС, 
грн/рейс]]/Таблица22425[[#This Row],[Километраж, 
км]]</f>
        <v>16.806722689075631</v>
      </c>
      <c r="M64" s="26">
        <f>Таблица22425[[#This Row],[Доход, 
грн/рейс]]-Таблица22425[[#This Row],[СС, 
грн/рейс]]</f>
        <v>1000</v>
      </c>
      <c r="N64" s="24" t="s">
        <v>577</v>
      </c>
      <c r="O64" s="150"/>
    </row>
    <row r="65" spans="1:15" ht="13.8" hidden="1" outlineLevel="1" thickTop="1" x14ac:dyDescent="0.25">
      <c r="A65" s="124" t="s">
        <v>158</v>
      </c>
      <c r="B65" s="125" t="s">
        <v>19</v>
      </c>
      <c r="C65" s="126">
        <v>45539</v>
      </c>
      <c r="D65" s="127" t="s">
        <v>467</v>
      </c>
      <c r="E65" s="128" t="s">
        <v>454</v>
      </c>
      <c r="F65" s="191" t="s">
        <v>195</v>
      </c>
      <c r="G65" s="130">
        <v>36200</v>
      </c>
      <c r="H65" s="131">
        <v>490</v>
      </c>
      <c r="I65" s="60">
        <f>Таблица22425[[#This Row],[Стоимость, 
грн]]</f>
        <v>36200</v>
      </c>
      <c r="J65" s="12">
        <f>Таблица22425[[#This Row],[Доход, 
грн/рейс]]/Таблица22425[[#This Row],[Километраж, 
км]]</f>
        <v>73.877551020408163</v>
      </c>
      <c r="K65" s="12">
        <v>34500</v>
      </c>
      <c r="L65" s="12">
        <f>Таблица22425[[#This Row],[СС, 
грн/рейс]]/Таблица22425[[#This Row],[Километраж, 
км]]</f>
        <v>70.408163265306129</v>
      </c>
      <c r="M65" s="26">
        <f>Таблица22425[[#This Row],[Доход, 
грн/рейс]]-Таблица22425[[#This Row],[СС, 
грн/рейс]]</f>
        <v>1700</v>
      </c>
      <c r="N65" s="24" t="s">
        <v>578</v>
      </c>
      <c r="O65" s="150"/>
    </row>
    <row r="66" spans="1:15" ht="13.8" hidden="1" outlineLevel="1" thickTop="1" x14ac:dyDescent="0.25">
      <c r="A66" s="124" t="s">
        <v>158</v>
      </c>
      <c r="B66" s="125" t="s">
        <v>515</v>
      </c>
      <c r="C66" s="126">
        <v>45539</v>
      </c>
      <c r="D66" s="127" t="s">
        <v>516</v>
      </c>
      <c r="E66" s="128" t="s">
        <v>517</v>
      </c>
      <c r="F66" s="191" t="s">
        <v>193</v>
      </c>
      <c r="G66" s="130">
        <v>59200</v>
      </c>
      <c r="H66" s="131">
        <v>740</v>
      </c>
      <c r="I66" s="60">
        <f>Таблица22425[[#This Row],[Стоимость, 
грн]]</f>
        <v>59200</v>
      </c>
      <c r="J66" s="12">
        <f>Таблица22425[[#This Row],[Доход, 
грн/рейс]]/Таблица22425[[#This Row],[Километраж, 
км]]</f>
        <v>80</v>
      </c>
      <c r="K66" s="12">
        <v>53000</v>
      </c>
      <c r="L66" s="12">
        <f>Таблица22425[[#This Row],[СС, 
грн/рейс]]/Таблица22425[[#This Row],[Километраж, 
км]]</f>
        <v>71.621621621621628</v>
      </c>
      <c r="M66" s="26">
        <f>Таблица22425[[#This Row],[Доход, 
грн/рейс]]-Таблица22425[[#This Row],[СС, 
грн/рейс]]</f>
        <v>6200</v>
      </c>
      <c r="N66" s="24" t="s">
        <v>576</v>
      </c>
      <c r="O66" s="150"/>
    </row>
    <row r="67" spans="1:15" ht="13.8" hidden="1" outlineLevel="1" thickTop="1" x14ac:dyDescent="0.25">
      <c r="A67" s="124" t="s">
        <v>158</v>
      </c>
      <c r="B67" s="125" t="s">
        <v>515</v>
      </c>
      <c r="C67" s="126">
        <v>45539</v>
      </c>
      <c r="D67" s="127" t="s">
        <v>516</v>
      </c>
      <c r="E67" s="128" t="s">
        <v>517</v>
      </c>
      <c r="F67" s="191" t="s">
        <v>193</v>
      </c>
      <c r="G67" s="130">
        <v>59200</v>
      </c>
      <c r="H67" s="131">
        <v>740</v>
      </c>
      <c r="I67" s="60">
        <f>Таблица22425[[#This Row],[Стоимость, 
грн]]</f>
        <v>59200</v>
      </c>
      <c r="J67" s="12">
        <f>Таблица22425[[#This Row],[Доход, 
грн/рейс]]/Таблица22425[[#This Row],[Километраж, 
км]]</f>
        <v>80</v>
      </c>
      <c r="K67" s="12">
        <v>53000</v>
      </c>
      <c r="L67" s="12">
        <f>Таблица22425[[#This Row],[СС, 
грн/рейс]]/Таблица22425[[#This Row],[Километраж, 
км]]</f>
        <v>71.621621621621628</v>
      </c>
      <c r="M67" s="26">
        <f>Таблица22425[[#This Row],[Доход, 
грн/рейс]]-Таблица22425[[#This Row],[СС, 
грн/рейс]]</f>
        <v>6200</v>
      </c>
      <c r="N67" s="24" t="s">
        <v>576</v>
      </c>
      <c r="O67" s="150"/>
    </row>
    <row r="68" spans="1:15" ht="13.8" hidden="1" outlineLevel="1" thickTop="1" x14ac:dyDescent="0.25">
      <c r="A68" s="124" t="s">
        <v>261</v>
      </c>
      <c r="B68" s="125" t="s">
        <v>19</v>
      </c>
      <c r="C68" s="126">
        <v>45539</v>
      </c>
      <c r="D68" s="127" t="s">
        <v>516</v>
      </c>
      <c r="E68" s="128" t="s">
        <v>518</v>
      </c>
      <c r="F68" s="191" t="s">
        <v>193</v>
      </c>
      <c r="G68" s="130">
        <v>35000</v>
      </c>
      <c r="H68" s="131">
        <v>530</v>
      </c>
      <c r="I68" s="60">
        <f>Таблица22425[[#This Row],[Стоимость, 
грн]]</f>
        <v>35000</v>
      </c>
      <c r="J68" s="12">
        <f>Таблица22425[[#This Row],[Доход, 
грн/рейс]]/Таблица22425[[#This Row],[Километраж, 
км]]</f>
        <v>66.037735849056602</v>
      </c>
      <c r="K68" s="12">
        <v>35000</v>
      </c>
      <c r="L68" s="12">
        <f>Таблица22425[[#This Row],[СС, 
грн/рейс]]/Таблица22425[[#This Row],[Километраж, 
км]]</f>
        <v>66.037735849056602</v>
      </c>
      <c r="M68" s="26">
        <f>Таблица22425[[#This Row],[Доход, 
грн/рейс]]-Таблица22425[[#This Row],[СС, 
грн/рейс]]</f>
        <v>0</v>
      </c>
      <c r="N68" s="24"/>
      <c r="O68" s="150"/>
    </row>
    <row r="69" spans="1:15" ht="13.8" hidden="1" outlineLevel="1" thickTop="1" x14ac:dyDescent="0.25">
      <c r="A69" s="124" t="s">
        <v>418</v>
      </c>
      <c r="B69" s="125" t="s">
        <v>515</v>
      </c>
      <c r="C69" s="126">
        <v>45539</v>
      </c>
      <c r="D69" s="127" t="s">
        <v>516</v>
      </c>
      <c r="E69" s="128" t="s">
        <v>519</v>
      </c>
      <c r="F69" s="191" t="s">
        <v>219</v>
      </c>
      <c r="G69" s="130">
        <v>40000</v>
      </c>
      <c r="H69" s="131">
        <v>610</v>
      </c>
      <c r="I69" s="60">
        <f>Таблица22425[[#This Row],[Стоимость, 
грн]]</f>
        <v>40000</v>
      </c>
      <c r="J69" s="12">
        <f>Таблица22425[[#This Row],[Доход, 
грн/рейс]]/Таблица22425[[#This Row],[Километраж, 
км]]</f>
        <v>65.573770491803273</v>
      </c>
      <c r="K69" s="12">
        <v>39000</v>
      </c>
      <c r="L69" s="12">
        <f>Таблица22425[[#This Row],[СС, 
грн/рейс]]/Таблица22425[[#This Row],[Километраж, 
км]]</f>
        <v>63.934426229508198</v>
      </c>
      <c r="M69" s="26">
        <f>Таблица22425[[#This Row],[Доход, 
грн/рейс]]-Таблица22425[[#This Row],[СС, 
грн/рейс]]</f>
        <v>1000</v>
      </c>
      <c r="N69" s="24"/>
      <c r="O69" s="150"/>
    </row>
    <row r="70" spans="1:15" ht="13.8" hidden="1" outlineLevel="1" collapsed="1" thickTop="1" x14ac:dyDescent="0.25">
      <c r="A70" s="124" t="s">
        <v>418</v>
      </c>
      <c r="B70" s="125" t="s">
        <v>466</v>
      </c>
      <c r="C70" s="126">
        <v>45566</v>
      </c>
      <c r="D70" s="127" t="s">
        <v>520</v>
      </c>
      <c r="E70" s="128" t="s">
        <v>447</v>
      </c>
      <c r="F70" s="129" t="s">
        <v>138</v>
      </c>
      <c r="G70" s="130">
        <v>11000</v>
      </c>
      <c r="H70" s="131">
        <v>445</v>
      </c>
      <c r="I70" s="60">
        <f>Таблица22425[[#This Row],[Стоимость, 
грн]]</f>
        <v>11000</v>
      </c>
      <c r="J70" s="12">
        <f>Таблица22425[[#This Row],[Доход, 
грн/рейс]]/Таблица22425[[#This Row],[Километраж, 
км]]</f>
        <v>24.719101123595507</v>
      </c>
      <c r="K70" s="12">
        <v>10000</v>
      </c>
      <c r="L70" s="12">
        <f>Таблица22425[[#This Row],[СС, 
грн/рейс]]/Таблица22425[[#This Row],[Километраж, 
км]]</f>
        <v>22.471910112359552</v>
      </c>
      <c r="M70" s="26">
        <f>Таблица22425[[#This Row],[Доход, 
грн/рейс]]-Таблица22425[[#This Row],[СС, 
грн/рейс]]</f>
        <v>1000</v>
      </c>
      <c r="N70" s="24"/>
      <c r="O70" s="150"/>
    </row>
    <row r="71" spans="1:15" ht="13.8" hidden="1" outlineLevel="1" thickTop="1" x14ac:dyDescent="0.25">
      <c r="A71" s="124" t="s">
        <v>158</v>
      </c>
      <c r="B71" s="125" t="s">
        <v>526</v>
      </c>
      <c r="C71" s="126">
        <v>45567</v>
      </c>
      <c r="D71" s="127" t="s">
        <v>527</v>
      </c>
      <c r="E71" s="128" t="s">
        <v>457</v>
      </c>
      <c r="F71" s="191" t="s">
        <v>195</v>
      </c>
      <c r="G71" s="130">
        <v>35200</v>
      </c>
      <c r="H71" s="131">
        <v>495</v>
      </c>
      <c r="I71" s="60">
        <f>Таблица22425[[#This Row],[Стоимость, 
грн]]</f>
        <v>35200</v>
      </c>
      <c r="J71" s="12">
        <f>Таблица22425[[#This Row],[Доход, 
грн/рейс]]/Таблица22425[[#This Row],[Километраж, 
км]]</f>
        <v>71.111111111111114</v>
      </c>
      <c r="K71" s="12">
        <v>32000</v>
      </c>
      <c r="L71" s="12">
        <f>Таблица22425[[#This Row],[СС, 
грн/рейс]]/Таблица22425[[#This Row],[Километраж, 
км]]</f>
        <v>64.646464646464651</v>
      </c>
      <c r="M71" s="26">
        <f>Таблица22425[[#This Row],[Доход, 
грн/рейс]]-Таблица22425[[#This Row],[СС, 
грн/рейс]]</f>
        <v>3200</v>
      </c>
      <c r="N71" s="24"/>
      <c r="O71" s="150"/>
    </row>
    <row r="72" spans="1:15" ht="13.8" hidden="1" outlineLevel="1" thickTop="1" x14ac:dyDescent="0.25">
      <c r="A72" s="124" t="s">
        <v>158</v>
      </c>
      <c r="B72" s="125" t="s">
        <v>526</v>
      </c>
      <c r="C72" s="126">
        <v>45568</v>
      </c>
      <c r="D72" s="127" t="s">
        <v>528</v>
      </c>
      <c r="E72" s="128" t="s">
        <v>517</v>
      </c>
      <c r="F72" s="191" t="s">
        <v>195</v>
      </c>
      <c r="G72" s="130">
        <v>58800</v>
      </c>
      <c r="H72" s="131">
        <v>740</v>
      </c>
      <c r="I72" s="60">
        <f>Таблица22425[[#This Row],[Стоимость, 
грн]]</f>
        <v>58800</v>
      </c>
      <c r="J72" s="12">
        <f>Таблица22425[[#This Row],[Доход, 
грн/рейс]]/Таблица22425[[#This Row],[Километраж, 
км]]</f>
        <v>79.459459459459453</v>
      </c>
      <c r="K72" s="12">
        <v>56000</v>
      </c>
      <c r="L72" s="12">
        <f>Таблица22425[[#This Row],[СС, 
грн/рейс]]/Таблица22425[[#This Row],[Километраж, 
км]]</f>
        <v>75.675675675675677</v>
      </c>
      <c r="M72" s="26">
        <f>Таблица22425[[#This Row],[Доход, 
грн/рейс]]-Таблица22425[[#This Row],[СС, 
грн/рейс]]</f>
        <v>2800</v>
      </c>
      <c r="N72" s="24"/>
      <c r="O72" s="150"/>
    </row>
    <row r="73" spans="1:15" ht="13.8" hidden="1" outlineLevel="1" thickTop="1" x14ac:dyDescent="0.25">
      <c r="A73" s="124" t="s">
        <v>135</v>
      </c>
      <c r="B73" s="125" t="s">
        <v>526</v>
      </c>
      <c r="C73" s="126">
        <v>45568</v>
      </c>
      <c r="D73" s="127" t="s">
        <v>529</v>
      </c>
      <c r="E73" s="128" t="s">
        <v>530</v>
      </c>
      <c r="F73" s="191" t="s">
        <v>219</v>
      </c>
      <c r="G73" s="130">
        <v>48400</v>
      </c>
      <c r="H73" s="131">
        <v>750</v>
      </c>
      <c r="I73" s="60">
        <f>Таблица22425[[#This Row],[Стоимость, 
грн]]</f>
        <v>48400</v>
      </c>
      <c r="J73" s="12">
        <f>Таблица22425[[#This Row],[Доход, 
грн/рейс]]/Таблица22425[[#This Row],[Километраж, 
км]]</f>
        <v>64.533333333333331</v>
      </c>
      <c r="K73" s="12">
        <v>44000</v>
      </c>
      <c r="L73" s="12">
        <f>Таблица22425[[#This Row],[СС, 
грн/рейс]]/Таблица22425[[#This Row],[Километраж, 
км]]</f>
        <v>58.666666666666664</v>
      </c>
      <c r="M73" s="26">
        <f>Таблица22425[[#This Row],[Доход, 
грн/рейс]]-Таблица22425[[#This Row],[СС, 
грн/рейс]]</f>
        <v>4400</v>
      </c>
      <c r="N73" s="24"/>
      <c r="O73" s="150"/>
    </row>
    <row r="74" spans="1:15" ht="13.8" hidden="1" outlineLevel="1" thickTop="1" x14ac:dyDescent="0.25">
      <c r="A74" s="124" t="s">
        <v>135</v>
      </c>
      <c r="B74" s="125" t="s">
        <v>526</v>
      </c>
      <c r="C74" s="126">
        <v>45568</v>
      </c>
      <c r="D74" s="127" t="s">
        <v>529</v>
      </c>
      <c r="E74" s="128" t="s">
        <v>530</v>
      </c>
      <c r="F74" s="191" t="s">
        <v>219</v>
      </c>
      <c r="G74" s="130">
        <v>48400</v>
      </c>
      <c r="H74" s="131">
        <v>750</v>
      </c>
      <c r="I74" s="60">
        <f>Таблица22425[[#This Row],[Стоимость, 
грн]]</f>
        <v>48400</v>
      </c>
      <c r="J74" s="12">
        <f>Таблица22425[[#This Row],[Доход, 
грн/рейс]]/Таблица22425[[#This Row],[Километраж, 
км]]</f>
        <v>64.533333333333331</v>
      </c>
      <c r="K74" s="12">
        <v>44000</v>
      </c>
      <c r="L74" s="12">
        <f>Таблица22425[[#This Row],[СС, 
грн/рейс]]/Таблица22425[[#This Row],[Километраж, 
км]]</f>
        <v>58.666666666666664</v>
      </c>
      <c r="M74" s="26">
        <f>Таблица22425[[#This Row],[Доход, 
грн/рейс]]-Таблица22425[[#This Row],[СС, 
грн/рейс]]</f>
        <v>4400</v>
      </c>
      <c r="N74" s="24"/>
      <c r="O74" s="150"/>
    </row>
    <row r="75" spans="1:15" ht="13.8" hidden="1" outlineLevel="1" thickTop="1" x14ac:dyDescent="0.25">
      <c r="A75" s="124" t="s">
        <v>135</v>
      </c>
      <c r="B75" s="125" t="s">
        <v>19</v>
      </c>
      <c r="C75" s="126">
        <v>45568</v>
      </c>
      <c r="D75" s="127" t="s">
        <v>531</v>
      </c>
      <c r="E75" s="128" t="s">
        <v>530</v>
      </c>
      <c r="F75" s="129" t="s">
        <v>532</v>
      </c>
      <c r="G75" s="130">
        <v>33000</v>
      </c>
      <c r="H75" s="131">
        <v>750</v>
      </c>
      <c r="I75" s="60">
        <f>Таблица22425[[#This Row],[Стоимость, 
грн]]</f>
        <v>33000</v>
      </c>
      <c r="J75" s="12">
        <f>Таблица22425[[#This Row],[Доход, 
грн/рейс]]/Таблица22425[[#This Row],[Километраж, 
км]]</f>
        <v>44</v>
      </c>
      <c r="K75" s="12">
        <v>30000</v>
      </c>
      <c r="L75" s="12">
        <f>Таблица22425[[#This Row],[СС, 
грн/рейс]]/Таблица22425[[#This Row],[Километраж, 
км]]</f>
        <v>40</v>
      </c>
      <c r="M75" s="26">
        <f>Таблица22425[[#This Row],[Доход, 
грн/рейс]]-Таблица22425[[#This Row],[СС, 
грн/рейс]]</f>
        <v>3000</v>
      </c>
      <c r="N75" s="24"/>
      <c r="O75" s="150"/>
    </row>
    <row r="76" spans="1:15" ht="13.8" hidden="1" outlineLevel="1" thickTop="1" x14ac:dyDescent="0.25">
      <c r="A76" s="124" t="s">
        <v>418</v>
      </c>
      <c r="B76" s="125" t="s">
        <v>515</v>
      </c>
      <c r="C76" s="126">
        <v>45568</v>
      </c>
      <c r="D76" s="127" t="s">
        <v>531</v>
      </c>
      <c r="E76" s="128" t="s">
        <v>533</v>
      </c>
      <c r="F76" s="191" t="s">
        <v>219</v>
      </c>
      <c r="G76" s="130">
        <v>31500</v>
      </c>
      <c r="H76" s="131">
        <v>450</v>
      </c>
      <c r="I76" s="60">
        <f>Таблица22425[[#This Row],[Стоимость, 
грн]]</f>
        <v>31500</v>
      </c>
      <c r="J76" s="12">
        <f>Таблица22425[[#This Row],[Доход, 
грн/рейс]]/Таблица22425[[#This Row],[Километраж, 
км]]</f>
        <v>70</v>
      </c>
      <c r="K76" s="12">
        <v>30000</v>
      </c>
      <c r="L76" s="12">
        <f>Таблица22425[[#This Row],[СС, 
грн/рейс]]/Таблица22425[[#This Row],[Километраж, 
км]]</f>
        <v>66.666666666666671</v>
      </c>
      <c r="M76" s="26">
        <f>Таблица22425[[#This Row],[Доход, 
грн/рейс]]-Таблица22425[[#This Row],[СС, 
грн/рейс]]</f>
        <v>1500</v>
      </c>
      <c r="N76" s="24"/>
      <c r="O76" s="150"/>
    </row>
    <row r="77" spans="1:15" ht="13.8" hidden="1" outlineLevel="1" thickTop="1" x14ac:dyDescent="0.25">
      <c r="A77" s="124" t="s">
        <v>135</v>
      </c>
      <c r="B77" s="125" t="s">
        <v>526</v>
      </c>
      <c r="C77" s="126">
        <v>45568</v>
      </c>
      <c r="D77" s="127" t="s">
        <v>534</v>
      </c>
      <c r="E77" s="128" t="s">
        <v>535</v>
      </c>
      <c r="F77" s="191" t="s">
        <v>40</v>
      </c>
      <c r="G77" s="130">
        <v>14300</v>
      </c>
      <c r="H77" s="131">
        <v>275</v>
      </c>
      <c r="I77" s="60">
        <f>Таблица22425[[#This Row],[Стоимость, 
грн]]</f>
        <v>14300</v>
      </c>
      <c r="J77" s="12">
        <f>Таблица22425[[#This Row],[Доход, 
грн/рейс]]/Таблица22425[[#This Row],[Километраж, 
км]]</f>
        <v>52</v>
      </c>
      <c r="K77" s="12">
        <v>13000</v>
      </c>
      <c r="L77" s="12">
        <f>Таблица22425[[#This Row],[СС, 
грн/рейс]]/Таблица22425[[#This Row],[Километраж, 
км]]</f>
        <v>47.272727272727273</v>
      </c>
      <c r="M77" s="26">
        <f>Таблица22425[[#This Row],[Доход, 
грн/рейс]]-Таблица22425[[#This Row],[СС, 
грн/рейс]]</f>
        <v>1300</v>
      </c>
      <c r="N77" s="24" t="s">
        <v>585</v>
      </c>
      <c r="O77" s="150"/>
    </row>
    <row r="78" spans="1:15" ht="13.8" hidden="1" outlineLevel="1" thickTop="1" x14ac:dyDescent="0.25">
      <c r="A78" s="124" t="s">
        <v>261</v>
      </c>
      <c r="B78" s="125" t="s">
        <v>466</v>
      </c>
      <c r="C78" s="126">
        <v>45568</v>
      </c>
      <c r="D78" s="127" t="s">
        <v>534</v>
      </c>
      <c r="E78" s="128" t="s">
        <v>536</v>
      </c>
      <c r="F78" s="129" t="s">
        <v>537</v>
      </c>
      <c r="G78" s="130">
        <v>6050</v>
      </c>
      <c r="H78" s="131">
        <v>247</v>
      </c>
      <c r="I78" s="60">
        <f>Таблица22425[[#This Row],[Стоимость, 
грн]]</f>
        <v>6050</v>
      </c>
      <c r="J78" s="12">
        <f>Таблица22425[[#This Row],[Доход, 
грн/рейс]]/Таблица22425[[#This Row],[Километраж, 
км]]</f>
        <v>24.493927125506072</v>
      </c>
      <c r="K78" s="12">
        <v>5500</v>
      </c>
      <c r="L78" s="12">
        <f>Таблица22425[[#This Row],[СС, 
грн/рейс]]/Таблица22425[[#This Row],[Километраж, 
км]]</f>
        <v>22.267206477732792</v>
      </c>
      <c r="M78" s="26">
        <f>Таблица22425[[#This Row],[Доход, 
грн/рейс]]-Таблица22425[[#This Row],[СС, 
грн/рейс]]</f>
        <v>550</v>
      </c>
      <c r="N78" s="24"/>
      <c r="O78" s="150"/>
    </row>
    <row r="79" spans="1:15" ht="13.8" hidden="1" outlineLevel="1" thickTop="1" x14ac:dyDescent="0.25">
      <c r="A79" s="124" t="s">
        <v>261</v>
      </c>
      <c r="B79" s="125" t="s">
        <v>515</v>
      </c>
      <c r="C79" s="126">
        <v>45568</v>
      </c>
      <c r="D79" s="127" t="s">
        <v>531</v>
      </c>
      <c r="E79" s="128" t="s">
        <v>305</v>
      </c>
      <c r="F79" s="129" t="s">
        <v>538</v>
      </c>
      <c r="G79" s="130">
        <v>27500</v>
      </c>
      <c r="H79" s="131">
        <v>630</v>
      </c>
      <c r="I79" s="60">
        <f>Таблица22425[[#This Row],[Стоимость, 
грн]]</f>
        <v>27500</v>
      </c>
      <c r="J79" s="12">
        <f>Таблица22425[[#This Row],[Доход, 
грн/рейс]]/Таблица22425[[#This Row],[Километраж, 
км]]</f>
        <v>43.650793650793652</v>
      </c>
      <c r="K79" s="12">
        <v>25000</v>
      </c>
      <c r="L79" s="12">
        <f>Таблица22425[[#This Row],[СС, 
грн/рейс]]/Таблица22425[[#This Row],[Километраж, 
км]]</f>
        <v>39.682539682539684</v>
      </c>
      <c r="M79" s="26">
        <f>Таблица22425[[#This Row],[Доход, 
грн/рейс]]-Таблица22425[[#This Row],[СС, 
грн/рейс]]</f>
        <v>2500</v>
      </c>
      <c r="N79" s="24"/>
      <c r="O79" s="150"/>
    </row>
    <row r="80" spans="1:15" ht="13.8" hidden="1" outlineLevel="1" thickTop="1" x14ac:dyDescent="0.25">
      <c r="A80" s="124" t="s">
        <v>539</v>
      </c>
      <c r="B80" s="125" t="s">
        <v>515</v>
      </c>
      <c r="C80" s="126">
        <v>45568</v>
      </c>
      <c r="D80" s="127" t="s">
        <v>562</v>
      </c>
      <c r="E80" s="128" t="s">
        <v>540</v>
      </c>
      <c r="F80" s="191" t="s">
        <v>541</v>
      </c>
      <c r="G80" s="130">
        <v>31500</v>
      </c>
      <c r="H80" s="131">
        <v>455</v>
      </c>
      <c r="I80" s="60">
        <f>Таблица22425[[#This Row],[Стоимость, 
грн]]</f>
        <v>31500</v>
      </c>
      <c r="J80" s="12">
        <f>Таблица22425[[#This Row],[Доход, 
грн/рейс]]/Таблица22425[[#This Row],[Километраж, 
км]]</f>
        <v>69.230769230769226</v>
      </c>
      <c r="K80" s="12">
        <v>30000</v>
      </c>
      <c r="L80" s="12">
        <f>Таблица22425[[#This Row],[СС, 
грн/рейс]]/Таблица22425[[#This Row],[Километраж, 
км]]</f>
        <v>65.934065934065927</v>
      </c>
      <c r="M80" s="26">
        <f>Таблица22425[[#This Row],[Доход, 
грн/рейс]]-Таблица22425[[#This Row],[СС, 
грн/рейс]]</f>
        <v>1500</v>
      </c>
      <c r="N80" s="24"/>
      <c r="O80" s="150"/>
    </row>
    <row r="81" spans="1:15" ht="13.8" hidden="1" outlineLevel="1" thickTop="1" x14ac:dyDescent="0.25">
      <c r="A81" s="124" t="s">
        <v>261</v>
      </c>
      <c r="B81" s="125" t="s">
        <v>515</v>
      </c>
      <c r="C81" s="126">
        <v>45568</v>
      </c>
      <c r="D81" s="127" t="s">
        <v>597</v>
      </c>
      <c r="E81" s="128" t="s">
        <v>305</v>
      </c>
      <c r="F81" s="191" t="s">
        <v>193</v>
      </c>
      <c r="G81" s="130">
        <v>40500</v>
      </c>
      <c r="H81" s="131">
        <v>610</v>
      </c>
      <c r="I81" s="60">
        <f>Таблица22425[[#This Row],[Стоимость, 
грн]]</f>
        <v>40500</v>
      </c>
      <c r="J81" s="12">
        <f>Таблица22425[[#This Row],[Доход, 
грн/рейс]]/Таблица22425[[#This Row],[Километраж, 
км]]</f>
        <v>66.393442622950815</v>
      </c>
      <c r="K81" s="12">
        <v>40500</v>
      </c>
      <c r="L81" s="12">
        <f>Таблица22425[[#This Row],[СС, 
грн/рейс]]/Таблица22425[[#This Row],[Километраж, 
км]]</f>
        <v>66.393442622950815</v>
      </c>
      <c r="M81" s="26">
        <f>Таблица22425[[#This Row],[Доход, 
грн/рейс]]-Таблица22425[[#This Row],[СС, 
грн/рейс]]</f>
        <v>0</v>
      </c>
      <c r="N81" s="24"/>
      <c r="O81" s="150"/>
    </row>
    <row r="82" spans="1:15" ht="13.8" hidden="1" outlineLevel="1" thickTop="1" x14ac:dyDescent="0.25">
      <c r="A82" s="124" t="s">
        <v>135</v>
      </c>
      <c r="B82" s="125" t="s">
        <v>466</v>
      </c>
      <c r="C82" s="126">
        <v>45568</v>
      </c>
      <c r="D82" s="127" t="s">
        <v>563</v>
      </c>
      <c r="E82" s="128" t="s">
        <v>530</v>
      </c>
      <c r="F82" s="129" t="s">
        <v>195</v>
      </c>
      <c r="G82" s="130">
        <v>27500</v>
      </c>
      <c r="H82" s="131">
        <v>750</v>
      </c>
      <c r="I82" s="60">
        <f>Таблица22425[[#This Row],[Стоимость, 
грн]]</f>
        <v>27500</v>
      </c>
      <c r="J82" s="12">
        <f>Таблица22425[[#This Row],[Доход, 
грн/рейс]]/Таблица22425[[#This Row],[Километраж, 
км]]</f>
        <v>36.666666666666664</v>
      </c>
      <c r="K82" s="12">
        <v>25000</v>
      </c>
      <c r="L82" s="12">
        <f>Таблица22425[[#This Row],[СС, 
грн/рейс]]/Таблица22425[[#This Row],[Километраж, 
км]]</f>
        <v>33.333333333333336</v>
      </c>
      <c r="M82" s="26">
        <f>Таблица22425[[#This Row],[Доход, 
грн/рейс]]-Таблица22425[[#This Row],[СС, 
грн/рейс]]</f>
        <v>2500</v>
      </c>
      <c r="N82" s="24"/>
      <c r="O82" s="150"/>
    </row>
    <row r="83" spans="1:15" ht="13.8" hidden="1" outlineLevel="1" thickTop="1" x14ac:dyDescent="0.25">
      <c r="A83" s="124" t="s">
        <v>261</v>
      </c>
      <c r="B83" s="125" t="s">
        <v>515</v>
      </c>
      <c r="C83" s="126">
        <v>45568</v>
      </c>
      <c r="D83" s="127" t="s">
        <v>598</v>
      </c>
      <c r="E83" s="128" t="s">
        <v>305</v>
      </c>
      <c r="F83" s="191" t="s">
        <v>193</v>
      </c>
      <c r="G83" s="130">
        <v>41000</v>
      </c>
      <c r="H83" s="131">
        <v>610</v>
      </c>
      <c r="I83" s="60">
        <f>Таблица22425[[#This Row],[Стоимость, 
грн]]</f>
        <v>41000</v>
      </c>
      <c r="J83" s="12">
        <f>Таблица22425[[#This Row],[Доход, 
грн/рейс]]/Таблица22425[[#This Row],[Километраж, 
км]]</f>
        <v>67.213114754098356</v>
      </c>
      <c r="K83" s="12">
        <v>41000</v>
      </c>
      <c r="L83" s="12">
        <f>Таблица22425[[#This Row],[СС, 
грн/рейс]]/Таблица22425[[#This Row],[Километраж, 
км]]</f>
        <v>67.213114754098356</v>
      </c>
      <c r="M83" s="26">
        <f>Таблица22425[[#This Row],[Доход, 
грн/рейс]]-Таблица22425[[#This Row],[СС, 
грн/рейс]]</f>
        <v>0</v>
      </c>
      <c r="N83" s="24"/>
      <c r="O83" s="150"/>
    </row>
    <row r="84" spans="1:15" ht="13.8" hidden="1" outlineLevel="1" thickTop="1" x14ac:dyDescent="0.25">
      <c r="A84" s="124" t="s">
        <v>261</v>
      </c>
      <c r="B84" s="125" t="s">
        <v>515</v>
      </c>
      <c r="C84" s="126">
        <v>45568</v>
      </c>
      <c r="D84" s="127" t="s">
        <v>597</v>
      </c>
      <c r="E84" s="128" t="s">
        <v>564</v>
      </c>
      <c r="F84" s="191" t="s">
        <v>193</v>
      </c>
      <c r="G84" s="130">
        <v>39500</v>
      </c>
      <c r="H84" s="131">
        <v>500</v>
      </c>
      <c r="I84" s="60">
        <f>Таблица22425[[#This Row],[Стоимость, 
грн]]</f>
        <v>39500</v>
      </c>
      <c r="J84" s="12">
        <f>Таблица22425[[#This Row],[Доход, 
грн/рейс]]/Таблица22425[[#This Row],[Километраж, 
км]]</f>
        <v>79</v>
      </c>
      <c r="K84" s="12">
        <v>39500</v>
      </c>
      <c r="L84" s="12">
        <f>Таблица22425[[#This Row],[СС, 
грн/рейс]]/Таблица22425[[#This Row],[Километраж, 
км]]</f>
        <v>79</v>
      </c>
      <c r="M84" s="26">
        <f>Таблица22425[[#This Row],[Доход, 
грн/рейс]]-Таблица22425[[#This Row],[СС, 
грн/рейс]]</f>
        <v>0</v>
      </c>
      <c r="N84" s="24"/>
      <c r="O84" s="150"/>
    </row>
    <row r="85" spans="1:15" ht="13.8" hidden="1" outlineLevel="1" thickTop="1" x14ac:dyDescent="0.25">
      <c r="A85" s="124" t="s">
        <v>261</v>
      </c>
      <c r="B85" s="125" t="s">
        <v>526</v>
      </c>
      <c r="C85" s="126">
        <v>45568</v>
      </c>
      <c r="D85" s="127" t="s">
        <v>599</v>
      </c>
      <c r="E85" s="128" t="s">
        <v>600</v>
      </c>
      <c r="F85" s="129" t="s">
        <v>195</v>
      </c>
      <c r="G85" s="130">
        <v>26400</v>
      </c>
      <c r="H85" s="131">
        <v>505</v>
      </c>
      <c r="I85" s="60">
        <f>Таблица22425[[#This Row],[Стоимость, 
грн]]</f>
        <v>26400</v>
      </c>
      <c r="J85" s="12">
        <f>Таблица22425[[#This Row],[Доход, 
грн/рейс]]/Таблица22425[[#This Row],[Километраж, 
км]]</f>
        <v>52.277227722772274</v>
      </c>
      <c r="K85" s="12">
        <v>24000</v>
      </c>
      <c r="L85" s="12">
        <f>Таблица22425[[#This Row],[СС, 
грн/рейс]]/Таблица22425[[#This Row],[Километраж, 
км]]</f>
        <v>47.524752475247524</v>
      </c>
      <c r="M85" s="26">
        <f>Таблица22425[[#This Row],[Доход, 
грн/рейс]]-Таблица22425[[#This Row],[СС, 
грн/рейс]]</f>
        <v>2400</v>
      </c>
      <c r="N85" s="24"/>
      <c r="O85" s="150"/>
    </row>
    <row r="86" spans="1:15" ht="13.8" hidden="1" outlineLevel="1" thickTop="1" x14ac:dyDescent="0.25">
      <c r="A86" s="124" t="s">
        <v>261</v>
      </c>
      <c r="B86" s="125" t="s">
        <v>526</v>
      </c>
      <c r="C86" s="126">
        <v>45568</v>
      </c>
      <c r="D86" s="127" t="s">
        <v>599</v>
      </c>
      <c r="E86" s="128" t="s">
        <v>564</v>
      </c>
      <c r="F86" s="129" t="s">
        <v>195</v>
      </c>
      <c r="G86" s="130">
        <v>20000</v>
      </c>
      <c r="H86" s="131">
        <v>500</v>
      </c>
      <c r="I86" s="60">
        <f>Таблица22425[[#This Row],[Стоимость, 
грн]]</f>
        <v>20000</v>
      </c>
      <c r="J86" s="12">
        <f>Таблица22425[[#This Row],[Доход, 
грн/рейс]]/Таблица22425[[#This Row],[Километраж, 
км]]</f>
        <v>40</v>
      </c>
      <c r="K86" s="12">
        <v>18000</v>
      </c>
      <c r="L86" s="12">
        <f>Таблица22425[[#This Row],[СС, 
грн/рейс]]/Таблица22425[[#This Row],[Километраж, 
км]]</f>
        <v>36</v>
      </c>
      <c r="M86" s="26">
        <f>Таблица22425[[#This Row],[Доход, 
грн/рейс]]-Таблица22425[[#This Row],[СС, 
грн/рейс]]</f>
        <v>2000</v>
      </c>
      <c r="N86" s="24"/>
      <c r="O86" s="150"/>
    </row>
    <row r="87" spans="1:15" ht="13.8" hidden="1" outlineLevel="1" thickTop="1" x14ac:dyDescent="0.25">
      <c r="A87" s="124" t="s">
        <v>261</v>
      </c>
      <c r="B87" s="125" t="s">
        <v>515</v>
      </c>
      <c r="C87" s="126">
        <v>45568</v>
      </c>
      <c r="D87" s="127" t="s">
        <v>601</v>
      </c>
      <c r="E87" s="128" t="s">
        <v>600</v>
      </c>
      <c r="F87" s="191" t="s">
        <v>193</v>
      </c>
      <c r="G87" s="130">
        <v>38500</v>
      </c>
      <c r="H87" s="131">
        <v>505</v>
      </c>
      <c r="I87" s="60">
        <f>Таблица22425[[#This Row],[Стоимость, 
грн]]</f>
        <v>38500</v>
      </c>
      <c r="J87" s="12">
        <f>Таблица22425[[#This Row],[Доход, 
грн/рейс]]/Таблица22425[[#This Row],[Километраж, 
км]]</f>
        <v>76.237623762376231</v>
      </c>
      <c r="K87" s="12">
        <v>38500</v>
      </c>
      <c r="L87" s="12">
        <f>Таблица22425[[#This Row],[СС, 
грн/рейс]]/Таблица22425[[#This Row],[Километраж, 
км]]</f>
        <v>76.237623762376231</v>
      </c>
      <c r="M87" s="26">
        <f>Таблица22425[[#This Row],[Доход, 
грн/рейс]]-Таблица22425[[#This Row],[СС, 
грн/рейс]]</f>
        <v>0</v>
      </c>
      <c r="N87" s="24"/>
      <c r="O87" s="150"/>
    </row>
    <row r="88" spans="1:15" ht="13.8" hidden="1" outlineLevel="1" thickTop="1" x14ac:dyDescent="0.25">
      <c r="A88" s="124" t="s">
        <v>261</v>
      </c>
      <c r="B88" s="125" t="s">
        <v>515</v>
      </c>
      <c r="C88" s="126">
        <v>45568</v>
      </c>
      <c r="D88" s="127" t="s">
        <v>602</v>
      </c>
      <c r="E88" s="128" t="s">
        <v>600</v>
      </c>
      <c r="F88" s="191" t="s">
        <v>193</v>
      </c>
      <c r="G88" s="130">
        <v>39000</v>
      </c>
      <c r="H88" s="131">
        <v>505</v>
      </c>
      <c r="I88" s="60">
        <f>Таблица22425[[#This Row],[Стоимость, 
грн]]</f>
        <v>39000</v>
      </c>
      <c r="J88" s="12">
        <f>Таблица22425[[#This Row],[Доход, 
грн/рейс]]/Таблица22425[[#This Row],[Километраж, 
км]]</f>
        <v>77.227722772277232</v>
      </c>
      <c r="K88" s="12">
        <v>39000</v>
      </c>
      <c r="L88" s="12">
        <f>Таблица22425[[#This Row],[СС, 
грн/рейс]]/Таблица22425[[#This Row],[Километраж, 
км]]</f>
        <v>77.227722772277232</v>
      </c>
      <c r="M88" s="26">
        <f>Таблица22425[[#This Row],[Доход, 
грн/рейс]]-Таблица22425[[#This Row],[СС, 
грн/рейс]]</f>
        <v>0</v>
      </c>
      <c r="N88" s="24"/>
      <c r="O88" s="150"/>
    </row>
    <row r="89" spans="1:15" ht="13.8" hidden="1" outlineLevel="1" thickTop="1" x14ac:dyDescent="0.25">
      <c r="A89" s="124" t="s">
        <v>76</v>
      </c>
      <c r="B89" s="125" t="s">
        <v>466</v>
      </c>
      <c r="C89" s="126">
        <v>45568</v>
      </c>
      <c r="D89" s="127" t="s">
        <v>590</v>
      </c>
      <c r="E89" s="128" t="s">
        <v>603</v>
      </c>
      <c r="F89" s="129" t="s">
        <v>604</v>
      </c>
      <c r="G89" s="130">
        <v>5000</v>
      </c>
      <c r="H89" s="131">
        <v>250</v>
      </c>
      <c r="I89" s="60">
        <f>Таблица22425[[#This Row],[Стоимость, 
грн]]</f>
        <v>5000</v>
      </c>
      <c r="J89" s="12">
        <f>Таблица22425[[#This Row],[Доход, 
грн/рейс]]/Таблица22425[[#This Row],[Километраж, 
км]]</f>
        <v>20</v>
      </c>
      <c r="K89" s="12">
        <v>4800</v>
      </c>
      <c r="L89" s="12">
        <f>Таблица22425[[#This Row],[СС, 
грн/рейс]]/Таблица22425[[#This Row],[Километраж, 
км]]</f>
        <v>19.2</v>
      </c>
      <c r="M89" s="26">
        <f>Таблица22425[[#This Row],[Доход, 
грн/рейс]]-Таблица22425[[#This Row],[СС, 
грн/рейс]]</f>
        <v>200</v>
      </c>
      <c r="N89" s="24"/>
      <c r="O89" s="150"/>
    </row>
    <row r="90" spans="1:15" ht="13.8" hidden="1" outlineLevel="1" thickTop="1" x14ac:dyDescent="0.25">
      <c r="A90" s="124" t="s">
        <v>261</v>
      </c>
      <c r="B90" s="125" t="s">
        <v>526</v>
      </c>
      <c r="C90" s="126">
        <v>45568</v>
      </c>
      <c r="D90" s="127" t="s">
        <v>605</v>
      </c>
      <c r="E90" s="128" t="s">
        <v>305</v>
      </c>
      <c r="F90" s="129" t="s">
        <v>606</v>
      </c>
      <c r="G90" s="130">
        <v>22000</v>
      </c>
      <c r="H90" s="131">
        <v>610</v>
      </c>
      <c r="I90" s="60">
        <f>Таблица22425[[#This Row],[Стоимость, 
грн]]</f>
        <v>22000</v>
      </c>
      <c r="J90" s="12">
        <f>Таблица22425[[#This Row],[Доход, 
грн/рейс]]/Таблица22425[[#This Row],[Километраж, 
км]]</f>
        <v>36.065573770491802</v>
      </c>
      <c r="K90" s="12">
        <v>20000</v>
      </c>
      <c r="L90" s="12">
        <f>Таблица22425[[#This Row],[СС, 
грн/рейс]]/Таблица22425[[#This Row],[Километраж, 
км]]</f>
        <v>32.786885245901637</v>
      </c>
      <c r="M90" s="26">
        <f>Таблица22425[[#This Row],[Доход, 
грн/рейс]]-Таблица22425[[#This Row],[СС, 
грн/рейс]]</f>
        <v>2000</v>
      </c>
      <c r="N90" s="24"/>
      <c r="O90" s="150"/>
    </row>
    <row r="91" spans="1:15" ht="13.8" hidden="1" outlineLevel="1" thickTop="1" x14ac:dyDescent="0.25">
      <c r="A91" s="124" t="s">
        <v>158</v>
      </c>
      <c r="B91" s="125" t="s">
        <v>526</v>
      </c>
      <c r="C91" s="126">
        <v>45568</v>
      </c>
      <c r="D91" s="127" t="s">
        <v>591</v>
      </c>
      <c r="E91" s="128" t="s">
        <v>517</v>
      </c>
      <c r="F91" s="129" t="s">
        <v>195</v>
      </c>
      <c r="G91" s="130">
        <v>24200</v>
      </c>
      <c r="H91" s="131">
        <v>740</v>
      </c>
      <c r="I91" s="60">
        <f>Таблица22425[[#This Row],[Стоимость, 
грн]]</f>
        <v>24200</v>
      </c>
      <c r="J91" s="12">
        <f>Таблица22425[[#This Row],[Доход, 
грн/рейс]]/Таблица22425[[#This Row],[Километраж, 
км]]</f>
        <v>32.702702702702702</v>
      </c>
      <c r="K91" s="12">
        <v>22000</v>
      </c>
      <c r="L91" s="12">
        <f>Таблица22425[[#This Row],[СС, 
грн/рейс]]/Таблица22425[[#This Row],[Километраж, 
км]]</f>
        <v>29.72972972972973</v>
      </c>
      <c r="M91" s="26">
        <f>Таблица22425[[#This Row],[Доход, 
грн/рейс]]-Таблица22425[[#This Row],[СС, 
грн/рейс]]</f>
        <v>2200</v>
      </c>
      <c r="N91" s="24"/>
      <c r="O91" s="150"/>
    </row>
    <row r="92" spans="1:15" ht="13.8" hidden="1" outlineLevel="1" thickTop="1" x14ac:dyDescent="0.25">
      <c r="A92" s="124" t="s">
        <v>261</v>
      </c>
      <c r="B92" s="125" t="s">
        <v>526</v>
      </c>
      <c r="C92" s="126">
        <v>45568</v>
      </c>
      <c r="D92" s="127" t="s">
        <v>614</v>
      </c>
      <c r="E92" s="128" t="s">
        <v>600</v>
      </c>
      <c r="F92" s="129" t="s">
        <v>195</v>
      </c>
      <c r="G92" s="130">
        <v>12100</v>
      </c>
      <c r="H92" s="131">
        <v>505</v>
      </c>
      <c r="I92" s="60">
        <f>Таблица22425[[#This Row],[Стоимость, 
грн]]</f>
        <v>12100</v>
      </c>
      <c r="J92" s="12">
        <f>Таблица22425[[#This Row],[Доход, 
грн/рейс]]/Таблица22425[[#This Row],[Километраж, 
км]]</f>
        <v>23.96039603960396</v>
      </c>
      <c r="K92" s="12">
        <v>11000</v>
      </c>
      <c r="L92" s="12">
        <f>Таблица22425[[#This Row],[СС, 
грн/рейс]]/Таблица22425[[#This Row],[Километраж, 
км]]</f>
        <v>21.782178217821784</v>
      </c>
      <c r="M92" s="26">
        <f>Таблица22425[[#This Row],[Доход, 
грн/рейс]]-Таблица22425[[#This Row],[СС, 
грн/рейс]]</f>
        <v>1100</v>
      </c>
      <c r="N92" s="24"/>
      <c r="O92" s="150"/>
    </row>
    <row r="93" spans="1:15" ht="13.8" hidden="1" outlineLevel="1" thickTop="1" x14ac:dyDescent="0.25">
      <c r="A93" s="124" t="s">
        <v>158</v>
      </c>
      <c r="B93" s="125" t="s">
        <v>526</v>
      </c>
      <c r="C93" s="126">
        <v>45568</v>
      </c>
      <c r="D93" s="127" t="s">
        <v>610</v>
      </c>
      <c r="E93" s="128" t="s">
        <v>615</v>
      </c>
      <c r="F93" s="129" t="s">
        <v>195</v>
      </c>
      <c r="G93" s="130">
        <v>13200</v>
      </c>
      <c r="H93" s="131">
        <v>360</v>
      </c>
      <c r="I93" s="60">
        <f>Таблица22425[[#This Row],[Стоимость, 
грн]]</f>
        <v>13200</v>
      </c>
      <c r="J93" s="12">
        <f>Таблица22425[[#This Row],[Доход, 
грн/рейс]]/Таблица22425[[#This Row],[Километраж, 
км]]</f>
        <v>36.666666666666664</v>
      </c>
      <c r="K93" s="12">
        <v>12000</v>
      </c>
      <c r="L93" s="12">
        <f>Таблица22425[[#This Row],[СС, 
грн/рейс]]/Таблица22425[[#This Row],[Километраж, 
км]]</f>
        <v>33.333333333333336</v>
      </c>
      <c r="M93" s="26">
        <f>Таблица22425[[#This Row],[Доход, 
грн/рейс]]-Таблица22425[[#This Row],[СС, 
грн/рейс]]</f>
        <v>1200</v>
      </c>
      <c r="N93" s="24"/>
      <c r="O93" s="150"/>
    </row>
    <row r="94" spans="1:15" ht="13.8" hidden="1" outlineLevel="1" thickTop="1" x14ac:dyDescent="0.25">
      <c r="A94" s="124" t="s">
        <v>261</v>
      </c>
      <c r="B94" s="125" t="s">
        <v>526</v>
      </c>
      <c r="C94" s="126">
        <v>45568</v>
      </c>
      <c r="D94" s="127" t="s">
        <v>616</v>
      </c>
      <c r="E94" s="128" t="s">
        <v>617</v>
      </c>
      <c r="F94" s="129" t="s">
        <v>604</v>
      </c>
      <c r="G94" s="130">
        <v>12100</v>
      </c>
      <c r="H94" s="131">
        <v>505</v>
      </c>
      <c r="I94" s="60">
        <f>Таблица22425[[#This Row],[Стоимость, 
грн]]</f>
        <v>12100</v>
      </c>
      <c r="J94" s="12">
        <f>Таблица22425[[#This Row],[Доход, 
грн/рейс]]/Таблица22425[[#This Row],[Километраж, 
км]]</f>
        <v>23.96039603960396</v>
      </c>
      <c r="K94" s="12">
        <v>11000</v>
      </c>
      <c r="L94" s="12">
        <f>Таблица22425[[#This Row],[СС, 
грн/рейс]]/Таблица22425[[#This Row],[Километраж, 
км]]</f>
        <v>21.782178217821784</v>
      </c>
      <c r="M94" s="26">
        <f>Таблица22425[[#This Row],[Доход, 
грн/рейс]]-Таблица22425[[#This Row],[СС, 
грн/рейс]]</f>
        <v>1100</v>
      </c>
      <c r="N94" s="24"/>
      <c r="O94" s="150"/>
    </row>
    <row r="95" spans="1:15" ht="13.8" hidden="1" outlineLevel="1" thickTop="1" x14ac:dyDescent="0.25">
      <c r="A95" s="124" t="s">
        <v>261</v>
      </c>
      <c r="B95" s="125" t="s">
        <v>19</v>
      </c>
      <c r="C95" s="126">
        <v>45568</v>
      </c>
      <c r="D95" s="127" t="s">
        <v>618</v>
      </c>
      <c r="E95" s="128" t="s">
        <v>305</v>
      </c>
      <c r="F95" s="129" t="s">
        <v>195</v>
      </c>
      <c r="G95" s="130">
        <v>16500</v>
      </c>
      <c r="H95" s="131">
        <v>530</v>
      </c>
      <c r="I95" s="60">
        <f>Таблица22425[[#This Row],[Стоимость, 
грн]]</f>
        <v>16500</v>
      </c>
      <c r="J95" s="12">
        <f>Таблица22425[[#This Row],[Доход, 
грн/рейс]]/Таблица22425[[#This Row],[Километраж, 
км]]</f>
        <v>31.132075471698112</v>
      </c>
      <c r="K95" s="12">
        <v>15000</v>
      </c>
      <c r="L95" s="12">
        <f>Таблица22425[[#This Row],[СС, 
грн/рейс]]/Таблица22425[[#This Row],[Километраж, 
км]]</f>
        <v>28.30188679245283</v>
      </c>
      <c r="M95" s="26">
        <f>Таблица22425[[#This Row],[Доход, 
грн/рейс]]-Таблица22425[[#This Row],[СС, 
грн/рейс]]</f>
        <v>1500</v>
      </c>
      <c r="N95" s="24"/>
      <c r="O95" s="150"/>
    </row>
    <row r="96" spans="1:15" ht="13.8" hidden="1" outlineLevel="1" thickTop="1" x14ac:dyDescent="0.25">
      <c r="A96" s="124" t="s">
        <v>99</v>
      </c>
      <c r="B96" s="125" t="s">
        <v>19</v>
      </c>
      <c r="C96" s="126">
        <v>45568</v>
      </c>
      <c r="D96" s="127" t="s">
        <v>618</v>
      </c>
      <c r="E96" s="128" t="s">
        <v>359</v>
      </c>
      <c r="F96" s="129" t="s">
        <v>619</v>
      </c>
      <c r="G96" s="130">
        <v>4950</v>
      </c>
      <c r="H96" s="131">
        <v>500</v>
      </c>
      <c r="I96" s="60">
        <f>Таблица22425[[#This Row],[Стоимость, 
грн]]</f>
        <v>4950</v>
      </c>
      <c r="J96" s="12">
        <f>Таблица22425[[#This Row],[Доход, 
грн/рейс]]/Таблица22425[[#This Row],[Километраж, 
км]]</f>
        <v>9.9</v>
      </c>
      <c r="K96" s="12">
        <v>4500</v>
      </c>
      <c r="L96" s="12">
        <f>Таблица22425[[#This Row],[СС, 
грн/рейс]]/Таблица22425[[#This Row],[Километраж, 
км]]</f>
        <v>9</v>
      </c>
      <c r="M96" s="26">
        <f>Таблица22425[[#This Row],[Доход, 
грн/рейс]]-Таблица22425[[#This Row],[СС, 
грн/рейс]]</f>
        <v>450</v>
      </c>
      <c r="N96" s="24"/>
      <c r="O96" s="150"/>
    </row>
    <row r="97" spans="1:15" ht="13.8" hidden="1" outlineLevel="1" thickTop="1" x14ac:dyDescent="0.25">
      <c r="A97" s="124" t="s">
        <v>261</v>
      </c>
      <c r="B97" s="125" t="s">
        <v>466</v>
      </c>
      <c r="C97" s="126">
        <v>45568</v>
      </c>
      <c r="D97" s="127" t="s">
        <v>620</v>
      </c>
      <c r="E97" s="128" t="s">
        <v>564</v>
      </c>
      <c r="F97" s="129" t="s">
        <v>195</v>
      </c>
      <c r="G97" s="130">
        <v>7700</v>
      </c>
      <c r="H97" s="131">
        <v>500</v>
      </c>
      <c r="I97" s="60">
        <f>Таблица22425[[#This Row],[Стоимость, 
грн]]</f>
        <v>7700</v>
      </c>
      <c r="J97" s="12">
        <f>Таблица22425[[#This Row],[Доход, 
грн/рейс]]/Таблица22425[[#This Row],[Километраж, 
км]]</f>
        <v>15.4</v>
      </c>
      <c r="K97" s="12">
        <v>7000</v>
      </c>
      <c r="L97" s="12">
        <f>Таблица22425[[#This Row],[СС, 
грн/рейс]]/Таблица22425[[#This Row],[Километраж, 
км]]</f>
        <v>14</v>
      </c>
      <c r="M97" s="26">
        <f>Таблица22425[[#This Row],[Доход, 
грн/рейс]]-Таблица22425[[#This Row],[СС, 
грн/рейс]]</f>
        <v>700</v>
      </c>
      <c r="N97" s="24"/>
      <c r="O97" s="150"/>
    </row>
    <row r="98" spans="1:15" ht="13.8" hidden="1" outlineLevel="1" thickTop="1" x14ac:dyDescent="0.25">
      <c r="A98" s="124" t="s">
        <v>135</v>
      </c>
      <c r="B98" s="125" t="s">
        <v>515</v>
      </c>
      <c r="C98" s="126">
        <v>45568</v>
      </c>
      <c r="D98" s="127" t="s">
        <v>621</v>
      </c>
      <c r="E98" s="128" t="s">
        <v>535</v>
      </c>
      <c r="F98" s="191" t="s">
        <v>40</v>
      </c>
      <c r="G98" s="130">
        <v>18250</v>
      </c>
      <c r="H98" s="131">
        <v>277</v>
      </c>
      <c r="I98" s="60">
        <f>Таблица22425[[#This Row],[Стоимость, 
грн]]</f>
        <v>18250</v>
      </c>
      <c r="J98" s="12">
        <f>Таблица22425[[#This Row],[Доход, 
грн/рейс]]/Таблица22425[[#This Row],[Километраж, 
км]]</f>
        <v>65.884476534296027</v>
      </c>
      <c r="K98" s="12">
        <v>18000</v>
      </c>
      <c r="L98" s="12">
        <f>Таблица22425[[#This Row],[СС, 
грн/рейс]]/Таблица22425[[#This Row],[Километраж, 
км]]</f>
        <v>64.981949458483754</v>
      </c>
      <c r="M98" s="26">
        <f>Таблица22425[[#This Row],[Доход, 
грн/рейс]]-Таблица22425[[#This Row],[СС, 
грн/рейс]]</f>
        <v>250</v>
      </c>
      <c r="N98" s="24"/>
      <c r="O98" s="150"/>
    </row>
    <row r="99" spans="1:15" ht="13.8" hidden="1" outlineLevel="1" thickTop="1" x14ac:dyDescent="0.25">
      <c r="A99" s="124" t="s">
        <v>539</v>
      </c>
      <c r="B99" s="125" t="s">
        <v>466</v>
      </c>
      <c r="C99" s="126">
        <v>45568</v>
      </c>
      <c r="D99" s="127" t="s">
        <v>627</v>
      </c>
      <c r="E99" s="128" t="s">
        <v>622</v>
      </c>
      <c r="F99" s="129" t="s">
        <v>623</v>
      </c>
      <c r="G99" s="130">
        <v>6500</v>
      </c>
      <c r="H99" s="131">
        <v>205</v>
      </c>
      <c r="I99" s="60">
        <f>Таблица22425[[#This Row],[Стоимость, 
грн]]</f>
        <v>6500</v>
      </c>
      <c r="J99" s="12">
        <f>Таблица22425[[#This Row],[Доход, 
грн/рейс]]/Таблица22425[[#This Row],[Километраж, 
км]]</f>
        <v>31.707317073170731</v>
      </c>
      <c r="K99" s="12">
        <v>6000</v>
      </c>
      <c r="L99" s="12">
        <f>Таблица22425[[#This Row],[СС, 
грн/рейс]]/Таблица22425[[#This Row],[Километраж, 
км]]</f>
        <v>29.26829268292683</v>
      </c>
      <c r="M99" s="26">
        <f>Таблица22425[[#This Row],[Доход, 
грн/рейс]]-Таблица22425[[#This Row],[СС, 
грн/рейс]]</f>
        <v>500</v>
      </c>
      <c r="N99" s="24"/>
      <c r="O99" s="150"/>
    </row>
    <row r="100" spans="1:15" ht="13.8" hidden="1" outlineLevel="1" thickTop="1" x14ac:dyDescent="0.25">
      <c r="A100" s="124" t="s">
        <v>261</v>
      </c>
      <c r="B100" s="125" t="s">
        <v>526</v>
      </c>
      <c r="C100" s="126">
        <v>45568</v>
      </c>
      <c r="D100" s="127" t="s">
        <v>621</v>
      </c>
      <c r="E100" s="128" t="s">
        <v>518</v>
      </c>
      <c r="F100" s="129" t="s">
        <v>195</v>
      </c>
      <c r="G100" s="130">
        <v>18700</v>
      </c>
      <c r="H100" s="131">
        <v>530</v>
      </c>
      <c r="I100" s="60">
        <f>Таблица22425[[#This Row],[Стоимость, 
грн]]</f>
        <v>18700</v>
      </c>
      <c r="J100" s="12">
        <f>Таблица22425[[#This Row],[Доход, 
грн/рейс]]/Таблица22425[[#This Row],[Километраж, 
км]]</f>
        <v>35.283018867924525</v>
      </c>
      <c r="K100" s="12">
        <v>17000</v>
      </c>
      <c r="L100" s="12">
        <f>Таблица22425[[#This Row],[СС, 
грн/рейс]]/Таблица22425[[#This Row],[Километраж, 
км]]</f>
        <v>32.075471698113205</v>
      </c>
      <c r="M100" s="26">
        <f>Таблица22425[[#This Row],[Доход, 
грн/рейс]]-Таблица22425[[#This Row],[СС, 
грн/рейс]]</f>
        <v>1700</v>
      </c>
      <c r="N100" s="24"/>
      <c r="O100" s="150"/>
    </row>
    <row r="101" spans="1:15" ht="13.8" hidden="1" outlineLevel="1" thickTop="1" x14ac:dyDescent="0.25">
      <c r="A101" s="124" t="s">
        <v>158</v>
      </c>
      <c r="B101" s="125" t="s">
        <v>515</v>
      </c>
      <c r="C101" s="126">
        <v>45568</v>
      </c>
      <c r="D101" s="127" t="s">
        <v>628</v>
      </c>
      <c r="E101" s="128" t="s">
        <v>629</v>
      </c>
      <c r="F101" s="191" t="s">
        <v>193</v>
      </c>
      <c r="G101" s="130">
        <v>44000</v>
      </c>
      <c r="H101" s="131">
        <v>550</v>
      </c>
      <c r="I101" s="60">
        <f>Таблица22425[[#This Row],[Стоимость, 
грн]]</f>
        <v>44000</v>
      </c>
      <c r="J101" s="12">
        <f>Таблица22425[[#This Row],[Доход, 
грн/рейс]]/Таблица22425[[#This Row],[Километраж, 
км]]</f>
        <v>80</v>
      </c>
      <c r="K101" s="12">
        <v>39000</v>
      </c>
      <c r="L101" s="12">
        <f>Таблица22425[[#This Row],[СС, 
грн/рейс]]/Таблица22425[[#This Row],[Километраж, 
км]]</f>
        <v>70.909090909090907</v>
      </c>
      <c r="M101" s="26">
        <f>Таблица22425[[#This Row],[Доход, 
грн/рейс]]-Таблица22425[[#This Row],[СС, 
грн/рейс]]</f>
        <v>5000</v>
      </c>
      <c r="N101" s="24"/>
      <c r="O101" s="150"/>
    </row>
    <row r="102" spans="1:15" ht="13.8" hidden="1" outlineLevel="1" thickTop="1" x14ac:dyDescent="0.25">
      <c r="A102" s="124" t="s">
        <v>158</v>
      </c>
      <c r="B102" s="125" t="s">
        <v>515</v>
      </c>
      <c r="C102" s="126">
        <v>45568</v>
      </c>
      <c r="D102" s="127" t="s">
        <v>628</v>
      </c>
      <c r="E102" s="128" t="s">
        <v>629</v>
      </c>
      <c r="F102" s="191" t="s">
        <v>193</v>
      </c>
      <c r="G102" s="130">
        <v>44000</v>
      </c>
      <c r="H102" s="131">
        <v>550</v>
      </c>
      <c r="I102" s="60">
        <f>Таблица22425[[#This Row],[Стоимость, 
грн]]</f>
        <v>44000</v>
      </c>
      <c r="J102" s="12">
        <f>Таблица22425[[#This Row],[Доход, 
грн/рейс]]/Таблица22425[[#This Row],[Километраж, 
км]]</f>
        <v>80</v>
      </c>
      <c r="K102" s="12">
        <v>39000</v>
      </c>
      <c r="L102" s="12">
        <f>Таблица22425[[#This Row],[СС, 
грн/рейс]]/Таблица22425[[#This Row],[Километраж, 
км]]</f>
        <v>70.909090909090907</v>
      </c>
      <c r="M102" s="26">
        <f>Таблица22425[[#This Row],[Доход, 
грн/рейс]]-Таблица22425[[#This Row],[СС, 
грн/рейс]]</f>
        <v>5000</v>
      </c>
      <c r="N102" s="24"/>
      <c r="O102" s="150"/>
    </row>
    <row r="103" spans="1:15" ht="13.8" hidden="1" outlineLevel="1" collapsed="1" thickTop="1" x14ac:dyDescent="0.25">
      <c r="A103" s="124" t="s">
        <v>158</v>
      </c>
      <c r="B103" s="125" t="s">
        <v>515</v>
      </c>
      <c r="C103" s="126">
        <v>45598</v>
      </c>
      <c r="D103" s="127" t="s">
        <v>640</v>
      </c>
      <c r="E103" s="128" t="s">
        <v>629</v>
      </c>
      <c r="F103" s="129" t="s">
        <v>195</v>
      </c>
      <c r="G103" s="130">
        <v>18700</v>
      </c>
      <c r="H103" s="131">
        <v>550</v>
      </c>
      <c r="I103" s="60">
        <f>Таблица22425[[#This Row],[Стоимость, 
грн]]</f>
        <v>18700</v>
      </c>
      <c r="J103" s="12">
        <f>Таблица22425[[#This Row],[Доход, 
грн/рейс]]/Таблица22425[[#This Row],[Километраж, 
км]]</f>
        <v>34</v>
      </c>
      <c r="K103" s="12">
        <v>17000</v>
      </c>
      <c r="L103" s="12">
        <f>Таблица22425[[#This Row],[СС, 
грн/рейс]]/Таблица22425[[#This Row],[Километраж, 
км]]</f>
        <v>30.90909090909091</v>
      </c>
      <c r="M103" s="26">
        <f>Таблица22425[[#This Row],[Доход, 
грн/рейс]]-Таблица22425[[#This Row],[СС, 
грн/рейс]]</f>
        <v>1700</v>
      </c>
      <c r="N103" s="24"/>
      <c r="O103" s="150"/>
    </row>
    <row r="104" spans="1:15" ht="13.8" hidden="1" outlineLevel="1" thickTop="1" x14ac:dyDescent="0.25">
      <c r="A104" s="124" t="s">
        <v>158</v>
      </c>
      <c r="B104" s="125" t="s">
        <v>526</v>
      </c>
      <c r="C104" s="126">
        <v>45598</v>
      </c>
      <c r="D104" s="127" t="s">
        <v>641</v>
      </c>
      <c r="E104" s="128" t="s">
        <v>629</v>
      </c>
      <c r="F104" s="129" t="s">
        <v>195</v>
      </c>
      <c r="G104" s="130">
        <v>15400</v>
      </c>
      <c r="H104" s="131">
        <v>550</v>
      </c>
      <c r="I104" s="60">
        <f>Таблица22425[[#This Row],[Стоимость, 
грн]]</f>
        <v>15400</v>
      </c>
      <c r="J104" s="12">
        <f>Таблица22425[[#This Row],[Доход, 
грн/рейс]]/Таблица22425[[#This Row],[Километраж, 
км]]</f>
        <v>28</v>
      </c>
      <c r="K104" s="12">
        <v>14000</v>
      </c>
      <c r="L104" s="12">
        <f>Таблица22425[[#This Row],[СС, 
грн/рейс]]/Таблица22425[[#This Row],[Километраж, 
км]]</f>
        <v>25.454545454545453</v>
      </c>
      <c r="M104" s="26">
        <f>Таблица22425[[#This Row],[Доход, 
грн/рейс]]-Таблица22425[[#This Row],[СС, 
грн/рейс]]</f>
        <v>1400</v>
      </c>
      <c r="N104" s="24"/>
      <c r="O104" s="150"/>
    </row>
    <row r="105" spans="1:15" ht="13.8" hidden="1" outlineLevel="1" thickTop="1" x14ac:dyDescent="0.25">
      <c r="A105" s="124" t="s">
        <v>158</v>
      </c>
      <c r="B105" s="125" t="s">
        <v>526</v>
      </c>
      <c r="C105" s="126">
        <v>45598</v>
      </c>
      <c r="D105" s="127" t="s">
        <v>645</v>
      </c>
      <c r="E105" s="128" t="s">
        <v>302</v>
      </c>
      <c r="F105" s="129" t="s">
        <v>195</v>
      </c>
      <c r="G105" s="130">
        <v>9900</v>
      </c>
      <c r="H105" s="131">
        <v>365</v>
      </c>
      <c r="I105" s="60">
        <f>Таблица22425[[#This Row],[Стоимость, 
грн]]</f>
        <v>9900</v>
      </c>
      <c r="J105" s="12">
        <f>Таблица22425[[#This Row],[Доход, 
грн/рейс]]/Таблица22425[[#This Row],[Километраж, 
км]]</f>
        <v>27.123287671232877</v>
      </c>
      <c r="K105" s="12">
        <v>9000</v>
      </c>
      <c r="L105" s="12">
        <f>Таблица22425[[#This Row],[СС, 
грн/рейс]]/Таблица22425[[#This Row],[Километраж, 
км]]</f>
        <v>24.657534246575342</v>
      </c>
      <c r="M105" s="26">
        <f>Таблица22425[[#This Row],[Доход, 
грн/рейс]]-Таблица22425[[#This Row],[СС, 
грн/рейс]]</f>
        <v>900</v>
      </c>
      <c r="N105" s="24"/>
      <c r="O105" s="150"/>
    </row>
    <row r="106" spans="1:15" ht="13.8" hidden="1" outlineLevel="1" thickTop="1" x14ac:dyDescent="0.25">
      <c r="A106" s="124" t="s">
        <v>158</v>
      </c>
      <c r="B106" s="125" t="s">
        <v>526</v>
      </c>
      <c r="C106" s="126">
        <v>45598</v>
      </c>
      <c r="D106" s="127" t="s">
        <v>645</v>
      </c>
      <c r="E106" s="128" t="s">
        <v>642</v>
      </c>
      <c r="F106" s="129" t="s">
        <v>195</v>
      </c>
      <c r="G106" s="130">
        <v>13200</v>
      </c>
      <c r="H106" s="131">
        <v>550</v>
      </c>
      <c r="I106" s="60">
        <f>Таблица22425[[#This Row],[Стоимость, 
грн]]</f>
        <v>13200</v>
      </c>
      <c r="J106" s="12">
        <f>Таблица22425[[#This Row],[Доход, 
грн/рейс]]/Таблица22425[[#This Row],[Километраж, 
км]]</f>
        <v>24</v>
      </c>
      <c r="K106" s="12">
        <v>12000</v>
      </c>
      <c r="L106" s="12">
        <f>Таблица22425[[#This Row],[СС, 
грн/рейс]]/Таблица22425[[#This Row],[Километраж, 
км]]</f>
        <v>21.818181818181817</v>
      </c>
      <c r="M106" s="26">
        <f>Таблица22425[[#This Row],[Доход, 
грн/рейс]]-Таблица22425[[#This Row],[СС, 
грн/рейс]]</f>
        <v>1200</v>
      </c>
      <c r="N106" s="24"/>
      <c r="O106" s="150"/>
    </row>
    <row r="107" spans="1:15" ht="13.8" hidden="1" outlineLevel="1" thickTop="1" x14ac:dyDescent="0.25">
      <c r="A107" s="124" t="s">
        <v>261</v>
      </c>
      <c r="B107" s="125" t="s">
        <v>515</v>
      </c>
      <c r="C107" s="126">
        <v>45598</v>
      </c>
      <c r="D107" s="127" t="s">
        <v>679</v>
      </c>
      <c r="E107" s="128" t="s">
        <v>305</v>
      </c>
      <c r="F107" s="191" t="s">
        <v>193</v>
      </c>
      <c r="G107" s="130">
        <v>40000</v>
      </c>
      <c r="H107" s="131">
        <v>610</v>
      </c>
      <c r="I107" s="60">
        <f>Таблица22425[[#This Row],[Стоимость, 
грн]]</f>
        <v>40000</v>
      </c>
      <c r="J107" s="12">
        <f>Таблица22425[[#This Row],[Доход, 
грн/рейс]]/Таблица22425[[#This Row],[Километраж, 
км]]</f>
        <v>65.573770491803273</v>
      </c>
      <c r="K107" s="12">
        <v>40000</v>
      </c>
      <c r="L107" s="12">
        <f>Таблица22425[[#This Row],[СС, 
грн/рейс]]/Таблица22425[[#This Row],[Километраж, 
км]]</f>
        <v>65.573770491803273</v>
      </c>
      <c r="M107" s="26">
        <f>Таблица22425[[#This Row],[Доход, 
грн/рейс]]-Таблица22425[[#This Row],[СС, 
грн/рейс]]</f>
        <v>0</v>
      </c>
      <c r="N107" s="24"/>
      <c r="O107" s="150"/>
    </row>
    <row r="108" spans="1:15" ht="13.8" hidden="1" outlineLevel="1" thickTop="1" x14ac:dyDescent="0.25">
      <c r="A108" s="124" t="s">
        <v>135</v>
      </c>
      <c r="B108" s="125" t="s">
        <v>526</v>
      </c>
      <c r="C108" s="126">
        <v>45598</v>
      </c>
      <c r="D108" s="127" t="s">
        <v>680</v>
      </c>
      <c r="E108" s="128" t="s">
        <v>137</v>
      </c>
      <c r="F108" s="129" t="s">
        <v>674</v>
      </c>
      <c r="G108" s="130">
        <v>15000</v>
      </c>
      <c r="H108" s="131">
        <v>610</v>
      </c>
      <c r="I108" s="60">
        <f>Таблица22425[[#This Row],[Стоимость, 
грн]]</f>
        <v>15000</v>
      </c>
      <c r="J108" s="12">
        <f>Таблица22425[[#This Row],[Доход, 
грн/рейс]]/Таблица22425[[#This Row],[Километраж, 
км]]</f>
        <v>24.590163934426229</v>
      </c>
      <c r="K108" s="12">
        <v>14000</v>
      </c>
      <c r="L108" s="12">
        <f>Таблица22425[[#This Row],[СС, 
грн/рейс]]/Таблица22425[[#This Row],[Километраж, 
км]]</f>
        <v>22.950819672131146</v>
      </c>
      <c r="M108" s="26">
        <f>Таблица22425[[#This Row],[Доход, 
грн/рейс]]-Таблица22425[[#This Row],[СС, 
грн/рейс]]</f>
        <v>1000</v>
      </c>
      <c r="N108" s="24"/>
      <c r="O108" s="150"/>
    </row>
    <row r="109" spans="1:15" ht="13.8" hidden="1" collapsed="1" thickTop="1" x14ac:dyDescent="0.25">
      <c r="A109" s="124" t="s">
        <v>261</v>
      </c>
      <c r="B109" s="125" t="s">
        <v>526</v>
      </c>
      <c r="C109" s="126">
        <v>45627</v>
      </c>
      <c r="D109" s="152" t="s">
        <v>691</v>
      </c>
      <c r="E109" s="157" t="s">
        <v>297</v>
      </c>
      <c r="F109" s="158" t="s">
        <v>690</v>
      </c>
      <c r="G109" s="130">
        <v>6600</v>
      </c>
      <c r="H109" s="131">
        <v>250</v>
      </c>
      <c r="I109" s="60">
        <f>Таблица22425[[#This Row],[Стоимость, 
грн]]</f>
        <v>6600</v>
      </c>
      <c r="J109" s="12">
        <f>Таблица22425[[#This Row],[Доход, 
грн/рейс]]/Таблица22425[[#This Row],[Километраж, 
км]]</f>
        <v>26.4</v>
      </c>
      <c r="K109" s="12">
        <v>6000</v>
      </c>
      <c r="L109" s="12">
        <f>Таблица22425[[#This Row],[СС, 
грн/рейс]]/Таблица22425[[#This Row],[Километраж, 
км]]</f>
        <v>24</v>
      </c>
      <c r="M109" s="26">
        <f>Таблица22425[[#This Row],[Доход, 
грн/рейс]]-Таблица22425[[#This Row],[СС, 
грн/рейс]]</f>
        <v>600</v>
      </c>
      <c r="N109" s="24"/>
      <c r="O109" s="150"/>
    </row>
    <row r="110" spans="1:15" ht="13.8" hidden="1" thickTop="1" x14ac:dyDescent="0.25">
      <c r="A110" s="124" t="s">
        <v>261</v>
      </c>
      <c r="B110" s="125" t="s">
        <v>515</v>
      </c>
      <c r="C110" s="126">
        <v>45627</v>
      </c>
      <c r="D110" s="152" t="s">
        <v>694</v>
      </c>
      <c r="E110" s="128" t="s">
        <v>305</v>
      </c>
      <c r="F110" s="129" t="s">
        <v>195</v>
      </c>
      <c r="G110" s="130">
        <v>21450</v>
      </c>
      <c r="H110" s="131">
        <v>630</v>
      </c>
      <c r="I110" s="60">
        <f>Таблица22425[[#This Row],[Стоимость, 
грн]]</f>
        <v>21450</v>
      </c>
      <c r="J110" s="12">
        <f>Таблица22425[[#This Row],[Доход, 
грн/рейс]]/Таблица22425[[#This Row],[Километраж, 
км]]</f>
        <v>34.047619047619051</v>
      </c>
      <c r="K110" s="12">
        <v>19500</v>
      </c>
      <c r="L110" s="12">
        <f>Таблица22425[[#This Row],[СС, 
грн/рейс]]/Таблица22425[[#This Row],[Километраж, 
км]]</f>
        <v>30.952380952380953</v>
      </c>
      <c r="M110" s="26">
        <f>Таблица22425[[#This Row],[Доход, 
грн/рейс]]-Таблица22425[[#This Row],[СС, 
грн/рейс]]</f>
        <v>1950</v>
      </c>
      <c r="N110" s="24"/>
      <c r="O110" s="150"/>
    </row>
    <row r="111" spans="1:15" ht="13.8" hidden="1" thickTop="1" x14ac:dyDescent="0.25">
      <c r="A111" s="124" t="s">
        <v>135</v>
      </c>
      <c r="B111" s="125" t="s">
        <v>526</v>
      </c>
      <c r="C111" s="126">
        <v>45627</v>
      </c>
      <c r="D111" s="127" t="s">
        <v>702</v>
      </c>
      <c r="E111" s="128" t="s">
        <v>445</v>
      </c>
      <c r="F111" s="129" t="s">
        <v>703</v>
      </c>
      <c r="G111" s="130">
        <v>14500</v>
      </c>
      <c r="H111" s="131">
        <v>400</v>
      </c>
      <c r="I111" s="60">
        <f>Таблица22425[[#This Row],[Стоимость, 
грн]]</f>
        <v>14500</v>
      </c>
      <c r="J111" s="12">
        <f>Таблица22425[[#This Row],[Доход, 
грн/рейс]]/Таблица22425[[#This Row],[Километраж, 
км]]</f>
        <v>36.25</v>
      </c>
      <c r="K111" s="12">
        <v>14000</v>
      </c>
      <c r="L111" s="12">
        <f>Таблица22425[[#This Row],[СС, 
грн/рейс]]/Таблица22425[[#This Row],[Километраж, 
км]]</f>
        <v>35</v>
      </c>
      <c r="M111" s="26">
        <f>Таблица22425[[#This Row],[Доход, 
грн/рейс]]-Таблица22425[[#This Row],[СС, 
грн/рейс]]</f>
        <v>500</v>
      </c>
      <c r="N111" s="24"/>
      <c r="O111" s="150"/>
    </row>
    <row r="112" spans="1:15" ht="13.8" hidden="1" thickTop="1" x14ac:dyDescent="0.25">
      <c r="A112" s="124" t="s">
        <v>99</v>
      </c>
      <c r="B112" s="125" t="s">
        <v>515</v>
      </c>
      <c r="C112" s="126">
        <v>45627</v>
      </c>
      <c r="D112" s="127" t="s">
        <v>704</v>
      </c>
      <c r="E112" s="128" t="s">
        <v>705</v>
      </c>
      <c r="F112" s="191" t="s">
        <v>90</v>
      </c>
      <c r="G112" s="130">
        <v>23000</v>
      </c>
      <c r="H112" s="131">
        <v>385</v>
      </c>
      <c r="I112" s="60">
        <f>Таблица22425[[#This Row],[Стоимость, 
грн]]</f>
        <v>23000</v>
      </c>
      <c r="J112" s="12">
        <f>Таблица22425[[#This Row],[Доход, 
грн/рейс]]/Таблица22425[[#This Row],[Километраж, 
км]]</f>
        <v>59.740259740259738</v>
      </c>
      <c r="K112" s="12">
        <v>22000</v>
      </c>
      <c r="L112" s="12">
        <f>Таблица22425[[#This Row],[СС, 
грн/рейс]]/Таблица22425[[#This Row],[Километраж, 
км]]</f>
        <v>57.142857142857146</v>
      </c>
      <c r="M112" s="26">
        <f>Таблица22425[[#This Row],[Доход, 
грн/рейс]]-Таблица22425[[#This Row],[СС, 
грн/рейс]]</f>
        <v>1000</v>
      </c>
      <c r="N112" s="24"/>
      <c r="O112" s="150"/>
    </row>
    <row r="113" spans="1:15" ht="13.8" hidden="1" thickTop="1" x14ac:dyDescent="0.25">
      <c r="A113" s="124" t="s">
        <v>261</v>
      </c>
      <c r="B113" s="125" t="s">
        <v>722</v>
      </c>
      <c r="C113" s="126">
        <v>45627</v>
      </c>
      <c r="D113" s="127" t="s">
        <v>723</v>
      </c>
      <c r="E113" s="128" t="s">
        <v>724</v>
      </c>
      <c r="F113" s="129" t="s">
        <v>195</v>
      </c>
      <c r="G113" s="130">
        <v>26400</v>
      </c>
      <c r="H113" s="131">
        <v>760</v>
      </c>
      <c r="I113" s="60">
        <f>Таблица22425[[#This Row],[Стоимость, 
грн]]</f>
        <v>26400</v>
      </c>
      <c r="J113" s="12">
        <f>Таблица22425[[#This Row],[Доход, 
грн/рейс]]/Таблица22425[[#This Row],[Километраж, 
км]]</f>
        <v>34.736842105263158</v>
      </c>
      <c r="K113" s="12">
        <v>24000</v>
      </c>
      <c r="L113" s="12">
        <f>Таблица22425[[#This Row],[СС, 
грн/рейс]]/Таблица22425[[#This Row],[Километраж, 
км]]</f>
        <v>31.578947368421051</v>
      </c>
      <c r="M113" s="26">
        <f>Таблица22425[[#This Row],[Доход, 
грн/рейс]]-Таблица22425[[#This Row],[СС, 
грн/рейс]]</f>
        <v>2400</v>
      </c>
      <c r="N113" s="24"/>
      <c r="O113" s="150"/>
    </row>
    <row r="114" spans="1:15" ht="13.8" hidden="1" thickTop="1" x14ac:dyDescent="0.25">
      <c r="A114" s="124" t="s">
        <v>99</v>
      </c>
      <c r="B114" s="125" t="s">
        <v>526</v>
      </c>
      <c r="C114" s="126">
        <v>45627</v>
      </c>
      <c r="D114" s="127" t="s">
        <v>725</v>
      </c>
      <c r="E114" s="128" t="s">
        <v>705</v>
      </c>
      <c r="F114" s="191" t="s">
        <v>90</v>
      </c>
      <c r="G114" s="130">
        <v>23000</v>
      </c>
      <c r="H114" s="131">
        <v>385</v>
      </c>
      <c r="I114" s="60">
        <f>Таблица22425[[#This Row],[Стоимость, 
грн]]</f>
        <v>23000</v>
      </c>
      <c r="J114" s="12">
        <f>Таблица22425[[#This Row],[Доход, 
грн/рейс]]/Таблица22425[[#This Row],[Километраж, 
км]]</f>
        <v>59.740259740259738</v>
      </c>
      <c r="K114" s="12">
        <v>21500</v>
      </c>
      <c r="L114" s="12">
        <f>Таблица22425[[#This Row],[СС, 
грн/рейс]]/Таблица22425[[#This Row],[Километраж, 
км]]</f>
        <v>55.844155844155843</v>
      </c>
      <c r="M114" s="26">
        <f>Таблица22425[[#This Row],[Доход, 
грн/рейс]]-Таблица22425[[#This Row],[СС, 
грн/рейс]]</f>
        <v>1500</v>
      </c>
      <c r="N114" s="24"/>
      <c r="O114" s="150"/>
    </row>
    <row r="115" spans="1:15" ht="13.8" hidden="1" thickTop="1" x14ac:dyDescent="0.25">
      <c r="A115" s="14" t="s">
        <v>539</v>
      </c>
      <c r="B115" s="125" t="s">
        <v>526</v>
      </c>
      <c r="C115" s="126">
        <v>45627</v>
      </c>
      <c r="D115" s="161" t="s">
        <v>735</v>
      </c>
      <c r="E115" s="157" t="s">
        <v>744</v>
      </c>
      <c r="F115" s="158" t="s">
        <v>745</v>
      </c>
      <c r="G115" s="130">
        <v>7100</v>
      </c>
      <c r="H115" s="131">
        <v>280</v>
      </c>
      <c r="I115" s="60">
        <f>Таблица22425[[#This Row],[Стоимость, 
грн]]</f>
        <v>7100</v>
      </c>
      <c r="J115" s="12">
        <f>Таблица22425[[#This Row],[Доход, 
грн/рейс]]/Таблица22425[[#This Row],[Километраж, 
км]]</f>
        <v>25.357142857142858</v>
      </c>
      <c r="K115" s="12">
        <v>6500</v>
      </c>
      <c r="L115" s="12">
        <f>Таблица22425[[#This Row],[СС, 
грн/рейс]]/Таблица22425[[#This Row],[Километраж, 
км]]</f>
        <v>23.214285714285715</v>
      </c>
      <c r="M115" s="26">
        <f>Таблица22425[[#This Row],[Доход, 
грн/рейс]]-Таблица22425[[#This Row],[СС, 
грн/рейс]]</f>
        <v>600</v>
      </c>
      <c r="N115" s="24"/>
      <c r="O115" s="150"/>
    </row>
    <row r="116" spans="1:15" ht="13.8" hidden="1" thickTop="1" x14ac:dyDescent="0.25">
      <c r="A116" s="124" t="s">
        <v>99</v>
      </c>
      <c r="B116" s="125" t="s">
        <v>526</v>
      </c>
      <c r="C116" s="126">
        <v>45627</v>
      </c>
      <c r="D116" s="161" t="s">
        <v>747</v>
      </c>
      <c r="E116" s="128" t="s">
        <v>705</v>
      </c>
      <c r="F116" s="191" t="s">
        <v>90</v>
      </c>
      <c r="G116" s="130">
        <v>23000</v>
      </c>
      <c r="H116" s="131">
        <v>385</v>
      </c>
      <c r="I116" s="60">
        <f>Таблица22425[[#This Row],[Стоимость, 
грн]]</f>
        <v>23000</v>
      </c>
      <c r="J116" s="12">
        <f>Таблица22425[[#This Row],[Доход, 
грн/рейс]]/Таблица22425[[#This Row],[Километраж, 
км]]</f>
        <v>59.740259740259738</v>
      </c>
      <c r="K116" s="12">
        <v>22000</v>
      </c>
      <c r="L116" s="12">
        <f>Таблица22425[[#This Row],[СС, 
грн/рейс]]/Таблица22425[[#This Row],[Километраж, 
км]]</f>
        <v>57.142857142857146</v>
      </c>
      <c r="M116" s="26">
        <f>Таблица22425[[#This Row],[Доход, 
грн/рейс]]-Таблица22425[[#This Row],[СС, 
грн/рейс]]</f>
        <v>1000</v>
      </c>
      <c r="N116" s="24"/>
      <c r="O116" s="150"/>
    </row>
    <row r="117" spans="1:15" ht="13.8" hidden="1" thickTop="1" x14ac:dyDescent="0.25">
      <c r="A117" s="124" t="s">
        <v>261</v>
      </c>
      <c r="B117" s="125" t="s">
        <v>722</v>
      </c>
      <c r="C117" s="126">
        <v>45627</v>
      </c>
      <c r="D117" s="152" t="s">
        <v>750</v>
      </c>
      <c r="E117" s="128" t="s">
        <v>724</v>
      </c>
      <c r="F117" s="129" t="s">
        <v>195</v>
      </c>
      <c r="G117" s="130">
        <v>19800</v>
      </c>
      <c r="H117" s="131">
        <v>760</v>
      </c>
      <c r="I117" s="60">
        <f>Таблица22425[[#This Row],[Стоимость, 
грн]]</f>
        <v>19800</v>
      </c>
      <c r="J117" s="12">
        <f>Таблица22425[[#This Row],[Доход, 
грн/рейс]]/Таблица22425[[#This Row],[Километраж, 
км]]</f>
        <v>26.05263157894737</v>
      </c>
      <c r="K117" s="12">
        <v>18000</v>
      </c>
      <c r="L117" s="12">
        <f>Таблица22425[[#This Row],[СС, 
грн/рейс]]/Таблица22425[[#This Row],[Километраж, 
км]]</f>
        <v>23.684210526315791</v>
      </c>
      <c r="M117" s="26">
        <f>Таблица22425[[#This Row],[Доход, 
грн/рейс]]-Таблица22425[[#This Row],[СС, 
грн/рейс]]</f>
        <v>1800</v>
      </c>
      <c r="N117" s="24"/>
      <c r="O117" s="150"/>
    </row>
    <row r="118" spans="1:15" ht="13.8" hidden="1" thickTop="1" x14ac:dyDescent="0.25">
      <c r="A118" s="14" t="s">
        <v>754</v>
      </c>
      <c r="B118" s="125" t="s">
        <v>526</v>
      </c>
      <c r="C118" s="126">
        <v>45627</v>
      </c>
      <c r="D118" s="152" t="s">
        <v>738</v>
      </c>
      <c r="E118" s="157" t="s">
        <v>755</v>
      </c>
      <c r="F118" s="158" t="s">
        <v>170</v>
      </c>
      <c r="G118" s="130">
        <v>11550</v>
      </c>
      <c r="H118" s="131">
        <v>470</v>
      </c>
      <c r="I118" s="60">
        <v>11550</v>
      </c>
      <c r="J118" s="12">
        <f>Таблица22425[[#This Row],[Доход, 
грн/рейс]]/Таблица22425[[#This Row],[Километраж, 
км]]</f>
        <v>24.574468085106382</v>
      </c>
      <c r="K118" s="12">
        <v>10500</v>
      </c>
      <c r="L118" s="12">
        <f>Таблица22425[[#This Row],[СС, 
грн/рейс]]/Таблица22425[[#This Row],[Километраж, 
км]]</f>
        <v>22.340425531914892</v>
      </c>
      <c r="M118" s="26">
        <f>Таблица22425[[#This Row],[Доход, 
грн/рейс]]-Таблица22425[[#This Row],[СС, 
грн/рейс]]</f>
        <v>1050</v>
      </c>
      <c r="N118" s="24"/>
      <c r="O118" s="150"/>
    </row>
    <row r="119" spans="1:15" ht="13.8" hidden="1" thickTop="1" x14ac:dyDescent="0.25">
      <c r="A119" s="124" t="s">
        <v>708</v>
      </c>
      <c r="B119" s="125" t="s">
        <v>526</v>
      </c>
      <c r="C119" s="178">
        <v>45658</v>
      </c>
      <c r="D119" s="179" t="s">
        <v>765</v>
      </c>
      <c r="E119" s="157" t="s">
        <v>764</v>
      </c>
      <c r="F119" s="129" t="s">
        <v>195</v>
      </c>
      <c r="G119" s="130">
        <v>22000</v>
      </c>
      <c r="H119" s="131">
        <v>475</v>
      </c>
      <c r="I119" s="60">
        <f>Таблица22425[[#This Row],[Стоимость, 
грн]]</f>
        <v>22000</v>
      </c>
      <c r="J119" s="12">
        <f>Таблица22425[[#This Row],[Доход, 
грн/рейс]]/Таблица22425[[#This Row],[Километраж, 
км]]</f>
        <v>46.315789473684212</v>
      </c>
      <c r="K119" s="12">
        <v>20000</v>
      </c>
      <c r="L119" s="12">
        <f>Таблица22425[[#This Row],[СС, 
грн/рейс]]/Таблица22425[[#This Row],[Километраж, 
км]]</f>
        <v>42.10526315789474</v>
      </c>
      <c r="M119" s="26">
        <f>Таблица22425[[#This Row],[Доход, 
грн/рейс]]-Таблица22425[[#This Row],[СС, 
грн/рейс]]</f>
        <v>2000</v>
      </c>
      <c r="N119" s="24"/>
      <c r="O119" s="150"/>
    </row>
    <row r="120" spans="1:15" ht="13.8" hidden="1" thickTop="1" x14ac:dyDescent="0.25">
      <c r="A120" s="124" t="s">
        <v>135</v>
      </c>
      <c r="B120" s="125" t="s">
        <v>526</v>
      </c>
      <c r="C120" s="178">
        <v>45658</v>
      </c>
      <c r="D120" s="179" t="s">
        <v>765</v>
      </c>
      <c r="E120" s="157" t="s">
        <v>766</v>
      </c>
      <c r="F120" s="158" t="s">
        <v>40</v>
      </c>
      <c r="G120" s="130">
        <v>13000</v>
      </c>
      <c r="H120" s="131">
        <v>285</v>
      </c>
      <c r="I120" s="60">
        <f>Таблица22425[[#This Row],[Стоимость, 
грн]]</f>
        <v>13000</v>
      </c>
      <c r="J120" s="12">
        <f>Таблица22425[[#This Row],[Доход, 
грн/рейс]]/Таблица22425[[#This Row],[Километраж, 
км]]</f>
        <v>45.614035087719301</v>
      </c>
      <c r="K120" s="12">
        <v>12000</v>
      </c>
      <c r="L120" s="12">
        <f>Таблица22425[[#This Row],[СС, 
грн/рейс]]/Таблица22425[[#This Row],[Километраж, 
км]]</f>
        <v>42.10526315789474</v>
      </c>
      <c r="M120" s="26">
        <f>Таблица22425[[#This Row],[Доход, 
грн/рейс]]-Таблица22425[[#This Row],[СС, 
грн/рейс]]</f>
        <v>1000</v>
      </c>
      <c r="N120" s="24"/>
      <c r="O120" s="150"/>
    </row>
    <row r="121" spans="1:15" ht="13.8" hidden="1" thickTop="1" x14ac:dyDescent="0.25">
      <c r="A121" s="124" t="s">
        <v>99</v>
      </c>
      <c r="B121" s="125" t="s">
        <v>526</v>
      </c>
      <c r="C121" s="178">
        <v>45658</v>
      </c>
      <c r="D121" s="179" t="s">
        <v>772</v>
      </c>
      <c r="E121" s="157" t="s">
        <v>770</v>
      </c>
      <c r="F121" s="158" t="s">
        <v>771</v>
      </c>
      <c r="G121" s="130">
        <v>12100</v>
      </c>
      <c r="H121" s="131">
        <v>220</v>
      </c>
      <c r="I121" s="60">
        <f>Таблица22425[[#This Row],[Стоимость, 
грн]]</f>
        <v>12100</v>
      </c>
      <c r="J121" s="12">
        <f>Таблица22425[[#This Row],[Доход, 
грн/рейс]]/Таблица22425[[#This Row],[Километраж, 
км]]</f>
        <v>55</v>
      </c>
      <c r="K121" s="12">
        <v>11000</v>
      </c>
      <c r="L121" s="12">
        <f>Таблица22425[[#This Row],[СС, 
грн/рейс]]/Таблица22425[[#This Row],[Километраж, 
км]]</f>
        <v>50</v>
      </c>
      <c r="M121" s="26">
        <f>Таблица22425[[#This Row],[Доход, 
грн/рейс]]-Таблица22425[[#This Row],[СС, 
грн/рейс]]</f>
        <v>1100</v>
      </c>
      <c r="N121" s="24"/>
      <c r="O121" s="150"/>
    </row>
    <row r="122" spans="1:15" ht="13.8" hidden="1" thickTop="1" x14ac:dyDescent="0.25">
      <c r="A122" s="124" t="s">
        <v>708</v>
      </c>
      <c r="B122" s="125" t="s">
        <v>722</v>
      </c>
      <c r="C122" s="178">
        <v>45658</v>
      </c>
      <c r="D122" s="179" t="s">
        <v>777</v>
      </c>
      <c r="E122" s="157" t="s">
        <v>776</v>
      </c>
      <c r="F122" s="129" t="s">
        <v>195</v>
      </c>
      <c r="G122" s="130">
        <v>12000</v>
      </c>
      <c r="H122" s="131">
        <v>740</v>
      </c>
      <c r="I122" s="60">
        <f>Таблица22425[[#This Row],[Стоимость, 
грн]]</f>
        <v>12000</v>
      </c>
      <c r="J122" s="12">
        <f>Таблица22425[[#This Row],[Доход, 
грн/рейс]]/Таблица22425[[#This Row],[Километраж, 
км]]</f>
        <v>16.216216216216218</v>
      </c>
      <c r="K122" s="12">
        <v>11000</v>
      </c>
      <c r="L122" s="12">
        <f>Таблица22425[[#This Row],[СС, 
грн/рейс]]/Таблица22425[[#This Row],[Километраж, 
км]]</f>
        <v>14.864864864864865</v>
      </c>
      <c r="M122" s="26">
        <f>Таблица22425[[#This Row],[Доход, 
грн/рейс]]-Таблица22425[[#This Row],[СС, 
грн/рейс]]</f>
        <v>1000</v>
      </c>
      <c r="N122" s="24"/>
      <c r="O122" s="150"/>
    </row>
    <row r="123" spans="1:15" ht="13.8" hidden="1" thickTop="1" x14ac:dyDescent="0.25">
      <c r="A123" s="124" t="s">
        <v>135</v>
      </c>
      <c r="B123" s="125" t="s">
        <v>526</v>
      </c>
      <c r="C123" s="178">
        <v>45658</v>
      </c>
      <c r="D123" s="179" t="s">
        <v>786</v>
      </c>
      <c r="E123" s="157" t="s">
        <v>137</v>
      </c>
      <c r="F123" s="331" t="s">
        <v>785</v>
      </c>
      <c r="G123" s="130">
        <v>36000</v>
      </c>
      <c r="H123" s="131">
        <v>600</v>
      </c>
      <c r="I123" s="60">
        <f>Таблица22425[[#This Row],[Стоимость, 
грн]]</f>
        <v>36000</v>
      </c>
      <c r="J123" s="12">
        <f>Таблица22425[[#This Row],[Доход, 
грн/рейс]]/Таблица22425[[#This Row],[Километраж, 
км]]</f>
        <v>60</v>
      </c>
      <c r="K123" s="12">
        <v>33000</v>
      </c>
      <c r="L123" s="12">
        <f>Таблица22425[[#This Row],[СС, 
грн/рейс]]/Таблица22425[[#This Row],[Километраж, 
км]]</f>
        <v>55</v>
      </c>
      <c r="M123" s="26">
        <f>Таблица22425[[#This Row],[Доход, 
грн/рейс]]-Таблица22425[[#This Row],[СС, 
грн/рейс]]</f>
        <v>3000</v>
      </c>
      <c r="N123" s="24"/>
      <c r="O123" s="150"/>
    </row>
    <row r="124" spans="1:15" ht="13.8" hidden="1" thickTop="1" x14ac:dyDescent="0.25">
      <c r="A124" s="124" t="s">
        <v>135</v>
      </c>
      <c r="B124" s="125" t="s">
        <v>526</v>
      </c>
      <c r="C124" s="178">
        <v>45658</v>
      </c>
      <c r="D124" s="179" t="s">
        <v>786</v>
      </c>
      <c r="E124" s="157" t="s">
        <v>137</v>
      </c>
      <c r="F124" s="331" t="s">
        <v>785</v>
      </c>
      <c r="G124" s="130">
        <v>36000</v>
      </c>
      <c r="H124" s="131">
        <v>600</v>
      </c>
      <c r="I124" s="60">
        <f>Таблица22425[[#This Row],[Стоимость, 
грн]]</f>
        <v>36000</v>
      </c>
      <c r="J124" s="12">
        <f>Таблица22425[[#This Row],[Доход, 
грн/рейс]]/Таблица22425[[#This Row],[Километраж, 
км]]</f>
        <v>60</v>
      </c>
      <c r="K124" s="12">
        <v>33000</v>
      </c>
      <c r="L124" s="12">
        <f>Таблица22425[[#This Row],[СС, 
грн/рейс]]/Таблица22425[[#This Row],[Километраж, 
км]]</f>
        <v>55</v>
      </c>
      <c r="M124" s="26">
        <f>Таблица22425[[#This Row],[Доход, 
грн/рейс]]-Таблица22425[[#This Row],[СС, 
грн/рейс]]</f>
        <v>3000</v>
      </c>
      <c r="N124" s="24"/>
      <c r="O124" s="150"/>
    </row>
    <row r="125" spans="1:15" ht="13.8" hidden="1" thickTop="1" x14ac:dyDescent="0.25">
      <c r="A125" s="124" t="s">
        <v>135</v>
      </c>
      <c r="B125" s="125" t="s">
        <v>526</v>
      </c>
      <c r="C125" s="178">
        <v>45658</v>
      </c>
      <c r="D125" s="179" t="s">
        <v>786</v>
      </c>
      <c r="E125" s="157" t="s">
        <v>535</v>
      </c>
      <c r="F125" s="331" t="s">
        <v>40</v>
      </c>
      <c r="G125" s="130">
        <v>18250</v>
      </c>
      <c r="H125" s="131">
        <v>285</v>
      </c>
      <c r="I125" s="60">
        <f>Таблица22425[[#This Row],[Стоимость, 
грн]]</f>
        <v>18250</v>
      </c>
      <c r="J125" s="12">
        <f>Таблица22425[[#This Row],[Доход, 
грн/рейс]]/Таблица22425[[#This Row],[Километраж, 
км]]</f>
        <v>64.035087719298247</v>
      </c>
      <c r="K125" s="12">
        <v>18000</v>
      </c>
      <c r="L125" s="12">
        <f>Таблица22425[[#This Row],[СС, 
грн/рейс]]/Таблица22425[[#This Row],[Километраж, 
км]]</f>
        <v>63.157894736842103</v>
      </c>
      <c r="M125" s="26">
        <f>Таблица22425[[#This Row],[Доход, 
грн/рейс]]-Таблица22425[[#This Row],[СС, 
грн/рейс]]</f>
        <v>250</v>
      </c>
      <c r="N125" s="24"/>
      <c r="O125" s="150"/>
    </row>
    <row r="126" spans="1:15" ht="13.8" hidden="1" thickTop="1" x14ac:dyDescent="0.25">
      <c r="A126" s="14" t="s">
        <v>762</v>
      </c>
      <c r="B126" s="125" t="s">
        <v>722</v>
      </c>
      <c r="C126" s="178">
        <v>45658</v>
      </c>
      <c r="D126" s="179" t="s">
        <v>787</v>
      </c>
      <c r="E126" s="157" t="s">
        <v>789</v>
      </c>
      <c r="F126" s="129" t="s">
        <v>195</v>
      </c>
      <c r="G126" s="130">
        <v>9900</v>
      </c>
      <c r="H126" s="131">
        <v>325</v>
      </c>
      <c r="I126" s="60">
        <f>Таблица22425[[#This Row],[Стоимость, 
грн]]</f>
        <v>9900</v>
      </c>
      <c r="J126" s="12">
        <f>Таблица22425[[#This Row],[Доход, 
грн/рейс]]/Таблица22425[[#This Row],[Километраж, 
км]]</f>
        <v>30.46153846153846</v>
      </c>
      <c r="K126" s="12">
        <v>9000</v>
      </c>
      <c r="L126" s="12">
        <f>Таблица22425[[#This Row],[СС, 
грн/рейс]]/Таблица22425[[#This Row],[Километраж, 
км]]</f>
        <v>27.692307692307693</v>
      </c>
      <c r="M126" s="26">
        <f>Таблица22425[[#This Row],[Доход, 
грн/рейс]]-Таблица22425[[#This Row],[СС, 
грн/рейс]]</f>
        <v>900</v>
      </c>
      <c r="N126" s="24"/>
      <c r="O126" s="150"/>
    </row>
    <row r="127" spans="1:15" ht="13.8" hidden="1" thickTop="1" x14ac:dyDescent="0.25">
      <c r="A127" s="14" t="s">
        <v>762</v>
      </c>
      <c r="B127" s="125" t="s">
        <v>526</v>
      </c>
      <c r="C127" s="178">
        <v>45658</v>
      </c>
      <c r="D127" s="179" t="s">
        <v>788</v>
      </c>
      <c r="E127" s="157" t="s">
        <v>790</v>
      </c>
      <c r="F127" s="158" t="s">
        <v>791</v>
      </c>
      <c r="G127" s="130">
        <v>11000</v>
      </c>
      <c r="H127" s="131">
        <v>610</v>
      </c>
      <c r="I127" s="60">
        <f>Таблица22425[[#This Row],[Стоимость, 
грн]]</f>
        <v>11000</v>
      </c>
      <c r="J127" s="12">
        <f>Таблица22425[[#This Row],[Доход, 
грн/рейс]]/Таблица22425[[#This Row],[Километраж, 
км]]</f>
        <v>18.032786885245901</v>
      </c>
      <c r="K127" s="12">
        <v>10000</v>
      </c>
      <c r="L127" s="12">
        <f>Таблица22425[[#This Row],[СС, 
грн/рейс]]/Таблица22425[[#This Row],[Километраж, 
км]]</f>
        <v>16.393442622950818</v>
      </c>
      <c r="M127" s="26">
        <f>Таблица22425[[#This Row],[Доход, 
грн/рейс]]-Таблица22425[[#This Row],[СС, 
грн/рейс]]</f>
        <v>1000</v>
      </c>
      <c r="N127" s="24"/>
      <c r="O127" s="150"/>
    </row>
    <row r="128" spans="1:15" ht="13.8" hidden="1" thickTop="1" x14ac:dyDescent="0.25">
      <c r="A128" s="14" t="s">
        <v>754</v>
      </c>
      <c r="B128" s="125" t="s">
        <v>526</v>
      </c>
      <c r="C128" s="183">
        <v>45689</v>
      </c>
      <c r="D128" s="186" t="s">
        <v>811</v>
      </c>
      <c r="E128" s="157" t="s">
        <v>812</v>
      </c>
      <c r="F128" s="331" t="s">
        <v>813</v>
      </c>
      <c r="G128" s="130">
        <v>79600</v>
      </c>
      <c r="H128" s="185">
        <v>600</v>
      </c>
      <c r="I128" s="60">
        <v>79600</v>
      </c>
      <c r="J128" s="12">
        <f>Таблица22425[[#This Row],[Доход, 
грн/рейс]]/Таблица22425[[#This Row],[Километраж, 
км]]</f>
        <v>132.66666666666666</v>
      </c>
      <c r="K128" s="12">
        <v>68000</v>
      </c>
      <c r="L128" s="12">
        <f>Таблица22425[[#This Row],[СС, 
грн/рейс]]/Таблица22425[[#This Row],[Километраж, 
км]]</f>
        <v>113.33333333333333</v>
      </c>
      <c r="M128" s="26">
        <f>Таблица22425[[#This Row],[Доход, 
грн/рейс]]-Таблица22425[[#This Row],[СС, 
грн/рейс]]</f>
        <v>11600</v>
      </c>
      <c r="N128" s="24"/>
      <c r="O128" s="150"/>
    </row>
    <row r="129" spans="1:15" ht="13.8" hidden="1" thickTop="1" x14ac:dyDescent="0.25">
      <c r="A129" s="124" t="s">
        <v>135</v>
      </c>
      <c r="B129" s="125" t="s">
        <v>526</v>
      </c>
      <c r="C129" s="183">
        <v>45689</v>
      </c>
      <c r="D129" s="186" t="s">
        <v>814</v>
      </c>
      <c r="E129" s="157" t="s">
        <v>766</v>
      </c>
      <c r="F129" s="158" t="s">
        <v>40</v>
      </c>
      <c r="G129" s="130">
        <v>18250</v>
      </c>
      <c r="H129" s="131">
        <v>285</v>
      </c>
      <c r="I129" s="60">
        <f>Таблица22425[[#This Row],[Стоимость, 
грн]]</f>
        <v>18250</v>
      </c>
      <c r="J129" s="12">
        <f>Таблица22425[[#This Row],[Доход, 
грн/рейс]]/Таблица22425[[#This Row],[Километраж, 
км]]</f>
        <v>64.035087719298247</v>
      </c>
      <c r="K129" s="12">
        <v>18000</v>
      </c>
      <c r="L129" s="12">
        <f>Таблица22425[[#This Row],[СС, 
грн/рейс]]/Таблица22425[[#This Row],[Километраж, 
км]]</f>
        <v>63.157894736842103</v>
      </c>
      <c r="M129" s="26">
        <f>Таблица22425[[#This Row],[Доход, 
грн/рейс]]-Таблица22425[[#This Row],[СС, 
грн/рейс]]</f>
        <v>250</v>
      </c>
      <c r="N129" s="24"/>
      <c r="O129" s="150"/>
    </row>
    <row r="130" spans="1:15" ht="13.8" hidden="1" thickTop="1" x14ac:dyDescent="0.25">
      <c r="A130" s="14" t="s">
        <v>825</v>
      </c>
      <c r="B130" s="125" t="s">
        <v>515</v>
      </c>
      <c r="C130" s="183">
        <v>45689</v>
      </c>
      <c r="D130" s="186" t="s">
        <v>822</v>
      </c>
      <c r="E130" s="157" t="s">
        <v>823</v>
      </c>
      <c r="F130" s="158" t="s">
        <v>824</v>
      </c>
      <c r="G130" s="130">
        <v>18900</v>
      </c>
      <c r="H130" s="131">
        <v>460</v>
      </c>
      <c r="I130" s="60">
        <f>Таблица22425[[#This Row],[Стоимость, 
грн]]</f>
        <v>18900</v>
      </c>
      <c r="J130" s="12">
        <f>Таблица22425[[#This Row],[Доход, 
грн/рейс]]/Таблица22425[[#This Row],[Километраж, 
км]]</f>
        <v>41.086956521739133</v>
      </c>
      <c r="K130" s="12">
        <v>18000</v>
      </c>
      <c r="L130" s="12">
        <f>Таблица22425[[#This Row],[СС, 
грн/рейс]]/Таблица22425[[#This Row],[Километраж, 
км]]</f>
        <v>39.130434782608695</v>
      </c>
      <c r="M130" s="26">
        <f>Таблица22425[[#This Row],[Доход, 
грн/рейс]]-Таблица22425[[#This Row],[СС, 
грн/рейс]]</f>
        <v>900</v>
      </c>
      <c r="N130" s="24"/>
      <c r="O130" s="150"/>
    </row>
    <row r="131" spans="1:15" ht="13.8" hidden="1" thickTop="1" x14ac:dyDescent="0.25">
      <c r="A131" s="14" t="s">
        <v>754</v>
      </c>
      <c r="B131" s="125" t="s">
        <v>722</v>
      </c>
      <c r="C131" s="183">
        <v>45689</v>
      </c>
      <c r="D131" s="186" t="s">
        <v>831</v>
      </c>
      <c r="E131" s="157" t="s">
        <v>830</v>
      </c>
      <c r="F131" s="129" t="s">
        <v>195</v>
      </c>
      <c r="G131" s="130">
        <v>16500</v>
      </c>
      <c r="H131" s="131">
        <v>720</v>
      </c>
      <c r="I131" s="60">
        <f>Таблица22425[[#This Row],[Стоимость, 
грн]]</f>
        <v>16500</v>
      </c>
      <c r="J131" s="12">
        <f>Таблица22425[[#This Row],[Доход, 
грн/рейс]]/Таблица22425[[#This Row],[Километраж, 
км]]</f>
        <v>22.916666666666668</v>
      </c>
      <c r="K131" s="12">
        <v>15000</v>
      </c>
      <c r="L131" s="12">
        <f>Таблица22425[[#This Row],[СС, 
грн/рейс]]/Таблица22425[[#This Row],[Километраж, 
км]]</f>
        <v>20.833333333333332</v>
      </c>
      <c r="M131" s="26">
        <f>Таблица22425[[#This Row],[Доход, 
грн/рейс]]-Таблица22425[[#This Row],[СС, 
грн/рейс]]</f>
        <v>1500</v>
      </c>
      <c r="N131" s="24"/>
      <c r="O131" s="150"/>
    </row>
    <row r="132" spans="1:15" ht="13.8" hidden="1" thickTop="1" x14ac:dyDescent="0.25">
      <c r="A132" s="124" t="s">
        <v>135</v>
      </c>
      <c r="B132" s="62" t="s">
        <v>842</v>
      </c>
      <c r="C132" s="194">
        <v>45717</v>
      </c>
      <c r="D132" s="195" t="s">
        <v>843</v>
      </c>
      <c r="E132" s="157" t="s">
        <v>766</v>
      </c>
      <c r="F132" s="331" t="s">
        <v>40</v>
      </c>
      <c r="G132" s="130">
        <v>16500</v>
      </c>
      <c r="H132" s="131">
        <v>275</v>
      </c>
      <c r="I132" s="60">
        <f>Таблица22425[[#This Row],[Стоимость, 
грн]]</f>
        <v>16500</v>
      </c>
      <c r="J132" s="12">
        <f>Таблица22425[[#This Row],[Доход, 
грн/рейс]]/Таблица22425[[#This Row],[Километраж, 
км]]</f>
        <v>60</v>
      </c>
      <c r="K132" s="12">
        <v>12000</v>
      </c>
      <c r="L132" s="12">
        <f>Таблица22425[[#This Row],[СС, 
грн/рейс]]/Таблица22425[[#This Row],[Километраж, 
км]]</f>
        <v>43.636363636363633</v>
      </c>
      <c r="M132" s="26">
        <f>Таблица22425[[#This Row],[Доход, 
грн/рейс]]-Таблица22425[[#This Row],[СС, 
грн/рейс]]</f>
        <v>4500</v>
      </c>
      <c r="N132" s="24"/>
      <c r="O132" s="150"/>
    </row>
    <row r="133" spans="1:15" ht="13.8" hidden="1" thickTop="1" x14ac:dyDescent="0.25">
      <c r="A133" s="124" t="s">
        <v>135</v>
      </c>
      <c r="B133" s="62" t="s">
        <v>842</v>
      </c>
      <c r="C133" s="194">
        <v>45717</v>
      </c>
      <c r="D133" s="195" t="s">
        <v>853</v>
      </c>
      <c r="E133" s="157" t="s">
        <v>535</v>
      </c>
      <c r="F133" s="331" t="s">
        <v>40</v>
      </c>
      <c r="G133" s="130">
        <v>16500</v>
      </c>
      <c r="H133" s="131">
        <v>275</v>
      </c>
      <c r="I133" s="60">
        <f>Таблица22425[[#This Row],[Стоимость, 
грн]]</f>
        <v>16500</v>
      </c>
      <c r="J133" s="12">
        <f>Таблица22425[[#This Row],[Доход, 
грн/рейс]]/Таблица22425[[#This Row],[Километраж, 
км]]</f>
        <v>60</v>
      </c>
      <c r="K133" s="12">
        <v>15000</v>
      </c>
      <c r="L133" s="12">
        <f>Таблица22425[[#This Row],[СС, 
грн/рейс]]/Таблица22425[[#This Row],[Километраж, 
км]]</f>
        <v>54.545454545454547</v>
      </c>
      <c r="M133" s="26">
        <f>Таблица22425[[#This Row],[Доход, 
грн/рейс]]-Таблица22425[[#This Row],[СС, 
грн/рейс]]</f>
        <v>1500</v>
      </c>
      <c r="N133" s="24"/>
      <c r="O133" s="150"/>
    </row>
    <row r="134" spans="1:15" ht="13.8" hidden="1" thickTop="1" x14ac:dyDescent="0.25">
      <c r="A134" s="124" t="s">
        <v>135</v>
      </c>
      <c r="B134" s="62" t="s">
        <v>842</v>
      </c>
      <c r="C134" s="194">
        <v>45717</v>
      </c>
      <c r="D134" s="195" t="s">
        <v>861</v>
      </c>
      <c r="E134" s="157" t="s">
        <v>766</v>
      </c>
      <c r="F134" s="331" t="s">
        <v>40</v>
      </c>
      <c r="G134" s="130">
        <v>16500</v>
      </c>
      <c r="H134" s="131">
        <v>275</v>
      </c>
      <c r="I134" s="60">
        <f>Таблица22425[[#This Row],[Стоимость, 
грн]]</f>
        <v>16500</v>
      </c>
      <c r="J134" s="12">
        <f>Таблица22425[[#This Row],[Доход, 
грн/рейс]]/Таблица22425[[#This Row],[Километраж, 
км]]</f>
        <v>60</v>
      </c>
      <c r="K134" s="12">
        <v>12000</v>
      </c>
      <c r="L134" s="12">
        <f>Таблица22425[[#This Row],[СС, 
грн/рейс]]/Таблица22425[[#This Row],[Километраж, 
км]]</f>
        <v>43.636363636363633</v>
      </c>
      <c r="M134" s="26">
        <f>Таблица22425[[#This Row],[Доход, 
грн/рейс]]-Таблица22425[[#This Row],[СС, 
грн/рейс]]</f>
        <v>4500</v>
      </c>
      <c r="N134" s="24"/>
      <c r="O134" s="150"/>
    </row>
    <row r="135" spans="1:15" ht="13.8" hidden="1" thickTop="1" x14ac:dyDescent="0.25">
      <c r="A135" s="124" t="s">
        <v>135</v>
      </c>
      <c r="B135" s="125" t="s">
        <v>515</v>
      </c>
      <c r="C135" s="194">
        <v>45717</v>
      </c>
      <c r="D135" s="195" t="s">
        <v>869</v>
      </c>
      <c r="E135" s="157" t="s">
        <v>535</v>
      </c>
      <c r="F135" s="158" t="s">
        <v>40</v>
      </c>
      <c r="G135" s="130">
        <v>14000</v>
      </c>
      <c r="H135" s="131">
        <v>275</v>
      </c>
      <c r="I135" s="60">
        <f>Таблица22425[[#This Row],[Стоимость, 
грн]]</f>
        <v>14000</v>
      </c>
      <c r="J135" s="12">
        <f>Таблица22425[[#This Row],[Доход, 
грн/рейс]]/Таблица22425[[#This Row],[Километраж, 
км]]</f>
        <v>50.909090909090907</v>
      </c>
      <c r="K135" s="12">
        <v>13000</v>
      </c>
      <c r="L135" s="12">
        <f>Таблица22425[[#This Row],[СС, 
грн/рейс]]/Таблица22425[[#This Row],[Километраж, 
км]]</f>
        <v>47.272727272727273</v>
      </c>
      <c r="M135" s="26">
        <f>Таблица22425[[#This Row],[Доход, 
грн/рейс]]-Таблица22425[[#This Row],[СС, 
грн/рейс]]</f>
        <v>1000</v>
      </c>
      <c r="N135" s="24"/>
      <c r="O135" s="150"/>
    </row>
    <row r="136" spans="1:15" ht="13.8" hidden="1" thickTop="1" x14ac:dyDescent="0.25">
      <c r="A136" s="124"/>
      <c r="B136" s="125"/>
      <c r="C136" s="126"/>
      <c r="D136" s="127"/>
      <c r="E136" s="128"/>
      <c r="F136" s="129"/>
      <c r="G136" s="130"/>
      <c r="H136" s="131"/>
      <c r="I136" s="60">
        <f>Таблица22425[[#This Row],[Стоимость, 
грн]]</f>
        <v>0</v>
      </c>
      <c r="J136" s="12" t="e">
        <f>Таблица22425[[#This Row],[Доход, 
грн/рейс]]/Таблица22425[[#This Row],[Километраж, 
км]]</f>
        <v>#DIV/0!</v>
      </c>
      <c r="K136" s="12"/>
      <c r="L136" s="12" t="e">
        <f>Таблица22425[[#This Row],[СС, 
грн/рейс]]/Таблица22425[[#This Row],[Километраж, 
км]]</f>
        <v>#DIV/0!</v>
      </c>
      <c r="M136" s="26">
        <f>Таблица22425[[#This Row],[Доход, 
грн/рейс]]-Таблица22425[[#This Row],[СС, 
грн/рейс]]</f>
        <v>0</v>
      </c>
      <c r="N136" s="24"/>
      <c r="O136" s="150"/>
    </row>
    <row r="137" spans="1:15" ht="13.8" hidden="1" thickTop="1" x14ac:dyDescent="0.25">
      <c r="A137" s="124"/>
      <c r="B137" s="125"/>
      <c r="C137" s="126"/>
      <c r="D137" s="127"/>
      <c r="E137" s="128"/>
      <c r="F137" s="129"/>
      <c r="G137" s="130"/>
      <c r="H137" s="131"/>
      <c r="I137" s="60">
        <f>Таблица22425[[#This Row],[Стоимость, 
грн]]</f>
        <v>0</v>
      </c>
      <c r="J137" s="12" t="e">
        <f>Таблица22425[[#This Row],[Доход, 
грн/рейс]]/Таблица22425[[#This Row],[Километраж, 
км]]</f>
        <v>#DIV/0!</v>
      </c>
      <c r="K137" s="12"/>
      <c r="L137" s="12" t="e">
        <f>Таблица22425[[#This Row],[СС, 
грн/рейс]]/Таблица22425[[#This Row],[Километраж, 
км]]</f>
        <v>#DIV/0!</v>
      </c>
      <c r="M137" s="26">
        <f>Таблица22425[[#This Row],[Доход, 
грн/рейс]]-Таблица22425[[#This Row],[СС, 
грн/рейс]]</f>
        <v>0</v>
      </c>
      <c r="N137" s="24"/>
      <c r="O137" s="150"/>
    </row>
    <row r="138" spans="1:15" ht="13.8" hidden="1" thickTop="1" x14ac:dyDescent="0.25">
      <c r="A138" s="221" t="s">
        <v>191</v>
      </c>
      <c r="B138" s="222" t="s">
        <v>871</v>
      </c>
      <c r="C138" s="194">
        <v>45717</v>
      </c>
      <c r="D138" s="195" t="s">
        <v>872</v>
      </c>
      <c r="E138" s="223" t="s">
        <v>873</v>
      </c>
      <c r="F138" s="332" t="s">
        <v>874</v>
      </c>
      <c r="G138" s="225">
        <v>53600</v>
      </c>
      <c r="H138" s="226">
        <v>685</v>
      </c>
      <c r="I138" s="226">
        <f>Таблица22425[[#This Row],[Стоимость, 
грн]]</f>
        <v>53600</v>
      </c>
      <c r="J138" s="227">
        <f>Таблица22425[[#This Row],[Доход, 
грн/рейс]]/Таблица22425[[#This Row],[Километраж, 
км]]</f>
        <v>78.248175182481745</v>
      </c>
      <c r="K138" s="227">
        <v>38000</v>
      </c>
      <c r="L138" s="228">
        <f>Таблица22425[[#This Row],[СС, 
грн/рейс]]/Таблица22425[[#This Row],[Километраж, 
км]]</f>
        <v>55.474452554744524</v>
      </c>
      <c r="M138" s="229">
        <f>Таблица22425[[#This Row],[Доход, 
грн/рейс]]-Таблица22425[[#This Row],[СС, 
грн/рейс]]</f>
        <v>15600</v>
      </c>
      <c r="N138" s="223"/>
      <c r="O138" s="232"/>
    </row>
    <row r="139" spans="1:15" ht="13.8" hidden="1" thickTop="1" x14ac:dyDescent="0.25">
      <c r="A139" s="221" t="s">
        <v>191</v>
      </c>
      <c r="B139" s="222" t="s">
        <v>871</v>
      </c>
      <c r="C139" s="194">
        <v>45717</v>
      </c>
      <c r="D139" s="195" t="s">
        <v>872</v>
      </c>
      <c r="E139" s="223" t="s">
        <v>873</v>
      </c>
      <c r="F139" s="332" t="s">
        <v>874</v>
      </c>
      <c r="G139" s="225">
        <v>53600</v>
      </c>
      <c r="H139" s="226">
        <v>685</v>
      </c>
      <c r="I139" s="226">
        <f>Таблица22425[[#This Row],[Стоимость, 
грн]]</f>
        <v>53600</v>
      </c>
      <c r="J139" s="227">
        <f>Таблица22425[[#This Row],[Доход, 
грн/рейс]]/Таблица22425[[#This Row],[Километраж, 
км]]</f>
        <v>78.248175182481745</v>
      </c>
      <c r="K139" s="227">
        <v>38000</v>
      </c>
      <c r="L139" s="228">
        <f>Таблица22425[[#This Row],[СС, 
грн/рейс]]/Таблица22425[[#This Row],[Километраж, 
км]]</f>
        <v>55.474452554744524</v>
      </c>
      <c r="M139" s="229">
        <f>Таблица22425[[#This Row],[Доход, 
грн/рейс]]-Таблица22425[[#This Row],[СС, 
грн/рейс]]</f>
        <v>15600</v>
      </c>
      <c r="N139" s="223"/>
      <c r="O139" s="232"/>
    </row>
    <row r="140" spans="1:15" ht="13.8" hidden="1" thickTop="1" x14ac:dyDescent="0.25">
      <c r="A140" s="221" t="s">
        <v>191</v>
      </c>
      <c r="B140" s="236" t="s">
        <v>881</v>
      </c>
      <c r="C140" s="194">
        <v>45717</v>
      </c>
      <c r="D140" s="195" t="s">
        <v>880</v>
      </c>
      <c r="E140" s="239" t="s">
        <v>873</v>
      </c>
      <c r="F140" s="240" t="s">
        <v>879</v>
      </c>
      <c r="G140" s="241">
        <v>22000</v>
      </c>
      <c r="H140" s="242">
        <v>685</v>
      </c>
      <c r="I140" s="242">
        <f>Таблица22425[[#This Row],[Стоимость, 
грн]]</f>
        <v>22000</v>
      </c>
      <c r="J140" s="243">
        <f>Таблица22425[[#This Row],[Доход, 
грн/рейс]]/Таблица22425[[#This Row],[Километраж, 
км]]</f>
        <v>32.116788321167881</v>
      </c>
      <c r="K140" s="243">
        <v>20000</v>
      </c>
      <c r="L140" s="244">
        <f>Таблица22425[[#This Row],[СС, 
грн/рейс]]/Таблица22425[[#This Row],[Километраж, 
км]]</f>
        <v>29.197080291970803</v>
      </c>
      <c r="M140" s="245">
        <f>Таблица22425[[#This Row],[Доход, 
грн/рейс]]-Таблица22425[[#This Row],[СС, 
грн/рейс]]</f>
        <v>2000</v>
      </c>
      <c r="N140" s="239"/>
      <c r="O140" s="247"/>
    </row>
    <row r="141" spans="1:15" ht="13.8" hidden="1" thickTop="1" x14ac:dyDescent="0.25">
      <c r="A141" s="124" t="s">
        <v>135</v>
      </c>
      <c r="B141" s="62" t="s">
        <v>842</v>
      </c>
      <c r="C141" s="194">
        <v>45717</v>
      </c>
      <c r="D141" s="195" t="s">
        <v>884</v>
      </c>
      <c r="E141" s="201" t="s">
        <v>766</v>
      </c>
      <c r="F141" s="331" t="s">
        <v>40</v>
      </c>
      <c r="G141" s="203">
        <v>16500</v>
      </c>
      <c r="H141" s="204">
        <v>275</v>
      </c>
      <c r="I141" s="204">
        <f>Таблица22425[[#This Row],[Стоимость, 
грн]]</f>
        <v>16500</v>
      </c>
      <c r="J141" s="205">
        <f>Таблица22425[[#This Row],[Доход, 
грн/рейс]]/Таблица22425[[#This Row],[Километраж, 
км]]</f>
        <v>60</v>
      </c>
      <c r="K141" s="205">
        <v>12000</v>
      </c>
      <c r="L141" s="206">
        <f>Таблица22425[[#This Row],[СС, 
грн/рейс]]/Таблица22425[[#This Row],[Километраж, 
км]]</f>
        <v>43.636363636363633</v>
      </c>
      <c r="M141" s="207">
        <f>Таблица22425[[#This Row],[Доход, 
грн/рейс]]-Таблица22425[[#This Row],[СС, 
грн/рейс]]</f>
        <v>4500</v>
      </c>
      <c r="N141" s="201"/>
      <c r="O141" s="250"/>
    </row>
    <row r="142" spans="1:15" ht="13.8" hidden="1" thickTop="1" x14ac:dyDescent="0.25">
      <c r="A142" s="221" t="s">
        <v>191</v>
      </c>
      <c r="B142" s="62" t="s">
        <v>466</v>
      </c>
      <c r="C142" s="194">
        <v>45717</v>
      </c>
      <c r="D142" s="195" t="s">
        <v>889</v>
      </c>
      <c r="E142" s="201" t="s">
        <v>394</v>
      </c>
      <c r="F142" s="216" t="s">
        <v>395</v>
      </c>
      <c r="G142" s="203">
        <v>8800</v>
      </c>
      <c r="H142" s="204">
        <v>210</v>
      </c>
      <c r="I142" s="204">
        <f>Таблица22425[[#This Row],[Стоимость, 
грн]]</f>
        <v>8800</v>
      </c>
      <c r="J142" s="205">
        <f>Таблица22425[[#This Row],[Доход, 
грн/рейс]]/Таблица22425[[#This Row],[Километраж, 
км]]</f>
        <v>41.904761904761905</v>
      </c>
      <c r="K142" s="205">
        <v>8000</v>
      </c>
      <c r="L142" s="206">
        <f>Таблица22425[[#This Row],[СС, 
грн/рейс]]/Таблица22425[[#This Row],[Километраж, 
км]]</f>
        <v>38.095238095238095</v>
      </c>
      <c r="M142" s="207">
        <f>Таблица22425[[#This Row],[Доход, 
грн/рейс]]-Таблица22425[[#This Row],[СС, 
грн/рейс]]</f>
        <v>800</v>
      </c>
      <c r="N142" s="201"/>
      <c r="O142" s="250"/>
    </row>
    <row r="143" spans="1:15" ht="13.8" hidden="1" thickTop="1" x14ac:dyDescent="0.25">
      <c r="A143" s="124" t="s">
        <v>135</v>
      </c>
      <c r="B143" s="236" t="s">
        <v>881</v>
      </c>
      <c r="C143" s="194">
        <v>45717</v>
      </c>
      <c r="D143" s="195" t="s">
        <v>890</v>
      </c>
      <c r="E143" s="201" t="s">
        <v>451</v>
      </c>
      <c r="F143" s="240" t="s">
        <v>879</v>
      </c>
      <c r="G143" s="253">
        <v>22000</v>
      </c>
      <c r="H143" s="254">
        <v>470</v>
      </c>
      <c r="I143" s="254">
        <f>Таблица22425[[#This Row],[Стоимость, 
грн]]</f>
        <v>22000</v>
      </c>
      <c r="J143" s="255">
        <f>Таблица22425[[#This Row],[Доход, 
грн/рейс]]/Таблица22425[[#This Row],[Километраж, 
км]]</f>
        <v>46.808510638297875</v>
      </c>
      <c r="K143" s="255">
        <v>20000</v>
      </c>
      <c r="L143" s="256">
        <f>Таблица22425[[#This Row],[СС, 
грн/рейс]]/Таблица22425[[#This Row],[Километраж, 
км]]</f>
        <v>42.553191489361701</v>
      </c>
      <c r="M143" s="257">
        <f>Таблица22425[[#This Row],[Доход, 
грн/рейс]]-Таблица22425[[#This Row],[СС, 
грн/рейс]]</f>
        <v>2000</v>
      </c>
      <c r="N143" s="251"/>
      <c r="O143" s="258"/>
    </row>
    <row r="144" spans="1:15" ht="13.8" hidden="1" thickTop="1" x14ac:dyDescent="0.25">
      <c r="A144" s="221" t="s">
        <v>191</v>
      </c>
      <c r="B144" s="222" t="s">
        <v>871</v>
      </c>
      <c r="C144" s="194">
        <v>45717</v>
      </c>
      <c r="D144" s="195" t="s">
        <v>893</v>
      </c>
      <c r="E144" s="201" t="s">
        <v>894</v>
      </c>
      <c r="F144" s="333" t="s">
        <v>874</v>
      </c>
      <c r="G144" s="253">
        <v>44000</v>
      </c>
      <c r="H144" s="254">
        <v>550</v>
      </c>
      <c r="I144" s="254">
        <f>Таблица22425[[#This Row],[Стоимость, 
грн]]</f>
        <v>44000</v>
      </c>
      <c r="J144" s="255">
        <f>Таблица22425[[#This Row],[Доход, 
грн/рейс]]/Таблица22425[[#This Row],[Километраж, 
км]]</f>
        <v>80</v>
      </c>
      <c r="K144" s="255">
        <v>33000</v>
      </c>
      <c r="L144" s="256">
        <f>Таблица22425[[#This Row],[СС, 
грн/рейс]]/Таблица22425[[#This Row],[Километраж, 
км]]</f>
        <v>60</v>
      </c>
      <c r="M144" s="257">
        <f>Таблица22425[[#This Row],[Доход, 
грн/рейс]]-Таблица22425[[#This Row],[СС, 
грн/рейс]]</f>
        <v>11000</v>
      </c>
      <c r="N144" s="251"/>
      <c r="O144" s="258"/>
    </row>
    <row r="145" spans="1:15" ht="13.8" hidden="1" thickTop="1" x14ac:dyDescent="0.25">
      <c r="A145" s="84" t="s">
        <v>888</v>
      </c>
      <c r="B145" s="125" t="s">
        <v>515</v>
      </c>
      <c r="C145" s="194">
        <v>45717</v>
      </c>
      <c r="D145" s="195" t="s">
        <v>893</v>
      </c>
      <c r="E145" s="201" t="s">
        <v>849</v>
      </c>
      <c r="F145" s="333" t="s">
        <v>90</v>
      </c>
      <c r="G145" s="203">
        <v>20000</v>
      </c>
      <c r="H145" s="204">
        <v>305</v>
      </c>
      <c r="I145" s="204">
        <f>Таблица22425[[#This Row],[Стоимость, 
грн]]</f>
        <v>20000</v>
      </c>
      <c r="J145" s="205">
        <f>Таблица22425[[#This Row],[Доход, 
грн/рейс]]/Таблица22425[[#This Row],[Километраж, 
км]]</f>
        <v>65.573770491803273</v>
      </c>
      <c r="K145" s="205">
        <v>20000</v>
      </c>
      <c r="L145" s="206">
        <f>Таблица22425[[#This Row],[СС, 
грн/рейс]]/Таблица22425[[#This Row],[Километраж, 
км]]</f>
        <v>65.573770491803273</v>
      </c>
      <c r="M145" s="207">
        <f>Таблица22425[[#This Row],[Доход, 
грн/рейс]]-Таблица22425[[#This Row],[СС, 
грн/рейс]]</f>
        <v>0</v>
      </c>
      <c r="N145" s="201"/>
      <c r="O145" s="250"/>
    </row>
    <row r="146" spans="1:15" ht="13.8" hidden="1" thickTop="1" x14ac:dyDescent="0.25">
      <c r="A146" s="221" t="s">
        <v>191</v>
      </c>
      <c r="B146" s="222" t="s">
        <v>871</v>
      </c>
      <c r="C146" s="276">
        <v>45748</v>
      </c>
      <c r="D146" s="179" t="s">
        <v>896</v>
      </c>
      <c r="E146" s="201" t="s">
        <v>894</v>
      </c>
      <c r="F146" s="333" t="s">
        <v>874</v>
      </c>
      <c r="G146" s="265">
        <v>44000</v>
      </c>
      <c r="H146" s="266">
        <v>550</v>
      </c>
      <c r="I146" s="266">
        <f>Таблица22425[[#This Row],[Стоимость, 
грн]]</f>
        <v>44000</v>
      </c>
      <c r="J146" s="267">
        <f>Таблица22425[[#This Row],[Доход, 
грн/рейс]]/Таблица22425[[#This Row],[Километраж, 
км]]</f>
        <v>80</v>
      </c>
      <c r="K146" s="267">
        <v>33000</v>
      </c>
      <c r="L146" s="268">
        <f>Таблица22425[[#This Row],[СС, 
грн/рейс]]/Таблица22425[[#This Row],[Километраж, 
км]]</f>
        <v>60</v>
      </c>
      <c r="M146" s="269">
        <f>Таблица22425[[#This Row],[Доход, 
грн/рейс]]-Таблица22425[[#This Row],[СС, 
грн/рейс]]</f>
        <v>11000</v>
      </c>
      <c r="N146" s="264"/>
      <c r="O146" s="270"/>
    </row>
    <row r="147" spans="1:15" ht="13.8" hidden="1" thickTop="1" x14ac:dyDescent="0.25">
      <c r="A147" s="84" t="s">
        <v>888</v>
      </c>
      <c r="B147" s="222" t="s">
        <v>871</v>
      </c>
      <c r="C147" s="276">
        <v>45748</v>
      </c>
      <c r="D147" s="179" t="s">
        <v>897</v>
      </c>
      <c r="E147" s="201" t="s">
        <v>849</v>
      </c>
      <c r="F147" s="333" t="s">
        <v>90</v>
      </c>
      <c r="G147" s="203">
        <v>19200</v>
      </c>
      <c r="H147" s="204">
        <v>305</v>
      </c>
      <c r="I147" s="204">
        <f>Таблица22425[[#This Row],[Стоимость, 
грн]]</f>
        <v>19200</v>
      </c>
      <c r="J147" s="205">
        <f>Таблица22425[[#This Row],[Доход, 
грн/рейс]]/Таблица22425[[#This Row],[Километраж, 
км]]</f>
        <v>62.950819672131146</v>
      </c>
      <c r="K147" s="267">
        <v>16000</v>
      </c>
      <c r="L147" s="206">
        <f>Таблица22425[[#This Row],[СС, 
грн/рейс]]/Таблица22425[[#This Row],[Километраж, 
км]]</f>
        <v>52.459016393442624</v>
      </c>
      <c r="M147" s="207">
        <f>Таблица22425[[#This Row],[Доход, 
грн/рейс]]-Таблица22425[[#This Row],[СС, 
грн/рейс]]</f>
        <v>3200</v>
      </c>
      <c r="N147" s="201"/>
      <c r="O147" s="250"/>
    </row>
    <row r="148" spans="1:15" ht="13.8" hidden="1" thickTop="1" x14ac:dyDescent="0.25">
      <c r="A148" s="221" t="s">
        <v>191</v>
      </c>
      <c r="B148" s="222" t="s">
        <v>871</v>
      </c>
      <c r="C148" s="276">
        <v>45748</v>
      </c>
      <c r="D148" s="179" t="s">
        <v>909</v>
      </c>
      <c r="E148" s="272" t="s">
        <v>873</v>
      </c>
      <c r="F148" s="280" t="s">
        <v>879</v>
      </c>
      <c r="G148" s="273">
        <v>19150</v>
      </c>
      <c r="H148" s="274">
        <v>685</v>
      </c>
      <c r="I148" s="274">
        <f>Таблица22425[[#This Row],[Стоимость, 
грн]]</f>
        <v>19150</v>
      </c>
      <c r="J148" s="281">
        <f>Таблица22425[[#This Row],[Доход, 
грн/рейс]]/Таблица22425[[#This Row],[Километраж, 
км]]</f>
        <v>27.956204379562045</v>
      </c>
      <c r="K148" s="281">
        <v>14500</v>
      </c>
      <c r="L148" s="282">
        <f>Таблица22425[[#This Row],[СС, 
грн/рейс]]/Таблица22425[[#This Row],[Километраж, 
км]]</f>
        <v>21.167883211678831</v>
      </c>
      <c r="M148" s="283">
        <f>Таблица22425[[#This Row],[Доход, 
грн/рейс]]-Таблица22425[[#This Row],[СС, 
грн/рейс]]</f>
        <v>4650</v>
      </c>
      <c r="N148" s="272"/>
      <c r="O148" s="270"/>
    </row>
    <row r="149" spans="1:15" ht="13.8" hidden="1" thickTop="1" x14ac:dyDescent="0.25">
      <c r="A149" s="221" t="s">
        <v>191</v>
      </c>
      <c r="B149" s="125" t="s">
        <v>515</v>
      </c>
      <c r="C149" s="284">
        <v>45748</v>
      </c>
      <c r="D149" s="285" t="s">
        <v>904</v>
      </c>
      <c r="E149" s="201" t="s">
        <v>894</v>
      </c>
      <c r="F149" s="202" t="s">
        <v>905</v>
      </c>
      <c r="G149" s="203">
        <v>5000</v>
      </c>
      <c r="H149" s="204">
        <v>550</v>
      </c>
      <c r="I149" s="204">
        <f>Таблица22425[[#This Row],[Стоимость, 
грн]]</f>
        <v>5000</v>
      </c>
      <c r="J149" s="205">
        <f>Таблица22425[[#This Row],[Доход, 
грн/рейс]]/Таблица22425[[#This Row],[Километраж, 
км]]</f>
        <v>9.0909090909090917</v>
      </c>
      <c r="K149" s="205">
        <v>4600</v>
      </c>
      <c r="L149" s="206">
        <f>Таблица22425[[#This Row],[СС, 
грн/рейс]]/Таблица22425[[#This Row],[Километраж, 
км]]</f>
        <v>8.3636363636363633</v>
      </c>
      <c r="M149" s="207">
        <f>Таблица22425[[#This Row],[Доход, 
грн/рейс]]-Таблица22425[[#This Row],[СС, 
грн/рейс]]</f>
        <v>400</v>
      </c>
      <c r="N149" s="201"/>
      <c r="O149" s="250"/>
    </row>
    <row r="150" spans="1:15" ht="13.8" hidden="1" thickTop="1" x14ac:dyDescent="0.25">
      <c r="A150" s="124" t="s">
        <v>135</v>
      </c>
      <c r="B150" s="236" t="s">
        <v>881</v>
      </c>
      <c r="C150" s="284">
        <v>45748</v>
      </c>
      <c r="D150" s="285" t="s">
        <v>906</v>
      </c>
      <c r="E150" s="201" t="s">
        <v>535</v>
      </c>
      <c r="F150" s="158" t="s">
        <v>40</v>
      </c>
      <c r="G150" s="203">
        <v>15500</v>
      </c>
      <c r="H150" s="204">
        <v>275</v>
      </c>
      <c r="I150" s="204">
        <f>Таблица22425[[#This Row],[Стоимость, 
грн]]</f>
        <v>15500</v>
      </c>
      <c r="J150" s="205">
        <f>Таблица22425[[#This Row],[Доход, 
грн/рейс]]/Таблица22425[[#This Row],[Километраж, 
км]]</f>
        <v>56.363636363636367</v>
      </c>
      <c r="K150" s="205">
        <v>14500</v>
      </c>
      <c r="L150" s="206">
        <f>Таблица22425[[#This Row],[СС, 
грн/рейс]]/Таблица22425[[#This Row],[Километраж, 
км]]</f>
        <v>52.727272727272727</v>
      </c>
      <c r="M150" s="207">
        <f>Таблица22425[[#This Row],[Доход, 
грн/рейс]]-Таблица22425[[#This Row],[СС, 
грн/рейс]]</f>
        <v>1000</v>
      </c>
      <c r="N150" s="201"/>
      <c r="O150" s="250"/>
    </row>
    <row r="151" spans="1:15" ht="13.8" hidden="1" thickTop="1" x14ac:dyDescent="0.25">
      <c r="A151" s="221" t="s">
        <v>191</v>
      </c>
      <c r="B151" s="222" t="s">
        <v>871</v>
      </c>
      <c r="C151" s="284">
        <v>45748</v>
      </c>
      <c r="D151" s="285" t="s">
        <v>23</v>
      </c>
      <c r="E151" s="286" t="s">
        <v>911</v>
      </c>
      <c r="F151" s="280" t="s">
        <v>879</v>
      </c>
      <c r="G151" s="288">
        <v>29000</v>
      </c>
      <c r="H151" s="289">
        <v>677</v>
      </c>
      <c r="I151" s="289">
        <f>Таблица22425[[#This Row],[Стоимость, 
грн]]</f>
        <v>29000</v>
      </c>
      <c r="J151" s="290">
        <f>Таблица22425[[#This Row],[Доход, 
грн/рейс]]/Таблица22425[[#This Row],[Километраж, 
км]]</f>
        <v>42.836041358936484</v>
      </c>
      <c r="K151" s="290">
        <v>22000</v>
      </c>
      <c r="L151" s="291">
        <f>Таблица22425[[#This Row],[СС, 
грн/рейс]]/Таблица22425[[#This Row],[Километраж, 
км]]</f>
        <v>32.496307237813888</v>
      </c>
      <c r="M151" s="292">
        <f>Таблица22425[[#This Row],[Доход, 
грн/рейс]]-Таблица22425[[#This Row],[СС, 
грн/рейс]]</f>
        <v>7000</v>
      </c>
      <c r="N151" s="286"/>
      <c r="O151" s="296"/>
    </row>
    <row r="152" spans="1:15" ht="13.8" hidden="1" thickTop="1" x14ac:dyDescent="0.25">
      <c r="A152" s="124" t="s">
        <v>135</v>
      </c>
      <c r="B152" s="236" t="s">
        <v>881</v>
      </c>
      <c r="C152" s="284">
        <v>45748</v>
      </c>
      <c r="D152" s="285" t="s">
        <v>913</v>
      </c>
      <c r="E152" s="286" t="s">
        <v>451</v>
      </c>
      <c r="F152" s="202" t="s">
        <v>90</v>
      </c>
      <c r="G152" s="288">
        <v>14900</v>
      </c>
      <c r="H152" s="289">
        <v>390</v>
      </c>
      <c r="I152" s="289">
        <f>Таблица22425[[#This Row],[Стоимость, 
грн]]</f>
        <v>14900</v>
      </c>
      <c r="J152" s="290">
        <f>Таблица22425[[#This Row],[Доход, 
грн/рейс]]/Таблица22425[[#This Row],[Километраж, 
км]]</f>
        <v>38.205128205128204</v>
      </c>
      <c r="K152" s="290">
        <v>13500</v>
      </c>
      <c r="L152" s="291">
        <f>Таблица22425[[#This Row],[СС, 
грн/рейс]]/Таблица22425[[#This Row],[Километраж, 
км]]</f>
        <v>34.615384615384613</v>
      </c>
      <c r="M152" s="292">
        <f>Таблица22425[[#This Row],[Доход, 
грн/рейс]]-Таблица22425[[#This Row],[СС, 
грн/рейс]]</f>
        <v>1400</v>
      </c>
      <c r="N152" s="286"/>
      <c r="O152" s="296"/>
    </row>
    <row r="153" spans="1:15" ht="13.8" hidden="1" thickTop="1" x14ac:dyDescent="0.25">
      <c r="A153" s="124" t="s">
        <v>135</v>
      </c>
      <c r="B153" s="62" t="s">
        <v>842</v>
      </c>
      <c r="C153" s="284">
        <v>45748</v>
      </c>
      <c r="D153" s="285" t="s">
        <v>913</v>
      </c>
      <c r="E153" s="201" t="s">
        <v>915</v>
      </c>
      <c r="F153" s="333" t="s">
        <v>90</v>
      </c>
      <c r="G153" s="288">
        <v>14500</v>
      </c>
      <c r="H153" s="289">
        <v>205</v>
      </c>
      <c r="I153" s="289">
        <f>Таблица22425[[#This Row],[Стоимость, 
грн]]</f>
        <v>14500</v>
      </c>
      <c r="J153" s="290">
        <f>Таблица22425[[#This Row],[Доход, 
грн/рейс]]/Таблица22425[[#This Row],[Километраж, 
км]]</f>
        <v>70.731707317073173</v>
      </c>
      <c r="K153" s="290">
        <v>13000</v>
      </c>
      <c r="L153" s="291">
        <f>Таблица22425[[#This Row],[СС, 
грн/рейс]]/Таблица22425[[#This Row],[Километраж, 
км]]</f>
        <v>63.414634146341463</v>
      </c>
      <c r="M153" s="292">
        <f>Таблица22425[[#This Row],[Доход, 
грн/рейс]]-Таблица22425[[#This Row],[СС, 
грн/рейс]]</f>
        <v>1500</v>
      </c>
      <c r="N153" s="286"/>
      <c r="O153" s="296"/>
    </row>
    <row r="154" spans="1:15" ht="13.8" hidden="1" thickTop="1" x14ac:dyDescent="0.25">
      <c r="A154" s="14" t="s">
        <v>191</v>
      </c>
      <c r="B154" s="62" t="s">
        <v>871</v>
      </c>
      <c r="C154" s="284">
        <v>45748</v>
      </c>
      <c r="D154" s="285" t="s">
        <v>916</v>
      </c>
      <c r="E154" s="201" t="s">
        <v>917</v>
      </c>
      <c r="F154" s="333" t="s">
        <v>874</v>
      </c>
      <c r="G154" s="197">
        <v>48000</v>
      </c>
      <c r="H154" s="154">
        <v>660</v>
      </c>
      <c r="I154" s="154">
        <f>Таблица22425[[#This Row],[Стоимость, 
грн]]</f>
        <v>48000</v>
      </c>
      <c r="J154" s="155">
        <f>Таблица22425[[#This Row],[Доход, 
грн/рейс]]/Таблица22425[[#This Row],[Километраж, 
км]]</f>
        <v>72.727272727272734</v>
      </c>
      <c r="K154" s="155">
        <v>39000</v>
      </c>
      <c r="L154" s="198">
        <f>Таблица22425[[#This Row],[СС, 
грн/рейс]]/Таблица22425[[#This Row],[Километраж, 
км]]</f>
        <v>59.090909090909093</v>
      </c>
      <c r="M154" s="156">
        <f>Таблица22425[[#This Row],[Доход, 
грн/рейс]]-Таблица22425[[#This Row],[СС, 
грн/рейс]]</f>
        <v>9000</v>
      </c>
      <c r="N154" s="157"/>
      <c r="O154" s="150"/>
    </row>
    <row r="155" spans="1:15" ht="13.8" hidden="1" thickTop="1" x14ac:dyDescent="0.25">
      <c r="A155" s="84" t="s">
        <v>191</v>
      </c>
      <c r="B155" s="85" t="s">
        <v>871</v>
      </c>
      <c r="C155" s="284">
        <v>45748</v>
      </c>
      <c r="D155" s="285" t="s">
        <v>916</v>
      </c>
      <c r="E155" s="201" t="s">
        <v>917</v>
      </c>
      <c r="F155" s="333" t="s">
        <v>874</v>
      </c>
      <c r="G155" s="203">
        <v>48000</v>
      </c>
      <c r="H155" s="204">
        <v>660</v>
      </c>
      <c r="I155" s="204">
        <f>Таблица22425[[#This Row],[Стоимость, 
грн]]</f>
        <v>48000</v>
      </c>
      <c r="J155" s="205">
        <f>Таблица22425[[#This Row],[Доход, 
грн/рейс]]/Таблица22425[[#This Row],[Километраж, 
км]]</f>
        <v>72.727272727272734</v>
      </c>
      <c r="K155" s="155">
        <v>39000</v>
      </c>
      <c r="L155" s="206">
        <f>Таблица22425[[#This Row],[СС, 
грн/рейс]]/Таблица22425[[#This Row],[Километраж, 
км]]</f>
        <v>59.090909090909093</v>
      </c>
      <c r="M155" s="207">
        <f>Таблица22425[[#This Row],[Доход, 
грн/рейс]]-Таблица22425[[#This Row],[СС, 
грн/рейс]]</f>
        <v>9000</v>
      </c>
      <c r="N155" s="201"/>
      <c r="O155" s="250"/>
    </row>
    <row r="156" spans="1:15" ht="13.8" hidden="1" thickTop="1" x14ac:dyDescent="0.25">
      <c r="A156" s="84" t="s">
        <v>191</v>
      </c>
      <c r="B156" s="125" t="s">
        <v>515</v>
      </c>
      <c r="C156" s="284">
        <v>45748</v>
      </c>
      <c r="D156" s="285" t="s">
        <v>920</v>
      </c>
      <c r="E156" s="201" t="s">
        <v>894</v>
      </c>
      <c r="F156" s="280" t="s">
        <v>879</v>
      </c>
      <c r="G156" s="203">
        <v>12650</v>
      </c>
      <c r="H156" s="204">
        <v>550</v>
      </c>
      <c r="I156" s="204">
        <f>Таблица22425[[#This Row],[Стоимость, 
грн]]</f>
        <v>12650</v>
      </c>
      <c r="J156" s="205">
        <f>Таблица22425[[#This Row],[Доход, 
грн/рейс]]/Таблица22425[[#This Row],[Километраж, 
км]]</f>
        <v>23</v>
      </c>
      <c r="K156" s="205">
        <v>11500</v>
      </c>
      <c r="L156" s="206">
        <f>Таблица22425[[#This Row],[СС, 
грн/рейс]]/Таблица22425[[#This Row],[Километраж, 
км]]</f>
        <v>20.90909090909091</v>
      </c>
      <c r="M156" s="207">
        <f>Таблица22425[[#This Row],[Доход, 
грн/рейс]]-Таблица22425[[#This Row],[СС, 
грн/рейс]]</f>
        <v>1150</v>
      </c>
      <c r="N156" s="201"/>
      <c r="O156" s="250"/>
    </row>
    <row r="157" spans="1:15" ht="13.8" hidden="1" thickTop="1" x14ac:dyDescent="0.25">
      <c r="A157" s="84" t="s">
        <v>191</v>
      </c>
      <c r="B157" s="236" t="s">
        <v>881</v>
      </c>
      <c r="C157" s="284">
        <v>45748</v>
      </c>
      <c r="D157" s="285" t="s">
        <v>921</v>
      </c>
      <c r="E157" s="300" t="s">
        <v>917</v>
      </c>
      <c r="F157" s="280" t="s">
        <v>879</v>
      </c>
      <c r="G157" s="301">
        <v>27500</v>
      </c>
      <c r="H157" s="302">
        <v>675</v>
      </c>
      <c r="I157" s="302">
        <f>Таблица22425[[#This Row],[Стоимость, 
грн]]</f>
        <v>27500</v>
      </c>
      <c r="J157" s="303">
        <f>Таблица22425[[#This Row],[Доход, 
грн/рейс]]/Таблица22425[[#This Row],[Километраж, 
км]]</f>
        <v>40.74074074074074</v>
      </c>
      <c r="K157" s="303">
        <v>25000</v>
      </c>
      <c r="L157" s="304">
        <f>Таблица22425[[#This Row],[СС, 
грн/рейс]]/Таблица22425[[#This Row],[Километраж, 
км]]</f>
        <v>37.037037037037038</v>
      </c>
      <c r="M157" s="305">
        <f>Таблица22425[[#This Row],[Доход, 
грн/рейс]]-Таблица22425[[#This Row],[СС, 
грн/рейс]]</f>
        <v>2500</v>
      </c>
      <c r="N157" s="300"/>
      <c r="O157" s="306"/>
    </row>
    <row r="158" spans="1:15" ht="13.8" hidden="1" thickTop="1" x14ac:dyDescent="0.25">
      <c r="A158" s="84" t="s">
        <v>191</v>
      </c>
      <c r="B158" s="125" t="s">
        <v>515</v>
      </c>
      <c r="C158" s="284">
        <v>45748</v>
      </c>
      <c r="D158" s="285" t="s">
        <v>926</v>
      </c>
      <c r="E158" s="201" t="s">
        <v>894</v>
      </c>
      <c r="F158" s="202" t="s">
        <v>879</v>
      </c>
      <c r="G158" s="203">
        <v>12000</v>
      </c>
      <c r="H158" s="204">
        <v>550</v>
      </c>
      <c r="I158" s="204">
        <f>Таблица22425[[#This Row],[Стоимость, 
грн]]</f>
        <v>12000</v>
      </c>
      <c r="J158" s="205">
        <f>Таблица22425[[#This Row],[Доход, 
грн/рейс]]/Таблица22425[[#This Row],[Километраж, 
км]]</f>
        <v>21.818181818181817</v>
      </c>
      <c r="K158" s="205">
        <v>11000</v>
      </c>
      <c r="L158" s="206">
        <f>Таблица22425[[#This Row],[СС, 
грн/рейс]]/Таблица22425[[#This Row],[Километраж, 
км]]</f>
        <v>20</v>
      </c>
      <c r="M158" s="207">
        <f>Таблица22425[[#This Row],[Доход, 
грн/рейс]]-Таблица22425[[#This Row],[СС, 
грн/рейс]]</f>
        <v>1000</v>
      </c>
      <c r="N158" s="201"/>
      <c r="O158" s="250"/>
    </row>
    <row r="159" spans="1:15" ht="13.8" hidden="1" thickTop="1" x14ac:dyDescent="0.25">
      <c r="A159" s="124" t="s">
        <v>135</v>
      </c>
      <c r="B159" s="62" t="s">
        <v>842</v>
      </c>
      <c r="C159" s="284">
        <v>45748</v>
      </c>
      <c r="D159" s="285" t="s">
        <v>930</v>
      </c>
      <c r="E159" s="300" t="s">
        <v>535</v>
      </c>
      <c r="F159" s="334" t="s">
        <v>40</v>
      </c>
      <c r="G159" s="301">
        <v>16500</v>
      </c>
      <c r="H159" s="302">
        <v>275</v>
      </c>
      <c r="I159" s="302">
        <f>Таблица22425[[#This Row],[Стоимость, 
грн]]</f>
        <v>16500</v>
      </c>
      <c r="J159" s="303">
        <f>Таблица22425[[#This Row],[Доход, 
грн/рейс]]/Таблица22425[[#This Row],[Километраж, 
км]]</f>
        <v>60</v>
      </c>
      <c r="K159" s="205">
        <v>16000</v>
      </c>
      <c r="L159" s="304">
        <f>Таблица22425[[#This Row],[СС, 
грн/рейс]]/Таблица22425[[#This Row],[Километраж, 
км]]</f>
        <v>58.18181818181818</v>
      </c>
      <c r="M159" s="305">
        <f>Таблица22425[[#This Row],[Доход, 
грн/рейс]]-Таблица22425[[#This Row],[СС, 
грн/рейс]]</f>
        <v>500</v>
      </c>
      <c r="N159" s="300"/>
      <c r="O159" s="306"/>
    </row>
    <row r="160" spans="1:15" ht="13.8" hidden="1" thickTop="1" x14ac:dyDescent="0.25">
      <c r="A160" s="307" t="s">
        <v>836</v>
      </c>
      <c r="B160" s="222" t="s">
        <v>871</v>
      </c>
      <c r="C160" s="284">
        <v>45748</v>
      </c>
      <c r="D160" s="285" t="s">
        <v>930</v>
      </c>
      <c r="E160" s="300" t="s">
        <v>931</v>
      </c>
      <c r="F160" s="333" t="s">
        <v>939</v>
      </c>
      <c r="G160" s="301">
        <v>39000</v>
      </c>
      <c r="H160" s="302">
        <v>290</v>
      </c>
      <c r="I160" s="302">
        <f>Таблица22425[[#This Row],[Стоимость, 
грн]]</f>
        <v>39000</v>
      </c>
      <c r="J160" s="303">
        <f>Таблица22425[[#This Row],[Доход, 
грн/рейс]]/Таблица22425[[#This Row],[Километраж, 
км]]</f>
        <v>134.48275862068965</v>
      </c>
      <c r="K160" s="205">
        <v>32500</v>
      </c>
      <c r="L160" s="304">
        <f>Таблица22425[[#This Row],[СС, 
грн/рейс]]/Таблица22425[[#This Row],[Километраж, 
км]]</f>
        <v>112.06896551724138</v>
      </c>
      <c r="M160" s="305">
        <f>Таблица22425[[#This Row],[Доход, 
грн/рейс]]-Таблица22425[[#This Row],[СС, 
грн/рейс]]</f>
        <v>6500</v>
      </c>
      <c r="N160" s="300"/>
      <c r="O160" s="306"/>
    </row>
    <row r="161" spans="1:15" ht="13.8" hidden="1" thickTop="1" x14ac:dyDescent="0.25">
      <c r="A161" s="307" t="s">
        <v>836</v>
      </c>
      <c r="B161" s="125" t="s">
        <v>526</v>
      </c>
      <c r="C161" s="284">
        <v>45748</v>
      </c>
      <c r="D161" s="285" t="s">
        <v>935</v>
      </c>
      <c r="E161" s="300" t="s">
        <v>931</v>
      </c>
      <c r="F161" s="308" t="s">
        <v>934</v>
      </c>
      <c r="G161" s="301">
        <v>14300</v>
      </c>
      <c r="H161" s="302">
        <v>290</v>
      </c>
      <c r="I161" s="302">
        <f>Таблица22425[[#This Row],[Стоимость, 
грн]]</f>
        <v>14300</v>
      </c>
      <c r="J161" s="303">
        <f>Таблица22425[[#This Row],[Доход, 
грн/рейс]]/Таблица22425[[#This Row],[Километраж, 
км]]</f>
        <v>49.310344827586206</v>
      </c>
      <c r="K161" s="303">
        <v>13000</v>
      </c>
      <c r="L161" s="304">
        <f>Таблица22425[[#This Row],[СС, 
грн/рейс]]/Таблица22425[[#This Row],[Километраж, 
км]]</f>
        <v>44.827586206896555</v>
      </c>
      <c r="M161" s="305">
        <f>Таблица22425[[#This Row],[Доход, 
грн/рейс]]-Таблица22425[[#This Row],[СС, 
грн/рейс]]</f>
        <v>1300</v>
      </c>
      <c r="N161" s="300"/>
      <c r="O161" s="306"/>
    </row>
    <row r="162" spans="1:15" ht="13.8" hidden="1" thickTop="1" x14ac:dyDescent="0.25">
      <c r="A162" s="84" t="s">
        <v>191</v>
      </c>
      <c r="B162" s="125" t="s">
        <v>515</v>
      </c>
      <c r="C162" s="284">
        <v>45748</v>
      </c>
      <c r="D162" s="285" t="s">
        <v>936</v>
      </c>
      <c r="E162" s="309" t="s">
        <v>457</v>
      </c>
      <c r="F162" s="333" t="s">
        <v>874</v>
      </c>
      <c r="G162" s="310">
        <v>40000</v>
      </c>
      <c r="H162" s="311">
        <v>500</v>
      </c>
      <c r="I162" s="311">
        <f>Таблица22425[[#This Row],[Стоимость, 
грн]]</f>
        <v>40000</v>
      </c>
      <c r="J162" s="312">
        <f>Таблица22425[[#This Row],[Доход, 
грн/рейс]]/Таблица22425[[#This Row],[Километраж, 
км]]</f>
        <v>80</v>
      </c>
      <c r="K162" s="312">
        <v>39000</v>
      </c>
      <c r="L162" s="316">
        <f>Таблица22425[[#This Row],[СС, 
грн/рейс]]/Таблица22425[[#This Row],[Километраж, 
км]]</f>
        <v>78</v>
      </c>
      <c r="M162" s="317">
        <f>Таблица22425[[#This Row],[Доход, 
грн/рейс]]-Таблица22425[[#This Row],[СС, 
грн/рейс]]</f>
        <v>1000</v>
      </c>
      <c r="N162" s="309"/>
      <c r="O162" s="318"/>
    </row>
    <row r="163" spans="1:15" ht="13.8" hidden="1" thickTop="1" x14ac:dyDescent="0.25">
      <c r="A163" s="84" t="s">
        <v>888</v>
      </c>
      <c r="B163" s="222" t="s">
        <v>871</v>
      </c>
      <c r="C163" s="284">
        <v>45748</v>
      </c>
      <c r="D163" s="285" t="s">
        <v>936</v>
      </c>
      <c r="E163" s="201" t="s">
        <v>849</v>
      </c>
      <c r="F163" s="333" t="s">
        <v>939</v>
      </c>
      <c r="G163" s="310">
        <v>22800</v>
      </c>
      <c r="H163" s="311">
        <v>225</v>
      </c>
      <c r="I163" s="311">
        <v>22800</v>
      </c>
      <c r="J163" s="312">
        <f>Таблица22425[[#This Row],[Доход, 
грн/рейс]]/Таблица22425[[#This Row],[Километраж, 
км]]</f>
        <v>101.33333333333333</v>
      </c>
      <c r="K163" s="312">
        <v>19000</v>
      </c>
      <c r="L163" s="316">
        <f>Таблица22425[[#This Row],[СС, 
грн/рейс]]/Таблица22425[[#This Row],[Километраж, 
км]]</f>
        <v>84.444444444444443</v>
      </c>
      <c r="M163" s="317">
        <f>Таблица22425[[#This Row],[Доход, 
грн/рейс]]-Таблица22425[[#This Row],[СС, 
грн/рейс]]</f>
        <v>3800</v>
      </c>
      <c r="N163" s="309"/>
      <c r="O163" s="318"/>
    </row>
    <row r="164" spans="1:15" ht="13.8" hidden="1" thickTop="1" x14ac:dyDescent="0.25">
      <c r="A164" s="84" t="s">
        <v>191</v>
      </c>
      <c r="B164" s="125" t="s">
        <v>515</v>
      </c>
      <c r="C164" s="284">
        <v>45748</v>
      </c>
      <c r="D164" s="285" t="s">
        <v>936</v>
      </c>
      <c r="E164" s="309" t="s">
        <v>457</v>
      </c>
      <c r="F164" s="333" t="s">
        <v>874</v>
      </c>
      <c r="G164" s="310">
        <v>40000</v>
      </c>
      <c r="H164" s="311">
        <v>535</v>
      </c>
      <c r="I164" s="311">
        <f>Таблица22425[[#This Row],[Стоимость, 
грн]]</f>
        <v>40000</v>
      </c>
      <c r="J164" s="312">
        <f>Таблица22425[[#This Row],[Доход, 
грн/рейс]]/Таблица22425[[#This Row],[Километраж, 
км]]</f>
        <v>74.766355140186917</v>
      </c>
      <c r="K164" s="312">
        <v>39000</v>
      </c>
      <c r="L164" s="316">
        <f>Таблица22425[[#This Row],[СС, 
грн/рейс]]/Таблица22425[[#This Row],[Километраж, 
км]]</f>
        <v>72.89719626168224</v>
      </c>
      <c r="M164" s="317">
        <f>Таблица22425[[#This Row],[Доход, 
грн/рейс]]-Таблица22425[[#This Row],[СС, 
грн/рейс]]</f>
        <v>1000</v>
      </c>
      <c r="N164" s="309"/>
      <c r="O164" s="318"/>
    </row>
    <row r="165" spans="1:15" ht="13.8" hidden="1" thickTop="1" x14ac:dyDescent="0.25">
      <c r="A165" s="84" t="s">
        <v>191</v>
      </c>
      <c r="B165" s="125" t="s">
        <v>526</v>
      </c>
      <c r="C165" s="284">
        <v>45748</v>
      </c>
      <c r="D165" s="285" t="s">
        <v>936</v>
      </c>
      <c r="E165" s="300" t="s">
        <v>457</v>
      </c>
      <c r="F165" s="333" t="s">
        <v>874</v>
      </c>
      <c r="G165" s="310">
        <v>40000</v>
      </c>
      <c r="H165" s="311">
        <v>535</v>
      </c>
      <c r="I165" s="302">
        <f>Таблица22425[[#This Row],[Стоимость, 
грн]]</f>
        <v>40000</v>
      </c>
      <c r="J165" s="303">
        <f>Таблица22425[[#This Row],[Доход, 
грн/рейс]]/Таблица22425[[#This Row],[Километраж, 
км]]</f>
        <v>74.766355140186917</v>
      </c>
      <c r="K165" s="303">
        <v>38000</v>
      </c>
      <c r="L165" s="304">
        <f>Таблица22425[[#This Row],[СС, 
грн/рейс]]/Таблица22425[[#This Row],[Километраж, 
км]]</f>
        <v>71.028037383177576</v>
      </c>
      <c r="M165" s="305">
        <f>Таблица22425[[#This Row],[Доход, 
грн/рейс]]-Таблица22425[[#This Row],[СС, 
грн/рейс]]</f>
        <v>2000</v>
      </c>
      <c r="N165" s="300"/>
      <c r="O165" s="306"/>
    </row>
    <row r="166" spans="1:15" ht="13.8" hidden="1" thickTop="1" x14ac:dyDescent="0.25">
      <c r="A166" s="84" t="s">
        <v>888</v>
      </c>
      <c r="B166" s="62" t="s">
        <v>842</v>
      </c>
      <c r="C166" s="284">
        <v>45748</v>
      </c>
      <c r="D166" s="319" t="s">
        <v>936</v>
      </c>
      <c r="E166" s="300" t="s">
        <v>937</v>
      </c>
      <c r="F166" s="334" t="s">
        <v>938</v>
      </c>
      <c r="G166" s="301">
        <v>16500</v>
      </c>
      <c r="H166" s="302">
        <v>395</v>
      </c>
      <c r="I166" s="302">
        <f>Таблица22425[[#This Row],[Стоимость, 
грн]]</f>
        <v>16500</v>
      </c>
      <c r="J166" s="303">
        <f>Таблица22425[[#This Row],[Доход, 
грн/рейс]]/Таблица22425[[#This Row],[Километраж, 
км]]</f>
        <v>41.77215189873418</v>
      </c>
      <c r="K166" s="303">
        <v>15000</v>
      </c>
      <c r="L166" s="304">
        <f>Таблица22425[[#This Row],[СС, 
грн/рейс]]/Таблица22425[[#This Row],[Километраж, 
км]]</f>
        <v>37.974683544303801</v>
      </c>
      <c r="M166" s="305">
        <f>Таблица22425[[#This Row],[Доход, 
грн/рейс]]-Таблица22425[[#This Row],[СС, 
грн/рейс]]</f>
        <v>1500</v>
      </c>
      <c r="N166" s="300"/>
      <c r="O166" s="306"/>
    </row>
    <row r="167" spans="1:15" ht="13.8" hidden="1" thickTop="1" x14ac:dyDescent="0.25">
      <c r="A167" s="84" t="s">
        <v>888</v>
      </c>
      <c r="B167" s="222" t="s">
        <v>871</v>
      </c>
      <c r="C167" s="320">
        <v>45748</v>
      </c>
      <c r="D167" s="321" t="s">
        <v>53</v>
      </c>
      <c r="E167" s="201" t="s">
        <v>849</v>
      </c>
      <c r="F167" s="333" t="s">
        <v>939</v>
      </c>
      <c r="G167" s="323">
        <v>22800</v>
      </c>
      <c r="H167" s="324">
        <v>225</v>
      </c>
      <c r="I167" s="324">
        <f>Таблица22425[[#This Row],[Стоимость, 
грн]]</f>
        <v>22800</v>
      </c>
      <c r="J167" s="325">
        <f>Таблица22425[[#This Row],[Доход, 
грн/рейс]]/Таблица22425[[#This Row],[Километраж, 
км]]</f>
        <v>101.33333333333333</v>
      </c>
      <c r="K167" s="325">
        <v>19000</v>
      </c>
      <c r="L167" s="328">
        <f>Таблица22425[[#This Row],[СС, 
грн/рейс]]/Таблица22425[[#This Row],[Километраж, 
км]]</f>
        <v>84.444444444444443</v>
      </c>
      <c r="M167" s="329">
        <f>Таблица22425[[#This Row],[Доход, 
грн/рейс]]-Таблица22425[[#This Row],[СС, 
грн/рейс]]</f>
        <v>3800</v>
      </c>
      <c r="N167" s="322"/>
      <c r="O167" s="330"/>
    </row>
    <row r="168" spans="1:15" ht="13.8" hidden="1" thickTop="1" x14ac:dyDescent="0.25">
      <c r="A168" s="84" t="s">
        <v>191</v>
      </c>
      <c r="B168" s="236" t="s">
        <v>881</v>
      </c>
      <c r="C168" s="320">
        <v>45748</v>
      </c>
      <c r="D168" s="321" t="s">
        <v>53</v>
      </c>
      <c r="E168" s="322" t="s">
        <v>457</v>
      </c>
      <c r="F168" s="202" t="s">
        <v>879</v>
      </c>
      <c r="G168" s="323">
        <v>24000</v>
      </c>
      <c r="H168" s="324">
        <v>500</v>
      </c>
      <c r="I168" s="324">
        <f>Таблица22425[[#This Row],[Стоимость, 
грн]]</f>
        <v>24000</v>
      </c>
      <c r="J168" s="325">
        <f>Таблица22425[[#This Row],[Доход, 
грн/рейс]]/Таблица22425[[#This Row],[Километраж, 
км]]</f>
        <v>48</v>
      </c>
      <c r="K168" s="325">
        <v>22000</v>
      </c>
      <c r="L168" s="328">
        <f>Таблица22425[[#This Row],[СС, 
грн/рейс]]/Таблица22425[[#This Row],[Километраж, 
км]]</f>
        <v>44</v>
      </c>
      <c r="M168" s="329">
        <f>Таблица22425[[#This Row],[Доход, 
грн/рейс]]-Таблица22425[[#This Row],[СС, 
грн/рейс]]</f>
        <v>2000</v>
      </c>
      <c r="N168" s="322"/>
      <c r="O168" s="330"/>
    </row>
    <row r="169" spans="1:15" ht="13.8" hidden="1" thickTop="1" x14ac:dyDescent="0.25">
      <c r="A169" s="84" t="s">
        <v>191</v>
      </c>
      <c r="B169" s="515" t="s">
        <v>881</v>
      </c>
      <c r="C169" s="369">
        <v>45778</v>
      </c>
      <c r="D169" s="370" t="s">
        <v>971</v>
      </c>
      <c r="E169" s="361" t="s">
        <v>917</v>
      </c>
      <c r="F169" s="202" t="s">
        <v>879</v>
      </c>
      <c r="G169" s="363">
        <v>16500</v>
      </c>
      <c r="H169" s="364">
        <v>675</v>
      </c>
      <c r="I169" s="364">
        <f>Таблица22425[[#This Row],[Стоимость, 
грн]]</f>
        <v>16500</v>
      </c>
      <c r="J169" s="365">
        <f>Таблица22425[[#This Row],[Доход, 
грн/рейс]]/Таблица22425[[#This Row],[Километраж, 
км]]</f>
        <v>24.444444444444443</v>
      </c>
      <c r="K169" s="365">
        <v>15000</v>
      </c>
      <c r="L169" s="376">
        <f>Таблица22425[[#This Row],[СС, 
грн/рейс]]/Таблица22425[[#This Row],[Километраж, 
км]]</f>
        <v>22.222222222222221</v>
      </c>
      <c r="M169" s="377">
        <f>Таблица22425[[#This Row],[Доход, 
грн/рейс]]-Таблица22425[[#This Row],[СС, 
грн/рейс]]</f>
        <v>1500</v>
      </c>
      <c r="N169" s="361"/>
      <c r="O169" s="379"/>
    </row>
    <row r="170" spans="1:15" ht="13.8" hidden="1" thickTop="1" x14ac:dyDescent="0.25">
      <c r="A170" s="371" t="s">
        <v>191</v>
      </c>
      <c r="B170" s="516" t="s">
        <v>515</v>
      </c>
      <c r="C170" s="367">
        <v>45778</v>
      </c>
      <c r="D170" s="368" t="s">
        <v>971</v>
      </c>
      <c r="E170" s="372" t="s">
        <v>457</v>
      </c>
      <c r="F170" s="373" t="s">
        <v>879</v>
      </c>
      <c r="G170" s="355">
        <v>17600</v>
      </c>
      <c r="H170" s="356">
        <v>535</v>
      </c>
      <c r="I170" s="356">
        <f>Таблица22425[[#This Row],[Стоимость, 
грн]]</f>
        <v>17600</v>
      </c>
      <c r="J170" s="357">
        <f>Таблица22425[[#This Row],[Доход, 
грн/рейс]]/Таблица22425[[#This Row],[Километраж, 
км]]</f>
        <v>32.89719626168224</v>
      </c>
      <c r="K170" s="357">
        <v>16000</v>
      </c>
      <c r="L170" s="358">
        <f>Таблица22425[[#This Row],[СС, 
грн/рейс]]/Таблица22425[[#This Row],[Километраж, 
км]]</f>
        <v>29.906542056074766</v>
      </c>
      <c r="M170" s="359">
        <f>Таблица22425[[#This Row],[Доход, 
грн/рейс]]-Таблица22425[[#This Row],[СС, 
грн/рейс]]</f>
        <v>1600</v>
      </c>
      <c r="N170" s="353"/>
      <c r="O170" s="378"/>
    </row>
    <row r="171" spans="1:15" ht="13.8" hidden="1" thickTop="1" x14ac:dyDescent="0.25">
      <c r="A171" s="84" t="s">
        <v>888</v>
      </c>
      <c r="B171" s="511" t="s">
        <v>526</v>
      </c>
      <c r="C171" s="367">
        <v>45778</v>
      </c>
      <c r="D171" s="380" t="s">
        <v>972</v>
      </c>
      <c r="E171" s="286" t="s">
        <v>451</v>
      </c>
      <c r="F171" s="196" t="s">
        <v>941</v>
      </c>
      <c r="G171" s="355">
        <v>17000</v>
      </c>
      <c r="H171" s="356">
        <v>390</v>
      </c>
      <c r="I171" s="356">
        <f>Таблица22425[[#This Row],[Стоимость, 
грн]]</f>
        <v>17000</v>
      </c>
      <c r="J171" s="357">
        <f>Таблица22425[[#This Row],[Доход, 
грн/рейс]]/Таблица22425[[#This Row],[Километраж, 
км]]</f>
        <v>43.589743589743591</v>
      </c>
      <c r="K171" s="357">
        <v>15500</v>
      </c>
      <c r="L171" s="358">
        <f>Таблица22425[[#This Row],[СС, 
грн/рейс]]/Таблица22425[[#This Row],[Километраж, 
км]]</f>
        <v>39.743589743589745</v>
      </c>
      <c r="M171" s="359">
        <f>Таблица22425[[#This Row],[Доход, 
грн/рейс]]-Таблица22425[[#This Row],[СС, 
грн/рейс]]</f>
        <v>1500</v>
      </c>
      <c r="N171" s="353"/>
      <c r="O171" s="378"/>
    </row>
    <row r="172" spans="1:15" ht="13.8" hidden="1" thickTop="1" x14ac:dyDescent="0.25">
      <c r="A172" s="307" t="s">
        <v>836</v>
      </c>
      <c r="B172" s="513" t="s">
        <v>722</v>
      </c>
      <c r="C172" s="367">
        <v>45778</v>
      </c>
      <c r="D172" s="380" t="s">
        <v>977</v>
      </c>
      <c r="E172" s="300" t="s">
        <v>931</v>
      </c>
      <c r="F172" s="373" t="s">
        <v>879</v>
      </c>
      <c r="G172" s="355">
        <v>17400</v>
      </c>
      <c r="H172" s="356">
        <v>290</v>
      </c>
      <c r="I172" s="356">
        <f>Таблица22425[[#This Row],[Стоимость, 
грн]]</f>
        <v>17400</v>
      </c>
      <c r="J172" s="357">
        <f>Таблица22425[[#This Row],[Доход, 
грн/рейс]]/Таблица22425[[#This Row],[Километраж, 
км]]</f>
        <v>60</v>
      </c>
      <c r="K172" s="357">
        <v>16000</v>
      </c>
      <c r="L172" s="358">
        <f>Таблица22425[[#This Row],[СС, 
грн/рейс]]/Таблица22425[[#This Row],[Километраж, 
км]]</f>
        <v>55.172413793103445</v>
      </c>
      <c r="M172" s="359">
        <f>Таблица22425[[#This Row],[Доход, 
грн/рейс]]-Таблица22425[[#This Row],[СС, 
грн/рейс]]</f>
        <v>1400</v>
      </c>
      <c r="N172" s="353"/>
      <c r="O172" s="378"/>
    </row>
    <row r="173" spans="1:15" s="584" customFormat="1" ht="13.8" thickTop="1" x14ac:dyDescent="0.25">
      <c r="A173" s="573" t="s">
        <v>135</v>
      </c>
      <c r="B173" s="574" t="s">
        <v>842</v>
      </c>
      <c r="C173" s="575">
        <v>45778</v>
      </c>
      <c r="D173" s="576" t="s">
        <v>978</v>
      </c>
      <c r="E173" s="577" t="s">
        <v>535</v>
      </c>
      <c r="F173" s="578" t="s">
        <v>40</v>
      </c>
      <c r="G173" s="355">
        <v>16500</v>
      </c>
      <c r="H173" s="579">
        <v>275</v>
      </c>
      <c r="I173" s="579">
        <f>Таблица22425[[#This Row],[Стоимость, 
грн]]</f>
        <v>16500</v>
      </c>
      <c r="J173" s="580">
        <f>Таблица22425[[#This Row],[Доход, 
грн/рейс]]/Таблица22425[[#This Row],[Километраж, 
км]]</f>
        <v>60</v>
      </c>
      <c r="K173" s="580">
        <v>15500</v>
      </c>
      <c r="L173" s="358">
        <f>Таблица22425[[#This Row],[СС, 
грн/рейс]]/Таблица22425[[#This Row],[Километраж, 
км]]</f>
        <v>56.363636363636367</v>
      </c>
      <c r="M173" s="581">
        <f>Таблица22425[[#This Row],[Доход, 
грн/рейс]]-Таблица22425[[#This Row],[СС, 
грн/рейс]]</f>
        <v>1000</v>
      </c>
      <c r="N173" s="582"/>
      <c r="O173" s="583"/>
    </row>
    <row r="174" spans="1:15" ht="13.2" hidden="1" x14ac:dyDescent="0.25">
      <c r="A174" s="84" t="s">
        <v>191</v>
      </c>
      <c r="B174" s="511" t="s">
        <v>526</v>
      </c>
      <c r="C174" s="367">
        <v>45778</v>
      </c>
      <c r="D174" s="380" t="s">
        <v>978</v>
      </c>
      <c r="E174" s="201" t="s">
        <v>979</v>
      </c>
      <c r="F174" s="202" t="s">
        <v>874</v>
      </c>
      <c r="G174" s="363">
        <v>61200</v>
      </c>
      <c r="H174" s="364">
        <v>765</v>
      </c>
      <c r="I174" s="364">
        <f>Таблица22425[[#This Row],[Стоимость, 
грн]]</f>
        <v>61200</v>
      </c>
      <c r="J174" s="365">
        <f>Таблица22425[[#This Row],[Доход, 
грн/рейс]]/Таблица22425[[#This Row],[Километраж, 
км]]</f>
        <v>80</v>
      </c>
      <c r="K174" s="365">
        <v>49500</v>
      </c>
      <c r="L174" s="376">
        <f>Таблица22425[[#This Row],[СС, 
грн/рейс]]/Таблица22425[[#This Row],[Километраж, 
км]]</f>
        <v>64.705882352941174</v>
      </c>
      <c r="M174" s="377">
        <f>Таблица22425[[#This Row],[Доход, 
грн/рейс]]-Таблица22425[[#This Row],[СС, 
грн/рейс]]</f>
        <v>11700</v>
      </c>
      <c r="N174" s="361"/>
      <c r="O174" s="379"/>
    </row>
    <row r="175" spans="1:15" ht="13.2" hidden="1" x14ac:dyDescent="0.25">
      <c r="A175" s="84" t="s">
        <v>191</v>
      </c>
      <c r="B175" s="516" t="s">
        <v>515</v>
      </c>
      <c r="C175" s="389">
        <v>45778</v>
      </c>
      <c r="D175" s="390" t="s">
        <v>978</v>
      </c>
      <c r="E175" s="201" t="s">
        <v>979</v>
      </c>
      <c r="F175" s="202" t="s">
        <v>874</v>
      </c>
      <c r="G175" s="363">
        <v>61200</v>
      </c>
      <c r="H175" s="384">
        <v>765</v>
      </c>
      <c r="I175" s="384">
        <f>Таблица22425[[#This Row],[Стоимость, 
грн]]</f>
        <v>61200</v>
      </c>
      <c r="J175" s="385">
        <f>Таблица22425[[#This Row],[Доход, 
грн/рейс]]/Таблица22425[[#This Row],[Километраж, 
км]]</f>
        <v>80</v>
      </c>
      <c r="K175" s="385">
        <v>49800</v>
      </c>
      <c r="L175" s="386">
        <f>Таблица22425[[#This Row],[СС, 
грн/рейс]]/Таблица22425[[#This Row],[Километраж, 
км]]</f>
        <v>65.098039215686271</v>
      </c>
      <c r="M175" s="387">
        <f>Таблица22425[[#This Row],[Доход, 
грн/рейс]]-Таблица22425[[#This Row],[СС, 
грн/рейс]]</f>
        <v>11400</v>
      </c>
      <c r="N175" s="381"/>
      <c r="O175" s="391"/>
    </row>
    <row r="176" spans="1:15" ht="13.2" hidden="1" x14ac:dyDescent="0.25">
      <c r="A176" s="84" t="s">
        <v>191</v>
      </c>
      <c r="B176" s="516" t="s">
        <v>515</v>
      </c>
      <c r="C176" s="389">
        <v>45778</v>
      </c>
      <c r="D176" s="390" t="s">
        <v>978</v>
      </c>
      <c r="E176" s="201" t="s">
        <v>979</v>
      </c>
      <c r="F176" s="202" t="s">
        <v>874</v>
      </c>
      <c r="G176" s="363">
        <v>61200</v>
      </c>
      <c r="H176" s="384">
        <v>765</v>
      </c>
      <c r="I176" s="384">
        <f>Таблица22425[[#This Row],[Стоимость, 
грн]]</f>
        <v>61200</v>
      </c>
      <c r="J176" s="385">
        <f>Таблица22425[[#This Row],[Доход, 
грн/рейс]]/Таблица22425[[#This Row],[Километраж, 
км]]</f>
        <v>80</v>
      </c>
      <c r="K176" s="385">
        <v>49800</v>
      </c>
      <c r="L176" s="386">
        <f>Таблица22425[[#This Row],[СС, 
грн/рейс]]/Таблица22425[[#This Row],[Километраж, 
км]]</f>
        <v>65.098039215686271</v>
      </c>
      <c r="M176" s="387">
        <f>Таблица22425[[#This Row],[Доход, 
грн/рейс]]-Таблица22425[[#This Row],[СС, 
грн/рейс]]</f>
        <v>11400</v>
      </c>
      <c r="N176" s="381"/>
      <c r="O176" s="391"/>
    </row>
    <row r="177" spans="1:15" s="584" customFormat="1" ht="13.2" x14ac:dyDescent="0.25">
      <c r="A177" s="585" t="s">
        <v>135</v>
      </c>
      <c r="B177" s="574" t="s">
        <v>722</v>
      </c>
      <c r="C177" s="586">
        <v>45778</v>
      </c>
      <c r="D177" s="587" t="s">
        <v>981</v>
      </c>
      <c r="E177" s="577" t="s">
        <v>982</v>
      </c>
      <c r="F177" s="588" t="s">
        <v>983</v>
      </c>
      <c r="G177" s="203">
        <v>27000</v>
      </c>
      <c r="H177" s="589">
        <v>450</v>
      </c>
      <c r="I177" s="589">
        <f>Таблица22425[[#This Row],[Стоимость, 
грн]]</f>
        <v>27000</v>
      </c>
      <c r="J177" s="590">
        <f>Таблица22425[[#This Row],[Доход, 
грн/рейс]]/Таблица22425[[#This Row],[Километраж, 
км]]</f>
        <v>60</v>
      </c>
      <c r="K177" s="590">
        <v>22500</v>
      </c>
      <c r="L177" s="206">
        <f>Таблица22425[[#This Row],[СС, 
грн/рейс]]/Таблица22425[[#This Row],[Километраж, 
км]]</f>
        <v>50</v>
      </c>
      <c r="M177" s="591">
        <f>Таблица22425[[#This Row],[Доход, 
грн/рейс]]-Таблица22425[[#This Row],[СС, 
грн/рейс]]</f>
        <v>4500</v>
      </c>
      <c r="N177" s="577"/>
      <c r="O177" s="592"/>
    </row>
    <row r="178" spans="1:15" ht="13.2" hidden="1" x14ac:dyDescent="0.25">
      <c r="A178" s="307" t="s">
        <v>836</v>
      </c>
      <c r="B178" s="513" t="s">
        <v>722</v>
      </c>
      <c r="C178" s="389">
        <v>45778</v>
      </c>
      <c r="D178" s="343" t="s">
        <v>988</v>
      </c>
      <c r="E178" s="409" t="s">
        <v>931</v>
      </c>
      <c r="F178" s="373" t="s">
        <v>879</v>
      </c>
      <c r="G178" s="411">
        <v>17400</v>
      </c>
      <c r="H178" s="412">
        <v>290</v>
      </c>
      <c r="I178" s="412">
        <f>Таблица22425[[#This Row],[Стоимость, 
грн]]</f>
        <v>17400</v>
      </c>
      <c r="J178" s="413">
        <f>Таблица22425[[#This Row],[Доход, 
грн/рейс]]/Таблица22425[[#This Row],[Километраж, 
км]]</f>
        <v>60</v>
      </c>
      <c r="K178" s="413">
        <v>16000</v>
      </c>
      <c r="L178" s="414">
        <f>Таблица22425[[#This Row],[СС, 
грн/рейс]]/Таблица22425[[#This Row],[Километраж, 
км]]</f>
        <v>55.172413793103445</v>
      </c>
      <c r="M178" s="415">
        <f>Таблица22425[[#This Row],[Доход, 
грн/рейс]]-Таблица22425[[#This Row],[СС, 
грн/рейс]]</f>
        <v>1400</v>
      </c>
      <c r="N178" s="409"/>
      <c r="O178" s="416"/>
    </row>
    <row r="179" spans="1:15" ht="13.2" hidden="1" x14ac:dyDescent="0.25">
      <c r="A179" s="398" t="s">
        <v>888</v>
      </c>
      <c r="B179" s="518" t="s">
        <v>515</v>
      </c>
      <c r="C179" s="418">
        <v>45778</v>
      </c>
      <c r="D179" s="419" t="s">
        <v>988</v>
      </c>
      <c r="E179" s="399" t="s">
        <v>849</v>
      </c>
      <c r="F179" s="400" t="s">
        <v>90</v>
      </c>
      <c r="G179" s="401">
        <v>13500</v>
      </c>
      <c r="H179" s="402">
        <v>225</v>
      </c>
      <c r="I179" s="402">
        <f>Таблица22425[[#This Row],[Стоимость, 
грн]]</f>
        <v>13500</v>
      </c>
      <c r="J179" s="403">
        <f>Таблица22425[[#This Row],[Доход, 
грн/рейс]]/Таблица22425[[#This Row],[Километраж, 
км]]</f>
        <v>60</v>
      </c>
      <c r="K179" s="403">
        <v>13500</v>
      </c>
      <c r="L179" s="404">
        <f>Таблица22425[[#This Row],[СС, 
грн/рейс]]/Таблица22425[[#This Row],[Километраж, 
км]]</f>
        <v>60</v>
      </c>
      <c r="M179" s="405">
        <f>Таблица22425[[#This Row],[Доход, 
грн/рейс]]-Таблица22425[[#This Row],[СС, 
грн/рейс]]</f>
        <v>0</v>
      </c>
      <c r="N179" s="399"/>
      <c r="O179" s="406"/>
    </row>
    <row r="180" spans="1:15" ht="13.2" hidden="1" x14ac:dyDescent="0.25">
      <c r="A180" s="398" t="s">
        <v>994</v>
      </c>
      <c r="B180" s="511" t="s">
        <v>526</v>
      </c>
      <c r="C180" s="418">
        <v>45778</v>
      </c>
      <c r="D180" s="419" t="s">
        <v>995</v>
      </c>
      <c r="E180" s="399" t="s">
        <v>75</v>
      </c>
      <c r="F180" s="373" t="s">
        <v>879</v>
      </c>
      <c r="G180" s="401">
        <v>14000</v>
      </c>
      <c r="H180" s="402">
        <v>270</v>
      </c>
      <c r="I180" s="402">
        <f>Таблица22425[[#This Row],[Стоимость, 
грн]]</f>
        <v>14000</v>
      </c>
      <c r="J180" s="403">
        <f>Таблица22425[[#This Row],[Доход, 
грн/рейс]]/Таблица22425[[#This Row],[Километраж, 
км]]</f>
        <v>51.851851851851855</v>
      </c>
      <c r="K180" s="403">
        <v>8000</v>
      </c>
      <c r="L180" s="404">
        <f>Таблица22425[[#This Row],[СС, 
грн/рейс]]/Таблица22425[[#This Row],[Километраж, 
км]]</f>
        <v>29.62962962962963</v>
      </c>
      <c r="M180" s="405">
        <f>Таблица22425[[#This Row],[Доход, 
грн/рейс]]-Таблица22425[[#This Row],[СС, 
грн/рейс]]</f>
        <v>6000</v>
      </c>
      <c r="N180" s="399"/>
      <c r="O180" s="406"/>
    </row>
    <row r="181" spans="1:15" ht="13.2" hidden="1" x14ac:dyDescent="0.25">
      <c r="A181" s="398" t="s">
        <v>994</v>
      </c>
      <c r="B181" s="515" t="s">
        <v>881</v>
      </c>
      <c r="C181" s="418">
        <v>45778</v>
      </c>
      <c r="D181" s="419" t="s">
        <v>993</v>
      </c>
      <c r="E181" s="399" t="s">
        <v>996</v>
      </c>
      <c r="F181" s="400" t="s">
        <v>934</v>
      </c>
      <c r="G181" s="401">
        <v>14000</v>
      </c>
      <c r="H181" s="402">
        <v>270</v>
      </c>
      <c r="I181" s="402">
        <f>Таблица22425[[#This Row],[Стоимость, 
грн]]</f>
        <v>14000</v>
      </c>
      <c r="J181" s="403">
        <f>Таблица22425[[#This Row],[Доход, 
грн/рейс]]/Таблица22425[[#This Row],[Километраж, 
км]]</f>
        <v>51.851851851851855</v>
      </c>
      <c r="K181" s="403">
        <v>9500</v>
      </c>
      <c r="L181" s="404">
        <f>Таблица22425[[#This Row],[СС, 
грн/рейс]]/Таблица22425[[#This Row],[Километраж, 
км]]</f>
        <v>35.185185185185183</v>
      </c>
      <c r="M181" s="405">
        <f>Таблица22425[[#This Row],[Доход, 
грн/рейс]]-Таблица22425[[#This Row],[СС, 
грн/рейс]]</f>
        <v>4500</v>
      </c>
      <c r="N181" s="399"/>
      <c r="O181" s="406"/>
    </row>
    <row r="182" spans="1:15" ht="13.2" hidden="1" x14ac:dyDescent="0.25">
      <c r="A182" s="84" t="s">
        <v>135</v>
      </c>
      <c r="B182" s="515" t="s">
        <v>881</v>
      </c>
      <c r="C182" s="418">
        <v>45778</v>
      </c>
      <c r="D182" s="380" t="s">
        <v>1004</v>
      </c>
      <c r="E182" s="201" t="s">
        <v>451</v>
      </c>
      <c r="F182" s="202" t="s">
        <v>999</v>
      </c>
      <c r="G182" s="401">
        <v>8000</v>
      </c>
      <c r="H182" s="402">
        <v>390</v>
      </c>
      <c r="I182" s="402">
        <f>Таблица22425[[#This Row],[Стоимость, 
грн]]</f>
        <v>8000</v>
      </c>
      <c r="J182" s="403">
        <f>Таблица22425[[#This Row],[Доход, 
грн/рейс]]/Таблица22425[[#This Row],[Километраж, 
км]]</f>
        <v>20.512820512820515</v>
      </c>
      <c r="K182" s="403">
        <v>7200</v>
      </c>
      <c r="L182" s="404">
        <f>Таблица22425[[#This Row],[СС, 
грн/рейс]]/Таблица22425[[#This Row],[Километраж, 
км]]</f>
        <v>18.46153846153846</v>
      </c>
      <c r="M182" s="405">
        <f>Таблица22425[[#This Row],[Доход, 
грн/рейс]]-Таблица22425[[#This Row],[СС, 
грн/рейс]]</f>
        <v>800</v>
      </c>
      <c r="N182" s="399"/>
      <c r="O182" s="406"/>
    </row>
    <row r="183" spans="1:15" ht="13.2" hidden="1" x14ac:dyDescent="0.25">
      <c r="A183" s="84" t="s">
        <v>1000</v>
      </c>
      <c r="B183" s="513" t="s">
        <v>722</v>
      </c>
      <c r="C183" s="418">
        <v>45778</v>
      </c>
      <c r="D183" s="380" t="s">
        <v>1005</v>
      </c>
      <c r="E183" s="157" t="s">
        <v>1001</v>
      </c>
      <c r="F183" s="202" t="s">
        <v>1003</v>
      </c>
      <c r="G183" s="401">
        <v>12100</v>
      </c>
      <c r="H183" s="402">
        <v>235</v>
      </c>
      <c r="I183" s="402">
        <f>Таблица22425[[#This Row],[Стоимость, 
грн]]</f>
        <v>12100</v>
      </c>
      <c r="J183" s="403">
        <f>Таблица22425[[#This Row],[Доход, 
грн/рейс]]/Таблица22425[[#This Row],[Километраж, 
км]]</f>
        <v>51.48936170212766</v>
      </c>
      <c r="K183" s="403">
        <v>11000</v>
      </c>
      <c r="L183" s="404">
        <f>Таблица22425[[#This Row],[СС, 
грн/рейс]]/Таблица22425[[#This Row],[Километраж, 
км]]</f>
        <v>46.808510638297875</v>
      </c>
      <c r="M183" s="405">
        <f>Таблица22425[[#This Row],[Доход, 
грн/рейс]]-Таблица22425[[#This Row],[СС, 
грн/рейс]]</f>
        <v>1100</v>
      </c>
      <c r="N183" s="399"/>
      <c r="O183" s="406"/>
    </row>
    <row r="184" spans="1:15" ht="13.2" hidden="1" x14ac:dyDescent="0.25">
      <c r="A184" s="84" t="s">
        <v>191</v>
      </c>
      <c r="B184" s="518" t="s">
        <v>515</v>
      </c>
      <c r="C184" s="418">
        <v>45778</v>
      </c>
      <c r="D184" s="380" t="s">
        <v>1002</v>
      </c>
      <c r="E184" s="157" t="s">
        <v>998</v>
      </c>
      <c r="F184" s="202" t="s">
        <v>874</v>
      </c>
      <c r="G184" s="411">
        <v>44800</v>
      </c>
      <c r="H184" s="412">
        <v>560</v>
      </c>
      <c r="I184" s="412">
        <f>Таблица22425[[#This Row],[Стоимость, 
грн]]</f>
        <v>44800</v>
      </c>
      <c r="J184" s="413">
        <f>Таблица22425[[#This Row],[Доход, 
грн/рейс]]/Таблица22425[[#This Row],[Километраж, 
км]]</f>
        <v>80</v>
      </c>
      <c r="K184" s="413">
        <v>39500</v>
      </c>
      <c r="L184" s="414">
        <f>Таблица22425[[#This Row],[СС, 
грн/рейс]]/Таблица22425[[#This Row],[Километраж, 
км]]</f>
        <v>70.535714285714292</v>
      </c>
      <c r="M184" s="415">
        <f>Таблица22425[[#This Row],[Доход, 
грн/рейс]]-Таблица22425[[#This Row],[СС, 
грн/рейс]]</f>
        <v>5300</v>
      </c>
      <c r="N184" s="409"/>
      <c r="O184" s="416"/>
    </row>
    <row r="185" spans="1:15" ht="13.2" hidden="1" x14ac:dyDescent="0.25">
      <c r="A185" s="84" t="s">
        <v>191</v>
      </c>
      <c r="B185" s="518" t="s">
        <v>515</v>
      </c>
      <c r="C185" s="424">
        <v>45778</v>
      </c>
      <c r="D185" s="425" t="s">
        <v>1002</v>
      </c>
      <c r="E185" s="426" t="s">
        <v>998</v>
      </c>
      <c r="F185" s="427" t="s">
        <v>874</v>
      </c>
      <c r="G185" s="428">
        <v>44800</v>
      </c>
      <c r="H185" s="429">
        <v>560</v>
      </c>
      <c r="I185" s="429">
        <f>Таблица22425[[#This Row],[Стоимость, 
грн]]</f>
        <v>44800</v>
      </c>
      <c r="J185" s="430">
        <f>Таблица22425[[#This Row],[Доход, 
грн/рейс]]/Таблица22425[[#This Row],[Километраж, 
км]]</f>
        <v>80</v>
      </c>
      <c r="K185" s="430">
        <v>39500</v>
      </c>
      <c r="L185" s="431">
        <f>Таблица22425[[#This Row],[СС, 
грн/рейс]]/Таблица22425[[#This Row],[Километраж, 
км]]</f>
        <v>70.535714285714292</v>
      </c>
      <c r="M185" s="432">
        <f>Таблица22425[[#This Row],[Доход, 
грн/рейс]]-Таблица22425[[#This Row],[СС, 
грн/рейс]]</f>
        <v>5300</v>
      </c>
      <c r="N185" s="426"/>
      <c r="O185" s="433"/>
    </row>
    <row r="186" spans="1:15" ht="13.2" hidden="1" x14ac:dyDescent="0.25">
      <c r="A186" s="307" t="s">
        <v>836</v>
      </c>
      <c r="B186" s="518" t="s">
        <v>515</v>
      </c>
      <c r="C186" s="424">
        <v>45778</v>
      </c>
      <c r="D186" s="343" t="s">
        <v>1015</v>
      </c>
      <c r="E186" s="201" t="s">
        <v>931</v>
      </c>
      <c r="F186" s="373" t="s">
        <v>879</v>
      </c>
      <c r="G186" s="203">
        <v>17400</v>
      </c>
      <c r="H186" s="204">
        <v>290</v>
      </c>
      <c r="I186" s="204">
        <f>Таблица22425[[#This Row],[Стоимость, 
грн]]</f>
        <v>17400</v>
      </c>
      <c r="J186" s="205">
        <f>Таблица22425[[#This Row],[Доход, 
грн/рейс]]/Таблица22425[[#This Row],[Километраж, 
км]]</f>
        <v>60</v>
      </c>
      <c r="K186" s="205">
        <v>16500</v>
      </c>
      <c r="L186" s="206">
        <f>Таблица22425[[#This Row],[СС, 
грн/рейс]]/Таблица22425[[#This Row],[Километраж, 
км]]</f>
        <v>56.896551724137929</v>
      </c>
      <c r="M186" s="207">
        <f>Таблица22425[[#This Row],[Доход, 
грн/рейс]]-Таблица22425[[#This Row],[СС, 
грн/рейс]]</f>
        <v>900</v>
      </c>
      <c r="N186" s="201"/>
      <c r="O186" s="250"/>
    </row>
    <row r="187" spans="1:15" ht="13.2" hidden="1" x14ac:dyDescent="0.25">
      <c r="A187" s="84" t="s">
        <v>293</v>
      </c>
      <c r="B187" s="513" t="s">
        <v>722</v>
      </c>
      <c r="C187" s="424">
        <v>45778</v>
      </c>
      <c r="D187" s="343" t="s">
        <v>1013</v>
      </c>
      <c r="E187" s="201" t="s">
        <v>1014</v>
      </c>
      <c r="F187" s="373" t="s">
        <v>879</v>
      </c>
      <c r="G187" s="203">
        <v>14300</v>
      </c>
      <c r="H187" s="204">
        <v>410</v>
      </c>
      <c r="I187" s="204">
        <f>Таблица22425[[#This Row],[Стоимость, 
грн]]</f>
        <v>14300</v>
      </c>
      <c r="J187" s="205">
        <f>Таблица22425[[#This Row],[Доход, 
грн/рейс]]/Таблица22425[[#This Row],[Километраж, 
км]]</f>
        <v>34.878048780487802</v>
      </c>
      <c r="K187" s="205">
        <v>13000</v>
      </c>
      <c r="L187" s="206">
        <f>Таблица22425[[#This Row],[СС, 
грн/рейс]]/Таблица22425[[#This Row],[Километраж, 
км]]</f>
        <v>31.707317073170731</v>
      </c>
      <c r="M187" s="207">
        <f>Таблица22425[[#This Row],[Доход, 
грн/рейс]]-Таблица22425[[#This Row],[СС, 
грн/рейс]]</f>
        <v>1300</v>
      </c>
      <c r="N187" s="201"/>
      <c r="O187" s="250"/>
    </row>
    <row r="188" spans="1:15" s="550" customFormat="1" ht="13.2" x14ac:dyDescent="0.25">
      <c r="A188" s="548" t="s">
        <v>135</v>
      </c>
      <c r="B188" s="549" t="s">
        <v>1079</v>
      </c>
      <c r="C188" s="551">
        <v>45809</v>
      </c>
      <c r="D188" s="552" t="s">
        <v>1021</v>
      </c>
      <c r="E188" s="553" t="s">
        <v>766</v>
      </c>
      <c r="F188" s="554" t="s">
        <v>40</v>
      </c>
      <c r="G188" s="555">
        <v>16500</v>
      </c>
      <c r="H188" s="556">
        <v>275</v>
      </c>
      <c r="I188" s="556">
        <f>Таблица22425[[#This Row],[Стоимость, 
грн]]</f>
        <v>16500</v>
      </c>
      <c r="J188" s="557">
        <f>Таблица22425[[#This Row],[Доход, 
грн/рейс]]/Таблица22425[[#This Row],[Километраж, 
км]]</f>
        <v>60</v>
      </c>
      <c r="K188" s="557">
        <v>14500</v>
      </c>
      <c r="L188" s="558">
        <f>Таблица22425[[#This Row],[СС, 
грн/рейс]]/Таблица22425[[#This Row],[Километраж, 
км]]</f>
        <v>52.727272727272727</v>
      </c>
      <c r="M188" s="559">
        <f>Таблица22425[[#This Row],[Доход, 
грн/рейс]]-Таблица22425[[#This Row],[СС, 
грн/рейс]]</f>
        <v>2000</v>
      </c>
      <c r="N188" s="553"/>
      <c r="O188" s="560"/>
    </row>
    <row r="189" spans="1:15" ht="13.2" hidden="1" x14ac:dyDescent="0.25">
      <c r="A189" s="482" t="s">
        <v>1023</v>
      </c>
      <c r="B189" s="522" t="s">
        <v>515</v>
      </c>
      <c r="C189" s="461">
        <v>45809</v>
      </c>
      <c r="D189" s="462" t="s">
        <v>1022</v>
      </c>
      <c r="E189" s="399" t="s">
        <v>849</v>
      </c>
      <c r="F189" s="464" t="s">
        <v>1024</v>
      </c>
      <c r="G189" s="465">
        <v>8250</v>
      </c>
      <c r="H189" s="466">
        <v>225</v>
      </c>
      <c r="I189" s="466">
        <f>Таблица22425[[#This Row],[Стоимость, 
грн]]</f>
        <v>8250</v>
      </c>
      <c r="J189" s="467">
        <f>Таблица22425[[#This Row],[Доход, 
грн/рейс]]/Таблица22425[[#This Row],[Километраж, 
км]]</f>
        <v>36.666666666666664</v>
      </c>
      <c r="K189" s="467">
        <v>7500</v>
      </c>
      <c r="L189" s="468">
        <f>Таблица22425[[#This Row],[СС, 
грн/рейс]]/Таблица22425[[#This Row],[Километраж, 
км]]</f>
        <v>33.333333333333336</v>
      </c>
      <c r="M189" s="469">
        <f>Таблица22425[[#This Row],[Доход, 
грн/рейс]]-Таблица22425[[#This Row],[СС, 
грн/рейс]]</f>
        <v>750</v>
      </c>
      <c r="N189" s="463"/>
      <c r="O189" s="470"/>
    </row>
    <row r="190" spans="1:15" ht="13.2" hidden="1" x14ac:dyDescent="0.25">
      <c r="A190" s="84" t="s">
        <v>191</v>
      </c>
      <c r="B190" s="417" t="s">
        <v>515</v>
      </c>
      <c r="C190" s="461">
        <v>45809</v>
      </c>
      <c r="D190" s="473" t="s">
        <v>1029</v>
      </c>
      <c r="E190" s="463" t="s">
        <v>1027</v>
      </c>
      <c r="F190" s="464" t="s">
        <v>879</v>
      </c>
      <c r="G190" s="465">
        <v>34800</v>
      </c>
      <c r="H190" s="466">
        <v>580</v>
      </c>
      <c r="I190" s="466">
        <f>Таблица22425[[#This Row],[Стоимость, 
грн]]</f>
        <v>34800</v>
      </c>
      <c r="J190" s="467">
        <f>Таблица22425[[#This Row],[Доход, 
грн/рейс]]/Таблица22425[[#This Row],[Километраж, 
км]]</f>
        <v>60</v>
      </c>
      <c r="K190" s="467">
        <v>33500</v>
      </c>
      <c r="L190" s="468">
        <f>Таблица22425[[#This Row],[СС, 
грн/рейс]]/Таблица22425[[#This Row],[Километраж, 
км]]</f>
        <v>57.758620689655174</v>
      </c>
      <c r="M190" s="469">
        <f>Таблица22425[[#This Row],[Доход, 
грн/рейс]]-Таблица22425[[#This Row],[СС, 
грн/рейс]]</f>
        <v>1300</v>
      </c>
      <c r="N190" s="463"/>
      <c r="O190" s="470"/>
    </row>
    <row r="191" spans="1:15" s="550" customFormat="1" ht="13.2" x14ac:dyDescent="0.25">
      <c r="A191" s="561" t="s">
        <v>135</v>
      </c>
      <c r="B191" s="549" t="s">
        <v>1077</v>
      </c>
      <c r="C191" s="562">
        <v>45809</v>
      </c>
      <c r="D191" s="195" t="s">
        <v>1029</v>
      </c>
      <c r="E191" s="563" t="s">
        <v>535</v>
      </c>
      <c r="F191" s="564" t="s">
        <v>40</v>
      </c>
      <c r="G191" s="565">
        <v>12000</v>
      </c>
      <c r="H191" s="566">
        <v>275</v>
      </c>
      <c r="I191" s="566">
        <f>Таблица22425[[#This Row],[Стоимость, 
грн]]</f>
        <v>12000</v>
      </c>
      <c r="J191" s="567">
        <f>Таблица22425[[#This Row],[Доход, 
грн/рейс]]/Таблица22425[[#This Row],[Километраж, 
км]]</f>
        <v>43.636363636363633</v>
      </c>
      <c r="K191" s="567">
        <v>11000</v>
      </c>
      <c r="L191" s="568">
        <f>Таблица22425[[#This Row],[СС, 
грн/рейс]]/Таблица22425[[#This Row],[Километраж, 
км]]</f>
        <v>40</v>
      </c>
      <c r="M191" s="569">
        <f>Таблица22425[[#This Row],[Доход, 
грн/рейс]]-Таблица22425[[#This Row],[СС, 
грн/рейс]]</f>
        <v>1000</v>
      </c>
      <c r="N191" s="563"/>
      <c r="O191" s="570"/>
    </row>
    <row r="192" spans="1:15" ht="13.2" hidden="1" x14ac:dyDescent="0.25">
      <c r="A192" s="307" t="s">
        <v>836</v>
      </c>
      <c r="B192" s="408" t="s">
        <v>466</v>
      </c>
      <c r="C192" s="472">
        <v>45809</v>
      </c>
      <c r="D192" s="473" t="s">
        <v>1028</v>
      </c>
      <c r="E192" s="201" t="s">
        <v>931</v>
      </c>
      <c r="F192" s="464" t="s">
        <v>879</v>
      </c>
      <c r="G192" s="476">
        <v>15400</v>
      </c>
      <c r="H192" s="477">
        <v>290</v>
      </c>
      <c r="I192" s="477">
        <f>Таблица22425[[#This Row],[Стоимость, 
грн]]</f>
        <v>15400</v>
      </c>
      <c r="J192" s="478">
        <f>Таблица22425[[#This Row],[Доход, 
грн/рейс]]/Таблица22425[[#This Row],[Километраж, 
км]]</f>
        <v>53.103448275862071</v>
      </c>
      <c r="K192" s="478">
        <v>14000</v>
      </c>
      <c r="L192" s="479">
        <f>Таблица22425[[#This Row],[СС, 
грн/рейс]]/Таблица22425[[#This Row],[Километраж, 
км]]</f>
        <v>48.275862068965516</v>
      </c>
      <c r="M192" s="480">
        <f>Таблица22425[[#This Row],[Доход, 
грн/рейс]]-Таблица22425[[#This Row],[СС, 
грн/рейс]]</f>
        <v>1400</v>
      </c>
      <c r="N192" s="474"/>
      <c r="O192" s="481"/>
    </row>
    <row r="193" spans="1:15" ht="26.4" hidden="1" x14ac:dyDescent="0.25">
      <c r="A193" s="84" t="s">
        <v>191</v>
      </c>
      <c r="B193" s="408" t="s">
        <v>466</v>
      </c>
      <c r="C193" s="472">
        <v>45809</v>
      </c>
      <c r="D193" s="473" t="s">
        <v>1029</v>
      </c>
      <c r="E193" s="489" t="s">
        <v>1030</v>
      </c>
      <c r="F193" s="464" t="s">
        <v>879</v>
      </c>
      <c r="G193" s="476">
        <v>27500</v>
      </c>
      <c r="H193" s="477">
        <v>845</v>
      </c>
      <c r="I193" s="477">
        <f>Таблица22425[[#This Row],[Стоимость, 
грн]]</f>
        <v>27500</v>
      </c>
      <c r="J193" s="478">
        <f>Таблица22425[[#This Row],[Доход, 
грн/рейс]]/Таблица22425[[#This Row],[Километраж, 
км]]</f>
        <v>32.544378698224854</v>
      </c>
      <c r="K193" s="478">
        <v>25000</v>
      </c>
      <c r="L193" s="479">
        <f>Таблица22425[[#This Row],[СС, 
грн/рейс]]/Таблица22425[[#This Row],[Километраж, 
км]]</f>
        <v>29.585798816568047</v>
      </c>
      <c r="M193" s="480">
        <f>Таблица22425[[#This Row],[Доход, 
грн/рейс]]-Таблица22425[[#This Row],[СС, 
грн/рейс]]</f>
        <v>2500</v>
      </c>
      <c r="N193" s="474"/>
      <c r="O193" s="481"/>
    </row>
    <row r="194" spans="1:15" ht="13.2" hidden="1" x14ac:dyDescent="0.25">
      <c r="A194" s="84" t="s">
        <v>191</v>
      </c>
      <c r="B194" s="236" t="s">
        <v>881</v>
      </c>
      <c r="C194" s="472">
        <v>45809</v>
      </c>
      <c r="D194" s="473" t="s">
        <v>1029</v>
      </c>
      <c r="E194" s="489" t="s">
        <v>1031</v>
      </c>
      <c r="F194" s="464" t="s">
        <v>879</v>
      </c>
      <c r="G194" s="476">
        <v>36850</v>
      </c>
      <c r="H194" s="477">
        <v>825</v>
      </c>
      <c r="I194" s="477">
        <f>Таблица22425[[#This Row],[Стоимость, 
грн]]</f>
        <v>36850</v>
      </c>
      <c r="J194" s="478">
        <f>Таблица22425[[#This Row],[Доход, 
грн/рейс]]/Таблица22425[[#This Row],[Километраж, 
км]]</f>
        <v>44.666666666666664</v>
      </c>
      <c r="K194" s="478">
        <v>33500</v>
      </c>
      <c r="L194" s="479">
        <f>Таблица22425[[#This Row],[СС, 
грн/рейс]]/Таблица22425[[#This Row],[Километраж, 
км]]</f>
        <v>40.606060606060609</v>
      </c>
      <c r="M194" s="480">
        <f>Таблица22425[[#This Row],[Доход, 
грн/рейс]]-Таблица22425[[#This Row],[СС, 
грн/рейс]]</f>
        <v>3350</v>
      </c>
      <c r="N194" s="474"/>
      <c r="O194" s="481"/>
    </row>
    <row r="195" spans="1:15" s="550" customFormat="1" ht="13.2" x14ac:dyDescent="0.25">
      <c r="A195" s="571" t="s">
        <v>1017</v>
      </c>
      <c r="B195" s="593" t="s">
        <v>1078</v>
      </c>
      <c r="C195" s="551">
        <v>45809</v>
      </c>
      <c r="D195" s="552" t="s">
        <v>1036</v>
      </c>
      <c r="E195" s="553" t="s">
        <v>1033</v>
      </c>
      <c r="F195" s="554" t="s">
        <v>1034</v>
      </c>
      <c r="G195" s="565">
        <v>37200</v>
      </c>
      <c r="H195" s="566">
        <v>620</v>
      </c>
      <c r="I195" s="566">
        <f>Таблица22425[[#This Row],[Стоимость, 
грн]]</f>
        <v>37200</v>
      </c>
      <c r="J195" s="567">
        <f>Таблица22425[[#This Row],[Доход, 
грн/рейс]]/Таблица22425[[#This Row],[Километраж, 
км]]</f>
        <v>60</v>
      </c>
      <c r="K195" s="567">
        <v>30000</v>
      </c>
      <c r="L195" s="568">
        <f>Таблица22425[[#This Row],[СС, 
грн/рейс]]/Таблица22425[[#This Row],[Километраж, 
км]]</f>
        <v>48.387096774193552</v>
      </c>
      <c r="M195" s="569">
        <f>Таблица22425[[#This Row],[Доход, 
грн/рейс]]-Таблица22425[[#This Row],[СС, 
грн/рейс]]</f>
        <v>7200</v>
      </c>
      <c r="N195" s="563"/>
      <c r="O195" s="570"/>
    </row>
    <row r="196" spans="1:15" ht="13.2" hidden="1" x14ac:dyDescent="0.25">
      <c r="A196" s="471" t="s">
        <v>1010</v>
      </c>
      <c r="B196" s="236" t="s">
        <v>881</v>
      </c>
      <c r="C196" s="461">
        <v>45809</v>
      </c>
      <c r="D196" s="473" t="s">
        <v>136</v>
      </c>
      <c r="E196" s="474" t="s">
        <v>1039</v>
      </c>
      <c r="F196" s="475" t="s">
        <v>1040</v>
      </c>
      <c r="G196" s="476">
        <v>12100</v>
      </c>
      <c r="H196" s="477">
        <v>575</v>
      </c>
      <c r="I196" s="477">
        <f>Таблица22425[[#This Row],[Стоимость, 
грн]]</f>
        <v>12100</v>
      </c>
      <c r="J196" s="478">
        <f>Таблица22425[[#This Row],[Доход, 
грн/рейс]]/Таблица22425[[#This Row],[Километраж, 
км]]</f>
        <v>21.043478260869566</v>
      </c>
      <c r="K196" s="478">
        <v>11000</v>
      </c>
      <c r="L196" s="479">
        <f>Таблица22425[[#This Row],[СС, 
грн/рейс]]/Таблица22425[[#This Row],[Километраж, 
км]]</f>
        <v>19.130434782608695</v>
      </c>
      <c r="M196" s="480">
        <f>Таблица22425[[#This Row],[Доход, 
грн/рейс]]-Таблица22425[[#This Row],[СС, 
грн/рейс]]</f>
        <v>1100</v>
      </c>
      <c r="N196" s="474"/>
      <c r="O196" s="481"/>
    </row>
    <row r="197" spans="1:15" s="550" customFormat="1" ht="13.2" x14ac:dyDescent="0.25">
      <c r="A197" s="571" t="s">
        <v>1017</v>
      </c>
      <c r="B197" s="594" t="s">
        <v>1080</v>
      </c>
      <c r="C197" s="551">
        <v>45809</v>
      </c>
      <c r="D197" s="572" t="s">
        <v>136</v>
      </c>
      <c r="E197" s="563" t="s">
        <v>535</v>
      </c>
      <c r="F197" s="564" t="s">
        <v>40</v>
      </c>
      <c r="G197" s="565">
        <v>14300</v>
      </c>
      <c r="H197" s="566">
        <v>275</v>
      </c>
      <c r="I197" s="566">
        <f>Таблица22425[[#This Row],[Стоимость, 
грн]]</f>
        <v>14300</v>
      </c>
      <c r="J197" s="567">
        <f>Таблица22425[[#This Row],[Доход, 
грн/рейс]]/Таблица22425[[#This Row],[Километраж, 
км]]</f>
        <v>52</v>
      </c>
      <c r="K197" s="567">
        <v>13000</v>
      </c>
      <c r="L197" s="568">
        <f>Таблица22425[[#This Row],[СС, 
грн/рейс]]/Таблица22425[[#This Row],[Километраж, 
км]]</f>
        <v>47.272727272727273</v>
      </c>
      <c r="M197" s="569">
        <f>Таблица22425[[#This Row],[Доход, 
грн/рейс]]-Таблица22425[[#This Row],[СС, 
грн/рейс]]</f>
        <v>1300</v>
      </c>
      <c r="N197" s="563"/>
      <c r="O197" s="570"/>
    </row>
    <row r="198" spans="1:15" ht="13.2" hidden="1" x14ac:dyDescent="0.25">
      <c r="A198" s="84" t="s">
        <v>191</v>
      </c>
      <c r="B198" s="408" t="s">
        <v>466</v>
      </c>
      <c r="C198" s="461">
        <v>45809</v>
      </c>
      <c r="D198" s="460" t="s">
        <v>155</v>
      </c>
      <c r="E198" s="463" t="s">
        <v>1027</v>
      </c>
      <c r="F198" s="202" t="s">
        <v>879</v>
      </c>
      <c r="G198" s="465">
        <v>16500</v>
      </c>
      <c r="H198" s="466">
        <v>580</v>
      </c>
      <c r="I198" s="466">
        <f>Таблица22425[[#This Row],[Стоимость, 
грн]]</f>
        <v>16500</v>
      </c>
      <c r="J198" s="467">
        <f>Таблица22425[[#This Row],[Доход, 
грн/рейс]]/Таблица22425[[#This Row],[Километраж, 
км]]</f>
        <v>28.448275862068964</v>
      </c>
      <c r="K198" s="467">
        <v>15000</v>
      </c>
      <c r="L198" s="468">
        <f>Таблица22425[[#This Row],[СС, 
грн/рейс]]/Таблица22425[[#This Row],[Километраж, 
км]]</f>
        <v>25.862068965517242</v>
      </c>
      <c r="M198" s="469">
        <f>Таблица22425[[#This Row],[Доход, 
грн/рейс]]-Таблица22425[[#This Row],[СС, 
грн/рейс]]</f>
        <v>1500</v>
      </c>
      <c r="N198" s="463"/>
      <c r="O198" s="470"/>
    </row>
    <row r="199" spans="1:15" ht="13.2" hidden="1" x14ac:dyDescent="0.25">
      <c r="A199" s="84" t="s">
        <v>191</v>
      </c>
      <c r="B199" s="417" t="s">
        <v>515</v>
      </c>
      <c r="C199" s="461">
        <v>45809</v>
      </c>
      <c r="D199" s="460" t="s">
        <v>1043</v>
      </c>
      <c r="E199" s="492" t="s">
        <v>1042</v>
      </c>
      <c r="F199" s="493" t="s">
        <v>879</v>
      </c>
      <c r="G199" s="494">
        <v>30250</v>
      </c>
      <c r="H199" s="495">
        <v>750</v>
      </c>
      <c r="I199" s="495">
        <f>Таблица22425[[#This Row],[Стоимость, 
грн]]</f>
        <v>30250</v>
      </c>
      <c r="J199" s="496">
        <f>Таблица22425[[#This Row],[Доход, 
грн/рейс]]/Таблица22425[[#This Row],[Километраж, 
км]]</f>
        <v>40.333333333333336</v>
      </c>
      <c r="K199" s="496">
        <v>27500</v>
      </c>
      <c r="L199" s="497">
        <f>Таблица22425[[#This Row],[СС, 
грн/рейс]]/Таблица22425[[#This Row],[Километраж, 
км]]</f>
        <v>36.666666666666664</v>
      </c>
      <c r="M199" s="498">
        <f>Таблица22425[[#This Row],[Доход, 
грн/рейс]]-Таблица22425[[#This Row],[СС, 
грн/рейс]]</f>
        <v>2750</v>
      </c>
      <c r="N199" s="499"/>
      <c r="O199" s="500"/>
    </row>
    <row r="200" spans="1:15" ht="13.2" hidden="1" x14ac:dyDescent="0.25">
      <c r="A200" s="84" t="s">
        <v>191</v>
      </c>
      <c r="B200" s="502" t="s">
        <v>881</v>
      </c>
      <c r="C200" s="461">
        <v>45809</v>
      </c>
      <c r="D200" s="460" t="s">
        <v>1051</v>
      </c>
      <c r="E200" s="503" t="s">
        <v>1052</v>
      </c>
      <c r="F200" s="493" t="s">
        <v>879</v>
      </c>
      <c r="G200" s="505">
        <v>24200</v>
      </c>
      <c r="H200" s="506">
        <v>515</v>
      </c>
      <c r="I200" s="506">
        <f>Таблица22425[[#This Row],[Стоимость, 
грн]]</f>
        <v>24200</v>
      </c>
      <c r="J200" s="507">
        <f>Таблица22425[[#This Row],[Доход, 
грн/рейс]]/Таблица22425[[#This Row],[Километраж, 
км]]</f>
        <v>46.990291262135919</v>
      </c>
      <c r="K200" s="507">
        <v>22000</v>
      </c>
      <c r="L200" s="508">
        <f>Таблица22425[[#This Row],[СС, 
грн/рейс]]/Таблица22425[[#This Row],[Километраж, 
км]]</f>
        <v>42.71844660194175</v>
      </c>
      <c r="M200" s="509">
        <f>Таблица22425[[#This Row],[Доход, 
грн/рейс]]-Таблица22425[[#This Row],[СС, 
грн/рейс]]</f>
        <v>2200</v>
      </c>
      <c r="N200" s="503"/>
      <c r="O200" s="510"/>
    </row>
    <row r="201" spans="1:15" ht="13.2" hidden="1" x14ac:dyDescent="0.25">
      <c r="A201" s="14" t="s">
        <v>191</v>
      </c>
      <c r="B201" s="522" t="s">
        <v>515</v>
      </c>
      <c r="C201" s="491">
        <v>45809</v>
      </c>
      <c r="D201" s="187" t="s">
        <v>1051</v>
      </c>
      <c r="E201" s="523" t="s">
        <v>1052</v>
      </c>
      <c r="F201" s="196" t="s">
        <v>1055</v>
      </c>
      <c r="G201" s="197">
        <v>41200</v>
      </c>
      <c r="H201" s="154">
        <v>515</v>
      </c>
      <c r="I201" s="154">
        <f>Таблица22425[[#This Row],[Стоимость, 
грн]]</f>
        <v>41200</v>
      </c>
      <c r="J201" s="155">
        <f>Таблица22425[[#This Row],[Доход, 
грн/рейс]]/Таблица22425[[#This Row],[Километраж, 
км]]</f>
        <v>80</v>
      </c>
      <c r="K201" s="524">
        <v>40000</v>
      </c>
      <c r="L201" s="198">
        <f>Таблица22425[[#This Row],[СС, 
грн/рейс]]/Таблица22425[[#This Row],[Километраж, 
км]]</f>
        <v>77.669902912621353</v>
      </c>
      <c r="M201" s="156">
        <f>Таблица22425[[#This Row],[Доход, 
грн/рейс]]-Таблица22425[[#This Row],[СС, 
грн/рейс]]</f>
        <v>1200</v>
      </c>
      <c r="N201" s="157"/>
      <c r="O201" s="150"/>
    </row>
    <row r="202" spans="1:15" hidden="1" x14ac:dyDescent="0.25">
      <c r="A202" s="14" t="s">
        <v>888</v>
      </c>
      <c r="B202" s="522" t="s">
        <v>515</v>
      </c>
      <c r="C202" s="491">
        <v>45809</v>
      </c>
      <c r="D202" s="187" t="s">
        <v>1057</v>
      </c>
      <c r="E202" s="525" t="s">
        <v>705</v>
      </c>
      <c r="F202" s="196" t="s">
        <v>90</v>
      </c>
      <c r="G202" s="197">
        <v>18700</v>
      </c>
      <c r="H202" s="154">
        <v>390</v>
      </c>
      <c r="I202" s="154">
        <f>Таблица22425[[#This Row],[Стоимость, 
грн]]</f>
        <v>18700</v>
      </c>
      <c r="J202" s="155">
        <f>Таблица22425[[#This Row],[Доход, 
грн/рейс]]/Таблица22425[[#This Row],[Километраж, 
км]]</f>
        <v>47.948717948717949</v>
      </c>
      <c r="K202" s="155">
        <v>17000</v>
      </c>
      <c r="L202" s="198">
        <f>Таблица22425[[#This Row],[СС, 
грн/рейс]]/Таблица22425[[#This Row],[Километраж, 
км]]</f>
        <v>43.589743589743591</v>
      </c>
      <c r="M202" s="156">
        <f>Таблица22425[[#This Row],[Доход, 
грн/рейс]]-Таблица22425[[#This Row],[СС, 
грн/рейс]]</f>
        <v>1700</v>
      </c>
      <c r="N202" s="157"/>
      <c r="O202" s="150"/>
    </row>
    <row r="203" spans="1:15" ht="13.2" hidden="1" x14ac:dyDescent="0.25">
      <c r="A203" s="307" t="s">
        <v>836</v>
      </c>
      <c r="B203" s="522" t="s">
        <v>515</v>
      </c>
      <c r="C203" s="527">
        <v>45839</v>
      </c>
      <c r="D203" s="195" t="s">
        <v>1069</v>
      </c>
      <c r="E203" s="201" t="s">
        <v>931</v>
      </c>
      <c r="F203" s="464" t="s">
        <v>879</v>
      </c>
      <c r="G203" s="197">
        <v>17400</v>
      </c>
      <c r="H203" s="154">
        <v>290</v>
      </c>
      <c r="I203" s="154">
        <f>Таблица22425[[#This Row],[Стоимость, 
грн]]</f>
        <v>17400</v>
      </c>
      <c r="J203" s="155">
        <f>Таблица22425[[#This Row],[Доход, 
грн/рейс]]/Таблица22425[[#This Row],[Километраж, 
км]]</f>
        <v>60</v>
      </c>
      <c r="K203" s="155">
        <v>16500</v>
      </c>
      <c r="L203" s="198">
        <f>Таблица22425[[#This Row],[СС, 
грн/рейс]]/Таблица22425[[#This Row],[Километраж, 
км]]</f>
        <v>56.896551724137929</v>
      </c>
      <c r="M203" s="156">
        <f>Таблица22425[[#This Row],[Доход, 
грн/рейс]]-Таблица22425[[#This Row],[СС, 
грн/рейс]]</f>
        <v>900</v>
      </c>
      <c r="N203" s="157"/>
      <c r="O203" s="150"/>
    </row>
    <row r="204" spans="1:15" ht="13.2" hidden="1" x14ac:dyDescent="0.25">
      <c r="A204" s="471" t="s">
        <v>1010</v>
      </c>
      <c r="B204" s="522" t="s">
        <v>515</v>
      </c>
      <c r="C204" s="527">
        <v>45839</v>
      </c>
      <c r="D204" s="195" t="s">
        <v>1075</v>
      </c>
      <c r="E204" s="157" t="s">
        <v>1066</v>
      </c>
      <c r="F204" s="202" t="s">
        <v>1055</v>
      </c>
      <c r="G204" s="197">
        <v>27500</v>
      </c>
      <c r="H204" s="154">
        <v>380</v>
      </c>
      <c r="I204" s="154">
        <f>Таблица22425[[#This Row],[Стоимость, 
грн]]</f>
        <v>27500</v>
      </c>
      <c r="J204" s="155">
        <f>Таблица22425[[#This Row],[Доход, 
грн/рейс]]/Таблица22425[[#This Row],[Километраж, 
км]]</f>
        <v>72.368421052631575</v>
      </c>
      <c r="K204" s="155">
        <v>25000</v>
      </c>
      <c r="L204" s="198">
        <f>Таблица22425[[#This Row],[СС, 
грн/рейс]]/Таблица22425[[#This Row],[Километраж, 
км]]</f>
        <v>65.78947368421052</v>
      </c>
      <c r="M204" s="156">
        <f>Таблица22425[[#This Row],[Доход, 
грн/рейс]]-Таблица22425[[#This Row],[СС, 
грн/рейс]]</f>
        <v>2500</v>
      </c>
      <c r="N204" s="157"/>
      <c r="O204" s="150"/>
    </row>
    <row r="205" spans="1:15" ht="13.2" hidden="1" x14ac:dyDescent="0.25">
      <c r="A205" s="398"/>
      <c r="B205" s="62"/>
      <c r="C205" s="527">
        <v>45839</v>
      </c>
      <c r="D205" s="152"/>
      <c r="E205" s="399"/>
      <c r="F205" s="196"/>
      <c r="G205" s="197" t="e">
        <f>#REF!*#REF!</f>
        <v>#REF!</v>
      </c>
      <c r="H205" s="154"/>
      <c r="I205" s="154" t="e">
        <f>Таблица22425[[#This Row],[Стоимость, 
грн]]</f>
        <v>#REF!</v>
      </c>
      <c r="J205" s="155" t="e">
        <f>Таблица22425[[#This Row],[Доход, 
грн/рейс]]/Таблица22425[[#This Row],[Километраж, 
км]]</f>
        <v>#REF!</v>
      </c>
      <c r="K205" s="155"/>
      <c r="L205" s="198" t="e">
        <f>Таблица22425[[#This Row],[СС, 
грн/рейс]]/Таблица22425[[#This Row],[Километраж, 
км]]</f>
        <v>#DIV/0!</v>
      </c>
      <c r="M205" s="156" t="e">
        <f>Таблица22425[[#This Row],[Доход, 
грн/рейс]]-Таблица22425[[#This Row],[СС, 
грн/рейс]]</f>
        <v>#REF!</v>
      </c>
      <c r="N205" s="157"/>
      <c r="O205" s="150"/>
    </row>
    <row r="206" spans="1:15" ht="13.2" hidden="1" x14ac:dyDescent="0.25">
      <c r="A206" s="14"/>
      <c r="B206" s="62"/>
      <c r="C206" s="16"/>
      <c r="D206" s="152"/>
      <c r="E206" s="157"/>
      <c r="F206" s="196"/>
      <c r="G206" s="197" t="e">
        <f>#REF!*#REF!</f>
        <v>#REF!</v>
      </c>
      <c r="H206" s="154" t="e">
        <f>SUM(#REF!)</f>
        <v>#REF!</v>
      </c>
      <c r="I206" s="154" t="e">
        <f>Таблица22425[[#This Row],[Стоимость, 
грн]]</f>
        <v>#REF!</v>
      </c>
      <c r="J206" s="155" t="e">
        <f>Таблица22425[[#This Row],[Доход, 
грн/рейс]]/Таблица22425[[#This Row],[Километраж, 
км]]</f>
        <v>#REF!</v>
      </c>
      <c r="K206" s="155"/>
      <c r="L206" s="198" t="e">
        <f>Таблица22425[[#This Row],[СС, 
грн/рейс]]/Таблица22425[[#This Row],[Километраж, 
км]]</f>
        <v>#REF!</v>
      </c>
      <c r="M206" s="156" t="e">
        <f>Таблица22425[[#This Row],[Доход, 
грн/рейс]]-Таблица22425[[#This Row],[СС, 
грн/рейс]]</f>
        <v>#REF!</v>
      </c>
      <c r="N206" s="157"/>
      <c r="O206" s="150"/>
    </row>
    <row r="207" spans="1:15" ht="13.2" hidden="1" x14ac:dyDescent="0.25">
      <c r="A207" s="14"/>
      <c r="B207" s="62"/>
      <c r="C207" s="16"/>
      <c r="D207" s="152"/>
      <c r="E207" s="157"/>
      <c r="F207" s="196"/>
      <c r="G207" s="197" t="e">
        <f>#REF!*#REF!</f>
        <v>#REF!</v>
      </c>
      <c r="H207" s="154" t="e">
        <f>SUM(#REF!)</f>
        <v>#REF!</v>
      </c>
      <c r="I207" s="154" t="e">
        <f>Таблица22425[[#This Row],[Стоимость, 
грн]]</f>
        <v>#REF!</v>
      </c>
      <c r="J207" s="155" t="e">
        <f>Таблица22425[[#This Row],[Доход, 
грн/рейс]]/Таблица22425[[#This Row],[Километраж, 
км]]</f>
        <v>#REF!</v>
      </c>
      <c r="K207" s="155"/>
      <c r="L207" s="198" t="e">
        <f>Таблица22425[[#This Row],[СС, 
грн/рейс]]/Таблица22425[[#This Row],[Километраж, 
км]]</f>
        <v>#REF!</v>
      </c>
      <c r="M207" s="156" t="e">
        <f>Таблица22425[[#This Row],[Доход, 
грн/рейс]]-Таблица22425[[#This Row],[СС, 
грн/рейс]]</f>
        <v>#REF!</v>
      </c>
      <c r="N207" s="157"/>
      <c r="O207" s="150"/>
    </row>
    <row r="208" spans="1:15" ht="13.2" hidden="1" x14ac:dyDescent="0.25">
      <c r="A208" s="14"/>
      <c r="B208" s="62"/>
      <c r="C208" s="16"/>
      <c r="D208" s="152"/>
      <c r="E208" s="157"/>
      <c r="F208" s="196"/>
      <c r="G208" s="197" t="e">
        <f>#REF!*#REF!</f>
        <v>#REF!</v>
      </c>
      <c r="H208" s="154" t="e">
        <f>SUM(#REF!)</f>
        <v>#REF!</v>
      </c>
      <c r="I208" s="154" t="e">
        <f>Таблица22425[[#This Row],[Стоимость, 
грн]]</f>
        <v>#REF!</v>
      </c>
      <c r="J208" s="155" t="e">
        <f>Таблица22425[[#This Row],[Доход, 
грн/рейс]]/Таблица22425[[#This Row],[Километраж, 
км]]</f>
        <v>#REF!</v>
      </c>
      <c r="K208" s="155"/>
      <c r="L208" s="198" t="e">
        <f>Таблица22425[[#This Row],[СС, 
грн/рейс]]/Таблица22425[[#This Row],[Километраж, 
км]]</f>
        <v>#REF!</v>
      </c>
      <c r="M208" s="156" t="e">
        <f>Таблица22425[[#This Row],[Доход, 
грн/рейс]]-Таблица22425[[#This Row],[СС, 
грн/рейс]]</f>
        <v>#REF!</v>
      </c>
      <c r="N208" s="157"/>
      <c r="O208" s="150"/>
    </row>
    <row r="209" spans="1:15" ht="13.2" hidden="1" x14ac:dyDescent="0.25">
      <c r="A209" s="14"/>
      <c r="B209" s="62"/>
      <c r="C209" s="16"/>
      <c r="D209" s="152"/>
      <c r="E209" s="157"/>
      <c r="F209" s="196"/>
      <c r="G209" s="197" t="e">
        <f>#REF!*#REF!</f>
        <v>#REF!</v>
      </c>
      <c r="H209" s="154" t="e">
        <f>SUM(#REF!)</f>
        <v>#REF!</v>
      </c>
      <c r="I209" s="154" t="e">
        <f>Таблица22425[[#This Row],[Стоимость, 
грн]]</f>
        <v>#REF!</v>
      </c>
      <c r="J209" s="155" t="e">
        <f>Таблица22425[[#This Row],[Доход, 
грн/рейс]]/Таблица22425[[#This Row],[Километраж, 
км]]</f>
        <v>#REF!</v>
      </c>
      <c r="K209" s="155"/>
      <c r="L209" s="198" t="e">
        <f>Таблица22425[[#This Row],[СС, 
грн/рейс]]/Таблица22425[[#This Row],[Километраж, 
км]]</f>
        <v>#REF!</v>
      </c>
      <c r="M209" s="156" t="e">
        <f>Таблица22425[[#This Row],[Доход, 
грн/рейс]]-Таблица22425[[#This Row],[СС, 
грн/рейс]]</f>
        <v>#REF!</v>
      </c>
      <c r="N209" s="157"/>
      <c r="O209" s="150"/>
    </row>
    <row r="210" spans="1:15" ht="13.2" hidden="1" x14ac:dyDescent="0.25">
      <c r="A210" s="84"/>
      <c r="B210" s="85"/>
      <c r="C210" s="199"/>
      <c r="D210" s="200"/>
      <c r="E210" s="201"/>
      <c r="F210" s="202"/>
      <c r="G210" s="203" t="e">
        <f>#REF!*#REF!</f>
        <v>#REF!</v>
      </c>
      <c r="H210" s="204" t="e">
        <f>SUM(#REF!)</f>
        <v>#REF!</v>
      </c>
      <c r="I210" s="204" t="e">
        <f>Таблица22425[[#This Row],[Стоимость, 
грн]]</f>
        <v>#REF!</v>
      </c>
      <c r="J210" s="205" t="e">
        <f>Таблица22425[[#This Row],[Доход, 
грн/рейс]]/Таблица22425[[#This Row],[Километраж, 
км]]</f>
        <v>#REF!</v>
      </c>
      <c r="K210" s="205"/>
      <c r="L210" s="206" t="e">
        <f>Таблица22425[[#This Row],[СС, 
грн/рейс]]/Таблица22425[[#This Row],[Километраж, 
км]]</f>
        <v>#REF!</v>
      </c>
      <c r="M210" s="207" t="e">
        <f>Таблица22425[[#This Row],[Доход, 
грн/рейс]]-Таблица22425[[#This Row],[СС, 
грн/рейс]]</f>
        <v>#REF!</v>
      </c>
      <c r="N210" s="201"/>
      <c r="O210" s="250"/>
    </row>
    <row r="212" spans="1:15" x14ac:dyDescent="0.3">
      <c r="G212" s="3">
        <f>G188+G191+G195+G197</f>
        <v>80000</v>
      </c>
    </row>
  </sheetData>
  <mergeCells count="1">
    <mergeCell ref="A1:N1"/>
  </mergeCells>
  <pageMargins left="0.25" right="0.25" top="0.75" bottom="0.75" header="0.3" footer="0.3"/>
  <pageSetup paperSize="9" scale="46" orientation="landscape" horizontalDpi="300" verticalDpi="30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19"/>
  <sheetViews>
    <sheetView zoomScaleNormal="100" workbookViewId="0">
      <pane xSplit="2" ySplit="1" topLeftCell="C125" activePane="bottomRight" state="frozen"/>
      <selection pane="topRight" activeCell="C1" sqref="C1"/>
      <selection pane="bottomLeft" activeCell="A2" sqref="A2"/>
      <selection pane="bottomRight" activeCell="B222" sqref="B222"/>
    </sheetView>
  </sheetViews>
  <sheetFormatPr defaultRowHeight="14.4" outlineLevelRow="1" outlineLevelCol="1" x14ac:dyDescent="0.3"/>
  <cols>
    <col min="1" max="1" width="24.77734375" style="1" customWidth="1"/>
    <col min="2" max="2" width="27.8867187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23.7773437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4" ht="14.4" customHeight="1" x14ac:dyDescent="0.3">
      <c r="A1" s="546" t="s">
        <v>61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4" ht="13.8" thickBot="1" x14ac:dyDescent="0.3">
      <c r="A2" s="2"/>
      <c r="B2" s="2"/>
      <c r="C2" s="17"/>
      <c r="D2" s="19"/>
      <c r="E2" s="2"/>
      <c r="G2" s="3">
        <f>SUM(Таблица22426[[#All],[Стоимость, 
грн]])</f>
        <v>2415950</v>
      </c>
      <c r="I2" s="3"/>
      <c r="J2" s="1"/>
      <c r="K2" s="3">
        <f>SUM(Таблица22426[[#All],[СС, 
грн/рейс]])</f>
        <v>2152865</v>
      </c>
      <c r="L2" s="3"/>
      <c r="M2" s="3"/>
    </row>
    <row r="3" spans="1:14" s="23" customFormat="1" ht="54" thickTop="1" thickBot="1" x14ac:dyDescent="0.35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</row>
    <row r="4" spans="1:14" s="13" customFormat="1" ht="13.8" outlineLevel="1" thickTop="1" x14ac:dyDescent="0.25">
      <c r="A4" s="8" t="s">
        <v>35</v>
      </c>
      <c r="B4" s="61" t="s">
        <v>16</v>
      </c>
      <c r="C4" s="16">
        <v>45396</v>
      </c>
      <c r="D4" s="10" t="s">
        <v>21</v>
      </c>
      <c r="E4" s="9" t="s">
        <v>27</v>
      </c>
      <c r="F4" s="9" t="s">
        <v>38</v>
      </c>
      <c r="G4" s="63">
        <v>48000</v>
      </c>
      <c r="H4" s="11">
        <v>592</v>
      </c>
      <c r="I4" s="11">
        <f>Таблица22426[[#This Row],[Стоимость, 
грн]]</f>
        <v>48000</v>
      </c>
      <c r="J4" s="12">
        <f>Таблица22426[[#This Row],[Доход, 
грн/рейс]]/Таблица22426[[#This Row],[Километраж, 
км]]</f>
        <v>81.081081081081081</v>
      </c>
      <c r="K4" s="12">
        <v>40000</v>
      </c>
      <c r="L4" s="12">
        <f>Таблица22426[[#This Row],[СС, 
грн/рейс]]/Таблица22426[[#This Row],[Километраж, 
км]]</f>
        <v>67.567567567567565</v>
      </c>
      <c r="M4" s="26">
        <f>Таблица22426[[#This Row],[Доход, 
грн/рейс]]-Таблица22426[[#This Row],[СС, 
грн/рейс]]</f>
        <v>8000</v>
      </c>
      <c r="N4" s="13" t="s">
        <v>46</v>
      </c>
    </row>
    <row r="5" spans="1:14" s="13" customFormat="1" ht="13.2" outlineLevel="1" x14ac:dyDescent="0.25">
      <c r="A5" s="8" t="s">
        <v>35</v>
      </c>
      <c r="B5" s="61" t="s">
        <v>17</v>
      </c>
      <c r="C5" s="16">
        <v>45396</v>
      </c>
      <c r="D5" s="10" t="s">
        <v>21</v>
      </c>
      <c r="E5" s="9" t="s">
        <v>28</v>
      </c>
      <c r="F5" s="9" t="s">
        <v>39</v>
      </c>
      <c r="G5" s="63">
        <v>18000</v>
      </c>
      <c r="H5" s="11">
        <v>196</v>
      </c>
      <c r="I5" s="11">
        <f>Таблица22426[[#This Row],[Стоимость, 
грн]]</f>
        <v>18000</v>
      </c>
      <c r="J5" s="12">
        <f>Таблица22426[[#This Row],[Доход, 
грн/рейс]]/Таблица22426[[#This Row],[Километраж, 
км]]</f>
        <v>91.836734693877546</v>
      </c>
      <c r="K5" s="12">
        <v>16000</v>
      </c>
      <c r="L5" s="12">
        <f>Таблица22426[[#This Row],[СС, 
грн/рейс]]/Таблица22426[[#This Row],[Километраж, 
км]]</f>
        <v>81.632653061224488</v>
      </c>
      <c r="M5" s="26">
        <f>Таблица22426[[#This Row],[Доход, 
грн/рейс]]-Таблица22426[[#This Row],[СС, 
грн/рейс]]</f>
        <v>2000</v>
      </c>
      <c r="N5" s="9" t="s">
        <v>72</v>
      </c>
    </row>
    <row r="6" spans="1:14" s="13" customFormat="1" ht="13.2" outlineLevel="1" x14ac:dyDescent="0.25">
      <c r="A6" s="8" t="s">
        <v>37</v>
      </c>
      <c r="B6" s="61" t="s">
        <v>18</v>
      </c>
      <c r="C6" s="16">
        <v>45396</v>
      </c>
      <c r="D6" s="10" t="s">
        <v>22</v>
      </c>
      <c r="E6" s="9" t="s">
        <v>29</v>
      </c>
      <c r="F6" s="74" t="s">
        <v>38</v>
      </c>
      <c r="G6" s="63">
        <v>15000</v>
      </c>
      <c r="H6" s="11">
        <v>172</v>
      </c>
      <c r="I6" s="11">
        <f>Таблица22426[[#This Row],[Стоимость, 
грн]]</f>
        <v>15000</v>
      </c>
      <c r="J6" s="12">
        <f>Таблица22426[[#This Row],[Доход, 
грн/рейс]]/Таблица22426[[#This Row],[Километраж, 
км]]</f>
        <v>87.20930232558139</v>
      </c>
      <c r="K6" s="12">
        <v>9600</v>
      </c>
      <c r="L6" s="12">
        <f>Таблица22426[[#This Row],[СС, 
грн/рейс]]/Таблица22426[[#This Row],[Километраж, 
км]]</f>
        <v>55.813953488372093</v>
      </c>
      <c r="M6" s="26">
        <f>Таблица22426[[#This Row],[Доход, 
грн/рейс]]-Таблица22426[[#This Row],[СС, 
грн/рейс]]</f>
        <v>5400</v>
      </c>
      <c r="N6" s="9" t="s">
        <v>47</v>
      </c>
    </row>
    <row r="7" spans="1:14" ht="13.2" outlineLevel="1" x14ac:dyDescent="0.25">
      <c r="A7" s="14" t="s">
        <v>65</v>
      </c>
      <c r="B7" s="70" t="s">
        <v>66</v>
      </c>
      <c r="C7" s="16">
        <v>45414</v>
      </c>
      <c r="D7" s="10" t="s">
        <v>67</v>
      </c>
      <c r="E7" s="24" t="s">
        <v>68</v>
      </c>
      <c r="F7" s="71" t="s">
        <v>69</v>
      </c>
      <c r="G7" s="73">
        <v>84700</v>
      </c>
      <c r="H7" s="11">
        <v>585</v>
      </c>
      <c r="I7" s="60">
        <f>Таблица22426[[#This Row],[Стоимость, 
грн]]</f>
        <v>84700</v>
      </c>
      <c r="J7" s="12">
        <f>Таблица22426[[#This Row],[Доход, 
грн/рейс]]/Таблица22426[[#This Row],[Километраж, 
км]]</f>
        <v>144.7863247863248</v>
      </c>
      <c r="K7" s="12">
        <v>77000</v>
      </c>
      <c r="L7" s="12">
        <f>Таблица22426[[#This Row],[СС, 
грн/рейс]]/Таблица22426[[#This Row],[Километраж, 
км]]</f>
        <v>131.62393162393161</v>
      </c>
      <c r="M7" s="26">
        <f>Таблица22426[[#This Row],[Доход, 
грн/рейс]]-Таблица22426[[#This Row],[СС, 
грн/рейс]]</f>
        <v>7700</v>
      </c>
      <c r="N7" s="24" t="s">
        <v>125</v>
      </c>
    </row>
    <row r="8" spans="1:14" ht="13.2" outlineLevel="1" x14ac:dyDescent="0.25">
      <c r="A8" s="14" t="s">
        <v>91</v>
      </c>
      <c r="B8" s="62" t="s">
        <v>63</v>
      </c>
      <c r="C8" s="25">
        <v>45415</v>
      </c>
      <c r="D8" s="57" t="s">
        <v>92</v>
      </c>
      <c r="E8" s="24" t="s">
        <v>93</v>
      </c>
      <c r="F8" s="71" t="s">
        <v>94</v>
      </c>
      <c r="G8" s="58">
        <v>0</v>
      </c>
      <c r="H8" s="11">
        <v>300</v>
      </c>
      <c r="I8" s="60">
        <f>Таблица22426[[#This Row],[Стоимость, 
грн]]</f>
        <v>0</v>
      </c>
      <c r="J8" s="12">
        <f>Таблица22426[[#This Row],[Доход, 
грн/рейс]]/Таблица22426[[#This Row],[Километраж, 
км]]</f>
        <v>0</v>
      </c>
      <c r="K8" s="12">
        <v>0</v>
      </c>
      <c r="L8" s="12">
        <f>Таблица22426[[#This Row],[СС, 
грн/рейс]]/Таблица22426[[#This Row],[Километраж, 
км]]</f>
        <v>0</v>
      </c>
      <c r="M8" s="26">
        <f>Таблица22426[[#This Row],[Доход, 
грн/рейс]]-Таблица22426[[#This Row],[СС, 
грн/рейс]]</f>
        <v>0</v>
      </c>
      <c r="N8" s="24"/>
    </row>
    <row r="9" spans="1:14" ht="13.2" outlineLevel="1" x14ac:dyDescent="0.25">
      <c r="A9" s="14" t="s">
        <v>37</v>
      </c>
      <c r="B9" s="62" t="s">
        <v>63</v>
      </c>
      <c r="C9" s="25">
        <v>45416</v>
      </c>
      <c r="D9" s="57" t="s">
        <v>92</v>
      </c>
      <c r="E9" s="24" t="s">
        <v>95</v>
      </c>
      <c r="F9" s="71" t="s">
        <v>96</v>
      </c>
      <c r="G9" s="73">
        <v>19250</v>
      </c>
      <c r="H9" s="11">
        <v>250</v>
      </c>
      <c r="I9" s="60">
        <f>Таблица22426[[#This Row],[Стоимость, 
грн]]</f>
        <v>19250</v>
      </c>
      <c r="J9" s="12">
        <f>Таблица22426[[#This Row],[Доход, 
грн/рейс]]/Таблица22426[[#This Row],[Километраж, 
км]]</f>
        <v>77</v>
      </c>
      <c r="K9" s="12">
        <v>17500</v>
      </c>
      <c r="L9" s="12">
        <f>Таблица22426[[#This Row],[СС, 
грн/рейс]]/Таблица22426[[#This Row],[Километраж, 
км]]</f>
        <v>70</v>
      </c>
      <c r="M9" s="26">
        <f>Таблица22426[[#This Row],[Доход, 
грн/рейс]]-Таблица22426[[#This Row],[СС, 
грн/рейс]]</f>
        <v>1750</v>
      </c>
      <c r="N9" s="24" t="s">
        <v>116</v>
      </c>
    </row>
    <row r="10" spans="1:14" ht="13.2" outlineLevel="1" x14ac:dyDescent="0.25">
      <c r="A10" s="14" t="s">
        <v>82</v>
      </c>
      <c r="B10" s="62" t="s">
        <v>63</v>
      </c>
      <c r="C10" s="25">
        <v>45416</v>
      </c>
      <c r="D10" s="57" t="s">
        <v>110</v>
      </c>
      <c r="E10" s="24" t="s">
        <v>111</v>
      </c>
      <c r="F10" s="71" t="s">
        <v>112</v>
      </c>
      <c r="G10" s="73">
        <v>13200</v>
      </c>
      <c r="H10" s="56">
        <v>20</v>
      </c>
      <c r="I10" s="60">
        <f>Таблица22426[[#This Row],[Стоимость, 
грн]]</f>
        <v>13200</v>
      </c>
      <c r="J10" s="12">
        <f>Таблица22426[[#This Row],[Доход, 
грн/рейс]]/Таблица22426[[#This Row],[Километраж, 
км]]</f>
        <v>660</v>
      </c>
      <c r="K10" s="12">
        <v>12000</v>
      </c>
      <c r="L10" s="12">
        <f>Таблица22426[[#This Row],[СС, 
грн/рейс]]/Таблица22426[[#This Row],[Километраж, 
км]]</f>
        <v>600</v>
      </c>
      <c r="M10" s="26">
        <f>Таблица22426[[#This Row],[Доход, 
грн/рейс]]-Таблица22426[[#This Row],[СС, 
грн/рейс]]</f>
        <v>1200</v>
      </c>
      <c r="N10" s="24" t="s">
        <v>139</v>
      </c>
    </row>
    <row r="11" spans="1:14" ht="13.2" outlineLevel="1" x14ac:dyDescent="0.25">
      <c r="A11" s="14" t="s">
        <v>82</v>
      </c>
      <c r="B11" s="62" t="s">
        <v>63</v>
      </c>
      <c r="C11" s="25">
        <v>45446</v>
      </c>
      <c r="D11" s="57" t="s">
        <v>129</v>
      </c>
      <c r="E11" s="24" t="s">
        <v>111</v>
      </c>
      <c r="F11" s="71" t="s">
        <v>130</v>
      </c>
      <c r="G11" s="73">
        <v>6100</v>
      </c>
      <c r="H11" s="56">
        <v>20</v>
      </c>
      <c r="I11" s="60">
        <f>Таблица22426[[#This Row],[Стоимость, 
грн]]</f>
        <v>6100</v>
      </c>
      <c r="J11" s="12">
        <f>Таблица22426[[#This Row],[Доход, 
грн/рейс]]/Таблица22426[[#This Row],[Километраж, 
км]]</f>
        <v>305</v>
      </c>
      <c r="K11" s="12">
        <v>5500</v>
      </c>
      <c r="L11" s="12">
        <f>Таблица22426[[#This Row],[СС, 
грн/рейс]]/Таблица22426[[#This Row],[Километраж, 
км]]</f>
        <v>275</v>
      </c>
      <c r="M11" s="26">
        <f>Таблица22426[[#This Row],[Доход, 
грн/рейс]]-Таблица22426[[#This Row],[СС, 
грн/рейс]]</f>
        <v>600</v>
      </c>
      <c r="N11" s="24" t="s">
        <v>156</v>
      </c>
    </row>
    <row r="12" spans="1:14" ht="13.2" outlineLevel="1" x14ac:dyDescent="0.25">
      <c r="A12" s="14" t="s">
        <v>82</v>
      </c>
      <c r="B12" s="62" t="s">
        <v>63</v>
      </c>
      <c r="C12" s="25">
        <v>45446</v>
      </c>
      <c r="D12" s="57" t="s">
        <v>129</v>
      </c>
      <c r="E12" s="24" t="s">
        <v>131</v>
      </c>
      <c r="F12" s="71" t="s">
        <v>130</v>
      </c>
      <c r="G12" s="73">
        <v>6100</v>
      </c>
      <c r="H12" s="60">
        <v>20</v>
      </c>
      <c r="I12" s="60">
        <f>Таблица22426[[#This Row],[Стоимость, 
грн]]</f>
        <v>6100</v>
      </c>
      <c r="J12" s="12">
        <f>Таблица22426[[#This Row],[Доход, 
грн/рейс]]/Таблица22426[[#This Row],[Километраж, 
км]]</f>
        <v>305</v>
      </c>
      <c r="K12" s="12">
        <v>5500</v>
      </c>
      <c r="L12" s="12">
        <f>Таблица22426[[#This Row],[СС, 
грн/рейс]]/Таблица22426[[#This Row],[Километраж, 
км]]</f>
        <v>275</v>
      </c>
      <c r="M12" s="26">
        <f>Таблица22426[[#This Row],[Доход, 
грн/рейс]]-Таблица22426[[#This Row],[СС, 
грн/рейс]]</f>
        <v>600</v>
      </c>
      <c r="N12" s="24" t="s">
        <v>156</v>
      </c>
    </row>
    <row r="13" spans="1:14" ht="13.2" outlineLevel="1" x14ac:dyDescent="0.25">
      <c r="A13" s="14" t="s">
        <v>135</v>
      </c>
      <c r="B13" s="62" t="s">
        <v>63</v>
      </c>
      <c r="C13" s="25">
        <v>45447</v>
      </c>
      <c r="D13" s="57" t="s">
        <v>150</v>
      </c>
      <c r="E13" s="24" t="s">
        <v>151</v>
      </c>
      <c r="F13" s="71" t="s">
        <v>152</v>
      </c>
      <c r="G13" s="73">
        <v>27000</v>
      </c>
      <c r="H13" s="56">
        <v>300</v>
      </c>
      <c r="I13" s="60">
        <f>Таблица22426[[#This Row],[Стоимость, 
грн]]</f>
        <v>27000</v>
      </c>
      <c r="J13" s="12">
        <f>Таблица22426[[#This Row],[Доход, 
грн/рейс]]/Таблица22426[[#This Row],[Километраж, 
км]]</f>
        <v>90</v>
      </c>
      <c r="K13" s="12">
        <v>23000</v>
      </c>
      <c r="L13" s="12">
        <f>Таблица22426[[#This Row],[СС, 
грн/рейс]]/Таблица22426[[#This Row],[Километраж, 
км]]</f>
        <v>76.666666666666671</v>
      </c>
      <c r="M13" s="26">
        <f>Таблица22426[[#This Row],[Доход, 
грн/рейс]]-Таблица22426[[#This Row],[СС, 
грн/рейс]]</f>
        <v>4000</v>
      </c>
      <c r="N13" s="24" t="s">
        <v>178</v>
      </c>
    </row>
    <row r="14" spans="1:14" ht="13.2" outlineLevel="1" x14ac:dyDescent="0.25">
      <c r="A14" s="14" t="s">
        <v>91</v>
      </c>
      <c r="B14" s="62" t="s">
        <v>63</v>
      </c>
      <c r="C14" s="25">
        <v>45447</v>
      </c>
      <c r="D14" s="57" t="s">
        <v>153</v>
      </c>
      <c r="E14" s="24" t="s">
        <v>154</v>
      </c>
      <c r="F14" s="71" t="s">
        <v>112</v>
      </c>
      <c r="G14" s="58">
        <v>0</v>
      </c>
      <c r="H14" s="56">
        <v>66</v>
      </c>
      <c r="I14" s="60">
        <f>Таблица22426[[#This Row],[Стоимость, 
грн]]</f>
        <v>0</v>
      </c>
      <c r="J14" s="12">
        <f>Таблица22426[[#This Row],[Доход, 
грн/рейс]]/Таблица22426[[#This Row],[Километраж, 
км]]</f>
        <v>0</v>
      </c>
      <c r="K14" s="12">
        <v>0</v>
      </c>
      <c r="L14" s="12">
        <f>Таблица22426[[#This Row],[СС, 
грн/рейс]]/Таблица22426[[#This Row],[Километраж, 
км]]</f>
        <v>0</v>
      </c>
      <c r="M14" s="26">
        <f>Таблица22426[[#This Row],[Доход, 
грн/рейс]]-Таблица22426[[#This Row],[СС, 
грн/рейс]]</f>
        <v>0</v>
      </c>
      <c r="N14" s="24"/>
    </row>
    <row r="15" spans="1:14" ht="13.2" outlineLevel="1" collapsed="1" x14ac:dyDescent="0.25">
      <c r="A15" s="14" t="s">
        <v>37</v>
      </c>
      <c r="B15" s="62" t="s">
        <v>63</v>
      </c>
      <c r="C15" s="25">
        <v>45485</v>
      </c>
      <c r="D15" s="57" t="s">
        <v>211</v>
      </c>
      <c r="E15" s="24" t="s">
        <v>214</v>
      </c>
      <c r="F15" s="71" t="s">
        <v>215</v>
      </c>
      <c r="G15" s="73">
        <v>16000</v>
      </c>
      <c r="H15" s="60">
        <v>195</v>
      </c>
      <c r="I15" s="60">
        <f>Таблица22426[[#This Row],[Стоимость, 
грн]]</f>
        <v>16000</v>
      </c>
      <c r="J15" s="12">
        <f>Таблица22426[[#This Row],[Доход, 
грн/рейс]]/Таблица22426[[#This Row],[Километраж, 
км]]</f>
        <v>82.051282051282058</v>
      </c>
      <c r="K15" s="12">
        <v>15000</v>
      </c>
      <c r="L15" s="12">
        <f>Таблица22426[[#This Row],[СС, 
грн/рейс]]/Таблица22426[[#This Row],[Километраж, 
км]]</f>
        <v>76.92307692307692</v>
      </c>
      <c r="M15" s="26">
        <f>Таблица22426[[#This Row],[Доход, 
грн/рейс]]-Таблица22426[[#This Row],[СС, 
грн/рейс]]</f>
        <v>1000</v>
      </c>
      <c r="N15" s="24" t="s">
        <v>244</v>
      </c>
    </row>
    <row r="16" spans="1:14" ht="13.2" outlineLevel="1" x14ac:dyDescent="0.25">
      <c r="A16" s="14" t="s">
        <v>35</v>
      </c>
      <c r="B16" s="62" t="s">
        <v>63</v>
      </c>
      <c r="C16" s="25">
        <v>45486</v>
      </c>
      <c r="D16" s="57" t="s">
        <v>212</v>
      </c>
      <c r="E16" s="24" t="s">
        <v>216</v>
      </c>
      <c r="F16" s="71" t="s">
        <v>217</v>
      </c>
      <c r="G16" s="73">
        <v>11000</v>
      </c>
      <c r="H16" s="56">
        <v>67</v>
      </c>
      <c r="I16" s="60">
        <f>Таблица22426[[#This Row],[Стоимость, 
грн]]</f>
        <v>11000</v>
      </c>
      <c r="J16" s="12">
        <f>Таблица22426[[#This Row],[Доход, 
грн/рейс]]/Таблица22426[[#This Row],[Километраж, 
км]]</f>
        <v>164.17910447761193</v>
      </c>
      <c r="K16" s="12">
        <v>10000</v>
      </c>
      <c r="L16" s="12">
        <f>Таблица22426[[#This Row],[СС, 
грн/рейс]]/Таблица22426[[#This Row],[Километраж, 
км]]</f>
        <v>149.25373134328359</v>
      </c>
      <c r="M16" s="26">
        <f>Таблица22426[[#This Row],[Доход, 
грн/рейс]]-Таблица22426[[#This Row],[СС, 
грн/рейс]]</f>
        <v>1000</v>
      </c>
      <c r="N16" s="24" t="s">
        <v>276</v>
      </c>
    </row>
    <row r="17" spans="1:14" ht="13.2" outlineLevel="1" x14ac:dyDescent="0.25">
      <c r="A17" s="14" t="s">
        <v>37</v>
      </c>
      <c r="B17" s="62" t="s">
        <v>63</v>
      </c>
      <c r="C17" s="25">
        <v>45484</v>
      </c>
      <c r="D17" s="57" t="s">
        <v>218</v>
      </c>
      <c r="E17" s="24" t="s">
        <v>214</v>
      </c>
      <c r="F17" s="71" t="s">
        <v>219</v>
      </c>
      <c r="G17" s="73">
        <v>16500</v>
      </c>
      <c r="H17" s="56">
        <v>195</v>
      </c>
      <c r="I17" s="60">
        <f>Таблица22426[[#This Row],[Стоимость, 
грн]]</f>
        <v>16500</v>
      </c>
      <c r="J17" s="12">
        <f>Таблица22426[[#This Row],[Доход, 
грн/рейс]]/Таблица22426[[#This Row],[Километраж, 
км]]</f>
        <v>84.615384615384613</v>
      </c>
      <c r="K17" s="12">
        <v>15000</v>
      </c>
      <c r="L17" s="12">
        <f>Таблица22426[[#This Row],[СС, 
грн/рейс]]/Таблица22426[[#This Row],[Километраж, 
км]]</f>
        <v>76.92307692307692</v>
      </c>
      <c r="M17" s="26">
        <f>Таблица22426[[#This Row],[Доход, 
грн/рейс]]-Таблица22426[[#This Row],[СС, 
грн/рейс]]</f>
        <v>1500</v>
      </c>
      <c r="N17" s="24" t="s">
        <v>278</v>
      </c>
    </row>
    <row r="18" spans="1:14" ht="13.2" outlineLevel="1" x14ac:dyDescent="0.25">
      <c r="A18" s="14" t="s">
        <v>37</v>
      </c>
      <c r="B18" s="62" t="s">
        <v>63</v>
      </c>
      <c r="C18" s="25">
        <v>45485</v>
      </c>
      <c r="D18" s="57" t="s">
        <v>234</v>
      </c>
      <c r="E18" s="24" t="s">
        <v>214</v>
      </c>
      <c r="F18" s="71" t="s">
        <v>235</v>
      </c>
      <c r="G18" s="73">
        <v>77000</v>
      </c>
      <c r="H18" s="60">
        <v>195</v>
      </c>
      <c r="I18" s="60">
        <f>Таблица22426[[#This Row],[Стоимость, 
грн]]</f>
        <v>77000</v>
      </c>
      <c r="J18" s="12">
        <f>Таблица22426[[#This Row],[Доход, 
грн/рейс]]/Таблица22426[[#This Row],[Километраж, 
км]]</f>
        <v>394.87179487179486</v>
      </c>
      <c r="K18" s="12">
        <v>70000</v>
      </c>
      <c r="L18" s="12">
        <f>Таблица22426[[#This Row],[СС, 
грн/рейс]]/Таблица22426[[#This Row],[Километраж, 
км]]</f>
        <v>358.97435897435895</v>
      </c>
      <c r="M18" s="26">
        <f>Таблица22426[[#This Row],[Доход, 
грн/рейс]]-Таблица22426[[#This Row],[СС, 
грн/рейс]]</f>
        <v>7000</v>
      </c>
      <c r="N18" s="24" t="s">
        <v>342</v>
      </c>
    </row>
    <row r="19" spans="1:14" ht="13.2" outlineLevel="1" x14ac:dyDescent="0.25">
      <c r="A19" s="14" t="s">
        <v>191</v>
      </c>
      <c r="B19" s="62" t="s">
        <v>63</v>
      </c>
      <c r="C19" s="25">
        <v>45486</v>
      </c>
      <c r="D19" s="57" t="s">
        <v>259</v>
      </c>
      <c r="E19" s="24" t="s">
        <v>254</v>
      </c>
      <c r="F19" s="71" t="s">
        <v>253</v>
      </c>
      <c r="G19" s="73">
        <v>22000</v>
      </c>
      <c r="H19" s="56">
        <v>110</v>
      </c>
      <c r="I19" s="60">
        <f>Таблица22426[[#This Row],[Стоимость, 
грн]]</f>
        <v>22000</v>
      </c>
      <c r="J19" s="12">
        <f>Таблица22426[[#This Row],[Доход, 
грн/рейс]]/Таблица22426[[#This Row],[Километраж, 
км]]</f>
        <v>200</v>
      </c>
      <c r="K19" s="12">
        <v>20000</v>
      </c>
      <c r="L19" s="12">
        <f>Таблица22426[[#This Row],[СС, 
грн/рейс]]/Таблица22426[[#This Row],[Километраж, 
км]]</f>
        <v>181.81818181818181</v>
      </c>
      <c r="M19" s="26">
        <f>Таблица22426[[#This Row],[Доход, 
грн/рейс]]-Таблица22426[[#This Row],[СС, 
грн/рейс]]</f>
        <v>2000</v>
      </c>
      <c r="N19" s="24" t="s">
        <v>402</v>
      </c>
    </row>
    <row r="20" spans="1:14" ht="13.2" outlineLevel="1" x14ac:dyDescent="0.25">
      <c r="A20" s="14" t="s">
        <v>191</v>
      </c>
      <c r="B20" s="62" t="s">
        <v>63</v>
      </c>
      <c r="C20" s="25">
        <v>45487</v>
      </c>
      <c r="D20" s="57" t="s">
        <v>262</v>
      </c>
      <c r="E20" s="24" t="s">
        <v>254</v>
      </c>
      <c r="F20" s="71" t="s">
        <v>253</v>
      </c>
      <c r="G20" s="73">
        <v>16500</v>
      </c>
      <c r="H20" s="56">
        <v>110</v>
      </c>
      <c r="I20" s="60">
        <f>Таблица22426[[#This Row],[Стоимость, 
грн]]</f>
        <v>16500</v>
      </c>
      <c r="J20" s="12">
        <f>Таблица22426[[#This Row],[Доход, 
грн/рейс]]/Таблица22426[[#This Row],[Километраж, 
км]]</f>
        <v>150</v>
      </c>
      <c r="K20" s="12">
        <v>15000</v>
      </c>
      <c r="L20" s="12">
        <f>Таблица22426[[#This Row],[СС, 
грн/рейс]]/Таблица22426[[#This Row],[Километраж, 
км]]</f>
        <v>136.36363636363637</v>
      </c>
      <c r="M20" s="26">
        <f>Таблица22426[[#This Row],[Доход, 
грн/рейс]]-Таблица22426[[#This Row],[СС, 
грн/рейс]]</f>
        <v>1500</v>
      </c>
      <c r="N20" s="24" t="s">
        <v>404</v>
      </c>
    </row>
    <row r="21" spans="1:14" ht="13.2" outlineLevel="1" x14ac:dyDescent="0.25">
      <c r="A21" s="14" t="s">
        <v>191</v>
      </c>
      <c r="B21" s="62" t="s">
        <v>63</v>
      </c>
      <c r="C21" s="25">
        <v>45486</v>
      </c>
      <c r="D21" s="57" t="s">
        <v>257</v>
      </c>
      <c r="E21" s="24" t="s">
        <v>255</v>
      </c>
      <c r="F21" s="71" t="s">
        <v>256</v>
      </c>
      <c r="G21" s="73">
        <v>5500</v>
      </c>
      <c r="H21" s="56">
        <v>33</v>
      </c>
      <c r="I21" s="60">
        <f>Таблица22426[[#This Row],[Стоимость, 
грн]]</f>
        <v>5500</v>
      </c>
      <c r="J21" s="12">
        <f>Таблица22426[[#This Row],[Доход, 
грн/рейс]]/Таблица22426[[#This Row],[Километраж, 
км]]</f>
        <v>166.66666666666666</v>
      </c>
      <c r="K21" s="12">
        <v>5000</v>
      </c>
      <c r="L21" s="12">
        <f>Таблица22426[[#This Row],[СС, 
грн/рейс]]/Таблица22426[[#This Row],[Километраж, 
км]]</f>
        <v>151.5151515151515</v>
      </c>
      <c r="M21" s="26">
        <f>Таблица22426[[#This Row],[Доход, 
грн/рейс]]-Таблица22426[[#This Row],[СС, 
грн/рейс]]</f>
        <v>500</v>
      </c>
      <c r="N21" s="24" t="s">
        <v>317</v>
      </c>
    </row>
    <row r="22" spans="1:14" ht="13.2" outlineLevel="1" x14ac:dyDescent="0.25">
      <c r="A22" s="14" t="s">
        <v>82</v>
      </c>
      <c r="B22" s="79" t="s">
        <v>63</v>
      </c>
      <c r="C22" s="80">
        <v>45505</v>
      </c>
      <c r="D22" s="78" t="s">
        <v>262</v>
      </c>
      <c r="E22" s="81" t="s">
        <v>154</v>
      </c>
      <c r="F22" s="101" t="s">
        <v>112</v>
      </c>
      <c r="G22" s="73">
        <v>14850</v>
      </c>
      <c r="H22" s="60">
        <v>66</v>
      </c>
      <c r="I22" s="60">
        <f>Таблица22426[[#This Row],[Стоимость, 
грн]]</f>
        <v>14850</v>
      </c>
      <c r="J22" s="12">
        <f>Таблица22426[[#This Row],[Доход, 
грн/рейс]]/Таблица22426[[#This Row],[Километраж, 
км]]</f>
        <v>225</v>
      </c>
      <c r="K22" s="12">
        <v>13500</v>
      </c>
      <c r="L22" s="12">
        <f>Таблица22426[[#This Row],[СС, 
грн/рейс]]/Таблица22426[[#This Row],[Километраж, 
км]]</f>
        <v>204.54545454545453</v>
      </c>
      <c r="M22" s="26">
        <f>Таблица22426[[#This Row],[Доход, 
грн/рейс]]-Таблица22426[[#This Row],[СС, 
грн/рейс]]</f>
        <v>1350</v>
      </c>
      <c r="N22" s="24" t="s">
        <v>407</v>
      </c>
    </row>
    <row r="23" spans="1:14" ht="13.2" outlineLevel="1" x14ac:dyDescent="0.25">
      <c r="A23" s="14" t="s">
        <v>191</v>
      </c>
      <c r="B23" s="79" t="s">
        <v>63</v>
      </c>
      <c r="C23" s="80">
        <v>45506</v>
      </c>
      <c r="D23" s="78" t="s">
        <v>267</v>
      </c>
      <c r="E23" s="24" t="s">
        <v>127</v>
      </c>
      <c r="F23" s="71" t="s">
        <v>253</v>
      </c>
      <c r="G23" s="73">
        <v>5400</v>
      </c>
      <c r="H23" s="56">
        <v>23</v>
      </c>
      <c r="I23" s="60">
        <f>Таблица22426[[#This Row],[Стоимость, 
грн]]</f>
        <v>5400</v>
      </c>
      <c r="J23" s="12">
        <f>Таблица22426[[#This Row],[Доход, 
грн/рейс]]/Таблица22426[[#This Row],[Километраж, 
км]]</f>
        <v>234.78260869565219</v>
      </c>
      <c r="K23" s="12">
        <v>4900</v>
      </c>
      <c r="L23" s="12">
        <f>Таблица22426[[#This Row],[СС, 
грн/рейс]]/Таблица22426[[#This Row],[Километраж, 
км]]</f>
        <v>213.04347826086956</v>
      </c>
      <c r="M23" s="26">
        <f>Таблица22426[[#This Row],[Доход, 
грн/рейс]]-Таблица22426[[#This Row],[СС, 
грн/рейс]]</f>
        <v>500</v>
      </c>
      <c r="N23" s="24" t="s">
        <v>339</v>
      </c>
    </row>
    <row r="24" spans="1:14" ht="13.2" outlineLevel="1" x14ac:dyDescent="0.25">
      <c r="A24" s="14" t="s">
        <v>191</v>
      </c>
      <c r="B24" s="62" t="s">
        <v>63</v>
      </c>
      <c r="C24" s="25">
        <v>45507</v>
      </c>
      <c r="D24" s="57" t="s">
        <v>286</v>
      </c>
      <c r="E24" s="24" t="s">
        <v>292</v>
      </c>
      <c r="F24" s="71" t="s">
        <v>253</v>
      </c>
      <c r="G24" s="73">
        <v>8250</v>
      </c>
      <c r="H24" s="56">
        <v>89</v>
      </c>
      <c r="I24" s="60">
        <f>Таблица22426[[#This Row],[Стоимость, 
грн]]</f>
        <v>8250</v>
      </c>
      <c r="J24" s="12">
        <f>Таблица22426[[#This Row],[Доход, 
грн/рейс]]/Таблица22426[[#This Row],[Километраж, 
км]]</f>
        <v>92.696629213483149</v>
      </c>
      <c r="K24" s="12">
        <v>7500</v>
      </c>
      <c r="L24" s="12">
        <f>Таблица22426[[#This Row],[СС, 
грн/рейс]]/Таблица22426[[#This Row],[Километраж, 
км]]</f>
        <v>84.269662921348313</v>
      </c>
      <c r="M24" s="26">
        <f>Таблица22426[[#This Row],[Доход, 
грн/рейс]]-Таблица22426[[#This Row],[СС, 
грн/рейс]]</f>
        <v>750</v>
      </c>
      <c r="N24" s="24" t="s">
        <v>366</v>
      </c>
    </row>
    <row r="25" spans="1:14" ht="13.2" outlineLevel="1" collapsed="1" x14ac:dyDescent="0.25">
      <c r="A25" s="14" t="s">
        <v>293</v>
      </c>
      <c r="B25" s="62" t="s">
        <v>63</v>
      </c>
      <c r="C25" s="25">
        <v>45508</v>
      </c>
      <c r="D25" s="57" t="s">
        <v>289</v>
      </c>
      <c r="E25" s="24" t="s">
        <v>294</v>
      </c>
      <c r="F25" s="55" t="s">
        <v>253</v>
      </c>
      <c r="G25" s="73">
        <v>13800</v>
      </c>
      <c r="H25" s="56">
        <v>43</v>
      </c>
      <c r="I25" s="60">
        <f>Таблица22426[[#This Row],[Стоимость, 
грн]]</f>
        <v>13800</v>
      </c>
      <c r="J25" s="12">
        <f>Таблица22426[[#This Row],[Доход, 
грн/рейс]]/Таблица22426[[#This Row],[Километраж, 
км]]</f>
        <v>320.93023255813955</v>
      </c>
      <c r="K25" s="12">
        <v>13000</v>
      </c>
      <c r="L25" s="12">
        <f>Таблица22426[[#This Row],[СС, 
грн/рейс]]/Таблица22426[[#This Row],[Километраж, 
км]]</f>
        <v>302.32558139534882</v>
      </c>
      <c r="M25" s="26">
        <f>Таблица22426[[#This Row],[Доход, 
грн/рейс]]-Таблица22426[[#This Row],[СС, 
грн/рейс]]</f>
        <v>800</v>
      </c>
      <c r="N25" s="24" t="s">
        <v>549</v>
      </c>
    </row>
    <row r="26" spans="1:14" ht="13.2" outlineLevel="1" x14ac:dyDescent="0.25">
      <c r="A26" s="14" t="s">
        <v>293</v>
      </c>
      <c r="B26" s="62" t="s">
        <v>63</v>
      </c>
      <c r="C26" s="25">
        <v>45509</v>
      </c>
      <c r="D26" s="57" t="s">
        <v>291</v>
      </c>
      <c r="E26" s="24" t="s">
        <v>294</v>
      </c>
      <c r="F26" s="55" t="s">
        <v>253</v>
      </c>
      <c r="G26" s="73">
        <v>11550</v>
      </c>
      <c r="H26" s="56">
        <v>41</v>
      </c>
      <c r="I26" s="60">
        <f>Таблица22426[[#This Row],[Стоимость, 
грн]]</f>
        <v>11550</v>
      </c>
      <c r="J26" s="12">
        <f>Таблица22426[[#This Row],[Доход, 
грн/рейс]]/Таблица22426[[#This Row],[Километраж, 
км]]</f>
        <v>281.70731707317071</v>
      </c>
      <c r="K26" s="12">
        <v>10500</v>
      </c>
      <c r="L26" s="12">
        <f>Таблица22426[[#This Row],[СС, 
грн/рейс]]/Таблица22426[[#This Row],[Километраж, 
км]]</f>
        <v>256.09756097560978</v>
      </c>
      <c r="M26" s="26">
        <f>Таблица22426[[#This Row],[Доход, 
грн/рейс]]-Таблица22426[[#This Row],[СС, 
грн/рейс]]</f>
        <v>1050</v>
      </c>
      <c r="N26" s="24" t="s">
        <v>549</v>
      </c>
    </row>
    <row r="27" spans="1:14" ht="13.2" outlineLevel="1" x14ac:dyDescent="0.25">
      <c r="A27" s="14" t="s">
        <v>293</v>
      </c>
      <c r="B27" s="62" t="s">
        <v>63</v>
      </c>
      <c r="C27" s="25">
        <v>45510</v>
      </c>
      <c r="D27" s="57" t="s">
        <v>325</v>
      </c>
      <c r="E27" s="24" t="s">
        <v>294</v>
      </c>
      <c r="F27" s="55" t="s">
        <v>253</v>
      </c>
      <c r="G27" s="73">
        <v>10450</v>
      </c>
      <c r="H27" s="60">
        <v>36</v>
      </c>
      <c r="I27" s="60">
        <f>Таблица22426[[#This Row],[Стоимость, 
грн]]</f>
        <v>10450</v>
      </c>
      <c r="J27" s="12">
        <f>Таблица22426[[#This Row],[Доход, 
грн/рейс]]/Таблица22426[[#This Row],[Километраж, 
км]]</f>
        <v>290.27777777777777</v>
      </c>
      <c r="K27" s="12">
        <v>9500</v>
      </c>
      <c r="L27" s="12">
        <f>Таблица22426[[#This Row],[СС, 
грн/рейс]]/Таблица22426[[#This Row],[Километраж, 
км]]</f>
        <v>263.88888888888891</v>
      </c>
      <c r="M27" s="26">
        <f>Таблица22426[[#This Row],[Доход, 
грн/рейс]]-Таблица22426[[#This Row],[СС, 
грн/рейс]]</f>
        <v>950</v>
      </c>
      <c r="N27" s="24" t="s">
        <v>549</v>
      </c>
    </row>
    <row r="28" spans="1:14" ht="13.2" outlineLevel="1" x14ac:dyDescent="0.25">
      <c r="A28" s="14" t="s">
        <v>293</v>
      </c>
      <c r="B28" s="62" t="s">
        <v>63</v>
      </c>
      <c r="C28" s="25">
        <v>45511</v>
      </c>
      <c r="D28" s="57" t="s">
        <v>322</v>
      </c>
      <c r="E28" s="24" t="s">
        <v>294</v>
      </c>
      <c r="F28" s="55" t="s">
        <v>253</v>
      </c>
      <c r="G28" s="73">
        <v>16000</v>
      </c>
      <c r="H28" s="56">
        <v>55</v>
      </c>
      <c r="I28" s="60">
        <f>Таблица22426[[#This Row],[Стоимость, 
грн]]</f>
        <v>16000</v>
      </c>
      <c r="J28" s="12">
        <f>Таблица22426[[#This Row],[Доход, 
грн/рейс]]/Таблица22426[[#This Row],[Километраж, 
км]]</f>
        <v>290.90909090909093</v>
      </c>
      <c r="K28" s="12">
        <v>16000</v>
      </c>
      <c r="L28" s="12">
        <f>Таблица22426[[#This Row],[СС, 
грн/рейс]]/Таблица22426[[#This Row],[Километраж, 
км]]</f>
        <v>290.90909090909093</v>
      </c>
      <c r="M28" s="26">
        <f>Таблица22426[[#This Row],[Доход, 
грн/рейс]]-Таблица22426[[#This Row],[СС, 
грн/рейс]]</f>
        <v>0</v>
      </c>
      <c r="N28" s="24" t="s">
        <v>505</v>
      </c>
    </row>
    <row r="29" spans="1:14" ht="13.2" outlineLevel="1" x14ac:dyDescent="0.25">
      <c r="A29" s="14" t="s">
        <v>191</v>
      </c>
      <c r="B29" s="62" t="s">
        <v>63</v>
      </c>
      <c r="C29" s="25">
        <v>45512</v>
      </c>
      <c r="D29" s="57" t="s">
        <v>327</v>
      </c>
      <c r="E29" s="24" t="s">
        <v>328</v>
      </c>
      <c r="F29" s="55" t="s">
        <v>253</v>
      </c>
      <c r="G29" s="73">
        <v>28000</v>
      </c>
      <c r="H29" s="56">
        <v>260</v>
      </c>
      <c r="I29" s="60">
        <f>Таблица22426[[#This Row],[Стоимость, 
грн]]</f>
        <v>28000</v>
      </c>
      <c r="J29" s="12">
        <f>Таблица22426[[#This Row],[Доход, 
грн/рейс]]/Таблица22426[[#This Row],[Километраж, 
км]]</f>
        <v>107.69230769230769</v>
      </c>
      <c r="K29" s="12">
        <v>28000</v>
      </c>
      <c r="L29" s="12">
        <f>Таблица22426[[#This Row],[СС, 
грн/рейс]]/Таблица22426[[#This Row],[Километраж, 
км]]</f>
        <v>107.69230769230769</v>
      </c>
      <c r="M29" s="26">
        <f>Таблица22426[[#This Row],[Доход, 
грн/рейс]]-Таблица22426[[#This Row],[СС, 
грн/рейс]]</f>
        <v>0</v>
      </c>
      <c r="N29" s="24" t="s">
        <v>582</v>
      </c>
    </row>
    <row r="30" spans="1:14" ht="13.2" outlineLevel="1" x14ac:dyDescent="0.25">
      <c r="A30" s="14" t="s">
        <v>326</v>
      </c>
      <c r="B30" s="62" t="s">
        <v>19</v>
      </c>
      <c r="C30" s="25">
        <v>45512</v>
      </c>
      <c r="D30" s="57" t="s">
        <v>323</v>
      </c>
      <c r="E30" s="24" t="s">
        <v>329</v>
      </c>
      <c r="F30" s="55" t="s">
        <v>330</v>
      </c>
      <c r="G30" s="73">
        <v>9200</v>
      </c>
      <c r="H30" s="60">
        <v>27</v>
      </c>
      <c r="I30" s="60">
        <f>Таблица22426[[#This Row],[Стоимость, 
грн]]</f>
        <v>9200</v>
      </c>
      <c r="J30" s="12">
        <f>Таблица22426[[#This Row],[Доход, 
грн/рейс]]/Таблица22426[[#This Row],[Километраж, 
км]]</f>
        <v>340.74074074074076</v>
      </c>
      <c r="K30" s="12">
        <v>8500</v>
      </c>
      <c r="L30" s="12">
        <f>Таблица22426[[#This Row],[СС, 
грн/рейс]]/Таблица22426[[#This Row],[Километраж, 
км]]</f>
        <v>314.81481481481484</v>
      </c>
      <c r="M30" s="26">
        <f>Таблица22426[[#This Row],[Доход, 
грн/рейс]]-Таблица22426[[#This Row],[СС, 
грн/рейс]]</f>
        <v>700</v>
      </c>
      <c r="N30" s="24" t="s">
        <v>341</v>
      </c>
    </row>
    <row r="31" spans="1:14" ht="13.2" outlineLevel="1" x14ac:dyDescent="0.25">
      <c r="A31" s="14" t="s">
        <v>293</v>
      </c>
      <c r="B31" s="62" t="s">
        <v>63</v>
      </c>
      <c r="C31" s="25">
        <v>45515</v>
      </c>
      <c r="D31" s="57" t="s">
        <v>331</v>
      </c>
      <c r="E31" s="24" t="s">
        <v>328</v>
      </c>
      <c r="F31" s="55" t="s">
        <v>253</v>
      </c>
      <c r="G31" s="73">
        <v>15000</v>
      </c>
      <c r="H31" s="56">
        <v>260</v>
      </c>
      <c r="I31" s="60">
        <f>Таблица22426[[#This Row],[Стоимость, 
грн]]</f>
        <v>15000</v>
      </c>
      <c r="J31" s="12">
        <f>Таблица22426[[#This Row],[Доход, 
грн/рейс]]/Таблица22426[[#This Row],[Километраж, 
км]]</f>
        <v>57.692307692307693</v>
      </c>
      <c r="K31" s="12">
        <v>15000</v>
      </c>
      <c r="L31" s="12">
        <f>Таблица22426[[#This Row],[СС, 
грн/рейс]]/Таблица22426[[#This Row],[Километраж, 
км]]</f>
        <v>57.692307692307693</v>
      </c>
      <c r="M31" s="26">
        <f>Таблица22426[[#This Row],[Доход, 
грн/рейс]]-Таблица22426[[#This Row],[СС, 
грн/рейс]]</f>
        <v>0</v>
      </c>
      <c r="N31" s="24" t="s">
        <v>491</v>
      </c>
    </row>
    <row r="32" spans="1:14" ht="13.2" outlineLevel="1" x14ac:dyDescent="0.25">
      <c r="A32" s="14" t="s">
        <v>293</v>
      </c>
      <c r="B32" s="62" t="s">
        <v>63</v>
      </c>
      <c r="C32" s="25">
        <v>45516</v>
      </c>
      <c r="D32" s="57" t="s">
        <v>350</v>
      </c>
      <c r="E32" s="24" t="s">
        <v>294</v>
      </c>
      <c r="F32" s="55" t="s">
        <v>253</v>
      </c>
      <c r="G32" s="58">
        <v>19400</v>
      </c>
      <c r="H32" s="56">
        <v>32</v>
      </c>
      <c r="I32" s="60">
        <f>Таблица22426[[#This Row],[Стоимость, 
грн]]</f>
        <v>19400</v>
      </c>
      <c r="J32" s="12">
        <f>Таблица22426[[#This Row],[Доход, 
грн/рейс]]/Таблица22426[[#This Row],[Километраж, 
км]]</f>
        <v>606.25</v>
      </c>
      <c r="K32" s="12">
        <v>18500</v>
      </c>
      <c r="L32" s="12">
        <f>Таблица22426[[#This Row],[СС, 
грн/рейс]]/Таблица22426[[#This Row],[Километраж, 
км]]</f>
        <v>578.125</v>
      </c>
      <c r="M32" s="26">
        <f>Таблица22426[[#This Row],[Доход, 
грн/рейс]]-Таблица22426[[#This Row],[СС, 
грн/рейс]]</f>
        <v>900</v>
      </c>
      <c r="N32" s="24" t="s">
        <v>550</v>
      </c>
    </row>
    <row r="33" spans="1:14" ht="13.2" outlineLevel="1" x14ac:dyDescent="0.25">
      <c r="A33" s="14" t="s">
        <v>191</v>
      </c>
      <c r="B33" s="62" t="s">
        <v>63</v>
      </c>
      <c r="C33" s="25">
        <v>45517</v>
      </c>
      <c r="D33" s="57" t="s">
        <v>350</v>
      </c>
      <c r="E33" s="24" t="s">
        <v>328</v>
      </c>
      <c r="F33" s="55" t="s">
        <v>253</v>
      </c>
      <c r="G33" s="73">
        <v>24150</v>
      </c>
      <c r="H33" s="60">
        <v>260</v>
      </c>
      <c r="I33" s="60">
        <f>Таблица22426[[#This Row],[Стоимость, 
грн]]</f>
        <v>24150</v>
      </c>
      <c r="J33" s="12">
        <f>Таблица22426[[#This Row],[Доход, 
грн/рейс]]/Таблица22426[[#This Row],[Километраж, 
км]]</f>
        <v>92.884615384615387</v>
      </c>
      <c r="K33" s="12">
        <v>23000</v>
      </c>
      <c r="L33" s="12">
        <f>Таблица22426[[#This Row],[СС, 
грн/рейс]]/Таблица22426[[#This Row],[Километраж, 
км]]</f>
        <v>88.461538461538467</v>
      </c>
      <c r="M33" s="26">
        <f>Таблица22426[[#This Row],[Доход, 
грн/рейс]]-Таблица22426[[#This Row],[СС, 
грн/рейс]]</f>
        <v>1150</v>
      </c>
      <c r="N33" s="24" t="s">
        <v>570</v>
      </c>
    </row>
    <row r="34" spans="1:14" ht="13.2" outlineLevel="1" x14ac:dyDescent="0.25">
      <c r="A34" s="14" t="s">
        <v>191</v>
      </c>
      <c r="B34" s="62" t="s">
        <v>63</v>
      </c>
      <c r="C34" s="25">
        <v>45536</v>
      </c>
      <c r="D34" s="57" t="s">
        <v>351</v>
      </c>
      <c r="E34" s="24" t="s">
        <v>352</v>
      </c>
      <c r="F34" s="55" t="s">
        <v>253</v>
      </c>
      <c r="G34" s="73">
        <v>26250</v>
      </c>
      <c r="H34" s="56">
        <v>24</v>
      </c>
      <c r="I34" s="60">
        <f>Таблица22426[[#This Row],[Стоимость, 
грн]]</f>
        <v>26250</v>
      </c>
      <c r="J34" s="12">
        <f>Таблица22426[[#This Row],[Доход, 
грн/рейс]]/Таблица22426[[#This Row],[Километраж, 
км]]</f>
        <v>1093.75</v>
      </c>
      <c r="K34" s="12">
        <v>25000</v>
      </c>
      <c r="L34" s="12">
        <f>Таблица22426[[#This Row],[СС, 
грн/рейс]]/Таблица22426[[#This Row],[Километраж, 
км]]</f>
        <v>1041.6666666666667</v>
      </c>
      <c r="M34" s="26">
        <f>Таблица22426[[#This Row],[Доход, 
грн/рейс]]-Таблица22426[[#This Row],[СС, 
грн/рейс]]</f>
        <v>1250</v>
      </c>
      <c r="N34" s="24" t="s">
        <v>571</v>
      </c>
    </row>
    <row r="35" spans="1:14" ht="13.2" outlineLevel="1" x14ac:dyDescent="0.25">
      <c r="A35" s="14" t="s">
        <v>191</v>
      </c>
      <c r="B35" s="62" t="s">
        <v>63</v>
      </c>
      <c r="C35" s="25">
        <v>45537</v>
      </c>
      <c r="D35" s="57" t="s">
        <v>353</v>
      </c>
      <c r="E35" s="24" t="s">
        <v>354</v>
      </c>
      <c r="F35" s="55" t="s">
        <v>253</v>
      </c>
      <c r="G35" s="73">
        <v>15225</v>
      </c>
      <c r="H35" s="56">
        <v>68</v>
      </c>
      <c r="I35" s="60">
        <f>Таблица22426[[#This Row],[Стоимость, 
грн]]</f>
        <v>15225</v>
      </c>
      <c r="J35" s="12">
        <f>Таблица22426[[#This Row],[Доход, 
грн/рейс]]/Таблица22426[[#This Row],[Километраж, 
км]]</f>
        <v>223.89705882352942</v>
      </c>
      <c r="K35" s="12">
        <v>14500</v>
      </c>
      <c r="L35" s="12">
        <f>Таблица22426[[#This Row],[СС, 
грн/рейс]]/Таблица22426[[#This Row],[Километраж, 
км]]</f>
        <v>213.23529411764707</v>
      </c>
      <c r="M35" s="26">
        <f>Таблица22426[[#This Row],[Доход, 
грн/рейс]]-Таблица22426[[#This Row],[СС, 
грн/рейс]]</f>
        <v>725</v>
      </c>
      <c r="N35" s="24" t="s">
        <v>569</v>
      </c>
    </row>
    <row r="36" spans="1:14" ht="13.2" outlineLevel="1" x14ac:dyDescent="0.25">
      <c r="A36" s="14" t="s">
        <v>191</v>
      </c>
      <c r="B36" s="62" t="s">
        <v>63</v>
      </c>
      <c r="C36" s="25">
        <v>45538</v>
      </c>
      <c r="D36" s="57" t="s">
        <v>348</v>
      </c>
      <c r="E36" s="24" t="s">
        <v>354</v>
      </c>
      <c r="F36" s="55" t="s">
        <v>253</v>
      </c>
      <c r="G36" s="73">
        <v>9975</v>
      </c>
      <c r="H36" s="60">
        <v>68</v>
      </c>
      <c r="I36" s="60">
        <f>Таблица22426[[#This Row],[Стоимость, 
грн]]</f>
        <v>9975</v>
      </c>
      <c r="J36" s="12">
        <f>Таблица22426[[#This Row],[Доход, 
грн/рейс]]/Таблица22426[[#This Row],[Километраж, 
км]]</f>
        <v>146.69117647058823</v>
      </c>
      <c r="K36" s="12">
        <v>9500</v>
      </c>
      <c r="L36" s="12">
        <f>Таблица22426[[#This Row],[СС, 
грн/рейс]]/Таблица22426[[#This Row],[Километраж, 
км]]</f>
        <v>139.70588235294119</v>
      </c>
      <c r="M36" s="26">
        <f>Таблица22426[[#This Row],[Доход, 
грн/рейс]]-Таблица22426[[#This Row],[СС, 
грн/рейс]]</f>
        <v>475</v>
      </c>
      <c r="N36" s="24" t="s">
        <v>477</v>
      </c>
    </row>
    <row r="37" spans="1:14" ht="13.2" outlineLevel="1" x14ac:dyDescent="0.25">
      <c r="A37" s="14" t="s">
        <v>385</v>
      </c>
      <c r="B37" s="62" t="s">
        <v>19</v>
      </c>
      <c r="C37" s="25">
        <v>45538</v>
      </c>
      <c r="D37" s="57" t="s">
        <v>386</v>
      </c>
      <c r="E37" s="24" t="s">
        <v>75</v>
      </c>
      <c r="F37" s="55" t="s">
        <v>387</v>
      </c>
      <c r="G37" s="73">
        <v>12100</v>
      </c>
      <c r="H37" s="56">
        <v>250</v>
      </c>
      <c r="I37" s="60">
        <f>Таблица22426[[#This Row],[Стоимость, 
грн]]</f>
        <v>12100</v>
      </c>
      <c r="J37" s="12">
        <f>Таблица22426[[#This Row],[Доход, 
грн/рейс]]/Таблица22426[[#This Row],[Километраж, 
км]]</f>
        <v>48.4</v>
      </c>
      <c r="K37" s="12">
        <v>11000</v>
      </c>
      <c r="L37" s="12">
        <f>Таблица22426[[#This Row],[СС, 
грн/рейс]]/Таблица22426[[#This Row],[Километраж, 
км]]</f>
        <v>44</v>
      </c>
      <c r="M37" s="26">
        <f>Таблица22426[[#This Row],[Доход, 
грн/рейс]]-Таблица22426[[#This Row],[СС, 
грн/рейс]]</f>
        <v>1100</v>
      </c>
      <c r="N37" s="24" t="s">
        <v>583</v>
      </c>
    </row>
    <row r="38" spans="1:14" ht="13.2" outlineLevel="1" x14ac:dyDescent="0.25">
      <c r="A38" s="14" t="s">
        <v>191</v>
      </c>
      <c r="B38" s="62" t="s">
        <v>63</v>
      </c>
      <c r="C38" s="25">
        <v>45538</v>
      </c>
      <c r="D38" s="57" t="s">
        <v>384</v>
      </c>
      <c r="E38" s="24" t="s">
        <v>127</v>
      </c>
      <c r="F38" s="55" t="s">
        <v>388</v>
      </c>
      <c r="G38" s="73">
        <v>5280</v>
      </c>
      <c r="H38" s="56">
        <v>35</v>
      </c>
      <c r="I38" s="60">
        <f>Таблица22426[[#This Row],[Стоимость, 
грн]]</f>
        <v>5280</v>
      </c>
      <c r="J38" s="12">
        <f>Таблица22426[[#This Row],[Доход, 
грн/рейс]]/Таблица22426[[#This Row],[Километраж, 
км]]</f>
        <v>150.85714285714286</v>
      </c>
      <c r="K38" s="12">
        <v>4800</v>
      </c>
      <c r="L38" s="12">
        <f>Таблица22426[[#This Row],[СС, 
грн/рейс]]/Таблица22426[[#This Row],[Километраж, 
км]]</f>
        <v>137.14285714285714</v>
      </c>
      <c r="M38" s="26">
        <f>Таблица22426[[#This Row],[Доход, 
грн/рейс]]-Таблица22426[[#This Row],[СС, 
грн/рейс]]</f>
        <v>480</v>
      </c>
      <c r="N38" s="24" t="s">
        <v>479</v>
      </c>
    </row>
    <row r="39" spans="1:14" ht="13.2" outlineLevel="1" x14ac:dyDescent="0.25">
      <c r="A39" s="14" t="s">
        <v>191</v>
      </c>
      <c r="B39" s="62" t="s">
        <v>63</v>
      </c>
      <c r="C39" s="25">
        <v>45538</v>
      </c>
      <c r="D39" s="57" t="s">
        <v>384</v>
      </c>
      <c r="E39" s="24" t="s">
        <v>127</v>
      </c>
      <c r="F39" s="55" t="s">
        <v>253</v>
      </c>
      <c r="G39" s="73">
        <v>6050</v>
      </c>
      <c r="H39" s="60">
        <v>34</v>
      </c>
      <c r="I39" s="60">
        <f>Таблица22426[[#This Row],[Стоимость, 
грн]]</f>
        <v>6050</v>
      </c>
      <c r="J39" s="12">
        <f>Таблица22426[[#This Row],[Доход, 
грн/рейс]]/Таблица22426[[#This Row],[Километраж, 
км]]</f>
        <v>177.94117647058823</v>
      </c>
      <c r="K39" s="12">
        <v>5500</v>
      </c>
      <c r="L39" s="12">
        <f>Таблица22426[[#This Row],[СС, 
грн/рейс]]/Таблица22426[[#This Row],[Километраж, 
км]]</f>
        <v>161.76470588235293</v>
      </c>
      <c r="M39" s="26">
        <f>Таблица22426[[#This Row],[Доход, 
грн/рейс]]-Таблица22426[[#This Row],[СС, 
грн/рейс]]</f>
        <v>550</v>
      </c>
      <c r="N39" s="24" t="s">
        <v>477</v>
      </c>
    </row>
    <row r="40" spans="1:14" ht="13.2" outlineLevel="1" x14ac:dyDescent="0.25">
      <c r="A40" s="14" t="s">
        <v>293</v>
      </c>
      <c r="B40" s="62" t="s">
        <v>63</v>
      </c>
      <c r="C40" s="25">
        <v>45538</v>
      </c>
      <c r="D40" s="57" t="s">
        <v>384</v>
      </c>
      <c r="E40" s="24" t="s">
        <v>294</v>
      </c>
      <c r="F40" s="55" t="s">
        <v>413</v>
      </c>
      <c r="G40" s="58">
        <v>7260</v>
      </c>
      <c r="H40" s="56">
        <v>37</v>
      </c>
      <c r="I40" s="60">
        <f>Таблица22426[[#This Row],[Стоимость, 
грн]]</f>
        <v>7260</v>
      </c>
      <c r="J40" s="12">
        <f>Таблица22426[[#This Row],[Доход, 
грн/рейс]]/Таблица22426[[#This Row],[Километраж, 
км]]</f>
        <v>196.21621621621622</v>
      </c>
      <c r="K40" s="12">
        <v>6600</v>
      </c>
      <c r="L40" s="12">
        <f>Таблица22426[[#This Row],[СС, 
грн/рейс]]/Таблица22426[[#This Row],[Километраж, 
км]]</f>
        <v>178.37837837837839</v>
      </c>
      <c r="M40" s="26">
        <f>Таблица22426[[#This Row],[Доход, 
грн/рейс]]-Таблица22426[[#This Row],[СС, 
грн/рейс]]</f>
        <v>660</v>
      </c>
      <c r="N40" s="24"/>
    </row>
    <row r="41" spans="1:14" ht="13.2" outlineLevel="1" x14ac:dyDescent="0.25">
      <c r="A41" s="14" t="s">
        <v>414</v>
      </c>
      <c r="B41" s="62" t="s">
        <v>63</v>
      </c>
      <c r="C41" s="25">
        <v>45538</v>
      </c>
      <c r="D41" s="57" t="s">
        <v>415</v>
      </c>
      <c r="E41" s="24" t="s">
        <v>127</v>
      </c>
      <c r="F41" s="55" t="s">
        <v>253</v>
      </c>
      <c r="G41" s="73">
        <v>4400</v>
      </c>
      <c r="H41" s="56">
        <v>22</v>
      </c>
      <c r="I41" s="60">
        <f>Таблица22426[[#This Row],[Стоимость, 
грн]]</f>
        <v>4400</v>
      </c>
      <c r="J41" s="12">
        <f>Таблица22426[[#This Row],[Доход, 
грн/рейс]]/Таблица22426[[#This Row],[Километраж, 
км]]</f>
        <v>200</v>
      </c>
      <c r="K41" s="12">
        <v>4000</v>
      </c>
      <c r="L41" s="12">
        <f>Таблица22426[[#This Row],[СС, 
грн/рейс]]/Таблица22426[[#This Row],[Километраж, 
км]]</f>
        <v>181.81818181818181</v>
      </c>
      <c r="M41" s="26">
        <f>Таблица22426[[#This Row],[Доход, 
грн/рейс]]-Таблица22426[[#This Row],[СС, 
грн/рейс]]</f>
        <v>400</v>
      </c>
      <c r="N41" s="24" t="s">
        <v>479</v>
      </c>
    </row>
    <row r="42" spans="1:14" ht="13.2" outlineLevel="1" x14ac:dyDescent="0.25">
      <c r="A42" s="14" t="s">
        <v>13</v>
      </c>
      <c r="B42" s="62" t="s">
        <v>63</v>
      </c>
      <c r="C42" s="25">
        <v>45538</v>
      </c>
      <c r="D42" s="57" t="s">
        <v>416</v>
      </c>
      <c r="E42" s="24" t="s">
        <v>127</v>
      </c>
      <c r="F42" s="55" t="s">
        <v>253</v>
      </c>
      <c r="G42" s="73">
        <v>4400</v>
      </c>
      <c r="H42" s="60">
        <v>23</v>
      </c>
      <c r="I42" s="60">
        <f>Таблица22426[[#This Row],[Стоимость, 
грн]]</f>
        <v>4400</v>
      </c>
      <c r="J42" s="12">
        <f>Таблица22426[[#This Row],[Доход, 
грн/рейс]]/Таблица22426[[#This Row],[Километраж, 
км]]</f>
        <v>191.30434782608697</v>
      </c>
      <c r="K42" s="12">
        <v>4001</v>
      </c>
      <c r="L42" s="12">
        <f>Таблица22426[[#This Row],[СС, 
грн/рейс]]/Таблица22426[[#This Row],[Километраж, 
км]]</f>
        <v>173.95652173913044</v>
      </c>
      <c r="M42" s="26">
        <f>Таблица22426[[#This Row],[Доход, 
грн/рейс]]-Таблица22426[[#This Row],[СС, 
грн/рейс]]</f>
        <v>399</v>
      </c>
      <c r="N42" s="24" t="s">
        <v>479</v>
      </c>
    </row>
    <row r="43" spans="1:14" ht="13.2" outlineLevel="1" x14ac:dyDescent="0.25">
      <c r="A43" s="14" t="s">
        <v>191</v>
      </c>
      <c r="B43" s="62" t="s">
        <v>63</v>
      </c>
      <c r="C43" s="25">
        <v>45538</v>
      </c>
      <c r="D43" s="57" t="s">
        <v>415</v>
      </c>
      <c r="E43" s="24" t="s">
        <v>354</v>
      </c>
      <c r="F43" s="55" t="s">
        <v>417</v>
      </c>
      <c r="G43" s="73">
        <v>9240</v>
      </c>
      <c r="H43" s="147"/>
      <c r="I43" s="60">
        <f>Таблица22426[[#This Row],[Стоимость, 
грн]]</f>
        <v>9240</v>
      </c>
      <c r="J43" s="12" t="e">
        <f>Таблица22426[[#This Row],[Доход, 
грн/рейс]]/Таблица22426[[#This Row],[Километраж, 
км]]</f>
        <v>#DIV/0!</v>
      </c>
      <c r="K43" s="12">
        <v>4002</v>
      </c>
      <c r="L43" s="12" t="e">
        <f>Таблица22426[[#This Row],[СС, 
грн/рейс]]/Таблица22426[[#This Row],[Километраж, 
км]]</f>
        <v>#DIV/0!</v>
      </c>
      <c r="M43" s="26">
        <f>Таблица22426[[#This Row],[Доход, 
грн/рейс]]-Таблица22426[[#This Row],[СС, 
грн/рейс]]</f>
        <v>5238</v>
      </c>
      <c r="N43" s="24" t="s">
        <v>479</v>
      </c>
    </row>
    <row r="44" spans="1:14" ht="13.2" outlineLevel="1" x14ac:dyDescent="0.25">
      <c r="A44" s="14" t="s">
        <v>418</v>
      </c>
      <c r="B44" s="62" t="s">
        <v>63</v>
      </c>
      <c r="C44" s="25">
        <v>45538</v>
      </c>
      <c r="D44" s="57" t="s">
        <v>419</v>
      </c>
      <c r="E44" s="24" t="s">
        <v>420</v>
      </c>
      <c r="F44" s="55" t="s">
        <v>421</v>
      </c>
      <c r="G44" s="58">
        <v>34000</v>
      </c>
      <c r="H44" s="56">
        <v>475</v>
      </c>
      <c r="I44" s="60">
        <f>Таблица22426[[#This Row],[Стоимость, 
грн]]</f>
        <v>34000</v>
      </c>
      <c r="J44" s="12">
        <f>Таблица22426[[#This Row],[Доход, 
грн/рейс]]/Таблица22426[[#This Row],[Километраж, 
км]]</f>
        <v>71.578947368421055</v>
      </c>
      <c r="K44" s="12">
        <v>4003</v>
      </c>
      <c r="L44" s="12">
        <f>Таблица22426[[#This Row],[СС, 
грн/рейс]]/Таблица22426[[#This Row],[Километраж, 
км]]</f>
        <v>8.4273684210526323</v>
      </c>
      <c r="M44" s="26">
        <f>Таблица22426[[#This Row],[Доход, 
грн/рейс]]-Таблица22426[[#This Row],[СС, 
грн/рейс]]</f>
        <v>29997</v>
      </c>
      <c r="N44" s="24" t="s">
        <v>483</v>
      </c>
    </row>
    <row r="45" spans="1:14" ht="13.2" outlineLevel="1" x14ac:dyDescent="0.25">
      <c r="A45" s="14" t="s">
        <v>418</v>
      </c>
      <c r="B45" s="62" t="s">
        <v>63</v>
      </c>
      <c r="C45" s="25">
        <v>45538</v>
      </c>
      <c r="D45" s="57" t="s">
        <v>419</v>
      </c>
      <c r="E45" s="24" t="s">
        <v>422</v>
      </c>
      <c r="F45" s="55" t="s">
        <v>423</v>
      </c>
      <c r="G45" s="58">
        <v>37400</v>
      </c>
      <c r="H45" s="60">
        <v>455</v>
      </c>
      <c r="I45" s="60">
        <f>Таблица22426[[#This Row],[Стоимость, 
грн]]</f>
        <v>37400</v>
      </c>
      <c r="J45" s="12">
        <f>Таблица22426[[#This Row],[Доход, 
грн/рейс]]/Таблица22426[[#This Row],[Километраж, 
км]]</f>
        <v>82.197802197802204</v>
      </c>
      <c r="K45" s="12">
        <v>4004</v>
      </c>
      <c r="L45" s="12">
        <f>Таблица22426[[#This Row],[СС, 
грн/рейс]]/Таблица22426[[#This Row],[Километраж, 
км]]</f>
        <v>8.8000000000000007</v>
      </c>
      <c r="M45" s="26">
        <f>Таблица22426[[#This Row],[Доход, 
грн/рейс]]-Таблица22426[[#This Row],[СС, 
грн/рейс]]</f>
        <v>33396</v>
      </c>
      <c r="N45" s="24" t="s">
        <v>482</v>
      </c>
    </row>
    <row r="46" spans="1:14" ht="13.2" outlineLevel="1" x14ac:dyDescent="0.25">
      <c r="A46" s="14" t="s">
        <v>191</v>
      </c>
      <c r="B46" s="62" t="s">
        <v>63</v>
      </c>
      <c r="C46" s="25">
        <v>45538</v>
      </c>
      <c r="D46" s="57" t="s">
        <v>424</v>
      </c>
      <c r="E46" s="24" t="s">
        <v>425</v>
      </c>
      <c r="F46" s="55" t="s">
        <v>253</v>
      </c>
      <c r="G46" s="58">
        <v>11000</v>
      </c>
      <c r="H46" s="56">
        <v>120</v>
      </c>
      <c r="I46" s="60">
        <f>Таблица22426[[#This Row],[Стоимость, 
грн]]</f>
        <v>11000</v>
      </c>
      <c r="J46" s="12">
        <f>Таблица22426[[#This Row],[Доход, 
грн/рейс]]/Таблица22426[[#This Row],[Километраж, 
км]]</f>
        <v>91.666666666666671</v>
      </c>
      <c r="K46" s="12">
        <v>4005</v>
      </c>
      <c r="L46" s="12">
        <f>Таблица22426[[#This Row],[СС, 
грн/рейс]]/Таблица22426[[#This Row],[Километраж, 
км]]</f>
        <v>33.375</v>
      </c>
      <c r="M46" s="26">
        <f>Таблица22426[[#This Row],[Доход, 
грн/рейс]]-Таблица22426[[#This Row],[СС, 
грн/рейс]]</f>
        <v>6995</v>
      </c>
      <c r="N46" s="24"/>
    </row>
    <row r="47" spans="1:14" ht="13.2" outlineLevel="1" x14ac:dyDescent="0.25">
      <c r="A47" s="14" t="s">
        <v>191</v>
      </c>
      <c r="B47" s="62" t="s">
        <v>63</v>
      </c>
      <c r="C47" s="25">
        <v>45538</v>
      </c>
      <c r="D47" s="57" t="s">
        <v>426</v>
      </c>
      <c r="E47" s="24" t="s">
        <v>427</v>
      </c>
      <c r="F47" s="55" t="s">
        <v>417</v>
      </c>
      <c r="G47" s="58">
        <v>22000</v>
      </c>
      <c r="H47" s="56">
        <v>35</v>
      </c>
      <c r="I47" s="60">
        <f>Таблица22426[[#This Row],[Стоимость, 
грн]]</f>
        <v>22000</v>
      </c>
      <c r="J47" s="12">
        <f>Таблица22426[[#This Row],[Доход, 
грн/рейс]]/Таблица22426[[#This Row],[Километраж, 
км]]</f>
        <v>628.57142857142856</v>
      </c>
      <c r="K47" s="12">
        <v>21000</v>
      </c>
      <c r="L47" s="12">
        <f>Таблица22426[[#This Row],[СС, 
грн/рейс]]/Таблица22426[[#This Row],[Километраж, 
км]]</f>
        <v>600</v>
      </c>
      <c r="M47" s="26">
        <f>Таблица22426[[#This Row],[Доход, 
грн/рейс]]-Таблица22426[[#This Row],[СС, 
грн/рейс]]</f>
        <v>1000</v>
      </c>
      <c r="N47" s="24"/>
    </row>
    <row r="48" spans="1:14" ht="13.2" outlineLevel="1" x14ac:dyDescent="0.25">
      <c r="A48" s="14" t="s">
        <v>293</v>
      </c>
      <c r="B48" s="62" t="s">
        <v>63</v>
      </c>
      <c r="C48" s="25">
        <v>45538</v>
      </c>
      <c r="D48" s="57" t="s">
        <v>410</v>
      </c>
      <c r="E48" s="24" t="s">
        <v>294</v>
      </c>
      <c r="F48" s="55" t="s">
        <v>253</v>
      </c>
      <c r="G48" s="58">
        <v>8500</v>
      </c>
      <c r="H48" s="60">
        <v>39</v>
      </c>
      <c r="I48" s="60">
        <f>Таблица22426[[#This Row],[Стоимость, 
грн]]</f>
        <v>8500</v>
      </c>
      <c r="J48" s="12">
        <f>Таблица22426[[#This Row],[Доход, 
грн/рейс]]/Таблица22426[[#This Row],[Километраж, 
км]]</f>
        <v>217.94871794871796</v>
      </c>
      <c r="K48" s="12">
        <v>8900</v>
      </c>
      <c r="L48" s="12">
        <f>Таблица22426[[#This Row],[СС, 
грн/рейс]]/Таблица22426[[#This Row],[Километраж, 
км]]</f>
        <v>228.2051282051282</v>
      </c>
      <c r="M48" s="26">
        <f>Таблица22426[[#This Row],[Доход, 
грн/рейс]]-Таблица22426[[#This Row],[СС, 
грн/рейс]]</f>
        <v>-400</v>
      </c>
      <c r="N48" s="24"/>
    </row>
    <row r="49" spans="1:14" ht="13.2" outlineLevel="1" x14ac:dyDescent="0.25">
      <c r="A49" s="14" t="s">
        <v>293</v>
      </c>
      <c r="B49" s="62" t="s">
        <v>63</v>
      </c>
      <c r="C49" s="25">
        <v>45538</v>
      </c>
      <c r="D49" s="57" t="s">
        <v>410</v>
      </c>
      <c r="E49" s="24" t="s">
        <v>294</v>
      </c>
      <c r="F49" s="55" t="s">
        <v>417</v>
      </c>
      <c r="G49" s="58">
        <v>7150</v>
      </c>
      <c r="H49" s="56">
        <v>22</v>
      </c>
      <c r="I49" s="60">
        <f>Таблица22426[[#This Row],[Стоимость, 
грн]]</f>
        <v>7150</v>
      </c>
      <c r="J49" s="12">
        <f>Таблица22426[[#This Row],[Доход, 
грн/рейс]]/Таблица22426[[#This Row],[Километраж, 
км]]</f>
        <v>325</v>
      </c>
      <c r="K49" s="12">
        <v>6800</v>
      </c>
      <c r="L49" s="12">
        <f>Таблица22426[[#This Row],[СС, 
грн/рейс]]/Таблица22426[[#This Row],[Километраж, 
км]]</f>
        <v>309.09090909090907</v>
      </c>
      <c r="M49" s="26">
        <f>Таблица22426[[#This Row],[Доход, 
грн/рейс]]-Таблица22426[[#This Row],[СС, 
грн/рейс]]</f>
        <v>350</v>
      </c>
      <c r="N49" s="24"/>
    </row>
    <row r="50" spans="1:14" ht="13.2" outlineLevel="1" x14ac:dyDescent="0.25">
      <c r="A50" s="14" t="s">
        <v>191</v>
      </c>
      <c r="B50" s="62" t="s">
        <v>63</v>
      </c>
      <c r="C50" s="25">
        <v>45538</v>
      </c>
      <c r="D50" s="57" t="s">
        <v>411</v>
      </c>
      <c r="E50" s="24" t="s">
        <v>127</v>
      </c>
      <c r="F50" s="55" t="s">
        <v>253</v>
      </c>
      <c r="G50" s="73">
        <v>7350</v>
      </c>
      <c r="H50" s="56">
        <v>18</v>
      </c>
      <c r="I50" s="60">
        <f>Таблица22426[[#This Row],[Стоимость, 
грн]]</f>
        <v>7350</v>
      </c>
      <c r="J50" s="12">
        <f>Таблица22426[[#This Row],[Доход, 
грн/рейс]]/Таблица22426[[#This Row],[Километраж, 
км]]</f>
        <v>408.33333333333331</v>
      </c>
      <c r="K50" s="12">
        <v>7000</v>
      </c>
      <c r="L50" s="12">
        <f>Таблица22426[[#This Row],[СС, 
грн/рейс]]/Таблица22426[[#This Row],[Километраж, 
км]]</f>
        <v>388.88888888888891</v>
      </c>
      <c r="M50" s="26">
        <f>Таблица22426[[#This Row],[Доход, 
грн/рейс]]-Таблица22426[[#This Row],[СС, 
грн/рейс]]</f>
        <v>350</v>
      </c>
      <c r="N50" s="24" t="s">
        <v>501</v>
      </c>
    </row>
    <row r="51" spans="1:14" ht="13.2" outlineLevel="1" x14ac:dyDescent="0.25">
      <c r="A51" s="14" t="s">
        <v>191</v>
      </c>
      <c r="B51" s="62" t="s">
        <v>63</v>
      </c>
      <c r="C51" s="25">
        <v>45538</v>
      </c>
      <c r="D51" s="57" t="s">
        <v>428</v>
      </c>
      <c r="E51" s="24" t="s">
        <v>425</v>
      </c>
      <c r="F51" s="55" t="s">
        <v>253</v>
      </c>
      <c r="G51" s="58">
        <v>11000</v>
      </c>
      <c r="H51" s="60">
        <v>89</v>
      </c>
      <c r="I51" s="60">
        <f>Таблица22426[[#This Row],[Стоимость, 
грн]]</f>
        <v>11000</v>
      </c>
      <c r="J51" s="12">
        <f>Таблица22426[[#This Row],[Доход, 
грн/рейс]]/Таблица22426[[#This Row],[Километраж, 
км]]</f>
        <v>123.59550561797752</v>
      </c>
      <c r="K51" s="12">
        <v>10500</v>
      </c>
      <c r="L51" s="12">
        <f>Таблица22426[[#This Row],[СС, 
грн/рейс]]/Таблица22426[[#This Row],[Километраж, 
км]]</f>
        <v>117.97752808988764</v>
      </c>
      <c r="M51" s="26">
        <f>Таблица22426[[#This Row],[Доход, 
грн/рейс]]-Таблица22426[[#This Row],[СС, 
грн/рейс]]</f>
        <v>500</v>
      </c>
      <c r="N51" s="24" t="s">
        <v>511</v>
      </c>
    </row>
    <row r="52" spans="1:14" ht="13.2" outlineLevel="1" x14ac:dyDescent="0.25">
      <c r="A52" s="14" t="s">
        <v>191</v>
      </c>
      <c r="B52" s="62" t="s">
        <v>63</v>
      </c>
      <c r="C52" s="25">
        <v>45538</v>
      </c>
      <c r="D52" s="57" t="s">
        <v>428</v>
      </c>
      <c r="E52" s="24" t="s">
        <v>429</v>
      </c>
      <c r="F52" s="55" t="s">
        <v>253</v>
      </c>
      <c r="G52" s="73">
        <v>4700</v>
      </c>
      <c r="H52" s="56">
        <v>12</v>
      </c>
      <c r="I52" s="60">
        <f>Таблица22426[[#This Row],[Стоимость, 
грн]]</f>
        <v>4700</v>
      </c>
      <c r="J52" s="12">
        <f>Таблица22426[[#This Row],[Доход, 
грн/рейс]]/Таблица22426[[#This Row],[Километраж, 
км]]</f>
        <v>391.66666666666669</v>
      </c>
      <c r="K52" s="12">
        <v>4500</v>
      </c>
      <c r="L52" s="12">
        <f>Таблица22426[[#This Row],[СС, 
грн/рейс]]/Таблица22426[[#This Row],[Километраж, 
км]]</f>
        <v>375</v>
      </c>
      <c r="M52" s="26">
        <f>Таблица22426[[#This Row],[Доход, 
грн/рейс]]-Таблица22426[[#This Row],[СС, 
грн/рейс]]</f>
        <v>200</v>
      </c>
      <c r="N52" s="24" t="s">
        <v>501</v>
      </c>
    </row>
    <row r="53" spans="1:14" ht="13.2" outlineLevel="1" x14ac:dyDescent="0.25">
      <c r="A53" s="14" t="s">
        <v>430</v>
      </c>
      <c r="B53" s="62" t="s">
        <v>63</v>
      </c>
      <c r="C53" s="25">
        <v>45538</v>
      </c>
      <c r="D53" s="57" t="s">
        <v>431</v>
      </c>
      <c r="E53" s="24" t="s">
        <v>432</v>
      </c>
      <c r="F53" s="55" t="s">
        <v>433</v>
      </c>
      <c r="G53" s="58">
        <v>30000</v>
      </c>
      <c r="H53" s="56">
        <v>190</v>
      </c>
      <c r="I53" s="60">
        <f>Таблица22426[[#This Row],[Стоимость, 
грн]]</f>
        <v>30000</v>
      </c>
      <c r="J53" s="12">
        <f>Таблица22426[[#This Row],[Доход, 
грн/рейс]]/Таблица22426[[#This Row],[Километраж, 
км]]</f>
        <v>157.89473684210526</v>
      </c>
      <c r="K53" s="12">
        <v>27000</v>
      </c>
      <c r="L53" s="12">
        <f>Таблица22426[[#This Row],[СС, 
грн/рейс]]/Таблица22426[[#This Row],[Километраж, 
км]]</f>
        <v>142.10526315789474</v>
      </c>
      <c r="M53" s="26">
        <f>Таблица22426[[#This Row],[Доход, 
грн/рейс]]-Таблица22426[[#This Row],[СС, 
грн/рейс]]</f>
        <v>3000</v>
      </c>
      <c r="N53" s="24" t="s">
        <v>495</v>
      </c>
    </row>
    <row r="54" spans="1:14" ht="13.2" outlineLevel="1" x14ac:dyDescent="0.25">
      <c r="A54" s="14" t="s">
        <v>135</v>
      </c>
      <c r="B54" s="62" t="s">
        <v>19</v>
      </c>
      <c r="C54" s="25">
        <v>45538</v>
      </c>
      <c r="D54" s="57" t="s">
        <v>434</v>
      </c>
      <c r="E54" s="24" t="s">
        <v>137</v>
      </c>
      <c r="F54" s="55" t="s">
        <v>435</v>
      </c>
      <c r="G54" s="58">
        <v>57200</v>
      </c>
      <c r="H54" s="60">
        <v>727</v>
      </c>
      <c r="I54" s="60">
        <f>Таблица22426[[#This Row],[Стоимость, 
грн]]</f>
        <v>57200</v>
      </c>
      <c r="J54" s="12">
        <f>Таблица22426[[#This Row],[Доход, 
грн/рейс]]/Таблица22426[[#This Row],[Километраж, 
км]]</f>
        <v>78.679504814305361</v>
      </c>
      <c r="K54" s="12">
        <v>52000</v>
      </c>
      <c r="L54" s="12">
        <f>Таблица22426[[#This Row],[СС, 
грн/рейс]]/Таблица22426[[#This Row],[Километраж, 
км]]</f>
        <v>71.526822558459429</v>
      </c>
      <c r="M54" s="26">
        <f>Таблица22426[[#This Row],[Доход, 
грн/рейс]]-Таблица22426[[#This Row],[СС, 
грн/рейс]]</f>
        <v>5200</v>
      </c>
      <c r="N54" s="24" t="s">
        <v>496</v>
      </c>
    </row>
    <row r="55" spans="1:14" ht="13.2" outlineLevel="1" x14ac:dyDescent="0.25">
      <c r="A55" s="14" t="s">
        <v>135</v>
      </c>
      <c r="B55" s="62" t="s">
        <v>63</v>
      </c>
      <c r="C55" s="25">
        <v>45538</v>
      </c>
      <c r="D55" s="57" t="s">
        <v>436</v>
      </c>
      <c r="E55" s="24" t="s">
        <v>437</v>
      </c>
      <c r="F55" s="55" t="s">
        <v>69</v>
      </c>
      <c r="G55" s="58">
        <v>86000</v>
      </c>
      <c r="H55" s="56">
        <v>400</v>
      </c>
      <c r="I55" s="60">
        <f>Таблица22426[[#This Row],[Стоимость, 
грн]]</f>
        <v>86000</v>
      </c>
      <c r="J55" s="12">
        <f>Таблица22426[[#This Row],[Доход, 
грн/рейс]]/Таблица22426[[#This Row],[Километраж, 
км]]</f>
        <v>215</v>
      </c>
      <c r="K55" s="12">
        <v>78000</v>
      </c>
      <c r="L55" s="12">
        <f>Таблица22426[[#This Row],[СС, 
грн/рейс]]/Таблица22426[[#This Row],[Километраж, 
км]]</f>
        <v>195</v>
      </c>
      <c r="M55" s="26">
        <f>Таблица22426[[#This Row],[Доход, 
грн/рейс]]-Таблица22426[[#This Row],[СС, 
грн/рейс]]</f>
        <v>8000</v>
      </c>
      <c r="N55" s="24" t="s">
        <v>497</v>
      </c>
    </row>
    <row r="56" spans="1:14" ht="13.2" outlineLevel="1" x14ac:dyDescent="0.25">
      <c r="A56" s="14" t="s">
        <v>191</v>
      </c>
      <c r="B56" s="62" t="s">
        <v>63</v>
      </c>
      <c r="C56" s="25">
        <v>45538</v>
      </c>
      <c r="D56" s="57" t="s">
        <v>438</v>
      </c>
      <c r="E56" s="24" t="s">
        <v>429</v>
      </c>
      <c r="F56" s="55" t="s">
        <v>253</v>
      </c>
      <c r="G56" s="58">
        <v>16800</v>
      </c>
      <c r="H56" s="56">
        <v>56</v>
      </c>
      <c r="I56" s="60">
        <f>Таблица22426[[#This Row],[Стоимость, 
грн]]</f>
        <v>16800</v>
      </c>
      <c r="J56" s="12">
        <f>Таблица22426[[#This Row],[Доход, 
грн/рейс]]/Таблица22426[[#This Row],[Километраж, 
км]]</f>
        <v>300</v>
      </c>
      <c r="K56" s="12">
        <v>16000</v>
      </c>
      <c r="L56" s="12">
        <f>Таблица22426[[#This Row],[СС, 
грн/рейс]]/Таблица22426[[#This Row],[Километраж, 
км]]</f>
        <v>285.71428571428572</v>
      </c>
      <c r="M56" s="26">
        <f>Таблица22426[[#This Row],[Доход, 
грн/рейс]]-Таблица22426[[#This Row],[СС, 
грн/рейс]]</f>
        <v>800</v>
      </c>
      <c r="N56" s="24" t="s">
        <v>509</v>
      </c>
    </row>
    <row r="57" spans="1:14" ht="13.2" outlineLevel="1" x14ac:dyDescent="0.25">
      <c r="A57" s="14" t="s">
        <v>191</v>
      </c>
      <c r="B57" s="62" t="s">
        <v>63</v>
      </c>
      <c r="C57" s="25">
        <v>45538</v>
      </c>
      <c r="D57" s="57" t="s">
        <v>412</v>
      </c>
      <c r="E57" s="24" t="s">
        <v>127</v>
      </c>
      <c r="F57" s="55" t="s">
        <v>253</v>
      </c>
      <c r="G57" s="73">
        <v>5900</v>
      </c>
      <c r="H57" s="60">
        <v>19</v>
      </c>
      <c r="I57" s="60">
        <f>Таблица22426[[#This Row],[Стоимость, 
грн]]</f>
        <v>5900</v>
      </c>
      <c r="J57" s="12">
        <f>Таблица22426[[#This Row],[Доход, 
грн/рейс]]/Таблица22426[[#This Row],[Километраж, 
км]]</f>
        <v>310.5263157894737</v>
      </c>
      <c r="K57" s="12">
        <v>5600</v>
      </c>
      <c r="L57" s="12">
        <f>Таблица22426[[#This Row],[СС, 
грн/рейс]]/Таблица22426[[#This Row],[Километраж, 
км]]</f>
        <v>294.73684210526318</v>
      </c>
      <c r="M57" s="26">
        <f>Таблица22426[[#This Row],[Доход, 
грн/рейс]]-Таблица22426[[#This Row],[СС, 
грн/рейс]]</f>
        <v>300</v>
      </c>
      <c r="N57" s="24" t="s">
        <v>500</v>
      </c>
    </row>
    <row r="58" spans="1:14" ht="13.2" outlineLevel="1" x14ac:dyDescent="0.25">
      <c r="A58" s="14" t="s">
        <v>293</v>
      </c>
      <c r="B58" s="62" t="s">
        <v>63</v>
      </c>
      <c r="C58" s="25">
        <v>45538</v>
      </c>
      <c r="D58" s="57" t="s">
        <v>412</v>
      </c>
      <c r="E58" s="24" t="s">
        <v>294</v>
      </c>
      <c r="F58" s="55" t="s">
        <v>417</v>
      </c>
      <c r="G58" s="58">
        <v>8900</v>
      </c>
      <c r="H58" s="56">
        <v>44</v>
      </c>
      <c r="I58" s="60">
        <f>Таблица22426[[#This Row],[Стоимость, 
грн]]</f>
        <v>8900</v>
      </c>
      <c r="J58" s="12">
        <f>Таблица22426[[#This Row],[Доход, 
грн/рейс]]/Таблица22426[[#This Row],[Километраж, 
км]]</f>
        <v>202.27272727272728</v>
      </c>
      <c r="K58" s="12">
        <v>8500</v>
      </c>
      <c r="L58" s="12">
        <f>Таблица22426[[#This Row],[СС, 
грн/рейс]]/Таблица22426[[#This Row],[Километраж, 
км]]</f>
        <v>193.18181818181819</v>
      </c>
      <c r="M58" s="26">
        <f>Таблица22426[[#This Row],[Доход, 
грн/рейс]]-Таблица22426[[#This Row],[СС, 
грн/рейс]]</f>
        <v>400</v>
      </c>
      <c r="N58" s="24"/>
    </row>
    <row r="59" spans="1:14" ht="13.2" outlineLevel="1" x14ac:dyDescent="0.25">
      <c r="A59" s="14" t="s">
        <v>191</v>
      </c>
      <c r="B59" s="62" t="s">
        <v>63</v>
      </c>
      <c r="C59" s="25">
        <v>45538</v>
      </c>
      <c r="D59" s="57" t="s">
        <v>439</v>
      </c>
      <c r="E59" s="24" t="s">
        <v>440</v>
      </c>
      <c r="F59" s="55" t="s">
        <v>253</v>
      </c>
      <c r="G59" s="58">
        <v>8600</v>
      </c>
      <c r="H59" s="56">
        <v>45</v>
      </c>
      <c r="I59" s="60">
        <f>Таблица22426[[#This Row],[Стоимость, 
грн]]</f>
        <v>8600</v>
      </c>
      <c r="J59" s="12">
        <f>Таблица22426[[#This Row],[Доход, 
грн/рейс]]/Таблица22426[[#This Row],[Километраж, 
км]]</f>
        <v>191.11111111111111</v>
      </c>
      <c r="K59" s="12">
        <v>8200</v>
      </c>
      <c r="L59" s="12">
        <f>Таблица22426[[#This Row],[СС, 
грн/рейс]]/Таблица22426[[#This Row],[Километраж, 
км]]</f>
        <v>182.22222222222223</v>
      </c>
      <c r="M59" s="26">
        <f>Таблица22426[[#This Row],[Доход, 
грн/рейс]]-Таблица22426[[#This Row],[СС, 
грн/рейс]]</f>
        <v>400</v>
      </c>
      <c r="N59" s="24"/>
    </row>
    <row r="60" spans="1:14" ht="13.2" outlineLevel="1" x14ac:dyDescent="0.25">
      <c r="A60" s="14" t="s">
        <v>441</v>
      </c>
      <c r="B60" s="62" t="s">
        <v>63</v>
      </c>
      <c r="C60" s="25">
        <v>45538</v>
      </c>
      <c r="D60" s="57" t="s">
        <v>439</v>
      </c>
      <c r="E60" s="24" t="s">
        <v>442</v>
      </c>
      <c r="F60" s="55" t="s">
        <v>443</v>
      </c>
      <c r="G60" s="58">
        <v>0</v>
      </c>
      <c r="H60" s="60">
        <v>190</v>
      </c>
      <c r="I60" s="60">
        <f>Таблица22426[[#This Row],[Стоимость, 
грн]]</f>
        <v>0</v>
      </c>
      <c r="J60" s="12">
        <f>Таблица22426[[#This Row],[Доход, 
грн/рейс]]/Таблица22426[[#This Row],[Километраж, 
км]]</f>
        <v>0</v>
      </c>
      <c r="K60" s="12">
        <v>0</v>
      </c>
      <c r="L60" s="12">
        <f>Таблица22426[[#This Row],[СС, 
грн/рейс]]/Таблица22426[[#This Row],[Километраж, 
км]]</f>
        <v>0</v>
      </c>
      <c r="M60" s="26">
        <f>Таблица22426[[#This Row],[Доход, 
грн/рейс]]-Таблица22426[[#This Row],[СС, 
грн/рейс]]</f>
        <v>0</v>
      </c>
      <c r="N60" s="24" t="s">
        <v>446</v>
      </c>
    </row>
    <row r="61" spans="1:14" ht="13.2" outlineLevel="1" x14ac:dyDescent="0.25">
      <c r="A61" s="14" t="s">
        <v>191</v>
      </c>
      <c r="B61" s="62" t="s">
        <v>63</v>
      </c>
      <c r="C61" s="25">
        <v>45539</v>
      </c>
      <c r="D61" s="152" t="s">
        <v>471</v>
      </c>
      <c r="E61" s="24" t="s">
        <v>440</v>
      </c>
      <c r="F61" s="55" t="s">
        <v>253</v>
      </c>
      <c r="G61" s="153">
        <v>16600</v>
      </c>
      <c r="H61" s="154">
        <v>45</v>
      </c>
      <c r="I61" s="60">
        <f>Таблица22426[[#This Row],[Стоимость, 
грн]]</f>
        <v>16600</v>
      </c>
      <c r="J61" s="12">
        <f>Таблица22426[[#This Row],[Доход, 
грн/рейс]]/Таблица22426[[#This Row],[Километраж, 
км]]</f>
        <v>368.88888888888891</v>
      </c>
      <c r="K61" s="155">
        <v>15800</v>
      </c>
      <c r="L61" s="12">
        <f>Таблица22426[[#This Row],[СС, 
грн/рейс]]/Таблица22426[[#This Row],[Километраж, 
км]]</f>
        <v>351.11111111111109</v>
      </c>
      <c r="M61" s="156" t="e">
        <f>[2]!Таблица22426[[#This Row],[Доход, 
грн/рейс]]-[2]!Таблица22426[[#This Row],[СС, 
грн/рейс]]</f>
        <v>#REF!</v>
      </c>
      <c r="N61" s="157"/>
    </row>
    <row r="62" spans="1:14" ht="13.2" outlineLevel="1" x14ac:dyDescent="0.25">
      <c r="A62" s="124" t="s">
        <v>135</v>
      </c>
      <c r="B62" s="125" t="s">
        <v>19</v>
      </c>
      <c r="C62" s="126">
        <v>45538</v>
      </c>
      <c r="D62" s="127" t="s">
        <v>444</v>
      </c>
      <c r="E62" s="128" t="s">
        <v>445</v>
      </c>
      <c r="F62" s="129" t="s">
        <v>433</v>
      </c>
      <c r="G62" s="130">
        <v>52800</v>
      </c>
      <c r="H62" s="131">
        <v>400</v>
      </c>
      <c r="I62" s="131">
        <f>Таблица22426[[#This Row],[Стоимость, 
грн]]</f>
        <v>52800</v>
      </c>
      <c r="J62" s="12">
        <f>Таблица22426[[#This Row],[Доход, 
грн/рейс]]/Таблица22426[[#This Row],[Километраж, 
км]]</f>
        <v>132</v>
      </c>
      <c r="K62" s="132">
        <v>48000</v>
      </c>
      <c r="L62" s="12">
        <f>Таблица22426[[#This Row],[СС, 
грн/рейс]]/Таблица22426[[#This Row],[Километраж, 
км]]</f>
        <v>120</v>
      </c>
      <c r="M62" s="134">
        <f>Таблица22426[[#This Row],[Доход, 
грн/рейс]]-Таблица22426[[#This Row],[СС, 
грн/рейс]]</f>
        <v>4800</v>
      </c>
      <c r="N62" s="128" t="s">
        <v>586</v>
      </c>
    </row>
    <row r="63" spans="1:14" ht="13.2" outlineLevel="1" x14ac:dyDescent="0.25">
      <c r="A63" s="124" t="s">
        <v>293</v>
      </c>
      <c r="B63" s="125" t="s">
        <v>515</v>
      </c>
      <c r="C63" s="126">
        <v>45538</v>
      </c>
      <c r="D63" s="127" t="s">
        <v>521</v>
      </c>
      <c r="E63" s="128" t="s">
        <v>522</v>
      </c>
      <c r="F63" s="129" t="s">
        <v>253</v>
      </c>
      <c r="G63" s="130">
        <v>5700</v>
      </c>
      <c r="H63" s="131">
        <v>36</v>
      </c>
      <c r="I63" s="131">
        <f>Таблица22426[[#This Row],[Стоимость, 
грн]]</f>
        <v>5700</v>
      </c>
      <c r="J63" s="12">
        <f>Таблица22426[[#This Row],[Доход, 
грн/рейс]]/Таблица22426[[#This Row],[Километраж, 
км]]</f>
        <v>158.33333333333334</v>
      </c>
      <c r="K63" s="132">
        <v>5400</v>
      </c>
      <c r="L63" s="12">
        <f>Таблица22426[[#This Row],[СС, 
грн/рейс]]/Таблица22426[[#This Row],[Километраж, 
км]]</f>
        <v>150</v>
      </c>
      <c r="M63" s="134">
        <f>Таблица22426[[#This Row],[Доход, 
грн/рейс]]-Таблица22426[[#This Row],[СС, 
грн/рейс]]</f>
        <v>300</v>
      </c>
      <c r="N63" s="128"/>
    </row>
    <row r="64" spans="1:14" ht="13.2" outlineLevel="1" x14ac:dyDescent="0.25">
      <c r="A64" s="14" t="s">
        <v>191</v>
      </c>
      <c r="B64" s="62" t="s">
        <v>515</v>
      </c>
      <c r="C64" s="16">
        <v>45538</v>
      </c>
      <c r="D64" s="152" t="s">
        <v>552</v>
      </c>
      <c r="E64" s="157" t="s">
        <v>440</v>
      </c>
      <c r="F64" s="158" t="s">
        <v>253</v>
      </c>
      <c r="G64" s="153">
        <v>25200</v>
      </c>
      <c r="H64" s="154">
        <v>44</v>
      </c>
      <c r="I64" s="131">
        <f>Таблица22426[[#This Row],[Стоимость, 
грн]]</f>
        <v>25200</v>
      </c>
      <c r="J64" s="12">
        <f>Таблица22426[[#This Row],[Доход, 
грн/рейс]]/Таблица22426[[#This Row],[Километраж, 
км]]</f>
        <v>572.72727272727275</v>
      </c>
      <c r="K64" s="132">
        <v>24000</v>
      </c>
      <c r="L64" s="12">
        <f>Таблица22426[[#This Row],[СС, 
грн/рейс]]/Таблица22426[[#This Row],[Километраж, 
км]]</f>
        <v>545.4545454545455</v>
      </c>
      <c r="M64" s="134">
        <f>Таблица22426[[#This Row],[Доход, 
грн/рейс]]-Таблица22426[[#This Row],[СС, 
грн/рейс]]</f>
        <v>1200</v>
      </c>
      <c r="N64" s="128"/>
    </row>
    <row r="65" spans="1:14" ht="13.2" outlineLevel="1" x14ac:dyDescent="0.25">
      <c r="A65" s="124" t="s">
        <v>293</v>
      </c>
      <c r="B65" s="125" t="s">
        <v>515</v>
      </c>
      <c r="C65" s="126">
        <v>45538</v>
      </c>
      <c r="D65" s="127" t="s">
        <v>410</v>
      </c>
      <c r="E65" s="128" t="s">
        <v>294</v>
      </c>
      <c r="F65" s="129" t="s">
        <v>417</v>
      </c>
      <c r="G65" s="130">
        <v>15300</v>
      </c>
      <c r="H65" s="131">
        <v>46</v>
      </c>
      <c r="I65" s="131">
        <f>Таблица22426[[#This Row],[Стоимость, 
грн]]</f>
        <v>15300</v>
      </c>
      <c r="J65" s="132">
        <f>Таблица22426[[#This Row],[Доход, 
грн/рейс]]/Таблица22426[[#This Row],[Километраж, 
км]]</f>
        <v>332.60869565217394</v>
      </c>
      <c r="K65" s="132">
        <v>14600</v>
      </c>
      <c r="L65" s="12">
        <f>Таблица22426[[#This Row],[СС, 
грн/рейс]]/Таблица22426[[#This Row],[Километраж, 
км]]</f>
        <v>317.39130434782606</v>
      </c>
      <c r="M65" s="134">
        <f>Таблица22426[[#This Row],[Доход, 
грн/рейс]]-Таблица22426[[#This Row],[СС, 
грн/рейс]]</f>
        <v>700</v>
      </c>
      <c r="N65" s="128"/>
    </row>
    <row r="66" spans="1:14" ht="13.2" outlineLevel="1" x14ac:dyDescent="0.25">
      <c r="A66" s="124" t="s">
        <v>191</v>
      </c>
      <c r="B66" s="125" t="s">
        <v>515</v>
      </c>
      <c r="C66" s="126">
        <v>45538</v>
      </c>
      <c r="D66" s="127" t="s">
        <v>438</v>
      </c>
      <c r="E66" s="128" t="s">
        <v>429</v>
      </c>
      <c r="F66" s="129" t="s">
        <v>253</v>
      </c>
      <c r="G66" s="130">
        <v>16800</v>
      </c>
      <c r="H66" s="131">
        <v>51</v>
      </c>
      <c r="I66" s="131">
        <f>Таблица22426[[#This Row],[Стоимость, 
грн]]</f>
        <v>16800</v>
      </c>
      <c r="J66" s="132">
        <f>Таблица22426[[#This Row],[Доход, 
грн/рейс]]/Таблица22426[[#This Row],[Километраж, 
км]]</f>
        <v>329.41176470588238</v>
      </c>
      <c r="K66" s="132">
        <v>16000</v>
      </c>
      <c r="L66" s="12">
        <f>Таблица22426[[#This Row],[СС, 
грн/рейс]]/Таблица22426[[#This Row],[Километраж, 
км]]</f>
        <v>313.72549019607845</v>
      </c>
      <c r="M66" s="134">
        <f>Таблица22426[[#This Row],[Доход, 
грн/рейс]]-Таблица22426[[#This Row],[СС, 
грн/рейс]]</f>
        <v>800</v>
      </c>
      <c r="N66" s="128"/>
    </row>
    <row r="67" spans="1:14" ht="13.2" outlineLevel="1" x14ac:dyDescent="0.25">
      <c r="A67" s="124" t="s">
        <v>293</v>
      </c>
      <c r="B67" s="125" t="s">
        <v>515</v>
      </c>
      <c r="C67" s="126">
        <v>45538</v>
      </c>
      <c r="D67" s="127" t="s">
        <v>439</v>
      </c>
      <c r="E67" s="128" t="s">
        <v>294</v>
      </c>
      <c r="F67" s="129" t="s">
        <v>417</v>
      </c>
      <c r="G67" s="130">
        <v>9150</v>
      </c>
      <c r="H67" s="131">
        <v>47</v>
      </c>
      <c r="I67" s="131">
        <f>Таблица22426[[#This Row],[Стоимость, 
грн]]</f>
        <v>9150</v>
      </c>
      <c r="J67" s="132">
        <f>Таблица22426[[#This Row],[Доход, 
грн/рейс]]/Таблица22426[[#This Row],[Километраж, 
км]]</f>
        <v>194.68085106382978</v>
      </c>
      <c r="K67" s="132">
        <v>8700</v>
      </c>
      <c r="L67" s="12">
        <f>Таблица22426[[#This Row],[СС, 
грн/рейс]]/Таблица22426[[#This Row],[Километраж, 
км]]</f>
        <v>185.10638297872342</v>
      </c>
      <c r="M67" s="134">
        <f>Таблица22426[[#This Row],[Доход, 
грн/рейс]]-Таблица22426[[#This Row],[СС, 
грн/рейс]]</f>
        <v>450</v>
      </c>
      <c r="N67" s="128"/>
    </row>
    <row r="68" spans="1:14" ht="13.2" outlineLevel="1" x14ac:dyDescent="0.25">
      <c r="A68" s="124" t="s">
        <v>191</v>
      </c>
      <c r="B68" s="125" t="s">
        <v>515</v>
      </c>
      <c r="C68" s="126">
        <v>45538</v>
      </c>
      <c r="D68" s="127" t="s">
        <v>439</v>
      </c>
      <c r="E68" s="128" t="s">
        <v>425</v>
      </c>
      <c r="F68" s="129" t="s">
        <v>253</v>
      </c>
      <c r="G68" s="130">
        <v>23100</v>
      </c>
      <c r="H68" s="131">
        <v>69</v>
      </c>
      <c r="I68" s="131">
        <f>Таблица22426[[#This Row],[Стоимость, 
грн]]</f>
        <v>23100</v>
      </c>
      <c r="J68" s="132">
        <f>Таблица22426[[#This Row],[Доход, 
грн/рейс]]/Таблица22426[[#This Row],[Километраж, 
км]]</f>
        <v>334.78260869565219</v>
      </c>
      <c r="K68" s="132">
        <v>22000</v>
      </c>
      <c r="L68" s="12">
        <f>Таблица22426[[#This Row],[СС, 
грн/рейс]]/Таблица22426[[#This Row],[Километраж, 
км]]</f>
        <v>318.84057971014494</v>
      </c>
      <c r="M68" s="134">
        <f>Таблица22426[[#This Row],[Доход, 
грн/рейс]]-Таблица22426[[#This Row],[СС, 
грн/рейс]]</f>
        <v>1100</v>
      </c>
      <c r="N68" s="128"/>
    </row>
    <row r="69" spans="1:14" ht="13.2" outlineLevel="1" collapsed="1" x14ac:dyDescent="0.25">
      <c r="A69" s="124" t="s">
        <v>191</v>
      </c>
      <c r="B69" s="125" t="s">
        <v>515</v>
      </c>
      <c r="C69" s="126">
        <v>45566</v>
      </c>
      <c r="D69" s="127" t="s">
        <v>553</v>
      </c>
      <c r="E69" s="128" t="s">
        <v>429</v>
      </c>
      <c r="F69" s="129" t="s">
        <v>417</v>
      </c>
      <c r="G69" s="130">
        <v>7900</v>
      </c>
      <c r="H69" s="131">
        <v>59</v>
      </c>
      <c r="I69" s="131">
        <f>Таблица22426[[#This Row],[Стоимость, 
грн]]</f>
        <v>7900</v>
      </c>
      <c r="J69" s="12">
        <f>Таблица22426[[#This Row],[Доход, 
грн/рейс]]/Таблица22426[[#This Row],[Километраж, 
км]]</f>
        <v>133.89830508474577</v>
      </c>
      <c r="K69" s="132">
        <v>7500</v>
      </c>
      <c r="L69" s="12">
        <f>Таблица22426[[#This Row],[СС, 
грн/рейс]]/Таблица22426[[#This Row],[Километраж, 
км]]</f>
        <v>127.11864406779661</v>
      </c>
      <c r="M69" s="134">
        <f>Таблица22426[[#This Row],[Доход, 
грн/рейс]]-Таблица22426[[#This Row],[СС, 
грн/рейс]]</f>
        <v>400</v>
      </c>
      <c r="N69" s="128"/>
    </row>
    <row r="70" spans="1:14" ht="13.2" outlineLevel="1" x14ac:dyDescent="0.25">
      <c r="A70" s="124" t="s">
        <v>555</v>
      </c>
      <c r="B70" s="125" t="s">
        <v>515</v>
      </c>
      <c r="C70" s="126">
        <v>45566</v>
      </c>
      <c r="D70" s="127" t="s">
        <v>525</v>
      </c>
      <c r="E70" s="128" t="s">
        <v>530</v>
      </c>
      <c r="F70" s="129" t="s">
        <v>556</v>
      </c>
      <c r="G70" s="130">
        <v>59400</v>
      </c>
      <c r="H70" s="131">
        <v>765</v>
      </c>
      <c r="I70" s="131">
        <f>Таблица22426[[#This Row],[Стоимость, 
грн]]</f>
        <v>59400</v>
      </c>
      <c r="J70" s="12">
        <f>Таблица22426[[#This Row],[Доход, 
грн/рейс]]/Таблица22426[[#This Row],[Километраж, 
км]]</f>
        <v>77.647058823529406</v>
      </c>
      <c r="K70" s="132">
        <v>45000</v>
      </c>
      <c r="L70" s="12">
        <f>Таблица22426[[#This Row],[СС, 
грн/рейс]]/Таблица22426[[#This Row],[Километраж, 
км]]</f>
        <v>58.823529411764703</v>
      </c>
      <c r="M70" s="134">
        <f>Таблица22426[[#This Row],[Доход, 
грн/рейс]]-Таблица22426[[#This Row],[СС, 
грн/рейс]]</f>
        <v>14400</v>
      </c>
      <c r="N70" s="128"/>
    </row>
    <row r="71" spans="1:14" ht="13.2" outlineLevel="1" x14ac:dyDescent="0.25">
      <c r="A71" s="124" t="s">
        <v>546</v>
      </c>
      <c r="B71" s="125" t="s">
        <v>515</v>
      </c>
      <c r="C71" s="126">
        <v>45566</v>
      </c>
      <c r="D71" s="127" t="s">
        <v>525</v>
      </c>
      <c r="E71" s="128" t="s">
        <v>557</v>
      </c>
      <c r="F71" s="129" t="s">
        <v>558</v>
      </c>
      <c r="G71" s="130">
        <v>34100</v>
      </c>
      <c r="H71" s="131">
        <v>480</v>
      </c>
      <c r="I71" s="131">
        <f>Таблица22426[[#This Row],[Стоимость, 
грн]]</f>
        <v>34100</v>
      </c>
      <c r="J71" s="12">
        <f>Таблица22426[[#This Row],[Доход, 
грн/рейс]]/Таблица22426[[#This Row],[Километраж, 
км]]</f>
        <v>71.041666666666671</v>
      </c>
      <c r="K71" s="132">
        <v>25000</v>
      </c>
      <c r="L71" s="12">
        <f>Таблица22426[[#This Row],[СС, 
грн/рейс]]/Таблица22426[[#This Row],[Километраж, 
км]]</f>
        <v>52.083333333333336</v>
      </c>
      <c r="M71" s="134">
        <f>Таблица22426[[#This Row],[Доход, 
грн/рейс]]-Таблица22426[[#This Row],[СС, 
грн/рейс]]</f>
        <v>9100</v>
      </c>
      <c r="N71" s="128"/>
    </row>
    <row r="72" spans="1:14" ht="13.2" outlineLevel="1" x14ac:dyDescent="0.25">
      <c r="A72" s="124" t="s">
        <v>191</v>
      </c>
      <c r="B72" s="125" t="s">
        <v>515</v>
      </c>
      <c r="C72" s="126">
        <v>45566</v>
      </c>
      <c r="D72" s="127" t="s">
        <v>542</v>
      </c>
      <c r="E72" s="128" t="s">
        <v>559</v>
      </c>
      <c r="F72" s="129" t="s">
        <v>560</v>
      </c>
      <c r="G72" s="130">
        <v>7350</v>
      </c>
      <c r="H72" s="131">
        <v>39</v>
      </c>
      <c r="I72" s="131">
        <f>Таблица22426[[#This Row],[Стоимость, 
грн]]</f>
        <v>7350</v>
      </c>
      <c r="J72" s="12">
        <f>Таблица22426[[#This Row],[Доход, 
грн/рейс]]/Таблица22426[[#This Row],[Километраж, 
км]]</f>
        <v>188.46153846153845</v>
      </c>
      <c r="K72" s="132">
        <v>7000</v>
      </c>
      <c r="L72" s="12">
        <f>Таблица22426[[#This Row],[СС, 
грн/рейс]]/Таблица22426[[#This Row],[Километраж, 
км]]</f>
        <v>179.48717948717947</v>
      </c>
      <c r="M72" s="134">
        <f>Таблица22426[[#This Row],[Доход, 
грн/рейс]]-Таблица22426[[#This Row],[СС, 
грн/рейс]]</f>
        <v>350</v>
      </c>
      <c r="N72" s="128"/>
    </row>
    <row r="73" spans="1:14" ht="13.2" outlineLevel="1" x14ac:dyDescent="0.25">
      <c r="A73" s="124" t="s">
        <v>191</v>
      </c>
      <c r="B73" s="125" t="s">
        <v>515</v>
      </c>
      <c r="C73" s="126">
        <v>45566</v>
      </c>
      <c r="D73" s="127" t="s">
        <v>534</v>
      </c>
      <c r="E73" s="128" t="s">
        <v>429</v>
      </c>
      <c r="F73" s="129" t="s">
        <v>417</v>
      </c>
      <c r="G73" s="130">
        <v>2300</v>
      </c>
      <c r="H73" s="131">
        <v>24</v>
      </c>
      <c r="I73" s="131">
        <f>Таблица22426[[#This Row],[Стоимость, 
грн]]</f>
        <v>2300</v>
      </c>
      <c r="J73" s="12">
        <f>Таблица22426[[#This Row],[Доход, 
грн/рейс]]/Таблица22426[[#This Row],[Километраж, 
км]]</f>
        <v>95.833333333333329</v>
      </c>
      <c r="K73" s="132">
        <v>2200</v>
      </c>
      <c r="L73" s="12">
        <f>Таблица22426[[#This Row],[СС, 
грн/рейс]]/Таблица22426[[#This Row],[Километраж, 
км]]</f>
        <v>91.666666666666671</v>
      </c>
      <c r="M73" s="134">
        <f>Таблица22426[[#This Row],[Доход, 
грн/рейс]]-Таблица22426[[#This Row],[СС, 
грн/рейс]]</f>
        <v>100</v>
      </c>
      <c r="N73" s="128"/>
    </row>
    <row r="74" spans="1:14" ht="13.2" outlineLevel="1" x14ac:dyDescent="0.25">
      <c r="A74" s="124" t="s">
        <v>293</v>
      </c>
      <c r="B74" s="125" t="s">
        <v>515</v>
      </c>
      <c r="C74" s="126">
        <v>45566</v>
      </c>
      <c r="D74" s="127" t="s">
        <v>534</v>
      </c>
      <c r="E74" s="128" t="s">
        <v>294</v>
      </c>
      <c r="F74" s="129" t="s">
        <v>417</v>
      </c>
      <c r="G74" s="130">
        <v>13650</v>
      </c>
      <c r="H74" s="131">
        <v>62</v>
      </c>
      <c r="I74" s="131">
        <f>Таблица22426[[#This Row],[Стоимость, 
грн]]</f>
        <v>13650</v>
      </c>
      <c r="J74" s="12">
        <f>Таблица22426[[#This Row],[Доход, 
грн/рейс]]/Таблица22426[[#This Row],[Километраж, 
км]]</f>
        <v>220.16129032258064</v>
      </c>
      <c r="K74" s="132">
        <v>13000</v>
      </c>
      <c r="L74" s="12">
        <f>Таблица22426[[#This Row],[СС, 
грн/рейс]]/Таблица22426[[#This Row],[Километраж, 
км]]</f>
        <v>209.67741935483872</v>
      </c>
      <c r="M74" s="134">
        <f>Таблица22426[[#This Row],[Доход, 
грн/рейс]]-Таблица22426[[#This Row],[СС, 
грн/рейс]]</f>
        <v>650</v>
      </c>
      <c r="N74" s="128"/>
    </row>
    <row r="75" spans="1:14" ht="13.2" outlineLevel="1" x14ac:dyDescent="0.25">
      <c r="A75" s="124" t="s">
        <v>293</v>
      </c>
      <c r="B75" s="125" t="s">
        <v>515</v>
      </c>
      <c r="C75" s="126">
        <v>45566</v>
      </c>
      <c r="D75" s="127" t="s">
        <v>534</v>
      </c>
      <c r="E75" s="128" t="s">
        <v>294</v>
      </c>
      <c r="F75" s="129" t="s">
        <v>253</v>
      </c>
      <c r="G75" s="130">
        <v>11550</v>
      </c>
      <c r="H75" s="131">
        <v>51</v>
      </c>
      <c r="I75" s="131">
        <f>Таблица22426[[#This Row],[Стоимость, 
грн]]</f>
        <v>11550</v>
      </c>
      <c r="J75" s="12">
        <f>Таблица22426[[#This Row],[Доход, 
грн/рейс]]/Таблица22426[[#This Row],[Километраж, 
км]]</f>
        <v>226.47058823529412</v>
      </c>
      <c r="K75" s="132">
        <v>11000</v>
      </c>
      <c r="L75" s="12">
        <f>Таблица22426[[#This Row],[СС, 
грн/рейс]]/Таблица22426[[#This Row],[Километраж, 
км]]</f>
        <v>215.68627450980392</v>
      </c>
      <c r="M75" s="134">
        <f>Таблица22426[[#This Row],[Доход, 
грн/рейс]]-Таблица22426[[#This Row],[СС, 
грн/рейс]]</f>
        <v>550</v>
      </c>
      <c r="N75" s="128"/>
    </row>
    <row r="76" spans="1:14" ht="13.2" outlineLevel="1" x14ac:dyDescent="0.25">
      <c r="A76" s="124" t="s">
        <v>293</v>
      </c>
      <c r="B76" s="125" t="s">
        <v>515</v>
      </c>
      <c r="C76" s="126">
        <v>45566</v>
      </c>
      <c r="D76" s="127" t="s">
        <v>561</v>
      </c>
      <c r="E76" s="128" t="s">
        <v>294</v>
      </c>
      <c r="F76" s="129" t="s">
        <v>560</v>
      </c>
      <c r="G76" s="130">
        <v>8600</v>
      </c>
      <c r="H76" s="131">
        <v>40</v>
      </c>
      <c r="I76" s="131">
        <f>Таблица22426[[#This Row],[Стоимость, 
грн]]</f>
        <v>8600</v>
      </c>
      <c r="J76" s="12">
        <f>Таблица22426[[#This Row],[Доход, 
грн/рейс]]/Таблица22426[[#This Row],[Километраж, 
км]]</f>
        <v>215</v>
      </c>
      <c r="K76" s="132">
        <v>8200</v>
      </c>
      <c r="L76" s="12">
        <f>Таблица22426[[#This Row],[СС, 
грн/рейс]]/Таблица22426[[#This Row],[Километраж, 
км]]</f>
        <v>205</v>
      </c>
      <c r="M76" s="134">
        <f>Таблица22426[[#This Row],[Доход, 
грн/рейс]]-Таблица22426[[#This Row],[СС, 
грн/рейс]]</f>
        <v>400</v>
      </c>
      <c r="N76" s="128"/>
    </row>
    <row r="77" spans="1:14" ht="13.2" outlineLevel="1" x14ac:dyDescent="0.25">
      <c r="A77" s="124" t="s">
        <v>293</v>
      </c>
      <c r="B77" s="125" t="s">
        <v>515</v>
      </c>
      <c r="C77" s="126">
        <v>45566</v>
      </c>
      <c r="D77" s="127" t="s">
        <v>554</v>
      </c>
      <c r="E77" s="128" t="s">
        <v>294</v>
      </c>
      <c r="F77" s="129" t="s">
        <v>253</v>
      </c>
      <c r="G77" s="130">
        <v>14700</v>
      </c>
      <c r="H77" s="131">
        <v>70</v>
      </c>
      <c r="I77" s="131">
        <f>Таблица22426[[#This Row],[Стоимость, 
грн]]</f>
        <v>14700</v>
      </c>
      <c r="J77" s="12">
        <f>Таблица22426[[#This Row],[Доход, 
грн/рейс]]/Таблица22426[[#This Row],[Километраж, 
км]]</f>
        <v>210</v>
      </c>
      <c r="K77" s="132">
        <v>14000</v>
      </c>
      <c r="L77" s="12">
        <f>Таблица22426[[#This Row],[СС, 
грн/рейс]]/Таблица22426[[#This Row],[Километраж, 
км]]</f>
        <v>200</v>
      </c>
      <c r="M77" s="134">
        <f>Таблица22426[[#This Row],[Доход, 
грн/рейс]]-Таблица22426[[#This Row],[СС, 
грн/рейс]]</f>
        <v>700</v>
      </c>
      <c r="N77" s="128"/>
    </row>
    <row r="78" spans="1:14" ht="13.2" outlineLevel="1" x14ac:dyDescent="0.25">
      <c r="A78" s="124" t="s">
        <v>293</v>
      </c>
      <c r="B78" s="125" t="s">
        <v>515</v>
      </c>
      <c r="C78" s="126">
        <v>45566</v>
      </c>
      <c r="D78" s="127" t="s">
        <v>589</v>
      </c>
      <c r="E78" s="128" t="s">
        <v>294</v>
      </c>
      <c r="F78" s="129" t="s">
        <v>253</v>
      </c>
      <c r="G78" s="130">
        <v>14700</v>
      </c>
      <c r="H78" s="131">
        <v>64</v>
      </c>
      <c r="I78" s="131">
        <f>Таблица22426[[#This Row],[Стоимость, 
грн]]</f>
        <v>14700</v>
      </c>
      <c r="J78" s="12">
        <f>Таблица22426[[#This Row],[Доход, 
грн/рейс]]/Таблица22426[[#This Row],[Километраж, 
км]]</f>
        <v>229.6875</v>
      </c>
      <c r="K78" s="132">
        <v>14000</v>
      </c>
      <c r="L78" s="12">
        <f>Таблица22426[[#This Row],[СС, 
грн/рейс]]/Таблица22426[[#This Row],[Километраж, 
км]]</f>
        <v>218.75</v>
      </c>
      <c r="M78" s="134">
        <f>Таблица22426[[#This Row],[Доход, 
грн/рейс]]-Таблица22426[[#This Row],[СС, 
грн/рейс]]</f>
        <v>700</v>
      </c>
      <c r="N78" s="128"/>
    </row>
    <row r="79" spans="1:14" ht="13.2" outlineLevel="1" x14ac:dyDescent="0.25">
      <c r="A79" s="124" t="s">
        <v>293</v>
      </c>
      <c r="B79" s="125" t="s">
        <v>515</v>
      </c>
      <c r="C79" s="126">
        <v>45566</v>
      </c>
      <c r="D79" s="127" t="s">
        <v>589</v>
      </c>
      <c r="E79" s="128" t="s">
        <v>294</v>
      </c>
      <c r="F79" s="129" t="s">
        <v>253</v>
      </c>
      <c r="G79" s="130">
        <v>7350</v>
      </c>
      <c r="H79" s="131">
        <v>39</v>
      </c>
      <c r="I79" s="131">
        <f>Таблица22426[[#This Row],[Стоимость, 
грн]]</f>
        <v>7350</v>
      </c>
      <c r="J79" s="12">
        <f>Таблица22426[[#This Row],[Доход, 
грн/рейс]]/Таблица22426[[#This Row],[Километраж, 
км]]</f>
        <v>188.46153846153845</v>
      </c>
      <c r="K79" s="132">
        <v>7000</v>
      </c>
      <c r="L79" s="12">
        <f>Таблица22426[[#This Row],[СС, 
грн/рейс]]/Таблица22426[[#This Row],[Километраж, 
км]]</f>
        <v>179.48717948717947</v>
      </c>
      <c r="M79" s="134">
        <f>Таблица22426[[#This Row],[Доход, 
грн/рейс]]-Таблица22426[[#This Row],[СС, 
грн/рейс]]</f>
        <v>350</v>
      </c>
      <c r="N79" s="128"/>
    </row>
    <row r="80" spans="1:14" ht="13.2" outlineLevel="1" x14ac:dyDescent="0.25">
      <c r="A80" s="124" t="s">
        <v>293</v>
      </c>
      <c r="B80" s="125" t="s">
        <v>515</v>
      </c>
      <c r="C80" s="126">
        <v>45566</v>
      </c>
      <c r="D80" s="127" t="s">
        <v>589</v>
      </c>
      <c r="E80" s="128" t="s">
        <v>593</v>
      </c>
      <c r="F80" s="129" t="s">
        <v>253</v>
      </c>
      <c r="G80" s="130">
        <v>7150</v>
      </c>
      <c r="H80" s="131">
        <v>55</v>
      </c>
      <c r="I80" s="131">
        <f>Таблица22426[[#This Row],[Стоимость, 
грн]]</f>
        <v>7150</v>
      </c>
      <c r="J80" s="12">
        <f>Таблица22426[[#This Row],[Доход, 
грн/рейс]]/Таблица22426[[#This Row],[Километраж, 
км]]</f>
        <v>130</v>
      </c>
      <c r="K80" s="132">
        <v>6800</v>
      </c>
      <c r="L80" s="12">
        <f>Таблица22426[[#This Row],[СС, 
грн/рейс]]/Таблица22426[[#This Row],[Километраж, 
км]]</f>
        <v>123.63636363636364</v>
      </c>
      <c r="M80" s="134">
        <f>Таблица22426[[#This Row],[Доход, 
грн/рейс]]-Таблица22426[[#This Row],[СС, 
грн/рейс]]</f>
        <v>350</v>
      </c>
      <c r="N80" s="128"/>
    </row>
    <row r="81" spans="1:14" ht="13.2" outlineLevel="1" x14ac:dyDescent="0.25">
      <c r="A81" s="124" t="s">
        <v>293</v>
      </c>
      <c r="B81" s="125" t="s">
        <v>515</v>
      </c>
      <c r="C81" s="126">
        <v>45566</v>
      </c>
      <c r="D81" s="127" t="s">
        <v>594</v>
      </c>
      <c r="E81" s="128" t="s">
        <v>593</v>
      </c>
      <c r="F81" s="129" t="s">
        <v>253</v>
      </c>
      <c r="G81" s="130">
        <v>5050</v>
      </c>
      <c r="H81" s="131">
        <v>46</v>
      </c>
      <c r="I81" s="131">
        <f>Таблица22426[[#This Row],[Стоимость, 
грн]]</f>
        <v>5050</v>
      </c>
      <c r="J81" s="12">
        <f>Таблица22426[[#This Row],[Доход, 
грн/рейс]]/Таблица22426[[#This Row],[Километраж, 
км]]</f>
        <v>109.78260869565217</v>
      </c>
      <c r="K81" s="132">
        <v>4800</v>
      </c>
      <c r="L81" s="12">
        <f>Таблица22426[[#This Row],[СС, 
грн/рейс]]/Таблица22426[[#This Row],[Километраж, 
км]]</f>
        <v>104.34782608695652</v>
      </c>
      <c r="M81" s="134">
        <f>Таблица22426[[#This Row],[Доход, 
грн/рейс]]-Таблица22426[[#This Row],[СС, 
грн/рейс]]</f>
        <v>250</v>
      </c>
      <c r="N81" s="128"/>
    </row>
    <row r="82" spans="1:14" ht="13.2" outlineLevel="1" x14ac:dyDescent="0.25">
      <c r="A82" s="124" t="s">
        <v>293</v>
      </c>
      <c r="B82" s="125" t="s">
        <v>515</v>
      </c>
      <c r="C82" s="126">
        <v>45566</v>
      </c>
      <c r="D82" s="127" t="s">
        <v>595</v>
      </c>
      <c r="E82" s="128" t="s">
        <v>596</v>
      </c>
      <c r="F82" s="129" t="s">
        <v>417</v>
      </c>
      <c r="G82" s="130">
        <v>8600</v>
      </c>
      <c r="H82" s="131">
        <v>61</v>
      </c>
      <c r="I82" s="131">
        <f>Таблица22426[[#This Row],[Стоимость, 
грн]]</f>
        <v>8600</v>
      </c>
      <c r="J82" s="12">
        <f>Таблица22426[[#This Row],[Доход, 
грн/рейс]]/Таблица22426[[#This Row],[Километраж, 
км]]</f>
        <v>140.98360655737704</v>
      </c>
      <c r="K82" s="132">
        <v>8200</v>
      </c>
      <c r="L82" s="12">
        <f>Таблица22426[[#This Row],[СС, 
грн/рейс]]/Таблица22426[[#This Row],[Километраж, 
км]]</f>
        <v>134.42622950819671</v>
      </c>
      <c r="M82" s="134">
        <f>Таблица22426[[#This Row],[Доход, 
грн/рейс]]-Таблица22426[[#This Row],[СС, 
грн/рейс]]</f>
        <v>400</v>
      </c>
      <c r="N82" s="128"/>
    </row>
    <row r="83" spans="1:14" ht="13.2" outlineLevel="1" x14ac:dyDescent="0.25">
      <c r="A83" s="124" t="s">
        <v>293</v>
      </c>
      <c r="B83" s="125" t="s">
        <v>515</v>
      </c>
      <c r="C83" s="126">
        <v>45566</v>
      </c>
      <c r="D83" s="127" t="s">
        <v>590</v>
      </c>
      <c r="E83" s="128" t="s">
        <v>593</v>
      </c>
      <c r="F83" s="129" t="s">
        <v>253</v>
      </c>
      <c r="G83" s="130">
        <v>15350</v>
      </c>
      <c r="H83" s="131">
        <v>72</v>
      </c>
      <c r="I83" s="131">
        <f>Таблица22426[[#This Row],[Стоимость, 
грн]]</f>
        <v>15350</v>
      </c>
      <c r="J83" s="12">
        <f>Таблица22426[[#This Row],[Доход, 
грн/рейс]]/Таблица22426[[#This Row],[Километраж, 
км]]</f>
        <v>213.19444444444446</v>
      </c>
      <c r="K83" s="132">
        <v>14600</v>
      </c>
      <c r="L83" s="12">
        <f>Таблица22426[[#This Row],[СС, 
грн/рейс]]/Таблица22426[[#This Row],[Километраж, 
км]]</f>
        <v>202.77777777777777</v>
      </c>
      <c r="M83" s="134">
        <f>Таблица22426[[#This Row],[Доход, 
грн/рейс]]-Таблица22426[[#This Row],[СС, 
грн/рейс]]</f>
        <v>750</v>
      </c>
      <c r="N83" s="128"/>
    </row>
    <row r="84" spans="1:14" ht="13.2" outlineLevel="1" x14ac:dyDescent="0.25">
      <c r="A84" s="124" t="s">
        <v>293</v>
      </c>
      <c r="B84" s="125" t="s">
        <v>515</v>
      </c>
      <c r="C84" s="126">
        <v>45566</v>
      </c>
      <c r="D84" s="127" t="s">
        <v>592</v>
      </c>
      <c r="E84" s="128" t="s">
        <v>593</v>
      </c>
      <c r="F84" s="129" t="s">
        <v>417</v>
      </c>
      <c r="G84" s="130">
        <v>8800</v>
      </c>
      <c r="H84" s="131">
        <v>48</v>
      </c>
      <c r="I84" s="131">
        <f>Таблица22426[[#This Row],[Стоимость, 
грн]]</f>
        <v>8800</v>
      </c>
      <c r="J84" s="12">
        <f>Таблица22426[[#This Row],[Доход, 
грн/рейс]]/Таблица22426[[#This Row],[Километраж, 
км]]</f>
        <v>183.33333333333334</v>
      </c>
      <c r="K84" s="132">
        <v>8400</v>
      </c>
      <c r="L84" s="12">
        <f>Таблица22426[[#This Row],[СС, 
грн/рейс]]/Таблица22426[[#This Row],[Километраж, 
км]]</f>
        <v>175</v>
      </c>
      <c r="M84" s="134">
        <f>Таблица22426[[#This Row],[Доход, 
грн/рейс]]-Таблица22426[[#This Row],[СС, 
грн/рейс]]</f>
        <v>400</v>
      </c>
      <c r="N84" s="128"/>
    </row>
    <row r="85" spans="1:14" ht="13.2" outlineLevel="1" x14ac:dyDescent="0.25">
      <c r="A85" s="124" t="s">
        <v>191</v>
      </c>
      <c r="B85" s="125" t="s">
        <v>515</v>
      </c>
      <c r="C85" s="126">
        <v>45566</v>
      </c>
      <c r="D85" s="127" t="s">
        <v>590</v>
      </c>
      <c r="E85" s="128" t="s">
        <v>429</v>
      </c>
      <c r="F85" s="129" t="s">
        <v>417</v>
      </c>
      <c r="G85" s="130">
        <v>11550</v>
      </c>
      <c r="H85" s="131">
        <v>62</v>
      </c>
      <c r="I85" s="131">
        <f>Таблица22426[[#This Row],[Стоимость, 
грн]]</f>
        <v>11550</v>
      </c>
      <c r="J85" s="12">
        <f>Таблица22426[[#This Row],[Доход, 
грн/рейс]]/Таблица22426[[#This Row],[Километраж, 
км]]</f>
        <v>186.29032258064515</v>
      </c>
      <c r="K85" s="132">
        <v>11000</v>
      </c>
      <c r="L85" s="12">
        <f>Таблица22426[[#This Row],[СС, 
грн/рейс]]/Таблица22426[[#This Row],[Километраж, 
км]]</f>
        <v>177.41935483870967</v>
      </c>
      <c r="M85" s="134">
        <f>Таблица22426[[#This Row],[Доход, 
грн/рейс]]-Таблица22426[[#This Row],[СС, 
грн/рейс]]</f>
        <v>550</v>
      </c>
      <c r="N85" s="128"/>
    </row>
    <row r="86" spans="1:14" ht="13.2" outlineLevel="1" x14ac:dyDescent="0.25">
      <c r="A86" s="124" t="s">
        <v>191</v>
      </c>
      <c r="B86" s="125" t="s">
        <v>515</v>
      </c>
      <c r="C86" s="126">
        <v>45566</v>
      </c>
      <c r="D86" s="127" t="s">
        <v>592</v>
      </c>
      <c r="E86" s="128" t="s">
        <v>440</v>
      </c>
      <c r="F86" s="129" t="s">
        <v>417</v>
      </c>
      <c r="G86" s="130">
        <v>5250</v>
      </c>
      <c r="H86" s="131">
        <v>45</v>
      </c>
      <c r="I86" s="131">
        <f>Таблица22426[[#This Row],[Стоимость, 
грн]]</f>
        <v>5250</v>
      </c>
      <c r="J86" s="12">
        <f>Таблица22426[[#This Row],[Доход, 
грн/рейс]]/Таблица22426[[#This Row],[Километраж, 
км]]</f>
        <v>116.66666666666667</v>
      </c>
      <c r="K86" s="132">
        <v>5000</v>
      </c>
      <c r="L86" s="12">
        <f>Таблица22426[[#This Row],[СС, 
грн/рейс]]/Таблица22426[[#This Row],[Километраж, 
км]]</f>
        <v>111.11111111111111</v>
      </c>
      <c r="M86" s="134">
        <f>Таблица22426[[#This Row],[Доход, 
грн/рейс]]-Таблица22426[[#This Row],[СС, 
грн/рейс]]</f>
        <v>250</v>
      </c>
      <c r="N86" s="128"/>
    </row>
    <row r="87" spans="1:14" ht="13.2" outlineLevel="1" x14ac:dyDescent="0.25">
      <c r="A87" s="124" t="s">
        <v>293</v>
      </c>
      <c r="B87" s="125" t="s">
        <v>515</v>
      </c>
      <c r="C87" s="126">
        <v>45566</v>
      </c>
      <c r="D87" s="127" t="s">
        <v>608</v>
      </c>
      <c r="E87" s="128" t="s">
        <v>593</v>
      </c>
      <c r="F87" s="129" t="s">
        <v>253</v>
      </c>
      <c r="G87" s="130">
        <v>19950</v>
      </c>
      <c r="H87" s="131">
        <v>32</v>
      </c>
      <c r="I87" s="131">
        <f>Таблица22426[[#This Row],[Стоимость, 
грн]]</f>
        <v>19950</v>
      </c>
      <c r="J87" s="12">
        <f>Таблица22426[[#This Row],[Доход, 
грн/рейс]]/Таблица22426[[#This Row],[Километраж, 
км]]</f>
        <v>623.4375</v>
      </c>
      <c r="K87" s="132">
        <v>19000</v>
      </c>
      <c r="L87" s="12">
        <f>Таблица22426[[#This Row],[СС, 
грн/рейс]]/Таблица22426[[#This Row],[Километраж, 
км]]</f>
        <v>593.75</v>
      </c>
      <c r="M87" s="134">
        <f>Таблица22426[[#This Row],[Доход, 
грн/рейс]]-Таблица22426[[#This Row],[СС, 
грн/рейс]]</f>
        <v>950</v>
      </c>
      <c r="N87" s="128"/>
    </row>
    <row r="88" spans="1:14" ht="13.2" outlineLevel="1" x14ac:dyDescent="0.25">
      <c r="A88" s="124" t="s">
        <v>191</v>
      </c>
      <c r="B88" s="125" t="s">
        <v>515</v>
      </c>
      <c r="C88" s="126">
        <v>45566</v>
      </c>
      <c r="D88" s="127" t="s">
        <v>608</v>
      </c>
      <c r="E88" s="128" t="s">
        <v>593</v>
      </c>
      <c r="F88" s="129" t="s">
        <v>560</v>
      </c>
      <c r="G88" s="130">
        <v>10100</v>
      </c>
      <c r="H88" s="131">
        <v>44</v>
      </c>
      <c r="I88" s="131">
        <f>Таблица22426[[#This Row],[Стоимость, 
грн]]</f>
        <v>10100</v>
      </c>
      <c r="J88" s="12">
        <f>Таблица22426[[#This Row],[Доход, 
грн/рейс]]/Таблица22426[[#This Row],[Километраж, 
км]]</f>
        <v>229.54545454545453</v>
      </c>
      <c r="K88" s="132">
        <v>9600</v>
      </c>
      <c r="L88" s="12">
        <f>Таблица22426[[#This Row],[СС, 
грн/рейс]]/Таблица22426[[#This Row],[Километраж, 
км]]</f>
        <v>218.18181818181819</v>
      </c>
      <c r="M88" s="134">
        <f>Таблица22426[[#This Row],[Доход, 
грн/рейс]]-Таблица22426[[#This Row],[СС, 
грн/рейс]]</f>
        <v>500</v>
      </c>
      <c r="N88" s="128"/>
    </row>
    <row r="89" spans="1:14" ht="13.2" outlineLevel="1" x14ac:dyDescent="0.25">
      <c r="A89" s="124" t="s">
        <v>293</v>
      </c>
      <c r="B89" s="125" t="s">
        <v>515</v>
      </c>
      <c r="C89" s="126">
        <v>45566</v>
      </c>
      <c r="D89" s="127" t="s">
        <v>624</v>
      </c>
      <c r="E89" s="128" t="s">
        <v>593</v>
      </c>
      <c r="F89" s="129" t="s">
        <v>560</v>
      </c>
      <c r="G89" s="130">
        <v>10100</v>
      </c>
      <c r="H89" s="131">
        <v>43</v>
      </c>
      <c r="I89" s="131">
        <f>Таблица22426[[#This Row],[Стоимость, 
грн]]</f>
        <v>10100</v>
      </c>
      <c r="J89" s="12">
        <f>Таблица22426[[#This Row],[Доход, 
грн/рейс]]/Таблица22426[[#This Row],[Километраж, 
км]]</f>
        <v>234.88372093023256</v>
      </c>
      <c r="K89" s="132">
        <v>9600</v>
      </c>
      <c r="L89" s="12">
        <f>Таблица22426[[#This Row],[СС, 
грн/рейс]]/Таблица22426[[#This Row],[Километраж, 
км]]</f>
        <v>223.25581395348837</v>
      </c>
      <c r="M89" s="134">
        <f>Таблица22426[[#This Row],[Доход, 
грн/рейс]]-Таблица22426[[#This Row],[СС, 
грн/рейс]]</f>
        <v>500</v>
      </c>
      <c r="N89" s="128"/>
    </row>
    <row r="90" spans="1:14" ht="13.2" outlineLevel="1" x14ac:dyDescent="0.25">
      <c r="A90" s="124" t="s">
        <v>191</v>
      </c>
      <c r="B90" s="125" t="s">
        <v>515</v>
      </c>
      <c r="C90" s="126">
        <v>45566</v>
      </c>
      <c r="D90" s="127" t="s">
        <v>610</v>
      </c>
      <c r="E90" s="128" t="s">
        <v>352</v>
      </c>
      <c r="F90" s="129" t="s">
        <v>417</v>
      </c>
      <c r="G90" s="130">
        <v>16800</v>
      </c>
      <c r="H90" s="131">
        <v>55</v>
      </c>
      <c r="I90" s="131">
        <f>Таблица22426[[#This Row],[Стоимость, 
грн]]</f>
        <v>16800</v>
      </c>
      <c r="J90" s="12">
        <f>Таблица22426[[#This Row],[Доход, 
грн/рейс]]/Таблица22426[[#This Row],[Километраж, 
км]]</f>
        <v>305.45454545454544</v>
      </c>
      <c r="K90" s="132">
        <v>16000</v>
      </c>
      <c r="L90" s="12">
        <f>Таблица22426[[#This Row],[СС, 
грн/рейс]]/Таблица22426[[#This Row],[Километраж, 
км]]</f>
        <v>290.90909090909093</v>
      </c>
      <c r="M90" s="134">
        <f>Таблица22426[[#This Row],[Доход, 
грн/рейс]]-Таблица22426[[#This Row],[СС, 
грн/рейс]]</f>
        <v>800</v>
      </c>
      <c r="N90" s="128"/>
    </row>
    <row r="91" spans="1:14" ht="13.2" outlineLevel="1" x14ac:dyDescent="0.25">
      <c r="A91" s="124" t="s">
        <v>293</v>
      </c>
      <c r="B91" s="125" t="s">
        <v>515</v>
      </c>
      <c r="C91" s="126">
        <v>45566</v>
      </c>
      <c r="D91" s="127" t="s">
        <v>626</v>
      </c>
      <c r="E91" s="128" t="s">
        <v>522</v>
      </c>
      <c r="F91" s="129" t="s">
        <v>417</v>
      </c>
      <c r="G91" s="130">
        <v>14700</v>
      </c>
      <c r="H91" s="131">
        <v>61</v>
      </c>
      <c r="I91" s="131">
        <f>Таблица22426[[#This Row],[Стоимость, 
грн]]</f>
        <v>14700</v>
      </c>
      <c r="J91" s="12">
        <f>Таблица22426[[#This Row],[Доход, 
грн/рейс]]/Таблица22426[[#This Row],[Километраж, 
км]]</f>
        <v>240.98360655737704</v>
      </c>
      <c r="K91" s="132">
        <v>14000</v>
      </c>
      <c r="L91" s="12">
        <f>Таблица22426[[#This Row],[СС, 
грн/рейс]]/Таблица22426[[#This Row],[Километраж, 
км]]</f>
        <v>229.50819672131146</v>
      </c>
      <c r="M91" s="134">
        <f>Таблица22426[[#This Row],[Доход, 
грн/рейс]]-Таблица22426[[#This Row],[СС, 
грн/рейс]]</f>
        <v>700</v>
      </c>
      <c r="N91" s="128"/>
    </row>
    <row r="92" spans="1:14" ht="13.2" outlineLevel="1" x14ac:dyDescent="0.25">
      <c r="A92" s="124" t="s">
        <v>191</v>
      </c>
      <c r="B92" s="125" t="s">
        <v>515</v>
      </c>
      <c r="C92" s="126">
        <v>45566</v>
      </c>
      <c r="D92" s="127" t="s">
        <v>631</v>
      </c>
      <c r="E92" s="128" t="s">
        <v>637</v>
      </c>
      <c r="F92" s="129" t="s">
        <v>253</v>
      </c>
      <c r="G92" s="130">
        <v>27300</v>
      </c>
      <c r="H92" s="131">
        <v>72</v>
      </c>
      <c r="I92" s="131">
        <f>Таблица22426[[#This Row],[Стоимость, 
грн]]</f>
        <v>27300</v>
      </c>
      <c r="J92" s="12">
        <f>Таблица22426[[#This Row],[Доход, 
грн/рейс]]/Таблица22426[[#This Row],[Километраж, 
км]]</f>
        <v>379.16666666666669</v>
      </c>
      <c r="K92" s="132">
        <v>26000</v>
      </c>
      <c r="L92" s="12">
        <f>Таблица22426[[#This Row],[СС, 
грн/рейс]]/Таблица22426[[#This Row],[Километраж, 
км]]</f>
        <v>361.11111111111109</v>
      </c>
      <c r="M92" s="134">
        <f>Таблица22426[[#This Row],[Доход, 
грн/рейс]]-Таблица22426[[#This Row],[СС, 
грн/рейс]]</f>
        <v>1300</v>
      </c>
      <c r="N92" s="128"/>
    </row>
    <row r="93" spans="1:14" ht="13.2" outlineLevel="1" x14ac:dyDescent="0.25">
      <c r="A93" s="124" t="s">
        <v>191</v>
      </c>
      <c r="B93" s="125" t="s">
        <v>515</v>
      </c>
      <c r="C93" s="126">
        <v>45566</v>
      </c>
      <c r="D93" s="127" t="s">
        <v>638</v>
      </c>
      <c r="E93" s="128" t="s">
        <v>425</v>
      </c>
      <c r="F93" s="129" t="s">
        <v>417</v>
      </c>
      <c r="G93" s="130">
        <v>7350</v>
      </c>
      <c r="H93" s="131">
        <v>39</v>
      </c>
      <c r="I93" s="131">
        <f>Таблица22426[[#This Row],[Стоимость, 
грн]]</f>
        <v>7350</v>
      </c>
      <c r="J93" s="12">
        <f>Таблица22426[[#This Row],[Доход, 
грн/рейс]]/Таблица22426[[#This Row],[Километраж, 
км]]</f>
        <v>188.46153846153845</v>
      </c>
      <c r="K93" s="132">
        <v>7000</v>
      </c>
      <c r="L93" s="12">
        <f>Таблица22426[[#This Row],[СС, 
грн/рейс]]/Таблица22426[[#This Row],[Километраж, 
км]]</f>
        <v>179.48717948717947</v>
      </c>
      <c r="M93" s="134">
        <f>Таблица22426[[#This Row],[Доход, 
грн/рейс]]-Таблица22426[[#This Row],[СС, 
грн/рейс]]</f>
        <v>350</v>
      </c>
      <c r="N93" s="128"/>
    </row>
    <row r="94" spans="1:14" ht="13.2" outlineLevel="1" collapsed="1" x14ac:dyDescent="0.25">
      <c r="A94" s="124" t="s">
        <v>555</v>
      </c>
      <c r="B94" s="125" t="s">
        <v>515</v>
      </c>
      <c r="C94" s="126">
        <v>45597</v>
      </c>
      <c r="D94" s="127" t="s">
        <v>636</v>
      </c>
      <c r="E94" s="128" t="s">
        <v>445</v>
      </c>
      <c r="F94" s="129" t="s">
        <v>235</v>
      </c>
      <c r="G94" s="130">
        <v>95000</v>
      </c>
      <c r="H94" s="131">
        <v>400</v>
      </c>
      <c r="I94" s="131">
        <f>Таблица22426[[#This Row],[Стоимость, 
грн]]</f>
        <v>95000</v>
      </c>
      <c r="J94" s="12">
        <f>Таблица22426[[#This Row],[Доход, 
грн/рейс]]/Таблица22426[[#This Row],[Километраж, 
км]]</f>
        <v>237.5</v>
      </c>
      <c r="K94" s="132">
        <v>75000</v>
      </c>
      <c r="L94" s="12">
        <f>Таблица22426[[#This Row],[СС, 
грн/рейс]]/Таблица22426[[#This Row],[Километраж, 
км]]</f>
        <v>187.5</v>
      </c>
      <c r="M94" s="134">
        <f>Таблица22426[[#This Row],[Доход, 
грн/рейс]]-Таблица22426[[#This Row],[СС, 
грн/рейс]]</f>
        <v>20000</v>
      </c>
      <c r="N94" s="128"/>
    </row>
    <row r="95" spans="1:14" ht="13.2" outlineLevel="1" x14ac:dyDescent="0.25">
      <c r="A95" s="124" t="s">
        <v>293</v>
      </c>
      <c r="B95" s="125" t="s">
        <v>515</v>
      </c>
      <c r="C95" s="126">
        <v>45597</v>
      </c>
      <c r="D95" s="127" t="s">
        <v>639</v>
      </c>
      <c r="E95" s="128" t="s">
        <v>294</v>
      </c>
      <c r="F95" s="129" t="s">
        <v>417</v>
      </c>
      <c r="G95" s="130">
        <v>12600</v>
      </c>
      <c r="H95" s="131">
        <v>54</v>
      </c>
      <c r="I95" s="131">
        <f>Таблица22426[[#This Row],[Стоимость, 
грн]]</f>
        <v>12600</v>
      </c>
      <c r="J95" s="12">
        <f>Таблица22426[[#This Row],[Доход, 
грн/рейс]]/Таблица22426[[#This Row],[Километраж, 
км]]</f>
        <v>233.33333333333334</v>
      </c>
      <c r="K95" s="132">
        <v>12000</v>
      </c>
      <c r="L95" s="12">
        <f>Таблица22426[[#This Row],[СС, 
грн/рейс]]/Таблица22426[[#This Row],[Километраж, 
км]]</f>
        <v>222.22222222222223</v>
      </c>
      <c r="M95" s="134">
        <f>Таблица22426[[#This Row],[Доход, 
грн/рейс]]-Таблица22426[[#This Row],[СС, 
грн/рейс]]</f>
        <v>600</v>
      </c>
      <c r="N95" s="128"/>
    </row>
    <row r="96" spans="1:14" ht="13.2" outlineLevel="1" x14ac:dyDescent="0.25">
      <c r="A96" s="124" t="s">
        <v>293</v>
      </c>
      <c r="B96" s="125" t="s">
        <v>515</v>
      </c>
      <c r="C96" s="126">
        <v>45597</v>
      </c>
      <c r="D96" s="127" t="s">
        <v>645</v>
      </c>
      <c r="E96" s="128" t="s">
        <v>294</v>
      </c>
      <c r="F96" s="129" t="s">
        <v>417</v>
      </c>
      <c r="G96" s="130">
        <v>11550</v>
      </c>
      <c r="H96" s="131">
        <v>54</v>
      </c>
      <c r="I96" s="131">
        <f>Таблица22426[[#This Row],[Стоимость, 
грн]]</f>
        <v>11550</v>
      </c>
      <c r="J96" s="12">
        <f>Таблица22426[[#This Row],[Доход, 
грн/рейс]]/Таблица22426[[#This Row],[Километраж, 
км]]</f>
        <v>213.88888888888889</v>
      </c>
      <c r="K96" s="132">
        <v>11000</v>
      </c>
      <c r="L96" s="12">
        <f>Таблица22426[[#This Row],[СС, 
грн/рейс]]/Таблица22426[[#This Row],[Километраж, 
км]]</f>
        <v>203.7037037037037</v>
      </c>
      <c r="M96" s="134">
        <f>Таблица22426[[#This Row],[Доход, 
грн/рейс]]-Таблица22426[[#This Row],[СС, 
грн/рейс]]</f>
        <v>550</v>
      </c>
      <c r="N96" s="128"/>
    </row>
    <row r="97" spans="1:14" ht="13.2" outlineLevel="1" x14ac:dyDescent="0.25">
      <c r="A97" s="124" t="s">
        <v>293</v>
      </c>
      <c r="B97" s="125" t="s">
        <v>515</v>
      </c>
      <c r="C97" s="126">
        <v>45597</v>
      </c>
      <c r="D97" s="127" t="s">
        <v>655</v>
      </c>
      <c r="E97" s="128" t="s">
        <v>294</v>
      </c>
      <c r="F97" s="129" t="s">
        <v>417</v>
      </c>
      <c r="G97" s="130">
        <v>8100</v>
      </c>
      <c r="H97" s="131">
        <v>39</v>
      </c>
      <c r="I97" s="131">
        <f>Таблица22426[[#This Row],[Стоимость, 
грн]]</f>
        <v>8100</v>
      </c>
      <c r="J97" s="12">
        <f>Таблица22426[[#This Row],[Доход, 
грн/рейс]]/Таблица22426[[#This Row],[Километраж, 
км]]</f>
        <v>207.69230769230768</v>
      </c>
      <c r="K97" s="132">
        <v>7700</v>
      </c>
      <c r="L97" s="12">
        <f>Таблица22426[[#This Row],[СС, 
грн/рейс]]/Таблица22426[[#This Row],[Километраж, 
км]]</f>
        <v>197.43589743589743</v>
      </c>
      <c r="M97" s="134">
        <f>Таблица22426[[#This Row],[Доход, 
грн/рейс]]-Таблица22426[[#This Row],[СС, 
грн/рейс]]</f>
        <v>400</v>
      </c>
      <c r="N97" s="128"/>
    </row>
    <row r="98" spans="1:14" ht="13.2" outlineLevel="1" x14ac:dyDescent="0.25">
      <c r="A98" s="124" t="s">
        <v>630</v>
      </c>
      <c r="B98" s="125" t="s">
        <v>19</v>
      </c>
      <c r="C98" s="126">
        <v>45597</v>
      </c>
      <c r="D98" s="127" t="s">
        <v>656</v>
      </c>
      <c r="E98" s="128" t="s">
        <v>657</v>
      </c>
      <c r="F98" s="129" t="s">
        <v>658</v>
      </c>
      <c r="G98" s="130">
        <v>17500</v>
      </c>
      <c r="H98" s="131">
        <v>65</v>
      </c>
      <c r="I98" s="131">
        <f>Таблица22426[[#This Row],[Стоимость, 
грн]]</f>
        <v>17500</v>
      </c>
      <c r="J98" s="12">
        <f>Таблица22426[[#This Row],[Доход, 
грн/рейс]]/Таблица22426[[#This Row],[Километраж, 
км]]</f>
        <v>269.23076923076923</v>
      </c>
      <c r="K98" s="132">
        <v>16000</v>
      </c>
      <c r="L98" s="12">
        <f>Таблица22426[[#This Row],[СС, 
грн/рейс]]/Таблица22426[[#This Row],[Километраж, 
км]]</f>
        <v>246.15384615384616</v>
      </c>
      <c r="M98" s="134">
        <f>Таблица22426[[#This Row],[Доход, 
грн/рейс]]-Таблица22426[[#This Row],[СС, 
грн/рейс]]</f>
        <v>1500</v>
      </c>
      <c r="N98" s="128"/>
    </row>
    <row r="99" spans="1:14" ht="13.2" outlineLevel="1" x14ac:dyDescent="0.25">
      <c r="A99" s="124" t="s">
        <v>293</v>
      </c>
      <c r="B99" s="125" t="s">
        <v>515</v>
      </c>
      <c r="C99" s="126">
        <v>45597</v>
      </c>
      <c r="D99" s="127" t="s">
        <v>656</v>
      </c>
      <c r="E99" s="128" t="s">
        <v>294</v>
      </c>
      <c r="F99" s="129" t="s">
        <v>417</v>
      </c>
      <c r="G99" s="130">
        <v>15000</v>
      </c>
      <c r="H99" s="131">
        <v>71</v>
      </c>
      <c r="I99" s="131">
        <f>Таблица22426[[#This Row],[Стоимость, 
грн]]</f>
        <v>15000</v>
      </c>
      <c r="J99" s="12">
        <f>Таблица22426[[#This Row],[Доход, 
грн/рейс]]/Таблица22426[[#This Row],[Километраж, 
км]]</f>
        <v>211.26760563380282</v>
      </c>
      <c r="K99" s="132">
        <v>14300</v>
      </c>
      <c r="L99" s="12">
        <f>Таблица22426[[#This Row],[СС, 
грн/рейс]]/Таблица22426[[#This Row],[Километраж, 
км]]</f>
        <v>201.40845070422534</v>
      </c>
      <c r="M99" s="134">
        <f>Таблица22426[[#This Row],[Доход, 
грн/рейс]]-Таблица22426[[#This Row],[СС, 
грн/рейс]]</f>
        <v>700</v>
      </c>
      <c r="N99" s="128"/>
    </row>
    <row r="100" spans="1:14" ht="13.2" outlineLevel="1" x14ac:dyDescent="0.25">
      <c r="A100" s="124" t="s">
        <v>555</v>
      </c>
      <c r="B100" s="125" t="s">
        <v>526</v>
      </c>
      <c r="C100" s="126">
        <v>45597</v>
      </c>
      <c r="D100" s="127" t="s">
        <v>659</v>
      </c>
      <c r="E100" s="128" t="s">
        <v>660</v>
      </c>
      <c r="F100" s="129" t="s">
        <v>661</v>
      </c>
      <c r="G100" s="130">
        <v>27000</v>
      </c>
      <c r="H100" s="131">
        <v>315</v>
      </c>
      <c r="I100" s="131">
        <f>Таблица22426[[#This Row],[Стоимость, 
грн]]</f>
        <v>27000</v>
      </c>
      <c r="J100" s="12">
        <f>Таблица22426[[#This Row],[Доход, 
грн/рейс]]/Таблица22426[[#This Row],[Километраж, 
км]]</f>
        <v>85.714285714285708</v>
      </c>
      <c r="K100" s="132">
        <v>24000</v>
      </c>
      <c r="L100" s="12">
        <f>Таблица22426[[#This Row],[СС, 
грн/рейс]]/Таблица22426[[#This Row],[Километраж, 
км]]</f>
        <v>76.19047619047619</v>
      </c>
      <c r="M100" s="134">
        <f>Таблица22426[[#This Row],[Доход, 
грн/рейс]]-Таблица22426[[#This Row],[СС, 
грн/рейс]]</f>
        <v>3000</v>
      </c>
      <c r="N100" s="128"/>
    </row>
    <row r="101" spans="1:14" ht="13.2" outlineLevel="1" x14ac:dyDescent="0.25">
      <c r="A101" s="124" t="s">
        <v>293</v>
      </c>
      <c r="B101" s="125" t="s">
        <v>515</v>
      </c>
      <c r="C101" s="126">
        <v>45597</v>
      </c>
      <c r="D101" s="127" t="s">
        <v>647</v>
      </c>
      <c r="E101" s="128" t="s">
        <v>294</v>
      </c>
      <c r="F101" s="129" t="s">
        <v>417</v>
      </c>
      <c r="G101" s="130">
        <v>11550</v>
      </c>
      <c r="H101" s="131">
        <v>54</v>
      </c>
      <c r="I101" s="131">
        <f>Таблица22426[[#This Row],[Стоимость, 
грн]]</f>
        <v>11550</v>
      </c>
      <c r="J101" s="12">
        <f>Таблица22426[[#This Row],[Доход, 
грн/рейс]]/Таблица22426[[#This Row],[Километраж, 
км]]</f>
        <v>213.88888888888889</v>
      </c>
      <c r="K101" s="132">
        <v>11000</v>
      </c>
      <c r="L101" s="12">
        <f>Таблица22426[[#This Row],[СС, 
грн/рейс]]/Таблица22426[[#This Row],[Километраж, 
км]]</f>
        <v>203.7037037037037</v>
      </c>
      <c r="M101" s="134">
        <f>Таблица22426[[#This Row],[Доход, 
грн/рейс]]-Таблица22426[[#This Row],[СС, 
грн/рейс]]</f>
        <v>550</v>
      </c>
      <c r="N101" s="128"/>
    </row>
    <row r="102" spans="1:14" ht="13.2" outlineLevel="1" x14ac:dyDescent="0.25">
      <c r="A102" s="124" t="s">
        <v>191</v>
      </c>
      <c r="B102" s="125" t="s">
        <v>515</v>
      </c>
      <c r="C102" s="126">
        <v>45597</v>
      </c>
      <c r="D102" s="127" t="s">
        <v>649</v>
      </c>
      <c r="E102" s="128" t="s">
        <v>559</v>
      </c>
      <c r="F102" s="129" t="s">
        <v>417</v>
      </c>
      <c r="G102" s="130">
        <v>15750</v>
      </c>
      <c r="H102" s="131">
        <v>49</v>
      </c>
      <c r="I102" s="131">
        <f>Таблица22426[[#This Row],[Стоимость, 
грн]]</f>
        <v>15750</v>
      </c>
      <c r="J102" s="12">
        <f>Таблица22426[[#This Row],[Доход, 
грн/рейс]]/Таблица22426[[#This Row],[Километраж, 
км]]</f>
        <v>321.42857142857144</v>
      </c>
      <c r="K102" s="132">
        <v>15000</v>
      </c>
      <c r="L102" s="12">
        <f>Таблица22426[[#This Row],[СС, 
грн/рейс]]/Таблица22426[[#This Row],[Километраж, 
км]]</f>
        <v>306.12244897959181</v>
      </c>
      <c r="M102" s="134">
        <f>Таблица22426[[#This Row],[Доход, 
грн/рейс]]-Таблица22426[[#This Row],[СС, 
грн/рейс]]</f>
        <v>750</v>
      </c>
      <c r="N102" s="128"/>
    </row>
    <row r="103" spans="1:14" ht="13.2" outlineLevel="1" x14ac:dyDescent="0.25">
      <c r="A103" s="124" t="s">
        <v>441</v>
      </c>
      <c r="B103" s="125" t="s">
        <v>515</v>
      </c>
      <c r="C103" s="126">
        <v>45597</v>
      </c>
      <c r="D103" s="127" t="s">
        <v>653</v>
      </c>
      <c r="E103" s="128" t="s">
        <v>662</v>
      </c>
      <c r="F103" s="129" t="s">
        <v>253</v>
      </c>
      <c r="G103" s="130">
        <v>5000</v>
      </c>
      <c r="H103" s="131">
        <v>18</v>
      </c>
      <c r="I103" s="131">
        <f>Таблица22426[[#This Row],[Стоимость, 
грн]]</f>
        <v>5000</v>
      </c>
      <c r="J103" s="12">
        <f>Таблица22426[[#This Row],[Доход, 
грн/рейс]]/Таблица22426[[#This Row],[Километраж, 
км]]</f>
        <v>277.77777777777777</v>
      </c>
      <c r="K103" s="132">
        <v>5000</v>
      </c>
      <c r="L103" s="12">
        <f>Таблица22426[[#This Row],[СС, 
грн/рейс]]/Таблица22426[[#This Row],[Километраж, 
км]]</f>
        <v>277.77777777777777</v>
      </c>
      <c r="M103" s="134">
        <f>Таблица22426[[#This Row],[Доход, 
грн/рейс]]-Таблица22426[[#This Row],[СС, 
грн/рейс]]</f>
        <v>0</v>
      </c>
      <c r="N103" s="128"/>
    </row>
    <row r="104" spans="1:14" ht="13.2" outlineLevel="1" x14ac:dyDescent="0.25">
      <c r="A104" s="124" t="s">
        <v>555</v>
      </c>
      <c r="B104" s="125" t="s">
        <v>526</v>
      </c>
      <c r="C104" s="126">
        <v>45597</v>
      </c>
      <c r="D104" s="127" t="s">
        <v>663</v>
      </c>
      <c r="E104" s="128" t="s">
        <v>445</v>
      </c>
      <c r="F104" s="129" t="s">
        <v>664</v>
      </c>
      <c r="G104" s="130">
        <v>32000</v>
      </c>
      <c r="H104" s="131">
        <v>400</v>
      </c>
      <c r="I104" s="131">
        <f>Таблица22426[[#This Row],[Стоимость, 
грн]]</f>
        <v>32000</v>
      </c>
      <c r="J104" s="12">
        <f>Таблица22426[[#This Row],[Доход, 
грн/рейс]]/Таблица22426[[#This Row],[Километраж, 
км]]</f>
        <v>80</v>
      </c>
      <c r="K104" s="132">
        <v>29000</v>
      </c>
      <c r="L104" s="133">
        <f>Таблица22426[[#This Row],[СС, 
грн/рейс]]/Таблица22426[[#This Row],[Километраж, 
км]]</f>
        <v>72.5</v>
      </c>
      <c r="M104" s="134">
        <f>Таблица22426[[#This Row],[Доход, 
грн/рейс]]-Таблица22426[[#This Row],[СС, 
грн/рейс]]</f>
        <v>3000</v>
      </c>
      <c r="N104" s="128"/>
    </row>
    <row r="105" spans="1:14" ht="13.2" outlineLevel="1" x14ac:dyDescent="0.25">
      <c r="A105" s="124" t="s">
        <v>293</v>
      </c>
      <c r="B105" s="125" t="s">
        <v>515</v>
      </c>
      <c r="C105" s="126">
        <v>45597</v>
      </c>
      <c r="D105" s="127" t="s">
        <v>654</v>
      </c>
      <c r="E105" s="128" t="s">
        <v>294</v>
      </c>
      <c r="F105" s="129" t="s">
        <v>417</v>
      </c>
      <c r="G105" s="130">
        <v>10400</v>
      </c>
      <c r="H105" s="131">
        <v>49</v>
      </c>
      <c r="I105" s="131">
        <f>Таблица22426[[#This Row],[Стоимость, 
грн]]</f>
        <v>10400</v>
      </c>
      <c r="J105" s="12">
        <f>Таблица22426[[#This Row],[Доход, 
грн/рейс]]/Таблица22426[[#This Row],[Километраж, 
км]]</f>
        <v>212.24489795918367</v>
      </c>
      <c r="K105" s="132">
        <v>9900</v>
      </c>
      <c r="L105" s="133">
        <f>Таблица22426[[#This Row],[СС, 
грн/рейс]]/Таблица22426[[#This Row],[Километраж, 
км]]</f>
        <v>202.0408163265306</v>
      </c>
      <c r="M105" s="134">
        <f>Таблица22426[[#This Row],[Доход, 
грн/рейс]]-Таблица22426[[#This Row],[СС, 
грн/рейс]]</f>
        <v>500</v>
      </c>
      <c r="N105" s="128"/>
    </row>
    <row r="106" spans="1:14" ht="13.2" outlineLevel="1" x14ac:dyDescent="0.25">
      <c r="A106" s="124" t="s">
        <v>293</v>
      </c>
      <c r="B106" s="125" t="s">
        <v>515</v>
      </c>
      <c r="C106" s="126">
        <v>45597</v>
      </c>
      <c r="D106" s="127" t="s">
        <v>677</v>
      </c>
      <c r="E106" s="128" t="s">
        <v>294</v>
      </c>
      <c r="F106" s="129" t="s">
        <v>253</v>
      </c>
      <c r="G106" s="130">
        <v>19850</v>
      </c>
      <c r="H106" s="131">
        <v>52</v>
      </c>
      <c r="I106" s="131">
        <f>Таблица22426[[#This Row],[Стоимость, 
грн]]</f>
        <v>19850</v>
      </c>
      <c r="J106" s="12">
        <f>Таблица22426[[#This Row],[Доход, 
грн/рейс]]/Таблица22426[[#This Row],[Километраж, 
км]]</f>
        <v>381.73076923076923</v>
      </c>
      <c r="K106" s="132">
        <v>18900</v>
      </c>
      <c r="L106" s="133">
        <f>Таблица22426[[#This Row],[СС, 
грн/рейс]]/Таблица22426[[#This Row],[Километраж, 
км]]</f>
        <v>363.46153846153845</v>
      </c>
      <c r="M106" s="134">
        <f>Таблица22426[[#This Row],[Доход, 
грн/рейс]]-Таблица22426[[#This Row],[СС, 
грн/рейс]]</f>
        <v>950</v>
      </c>
      <c r="N106" s="128"/>
    </row>
    <row r="107" spans="1:14" ht="13.2" outlineLevel="1" x14ac:dyDescent="0.25">
      <c r="A107" s="124" t="s">
        <v>293</v>
      </c>
      <c r="B107" s="125" t="s">
        <v>515</v>
      </c>
      <c r="C107" s="126">
        <v>45597</v>
      </c>
      <c r="D107" s="127" t="s">
        <v>678</v>
      </c>
      <c r="E107" s="128" t="s">
        <v>294</v>
      </c>
      <c r="F107" s="129" t="s">
        <v>253</v>
      </c>
      <c r="G107" s="130">
        <v>19850</v>
      </c>
      <c r="H107" s="131">
        <v>47</v>
      </c>
      <c r="I107" s="131">
        <f>Таблица22426[[#This Row],[Стоимость, 
грн]]</f>
        <v>19850</v>
      </c>
      <c r="J107" s="12">
        <f>Таблица22426[[#This Row],[Доход, 
грн/рейс]]/Таблица22426[[#This Row],[Километраж, 
км]]</f>
        <v>422.34042553191489</v>
      </c>
      <c r="K107" s="132">
        <v>18900</v>
      </c>
      <c r="L107" s="133">
        <f>Таблица22426[[#This Row],[СС, 
грн/рейс]]/Таблица22426[[#This Row],[Километраж, 
км]]</f>
        <v>402.12765957446811</v>
      </c>
      <c r="M107" s="134">
        <f>Таблица22426[[#This Row],[Доход, 
грн/рейс]]-Таблица22426[[#This Row],[СС, 
грн/рейс]]</f>
        <v>950</v>
      </c>
      <c r="N107" s="128"/>
    </row>
    <row r="108" spans="1:14" ht="13.2" outlineLevel="1" x14ac:dyDescent="0.25">
      <c r="A108" s="124" t="s">
        <v>293</v>
      </c>
      <c r="B108" s="125" t="s">
        <v>515</v>
      </c>
      <c r="C108" s="126">
        <v>45597</v>
      </c>
      <c r="D108" s="127" t="s">
        <v>683</v>
      </c>
      <c r="E108" s="128" t="s">
        <v>294</v>
      </c>
      <c r="F108" s="129" t="s">
        <v>253</v>
      </c>
      <c r="G108" s="130">
        <v>13200</v>
      </c>
      <c r="H108" s="131">
        <v>50</v>
      </c>
      <c r="I108" s="131">
        <f>Таблица22426[[#This Row],[Стоимость, 
грн]]</f>
        <v>13200</v>
      </c>
      <c r="J108" s="12">
        <f>Таблица22426[[#This Row],[Доход, 
грн/рейс]]/Таблица22426[[#This Row],[Километраж, 
км]]</f>
        <v>264</v>
      </c>
      <c r="K108" s="132">
        <v>12600</v>
      </c>
      <c r="L108" s="133">
        <f>Таблица22426[[#This Row],[СС, 
грн/рейс]]/Таблица22426[[#This Row],[Километраж, 
км]]</f>
        <v>252</v>
      </c>
      <c r="M108" s="134">
        <f>Таблица22426[[#This Row],[Доход, 
грн/рейс]]-Таблица22426[[#This Row],[СС, 
грн/рейс]]</f>
        <v>600</v>
      </c>
      <c r="N108" s="128"/>
    </row>
    <row r="109" spans="1:14" ht="13.2" outlineLevel="1" x14ac:dyDescent="0.25">
      <c r="A109" s="124" t="s">
        <v>293</v>
      </c>
      <c r="B109" s="125" t="s">
        <v>515</v>
      </c>
      <c r="C109" s="126">
        <v>45597</v>
      </c>
      <c r="D109" s="127" t="s">
        <v>687</v>
      </c>
      <c r="E109" s="128" t="s">
        <v>294</v>
      </c>
      <c r="F109" s="129" t="s">
        <v>253</v>
      </c>
      <c r="G109" s="130">
        <v>19850</v>
      </c>
      <c r="H109" s="131">
        <v>50</v>
      </c>
      <c r="I109" s="131">
        <f>Таблица22426[[#This Row],[Стоимость, 
грн]]</f>
        <v>19850</v>
      </c>
      <c r="J109" s="12">
        <f>Таблица22426[[#This Row],[Доход, 
грн/рейс]]/Таблица22426[[#This Row],[Километраж, 
км]]</f>
        <v>397</v>
      </c>
      <c r="K109" s="132">
        <v>18900</v>
      </c>
      <c r="L109" s="133">
        <f>Таблица22426[[#This Row],[СС, 
грн/рейс]]/Таблица22426[[#This Row],[Километраж, 
км]]</f>
        <v>378</v>
      </c>
      <c r="M109" s="134">
        <f>Таблица22426[[#This Row],[Доход, 
грн/рейс]]-Таблица22426[[#This Row],[СС, 
грн/рейс]]</f>
        <v>950</v>
      </c>
      <c r="N109" s="128"/>
    </row>
    <row r="110" spans="1:14" ht="13.2" outlineLevel="1" x14ac:dyDescent="0.25">
      <c r="A110" s="124" t="s">
        <v>293</v>
      </c>
      <c r="B110" s="125" t="s">
        <v>515</v>
      </c>
      <c r="C110" s="126">
        <v>45597</v>
      </c>
      <c r="D110" s="127" t="s">
        <v>687</v>
      </c>
      <c r="E110" s="128" t="s">
        <v>294</v>
      </c>
      <c r="F110" s="129" t="s">
        <v>560</v>
      </c>
      <c r="G110" s="130">
        <v>6300</v>
      </c>
      <c r="H110" s="131">
        <v>42</v>
      </c>
      <c r="I110" s="131">
        <f>Таблица22426[[#This Row],[Стоимость, 
грн]]</f>
        <v>6300</v>
      </c>
      <c r="J110" s="12">
        <f>Таблица22426[[#This Row],[Доход, 
грн/рейс]]/Таблица22426[[#This Row],[Километраж, 
км]]</f>
        <v>150</v>
      </c>
      <c r="K110" s="132">
        <v>6000</v>
      </c>
      <c r="L110" s="133">
        <f>Таблица22426[[#This Row],[СС, 
грн/рейс]]/Таблица22426[[#This Row],[Километраж, 
км]]</f>
        <v>142.85714285714286</v>
      </c>
      <c r="M110" s="134">
        <f>Таблица22426[[#This Row],[Доход, 
грн/рейс]]-Таблица22426[[#This Row],[СС, 
грн/рейс]]</f>
        <v>300</v>
      </c>
      <c r="N110" s="128"/>
    </row>
    <row r="111" spans="1:14" ht="13.2" x14ac:dyDescent="0.25">
      <c r="A111" s="124" t="s">
        <v>310</v>
      </c>
      <c r="B111" s="125" t="s">
        <v>19</v>
      </c>
      <c r="C111" s="126">
        <v>45627</v>
      </c>
      <c r="D111" s="127" t="s">
        <v>700</v>
      </c>
      <c r="E111" s="128" t="s">
        <v>666</v>
      </c>
      <c r="F111" s="129" t="s">
        <v>701</v>
      </c>
      <c r="G111" s="130">
        <v>7150</v>
      </c>
      <c r="H111" s="131">
        <v>90</v>
      </c>
      <c r="I111" s="131">
        <f>Таблица22426[[#This Row],[Стоимость, 
грн]]</f>
        <v>7150</v>
      </c>
      <c r="J111" s="12">
        <f>Таблица22426[[#This Row],[Доход, 
грн/рейс]]/Таблица22426[[#This Row],[Километраж, 
км]]</f>
        <v>79.444444444444443</v>
      </c>
      <c r="K111" s="132">
        <v>6500</v>
      </c>
      <c r="L111" s="133">
        <f>Таблица22426[[#This Row],[СС, 
грн/рейс]]/Таблица22426[[#This Row],[Километраж, 
км]]</f>
        <v>72.222222222222229</v>
      </c>
      <c r="M111" s="134">
        <f>Таблица22426[[#This Row],[Доход, 
грн/рейс]]-Таблица22426[[#This Row],[СС, 
грн/рейс]]</f>
        <v>650</v>
      </c>
      <c r="N111" s="128"/>
    </row>
    <row r="112" spans="1:14" ht="13.2" x14ac:dyDescent="0.25">
      <c r="A112" s="124" t="s">
        <v>310</v>
      </c>
      <c r="B112" s="125" t="s">
        <v>526</v>
      </c>
      <c r="C112" s="126">
        <v>45627</v>
      </c>
      <c r="D112" s="127" t="s">
        <v>711</v>
      </c>
      <c r="E112" s="128" t="s">
        <v>712</v>
      </c>
      <c r="F112" s="129" t="s">
        <v>713</v>
      </c>
      <c r="G112" s="130">
        <v>7000</v>
      </c>
      <c r="H112" s="131">
        <v>70</v>
      </c>
      <c r="I112" s="131">
        <f>Таблица22426[[#This Row],[Стоимость, 
грн]]</f>
        <v>7000</v>
      </c>
      <c r="J112" s="12">
        <f>Таблица22426[[#This Row],[Доход, 
грн/рейс]]/Таблица22426[[#This Row],[Километраж, 
км]]</f>
        <v>100</v>
      </c>
      <c r="K112" s="132">
        <v>7000</v>
      </c>
      <c r="L112" s="133">
        <f>Таблица22426[[#This Row],[СС, 
грн/рейс]]/Таблица22426[[#This Row],[Километраж, 
км]]</f>
        <v>100</v>
      </c>
      <c r="M112" s="134">
        <f>Таблица22426[[#This Row],[Доход, 
грн/рейс]]-Таблица22426[[#This Row],[СС, 
грн/рейс]]</f>
        <v>0</v>
      </c>
      <c r="N112" s="128"/>
    </row>
    <row r="113" spans="1:14" ht="13.2" x14ac:dyDescent="0.25">
      <c r="A113" s="124" t="s">
        <v>708</v>
      </c>
      <c r="B113" s="125" t="s">
        <v>526</v>
      </c>
      <c r="C113" s="175"/>
      <c r="D113" s="152" t="s">
        <v>700</v>
      </c>
      <c r="E113" s="128" t="s">
        <v>715</v>
      </c>
      <c r="F113" s="129" t="s">
        <v>388</v>
      </c>
      <c r="G113" s="163">
        <v>5900</v>
      </c>
      <c r="H113" s="164">
        <v>34</v>
      </c>
      <c r="I113" s="164">
        <f>Таблица22426[[#This Row],[Стоимость, 
грн]]</f>
        <v>5900</v>
      </c>
      <c r="J113" s="165">
        <f>Таблица22426[[#This Row],[Доход, 
грн/рейс]]/Таблица22426[[#This Row],[Километраж, 
км]]</f>
        <v>173.52941176470588</v>
      </c>
      <c r="K113" s="165">
        <v>5600</v>
      </c>
      <c r="L113" s="166">
        <f>Таблица22426[[#This Row],[СС, 
грн/рейс]]/Таблица22426[[#This Row],[Километраж, 
км]]</f>
        <v>164.70588235294119</v>
      </c>
      <c r="M113" s="167">
        <f>Таблица22426[[#This Row],[Доход, 
грн/рейс]]-Таблица22426[[#This Row],[СС, 
грн/рейс]]</f>
        <v>300</v>
      </c>
      <c r="N113" s="162"/>
    </row>
    <row r="114" spans="1:14" ht="13.2" x14ac:dyDescent="0.25">
      <c r="A114" s="124" t="s">
        <v>708</v>
      </c>
      <c r="B114" s="125" t="s">
        <v>515</v>
      </c>
      <c r="C114" s="126">
        <v>45627</v>
      </c>
      <c r="D114" s="152" t="s">
        <v>700</v>
      </c>
      <c r="E114" s="128" t="s">
        <v>715</v>
      </c>
      <c r="F114" s="129" t="s">
        <v>716</v>
      </c>
      <c r="G114" s="163">
        <v>37150</v>
      </c>
      <c r="H114" s="164">
        <v>144</v>
      </c>
      <c r="I114" s="164">
        <f>Таблица22426[[#This Row],[Стоимость, 
грн]]</f>
        <v>37150</v>
      </c>
      <c r="J114" s="165">
        <f>Таблица22426[[#This Row],[Доход, 
грн/рейс]]/Таблица22426[[#This Row],[Километраж, 
км]]</f>
        <v>257.98611111111109</v>
      </c>
      <c r="K114" s="165">
        <v>35400</v>
      </c>
      <c r="L114" s="166">
        <f>Таблица22426[[#This Row],[СС, 
грн/рейс]]/Таблица22426[[#This Row],[Километраж, 
км]]</f>
        <v>245.83333333333334</v>
      </c>
      <c r="M114" s="167">
        <f>Таблица22426[[#This Row],[Доход, 
грн/рейс]]-Таблица22426[[#This Row],[СС, 
грн/рейс]]</f>
        <v>1750</v>
      </c>
      <c r="N114" s="162"/>
    </row>
    <row r="115" spans="1:14" ht="13.2" x14ac:dyDescent="0.25">
      <c r="A115" s="124" t="s">
        <v>708</v>
      </c>
      <c r="B115" s="125" t="s">
        <v>526</v>
      </c>
      <c r="C115" s="126">
        <v>45627</v>
      </c>
      <c r="D115" s="127" t="s">
        <v>714</v>
      </c>
      <c r="E115" s="128" t="s">
        <v>715</v>
      </c>
      <c r="F115" s="129" t="s">
        <v>716</v>
      </c>
      <c r="G115" s="130">
        <v>17650</v>
      </c>
      <c r="H115" s="131">
        <v>32</v>
      </c>
      <c r="I115" s="131">
        <f>Таблица22426[[#This Row],[Стоимость, 
грн]]</f>
        <v>17650</v>
      </c>
      <c r="J115" s="12">
        <f>Таблица22426[[#This Row],[Доход, 
грн/рейс]]/Таблица22426[[#This Row],[Километраж, 
км]]</f>
        <v>551.5625</v>
      </c>
      <c r="K115" s="132">
        <v>16800</v>
      </c>
      <c r="L115" s="133">
        <f>Таблица22426[[#This Row],[СС, 
грн/рейс]]/Таблица22426[[#This Row],[Километраж, 
км]]</f>
        <v>525</v>
      </c>
      <c r="M115" s="134">
        <f>Таблица22426[[#This Row],[Доход, 
грн/рейс]]-Таблица22426[[#This Row],[СС, 
грн/рейс]]</f>
        <v>850</v>
      </c>
      <c r="N115" s="128"/>
    </row>
    <row r="116" spans="1:14" ht="13.2" x14ac:dyDescent="0.25">
      <c r="A116" s="124" t="s">
        <v>708</v>
      </c>
      <c r="B116" s="125" t="s">
        <v>526</v>
      </c>
      <c r="C116" s="126">
        <v>45627</v>
      </c>
      <c r="D116" s="127" t="s">
        <v>717</v>
      </c>
      <c r="E116" s="128" t="s">
        <v>715</v>
      </c>
      <c r="F116" s="129" t="s">
        <v>716</v>
      </c>
      <c r="G116" s="130">
        <v>17650</v>
      </c>
      <c r="H116" s="131">
        <v>32</v>
      </c>
      <c r="I116" s="131">
        <f>Таблица22426[[#This Row],[Стоимость, 
грн]]</f>
        <v>17650</v>
      </c>
      <c r="J116" s="12">
        <f>Таблица22426[[#This Row],[Доход, 
грн/рейс]]/Таблица22426[[#This Row],[Километраж, 
км]]</f>
        <v>551.5625</v>
      </c>
      <c r="K116" s="132">
        <v>16800</v>
      </c>
      <c r="L116" s="133">
        <f>Таблица22426[[#This Row],[СС, 
грн/рейс]]/Таблица22426[[#This Row],[Километраж, 
км]]</f>
        <v>525</v>
      </c>
      <c r="M116" s="134">
        <f>Таблица22426[[#This Row],[Доход, 
грн/рейс]]-Таблица22426[[#This Row],[СС, 
грн/рейс]]</f>
        <v>850</v>
      </c>
      <c r="N116" s="128"/>
    </row>
    <row r="117" spans="1:14" ht="13.2" x14ac:dyDescent="0.25">
      <c r="A117" s="124" t="s">
        <v>708</v>
      </c>
      <c r="B117" s="125" t="s">
        <v>526</v>
      </c>
      <c r="C117" s="126">
        <v>45627</v>
      </c>
      <c r="D117" s="127" t="s">
        <v>717</v>
      </c>
      <c r="E117" s="128" t="s">
        <v>715</v>
      </c>
      <c r="F117" s="129" t="s">
        <v>388</v>
      </c>
      <c r="G117" s="130">
        <v>10700</v>
      </c>
      <c r="H117" s="131">
        <v>46</v>
      </c>
      <c r="I117" s="131">
        <f>Таблица22426[[#This Row],[Стоимость, 
грн]]</f>
        <v>10700</v>
      </c>
      <c r="J117" s="12">
        <f>Таблица22426[[#This Row],[Доход, 
грн/рейс]]/Таблица22426[[#This Row],[Километраж, 
км]]</f>
        <v>232.60869565217391</v>
      </c>
      <c r="K117" s="132">
        <v>10200</v>
      </c>
      <c r="L117" s="133">
        <f>Таблица22426[[#This Row],[СС, 
грн/рейс]]/Таблица22426[[#This Row],[Километраж, 
км]]</f>
        <v>221.7391304347826</v>
      </c>
      <c r="M117" s="134">
        <f>Таблица22426[[#This Row],[Доход, 
грн/рейс]]-Таблица22426[[#This Row],[СС, 
грн/рейс]]</f>
        <v>500</v>
      </c>
      <c r="N117" s="128"/>
    </row>
    <row r="118" spans="1:14" ht="13.2" x14ac:dyDescent="0.25">
      <c r="A118" s="124" t="s">
        <v>708</v>
      </c>
      <c r="B118" s="125" t="s">
        <v>526</v>
      </c>
      <c r="C118" s="126">
        <v>45627</v>
      </c>
      <c r="D118" s="127" t="s">
        <v>718</v>
      </c>
      <c r="E118" s="128" t="s">
        <v>715</v>
      </c>
      <c r="F118" s="129" t="s">
        <v>716</v>
      </c>
      <c r="G118" s="130">
        <v>17650</v>
      </c>
      <c r="H118" s="131">
        <v>32</v>
      </c>
      <c r="I118" s="131">
        <f>Таблица22426[[#This Row],[Стоимость, 
грн]]</f>
        <v>17650</v>
      </c>
      <c r="J118" s="12">
        <f>Таблица22426[[#This Row],[Доход, 
грн/рейс]]/Таблица22426[[#This Row],[Километраж, 
км]]</f>
        <v>551.5625</v>
      </c>
      <c r="K118" s="132">
        <v>16800</v>
      </c>
      <c r="L118" s="133">
        <f>Таблица22426[[#This Row],[СС, 
грн/рейс]]/Таблица22426[[#This Row],[Километраж, 
км]]</f>
        <v>525</v>
      </c>
      <c r="M118" s="134">
        <f>Таблица22426[[#This Row],[Доход, 
грн/рейс]]-Таблица22426[[#This Row],[СС, 
грн/рейс]]</f>
        <v>850</v>
      </c>
      <c r="N118" s="128"/>
    </row>
    <row r="119" spans="1:14" ht="13.2" x14ac:dyDescent="0.25">
      <c r="A119" s="124" t="s">
        <v>708</v>
      </c>
      <c r="B119" s="125" t="s">
        <v>526</v>
      </c>
      <c r="C119" s="126">
        <v>45627</v>
      </c>
      <c r="D119" s="127" t="s">
        <v>718</v>
      </c>
      <c r="E119" s="128" t="s">
        <v>715</v>
      </c>
      <c r="F119" s="129" t="s">
        <v>388</v>
      </c>
      <c r="G119" s="130">
        <v>10700</v>
      </c>
      <c r="H119" s="131">
        <v>46</v>
      </c>
      <c r="I119" s="131">
        <f>Таблица22426[[#This Row],[Стоимость, 
грн]]</f>
        <v>10700</v>
      </c>
      <c r="J119" s="12">
        <f>Таблица22426[[#This Row],[Доход, 
грн/рейс]]/Таблица22426[[#This Row],[Километраж, 
км]]</f>
        <v>232.60869565217391</v>
      </c>
      <c r="K119" s="132">
        <v>10200</v>
      </c>
      <c r="L119" s="133">
        <f>Таблица22426[[#This Row],[СС, 
грн/рейс]]/Таблица22426[[#This Row],[Километраж, 
км]]</f>
        <v>221.7391304347826</v>
      </c>
      <c r="M119" s="134">
        <f>Таблица22426[[#This Row],[Доход, 
грн/рейс]]-Таблица22426[[#This Row],[СС, 
грн/рейс]]</f>
        <v>500</v>
      </c>
      <c r="N119" s="128"/>
    </row>
    <row r="120" spans="1:14" ht="13.2" x14ac:dyDescent="0.25">
      <c r="A120" s="124" t="s">
        <v>708</v>
      </c>
      <c r="B120" s="125" t="s">
        <v>526</v>
      </c>
      <c r="C120" s="126">
        <v>45627</v>
      </c>
      <c r="D120" s="127" t="s">
        <v>719</v>
      </c>
      <c r="E120" s="128" t="s">
        <v>294</v>
      </c>
      <c r="F120" s="129" t="s">
        <v>720</v>
      </c>
      <c r="G120" s="130">
        <v>13850</v>
      </c>
      <c r="H120" s="131">
        <v>79</v>
      </c>
      <c r="I120" s="131">
        <f>Таблица22426[[#This Row],[Стоимость, 
грн]]</f>
        <v>13850</v>
      </c>
      <c r="J120" s="12">
        <f>Таблица22426[[#This Row],[Доход, 
грн/рейс]]/Таблица22426[[#This Row],[Километраж, 
км]]</f>
        <v>175.31645569620252</v>
      </c>
      <c r="K120" s="132">
        <v>13200</v>
      </c>
      <c r="L120" s="133">
        <f>Таблица22426[[#This Row],[СС, 
грн/рейс]]/Таблица22426[[#This Row],[Километраж, 
км]]</f>
        <v>167.08860759493672</v>
      </c>
      <c r="M120" s="134">
        <f>Таблица22426[[#This Row],[Доход, 
грн/рейс]]-Таблица22426[[#This Row],[СС, 
грн/рейс]]</f>
        <v>650</v>
      </c>
      <c r="N120" s="128"/>
    </row>
    <row r="121" spans="1:14" ht="13.2" x14ac:dyDescent="0.25">
      <c r="A121" s="124" t="s">
        <v>708</v>
      </c>
      <c r="B121" s="125" t="s">
        <v>526</v>
      </c>
      <c r="C121" s="126">
        <v>45627</v>
      </c>
      <c r="D121" s="127" t="s">
        <v>721</v>
      </c>
      <c r="E121" s="128" t="s">
        <v>294</v>
      </c>
      <c r="F121" s="129" t="s">
        <v>720</v>
      </c>
      <c r="G121" s="130">
        <v>8700</v>
      </c>
      <c r="H121" s="131">
        <v>50</v>
      </c>
      <c r="I121" s="131">
        <f>Таблица22426[[#This Row],[Стоимость, 
грн]]</f>
        <v>8700</v>
      </c>
      <c r="J121" s="12">
        <f>Таблица22426[[#This Row],[Доход, 
грн/рейс]]/Таблица22426[[#This Row],[Километраж, 
км]]</f>
        <v>174</v>
      </c>
      <c r="K121" s="132">
        <v>8300</v>
      </c>
      <c r="L121" s="133">
        <f>Таблица22426[[#This Row],[СС, 
грн/рейс]]/Таблица22426[[#This Row],[Километраж, 
км]]</f>
        <v>166</v>
      </c>
      <c r="M121" s="134">
        <f>Таблица22426[[#This Row],[Доход, 
грн/рейс]]-Таблица22426[[#This Row],[СС, 
грн/рейс]]</f>
        <v>400</v>
      </c>
      <c r="N121" s="128"/>
    </row>
    <row r="122" spans="1:14" ht="13.2" x14ac:dyDescent="0.25">
      <c r="A122" s="124" t="s">
        <v>708</v>
      </c>
      <c r="B122" s="125" t="s">
        <v>526</v>
      </c>
      <c r="C122" s="126">
        <v>45627</v>
      </c>
      <c r="D122" s="161" t="s">
        <v>733</v>
      </c>
      <c r="E122" s="128" t="s">
        <v>294</v>
      </c>
      <c r="F122" s="129" t="s">
        <v>716</v>
      </c>
      <c r="G122" s="130">
        <v>16540</v>
      </c>
      <c r="H122" s="131">
        <v>47</v>
      </c>
      <c r="I122" s="131">
        <f>Таблица22426[[#This Row],[Стоимость, 
грн]]</f>
        <v>16540</v>
      </c>
      <c r="J122" s="12">
        <f>Таблица22426[[#This Row],[Доход, 
грн/рейс]]/Таблица22426[[#This Row],[Километраж, 
км]]</f>
        <v>351.91489361702128</v>
      </c>
      <c r="K122" s="132">
        <v>15750</v>
      </c>
      <c r="L122" s="133">
        <f>Таблица22426[[#This Row],[СС, 
грн/рейс]]/Таблица22426[[#This Row],[Километраж, 
км]]</f>
        <v>335.10638297872339</v>
      </c>
      <c r="M122" s="134">
        <f>Таблица22426[[#This Row],[Доход, 
грн/рейс]]-Таблица22426[[#This Row],[СС, 
грн/рейс]]</f>
        <v>790</v>
      </c>
      <c r="N122" s="128"/>
    </row>
    <row r="123" spans="1:14" ht="13.2" x14ac:dyDescent="0.25">
      <c r="A123" s="124" t="s">
        <v>708</v>
      </c>
      <c r="B123" s="125" t="s">
        <v>526</v>
      </c>
      <c r="C123" s="126">
        <v>45627</v>
      </c>
      <c r="D123" s="161" t="s">
        <v>735</v>
      </c>
      <c r="E123" s="128" t="s">
        <v>294</v>
      </c>
      <c r="F123" s="129" t="s">
        <v>720</v>
      </c>
      <c r="G123" s="130">
        <v>7350</v>
      </c>
      <c r="H123" s="131">
        <v>45</v>
      </c>
      <c r="I123" s="131">
        <f>Таблица22426[[#This Row],[Стоимость, 
грн]]</f>
        <v>7350</v>
      </c>
      <c r="J123" s="12">
        <f>Таблица22426[[#This Row],[Доход, 
грн/рейс]]/Таблица22426[[#This Row],[Километраж, 
км]]</f>
        <v>163.33333333333334</v>
      </c>
      <c r="K123" s="132">
        <v>7000</v>
      </c>
      <c r="L123" s="133">
        <f>Таблица22426[[#This Row],[СС, 
грн/рейс]]/Таблица22426[[#This Row],[Километраж, 
км]]</f>
        <v>155.55555555555554</v>
      </c>
      <c r="M123" s="134">
        <f>Таблица22426[[#This Row],[Доход, 
грн/рейс]]-Таблица22426[[#This Row],[СС, 
грн/рейс]]</f>
        <v>350</v>
      </c>
      <c r="N123" s="128"/>
    </row>
    <row r="124" spans="1:14" ht="13.2" x14ac:dyDescent="0.25">
      <c r="A124" s="124" t="s">
        <v>708</v>
      </c>
      <c r="B124" s="125" t="s">
        <v>526</v>
      </c>
      <c r="C124" s="126">
        <v>45627</v>
      </c>
      <c r="D124" s="161" t="s">
        <v>735</v>
      </c>
      <c r="E124" s="128" t="s">
        <v>294</v>
      </c>
      <c r="F124" s="129" t="s">
        <v>716</v>
      </c>
      <c r="G124" s="130">
        <v>68250</v>
      </c>
      <c r="H124" s="131">
        <v>48</v>
      </c>
      <c r="I124" s="131">
        <f>Таблица22426[[#This Row],[Стоимость, 
грн]]</f>
        <v>68250</v>
      </c>
      <c r="J124" s="12">
        <f>Таблица22426[[#This Row],[Доход, 
грн/рейс]]/Таблица22426[[#This Row],[Километраж, 
км]]</f>
        <v>1421.875</v>
      </c>
      <c r="K124" s="132">
        <v>65000</v>
      </c>
      <c r="L124" s="133">
        <f>Таблица22426[[#This Row],[СС, 
грн/рейс]]/Таблица22426[[#This Row],[Километраж, 
км]]</f>
        <v>1354.1666666666667</v>
      </c>
      <c r="M124" s="134">
        <f>Таблица22426[[#This Row],[Доход, 
грн/рейс]]-Таблица22426[[#This Row],[СС, 
грн/рейс]]</f>
        <v>3250</v>
      </c>
      <c r="N124" s="128"/>
    </row>
    <row r="125" spans="1:14" ht="13.2" x14ac:dyDescent="0.25">
      <c r="A125" s="124" t="s">
        <v>310</v>
      </c>
      <c r="B125" s="125" t="s">
        <v>526</v>
      </c>
      <c r="C125" s="126">
        <v>45627</v>
      </c>
      <c r="D125" s="161" t="s">
        <v>740</v>
      </c>
      <c r="E125" s="157" t="s">
        <v>751</v>
      </c>
      <c r="F125" s="129" t="s">
        <v>716</v>
      </c>
      <c r="G125" s="130">
        <v>27700</v>
      </c>
      <c r="H125" s="131">
        <v>59</v>
      </c>
      <c r="I125" s="131">
        <f>Таблица22426[[#This Row],[Стоимость, 
грн]]</f>
        <v>27700</v>
      </c>
      <c r="J125" s="12">
        <f>Таблица22426[[#This Row],[Доход, 
грн/рейс]]/Таблица22426[[#This Row],[Километраж, 
км]]</f>
        <v>469.49152542372883</v>
      </c>
      <c r="K125" s="132">
        <v>26400</v>
      </c>
      <c r="L125" s="133">
        <f>Таблица22426[[#This Row],[СС, 
грн/рейс]]/Таблица22426[[#This Row],[Километраж, 
км]]</f>
        <v>447.45762711864404</v>
      </c>
      <c r="M125" s="134">
        <f>Таблица22426[[#This Row],[Доход, 
грн/рейс]]-Таблица22426[[#This Row],[СС, 
грн/рейс]]</f>
        <v>1300</v>
      </c>
      <c r="N125" s="128"/>
    </row>
    <row r="126" spans="1:14" ht="13.2" x14ac:dyDescent="0.25">
      <c r="A126" s="124" t="s">
        <v>708</v>
      </c>
      <c r="B126" s="125" t="s">
        <v>526</v>
      </c>
      <c r="C126" s="178">
        <v>45658</v>
      </c>
      <c r="D126" s="179" t="s">
        <v>760</v>
      </c>
      <c r="E126" s="128" t="s">
        <v>715</v>
      </c>
      <c r="F126" s="129" t="s">
        <v>720</v>
      </c>
      <c r="G126" s="130">
        <v>12100</v>
      </c>
      <c r="H126" s="131">
        <v>32</v>
      </c>
      <c r="I126" s="131">
        <f>Таблица22426[[#This Row],[Стоимость, 
грн]]</f>
        <v>12100</v>
      </c>
      <c r="J126" s="12">
        <f>Таблица22426[[#This Row],[Доход, 
грн/рейс]]/Таблица22426[[#This Row],[Километраж, 
км]]</f>
        <v>378.125</v>
      </c>
      <c r="K126" s="132">
        <v>11000</v>
      </c>
      <c r="L126" s="133">
        <f>Таблица22426[[#This Row],[СС, 
грн/рейс]]/Таблица22426[[#This Row],[Километраж, 
км]]</f>
        <v>343.75</v>
      </c>
      <c r="M126" s="134">
        <f>Таблица22426[[#This Row],[Доход, 
грн/рейс]]-Таблица22426[[#This Row],[СС, 
грн/рейс]]</f>
        <v>1100</v>
      </c>
      <c r="N126" s="128"/>
    </row>
    <row r="127" spans="1:14" ht="13.2" x14ac:dyDescent="0.25">
      <c r="A127" s="124" t="s">
        <v>708</v>
      </c>
      <c r="B127" s="125" t="s">
        <v>526</v>
      </c>
      <c r="C127" s="178">
        <v>45658</v>
      </c>
      <c r="D127" s="179" t="s">
        <v>757</v>
      </c>
      <c r="E127" s="128" t="s">
        <v>715</v>
      </c>
      <c r="F127" s="129" t="s">
        <v>720</v>
      </c>
      <c r="G127" s="130">
        <v>13200</v>
      </c>
      <c r="H127" s="131">
        <v>32</v>
      </c>
      <c r="I127" s="131">
        <f>Таблица22426[[#This Row],[Стоимость, 
грн]]</f>
        <v>13200</v>
      </c>
      <c r="J127" s="12">
        <f>Таблица22426[[#This Row],[Доход, 
грн/рейс]]/Таблица22426[[#This Row],[Километраж, 
км]]</f>
        <v>412.5</v>
      </c>
      <c r="K127" s="132">
        <v>12600</v>
      </c>
      <c r="L127" s="133">
        <f>Таблица22426[[#This Row],[СС, 
грн/рейс]]/Таблица22426[[#This Row],[Километраж, 
км]]</f>
        <v>393.75</v>
      </c>
      <c r="M127" s="134">
        <f>Таблица22426[[#This Row],[Доход, 
грн/рейс]]-Таблица22426[[#This Row],[СС, 
грн/рейс]]</f>
        <v>600</v>
      </c>
      <c r="N127" s="128"/>
    </row>
    <row r="128" spans="1:14" ht="13.2" x14ac:dyDescent="0.25">
      <c r="A128" s="14" t="s">
        <v>762</v>
      </c>
      <c r="B128" s="125" t="s">
        <v>526</v>
      </c>
      <c r="C128" s="178">
        <v>45658</v>
      </c>
      <c r="D128" s="179" t="s">
        <v>757</v>
      </c>
      <c r="E128" s="157" t="s">
        <v>113</v>
      </c>
      <c r="F128" s="158" t="s">
        <v>761</v>
      </c>
      <c r="G128" s="130">
        <v>3650</v>
      </c>
      <c r="H128" s="131">
        <v>23</v>
      </c>
      <c r="I128" s="131">
        <f>Таблица22426[[#This Row],[Стоимость, 
грн]]</f>
        <v>3650</v>
      </c>
      <c r="J128" s="12">
        <f>Таблица22426[[#This Row],[Доход, 
грн/рейс]]/Таблица22426[[#This Row],[Километраж, 
км]]</f>
        <v>158.69565217391303</v>
      </c>
      <c r="K128" s="132">
        <v>3300</v>
      </c>
      <c r="L128" s="133">
        <f>Таблица22426[[#This Row],[СС, 
грн/рейс]]/Таблица22426[[#This Row],[Километраж, 
км]]</f>
        <v>143.47826086956522</v>
      </c>
      <c r="M128" s="134">
        <f>Таблица22426[[#This Row],[Доход, 
грн/рейс]]-Таблица22426[[#This Row],[СС, 
грн/рейс]]</f>
        <v>350</v>
      </c>
      <c r="N128" s="128"/>
    </row>
    <row r="129" spans="1:14" ht="13.2" x14ac:dyDescent="0.25">
      <c r="A129" s="124" t="s">
        <v>708</v>
      </c>
      <c r="B129" s="125" t="s">
        <v>526</v>
      </c>
      <c r="C129" s="178">
        <v>45658</v>
      </c>
      <c r="D129" s="179" t="s">
        <v>768</v>
      </c>
      <c r="E129" s="157" t="s">
        <v>767</v>
      </c>
      <c r="F129" s="129" t="s">
        <v>720</v>
      </c>
      <c r="G129" s="130">
        <v>5500</v>
      </c>
      <c r="H129" s="131">
        <v>34</v>
      </c>
      <c r="I129" s="131">
        <f>Таблица22426[[#This Row],[Стоимость, 
грн]]</f>
        <v>5500</v>
      </c>
      <c r="J129" s="12">
        <f>Таблица22426[[#This Row],[Доход, 
грн/рейс]]/Таблица22426[[#This Row],[Километраж, 
км]]</f>
        <v>161.76470588235293</v>
      </c>
      <c r="K129" s="132">
        <v>5000</v>
      </c>
      <c r="L129" s="133">
        <f>Таблица22426[[#This Row],[СС, 
грн/рейс]]/Таблица22426[[#This Row],[Километраж, 
км]]</f>
        <v>147.05882352941177</v>
      </c>
      <c r="M129" s="134">
        <f>Таблица22426[[#This Row],[Доход, 
грн/рейс]]-Таблица22426[[#This Row],[СС, 
грн/рейс]]</f>
        <v>500</v>
      </c>
      <c r="N129" s="128"/>
    </row>
    <row r="130" spans="1:14" ht="13.2" x14ac:dyDescent="0.25">
      <c r="A130" s="124" t="s">
        <v>708</v>
      </c>
      <c r="B130" s="125" t="s">
        <v>526</v>
      </c>
      <c r="C130" s="178">
        <v>45658</v>
      </c>
      <c r="D130" s="179" t="s">
        <v>768</v>
      </c>
      <c r="E130" s="157" t="s">
        <v>767</v>
      </c>
      <c r="F130" s="129" t="s">
        <v>716</v>
      </c>
      <c r="G130" s="130">
        <v>13000</v>
      </c>
      <c r="H130" s="131">
        <v>34</v>
      </c>
      <c r="I130" s="131">
        <f>Таблица22426[[#This Row],[Стоимость, 
грн]]</f>
        <v>13000</v>
      </c>
      <c r="J130" s="12">
        <f>Таблица22426[[#This Row],[Доход, 
грн/рейс]]/Таблица22426[[#This Row],[Километраж, 
км]]</f>
        <v>382.35294117647061</v>
      </c>
      <c r="K130" s="132">
        <v>12400</v>
      </c>
      <c r="L130" s="133">
        <f>Таблица22426[[#This Row],[СС, 
грн/рейс]]/Таблица22426[[#This Row],[Километраж, 
км]]</f>
        <v>364.70588235294116</v>
      </c>
      <c r="M130" s="134">
        <f>Таблица22426[[#This Row],[Доход, 
грн/рейс]]-Таблица22426[[#This Row],[СС, 
грн/рейс]]</f>
        <v>600</v>
      </c>
      <c r="N130" s="128"/>
    </row>
    <row r="131" spans="1:14" ht="13.2" x14ac:dyDescent="0.25">
      <c r="A131" s="124" t="s">
        <v>708</v>
      </c>
      <c r="B131" s="125" t="s">
        <v>526</v>
      </c>
      <c r="C131" s="178">
        <v>45658</v>
      </c>
      <c r="D131" s="179" t="s">
        <v>774</v>
      </c>
      <c r="E131" s="157" t="s">
        <v>775</v>
      </c>
      <c r="F131" s="129" t="s">
        <v>720</v>
      </c>
      <c r="G131" s="130">
        <v>6600</v>
      </c>
      <c r="H131" s="131">
        <v>62</v>
      </c>
      <c r="I131" s="131">
        <f>Таблица22426[[#This Row],[Стоимость, 
грн]]</f>
        <v>6600</v>
      </c>
      <c r="J131" s="12">
        <f>Таблица22426[[#This Row],[Доход, 
грн/рейс]]/Таблица22426[[#This Row],[Километраж, 
км]]</f>
        <v>106.45161290322581</v>
      </c>
      <c r="K131" s="132">
        <v>6000</v>
      </c>
      <c r="L131" s="133">
        <f>Таблица22426[[#This Row],[СС, 
грн/рейс]]/Таблица22426[[#This Row],[Километраж, 
км]]</f>
        <v>96.774193548387103</v>
      </c>
      <c r="M131" s="134">
        <f>Таблица22426[[#This Row],[Доход, 
грн/рейс]]-Таблица22426[[#This Row],[СС, 
грн/рейс]]</f>
        <v>600</v>
      </c>
      <c r="N131" s="128"/>
    </row>
    <row r="132" spans="1:14" ht="13.2" x14ac:dyDescent="0.25">
      <c r="A132" s="124" t="s">
        <v>708</v>
      </c>
      <c r="B132" s="125" t="s">
        <v>526</v>
      </c>
      <c r="C132" s="178">
        <v>45658</v>
      </c>
      <c r="D132" s="179" t="s">
        <v>778</v>
      </c>
      <c r="E132" s="157" t="s">
        <v>775</v>
      </c>
      <c r="F132" s="129" t="s">
        <v>716</v>
      </c>
      <c r="G132" s="130">
        <v>19450</v>
      </c>
      <c r="H132" s="131">
        <v>62</v>
      </c>
      <c r="I132" s="131">
        <f>Таблица22426[[#This Row],[Стоимость, 
грн]]</f>
        <v>19450</v>
      </c>
      <c r="J132" s="12">
        <f>Таблица22426[[#This Row],[Доход, 
грн/рейс]]/Таблица22426[[#This Row],[Километраж, 
км]]</f>
        <v>313.70967741935482</v>
      </c>
      <c r="K132" s="132">
        <v>18500</v>
      </c>
      <c r="L132" s="133">
        <f>Таблица22426[[#This Row],[СС, 
грн/рейс]]/Таблица22426[[#This Row],[Километраж, 
км]]</f>
        <v>298.38709677419354</v>
      </c>
      <c r="M132" s="134">
        <f>Таблица22426[[#This Row],[Доход, 
грн/рейс]]-Таблица22426[[#This Row],[СС, 
грн/рейс]]</f>
        <v>950</v>
      </c>
      <c r="N132" s="128"/>
    </row>
    <row r="133" spans="1:14" ht="13.2" x14ac:dyDescent="0.25">
      <c r="A133" s="14" t="s">
        <v>762</v>
      </c>
      <c r="B133" s="125" t="s">
        <v>526</v>
      </c>
      <c r="C133" s="178">
        <v>45658</v>
      </c>
      <c r="D133" s="179" t="s">
        <v>783</v>
      </c>
      <c r="E133" s="157" t="s">
        <v>782</v>
      </c>
      <c r="F133" s="129" t="s">
        <v>720</v>
      </c>
      <c r="G133" s="130">
        <v>6300</v>
      </c>
      <c r="H133" s="131">
        <v>38</v>
      </c>
      <c r="I133" s="131">
        <f>Таблица22426[[#This Row],[Стоимость, 
грн]]</f>
        <v>6300</v>
      </c>
      <c r="J133" s="12">
        <f>Таблица22426[[#This Row],[Доход, 
грн/рейс]]/Таблица22426[[#This Row],[Километраж, 
км]]</f>
        <v>165.78947368421052</v>
      </c>
      <c r="K133" s="132">
        <v>6000</v>
      </c>
      <c r="L133" s="133">
        <f>Таблица22426[[#This Row],[СС, 
грн/рейс]]/Таблица22426[[#This Row],[Километраж, 
км]]</f>
        <v>157.89473684210526</v>
      </c>
      <c r="M133" s="134">
        <f>Таблица22426[[#This Row],[Доход, 
грн/рейс]]-Таблица22426[[#This Row],[СС, 
грн/рейс]]</f>
        <v>300</v>
      </c>
      <c r="N133" s="128"/>
    </row>
    <row r="134" spans="1:14" ht="13.2" x14ac:dyDescent="0.25">
      <c r="A134" s="14" t="s">
        <v>762</v>
      </c>
      <c r="B134" s="125" t="s">
        <v>526</v>
      </c>
      <c r="C134" s="178">
        <v>45658</v>
      </c>
      <c r="D134" s="179" t="s">
        <v>783</v>
      </c>
      <c r="E134" s="157" t="s">
        <v>782</v>
      </c>
      <c r="F134" s="129" t="s">
        <v>716</v>
      </c>
      <c r="G134" s="130">
        <v>12200</v>
      </c>
      <c r="H134" s="131">
        <v>38</v>
      </c>
      <c r="I134" s="131">
        <f>Таблица22426[[#This Row],[Стоимость, 
грн]]</f>
        <v>12200</v>
      </c>
      <c r="J134" s="12">
        <f>Таблица22426[[#This Row],[Доход, 
грн/рейс]]/Таблица22426[[#This Row],[Километраж, 
км]]</f>
        <v>321.05263157894734</v>
      </c>
      <c r="K134" s="132">
        <v>11600</v>
      </c>
      <c r="L134" s="133">
        <f>Таблица22426[[#This Row],[СС, 
грн/рейс]]/Таблица22426[[#This Row],[Километраж, 
км]]</f>
        <v>305.26315789473682</v>
      </c>
      <c r="M134" s="134">
        <f>Таблица22426[[#This Row],[Доход, 
грн/рейс]]-Таблица22426[[#This Row],[СС, 
грн/рейс]]</f>
        <v>600</v>
      </c>
      <c r="N134" s="128"/>
    </row>
    <row r="135" spans="1:14" ht="13.2" x14ac:dyDescent="0.25">
      <c r="A135" s="14" t="s">
        <v>762</v>
      </c>
      <c r="B135" s="125" t="s">
        <v>526</v>
      </c>
      <c r="C135" s="178">
        <v>45658</v>
      </c>
      <c r="D135" s="179" t="s">
        <v>784</v>
      </c>
      <c r="E135" s="157" t="s">
        <v>782</v>
      </c>
      <c r="F135" s="129" t="s">
        <v>716</v>
      </c>
      <c r="G135" s="130">
        <v>9050</v>
      </c>
      <c r="H135" s="131">
        <v>38</v>
      </c>
      <c r="I135" s="131">
        <f>Таблица22426[[#This Row],[Стоимость, 
грн]]</f>
        <v>9050</v>
      </c>
      <c r="J135" s="12">
        <f>Таблица22426[[#This Row],[Доход, 
грн/рейс]]/Таблица22426[[#This Row],[Километраж, 
км]]</f>
        <v>238.15789473684211</v>
      </c>
      <c r="K135" s="132">
        <v>8600</v>
      </c>
      <c r="L135" s="133">
        <f>Таблица22426[[#This Row],[СС, 
грн/рейс]]/Таблица22426[[#This Row],[Километраж, 
км]]</f>
        <v>226.31578947368422</v>
      </c>
      <c r="M135" s="134">
        <f>Таблица22426[[#This Row],[Доход, 
грн/рейс]]-Таблица22426[[#This Row],[СС, 
грн/рейс]]</f>
        <v>450</v>
      </c>
      <c r="N135" s="128"/>
    </row>
    <row r="136" spans="1:14" ht="13.2" x14ac:dyDescent="0.25">
      <c r="A136" s="14" t="s">
        <v>762</v>
      </c>
      <c r="B136" s="125" t="s">
        <v>526</v>
      </c>
      <c r="C136" s="178">
        <v>45658</v>
      </c>
      <c r="D136" s="179" t="s">
        <v>793</v>
      </c>
      <c r="E136" s="157" t="s">
        <v>794</v>
      </c>
      <c r="F136" s="158" t="s">
        <v>795</v>
      </c>
      <c r="G136" s="130">
        <v>21780</v>
      </c>
      <c r="H136" s="131">
        <v>225</v>
      </c>
      <c r="I136" s="131">
        <f>Таблица22426[[#This Row],[Стоимость, 
грн]]</f>
        <v>21780</v>
      </c>
      <c r="J136" s="12">
        <f>Таблица22426[[#This Row],[Доход, 
грн/рейс]]/Таблица22426[[#This Row],[Километраж, 
км]]</f>
        <v>96.8</v>
      </c>
      <c r="K136" s="132">
        <v>19800</v>
      </c>
      <c r="L136" s="133">
        <f>Таблица22426[[#This Row],[СС, 
грн/рейс]]/Таблица22426[[#This Row],[Километраж, 
км]]</f>
        <v>88</v>
      </c>
      <c r="M136" s="134">
        <f>Таблица22426[[#This Row],[Доход, 
грн/рейс]]-Таблица22426[[#This Row],[СС, 
грн/рейс]]</f>
        <v>1980</v>
      </c>
      <c r="N136" s="128"/>
    </row>
    <row r="137" spans="1:14" ht="13.2" x14ac:dyDescent="0.25">
      <c r="A137" s="14" t="s">
        <v>821</v>
      </c>
      <c r="B137" s="125" t="s">
        <v>515</v>
      </c>
      <c r="C137" s="183">
        <v>45689</v>
      </c>
      <c r="D137" s="186" t="s">
        <v>826</v>
      </c>
      <c r="E137" s="157" t="s">
        <v>819</v>
      </c>
      <c r="F137" s="158" t="s">
        <v>820</v>
      </c>
      <c r="G137" s="130">
        <v>15000</v>
      </c>
      <c r="H137" s="131">
        <v>53</v>
      </c>
      <c r="I137" s="131">
        <f>Таблица22426[[#This Row],[Стоимость, 
грн]]</f>
        <v>15000</v>
      </c>
      <c r="J137" s="12">
        <f>Таблица22426[[#This Row],[Доход, 
грн/рейс]]/Таблица22426[[#This Row],[Километраж, 
км]]</f>
        <v>283.01886792452831</v>
      </c>
      <c r="K137" s="132">
        <v>15000</v>
      </c>
      <c r="L137" s="133">
        <f>Таблица22426[[#This Row],[СС, 
грн/рейс]]/Таблица22426[[#This Row],[Километраж, 
км]]</f>
        <v>283.01886792452831</v>
      </c>
      <c r="M137" s="134">
        <f>Таблица22426[[#This Row],[Доход, 
грн/рейс]]-Таблица22426[[#This Row],[СС, 
грн/рейс]]</f>
        <v>0</v>
      </c>
      <c r="N137" s="128"/>
    </row>
    <row r="138" spans="1:14" ht="13.2" x14ac:dyDescent="0.25">
      <c r="A138" s="124" t="s">
        <v>310</v>
      </c>
      <c r="B138" s="125" t="s">
        <v>526</v>
      </c>
      <c r="C138" s="183">
        <v>45689</v>
      </c>
      <c r="D138" s="187" t="s">
        <v>832</v>
      </c>
      <c r="E138" s="128" t="s">
        <v>127</v>
      </c>
      <c r="F138" s="158" t="s">
        <v>834</v>
      </c>
      <c r="G138" s="130">
        <v>16100</v>
      </c>
      <c r="H138" s="131">
        <v>70</v>
      </c>
      <c r="I138" s="131">
        <f>Таблица22426[[#This Row],[Стоимость, 
грн]]</f>
        <v>16100</v>
      </c>
      <c r="J138" s="12">
        <f>Таблица22426[[#This Row],[Доход, 
грн/рейс]]/Таблица22426[[#This Row],[Километраж, 
км]]</f>
        <v>230</v>
      </c>
      <c r="K138" s="130">
        <v>16100</v>
      </c>
      <c r="L138" s="133">
        <f>Таблица22426[[#This Row],[СС, 
грн/рейс]]/Таблица22426[[#This Row],[Километраж, 
км]]</f>
        <v>230</v>
      </c>
      <c r="M138" s="134">
        <f>Таблица22426[[#This Row],[Доход, 
грн/рейс]]-Таблица22426[[#This Row],[СС, 
грн/рейс]]</f>
        <v>0</v>
      </c>
      <c r="N138" s="128"/>
    </row>
    <row r="139" spans="1:14" ht="13.2" x14ac:dyDescent="0.25">
      <c r="A139" s="124" t="s">
        <v>310</v>
      </c>
      <c r="B139" s="125" t="s">
        <v>526</v>
      </c>
      <c r="C139" s="183">
        <v>45689</v>
      </c>
      <c r="D139" s="187" t="s">
        <v>833</v>
      </c>
      <c r="E139" s="128" t="s">
        <v>127</v>
      </c>
      <c r="F139" s="158" t="s">
        <v>834</v>
      </c>
      <c r="G139" s="130">
        <v>20700</v>
      </c>
      <c r="H139" s="131">
        <v>90</v>
      </c>
      <c r="I139" s="131">
        <f>Таблица22426[[#This Row],[Стоимость, 
грн]]</f>
        <v>20700</v>
      </c>
      <c r="J139" s="12">
        <f>Таблица22426[[#This Row],[Доход, 
грн/рейс]]/Таблица22426[[#This Row],[Километраж, 
км]]</f>
        <v>230</v>
      </c>
      <c r="K139" s="130">
        <v>20700</v>
      </c>
      <c r="L139" s="133">
        <f>Таблица22426[[#This Row],[СС, 
грн/рейс]]/Таблица22426[[#This Row],[Километраж, 
км]]</f>
        <v>230</v>
      </c>
      <c r="M139" s="134">
        <f>Таблица22426[[#This Row],[Доход, 
грн/рейс]]-Таблица22426[[#This Row],[СС, 
грн/рейс]]</f>
        <v>0</v>
      </c>
      <c r="N139" s="128"/>
    </row>
    <row r="140" spans="1:14" ht="13.2" x14ac:dyDescent="0.25">
      <c r="A140" s="124" t="s">
        <v>310</v>
      </c>
      <c r="B140" s="125" t="s">
        <v>526</v>
      </c>
      <c r="C140" s="183">
        <v>45689</v>
      </c>
      <c r="D140" s="187" t="s">
        <v>827</v>
      </c>
      <c r="E140" s="128" t="s">
        <v>127</v>
      </c>
      <c r="F140" s="158" t="s">
        <v>834</v>
      </c>
      <c r="G140" s="130">
        <v>13800</v>
      </c>
      <c r="H140" s="131">
        <v>60</v>
      </c>
      <c r="I140" s="131">
        <f>Таблица22426[[#This Row],[Стоимость, 
грн]]</f>
        <v>13800</v>
      </c>
      <c r="J140" s="12">
        <f>Таблица22426[[#This Row],[Доход, 
грн/рейс]]/Таблица22426[[#This Row],[Километраж, 
км]]</f>
        <v>230</v>
      </c>
      <c r="K140" s="130">
        <v>13800</v>
      </c>
      <c r="L140" s="133">
        <f>Таблица22426[[#This Row],[СС, 
грн/рейс]]/Таблица22426[[#This Row],[Километраж, 
км]]</f>
        <v>230</v>
      </c>
      <c r="M140" s="134">
        <f>Таблица22426[[#This Row],[Доход, 
грн/рейс]]-Таблица22426[[#This Row],[СС, 
грн/рейс]]</f>
        <v>0</v>
      </c>
      <c r="N140" s="128"/>
    </row>
    <row r="141" spans="1:14" ht="13.2" x14ac:dyDescent="0.25">
      <c r="A141" s="14" t="s">
        <v>850</v>
      </c>
      <c r="B141" s="62" t="s">
        <v>851</v>
      </c>
      <c r="C141" s="194">
        <v>45717</v>
      </c>
      <c r="D141" s="195" t="s">
        <v>853</v>
      </c>
      <c r="E141" s="157" t="s">
        <v>849</v>
      </c>
      <c r="F141" s="158" t="s">
        <v>658</v>
      </c>
      <c r="G141" s="130">
        <v>29700</v>
      </c>
      <c r="H141" s="131">
        <v>225</v>
      </c>
      <c r="I141" s="131">
        <f>Таблица22426[[#This Row],[Стоимость, 
грн]]</f>
        <v>29700</v>
      </c>
      <c r="J141" s="12">
        <f>Таблица22426[[#This Row],[Доход, 
грн/рейс]]/Таблица22426[[#This Row],[Километраж, 
км]]</f>
        <v>132</v>
      </c>
      <c r="K141" s="132">
        <v>27000</v>
      </c>
      <c r="L141" s="133">
        <f>Таблица22426[[#This Row],[СС, 
грн/рейс]]/Таблица22426[[#This Row],[Километраж, 
км]]</f>
        <v>120</v>
      </c>
      <c r="M141" s="134">
        <f>Таблица22426[[#This Row],[Доход, 
грн/рейс]]-Таблица22426[[#This Row],[СС, 
грн/рейс]]</f>
        <v>2700</v>
      </c>
      <c r="N141" s="128"/>
    </row>
    <row r="142" spans="1:14" ht="13.2" hidden="1" x14ac:dyDescent="0.25">
      <c r="A142" s="124"/>
      <c r="B142" s="125"/>
      <c r="C142" s="126"/>
      <c r="D142" s="127"/>
      <c r="E142" s="128"/>
      <c r="F142" s="129"/>
      <c r="G142" s="130"/>
      <c r="H142" s="131"/>
      <c r="I142" s="131">
        <f>Таблица22426[[#This Row],[Стоимость, 
грн]]</f>
        <v>0</v>
      </c>
      <c r="J142" s="12" t="e">
        <f>Таблица22426[[#This Row],[Доход, 
грн/рейс]]/Таблица22426[[#This Row],[Километраж, 
км]]</f>
        <v>#DIV/0!</v>
      </c>
      <c r="K142" s="132"/>
      <c r="L142" s="133" t="e">
        <f>Таблица22426[[#This Row],[СС, 
грн/рейс]]/Таблица22426[[#This Row],[Километраж, 
км]]</f>
        <v>#DIV/0!</v>
      </c>
      <c r="M142" s="134">
        <f>Таблица22426[[#This Row],[Доход, 
грн/рейс]]-Таблица22426[[#This Row],[СС, 
грн/рейс]]</f>
        <v>0</v>
      </c>
      <c r="N142" s="128"/>
    </row>
    <row r="143" spans="1:14" ht="13.2" hidden="1" x14ac:dyDescent="0.25">
      <c r="A143" s="124"/>
      <c r="B143" s="125"/>
      <c r="C143" s="126"/>
      <c r="D143" s="127"/>
      <c r="E143" s="128"/>
      <c r="F143" s="129"/>
      <c r="G143" s="130"/>
      <c r="H143" s="131"/>
      <c r="I143" s="131">
        <f>Таблица22426[[#This Row],[Стоимость, 
грн]]</f>
        <v>0</v>
      </c>
      <c r="J143" s="12" t="e">
        <f>Таблица22426[[#This Row],[Доход, 
грн/рейс]]/Таблица22426[[#This Row],[Километраж, 
км]]</f>
        <v>#DIV/0!</v>
      </c>
      <c r="K143" s="132"/>
      <c r="L143" s="133" t="e">
        <f>Таблица22426[[#This Row],[СС, 
грн/рейс]]/Таблица22426[[#This Row],[Километраж, 
км]]</f>
        <v>#DIV/0!</v>
      </c>
      <c r="M143" s="134">
        <f>Таблица22426[[#This Row],[Доход, 
грн/рейс]]-Таблица22426[[#This Row],[СС, 
грн/рейс]]</f>
        <v>0</v>
      </c>
      <c r="N143" s="128"/>
    </row>
    <row r="144" spans="1:14" ht="13.2" hidden="1" x14ac:dyDescent="0.25">
      <c r="A144" s="124"/>
      <c r="B144" s="125"/>
      <c r="C144" s="126"/>
      <c r="D144" s="127"/>
      <c r="E144" s="128"/>
      <c r="F144" s="129"/>
      <c r="G144" s="130"/>
      <c r="H144" s="131"/>
      <c r="I144" s="131">
        <f>Таблица22426[[#This Row],[Стоимость, 
грн]]</f>
        <v>0</v>
      </c>
      <c r="J144" s="12" t="e">
        <f>Таблица22426[[#This Row],[Доход, 
грн/рейс]]/Таблица22426[[#This Row],[Километраж, 
км]]</f>
        <v>#DIV/0!</v>
      </c>
      <c r="K144" s="132"/>
      <c r="L144" s="133" t="e">
        <f>Таблица22426[[#This Row],[СС, 
грн/рейс]]/Таблица22426[[#This Row],[Километраж, 
км]]</f>
        <v>#DIV/0!</v>
      </c>
      <c r="M144" s="134">
        <f>Таблица22426[[#This Row],[Доход, 
грн/рейс]]-Таблица22426[[#This Row],[СС, 
грн/рейс]]</f>
        <v>0</v>
      </c>
      <c r="N144" s="128"/>
    </row>
    <row r="145" spans="1:14" ht="13.2" hidden="1" x14ac:dyDescent="0.25">
      <c r="A145" s="124"/>
      <c r="B145" s="125"/>
      <c r="C145" s="126"/>
      <c r="D145" s="127"/>
      <c r="E145" s="128"/>
      <c r="F145" s="129"/>
      <c r="G145" s="130"/>
      <c r="H145" s="131"/>
      <c r="I145" s="131">
        <f>Таблица22426[[#This Row],[Стоимость, 
грн]]</f>
        <v>0</v>
      </c>
      <c r="J145" s="12" t="e">
        <f>Таблица22426[[#This Row],[Доход, 
грн/рейс]]/Таблица22426[[#This Row],[Километраж, 
км]]</f>
        <v>#DIV/0!</v>
      </c>
      <c r="K145" s="132"/>
      <c r="L145" s="133" t="e">
        <f>Таблица22426[[#This Row],[СС, 
грн/рейс]]/Таблица22426[[#This Row],[Километраж, 
км]]</f>
        <v>#DIV/0!</v>
      </c>
      <c r="M145" s="134">
        <f>Таблица22426[[#This Row],[Доход, 
грн/рейс]]-Таблица22426[[#This Row],[СС, 
грн/рейс]]</f>
        <v>0</v>
      </c>
      <c r="N145" s="128"/>
    </row>
    <row r="146" spans="1:14" ht="13.2" hidden="1" x14ac:dyDescent="0.25">
      <c r="A146" s="124"/>
      <c r="B146" s="125"/>
      <c r="C146" s="126"/>
      <c r="D146" s="127"/>
      <c r="E146" s="128"/>
      <c r="F146" s="129"/>
      <c r="G146" s="130"/>
      <c r="H146" s="131"/>
      <c r="I146" s="131">
        <f>Таблица22426[[#This Row],[Стоимость, 
грн]]</f>
        <v>0</v>
      </c>
      <c r="J146" s="12" t="e">
        <f>Таблица22426[[#This Row],[Доход, 
грн/рейс]]/Таблица22426[[#This Row],[Километраж, 
км]]</f>
        <v>#DIV/0!</v>
      </c>
      <c r="K146" s="132"/>
      <c r="L146" s="133" t="e">
        <f>Таблица22426[[#This Row],[СС, 
грн/рейс]]/Таблица22426[[#This Row],[Километраж, 
км]]</f>
        <v>#DIV/0!</v>
      </c>
      <c r="M146" s="134">
        <f>Таблица22426[[#This Row],[Доход, 
грн/рейс]]-Таблица22426[[#This Row],[СС, 
грн/рейс]]</f>
        <v>0</v>
      </c>
      <c r="N146" s="128"/>
    </row>
    <row r="147" spans="1:14" ht="13.2" hidden="1" x14ac:dyDescent="0.25">
      <c r="A147" s="124"/>
      <c r="B147" s="125"/>
      <c r="C147" s="126"/>
      <c r="D147" s="127"/>
      <c r="E147" s="128"/>
      <c r="F147" s="129"/>
      <c r="G147" s="130"/>
      <c r="H147" s="131"/>
      <c r="I147" s="131">
        <f>Таблица22426[[#This Row],[Стоимость, 
грн]]</f>
        <v>0</v>
      </c>
      <c r="J147" s="12" t="e">
        <f>Таблица22426[[#This Row],[Доход, 
грн/рейс]]/Таблица22426[[#This Row],[Километраж, 
км]]</f>
        <v>#DIV/0!</v>
      </c>
      <c r="K147" s="132"/>
      <c r="L147" s="133" t="e">
        <f>Таблица22426[[#This Row],[СС, 
грн/рейс]]/Таблица22426[[#This Row],[Километраж, 
км]]</f>
        <v>#DIV/0!</v>
      </c>
      <c r="M147" s="134">
        <f>Таблица22426[[#This Row],[Доход, 
грн/рейс]]-Таблица22426[[#This Row],[СС, 
грн/рейс]]</f>
        <v>0</v>
      </c>
      <c r="N147" s="128"/>
    </row>
    <row r="148" spans="1:14" ht="13.2" hidden="1" x14ac:dyDescent="0.25">
      <c r="A148" s="124"/>
      <c r="B148" s="125"/>
      <c r="C148" s="126"/>
      <c r="D148" s="127"/>
      <c r="E148" s="128"/>
      <c r="F148" s="129"/>
      <c r="G148" s="130"/>
      <c r="H148" s="131"/>
      <c r="I148" s="131">
        <f>Таблица22426[[#This Row],[Стоимость, 
грн]]</f>
        <v>0</v>
      </c>
      <c r="J148" s="12" t="e">
        <f>Таблица22426[[#This Row],[Доход, 
грн/рейс]]/Таблица22426[[#This Row],[Километраж, 
км]]</f>
        <v>#DIV/0!</v>
      </c>
      <c r="K148" s="132"/>
      <c r="L148" s="133" t="e">
        <f>Таблица22426[[#This Row],[СС, 
грн/рейс]]/Таблица22426[[#This Row],[Километраж, 
км]]</f>
        <v>#DIV/0!</v>
      </c>
      <c r="M148" s="134">
        <f>Таблица22426[[#This Row],[Доход, 
грн/рейс]]-Таблица22426[[#This Row],[СС, 
грн/рейс]]</f>
        <v>0</v>
      </c>
      <c r="N148" s="128"/>
    </row>
    <row r="149" spans="1:14" ht="13.2" hidden="1" x14ac:dyDescent="0.25">
      <c r="A149" s="124"/>
      <c r="B149" s="125"/>
      <c r="C149" s="126"/>
      <c r="D149" s="127"/>
      <c r="E149" s="128"/>
      <c r="F149" s="129"/>
      <c r="G149" s="130"/>
      <c r="H149" s="131"/>
      <c r="I149" s="131">
        <f>Таблица22426[[#This Row],[Стоимость, 
грн]]</f>
        <v>0</v>
      </c>
      <c r="J149" s="12" t="e">
        <f>Таблица22426[[#This Row],[Доход, 
грн/рейс]]/Таблица22426[[#This Row],[Километраж, 
км]]</f>
        <v>#DIV/0!</v>
      </c>
      <c r="K149" s="132"/>
      <c r="L149" s="133" t="e">
        <f>Таблица22426[[#This Row],[СС, 
грн/рейс]]/Таблица22426[[#This Row],[Километраж, 
км]]</f>
        <v>#DIV/0!</v>
      </c>
      <c r="M149" s="134">
        <f>Таблица22426[[#This Row],[Доход, 
грн/рейс]]-Таблица22426[[#This Row],[СС, 
грн/рейс]]</f>
        <v>0</v>
      </c>
      <c r="N149" s="128"/>
    </row>
    <row r="150" spans="1:14" ht="13.2" hidden="1" x14ac:dyDescent="0.25">
      <c r="A150" s="124"/>
      <c r="B150" s="125"/>
      <c r="C150" s="126"/>
      <c r="D150" s="127"/>
      <c r="E150" s="128"/>
      <c r="F150" s="129"/>
      <c r="G150" s="130"/>
      <c r="H150" s="131"/>
      <c r="I150" s="131">
        <f>Таблица22426[[#This Row],[Стоимость, 
грн]]</f>
        <v>0</v>
      </c>
      <c r="J150" s="12" t="e">
        <f>Таблица22426[[#This Row],[Доход, 
грн/рейс]]/Таблица22426[[#This Row],[Километраж, 
км]]</f>
        <v>#DIV/0!</v>
      </c>
      <c r="K150" s="132"/>
      <c r="L150" s="133" t="e">
        <f>Таблица22426[[#This Row],[СС, 
грн/рейс]]/Таблица22426[[#This Row],[Километраж, 
км]]</f>
        <v>#DIV/0!</v>
      </c>
      <c r="M150" s="134">
        <f>Таблица22426[[#This Row],[Доход, 
грн/рейс]]-Таблица22426[[#This Row],[СС, 
грн/рейс]]</f>
        <v>0</v>
      </c>
      <c r="N150" s="128"/>
    </row>
    <row r="151" spans="1:14" ht="13.2" hidden="1" x14ac:dyDescent="0.25">
      <c r="A151" s="124"/>
      <c r="B151" s="125"/>
      <c r="C151" s="126"/>
      <c r="D151" s="127"/>
      <c r="E151" s="128"/>
      <c r="F151" s="129"/>
      <c r="G151" s="130"/>
      <c r="H151" s="131"/>
      <c r="I151" s="131">
        <f>Таблица22426[[#This Row],[Стоимость, 
грн]]</f>
        <v>0</v>
      </c>
      <c r="J151" s="12" t="e">
        <f>Таблица22426[[#This Row],[Доход, 
грн/рейс]]/Таблица22426[[#This Row],[Километраж, 
км]]</f>
        <v>#DIV/0!</v>
      </c>
      <c r="K151" s="132"/>
      <c r="L151" s="133" t="e">
        <f>Таблица22426[[#This Row],[СС, 
грн/рейс]]/Таблица22426[[#This Row],[Километраж, 
км]]</f>
        <v>#DIV/0!</v>
      </c>
      <c r="M151" s="134">
        <f>Таблица22426[[#This Row],[Доход, 
грн/рейс]]-Таблица22426[[#This Row],[СС, 
грн/рейс]]</f>
        <v>0</v>
      </c>
      <c r="N151" s="128"/>
    </row>
    <row r="152" spans="1:14" ht="13.2" hidden="1" x14ac:dyDescent="0.25">
      <c r="A152" s="124"/>
      <c r="B152" s="125"/>
      <c r="C152" s="126"/>
      <c r="D152" s="127"/>
      <c r="E152" s="128"/>
      <c r="F152" s="129"/>
      <c r="G152" s="130"/>
      <c r="H152" s="131"/>
      <c r="I152" s="131">
        <f>Таблица22426[[#This Row],[Стоимость, 
грн]]</f>
        <v>0</v>
      </c>
      <c r="J152" s="12" t="e">
        <f>Таблица22426[[#This Row],[Доход, 
грн/рейс]]/Таблица22426[[#This Row],[Километраж, 
км]]</f>
        <v>#DIV/0!</v>
      </c>
      <c r="K152" s="132"/>
      <c r="L152" s="133" t="e">
        <f>Таблица22426[[#This Row],[СС, 
грн/рейс]]/Таблица22426[[#This Row],[Километраж, 
км]]</f>
        <v>#DIV/0!</v>
      </c>
      <c r="M152" s="134">
        <f>Таблица22426[[#This Row],[Доход, 
грн/рейс]]-Таблица22426[[#This Row],[СС, 
грн/рейс]]</f>
        <v>0</v>
      </c>
      <c r="N152" s="128"/>
    </row>
    <row r="153" spans="1:14" ht="13.2" hidden="1" x14ac:dyDescent="0.25">
      <c r="A153" s="124"/>
      <c r="B153" s="125"/>
      <c r="C153" s="126"/>
      <c r="D153" s="127"/>
      <c r="E153" s="128"/>
      <c r="F153" s="129"/>
      <c r="G153" s="130"/>
      <c r="H153" s="131"/>
      <c r="I153" s="131">
        <f>Таблица22426[[#This Row],[Стоимость, 
грн]]</f>
        <v>0</v>
      </c>
      <c r="J153" s="12" t="e">
        <f>Таблица22426[[#This Row],[Доход, 
грн/рейс]]/Таблица22426[[#This Row],[Километраж, 
км]]</f>
        <v>#DIV/0!</v>
      </c>
      <c r="K153" s="132"/>
      <c r="L153" s="133" t="e">
        <f>Таблица22426[[#This Row],[СС, 
грн/рейс]]/Таблица22426[[#This Row],[Километраж, 
км]]</f>
        <v>#DIV/0!</v>
      </c>
      <c r="M153" s="134">
        <f>Таблица22426[[#This Row],[Доход, 
грн/рейс]]-Таблица22426[[#This Row],[СС, 
грн/рейс]]</f>
        <v>0</v>
      </c>
      <c r="N153" s="128"/>
    </row>
    <row r="154" spans="1:14" ht="13.2" hidden="1" x14ac:dyDescent="0.25">
      <c r="A154" s="124"/>
      <c r="B154" s="125"/>
      <c r="C154" s="126"/>
      <c r="D154" s="127"/>
      <c r="E154" s="128"/>
      <c r="F154" s="129"/>
      <c r="G154" s="130"/>
      <c r="H154" s="131"/>
      <c r="I154" s="131">
        <f>Таблица22426[[#This Row],[Стоимость, 
грн]]</f>
        <v>0</v>
      </c>
      <c r="J154" s="12" t="e">
        <f>Таблица22426[[#This Row],[Доход, 
грн/рейс]]/Таблица22426[[#This Row],[Километраж, 
км]]</f>
        <v>#DIV/0!</v>
      </c>
      <c r="K154" s="132"/>
      <c r="L154" s="133" t="e">
        <f>Таблица22426[[#This Row],[СС, 
грн/рейс]]/Таблица22426[[#This Row],[Километраж, 
км]]</f>
        <v>#DIV/0!</v>
      </c>
      <c r="M154" s="134">
        <f>Таблица22426[[#This Row],[Доход, 
грн/рейс]]-Таблица22426[[#This Row],[СС, 
грн/рейс]]</f>
        <v>0</v>
      </c>
      <c r="N154" s="128"/>
    </row>
    <row r="155" spans="1:14" ht="13.2" hidden="1" x14ac:dyDescent="0.25">
      <c r="A155" s="124"/>
      <c r="B155" s="125"/>
      <c r="C155" s="126"/>
      <c r="D155" s="127"/>
      <c r="E155" s="128"/>
      <c r="F155" s="129"/>
      <c r="G155" s="130"/>
      <c r="H155" s="131"/>
      <c r="I155" s="131">
        <f>Таблица22426[[#This Row],[Стоимость, 
грн]]</f>
        <v>0</v>
      </c>
      <c r="J155" s="12" t="e">
        <f>Таблица22426[[#This Row],[Доход, 
грн/рейс]]/Таблица22426[[#This Row],[Километраж, 
км]]</f>
        <v>#DIV/0!</v>
      </c>
      <c r="K155" s="132"/>
      <c r="L155" s="133" t="e">
        <f>Таблица22426[[#This Row],[СС, 
грн/рейс]]/Таблица22426[[#This Row],[Километраж, 
км]]</f>
        <v>#DIV/0!</v>
      </c>
      <c r="M155" s="134">
        <f>Таблица22426[[#This Row],[Доход, 
грн/рейс]]-Таблица22426[[#This Row],[СС, 
грн/рейс]]</f>
        <v>0</v>
      </c>
      <c r="N155" s="128"/>
    </row>
    <row r="156" spans="1:14" ht="13.2" hidden="1" x14ac:dyDescent="0.25">
      <c r="A156" s="124"/>
      <c r="B156" s="125"/>
      <c r="C156" s="126"/>
      <c r="D156" s="127"/>
      <c r="E156" s="128"/>
      <c r="F156" s="129"/>
      <c r="G156" s="130"/>
      <c r="H156" s="131"/>
      <c r="I156" s="131">
        <f>Таблица22426[[#This Row],[Стоимость, 
грн]]</f>
        <v>0</v>
      </c>
      <c r="J156" s="12" t="e">
        <f>Таблица22426[[#This Row],[Доход, 
грн/рейс]]/Таблица22426[[#This Row],[Километраж, 
км]]</f>
        <v>#DIV/0!</v>
      </c>
      <c r="K156" s="132"/>
      <c r="L156" s="133" t="e">
        <f>Таблица22426[[#This Row],[СС, 
грн/рейс]]/Таблица22426[[#This Row],[Километраж, 
км]]</f>
        <v>#DIV/0!</v>
      </c>
      <c r="M156" s="134">
        <f>Таблица22426[[#This Row],[Доход, 
грн/рейс]]-Таблица22426[[#This Row],[СС, 
грн/рейс]]</f>
        <v>0</v>
      </c>
      <c r="N156" s="128"/>
    </row>
    <row r="157" spans="1:14" ht="13.2" hidden="1" x14ac:dyDescent="0.25">
      <c r="A157" s="124"/>
      <c r="B157" s="125"/>
      <c r="C157" s="126"/>
      <c r="D157" s="127"/>
      <c r="E157" s="128"/>
      <c r="F157" s="129"/>
      <c r="G157" s="130"/>
      <c r="H157" s="131"/>
      <c r="I157" s="131">
        <f>Таблица22426[[#This Row],[Стоимость, 
грн]]</f>
        <v>0</v>
      </c>
      <c r="J157" s="12" t="e">
        <f>Таблица22426[[#This Row],[Доход, 
грн/рейс]]/Таблица22426[[#This Row],[Километраж, 
км]]</f>
        <v>#DIV/0!</v>
      </c>
      <c r="K157" s="132"/>
      <c r="L157" s="133" t="e">
        <f>Таблица22426[[#This Row],[СС, 
грн/рейс]]/Таблица22426[[#This Row],[Километраж, 
км]]</f>
        <v>#DIV/0!</v>
      </c>
      <c r="M157" s="134">
        <f>Таблица22426[[#This Row],[Доход, 
грн/рейс]]-Таблица22426[[#This Row],[СС, 
грн/рейс]]</f>
        <v>0</v>
      </c>
      <c r="N157" s="128"/>
    </row>
    <row r="158" spans="1:14" ht="13.2" hidden="1" x14ac:dyDescent="0.25">
      <c r="A158" s="124"/>
      <c r="B158" s="125"/>
      <c r="C158" s="126"/>
      <c r="D158" s="127"/>
      <c r="E158" s="128"/>
      <c r="F158" s="129"/>
      <c r="G158" s="130"/>
      <c r="H158" s="131"/>
      <c r="I158" s="131">
        <f>Таблица22426[[#This Row],[Стоимость, 
грн]]</f>
        <v>0</v>
      </c>
      <c r="J158" s="12" t="e">
        <f>Таблица22426[[#This Row],[Доход, 
грн/рейс]]/Таблица22426[[#This Row],[Километраж, 
км]]</f>
        <v>#DIV/0!</v>
      </c>
      <c r="K158" s="132"/>
      <c r="L158" s="133" t="e">
        <f>Таблица22426[[#This Row],[СС, 
грн/рейс]]/Таблица22426[[#This Row],[Километраж, 
км]]</f>
        <v>#DIV/0!</v>
      </c>
      <c r="M158" s="134">
        <f>Таблица22426[[#This Row],[Доход, 
грн/рейс]]-Таблица22426[[#This Row],[СС, 
грн/рейс]]</f>
        <v>0</v>
      </c>
      <c r="N158" s="128"/>
    </row>
    <row r="159" spans="1:14" ht="13.2" hidden="1" x14ac:dyDescent="0.25">
      <c r="A159" s="124"/>
      <c r="B159" s="125"/>
      <c r="C159" s="126"/>
      <c r="D159" s="127"/>
      <c r="E159" s="128"/>
      <c r="F159" s="129"/>
      <c r="G159" s="130"/>
      <c r="H159" s="131"/>
      <c r="I159" s="131">
        <f>Таблица22426[[#This Row],[Стоимость, 
грн]]</f>
        <v>0</v>
      </c>
      <c r="J159" s="12" t="e">
        <f>Таблица22426[[#This Row],[Доход, 
грн/рейс]]/Таблица22426[[#This Row],[Километраж, 
км]]</f>
        <v>#DIV/0!</v>
      </c>
      <c r="K159" s="132"/>
      <c r="L159" s="133" t="e">
        <f>Таблица22426[[#This Row],[СС, 
грн/рейс]]/Таблица22426[[#This Row],[Километраж, 
км]]</f>
        <v>#DIV/0!</v>
      </c>
      <c r="M159" s="134">
        <f>Таблица22426[[#This Row],[Доход, 
грн/рейс]]-Таблица22426[[#This Row],[СС, 
грн/рейс]]</f>
        <v>0</v>
      </c>
      <c r="N159" s="128"/>
    </row>
    <row r="160" spans="1:14" ht="13.2" hidden="1" x14ac:dyDescent="0.25">
      <c r="A160" s="124"/>
      <c r="B160" s="125"/>
      <c r="C160" s="126"/>
      <c r="D160" s="127"/>
      <c r="E160" s="128"/>
      <c r="F160" s="129"/>
      <c r="G160" s="130"/>
      <c r="H160" s="131"/>
      <c r="I160" s="131">
        <f>Таблица22426[[#This Row],[Стоимость, 
грн]]</f>
        <v>0</v>
      </c>
      <c r="J160" s="12" t="e">
        <f>Таблица22426[[#This Row],[Доход, 
грн/рейс]]/Таблица22426[[#This Row],[Километраж, 
км]]</f>
        <v>#DIV/0!</v>
      </c>
      <c r="K160" s="132"/>
      <c r="L160" s="133" t="e">
        <f>Таблица22426[[#This Row],[СС, 
грн/рейс]]/Таблица22426[[#This Row],[Километраж, 
км]]</f>
        <v>#DIV/0!</v>
      </c>
      <c r="M160" s="134">
        <f>Таблица22426[[#This Row],[Доход, 
грн/рейс]]-Таблица22426[[#This Row],[СС, 
грн/рейс]]</f>
        <v>0</v>
      </c>
      <c r="N160" s="128"/>
    </row>
    <row r="161" spans="1:14" ht="13.2" hidden="1" x14ac:dyDescent="0.25">
      <c r="A161" s="124"/>
      <c r="B161" s="125"/>
      <c r="C161" s="126"/>
      <c r="D161" s="127"/>
      <c r="E161" s="128"/>
      <c r="F161" s="129"/>
      <c r="G161" s="130"/>
      <c r="H161" s="131"/>
      <c r="I161" s="131">
        <f>Таблица22426[[#This Row],[Стоимость, 
грн]]</f>
        <v>0</v>
      </c>
      <c r="J161" s="12" t="e">
        <f>Таблица22426[[#This Row],[Доход, 
грн/рейс]]/Таблица22426[[#This Row],[Километраж, 
км]]</f>
        <v>#DIV/0!</v>
      </c>
      <c r="K161" s="132"/>
      <c r="L161" s="133" t="e">
        <f>Таблица22426[[#This Row],[СС, 
грн/рейс]]/Таблица22426[[#This Row],[Километраж, 
км]]</f>
        <v>#DIV/0!</v>
      </c>
      <c r="M161" s="134">
        <f>Таблица22426[[#This Row],[Доход, 
грн/рейс]]-Таблица22426[[#This Row],[СС, 
грн/рейс]]</f>
        <v>0</v>
      </c>
      <c r="N161" s="128"/>
    </row>
    <row r="162" spans="1:14" ht="13.2" hidden="1" x14ac:dyDescent="0.25">
      <c r="A162" s="124"/>
      <c r="B162" s="125"/>
      <c r="C162" s="126"/>
      <c r="D162" s="127"/>
      <c r="E162" s="128"/>
      <c r="F162" s="129"/>
      <c r="G162" s="130"/>
      <c r="H162" s="131"/>
      <c r="I162" s="131">
        <f>Таблица22426[[#This Row],[Стоимость, 
грн]]</f>
        <v>0</v>
      </c>
      <c r="J162" s="12" t="e">
        <f>Таблица22426[[#This Row],[Доход, 
грн/рейс]]/Таблица22426[[#This Row],[Километраж, 
км]]</f>
        <v>#DIV/0!</v>
      </c>
      <c r="K162" s="132"/>
      <c r="L162" s="133" t="e">
        <f>Таблица22426[[#This Row],[СС, 
грн/рейс]]/Таблица22426[[#This Row],[Километраж, 
км]]</f>
        <v>#DIV/0!</v>
      </c>
      <c r="M162" s="134">
        <f>Таблица22426[[#This Row],[Доход, 
грн/рейс]]-Таблица22426[[#This Row],[СС, 
грн/рейс]]</f>
        <v>0</v>
      </c>
      <c r="N162" s="128"/>
    </row>
    <row r="163" spans="1:14" ht="13.2" hidden="1" x14ac:dyDescent="0.25">
      <c r="A163" s="124"/>
      <c r="B163" s="125"/>
      <c r="C163" s="126"/>
      <c r="D163" s="127"/>
      <c r="E163" s="128"/>
      <c r="F163" s="129"/>
      <c r="G163" s="130"/>
      <c r="H163" s="131"/>
      <c r="I163" s="131">
        <f>Таблица22426[[#This Row],[Стоимость, 
грн]]</f>
        <v>0</v>
      </c>
      <c r="J163" s="12" t="e">
        <f>Таблица22426[[#This Row],[Доход, 
грн/рейс]]/Таблица22426[[#This Row],[Километраж, 
км]]</f>
        <v>#DIV/0!</v>
      </c>
      <c r="K163" s="132"/>
      <c r="L163" s="133" t="e">
        <f>Таблица22426[[#This Row],[СС, 
грн/рейс]]/Таблица22426[[#This Row],[Километраж, 
км]]</f>
        <v>#DIV/0!</v>
      </c>
      <c r="M163" s="134">
        <f>Таблица22426[[#This Row],[Доход, 
грн/рейс]]-Таблица22426[[#This Row],[СС, 
грн/рейс]]</f>
        <v>0</v>
      </c>
      <c r="N163" s="128"/>
    </row>
    <row r="164" spans="1:14" ht="13.2" hidden="1" x14ac:dyDescent="0.25">
      <c r="A164" s="124"/>
      <c r="B164" s="125"/>
      <c r="C164" s="126"/>
      <c r="D164" s="127"/>
      <c r="E164" s="128"/>
      <c r="F164" s="129"/>
      <c r="G164" s="130"/>
      <c r="H164" s="131"/>
      <c r="I164" s="131">
        <f>Таблица22426[[#This Row],[Стоимость, 
грн]]</f>
        <v>0</v>
      </c>
      <c r="J164" s="12" t="e">
        <f>Таблица22426[[#This Row],[Доход, 
грн/рейс]]/Таблица22426[[#This Row],[Километраж, 
км]]</f>
        <v>#DIV/0!</v>
      </c>
      <c r="K164" s="132"/>
      <c r="L164" s="133" t="e">
        <f>Таблица22426[[#This Row],[СС, 
грн/рейс]]/Таблица22426[[#This Row],[Километраж, 
км]]</f>
        <v>#DIV/0!</v>
      </c>
      <c r="M164" s="134">
        <f>Таблица22426[[#This Row],[Доход, 
грн/рейс]]-Таблица22426[[#This Row],[СС, 
грн/рейс]]</f>
        <v>0</v>
      </c>
      <c r="N164" s="128"/>
    </row>
    <row r="165" spans="1:14" ht="13.2" hidden="1" x14ac:dyDescent="0.25">
      <c r="A165" s="124"/>
      <c r="B165" s="125"/>
      <c r="C165" s="126"/>
      <c r="D165" s="127"/>
      <c r="E165" s="128"/>
      <c r="F165" s="129"/>
      <c r="G165" s="130"/>
      <c r="H165" s="131"/>
      <c r="I165" s="131">
        <f>Таблица22426[[#This Row],[Стоимость, 
грн]]</f>
        <v>0</v>
      </c>
      <c r="J165" s="12" t="e">
        <f>Таблица22426[[#This Row],[Доход, 
грн/рейс]]/Таблица22426[[#This Row],[Километраж, 
км]]</f>
        <v>#DIV/0!</v>
      </c>
      <c r="K165" s="132"/>
      <c r="L165" s="133" t="e">
        <f>Таблица22426[[#This Row],[СС, 
грн/рейс]]/Таблица22426[[#This Row],[Километраж, 
км]]</f>
        <v>#DIV/0!</v>
      </c>
      <c r="M165" s="134">
        <f>Таблица22426[[#This Row],[Доход, 
грн/рейс]]-Таблица22426[[#This Row],[СС, 
грн/рейс]]</f>
        <v>0</v>
      </c>
      <c r="N165" s="128"/>
    </row>
    <row r="166" spans="1:14" ht="13.2" hidden="1" x14ac:dyDescent="0.25">
      <c r="A166" s="124"/>
      <c r="B166" s="125"/>
      <c r="C166" s="126"/>
      <c r="D166" s="127"/>
      <c r="E166" s="128"/>
      <c r="F166" s="129"/>
      <c r="G166" s="130"/>
      <c r="H166" s="131"/>
      <c r="I166" s="131">
        <f>Таблица22426[[#This Row],[Стоимость, 
грн]]</f>
        <v>0</v>
      </c>
      <c r="J166" s="12" t="e">
        <f>Таблица22426[[#This Row],[Доход, 
грн/рейс]]/Таблица22426[[#This Row],[Километраж, 
км]]</f>
        <v>#DIV/0!</v>
      </c>
      <c r="K166" s="132"/>
      <c r="L166" s="133" t="e">
        <f>Таблица22426[[#This Row],[СС, 
грн/рейс]]/Таблица22426[[#This Row],[Километраж, 
км]]</f>
        <v>#DIV/0!</v>
      </c>
      <c r="M166" s="134">
        <f>Таблица22426[[#This Row],[Доход, 
грн/рейс]]-Таблица22426[[#This Row],[СС, 
грн/рейс]]</f>
        <v>0</v>
      </c>
      <c r="N166" s="128"/>
    </row>
    <row r="167" spans="1:14" ht="13.2" hidden="1" x14ac:dyDescent="0.25">
      <c r="A167" s="124"/>
      <c r="B167" s="125"/>
      <c r="C167" s="126"/>
      <c r="D167" s="127"/>
      <c r="E167" s="128"/>
      <c r="F167" s="129"/>
      <c r="G167" s="130"/>
      <c r="H167" s="131"/>
      <c r="I167" s="131">
        <f>Таблица22426[[#This Row],[Стоимость, 
грн]]</f>
        <v>0</v>
      </c>
      <c r="J167" s="12" t="e">
        <f>Таблица22426[[#This Row],[Доход, 
грн/рейс]]/Таблица22426[[#This Row],[Километраж, 
км]]</f>
        <v>#DIV/0!</v>
      </c>
      <c r="K167" s="132"/>
      <c r="L167" s="133" t="e">
        <f>Таблица22426[[#This Row],[СС, 
грн/рейс]]/Таблица22426[[#This Row],[Километраж, 
км]]</f>
        <v>#DIV/0!</v>
      </c>
      <c r="M167" s="134">
        <f>Таблица22426[[#This Row],[Доход, 
грн/рейс]]-Таблица22426[[#This Row],[СС, 
грн/рейс]]</f>
        <v>0</v>
      </c>
      <c r="N167" s="128"/>
    </row>
    <row r="168" spans="1:14" ht="13.2" hidden="1" x14ac:dyDescent="0.25">
      <c r="A168" s="124"/>
      <c r="B168" s="125"/>
      <c r="C168" s="126"/>
      <c r="D168" s="127"/>
      <c r="E168" s="128"/>
      <c r="F168" s="129"/>
      <c r="G168" s="130"/>
      <c r="H168" s="131"/>
      <c r="I168" s="131">
        <f>Таблица22426[[#This Row],[Стоимость, 
грн]]</f>
        <v>0</v>
      </c>
      <c r="J168" s="12" t="e">
        <f>Таблица22426[[#This Row],[Доход, 
грн/рейс]]/Таблица22426[[#This Row],[Километраж, 
км]]</f>
        <v>#DIV/0!</v>
      </c>
      <c r="K168" s="132"/>
      <c r="L168" s="133" t="e">
        <f>Таблица22426[[#This Row],[СС, 
грн/рейс]]/Таблица22426[[#This Row],[Километраж, 
км]]</f>
        <v>#DIV/0!</v>
      </c>
      <c r="M168" s="134">
        <f>Таблица22426[[#This Row],[Доход, 
грн/рейс]]-Таблица22426[[#This Row],[СС, 
грн/рейс]]</f>
        <v>0</v>
      </c>
      <c r="N168" s="128"/>
    </row>
    <row r="169" spans="1:14" ht="13.2" hidden="1" x14ac:dyDescent="0.25">
      <c r="A169" s="124"/>
      <c r="B169" s="125"/>
      <c r="C169" s="126"/>
      <c r="D169" s="127"/>
      <c r="E169" s="128"/>
      <c r="F169" s="129"/>
      <c r="G169" s="130"/>
      <c r="H169" s="131"/>
      <c r="I169" s="131">
        <f>Таблица22426[[#This Row],[Стоимость, 
грн]]</f>
        <v>0</v>
      </c>
      <c r="J169" s="12" t="e">
        <f>Таблица22426[[#This Row],[Доход, 
грн/рейс]]/Таблица22426[[#This Row],[Километраж, 
км]]</f>
        <v>#DIV/0!</v>
      </c>
      <c r="K169" s="132"/>
      <c r="L169" s="133" t="e">
        <f>Таблица22426[[#This Row],[СС, 
грн/рейс]]/Таблица22426[[#This Row],[Километраж, 
км]]</f>
        <v>#DIV/0!</v>
      </c>
      <c r="M169" s="134">
        <f>Таблица22426[[#This Row],[Доход, 
грн/рейс]]-Таблица22426[[#This Row],[СС, 
грн/рейс]]</f>
        <v>0</v>
      </c>
      <c r="N169" s="128"/>
    </row>
    <row r="170" spans="1:14" ht="13.2" hidden="1" x14ac:dyDescent="0.25">
      <c r="A170" s="124"/>
      <c r="B170" s="125"/>
      <c r="C170" s="126"/>
      <c r="D170" s="127"/>
      <c r="E170" s="128"/>
      <c r="F170" s="129"/>
      <c r="G170" s="130"/>
      <c r="H170" s="131"/>
      <c r="I170" s="131">
        <f>Таблица22426[[#This Row],[Стоимость, 
грн]]</f>
        <v>0</v>
      </c>
      <c r="J170" s="12" t="e">
        <f>Таблица22426[[#This Row],[Доход, 
грн/рейс]]/Таблица22426[[#This Row],[Километраж, 
км]]</f>
        <v>#DIV/0!</v>
      </c>
      <c r="K170" s="132"/>
      <c r="L170" s="133" t="e">
        <f>Таблица22426[[#This Row],[СС, 
грн/рейс]]/Таблица22426[[#This Row],[Километраж, 
км]]</f>
        <v>#DIV/0!</v>
      </c>
      <c r="M170" s="134">
        <f>Таблица22426[[#This Row],[Доход, 
грн/рейс]]-Таблица22426[[#This Row],[СС, 
грн/рейс]]</f>
        <v>0</v>
      </c>
      <c r="N170" s="128"/>
    </row>
    <row r="171" spans="1:14" ht="13.2" hidden="1" x14ac:dyDescent="0.25">
      <c r="A171" s="124"/>
      <c r="B171" s="125"/>
      <c r="C171" s="126"/>
      <c r="D171" s="127"/>
      <c r="E171" s="128"/>
      <c r="F171" s="129"/>
      <c r="G171" s="130"/>
      <c r="H171" s="131"/>
      <c r="I171" s="131">
        <f>Таблица22426[[#This Row],[Стоимость, 
грн]]</f>
        <v>0</v>
      </c>
      <c r="J171" s="12" t="e">
        <f>Таблица22426[[#This Row],[Доход, 
грн/рейс]]/Таблица22426[[#This Row],[Километраж, 
км]]</f>
        <v>#DIV/0!</v>
      </c>
      <c r="K171" s="132"/>
      <c r="L171" s="133" t="e">
        <f>Таблица22426[[#This Row],[СС, 
грн/рейс]]/Таблица22426[[#This Row],[Километраж, 
км]]</f>
        <v>#DIV/0!</v>
      </c>
      <c r="M171" s="134">
        <f>Таблица22426[[#This Row],[Доход, 
грн/рейс]]-Таблица22426[[#This Row],[СС, 
грн/рейс]]</f>
        <v>0</v>
      </c>
      <c r="N171" s="128"/>
    </row>
    <row r="172" spans="1:14" ht="13.2" hidden="1" x14ac:dyDescent="0.25">
      <c r="A172" s="124"/>
      <c r="B172" s="125"/>
      <c r="C172" s="126"/>
      <c r="D172" s="127"/>
      <c r="E172" s="128"/>
      <c r="F172" s="129"/>
      <c r="G172" s="130"/>
      <c r="H172" s="131"/>
      <c r="I172" s="131">
        <f>Таблица22426[[#This Row],[Стоимость, 
грн]]</f>
        <v>0</v>
      </c>
      <c r="J172" s="12" t="e">
        <f>Таблица22426[[#This Row],[Доход, 
грн/рейс]]/Таблица22426[[#This Row],[Километраж, 
км]]</f>
        <v>#DIV/0!</v>
      </c>
      <c r="K172" s="132"/>
      <c r="L172" s="133" t="e">
        <f>Таблица22426[[#This Row],[СС, 
грн/рейс]]/Таблица22426[[#This Row],[Километраж, 
км]]</f>
        <v>#DIV/0!</v>
      </c>
      <c r="M172" s="134">
        <f>Таблица22426[[#This Row],[Доход, 
грн/рейс]]-Таблица22426[[#This Row],[СС, 
грн/рейс]]</f>
        <v>0</v>
      </c>
      <c r="N172" s="128"/>
    </row>
    <row r="173" spans="1:14" ht="13.2" hidden="1" x14ac:dyDescent="0.25">
      <c r="A173" s="124"/>
      <c r="B173" s="125"/>
      <c r="C173" s="126"/>
      <c r="D173" s="127"/>
      <c r="E173" s="128"/>
      <c r="F173" s="129"/>
      <c r="G173" s="130"/>
      <c r="H173" s="131"/>
      <c r="I173" s="131">
        <f>Таблица22426[[#This Row],[Стоимость, 
грн]]</f>
        <v>0</v>
      </c>
      <c r="J173" s="12" t="e">
        <f>Таблица22426[[#This Row],[Доход, 
грн/рейс]]/Таблица22426[[#This Row],[Километраж, 
км]]</f>
        <v>#DIV/0!</v>
      </c>
      <c r="K173" s="132"/>
      <c r="L173" s="133" t="e">
        <f>Таблица22426[[#This Row],[СС, 
грн/рейс]]/Таблица22426[[#This Row],[Километраж, 
км]]</f>
        <v>#DIV/0!</v>
      </c>
      <c r="M173" s="134">
        <f>Таблица22426[[#This Row],[Доход, 
грн/рейс]]-Таблица22426[[#This Row],[СС, 
грн/рейс]]</f>
        <v>0</v>
      </c>
      <c r="N173" s="128"/>
    </row>
    <row r="174" spans="1:14" ht="13.2" hidden="1" x14ac:dyDescent="0.25">
      <c r="A174" s="124"/>
      <c r="B174" s="125"/>
      <c r="C174" s="126"/>
      <c r="D174" s="127"/>
      <c r="E174" s="128"/>
      <c r="F174" s="129"/>
      <c r="G174" s="130"/>
      <c r="H174" s="131"/>
      <c r="I174" s="131">
        <f>Таблица22426[[#This Row],[Стоимость, 
грн]]</f>
        <v>0</v>
      </c>
      <c r="J174" s="12" t="e">
        <f>Таблица22426[[#This Row],[Доход, 
грн/рейс]]/Таблица22426[[#This Row],[Километраж, 
км]]</f>
        <v>#DIV/0!</v>
      </c>
      <c r="K174" s="132"/>
      <c r="L174" s="133" t="e">
        <f>Таблица22426[[#This Row],[СС, 
грн/рейс]]/Таблица22426[[#This Row],[Километраж, 
км]]</f>
        <v>#DIV/0!</v>
      </c>
      <c r="M174" s="134">
        <f>Таблица22426[[#This Row],[Доход, 
грн/рейс]]-Таблица22426[[#This Row],[СС, 
грн/рейс]]</f>
        <v>0</v>
      </c>
      <c r="N174" s="128"/>
    </row>
    <row r="175" spans="1:14" ht="13.2" hidden="1" x14ac:dyDescent="0.25">
      <c r="A175" s="124"/>
      <c r="B175" s="125"/>
      <c r="C175" s="126"/>
      <c r="D175" s="127"/>
      <c r="E175" s="128"/>
      <c r="F175" s="129"/>
      <c r="G175" s="130"/>
      <c r="H175" s="131"/>
      <c r="I175" s="131">
        <f>Таблица22426[[#This Row],[Стоимость, 
грн]]</f>
        <v>0</v>
      </c>
      <c r="J175" s="12" t="e">
        <f>Таблица22426[[#This Row],[Доход, 
грн/рейс]]/Таблица22426[[#This Row],[Километраж, 
км]]</f>
        <v>#DIV/0!</v>
      </c>
      <c r="K175" s="132"/>
      <c r="L175" s="133" t="e">
        <f>Таблица22426[[#This Row],[СС, 
грн/рейс]]/Таблица22426[[#This Row],[Километраж, 
км]]</f>
        <v>#DIV/0!</v>
      </c>
      <c r="M175" s="134">
        <f>Таблица22426[[#This Row],[Доход, 
грн/рейс]]-Таблица22426[[#This Row],[СС, 
грн/рейс]]</f>
        <v>0</v>
      </c>
      <c r="N175" s="128"/>
    </row>
    <row r="176" spans="1:14" ht="13.2" hidden="1" x14ac:dyDescent="0.25">
      <c r="A176" s="124"/>
      <c r="B176" s="125"/>
      <c r="C176" s="126"/>
      <c r="D176" s="127"/>
      <c r="E176" s="128"/>
      <c r="F176" s="129"/>
      <c r="G176" s="130"/>
      <c r="H176" s="131"/>
      <c r="I176" s="131">
        <f>Таблица22426[[#This Row],[Стоимость, 
грн]]</f>
        <v>0</v>
      </c>
      <c r="J176" s="12" t="e">
        <f>Таблица22426[[#This Row],[Доход, 
грн/рейс]]/Таблица22426[[#This Row],[Километраж, 
км]]</f>
        <v>#DIV/0!</v>
      </c>
      <c r="K176" s="132"/>
      <c r="L176" s="133" t="e">
        <f>Таблица22426[[#This Row],[СС, 
грн/рейс]]/Таблица22426[[#This Row],[Километраж, 
км]]</f>
        <v>#DIV/0!</v>
      </c>
      <c r="M176" s="134">
        <f>Таблица22426[[#This Row],[Доход, 
грн/рейс]]-Таблица22426[[#This Row],[СС, 
грн/рейс]]</f>
        <v>0</v>
      </c>
      <c r="N176" s="128"/>
    </row>
    <row r="177" spans="1:14" ht="13.2" hidden="1" x14ac:dyDescent="0.25">
      <c r="A177" s="124"/>
      <c r="B177" s="125"/>
      <c r="C177" s="126"/>
      <c r="D177" s="127"/>
      <c r="E177" s="128"/>
      <c r="F177" s="129"/>
      <c r="G177" s="130"/>
      <c r="H177" s="131"/>
      <c r="I177" s="131">
        <f>Таблица22426[[#This Row],[Стоимость, 
грн]]</f>
        <v>0</v>
      </c>
      <c r="J177" s="12" t="e">
        <f>Таблица22426[[#This Row],[Доход, 
грн/рейс]]/Таблица22426[[#This Row],[Километраж, 
км]]</f>
        <v>#DIV/0!</v>
      </c>
      <c r="K177" s="132"/>
      <c r="L177" s="133" t="e">
        <f>Таблица22426[[#This Row],[СС, 
грн/рейс]]/Таблица22426[[#This Row],[Километраж, 
км]]</f>
        <v>#DIV/0!</v>
      </c>
      <c r="M177" s="134">
        <f>Таблица22426[[#This Row],[Доход, 
грн/рейс]]-Таблица22426[[#This Row],[СС, 
грн/рейс]]</f>
        <v>0</v>
      </c>
      <c r="N177" s="128"/>
    </row>
    <row r="178" spans="1:14" ht="13.2" hidden="1" x14ac:dyDescent="0.25">
      <c r="A178" s="124"/>
      <c r="B178" s="125"/>
      <c r="C178" s="126"/>
      <c r="D178" s="127"/>
      <c r="E178" s="128"/>
      <c r="F178" s="129"/>
      <c r="G178" s="130"/>
      <c r="H178" s="131"/>
      <c r="I178" s="131">
        <f>Таблица22426[[#This Row],[Стоимость, 
грн]]</f>
        <v>0</v>
      </c>
      <c r="J178" s="12" t="e">
        <f>Таблица22426[[#This Row],[Доход, 
грн/рейс]]/Таблица22426[[#This Row],[Километраж, 
км]]</f>
        <v>#DIV/0!</v>
      </c>
      <c r="K178" s="132"/>
      <c r="L178" s="133" t="e">
        <f>Таблица22426[[#This Row],[СС, 
грн/рейс]]/Таблица22426[[#This Row],[Километраж, 
км]]</f>
        <v>#DIV/0!</v>
      </c>
      <c r="M178" s="134">
        <f>Таблица22426[[#This Row],[Доход, 
грн/рейс]]-Таблица22426[[#This Row],[СС, 
грн/рейс]]</f>
        <v>0</v>
      </c>
      <c r="N178" s="128"/>
    </row>
    <row r="179" spans="1:14" ht="13.2" hidden="1" x14ac:dyDescent="0.25">
      <c r="A179" s="124"/>
      <c r="B179" s="125"/>
      <c r="C179" s="126"/>
      <c r="D179" s="127"/>
      <c r="E179" s="128"/>
      <c r="F179" s="129"/>
      <c r="G179" s="130"/>
      <c r="H179" s="131"/>
      <c r="I179" s="131">
        <f>Таблица22426[[#This Row],[Стоимость, 
грн]]</f>
        <v>0</v>
      </c>
      <c r="J179" s="12" t="e">
        <f>Таблица22426[[#This Row],[Доход, 
грн/рейс]]/Таблица22426[[#This Row],[Километраж, 
км]]</f>
        <v>#DIV/0!</v>
      </c>
      <c r="K179" s="132"/>
      <c r="L179" s="133" t="e">
        <f>Таблица22426[[#This Row],[СС, 
грн/рейс]]/Таблица22426[[#This Row],[Километраж, 
км]]</f>
        <v>#DIV/0!</v>
      </c>
      <c r="M179" s="134">
        <f>Таблица22426[[#This Row],[Доход, 
грн/рейс]]-Таблица22426[[#This Row],[СС, 
грн/рейс]]</f>
        <v>0</v>
      </c>
      <c r="N179" s="128"/>
    </row>
    <row r="180" spans="1:14" ht="13.2" hidden="1" x14ac:dyDescent="0.25">
      <c r="A180" s="124"/>
      <c r="B180" s="125"/>
      <c r="C180" s="126"/>
      <c r="D180" s="127"/>
      <c r="E180" s="128"/>
      <c r="F180" s="129"/>
      <c r="G180" s="130"/>
      <c r="H180" s="131"/>
      <c r="I180" s="131">
        <f>Таблица22426[[#This Row],[Стоимость, 
грн]]</f>
        <v>0</v>
      </c>
      <c r="J180" s="12" t="e">
        <f>Таблица22426[[#This Row],[Доход, 
грн/рейс]]/Таблица22426[[#This Row],[Километраж, 
км]]</f>
        <v>#DIV/0!</v>
      </c>
      <c r="K180" s="132"/>
      <c r="L180" s="133" t="e">
        <f>Таблица22426[[#This Row],[СС, 
грн/рейс]]/Таблица22426[[#This Row],[Километраж, 
км]]</f>
        <v>#DIV/0!</v>
      </c>
      <c r="M180" s="134">
        <f>Таблица22426[[#This Row],[Доход, 
грн/рейс]]-Таблица22426[[#This Row],[СС, 
грн/рейс]]</f>
        <v>0</v>
      </c>
      <c r="N180" s="128"/>
    </row>
    <row r="181" spans="1:14" ht="13.2" hidden="1" x14ac:dyDescent="0.25">
      <c r="A181" s="124"/>
      <c r="B181" s="125"/>
      <c r="C181" s="126"/>
      <c r="D181" s="127"/>
      <c r="E181" s="128"/>
      <c r="F181" s="129"/>
      <c r="G181" s="130"/>
      <c r="H181" s="131"/>
      <c r="I181" s="131">
        <f>Таблица22426[[#This Row],[Стоимость, 
грн]]</f>
        <v>0</v>
      </c>
      <c r="J181" s="12" t="e">
        <f>Таблица22426[[#This Row],[Доход, 
грн/рейс]]/Таблица22426[[#This Row],[Километраж, 
км]]</f>
        <v>#DIV/0!</v>
      </c>
      <c r="K181" s="132"/>
      <c r="L181" s="133" t="e">
        <f>Таблица22426[[#This Row],[СС, 
грн/рейс]]/Таблица22426[[#This Row],[Километраж, 
км]]</f>
        <v>#DIV/0!</v>
      </c>
      <c r="M181" s="134">
        <f>Таблица22426[[#This Row],[Доход, 
грн/рейс]]-Таблица22426[[#This Row],[СС, 
грн/рейс]]</f>
        <v>0</v>
      </c>
      <c r="N181" s="128"/>
    </row>
    <row r="182" spans="1:14" ht="13.2" hidden="1" x14ac:dyDescent="0.25">
      <c r="A182" s="124"/>
      <c r="B182" s="125"/>
      <c r="C182" s="126"/>
      <c r="D182" s="127"/>
      <c r="E182" s="128"/>
      <c r="F182" s="129"/>
      <c r="G182" s="130"/>
      <c r="H182" s="131"/>
      <c r="I182" s="131">
        <f>Таблица22426[[#This Row],[Стоимость, 
грн]]</f>
        <v>0</v>
      </c>
      <c r="J182" s="12" t="e">
        <f>Таблица22426[[#This Row],[Доход, 
грн/рейс]]/Таблица22426[[#This Row],[Километраж, 
км]]</f>
        <v>#DIV/0!</v>
      </c>
      <c r="K182" s="132"/>
      <c r="L182" s="133" t="e">
        <f>Таблица22426[[#This Row],[СС, 
грн/рейс]]/Таблица22426[[#This Row],[Километраж, 
км]]</f>
        <v>#DIV/0!</v>
      </c>
      <c r="M182" s="134">
        <f>Таблица22426[[#This Row],[Доход, 
грн/рейс]]-Таблица22426[[#This Row],[СС, 
грн/рейс]]</f>
        <v>0</v>
      </c>
      <c r="N182" s="128"/>
    </row>
    <row r="183" spans="1:14" ht="13.2" hidden="1" x14ac:dyDescent="0.25">
      <c r="A183" s="124"/>
      <c r="B183" s="125"/>
      <c r="C183" s="126"/>
      <c r="D183" s="127"/>
      <c r="E183" s="128"/>
      <c r="F183" s="129"/>
      <c r="G183" s="130"/>
      <c r="H183" s="131"/>
      <c r="I183" s="131">
        <f>Таблица22426[[#This Row],[Стоимость, 
грн]]</f>
        <v>0</v>
      </c>
      <c r="J183" s="12" t="e">
        <f>Таблица22426[[#This Row],[Доход, 
грн/рейс]]/Таблица22426[[#This Row],[Километраж, 
км]]</f>
        <v>#DIV/0!</v>
      </c>
      <c r="K183" s="132"/>
      <c r="L183" s="133" t="e">
        <f>Таблица22426[[#This Row],[СС, 
грн/рейс]]/Таблица22426[[#This Row],[Километраж, 
км]]</f>
        <v>#DIV/0!</v>
      </c>
      <c r="M183" s="134">
        <f>Таблица22426[[#This Row],[Доход, 
грн/рейс]]-Таблица22426[[#This Row],[СС, 
грн/рейс]]</f>
        <v>0</v>
      </c>
      <c r="N183" s="128"/>
    </row>
    <row r="184" spans="1:14" ht="13.2" hidden="1" x14ac:dyDescent="0.25">
      <c r="A184" s="124"/>
      <c r="B184" s="125"/>
      <c r="C184" s="126"/>
      <c r="D184" s="127"/>
      <c r="E184" s="128"/>
      <c r="F184" s="129"/>
      <c r="G184" s="130"/>
      <c r="H184" s="131"/>
      <c r="I184" s="131">
        <f>Таблица22426[[#This Row],[Стоимость, 
грн]]</f>
        <v>0</v>
      </c>
      <c r="J184" s="12" t="e">
        <f>Таблица22426[[#This Row],[Доход, 
грн/рейс]]/Таблица22426[[#This Row],[Километраж, 
км]]</f>
        <v>#DIV/0!</v>
      </c>
      <c r="K184" s="132"/>
      <c r="L184" s="133" t="e">
        <f>Таблица22426[[#This Row],[СС, 
грн/рейс]]/Таблица22426[[#This Row],[Километраж, 
км]]</f>
        <v>#DIV/0!</v>
      </c>
      <c r="M184" s="134">
        <f>Таблица22426[[#This Row],[Доход, 
грн/рейс]]-Таблица22426[[#This Row],[СС, 
грн/рейс]]</f>
        <v>0</v>
      </c>
      <c r="N184" s="128"/>
    </row>
    <row r="185" spans="1:14" ht="13.2" hidden="1" x14ac:dyDescent="0.25">
      <c r="A185" s="124"/>
      <c r="B185" s="125"/>
      <c r="C185" s="126"/>
      <c r="D185" s="127"/>
      <c r="E185" s="128"/>
      <c r="F185" s="129"/>
      <c r="G185" s="130"/>
      <c r="H185" s="131"/>
      <c r="I185" s="131">
        <f>Таблица22426[[#This Row],[Стоимость, 
грн]]</f>
        <v>0</v>
      </c>
      <c r="J185" s="12" t="e">
        <f>Таблица22426[[#This Row],[Доход, 
грн/рейс]]/Таблица22426[[#This Row],[Километраж, 
км]]</f>
        <v>#DIV/0!</v>
      </c>
      <c r="K185" s="132"/>
      <c r="L185" s="133" t="e">
        <f>Таблица22426[[#This Row],[СС, 
грн/рейс]]/Таблица22426[[#This Row],[Километраж, 
км]]</f>
        <v>#DIV/0!</v>
      </c>
      <c r="M185" s="134">
        <f>Таблица22426[[#This Row],[Доход, 
грн/рейс]]-Таблица22426[[#This Row],[СС, 
грн/рейс]]</f>
        <v>0</v>
      </c>
      <c r="N185" s="128"/>
    </row>
    <row r="186" spans="1:14" ht="13.2" hidden="1" x14ac:dyDescent="0.25">
      <c r="A186" s="124"/>
      <c r="B186" s="125"/>
      <c r="C186" s="126"/>
      <c r="D186" s="127"/>
      <c r="E186" s="128"/>
      <c r="F186" s="129"/>
      <c r="G186" s="130"/>
      <c r="H186" s="131"/>
      <c r="I186" s="131">
        <f>Таблица22426[[#This Row],[Стоимость, 
грн]]</f>
        <v>0</v>
      </c>
      <c r="J186" s="12" t="e">
        <f>Таблица22426[[#This Row],[Доход, 
грн/рейс]]/Таблица22426[[#This Row],[Километраж, 
км]]</f>
        <v>#DIV/0!</v>
      </c>
      <c r="K186" s="132"/>
      <c r="L186" s="133" t="e">
        <f>Таблица22426[[#This Row],[СС, 
грн/рейс]]/Таблица22426[[#This Row],[Километраж, 
км]]</f>
        <v>#DIV/0!</v>
      </c>
      <c r="M186" s="134">
        <f>Таблица22426[[#This Row],[Доход, 
грн/рейс]]-Таблица22426[[#This Row],[СС, 
грн/рейс]]</f>
        <v>0</v>
      </c>
      <c r="N186" s="128"/>
    </row>
    <row r="187" spans="1:14" ht="13.2" hidden="1" x14ac:dyDescent="0.25">
      <c r="A187" s="124"/>
      <c r="B187" s="125"/>
      <c r="C187" s="126"/>
      <c r="D187" s="127"/>
      <c r="E187" s="128"/>
      <c r="F187" s="129"/>
      <c r="G187" s="130"/>
      <c r="H187" s="131"/>
      <c r="I187" s="131">
        <f>Таблица22426[[#This Row],[Стоимость, 
грн]]</f>
        <v>0</v>
      </c>
      <c r="J187" s="12" t="e">
        <f>Таблица22426[[#This Row],[Доход, 
грн/рейс]]/Таблица22426[[#This Row],[Километраж, 
км]]</f>
        <v>#DIV/0!</v>
      </c>
      <c r="K187" s="132"/>
      <c r="L187" s="133" t="e">
        <f>Таблица22426[[#This Row],[СС, 
грн/рейс]]/Таблица22426[[#This Row],[Километраж, 
км]]</f>
        <v>#DIV/0!</v>
      </c>
      <c r="M187" s="134">
        <f>Таблица22426[[#This Row],[Доход, 
грн/рейс]]-Таблица22426[[#This Row],[СС, 
грн/рейс]]</f>
        <v>0</v>
      </c>
      <c r="N187" s="128"/>
    </row>
    <row r="188" spans="1:14" ht="13.2" hidden="1" x14ac:dyDescent="0.25">
      <c r="A188" s="124"/>
      <c r="B188" s="125"/>
      <c r="C188" s="126"/>
      <c r="D188" s="127"/>
      <c r="E188" s="128"/>
      <c r="F188" s="129"/>
      <c r="G188" s="130"/>
      <c r="H188" s="131"/>
      <c r="I188" s="131">
        <f>Таблица22426[[#This Row],[Стоимость, 
грн]]</f>
        <v>0</v>
      </c>
      <c r="J188" s="12" t="e">
        <f>Таблица22426[[#This Row],[Доход, 
грн/рейс]]/Таблица22426[[#This Row],[Километраж, 
км]]</f>
        <v>#DIV/0!</v>
      </c>
      <c r="K188" s="132"/>
      <c r="L188" s="133" t="e">
        <f>Таблица22426[[#This Row],[СС, 
грн/рейс]]/Таблица22426[[#This Row],[Километраж, 
км]]</f>
        <v>#DIV/0!</v>
      </c>
      <c r="M188" s="134">
        <f>Таблица22426[[#This Row],[Доход, 
грн/рейс]]-Таблица22426[[#This Row],[СС, 
грн/рейс]]</f>
        <v>0</v>
      </c>
      <c r="N188" s="128"/>
    </row>
    <row r="189" spans="1:14" ht="13.2" hidden="1" x14ac:dyDescent="0.25">
      <c r="A189" s="124"/>
      <c r="B189" s="125"/>
      <c r="C189" s="126"/>
      <c r="D189" s="127"/>
      <c r="E189" s="128"/>
      <c r="F189" s="129"/>
      <c r="G189" s="130"/>
      <c r="H189" s="131"/>
      <c r="I189" s="131">
        <f>Таблица22426[[#This Row],[Стоимость, 
грн]]</f>
        <v>0</v>
      </c>
      <c r="J189" s="12" t="e">
        <f>Таблица22426[[#This Row],[Доход, 
грн/рейс]]/Таблица22426[[#This Row],[Километраж, 
км]]</f>
        <v>#DIV/0!</v>
      </c>
      <c r="K189" s="132"/>
      <c r="L189" s="133" t="e">
        <f>Таблица22426[[#This Row],[СС, 
грн/рейс]]/Таблица22426[[#This Row],[Километраж, 
км]]</f>
        <v>#DIV/0!</v>
      </c>
      <c r="M189" s="134">
        <f>Таблица22426[[#This Row],[Доход, 
грн/рейс]]-Таблица22426[[#This Row],[СС, 
грн/рейс]]</f>
        <v>0</v>
      </c>
      <c r="N189" s="128"/>
    </row>
    <row r="190" spans="1:14" ht="13.2" hidden="1" x14ac:dyDescent="0.25">
      <c r="A190" s="124"/>
      <c r="B190" s="125"/>
      <c r="C190" s="126"/>
      <c r="D190" s="127"/>
      <c r="E190" s="128"/>
      <c r="F190" s="129"/>
      <c r="G190" s="130"/>
      <c r="H190" s="131"/>
      <c r="I190" s="131">
        <f>Таблица22426[[#This Row],[Стоимость, 
грн]]</f>
        <v>0</v>
      </c>
      <c r="J190" s="12" t="e">
        <f>Таблица22426[[#This Row],[Доход, 
грн/рейс]]/Таблица22426[[#This Row],[Километраж, 
км]]</f>
        <v>#DIV/0!</v>
      </c>
      <c r="K190" s="132"/>
      <c r="L190" s="133" t="e">
        <f>Таблица22426[[#This Row],[СС, 
грн/рейс]]/Таблица22426[[#This Row],[Километраж, 
км]]</f>
        <v>#DIV/0!</v>
      </c>
      <c r="M190" s="134">
        <f>Таблица22426[[#This Row],[Доход, 
грн/рейс]]-Таблица22426[[#This Row],[СС, 
грн/рейс]]</f>
        <v>0</v>
      </c>
      <c r="N190" s="128"/>
    </row>
    <row r="191" spans="1:14" ht="13.2" hidden="1" x14ac:dyDescent="0.25">
      <c r="A191" s="124"/>
      <c r="B191" s="125"/>
      <c r="C191" s="126"/>
      <c r="D191" s="127"/>
      <c r="E191" s="128"/>
      <c r="F191" s="129"/>
      <c r="G191" s="130"/>
      <c r="H191" s="131"/>
      <c r="I191" s="131">
        <f>Таблица22426[[#This Row],[Стоимость, 
грн]]</f>
        <v>0</v>
      </c>
      <c r="J191" s="12" t="e">
        <f>Таблица22426[[#This Row],[Доход, 
грн/рейс]]/Таблица22426[[#This Row],[Километраж, 
км]]</f>
        <v>#DIV/0!</v>
      </c>
      <c r="K191" s="132"/>
      <c r="L191" s="133" t="e">
        <f>Таблица22426[[#This Row],[СС, 
грн/рейс]]/Таблица22426[[#This Row],[Километраж, 
км]]</f>
        <v>#DIV/0!</v>
      </c>
      <c r="M191" s="134">
        <f>Таблица22426[[#This Row],[Доход, 
грн/рейс]]-Таблица22426[[#This Row],[СС, 
грн/рейс]]</f>
        <v>0</v>
      </c>
      <c r="N191" s="128"/>
    </row>
    <row r="192" spans="1:14" ht="13.2" hidden="1" x14ac:dyDescent="0.25">
      <c r="A192" s="124"/>
      <c r="B192" s="125"/>
      <c r="C192" s="126"/>
      <c r="D192" s="127"/>
      <c r="E192" s="128"/>
      <c r="F192" s="129"/>
      <c r="G192" s="130"/>
      <c r="H192" s="131"/>
      <c r="I192" s="131">
        <f>Таблица22426[[#This Row],[Стоимость, 
грн]]</f>
        <v>0</v>
      </c>
      <c r="J192" s="12" t="e">
        <f>Таблица22426[[#This Row],[Доход, 
грн/рейс]]/Таблица22426[[#This Row],[Километраж, 
км]]</f>
        <v>#DIV/0!</v>
      </c>
      <c r="K192" s="132"/>
      <c r="L192" s="133" t="e">
        <f>Таблица22426[[#This Row],[СС, 
грн/рейс]]/Таблица22426[[#This Row],[Километраж, 
км]]</f>
        <v>#DIV/0!</v>
      </c>
      <c r="M192" s="134">
        <f>Таблица22426[[#This Row],[Доход, 
грн/рейс]]-Таблица22426[[#This Row],[СС, 
грн/рейс]]</f>
        <v>0</v>
      </c>
      <c r="N192" s="128"/>
    </row>
    <row r="193" spans="1:14" ht="13.2" hidden="1" x14ac:dyDescent="0.25">
      <c r="A193" s="124"/>
      <c r="B193" s="125"/>
      <c r="C193" s="126"/>
      <c r="D193" s="127"/>
      <c r="E193" s="128"/>
      <c r="F193" s="129"/>
      <c r="G193" s="130"/>
      <c r="H193" s="131"/>
      <c r="I193" s="131">
        <f>Таблица22426[[#This Row],[Стоимость, 
грн]]</f>
        <v>0</v>
      </c>
      <c r="J193" s="12" t="e">
        <f>Таблица22426[[#This Row],[Доход, 
грн/рейс]]/Таблица22426[[#This Row],[Километраж, 
км]]</f>
        <v>#DIV/0!</v>
      </c>
      <c r="K193" s="132"/>
      <c r="L193" s="133" t="e">
        <f>Таблица22426[[#This Row],[СС, 
грн/рейс]]/Таблица22426[[#This Row],[Километраж, 
км]]</f>
        <v>#DIV/0!</v>
      </c>
      <c r="M193" s="134">
        <f>Таблица22426[[#This Row],[Доход, 
грн/рейс]]-Таблица22426[[#This Row],[СС, 
грн/рейс]]</f>
        <v>0</v>
      </c>
      <c r="N193" s="128"/>
    </row>
    <row r="194" spans="1:14" ht="13.2" hidden="1" x14ac:dyDescent="0.25">
      <c r="A194" s="124"/>
      <c r="B194" s="125"/>
      <c r="C194" s="126"/>
      <c r="D194" s="127"/>
      <c r="E194" s="128"/>
      <c r="F194" s="129"/>
      <c r="G194" s="130"/>
      <c r="H194" s="131"/>
      <c r="I194" s="131">
        <f>Таблица22426[[#This Row],[Стоимость, 
грн]]</f>
        <v>0</v>
      </c>
      <c r="J194" s="12" t="e">
        <f>Таблица22426[[#This Row],[Доход, 
грн/рейс]]/Таблица22426[[#This Row],[Километраж, 
км]]</f>
        <v>#DIV/0!</v>
      </c>
      <c r="K194" s="132"/>
      <c r="L194" s="133" t="e">
        <f>Таблица22426[[#This Row],[СС, 
грн/рейс]]/Таблица22426[[#This Row],[Километраж, 
км]]</f>
        <v>#DIV/0!</v>
      </c>
      <c r="M194" s="134">
        <f>Таблица22426[[#This Row],[Доход, 
грн/рейс]]-Таблица22426[[#This Row],[СС, 
грн/рейс]]</f>
        <v>0</v>
      </c>
      <c r="N194" s="128"/>
    </row>
    <row r="195" spans="1:14" ht="13.2" hidden="1" x14ac:dyDescent="0.25">
      <c r="A195" s="124"/>
      <c r="B195" s="125"/>
      <c r="C195" s="126"/>
      <c r="D195" s="127"/>
      <c r="E195" s="128"/>
      <c r="F195" s="129"/>
      <c r="G195" s="130"/>
      <c r="H195" s="131"/>
      <c r="I195" s="131">
        <f>Таблица22426[[#This Row],[Стоимость, 
грн]]</f>
        <v>0</v>
      </c>
      <c r="J195" s="12" t="e">
        <f>Таблица22426[[#This Row],[Доход, 
грн/рейс]]/Таблица22426[[#This Row],[Километраж, 
км]]</f>
        <v>#DIV/0!</v>
      </c>
      <c r="K195" s="132"/>
      <c r="L195" s="133" t="e">
        <f>Таблица22426[[#This Row],[СС, 
грн/рейс]]/Таблица22426[[#This Row],[Километраж, 
км]]</f>
        <v>#DIV/0!</v>
      </c>
      <c r="M195" s="134">
        <f>Таблица22426[[#This Row],[Доход, 
грн/рейс]]-Таблица22426[[#This Row],[СС, 
грн/рейс]]</f>
        <v>0</v>
      </c>
      <c r="N195" s="128"/>
    </row>
    <row r="196" spans="1:14" ht="13.2" hidden="1" x14ac:dyDescent="0.25">
      <c r="A196" s="124"/>
      <c r="B196" s="125"/>
      <c r="C196" s="126"/>
      <c r="D196" s="127"/>
      <c r="E196" s="128"/>
      <c r="F196" s="129"/>
      <c r="G196" s="130"/>
      <c r="H196" s="131"/>
      <c r="I196" s="131">
        <f>Таблица22426[[#This Row],[Стоимость, 
грн]]</f>
        <v>0</v>
      </c>
      <c r="J196" s="12" t="e">
        <f>Таблица22426[[#This Row],[Доход, 
грн/рейс]]/Таблица22426[[#This Row],[Километраж, 
км]]</f>
        <v>#DIV/0!</v>
      </c>
      <c r="K196" s="132"/>
      <c r="L196" s="133" t="e">
        <f>Таблица22426[[#This Row],[СС, 
грн/рейс]]/Таблица22426[[#This Row],[Километраж, 
км]]</f>
        <v>#DIV/0!</v>
      </c>
      <c r="M196" s="134">
        <f>Таблица22426[[#This Row],[Доход, 
грн/рейс]]-Таблица22426[[#This Row],[СС, 
грн/рейс]]</f>
        <v>0</v>
      </c>
      <c r="N196" s="128"/>
    </row>
    <row r="197" spans="1:14" ht="13.2" hidden="1" x14ac:dyDescent="0.25">
      <c r="A197" s="124"/>
      <c r="B197" s="125"/>
      <c r="C197" s="126"/>
      <c r="D197" s="127"/>
      <c r="E197" s="128"/>
      <c r="F197" s="129"/>
      <c r="G197" s="130"/>
      <c r="H197" s="131"/>
      <c r="I197" s="131">
        <f>Таблица22426[[#This Row],[Стоимость, 
грн]]</f>
        <v>0</v>
      </c>
      <c r="J197" s="12" t="e">
        <f>Таблица22426[[#This Row],[Доход, 
грн/рейс]]/Таблица22426[[#This Row],[Километраж, 
км]]</f>
        <v>#DIV/0!</v>
      </c>
      <c r="K197" s="132"/>
      <c r="L197" s="133" t="e">
        <f>Таблица22426[[#This Row],[СС, 
грн/рейс]]/Таблица22426[[#This Row],[Километраж, 
км]]</f>
        <v>#DIV/0!</v>
      </c>
      <c r="M197" s="134">
        <f>Таблица22426[[#This Row],[Доход, 
грн/рейс]]-Таблица22426[[#This Row],[СС, 
грн/рейс]]</f>
        <v>0</v>
      </c>
      <c r="N197" s="128"/>
    </row>
    <row r="198" spans="1:14" ht="13.2" hidden="1" x14ac:dyDescent="0.25">
      <c r="A198" s="124"/>
      <c r="B198" s="125"/>
      <c r="C198" s="126"/>
      <c r="D198" s="127"/>
      <c r="E198" s="128"/>
      <c r="F198" s="129"/>
      <c r="G198" s="130"/>
      <c r="H198" s="131"/>
      <c r="I198" s="131">
        <f>Таблица22426[[#This Row],[Стоимость, 
грн]]</f>
        <v>0</v>
      </c>
      <c r="J198" s="12" t="e">
        <f>Таблица22426[[#This Row],[Доход, 
грн/рейс]]/Таблица22426[[#This Row],[Километраж, 
км]]</f>
        <v>#DIV/0!</v>
      </c>
      <c r="K198" s="132"/>
      <c r="L198" s="133" t="e">
        <f>Таблица22426[[#This Row],[СС, 
грн/рейс]]/Таблица22426[[#This Row],[Километраж, 
км]]</f>
        <v>#DIV/0!</v>
      </c>
      <c r="M198" s="134">
        <f>Таблица22426[[#This Row],[Доход, 
грн/рейс]]-Таблица22426[[#This Row],[СС, 
грн/рейс]]</f>
        <v>0</v>
      </c>
      <c r="N198" s="128"/>
    </row>
    <row r="199" spans="1:14" ht="13.2" hidden="1" x14ac:dyDescent="0.25">
      <c r="A199" s="124"/>
      <c r="B199" s="125"/>
      <c r="C199" s="126"/>
      <c r="D199" s="127"/>
      <c r="E199" s="128"/>
      <c r="F199" s="129"/>
      <c r="G199" s="130"/>
      <c r="H199" s="131"/>
      <c r="I199" s="131">
        <f>Таблица22426[[#This Row],[Стоимость, 
грн]]</f>
        <v>0</v>
      </c>
      <c r="J199" s="12" t="e">
        <f>Таблица22426[[#This Row],[Доход, 
грн/рейс]]/Таблица22426[[#This Row],[Километраж, 
км]]</f>
        <v>#DIV/0!</v>
      </c>
      <c r="K199" s="132"/>
      <c r="L199" s="133" t="e">
        <f>Таблица22426[[#This Row],[СС, 
грн/рейс]]/Таблица22426[[#This Row],[Километраж, 
км]]</f>
        <v>#DIV/0!</v>
      </c>
      <c r="M199" s="134">
        <f>Таблица22426[[#This Row],[Доход, 
грн/рейс]]-Таблица22426[[#This Row],[СС, 
грн/рейс]]</f>
        <v>0</v>
      </c>
      <c r="N199" s="128"/>
    </row>
    <row r="200" spans="1:14" ht="13.2" hidden="1" x14ac:dyDescent="0.25">
      <c r="A200" s="124"/>
      <c r="B200" s="125"/>
      <c r="C200" s="126"/>
      <c r="D200" s="127"/>
      <c r="E200" s="128"/>
      <c r="F200" s="129"/>
      <c r="G200" s="130"/>
      <c r="H200" s="131"/>
      <c r="I200" s="131">
        <f>Таблица22426[[#This Row],[Стоимость, 
грн]]</f>
        <v>0</v>
      </c>
      <c r="J200" s="12" t="e">
        <f>Таблица22426[[#This Row],[Доход, 
грн/рейс]]/Таблица22426[[#This Row],[Километраж, 
км]]</f>
        <v>#DIV/0!</v>
      </c>
      <c r="K200" s="132"/>
      <c r="L200" s="133" t="e">
        <f>Таблица22426[[#This Row],[СС, 
грн/рейс]]/Таблица22426[[#This Row],[Километраж, 
км]]</f>
        <v>#DIV/0!</v>
      </c>
      <c r="M200" s="134">
        <f>Таблица22426[[#This Row],[Доход, 
грн/рейс]]-Таблица22426[[#This Row],[СС, 
грн/рейс]]</f>
        <v>0</v>
      </c>
      <c r="N200" s="128"/>
    </row>
    <row r="201" spans="1:14" ht="13.2" hidden="1" x14ac:dyDescent="0.25">
      <c r="A201" s="124"/>
      <c r="B201" s="125"/>
      <c r="C201" s="126"/>
      <c r="D201" s="127"/>
      <c r="E201" s="128"/>
      <c r="F201" s="129"/>
      <c r="G201" s="130"/>
      <c r="H201" s="131"/>
      <c r="I201" s="131">
        <f>Таблица22426[[#This Row],[Стоимость, 
грн]]</f>
        <v>0</v>
      </c>
      <c r="J201" s="12" t="e">
        <f>Таблица22426[[#This Row],[Доход, 
грн/рейс]]/Таблица22426[[#This Row],[Километраж, 
км]]</f>
        <v>#DIV/0!</v>
      </c>
      <c r="K201" s="132"/>
      <c r="L201" s="133" t="e">
        <f>Таблица22426[[#This Row],[СС, 
грн/рейс]]/Таблица22426[[#This Row],[Километраж, 
км]]</f>
        <v>#DIV/0!</v>
      </c>
      <c r="M201" s="134">
        <f>Таблица22426[[#This Row],[Доход, 
грн/рейс]]-Таблица22426[[#This Row],[СС, 
грн/рейс]]</f>
        <v>0</v>
      </c>
      <c r="N201" s="128"/>
    </row>
    <row r="202" spans="1:14" ht="13.2" hidden="1" x14ac:dyDescent="0.25">
      <c r="A202" s="124"/>
      <c r="B202" s="125"/>
      <c r="C202" s="126"/>
      <c r="D202" s="127"/>
      <c r="E202" s="128"/>
      <c r="F202" s="129"/>
      <c r="G202" s="130"/>
      <c r="H202" s="131"/>
      <c r="I202" s="131">
        <f>Таблица22426[[#This Row],[Стоимость, 
грн]]</f>
        <v>0</v>
      </c>
      <c r="J202" s="12" t="e">
        <f>Таблица22426[[#This Row],[Доход, 
грн/рейс]]/Таблица22426[[#This Row],[Километраж, 
км]]</f>
        <v>#DIV/0!</v>
      </c>
      <c r="K202" s="132"/>
      <c r="L202" s="133" t="e">
        <f>Таблица22426[[#This Row],[СС, 
грн/рейс]]/Таблица22426[[#This Row],[Километраж, 
км]]</f>
        <v>#DIV/0!</v>
      </c>
      <c r="M202" s="134">
        <f>Таблица22426[[#This Row],[Доход, 
грн/рейс]]-Таблица22426[[#This Row],[СС, 
грн/рейс]]</f>
        <v>0</v>
      </c>
      <c r="N202" s="128"/>
    </row>
    <row r="203" spans="1:14" ht="13.2" hidden="1" x14ac:dyDescent="0.25">
      <c r="A203" s="124"/>
      <c r="B203" s="125"/>
      <c r="C203" s="126"/>
      <c r="D203" s="127"/>
      <c r="E203" s="128"/>
      <c r="F203" s="129"/>
      <c r="G203" s="130"/>
      <c r="H203" s="131"/>
      <c r="I203" s="131">
        <f>Таблица22426[[#This Row],[Стоимость, 
грн]]</f>
        <v>0</v>
      </c>
      <c r="J203" s="12" t="e">
        <f>Таблица22426[[#This Row],[Доход, 
грн/рейс]]/Таблица22426[[#This Row],[Километраж, 
км]]</f>
        <v>#DIV/0!</v>
      </c>
      <c r="K203" s="132"/>
      <c r="L203" s="133" t="e">
        <f>Таблица22426[[#This Row],[СС, 
грн/рейс]]/Таблица22426[[#This Row],[Километраж, 
км]]</f>
        <v>#DIV/0!</v>
      </c>
      <c r="M203" s="134">
        <f>Таблица22426[[#This Row],[Доход, 
грн/рейс]]-Таблица22426[[#This Row],[СС, 
грн/рейс]]</f>
        <v>0</v>
      </c>
      <c r="N203" s="128"/>
    </row>
    <row r="204" spans="1:14" ht="13.2" hidden="1" x14ac:dyDescent="0.25">
      <c r="A204" s="124"/>
      <c r="B204" s="125"/>
      <c r="C204" s="126"/>
      <c r="D204" s="127"/>
      <c r="E204" s="128"/>
      <c r="F204" s="129"/>
      <c r="G204" s="130"/>
      <c r="H204" s="131"/>
      <c r="I204" s="131">
        <f>Таблица22426[[#This Row],[Стоимость, 
грн]]</f>
        <v>0</v>
      </c>
      <c r="J204" s="12" t="e">
        <f>Таблица22426[[#This Row],[Доход, 
грн/рейс]]/Таблица22426[[#This Row],[Километраж, 
км]]</f>
        <v>#DIV/0!</v>
      </c>
      <c r="K204" s="132"/>
      <c r="L204" s="133" t="e">
        <f>Таблица22426[[#This Row],[СС, 
грн/рейс]]/Таблица22426[[#This Row],[Километраж, 
км]]</f>
        <v>#DIV/0!</v>
      </c>
      <c r="M204" s="134">
        <f>Таблица22426[[#This Row],[Доход, 
грн/рейс]]-Таблица22426[[#This Row],[СС, 
грн/рейс]]</f>
        <v>0</v>
      </c>
      <c r="N204" s="128"/>
    </row>
    <row r="205" spans="1:14" ht="13.2" hidden="1" x14ac:dyDescent="0.25">
      <c r="A205" s="124"/>
      <c r="B205" s="125"/>
      <c r="C205" s="126"/>
      <c r="D205" s="127"/>
      <c r="E205" s="128"/>
      <c r="F205" s="129"/>
      <c r="G205" s="130"/>
      <c r="H205" s="131"/>
      <c r="I205" s="131">
        <f>Таблица22426[[#This Row],[Стоимость, 
грн]]</f>
        <v>0</v>
      </c>
      <c r="J205" s="12" t="e">
        <f>Таблица22426[[#This Row],[Доход, 
грн/рейс]]/Таблица22426[[#This Row],[Километраж, 
км]]</f>
        <v>#DIV/0!</v>
      </c>
      <c r="K205" s="132"/>
      <c r="L205" s="133" t="e">
        <f>Таблица22426[[#This Row],[СС, 
грн/рейс]]/Таблица22426[[#This Row],[Километраж, 
км]]</f>
        <v>#DIV/0!</v>
      </c>
      <c r="M205" s="134">
        <f>Таблица22426[[#This Row],[Доход, 
грн/рейс]]-Таблица22426[[#This Row],[СС, 
грн/рейс]]</f>
        <v>0</v>
      </c>
      <c r="N205" s="128"/>
    </row>
    <row r="206" spans="1:14" ht="13.2" hidden="1" x14ac:dyDescent="0.25">
      <c r="A206" s="124"/>
      <c r="B206" s="125"/>
      <c r="C206" s="126"/>
      <c r="D206" s="127"/>
      <c r="E206" s="128"/>
      <c r="F206" s="129"/>
      <c r="G206" s="130"/>
      <c r="H206" s="131"/>
      <c r="I206" s="131">
        <f>Таблица22426[[#This Row],[Стоимость, 
грн]]</f>
        <v>0</v>
      </c>
      <c r="J206" s="12" t="e">
        <f>Таблица22426[[#This Row],[Доход, 
грн/рейс]]/Таблица22426[[#This Row],[Километраж, 
км]]</f>
        <v>#DIV/0!</v>
      </c>
      <c r="K206" s="132"/>
      <c r="L206" s="133" t="e">
        <f>Таблица22426[[#This Row],[СС, 
грн/рейс]]/Таблица22426[[#This Row],[Километраж, 
км]]</f>
        <v>#DIV/0!</v>
      </c>
      <c r="M206" s="134">
        <f>Таблица22426[[#This Row],[Доход, 
грн/рейс]]-Таблица22426[[#This Row],[СС, 
грн/рейс]]</f>
        <v>0</v>
      </c>
      <c r="N206" s="128"/>
    </row>
    <row r="207" spans="1:14" ht="13.2" hidden="1" x14ac:dyDescent="0.25">
      <c r="A207" s="124"/>
      <c r="B207" s="125"/>
      <c r="C207" s="126"/>
      <c r="D207" s="127"/>
      <c r="E207" s="128"/>
      <c r="F207" s="129"/>
      <c r="G207" s="130"/>
      <c r="H207" s="131"/>
      <c r="I207" s="131">
        <f>Таблица22426[[#This Row],[Стоимость, 
грн]]</f>
        <v>0</v>
      </c>
      <c r="J207" s="12" t="e">
        <f>Таблица22426[[#This Row],[Доход, 
грн/рейс]]/Таблица22426[[#This Row],[Километраж, 
км]]</f>
        <v>#DIV/0!</v>
      </c>
      <c r="K207" s="132"/>
      <c r="L207" s="133" t="e">
        <f>Таблица22426[[#This Row],[СС, 
грн/рейс]]/Таблица22426[[#This Row],[Километраж, 
км]]</f>
        <v>#DIV/0!</v>
      </c>
      <c r="M207" s="134">
        <f>Таблица22426[[#This Row],[Доход, 
грн/рейс]]-Таблица22426[[#This Row],[СС, 
грн/рейс]]</f>
        <v>0</v>
      </c>
      <c r="N207" s="128"/>
    </row>
    <row r="208" spans="1:14" ht="13.2" hidden="1" x14ac:dyDescent="0.25">
      <c r="A208" s="124"/>
      <c r="B208" s="125"/>
      <c r="C208" s="126"/>
      <c r="D208" s="127"/>
      <c r="E208" s="128"/>
      <c r="F208" s="129"/>
      <c r="G208" s="130"/>
      <c r="H208" s="131"/>
      <c r="I208" s="131">
        <f>Таблица22426[[#This Row],[Стоимость, 
грн]]</f>
        <v>0</v>
      </c>
      <c r="J208" s="12" t="e">
        <f>Таблица22426[[#This Row],[Доход, 
грн/рейс]]/Таблица22426[[#This Row],[Километраж, 
км]]</f>
        <v>#DIV/0!</v>
      </c>
      <c r="K208" s="132"/>
      <c r="L208" s="133" t="e">
        <f>Таблица22426[[#This Row],[СС, 
грн/рейс]]/Таблица22426[[#This Row],[Километраж, 
км]]</f>
        <v>#DIV/0!</v>
      </c>
      <c r="M208" s="134">
        <f>Таблица22426[[#This Row],[Доход, 
грн/рейс]]-Таблица22426[[#This Row],[СС, 
грн/рейс]]</f>
        <v>0</v>
      </c>
      <c r="N208" s="128"/>
    </row>
    <row r="209" spans="1:14" ht="13.2" hidden="1" x14ac:dyDescent="0.25">
      <c r="A209" s="124"/>
      <c r="B209" s="125"/>
      <c r="C209" s="126"/>
      <c r="D209" s="127"/>
      <c r="E209" s="128"/>
      <c r="F209" s="129"/>
      <c r="G209" s="130"/>
      <c r="H209" s="131"/>
      <c r="I209" s="131">
        <f>Таблица22426[[#This Row],[Стоимость, 
грн]]</f>
        <v>0</v>
      </c>
      <c r="J209" s="12" t="e">
        <f>Таблица22426[[#This Row],[Доход, 
грн/рейс]]/Таблица22426[[#This Row],[Километраж, 
км]]</f>
        <v>#DIV/0!</v>
      </c>
      <c r="K209" s="132"/>
      <c r="L209" s="133" t="e">
        <f>Таблица22426[[#This Row],[СС, 
грн/рейс]]/Таблица22426[[#This Row],[Километраж, 
км]]</f>
        <v>#DIV/0!</v>
      </c>
      <c r="M209" s="134">
        <f>Таблица22426[[#This Row],[Доход, 
грн/рейс]]-Таблица22426[[#This Row],[СС, 
грн/рейс]]</f>
        <v>0</v>
      </c>
      <c r="N209" s="128"/>
    </row>
    <row r="210" spans="1:14" ht="13.2" hidden="1" x14ac:dyDescent="0.25">
      <c r="A210" s="124"/>
      <c r="B210" s="125"/>
      <c r="C210" s="126"/>
      <c r="D210" s="127"/>
      <c r="E210" s="128"/>
      <c r="F210" s="129"/>
      <c r="G210" s="130"/>
      <c r="H210" s="131"/>
      <c r="I210" s="131">
        <f>Таблица22426[[#This Row],[Стоимость, 
грн]]</f>
        <v>0</v>
      </c>
      <c r="J210" s="12" t="e">
        <f>Таблица22426[[#This Row],[Доход, 
грн/рейс]]/Таблица22426[[#This Row],[Километраж, 
км]]</f>
        <v>#DIV/0!</v>
      </c>
      <c r="K210" s="132"/>
      <c r="L210" s="133" t="e">
        <f>Таблица22426[[#This Row],[СС, 
грн/рейс]]/Таблица22426[[#This Row],[Километраж, 
км]]</f>
        <v>#DIV/0!</v>
      </c>
      <c r="M210" s="134">
        <f>Таблица22426[[#This Row],[Доход, 
грн/рейс]]-Таблица22426[[#This Row],[СС, 
грн/рейс]]</f>
        <v>0</v>
      </c>
      <c r="N210" s="128"/>
    </row>
    <row r="211" spans="1:14" ht="13.2" hidden="1" x14ac:dyDescent="0.25">
      <c r="A211" s="124"/>
      <c r="B211" s="125"/>
      <c r="C211" s="126"/>
      <c r="D211" s="127"/>
      <c r="E211" s="128"/>
      <c r="F211" s="129"/>
      <c r="G211" s="130"/>
      <c r="H211" s="131"/>
      <c r="I211" s="131">
        <f>Таблица22426[[#This Row],[Стоимость, 
грн]]</f>
        <v>0</v>
      </c>
      <c r="J211" s="12" t="e">
        <f>Таблица22426[[#This Row],[Доход, 
грн/рейс]]/Таблица22426[[#This Row],[Километраж, 
км]]</f>
        <v>#DIV/0!</v>
      </c>
      <c r="K211" s="132"/>
      <c r="L211" s="133" t="e">
        <f>Таблица22426[[#This Row],[СС, 
грн/рейс]]/Таблица22426[[#This Row],[Километраж, 
км]]</f>
        <v>#DIV/0!</v>
      </c>
      <c r="M211" s="134">
        <f>Таблица22426[[#This Row],[Доход, 
грн/рейс]]-Таблица22426[[#This Row],[СС, 
грн/рейс]]</f>
        <v>0</v>
      </c>
      <c r="N211" s="128"/>
    </row>
    <row r="212" spans="1:14" ht="13.2" hidden="1" x14ac:dyDescent="0.25">
      <c r="A212" s="124"/>
      <c r="B212" s="125"/>
      <c r="C212" s="126"/>
      <c r="D212" s="127"/>
      <c r="E212" s="128"/>
      <c r="F212" s="129"/>
      <c r="G212" s="130"/>
      <c r="H212" s="131"/>
      <c r="I212" s="131">
        <f>Таблица22426[[#This Row],[Стоимость, 
грн]]</f>
        <v>0</v>
      </c>
      <c r="J212" s="12" t="e">
        <f>Таблица22426[[#This Row],[Доход, 
грн/рейс]]/Таблица22426[[#This Row],[Километраж, 
км]]</f>
        <v>#DIV/0!</v>
      </c>
      <c r="K212" s="132"/>
      <c r="L212" s="133" t="e">
        <f>Таблица22426[[#This Row],[СС, 
грн/рейс]]/Таблица22426[[#This Row],[Километраж, 
км]]</f>
        <v>#DIV/0!</v>
      </c>
      <c r="M212" s="134">
        <f>Таблица22426[[#This Row],[Доход, 
грн/рейс]]-Таблица22426[[#This Row],[СС, 
грн/рейс]]</f>
        <v>0</v>
      </c>
      <c r="N212" s="128"/>
    </row>
    <row r="213" spans="1:14" ht="13.2" hidden="1" x14ac:dyDescent="0.25">
      <c r="A213" s="124"/>
      <c r="B213" s="125"/>
      <c r="C213" s="126"/>
      <c r="D213" s="127"/>
      <c r="E213" s="128"/>
      <c r="F213" s="129"/>
      <c r="G213" s="130"/>
      <c r="H213" s="131"/>
      <c r="I213" s="131">
        <f>Таблица22426[[#This Row],[Стоимость, 
грн]]</f>
        <v>0</v>
      </c>
      <c r="J213" s="12" t="e">
        <f>Таблица22426[[#This Row],[Доход, 
грн/рейс]]/Таблица22426[[#This Row],[Километраж, 
км]]</f>
        <v>#DIV/0!</v>
      </c>
      <c r="K213" s="132"/>
      <c r="L213" s="133" t="e">
        <f>Таблица22426[[#This Row],[СС, 
грн/рейс]]/Таблица22426[[#This Row],[Километраж, 
км]]</f>
        <v>#DIV/0!</v>
      </c>
      <c r="M213" s="134">
        <f>Таблица22426[[#This Row],[Доход, 
грн/рейс]]-Таблица22426[[#This Row],[СС, 
грн/рейс]]</f>
        <v>0</v>
      </c>
      <c r="N213" s="128"/>
    </row>
    <row r="214" spans="1:14" ht="13.2" hidden="1" x14ac:dyDescent="0.25">
      <c r="A214" s="124"/>
      <c r="B214" s="125"/>
      <c r="C214" s="126"/>
      <c r="D214" s="127"/>
      <c r="E214" s="128"/>
      <c r="F214" s="129"/>
      <c r="G214" s="130"/>
      <c r="H214" s="131"/>
      <c r="I214" s="131">
        <f>Таблица22426[[#This Row],[Стоимость, 
грн]]</f>
        <v>0</v>
      </c>
      <c r="J214" s="12" t="e">
        <f>Таблица22426[[#This Row],[Доход, 
грн/рейс]]/Таблица22426[[#This Row],[Километраж, 
км]]</f>
        <v>#DIV/0!</v>
      </c>
      <c r="K214" s="132"/>
      <c r="L214" s="133" t="e">
        <f>Таблица22426[[#This Row],[СС, 
грн/рейс]]/Таблица22426[[#This Row],[Километраж, 
км]]</f>
        <v>#DIV/0!</v>
      </c>
      <c r="M214" s="134">
        <f>Таблица22426[[#This Row],[Доход, 
грн/рейс]]-Таблица22426[[#This Row],[СС, 
грн/рейс]]</f>
        <v>0</v>
      </c>
      <c r="N214" s="128"/>
    </row>
    <row r="215" spans="1:14" ht="13.2" hidden="1" x14ac:dyDescent="0.25">
      <c r="A215" s="124"/>
      <c r="B215" s="125"/>
      <c r="C215" s="126"/>
      <c r="D215" s="127"/>
      <c r="E215" s="128"/>
      <c r="F215" s="129"/>
      <c r="G215" s="130"/>
      <c r="H215" s="131"/>
      <c r="I215" s="131">
        <f>Таблица22426[[#This Row],[Стоимость, 
грн]]</f>
        <v>0</v>
      </c>
      <c r="J215" s="12" t="e">
        <f>Таблица22426[[#This Row],[Доход, 
грн/рейс]]/Таблица22426[[#This Row],[Километраж, 
км]]</f>
        <v>#DIV/0!</v>
      </c>
      <c r="K215" s="132"/>
      <c r="L215" s="133" t="e">
        <f>Таблица22426[[#This Row],[СС, 
грн/рейс]]/Таблица22426[[#This Row],[Километраж, 
км]]</f>
        <v>#DIV/0!</v>
      </c>
      <c r="M215" s="134">
        <f>Таблица22426[[#This Row],[Доход, 
грн/рейс]]-Таблица22426[[#This Row],[СС, 
грн/рейс]]</f>
        <v>0</v>
      </c>
      <c r="N215" s="128"/>
    </row>
    <row r="216" spans="1:14" ht="13.2" hidden="1" x14ac:dyDescent="0.25">
      <c r="A216" s="124"/>
      <c r="B216" s="125"/>
      <c r="C216" s="126"/>
      <c r="D216" s="127"/>
      <c r="E216" s="128"/>
      <c r="F216" s="129"/>
      <c r="G216" s="130"/>
      <c r="H216" s="131"/>
      <c r="I216" s="131">
        <f>Таблица22426[[#This Row],[Стоимость, 
грн]]</f>
        <v>0</v>
      </c>
      <c r="J216" s="12" t="e">
        <f>Таблица22426[[#This Row],[Доход, 
грн/рейс]]/Таблица22426[[#This Row],[Километраж, 
км]]</f>
        <v>#DIV/0!</v>
      </c>
      <c r="K216" s="132"/>
      <c r="L216" s="133" t="e">
        <f>Таблица22426[[#This Row],[СС, 
грн/рейс]]/Таблица22426[[#This Row],[Километраж, 
км]]</f>
        <v>#DIV/0!</v>
      </c>
      <c r="M216" s="134">
        <f>Таблица22426[[#This Row],[Доход, 
грн/рейс]]-Таблица22426[[#This Row],[СС, 
грн/рейс]]</f>
        <v>0</v>
      </c>
      <c r="N216" s="128"/>
    </row>
    <row r="217" spans="1:14" ht="13.2" hidden="1" x14ac:dyDescent="0.25">
      <c r="A217" s="136"/>
      <c r="B217" s="137"/>
      <c r="C217" s="138"/>
      <c r="D217" s="139"/>
      <c r="E217" s="140"/>
      <c r="F217" s="141"/>
      <c r="G217" s="142"/>
      <c r="H217" s="143"/>
      <c r="I217" s="131">
        <f>Таблица22426[[#This Row],[Стоимость, 
грн]]</f>
        <v>0</v>
      </c>
      <c r="J217" s="12" t="e">
        <f>Таблица22426[[#This Row],[Доход, 
грн/рейс]]/Таблица22426[[#This Row],[Километраж, 
км]]</f>
        <v>#DIV/0!</v>
      </c>
      <c r="K217" s="144"/>
      <c r="L217" s="145" t="e">
        <f>Таблица22426[[#This Row],[СС, 
грн/рейс]]/Таблица22426[[#This Row],[Километраж, 
км]]</f>
        <v>#DIV/0!</v>
      </c>
      <c r="M217" s="146">
        <f>Таблица22426[[#This Row],[Доход, 
грн/рейс]]-Таблица22426[[#This Row],[СС, 
грн/рейс]]</f>
        <v>0</v>
      </c>
      <c r="N217" s="140"/>
    </row>
    <row r="218" spans="1:14" ht="13.2" x14ac:dyDescent="0.25">
      <c r="A218" s="14" t="s">
        <v>953</v>
      </c>
      <c r="B218" s="511" t="s">
        <v>515</v>
      </c>
      <c r="C218" s="342">
        <v>45778</v>
      </c>
      <c r="D218" s="343" t="s">
        <v>950</v>
      </c>
      <c r="E218" s="157" t="s">
        <v>951</v>
      </c>
      <c r="F218" s="202" t="s">
        <v>952</v>
      </c>
      <c r="G218" s="203">
        <v>10000</v>
      </c>
      <c r="H218" s="204">
        <v>160</v>
      </c>
      <c r="I218" s="204">
        <f>Таблица22426[[#This Row],[Стоимость, 
грн]]</f>
        <v>10000</v>
      </c>
      <c r="J218" s="205">
        <f>Таблица22426[[#This Row],[Доход, 
грн/рейс]]/Таблица22426[[#This Row],[Километраж, 
км]]</f>
        <v>62.5</v>
      </c>
      <c r="K218" s="205">
        <v>10000</v>
      </c>
      <c r="L218" s="206">
        <f>Таблица22426[[#This Row],[СС, 
грн/рейс]]/Таблица22426[[#This Row],[Километраж, 
км]]</f>
        <v>62.5</v>
      </c>
      <c r="M218" s="207">
        <f>Таблица22426[[#This Row],[Доход, 
грн/рейс]]-Таблица22426[[#This Row],[СС, 
грн/рейс]]</f>
        <v>0</v>
      </c>
      <c r="N218" s="201"/>
    </row>
    <row r="219" spans="1:14" ht="13.2" x14ac:dyDescent="0.25">
      <c r="A219" s="447" t="s">
        <v>1017</v>
      </c>
      <c r="B219" s="511" t="s">
        <v>515</v>
      </c>
      <c r="C219" s="448">
        <v>45778</v>
      </c>
      <c r="D219" s="449" t="s">
        <v>1015</v>
      </c>
      <c r="E219" s="450" t="s">
        <v>1016</v>
      </c>
      <c r="F219" s="202" t="s">
        <v>952</v>
      </c>
      <c r="G219" s="451">
        <v>24500</v>
      </c>
      <c r="H219" s="452">
        <v>315</v>
      </c>
      <c r="I219" s="452">
        <f>Таблица22426[[#This Row],[Стоимость, 
грн]]</f>
        <v>24500</v>
      </c>
      <c r="J219" s="453">
        <f>Таблица22426[[#This Row],[Доход, 
грн/рейс]]/Таблица22426[[#This Row],[Километраж, 
км]]</f>
        <v>77.777777777777771</v>
      </c>
      <c r="K219" s="453">
        <v>22000</v>
      </c>
      <c r="L219" s="454">
        <f>Таблица22426[[#This Row],[СС, 
грн/рейс]]/Таблица22426[[#This Row],[Километраж, 
км]]</f>
        <v>69.841269841269835</v>
      </c>
      <c r="M219" s="455">
        <f>Таблица22426[[#This Row],[Доход, 
грн/рейс]]-Таблица22426[[#This Row],[СС, 
грн/рейс]]</f>
        <v>2500</v>
      </c>
      <c r="N219" s="450"/>
    </row>
  </sheetData>
  <mergeCells count="1">
    <mergeCell ref="A1:N1"/>
  </mergeCells>
  <phoneticPr fontId="13" type="noConversion"/>
  <pageMargins left="0.25" right="0.25" top="0.75" bottom="0.75" header="0.3" footer="0.3"/>
  <pageSetup paperSize="9" scale="24" orientation="landscape" horizontalDpi="300" verticalDpi="30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89"/>
  <sheetViews>
    <sheetView zoomScale="110" zoomScaleNormal="110" workbookViewId="0">
      <pane xSplit="2" ySplit="1" topLeftCell="C281" activePane="bottomRight" state="frozen"/>
      <selection pane="topRight" activeCell="C1" sqref="C1"/>
      <selection pane="bottomLeft" activeCell="A2" sqref="A2"/>
      <selection pane="bottomRight" activeCell="A288" sqref="A288:G289"/>
    </sheetView>
  </sheetViews>
  <sheetFormatPr defaultRowHeight="14.4" outlineLevelRow="1" outlineLevelCol="1" x14ac:dyDescent="0.3"/>
  <cols>
    <col min="1" max="1" width="27.109375" style="1" customWidth="1"/>
    <col min="2" max="2" width="22.33203125" style="1" customWidth="1"/>
    <col min="3" max="3" width="14.109375" style="18" customWidth="1"/>
    <col min="4" max="4" width="14.77734375" style="20" customWidth="1"/>
    <col min="5" max="5" width="34.6640625" style="1" customWidth="1"/>
    <col min="6" max="6" width="34.33203125" style="1" customWidth="1"/>
    <col min="7" max="7" width="12.33203125" style="3" customWidth="1"/>
    <col min="8" max="8" width="13.109375" style="1" customWidth="1"/>
    <col min="9" max="9" width="13.33203125" style="1" customWidth="1"/>
    <col min="10" max="10" width="16.6640625" style="3" customWidth="1" outlineLevel="1"/>
    <col min="11" max="12" width="12.88671875" style="1" customWidth="1" outlineLevel="1"/>
    <col min="13" max="13" width="14.44140625" style="15" customWidth="1"/>
    <col min="14" max="14" width="62" style="1" customWidth="1"/>
    <col min="15" max="16384" width="8.88671875" style="1"/>
  </cols>
  <sheetData>
    <row r="1" spans="1:15" ht="14.4" customHeight="1" x14ac:dyDescent="0.3">
      <c r="A1" s="546" t="s">
        <v>0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</row>
    <row r="2" spans="1:15" ht="13.8" thickBot="1" x14ac:dyDescent="0.3">
      <c r="A2" s="2"/>
      <c r="B2" s="2"/>
      <c r="C2" s="17"/>
      <c r="D2" s="19"/>
      <c r="E2" s="2"/>
      <c r="G2" s="3">
        <f>SUM(Таблица224267[[#All],[Стоимость, 
грн]])</f>
        <v>442880</v>
      </c>
      <c r="I2" s="3"/>
      <c r="J2" s="1"/>
      <c r="K2" s="3">
        <f>SUM(Таблица224267[[#All],[СС, 
грн/рейс]])</f>
        <v>399700</v>
      </c>
      <c r="L2" s="3"/>
      <c r="M2" s="3"/>
    </row>
    <row r="3" spans="1:15" s="23" customFormat="1" ht="58.8" customHeight="1" thickTop="1" thickBot="1" x14ac:dyDescent="0.3">
      <c r="A3" s="4" t="s">
        <v>36</v>
      </c>
      <c r="B3" s="4" t="s">
        <v>15</v>
      </c>
      <c r="C3" s="21" t="s">
        <v>1</v>
      </c>
      <c r="D3" s="22" t="s">
        <v>20</v>
      </c>
      <c r="E3" s="4" t="s">
        <v>2</v>
      </c>
      <c r="F3" s="5" t="s">
        <v>45</v>
      </c>
      <c r="G3" s="7" t="s">
        <v>42</v>
      </c>
      <c r="H3" s="5" t="s">
        <v>43</v>
      </c>
      <c r="I3" s="7" t="s">
        <v>3</v>
      </c>
      <c r="J3" s="5" t="s">
        <v>44</v>
      </c>
      <c r="K3" s="7" t="s">
        <v>50</v>
      </c>
      <c r="L3" s="7" t="s">
        <v>62</v>
      </c>
      <c r="M3" s="7" t="s">
        <v>51</v>
      </c>
      <c r="N3" s="6" t="s">
        <v>4</v>
      </c>
      <c r="O3" s="1" t="s">
        <v>324</v>
      </c>
    </row>
    <row r="4" spans="1:15" ht="13.8" hidden="1" outlineLevel="1" thickTop="1" x14ac:dyDescent="0.25">
      <c r="A4" s="14" t="s">
        <v>37</v>
      </c>
      <c r="B4" s="62" t="s">
        <v>19</v>
      </c>
      <c r="C4" s="16">
        <v>45396</v>
      </c>
      <c r="D4" s="57" t="s">
        <v>23</v>
      </c>
      <c r="E4" s="24" t="s">
        <v>31</v>
      </c>
      <c r="F4" s="9" t="s">
        <v>41</v>
      </c>
      <c r="G4" s="64">
        <v>5700</v>
      </c>
      <c r="H4" s="11">
        <v>196</v>
      </c>
      <c r="I4" s="60">
        <f>Таблица224267[[#This Row],[Стоимость, 
грн]]</f>
        <v>5700</v>
      </c>
      <c r="J4" s="12">
        <f>Таблица224267[[#This Row],[Доход, 
грн/рейс]]/Таблица224267[[#This Row],[Километраж, 
км]]</f>
        <v>29.081632653061224</v>
      </c>
      <c r="K4" s="12">
        <v>5500</v>
      </c>
      <c r="L4" s="12">
        <f>Таблица224267[[#This Row],[СС, 
грн/рейс]]/Таблица224267[[#This Row],[Километраж, 
км]]</f>
        <v>28.061224489795919</v>
      </c>
      <c r="M4" s="26">
        <f>Таблица224267[[#This Row],[Доход, 
грн/рейс]]-Таблица224267[[#This Row],[СС, 
грн/рейс]]</f>
        <v>200</v>
      </c>
      <c r="N4" s="24" t="s">
        <v>48</v>
      </c>
    </row>
    <row r="5" spans="1:15" ht="13.8" hidden="1" outlineLevel="1" thickTop="1" x14ac:dyDescent="0.25">
      <c r="A5" s="14" t="s">
        <v>37</v>
      </c>
      <c r="B5" s="62" t="s">
        <v>63</v>
      </c>
      <c r="C5" s="16">
        <v>45416</v>
      </c>
      <c r="D5" s="57" t="s">
        <v>74</v>
      </c>
      <c r="E5" s="24" t="s">
        <v>75</v>
      </c>
      <c r="F5" s="71" t="s">
        <v>77</v>
      </c>
      <c r="G5" s="73">
        <v>9800</v>
      </c>
      <c r="H5" s="11">
        <v>250</v>
      </c>
      <c r="I5" s="60">
        <f>Таблица224267[[#This Row],[Стоимость, 
грн]]</f>
        <v>9800</v>
      </c>
      <c r="J5" s="12">
        <f>Таблица224267[[#This Row],[Доход, 
грн/рейс]]/Таблица224267[[#This Row],[Километраж, 
км]]</f>
        <v>39.200000000000003</v>
      </c>
      <c r="K5" s="12">
        <v>9500</v>
      </c>
      <c r="L5" s="12">
        <f>Таблица224267[[#This Row],[СС, 
грн/рейс]]/Таблица224267[[#This Row],[Километраж, 
км]]</f>
        <v>38</v>
      </c>
      <c r="M5" s="26">
        <f>Таблица224267[[#This Row],[Доход, 
грн/рейс]]-Таблица224267[[#This Row],[СС, 
грн/рейс]]</f>
        <v>300</v>
      </c>
      <c r="N5" s="24" t="s">
        <v>97</v>
      </c>
    </row>
    <row r="6" spans="1:15" ht="13.8" hidden="1" outlineLevel="1" thickTop="1" x14ac:dyDescent="0.25">
      <c r="A6" s="14" t="s">
        <v>13</v>
      </c>
      <c r="B6" s="62" t="s">
        <v>79</v>
      </c>
      <c r="C6" s="16">
        <v>45416</v>
      </c>
      <c r="D6" s="57" t="s">
        <v>80</v>
      </c>
      <c r="E6" s="24" t="s">
        <v>81</v>
      </c>
      <c r="F6" s="71" t="s">
        <v>78</v>
      </c>
      <c r="G6" s="73">
        <v>2000</v>
      </c>
      <c r="H6" s="11">
        <v>16</v>
      </c>
      <c r="I6" s="60">
        <f>Таблица224267[[#This Row],[Стоимость, 
грн]]</f>
        <v>2000</v>
      </c>
      <c r="J6" s="12">
        <f>Таблица224267[[#This Row],[Доход, 
грн/рейс]]/Таблица224267[[#This Row],[Километраж, 
км]]</f>
        <v>125</v>
      </c>
      <c r="K6" s="12">
        <v>1500</v>
      </c>
      <c r="L6" s="12">
        <f>Таблица224267[[#This Row],[СС, 
грн/рейс]]/Таблица224267[[#This Row],[Километраж, 
км]]</f>
        <v>93.75</v>
      </c>
      <c r="M6" s="26">
        <f>Таблица224267[[#This Row],[Доход, 
грн/рейс]]-Таблица224267[[#This Row],[СС, 
грн/рейс]]</f>
        <v>500</v>
      </c>
      <c r="N6" s="24" t="s">
        <v>97</v>
      </c>
    </row>
    <row r="7" spans="1:15" ht="13.8" hidden="1" outlineLevel="1" thickTop="1" x14ac:dyDescent="0.25">
      <c r="A7" s="14" t="s">
        <v>99</v>
      </c>
      <c r="B7" s="62" t="s">
        <v>63</v>
      </c>
      <c r="C7" s="25">
        <v>45416</v>
      </c>
      <c r="D7" s="57" t="s">
        <v>105</v>
      </c>
      <c r="E7" s="24" t="s">
        <v>113</v>
      </c>
      <c r="F7" s="71" t="s">
        <v>114</v>
      </c>
      <c r="G7" s="73">
        <v>1000</v>
      </c>
      <c r="H7" s="11">
        <v>23</v>
      </c>
      <c r="I7" s="60">
        <f>Таблица224267[[#This Row],[Стоимость, 
грн]]</f>
        <v>1000</v>
      </c>
      <c r="J7" s="12">
        <f>Таблица224267[[#This Row],[Доход, 
грн/рейс]]/Таблица224267[[#This Row],[Километраж, 
км]]</f>
        <v>43.478260869565219</v>
      </c>
      <c r="K7" s="12">
        <v>900</v>
      </c>
      <c r="L7" s="12">
        <f>Таблица224267[[#This Row],[СС, 
грн/рейс]]/Таблица224267[[#This Row],[Километраж, 
км]]</f>
        <v>39.130434782608695</v>
      </c>
      <c r="M7" s="26">
        <f>Таблица224267[[#This Row],[Доход, 
грн/рейс]]-Таблица224267[[#This Row],[СС, 
грн/рейс]]</f>
        <v>100</v>
      </c>
      <c r="N7" s="24" t="s">
        <v>124</v>
      </c>
    </row>
    <row r="8" spans="1:15" ht="13.8" hidden="1" outlineLevel="1" thickTop="1" x14ac:dyDescent="0.25">
      <c r="A8" s="14" t="s">
        <v>158</v>
      </c>
      <c r="B8" s="62" t="s">
        <v>63</v>
      </c>
      <c r="C8" s="25">
        <v>45456</v>
      </c>
      <c r="D8" s="57" t="s">
        <v>126</v>
      </c>
      <c r="E8" s="24" t="s">
        <v>127</v>
      </c>
      <c r="F8" s="71" t="s">
        <v>128</v>
      </c>
      <c r="G8" s="73">
        <v>2200</v>
      </c>
      <c r="H8" s="11">
        <v>32</v>
      </c>
      <c r="I8" s="60">
        <f>Таблица224267[[#This Row],[Стоимость, 
грн]]</f>
        <v>2200</v>
      </c>
      <c r="J8" s="12">
        <f>Таблица224267[[#This Row],[Доход, 
грн/рейс]]/Таблица224267[[#This Row],[Километраж, 
км]]</f>
        <v>68.75</v>
      </c>
      <c r="K8" s="12">
        <v>2000</v>
      </c>
      <c r="L8" s="12">
        <f>Таблица224267[[#This Row],[СС, 
грн/рейс]]/Таблица224267[[#This Row],[Километраж, 
км]]</f>
        <v>62.5</v>
      </c>
      <c r="M8" s="26">
        <f>Таблица224267[[#This Row],[Доход, 
грн/рейс]]-Таблица224267[[#This Row],[СС, 
грн/рейс]]</f>
        <v>200</v>
      </c>
      <c r="N8" s="24" t="s">
        <v>175</v>
      </c>
    </row>
    <row r="9" spans="1:15" ht="13.8" hidden="1" outlineLevel="1" thickTop="1" x14ac:dyDescent="0.25">
      <c r="A9" s="14" t="s">
        <v>158</v>
      </c>
      <c r="B9" s="62" t="s">
        <v>63</v>
      </c>
      <c r="C9" s="25">
        <v>45457</v>
      </c>
      <c r="D9" s="57" t="s">
        <v>143</v>
      </c>
      <c r="E9" s="24" t="s">
        <v>127</v>
      </c>
      <c r="F9" s="71" t="s">
        <v>128</v>
      </c>
      <c r="G9" s="73">
        <v>1000</v>
      </c>
      <c r="H9" s="11">
        <v>29</v>
      </c>
      <c r="I9" s="60">
        <f>Таблица224267[[#This Row],[Стоимость, 
грн]]</f>
        <v>1000</v>
      </c>
      <c r="J9" s="12">
        <f>Таблица224267[[#This Row],[Доход, 
грн/рейс]]/Таблица224267[[#This Row],[Километраж, 
км]]</f>
        <v>34.482758620689658</v>
      </c>
      <c r="K9" s="12">
        <v>900</v>
      </c>
      <c r="L9" s="12">
        <f>Таблица224267[[#This Row],[СС, 
грн/рейс]]/Таблица224267[[#This Row],[Километраж, 
км]]</f>
        <v>31.03448275862069</v>
      </c>
      <c r="M9" s="26">
        <f>Таблица224267[[#This Row],[Доход, 
грн/рейс]]-Таблица224267[[#This Row],[СС, 
грн/рейс]]</f>
        <v>100</v>
      </c>
      <c r="N9" s="24" t="s">
        <v>175</v>
      </c>
    </row>
    <row r="10" spans="1:15" ht="13.8" hidden="1" outlineLevel="1" thickTop="1" x14ac:dyDescent="0.25">
      <c r="A10" s="14" t="s">
        <v>144</v>
      </c>
      <c r="B10" s="62" t="s">
        <v>19</v>
      </c>
      <c r="C10" s="25">
        <v>45456</v>
      </c>
      <c r="D10" s="57" t="s">
        <v>145</v>
      </c>
      <c r="E10" s="24" t="s">
        <v>146</v>
      </c>
      <c r="F10" s="71" t="s">
        <v>147</v>
      </c>
      <c r="G10" s="73">
        <v>8000</v>
      </c>
      <c r="H10" s="56">
        <v>590</v>
      </c>
      <c r="I10" s="60">
        <f>Таблица224267[[#This Row],[Стоимость, 
грн]]</f>
        <v>8000</v>
      </c>
      <c r="J10" s="12">
        <f>Таблица224267[[#This Row],[Доход, 
грн/рейс]]/Таблица224267[[#This Row],[Километраж, 
км]]</f>
        <v>13.559322033898304</v>
      </c>
      <c r="K10" s="12">
        <v>7500</v>
      </c>
      <c r="L10" s="12">
        <f>Таблица224267[[#This Row],[СС, 
грн/рейс]]/Таблица224267[[#This Row],[Километраж, 
км]]</f>
        <v>12.711864406779661</v>
      </c>
      <c r="M10" s="26">
        <f>Таблица224267[[#This Row],[Доход, 
грн/рейс]]-Таблица224267[[#This Row],[СС, 
грн/рейс]]</f>
        <v>500</v>
      </c>
      <c r="N10" s="24" t="s">
        <v>179</v>
      </c>
    </row>
    <row r="11" spans="1:15" ht="13.8" hidden="1" outlineLevel="1" thickTop="1" x14ac:dyDescent="0.25">
      <c r="A11" s="14" t="s">
        <v>158</v>
      </c>
      <c r="B11" s="62" t="s">
        <v>63</v>
      </c>
      <c r="C11" s="25">
        <v>45457</v>
      </c>
      <c r="D11" s="57" t="s">
        <v>148</v>
      </c>
      <c r="E11" s="24" t="s">
        <v>149</v>
      </c>
      <c r="F11" s="71" t="s">
        <v>128</v>
      </c>
      <c r="G11" s="73">
        <v>7150</v>
      </c>
      <c r="H11" s="56">
        <v>139</v>
      </c>
      <c r="I11" s="60">
        <f>Таблица224267[[#This Row],[Стоимость, 
грн]]</f>
        <v>7150</v>
      </c>
      <c r="J11" s="12">
        <f>Таблица224267[[#This Row],[Доход, 
грн/рейс]]/Таблица224267[[#This Row],[Километраж, 
км]]</f>
        <v>51.438848920863308</v>
      </c>
      <c r="K11" s="12">
        <v>6500</v>
      </c>
      <c r="L11" s="12">
        <f>Таблица224267[[#This Row],[СС, 
грн/рейс]]/Таблица224267[[#This Row],[Километраж, 
км]]</f>
        <v>46.762589928057551</v>
      </c>
      <c r="M11" s="26">
        <f>Таблица224267[[#This Row],[Доход, 
грн/рейс]]-Таблица224267[[#This Row],[СС, 
грн/рейс]]</f>
        <v>650</v>
      </c>
      <c r="N11" s="24" t="s">
        <v>175</v>
      </c>
    </row>
    <row r="12" spans="1:15" ht="13.8" hidden="1" outlineLevel="1" thickTop="1" x14ac:dyDescent="0.25">
      <c r="A12" s="14" t="s">
        <v>158</v>
      </c>
      <c r="B12" s="62" t="s">
        <v>63</v>
      </c>
      <c r="C12" s="25">
        <v>45461</v>
      </c>
      <c r="D12" s="57" t="s">
        <v>159</v>
      </c>
      <c r="E12" s="24" t="s">
        <v>127</v>
      </c>
      <c r="F12" s="55" t="s">
        <v>128</v>
      </c>
      <c r="G12" s="64">
        <v>1000</v>
      </c>
      <c r="H12" s="56">
        <v>21</v>
      </c>
      <c r="I12" s="60">
        <f>Таблица224267[[#This Row],[Стоимость, 
грн]]</f>
        <v>1000</v>
      </c>
      <c r="J12" s="12">
        <f>Таблица224267[[#This Row],[Доход, 
грн/рейс]]/Таблица224267[[#This Row],[Километраж, 
км]]</f>
        <v>47.61904761904762</v>
      </c>
      <c r="K12" s="12">
        <v>900</v>
      </c>
      <c r="L12" s="12">
        <f>Таблица224267[[#This Row],[СС, 
грн/рейс]]/Таблица224267[[#This Row],[Километраж, 
км]]</f>
        <v>42.857142857142854</v>
      </c>
      <c r="M12" s="26">
        <f>Таблица224267[[#This Row],[Доход, 
грн/рейс]]-Таблица224267[[#This Row],[СС, 
грн/рейс]]</f>
        <v>100</v>
      </c>
      <c r="N12" s="24" t="s">
        <v>228</v>
      </c>
    </row>
    <row r="13" spans="1:15" ht="13.8" hidden="1" outlineLevel="1" thickTop="1" x14ac:dyDescent="0.25">
      <c r="A13" s="14" t="s">
        <v>158</v>
      </c>
      <c r="B13" s="62" t="s">
        <v>63</v>
      </c>
      <c r="C13" s="25">
        <v>45462</v>
      </c>
      <c r="D13" s="57" t="s">
        <v>160</v>
      </c>
      <c r="E13" s="24" t="s">
        <v>127</v>
      </c>
      <c r="F13" s="55" t="s">
        <v>128</v>
      </c>
      <c r="G13" s="64">
        <v>2200</v>
      </c>
      <c r="H13" s="56">
        <v>39</v>
      </c>
      <c r="I13" s="60">
        <f>Таблица224267[[#This Row],[Стоимость, 
грн]]</f>
        <v>2200</v>
      </c>
      <c r="J13" s="12">
        <f>Таблица224267[[#This Row],[Доход, 
грн/рейс]]/Таблица224267[[#This Row],[Километраж, 
км]]</f>
        <v>56.410256410256409</v>
      </c>
      <c r="K13" s="12">
        <v>1800</v>
      </c>
      <c r="L13" s="12">
        <f>Таблица224267[[#This Row],[СС, 
грн/рейс]]/Таблица224267[[#This Row],[Километраж, 
км]]</f>
        <v>46.153846153846153</v>
      </c>
      <c r="M13" s="26">
        <f>Таблица224267[[#This Row],[Доход, 
грн/рейс]]-Таблица224267[[#This Row],[СС, 
грн/рейс]]</f>
        <v>400</v>
      </c>
      <c r="N13" s="24" t="s">
        <v>228</v>
      </c>
    </row>
    <row r="14" spans="1:15" ht="13.8" hidden="1" outlineLevel="1" thickTop="1" x14ac:dyDescent="0.25">
      <c r="A14" s="14" t="s">
        <v>158</v>
      </c>
      <c r="B14" s="62" t="s">
        <v>63</v>
      </c>
      <c r="C14" s="25">
        <v>45463</v>
      </c>
      <c r="D14" s="57" t="s">
        <v>161</v>
      </c>
      <c r="E14" s="24" t="s">
        <v>127</v>
      </c>
      <c r="F14" s="55" t="s">
        <v>128</v>
      </c>
      <c r="G14" s="64">
        <v>1000</v>
      </c>
      <c r="H14" s="60">
        <v>22</v>
      </c>
      <c r="I14" s="60">
        <f>Таблица224267[[#This Row],[Стоимость, 
грн]]</f>
        <v>1000</v>
      </c>
      <c r="J14" s="12">
        <f>Таблица224267[[#This Row],[Доход, 
грн/рейс]]/Таблица224267[[#This Row],[Километраж, 
км]]</f>
        <v>45.454545454545453</v>
      </c>
      <c r="K14" s="12">
        <v>900</v>
      </c>
      <c r="L14" s="12">
        <f>Таблица224267[[#This Row],[СС, 
грн/рейс]]/Таблица224267[[#This Row],[Километраж, 
км]]</f>
        <v>40.909090909090907</v>
      </c>
      <c r="M14" s="26">
        <f>Таблица224267[[#This Row],[Доход, 
грн/рейс]]-Таблица224267[[#This Row],[СС, 
грн/рейс]]</f>
        <v>100</v>
      </c>
      <c r="N14" s="24" t="s">
        <v>228</v>
      </c>
    </row>
    <row r="15" spans="1:15" ht="13.8" hidden="1" outlineLevel="1" thickTop="1" x14ac:dyDescent="0.25">
      <c r="A15" s="14" t="s">
        <v>158</v>
      </c>
      <c r="B15" s="62" t="s">
        <v>63</v>
      </c>
      <c r="C15" s="25">
        <v>45464</v>
      </c>
      <c r="D15" s="57" t="s">
        <v>162</v>
      </c>
      <c r="E15" s="24" t="s">
        <v>127</v>
      </c>
      <c r="F15" s="55" t="s">
        <v>128</v>
      </c>
      <c r="G15" s="64">
        <v>1000</v>
      </c>
      <c r="H15" s="56">
        <v>26</v>
      </c>
      <c r="I15" s="60">
        <f>Таблица224267[[#This Row],[Стоимость, 
грн]]</f>
        <v>1000</v>
      </c>
      <c r="J15" s="12">
        <f>Таблица224267[[#This Row],[Доход, 
грн/рейс]]/Таблица224267[[#This Row],[Километраж, 
км]]</f>
        <v>38.46153846153846</v>
      </c>
      <c r="K15" s="12">
        <v>900</v>
      </c>
      <c r="L15" s="12">
        <f>Таблица224267[[#This Row],[СС, 
грн/рейс]]/Таблица224267[[#This Row],[Километраж, 
км]]</f>
        <v>34.615384615384613</v>
      </c>
      <c r="M15" s="26">
        <f>Таблица224267[[#This Row],[Доход, 
грн/рейс]]-Таблица224267[[#This Row],[СС, 
грн/рейс]]</f>
        <v>100</v>
      </c>
      <c r="N15" s="24" t="s">
        <v>228</v>
      </c>
    </row>
    <row r="16" spans="1:15" ht="13.8" hidden="1" outlineLevel="1" thickTop="1" x14ac:dyDescent="0.25">
      <c r="A16" s="14" t="s">
        <v>144</v>
      </c>
      <c r="B16" s="62" t="s">
        <v>63</v>
      </c>
      <c r="C16" s="25">
        <v>45474</v>
      </c>
      <c r="D16" s="77" t="s">
        <v>182</v>
      </c>
      <c r="E16" s="24" t="s">
        <v>183</v>
      </c>
      <c r="F16" s="71" t="s">
        <v>184</v>
      </c>
      <c r="G16" s="64">
        <v>5000</v>
      </c>
      <c r="H16" s="56">
        <v>8</v>
      </c>
      <c r="I16" s="60">
        <f>Таблица224267[[#This Row],[Стоимость, 
грн]]</f>
        <v>5000</v>
      </c>
      <c r="J16" s="12">
        <f>Таблица224267[[#This Row],[Доход, 
грн/рейс]]/Таблица224267[[#This Row],[Километраж, 
км]]</f>
        <v>625</v>
      </c>
      <c r="K16" s="12">
        <v>4200</v>
      </c>
      <c r="L16" s="12">
        <f>Таблица224267[[#This Row],[СС, 
грн/рейс]]/Таблица224267[[#This Row],[Километраж, 
км]]</f>
        <v>525</v>
      </c>
      <c r="M16" s="26">
        <f>Таблица224267[[#This Row],[Доход, 
грн/рейс]]-Таблица224267[[#This Row],[СС, 
грн/рейс]]</f>
        <v>800</v>
      </c>
      <c r="N16" s="24" t="s">
        <v>208</v>
      </c>
    </row>
    <row r="17" spans="1:14" ht="13.8" hidden="1" outlineLevel="1" thickTop="1" x14ac:dyDescent="0.25">
      <c r="A17" s="14" t="s">
        <v>158</v>
      </c>
      <c r="B17" s="62" t="s">
        <v>63</v>
      </c>
      <c r="C17" s="25">
        <v>45475</v>
      </c>
      <c r="D17" s="78" t="s">
        <v>185</v>
      </c>
      <c r="E17" s="24" t="s">
        <v>127</v>
      </c>
      <c r="F17" s="55" t="s">
        <v>128</v>
      </c>
      <c r="G17" s="64">
        <v>1000</v>
      </c>
      <c r="H17" s="60">
        <v>23</v>
      </c>
      <c r="I17" s="60">
        <f>Таблица224267[[#This Row],[Стоимость, 
грн]]</f>
        <v>1000</v>
      </c>
      <c r="J17" s="12">
        <f>Таблица224267[[#This Row],[Доход, 
грн/рейс]]/Таблица224267[[#This Row],[Километраж, 
км]]</f>
        <v>43.478260869565219</v>
      </c>
      <c r="K17" s="12">
        <v>900</v>
      </c>
      <c r="L17" s="12">
        <f>Таблица224267[[#This Row],[СС, 
грн/рейс]]/Таблица224267[[#This Row],[Километраж, 
км]]</f>
        <v>39.130434782608695</v>
      </c>
      <c r="M17" s="26">
        <f>Таблица224267[[#This Row],[Доход, 
грн/рейс]]-Таблица224267[[#This Row],[СС, 
грн/рейс]]</f>
        <v>100</v>
      </c>
      <c r="N17" s="24" t="s">
        <v>228</v>
      </c>
    </row>
    <row r="18" spans="1:14" ht="13.8" hidden="1" outlineLevel="1" thickTop="1" x14ac:dyDescent="0.25">
      <c r="A18" s="14" t="s">
        <v>158</v>
      </c>
      <c r="B18" s="62" t="s">
        <v>63</v>
      </c>
      <c r="C18" s="25">
        <v>45476</v>
      </c>
      <c r="D18" s="77" t="s">
        <v>186</v>
      </c>
      <c r="E18" s="24" t="s">
        <v>127</v>
      </c>
      <c r="F18" s="71" t="s">
        <v>187</v>
      </c>
      <c r="G18" s="64">
        <v>1000</v>
      </c>
      <c r="H18" s="56">
        <v>25</v>
      </c>
      <c r="I18" s="60">
        <f>Таблица224267[[#This Row],[Стоимость, 
грн]]</f>
        <v>1000</v>
      </c>
      <c r="J18" s="12">
        <f>Таблица224267[[#This Row],[Доход, 
грн/рейс]]/Таблица224267[[#This Row],[Километраж, 
км]]</f>
        <v>40</v>
      </c>
      <c r="K18" s="12">
        <v>900</v>
      </c>
      <c r="L18" s="12">
        <f>Таблица224267[[#This Row],[СС, 
грн/рейс]]/Таблица224267[[#This Row],[Километраж, 
км]]</f>
        <v>36</v>
      </c>
      <c r="M18" s="26">
        <f>Таблица224267[[#This Row],[Доход, 
грн/рейс]]-Таблица224267[[#This Row],[СС, 
грн/рейс]]</f>
        <v>100</v>
      </c>
      <c r="N18" s="24" t="s">
        <v>228</v>
      </c>
    </row>
    <row r="19" spans="1:14" ht="13.8" hidden="1" outlineLevel="1" thickTop="1" x14ac:dyDescent="0.25">
      <c r="A19" s="14" t="s">
        <v>158</v>
      </c>
      <c r="B19" s="62" t="s">
        <v>63</v>
      </c>
      <c r="C19" s="25">
        <v>45474</v>
      </c>
      <c r="D19" s="57" t="s">
        <v>180</v>
      </c>
      <c r="E19" s="24" t="s">
        <v>127</v>
      </c>
      <c r="F19" s="55" t="s">
        <v>128</v>
      </c>
      <c r="G19" s="64">
        <v>2200</v>
      </c>
      <c r="H19" s="56">
        <v>51</v>
      </c>
      <c r="I19" s="60">
        <f>Таблица224267[[#This Row],[Стоимость, 
грн]]</f>
        <v>2200</v>
      </c>
      <c r="J19" s="12">
        <f>Таблица224267[[#This Row],[Доход, 
грн/рейс]]/Таблица224267[[#This Row],[Километраж, 
км]]</f>
        <v>43.137254901960787</v>
      </c>
      <c r="K19" s="12">
        <v>1800</v>
      </c>
      <c r="L19" s="12">
        <f>Таблица224267[[#This Row],[СС, 
грн/рейс]]/Таблица224267[[#This Row],[Километраж, 
км]]</f>
        <v>35.294117647058826</v>
      </c>
      <c r="M19" s="26">
        <f>Таблица224267[[#This Row],[Доход, 
грн/рейс]]-Таблица224267[[#This Row],[СС, 
грн/рейс]]</f>
        <v>400</v>
      </c>
      <c r="N19" s="24" t="s">
        <v>241</v>
      </c>
    </row>
    <row r="20" spans="1:14" ht="13.8" hidden="1" outlineLevel="1" thickTop="1" x14ac:dyDescent="0.25">
      <c r="A20" s="14" t="s">
        <v>158</v>
      </c>
      <c r="B20" s="62" t="s">
        <v>63</v>
      </c>
      <c r="C20" s="25">
        <v>45474</v>
      </c>
      <c r="D20" s="57" t="s">
        <v>197</v>
      </c>
      <c r="E20" s="24" t="s">
        <v>127</v>
      </c>
      <c r="F20" s="55" t="s">
        <v>128</v>
      </c>
      <c r="G20" s="64">
        <v>1000</v>
      </c>
      <c r="H20" s="60">
        <v>24</v>
      </c>
      <c r="I20" s="60">
        <f>Таблица224267[[#This Row],[Стоимость, 
грн]]</f>
        <v>1000</v>
      </c>
      <c r="J20" s="12">
        <f>Таблица224267[[#This Row],[Доход, 
грн/рейс]]/Таблица224267[[#This Row],[Километраж, 
км]]</f>
        <v>41.666666666666664</v>
      </c>
      <c r="K20" s="12">
        <v>900</v>
      </c>
      <c r="L20" s="12">
        <f>Таблица224267[[#This Row],[СС, 
грн/рейс]]/Таблица224267[[#This Row],[Километраж, 
км]]</f>
        <v>37.5</v>
      </c>
      <c r="M20" s="26">
        <f>Таблица224267[[#This Row],[Доход, 
грн/рейс]]-Таблица224267[[#This Row],[СС, 
грн/рейс]]</f>
        <v>100</v>
      </c>
      <c r="N20" s="24" t="s">
        <v>241</v>
      </c>
    </row>
    <row r="21" spans="1:14" ht="13.8" hidden="1" outlineLevel="1" thickTop="1" x14ac:dyDescent="0.25">
      <c r="A21" s="14" t="s">
        <v>158</v>
      </c>
      <c r="B21" s="62" t="s">
        <v>63</v>
      </c>
      <c r="C21" s="25">
        <v>45474</v>
      </c>
      <c r="D21" s="57" t="s">
        <v>181</v>
      </c>
      <c r="E21" s="24" t="s">
        <v>127</v>
      </c>
      <c r="F21" s="71" t="s">
        <v>128</v>
      </c>
      <c r="G21" s="64">
        <v>3000</v>
      </c>
      <c r="H21" s="56">
        <v>26</v>
      </c>
      <c r="I21" s="60">
        <f>Таблица224267[[#This Row],[Стоимость, 
грн]]</f>
        <v>3000</v>
      </c>
      <c r="J21" s="12">
        <f>Таблица224267[[#This Row],[Доход, 
грн/рейс]]/Таблица224267[[#This Row],[Километраж, 
км]]</f>
        <v>115.38461538461539</v>
      </c>
      <c r="K21" s="12">
        <v>2300</v>
      </c>
      <c r="L21" s="12">
        <f>Таблица224267[[#This Row],[СС, 
грн/рейс]]/Таблица224267[[#This Row],[Километраж, 
км]]</f>
        <v>88.461538461538467</v>
      </c>
      <c r="M21" s="26">
        <f>Таблица224267[[#This Row],[Доход, 
грн/рейс]]-Таблица224267[[#This Row],[СС, 
грн/рейс]]</f>
        <v>700</v>
      </c>
      <c r="N21" s="24" t="s">
        <v>241</v>
      </c>
    </row>
    <row r="22" spans="1:14" ht="13.8" hidden="1" outlineLevel="1" thickTop="1" x14ac:dyDescent="0.25">
      <c r="A22" s="14" t="s">
        <v>158</v>
      </c>
      <c r="B22" s="62" t="s">
        <v>63</v>
      </c>
      <c r="C22" s="25">
        <v>45474</v>
      </c>
      <c r="D22" s="57" t="s">
        <v>211</v>
      </c>
      <c r="E22" s="24" t="s">
        <v>127</v>
      </c>
      <c r="F22" s="55" t="s">
        <v>128</v>
      </c>
      <c r="G22" s="64">
        <v>2200</v>
      </c>
      <c r="H22" s="56">
        <v>37</v>
      </c>
      <c r="I22" s="60">
        <f>Таблица224267[[#This Row],[Стоимость, 
грн]]</f>
        <v>2200</v>
      </c>
      <c r="J22" s="12">
        <f>Таблица224267[[#This Row],[Доход, 
грн/рейс]]/Таблица224267[[#This Row],[Километраж, 
км]]</f>
        <v>59.45945945945946</v>
      </c>
      <c r="K22" s="12">
        <v>1800</v>
      </c>
      <c r="L22" s="12">
        <f>Таблица224267[[#This Row],[СС, 
грн/рейс]]/Таблица224267[[#This Row],[Километраж, 
км]]</f>
        <v>48.648648648648646</v>
      </c>
      <c r="M22" s="26">
        <f>Таблица224267[[#This Row],[Доход, 
грн/рейс]]-Таблица224267[[#This Row],[СС, 
грн/рейс]]</f>
        <v>400</v>
      </c>
      <c r="N22" s="24" t="s">
        <v>241</v>
      </c>
    </row>
    <row r="23" spans="1:14" ht="13.8" hidden="1" outlineLevel="1" thickTop="1" x14ac:dyDescent="0.25">
      <c r="A23" s="14" t="s">
        <v>158</v>
      </c>
      <c r="B23" s="62" t="s">
        <v>63</v>
      </c>
      <c r="C23" s="25">
        <v>45474</v>
      </c>
      <c r="D23" s="57" t="s">
        <v>212</v>
      </c>
      <c r="E23" s="24" t="s">
        <v>127</v>
      </c>
      <c r="F23" s="55" t="s">
        <v>128</v>
      </c>
      <c r="G23" s="64">
        <v>2200</v>
      </c>
      <c r="H23" s="60">
        <v>35</v>
      </c>
      <c r="I23" s="60">
        <f>Таблица224267[[#This Row],[Стоимость, 
грн]]</f>
        <v>2200</v>
      </c>
      <c r="J23" s="12">
        <f>Таблица224267[[#This Row],[Доход, 
грн/рейс]]/Таблица224267[[#This Row],[Километраж, 
км]]</f>
        <v>62.857142857142854</v>
      </c>
      <c r="K23" s="12">
        <v>1800</v>
      </c>
      <c r="L23" s="12">
        <f>Таблица224267[[#This Row],[СС, 
грн/рейс]]/Таблица224267[[#This Row],[Километраж, 
км]]</f>
        <v>51.428571428571431</v>
      </c>
      <c r="M23" s="26">
        <f>Таблица224267[[#This Row],[Доход, 
грн/рейс]]-Таблица224267[[#This Row],[СС, 
грн/рейс]]</f>
        <v>400</v>
      </c>
      <c r="N23" s="24" t="s">
        <v>275</v>
      </c>
    </row>
    <row r="24" spans="1:14" ht="13.8" hidden="1" outlineLevel="1" thickTop="1" x14ac:dyDescent="0.25">
      <c r="A24" s="14" t="s">
        <v>158</v>
      </c>
      <c r="B24" s="62" t="s">
        <v>63</v>
      </c>
      <c r="C24" s="25">
        <v>45474</v>
      </c>
      <c r="D24" s="57" t="s">
        <v>213</v>
      </c>
      <c r="E24" s="24" t="s">
        <v>127</v>
      </c>
      <c r="F24" s="55" t="s">
        <v>128</v>
      </c>
      <c r="G24" s="64">
        <v>1000</v>
      </c>
      <c r="H24" s="56">
        <v>23</v>
      </c>
      <c r="I24" s="60">
        <f>Таблица224267[[#This Row],[Стоимость, 
грн]]</f>
        <v>1000</v>
      </c>
      <c r="J24" s="12">
        <f>Таблица224267[[#This Row],[Доход, 
грн/рейс]]/Таблица224267[[#This Row],[Километраж, 
км]]</f>
        <v>43.478260869565219</v>
      </c>
      <c r="K24" s="12">
        <v>900</v>
      </c>
      <c r="L24" s="12">
        <f>Таблица224267[[#This Row],[СС, 
грн/рейс]]/Таблица224267[[#This Row],[Километраж, 
км]]</f>
        <v>39.130434782608695</v>
      </c>
      <c r="M24" s="26">
        <f>Таблица224267[[#This Row],[Доход, 
грн/рейс]]-Таблица224267[[#This Row],[СС, 
грн/рейс]]</f>
        <v>100</v>
      </c>
      <c r="N24" s="24" t="s">
        <v>241</v>
      </c>
    </row>
    <row r="25" spans="1:14" ht="13.8" hidden="1" outlineLevel="1" collapsed="1" thickTop="1" x14ac:dyDescent="0.25">
      <c r="A25" s="14" t="s">
        <v>158</v>
      </c>
      <c r="B25" s="62" t="s">
        <v>63</v>
      </c>
      <c r="C25" s="25">
        <v>45482</v>
      </c>
      <c r="D25" s="57" t="s">
        <v>232</v>
      </c>
      <c r="E25" s="24" t="s">
        <v>127</v>
      </c>
      <c r="F25" s="55" t="s">
        <v>128</v>
      </c>
      <c r="G25" s="64">
        <v>2000</v>
      </c>
      <c r="H25" s="56">
        <v>44</v>
      </c>
      <c r="I25" s="60">
        <f>Таблица224267[[#This Row],[Стоимость, 
грн]]</f>
        <v>2000</v>
      </c>
      <c r="J25" s="12">
        <f>Таблица224267[[#This Row],[Доход, 
грн/рейс]]/Таблица224267[[#This Row],[Километраж, 
км]]</f>
        <v>45.454545454545453</v>
      </c>
      <c r="K25" s="12">
        <v>1800</v>
      </c>
      <c r="L25" s="12">
        <f>Таблица224267[[#This Row],[СС, 
грн/рейс]]/Таблица224267[[#This Row],[Километраж, 
км]]</f>
        <v>40.909090909090907</v>
      </c>
      <c r="M25" s="26">
        <f>Таблица224267[[#This Row],[Доход, 
грн/рейс]]-Таблица224267[[#This Row],[СС, 
грн/рейс]]</f>
        <v>200</v>
      </c>
      <c r="N25" s="1" t="s">
        <v>315</v>
      </c>
    </row>
    <row r="26" spans="1:14" ht="13.8" hidden="1" outlineLevel="1" thickTop="1" x14ac:dyDescent="0.25">
      <c r="A26" s="14" t="s">
        <v>158</v>
      </c>
      <c r="B26" s="62" t="s">
        <v>63</v>
      </c>
      <c r="C26" s="25">
        <v>45483</v>
      </c>
      <c r="D26" s="57" t="s">
        <v>233</v>
      </c>
      <c r="E26" s="24" t="s">
        <v>127</v>
      </c>
      <c r="F26" s="55" t="s">
        <v>128</v>
      </c>
      <c r="G26" s="64">
        <v>1000</v>
      </c>
      <c r="H26" s="60">
        <v>22</v>
      </c>
      <c r="I26" s="60">
        <f>Таблица224267[[#This Row],[Стоимость, 
грн]]</f>
        <v>1000</v>
      </c>
      <c r="J26" s="12">
        <f>Таблица224267[[#This Row],[Доход, 
грн/рейс]]/Таблица224267[[#This Row],[Километраж, 
км]]</f>
        <v>45.454545454545453</v>
      </c>
      <c r="K26" s="12">
        <v>900</v>
      </c>
      <c r="L26" s="12">
        <f>Таблица224267[[#This Row],[СС, 
грн/рейс]]/Таблица224267[[#This Row],[Километраж, 
км]]</f>
        <v>40.909090909090907</v>
      </c>
      <c r="M26" s="26">
        <f>Таблица224267[[#This Row],[Доход, 
грн/рейс]]-Таблица224267[[#This Row],[СС, 
грн/рейс]]</f>
        <v>100</v>
      </c>
      <c r="N26" s="24" t="s">
        <v>275</v>
      </c>
    </row>
    <row r="27" spans="1:14" ht="13.8" hidden="1" outlineLevel="1" thickTop="1" x14ac:dyDescent="0.25">
      <c r="A27" s="14" t="s">
        <v>261</v>
      </c>
      <c r="B27" s="62" t="s">
        <v>63</v>
      </c>
      <c r="C27" s="25">
        <v>45484</v>
      </c>
      <c r="D27" s="57" t="s">
        <v>248</v>
      </c>
      <c r="E27" s="24" t="s">
        <v>127</v>
      </c>
      <c r="F27" s="55" t="s">
        <v>128</v>
      </c>
      <c r="G27" s="73">
        <v>3000</v>
      </c>
      <c r="H27" s="56">
        <v>68</v>
      </c>
      <c r="I27" s="60">
        <f>Таблица224267[[#This Row],[Стоимость, 
грн]]</f>
        <v>3000</v>
      </c>
      <c r="J27" s="12">
        <f>Таблица224267[[#This Row],[Доход, 
грн/рейс]]/Таблица224267[[#This Row],[Километраж, 
км]]</f>
        <v>44.117647058823529</v>
      </c>
      <c r="K27" s="12">
        <v>2700</v>
      </c>
      <c r="L27" s="12">
        <f>Таблица224267[[#This Row],[СС, 
грн/рейс]]/Таблица224267[[#This Row],[Километраж, 
км]]</f>
        <v>39.705882352941174</v>
      </c>
      <c r="M27" s="26">
        <f>Таблица224267[[#This Row],[Доход, 
грн/рейс]]-Таблица224267[[#This Row],[СС, 
грн/рейс]]</f>
        <v>300</v>
      </c>
      <c r="N27" s="24" t="s">
        <v>339</v>
      </c>
    </row>
    <row r="28" spans="1:14" ht="13.8" hidden="1" outlineLevel="1" thickTop="1" x14ac:dyDescent="0.25">
      <c r="A28" s="84" t="s">
        <v>158</v>
      </c>
      <c r="B28" s="85" t="s">
        <v>63</v>
      </c>
      <c r="C28" s="86">
        <v>45485</v>
      </c>
      <c r="D28" s="87" t="s">
        <v>260</v>
      </c>
      <c r="E28" s="88" t="s">
        <v>127</v>
      </c>
      <c r="F28" s="89" t="s">
        <v>128</v>
      </c>
      <c r="G28" s="104">
        <v>2000</v>
      </c>
      <c r="H28" s="90">
        <v>43</v>
      </c>
      <c r="I28" s="60">
        <f>Таблица224267[[#This Row],[Стоимость, 
грн]]</f>
        <v>2000</v>
      </c>
      <c r="J28" s="91">
        <f>Таблица224267[[#This Row],[Доход, 
грн/рейс]]/Таблица224267[[#This Row],[Километраж, 
км]]</f>
        <v>46.511627906976742</v>
      </c>
      <c r="K28" s="91">
        <v>1800</v>
      </c>
      <c r="L28" s="91">
        <f>Таблица224267[[#This Row],[СС, 
грн/рейс]]/Таблица224267[[#This Row],[Километраж, 
км]]</f>
        <v>41.860465116279073</v>
      </c>
      <c r="M28" s="92">
        <f>Таблица224267[[#This Row],[Доход, 
грн/рейс]]-Таблица224267[[#This Row],[СС, 
грн/рейс]]</f>
        <v>200</v>
      </c>
      <c r="N28" s="24" t="s">
        <v>366</v>
      </c>
    </row>
    <row r="29" spans="1:14" ht="13.8" hidden="1" outlineLevel="1" thickTop="1" x14ac:dyDescent="0.25">
      <c r="A29" s="1" t="s">
        <v>158</v>
      </c>
      <c r="B29" s="1" t="s">
        <v>63</v>
      </c>
      <c r="C29" s="96">
        <v>45486</v>
      </c>
      <c r="D29" s="20" t="s">
        <v>260</v>
      </c>
      <c r="E29" s="1" t="s">
        <v>127</v>
      </c>
      <c r="F29" s="97" t="s">
        <v>128</v>
      </c>
      <c r="G29" s="102">
        <v>2650</v>
      </c>
      <c r="H29" s="98">
        <v>24</v>
      </c>
      <c r="I29" s="60">
        <f>Таблица224267[[#This Row],[Стоимость, 
грн]]</f>
        <v>2650</v>
      </c>
      <c r="J29" s="99">
        <f>Таблица224267[[#This Row],[Доход, 
грн/рейс]]/Таблица224267[[#This Row],[Километраж, 
км]]</f>
        <v>110.41666666666667</v>
      </c>
      <c r="K29" s="99">
        <v>2400</v>
      </c>
      <c r="L29" s="99">
        <f>Таблица224267[[#This Row],[СС, 
грн/рейс]]/Таблица224267[[#This Row],[Километраж, 
км]]</f>
        <v>100</v>
      </c>
      <c r="M29" s="100">
        <f>Таблица224267[[#This Row],[Доход, 
грн/рейс]]-Таблица224267[[#This Row],[СС, 
грн/рейс]]</f>
        <v>250</v>
      </c>
      <c r="N29" s="1" t="s">
        <v>315</v>
      </c>
    </row>
    <row r="30" spans="1:14" ht="13.8" hidden="1" outlineLevel="1" thickTop="1" x14ac:dyDescent="0.25">
      <c r="A30" s="1" t="s">
        <v>158</v>
      </c>
      <c r="B30" s="1" t="s">
        <v>63</v>
      </c>
      <c r="C30" s="96">
        <v>45487</v>
      </c>
      <c r="D30" s="20" t="s">
        <v>264</v>
      </c>
      <c r="E30" s="1" t="s">
        <v>127</v>
      </c>
      <c r="F30" s="97" t="s">
        <v>128</v>
      </c>
      <c r="G30" s="102">
        <v>1000</v>
      </c>
      <c r="H30" s="98">
        <v>21</v>
      </c>
      <c r="I30" s="60">
        <f>Таблица224267[[#This Row],[Стоимость, 
грн]]</f>
        <v>1000</v>
      </c>
      <c r="J30" s="99">
        <f>Таблица224267[[#This Row],[Доход, 
грн/рейс]]/Таблица224267[[#This Row],[Километраж, 
км]]</f>
        <v>47.61904761904762</v>
      </c>
      <c r="K30" s="99">
        <v>900</v>
      </c>
      <c r="L30" s="99">
        <f>Таблица224267[[#This Row],[СС, 
грн/рейс]]/Таблица224267[[#This Row],[Километраж, 
км]]</f>
        <v>42.857142857142854</v>
      </c>
      <c r="M30" s="100">
        <f>Таблица224267[[#This Row],[Доход, 
грн/рейс]]-Таблица224267[[#This Row],[СС, 
грн/рейс]]</f>
        <v>100</v>
      </c>
      <c r="N30" s="24" t="s">
        <v>275</v>
      </c>
    </row>
    <row r="31" spans="1:14" ht="13.8" hidden="1" outlineLevel="1" thickTop="1" x14ac:dyDescent="0.25">
      <c r="A31" s="1" t="s">
        <v>158</v>
      </c>
      <c r="B31" s="1" t="s">
        <v>63</v>
      </c>
      <c r="C31" s="96">
        <v>45505</v>
      </c>
      <c r="D31" s="20" t="s">
        <v>262</v>
      </c>
      <c r="E31" s="1" t="s">
        <v>127</v>
      </c>
      <c r="F31" s="97" t="s">
        <v>128</v>
      </c>
      <c r="G31" s="102">
        <v>1000</v>
      </c>
      <c r="H31" s="98">
        <v>22</v>
      </c>
      <c r="I31" s="60">
        <f>Таблица224267[[#This Row],[Стоимость, 
грн]]</f>
        <v>1000</v>
      </c>
      <c r="J31" s="99">
        <f>Таблица224267[[#This Row],[Доход, 
грн/рейс]]/Таблица224267[[#This Row],[Километраж, 
км]]</f>
        <v>45.454545454545453</v>
      </c>
      <c r="K31" s="99">
        <v>900</v>
      </c>
      <c r="L31" s="99">
        <f>Таблица224267[[#This Row],[СС, 
грн/рейс]]/Таблица224267[[#This Row],[Километраж, 
км]]</f>
        <v>40.909090909090907</v>
      </c>
      <c r="M31" s="100">
        <f>Таблица224267[[#This Row],[Доход, 
грн/рейс]]-Таблица224267[[#This Row],[СС, 
грн/рейс]]</f>
        <v>100</v>
      </c>
      <c r="N31" s="1" t="s">
        <v>315</v>
      </c>
    </row>
    <row r="32" spans="1:14" ht="13.8" hidden="1" outlineLevel="1" thickTop="1" x14ac:dyDescent="0.25">
      <c r="A32" s="93" t="s">
        <v>158</v>
      </c>
      <c r="B32" s="94" t="s">
        <v>63</v>
      </c>
      <c r="C32" s="25">
        <v>45506</v>
      </c>
      <c r="D32" s="57" t="s">
        <v>265</v>
      </c>
      <c r="E32" s="24" t="s">
        <v>127</v>
      </c>
      <c r="F32" s="55" t="s">
        <v>128</v>
      </c>
      <c r="G32" s="73">
        <v>1000</v>
      </c>
      <c r="H32" s="56">
        <v>23</v>
      </c>
      <c r="I32" s="60">
        <f>Таблица224267[[#This Row],[Стоимость, 
грн]]</f>
        <v>1000</v>
      </c>
      <c r="J32" s="99">
        <f>Таблица224267[[#This Row],[Доход, 
грн/рейс]]/Таблица224267[[#This Row],[Километраж, 
км]]</f>
        <v>43.478260869565219</v>
      </c>
      <c r="K32" s="95">
        <v>900</v>
      </c>
      <c r="L32" s="99">
        <f>Таблица224267[[#This Row],[СС, 
грн/рейс]]/Таблица224267[[#This Row],[Километраж, 
км]]</f>
        <v>39.130434782608695</v>
      </c>
      <c r="M32" s="100">
        <f>Таблица224267[[#This Row],[Доход, 
грн/рейс]]-Таблица224267[[#This Row],[СС, 
грн/рейс]]</f>
        <v>100</v>
      </c>
      <c r="N32" s="1" t="s">
        <v>315</v>
      </c>
    </row>
    <row r="33" spans="1:14" ht="13.8" hidden="1" outlineLevel="1" thickTop="1" x14ac:dyDescent="0.25">
      <c r="A33" s="14" t="s">
        <v>158</v>
      </c>
      <c r="B33" s="62" t="s">
        <v>63</v>
      </c>
      <c r="C33" s="25">
        <v>45507</v>
      </c>
      <c r="D33" s="57" t="s">
        <v>266</v>
      </c>
      <c r="E33" s="24" t="s">
        <v>127</v>
      </c>
      <c r="F33" s="55" t="s">
        <v>128</v>
      </c>
      <c r="G33" s="73">
        <v>1000</v>
      </c>
      <c r="H33" s="56">
        <v>25</v>
      </c>
      <c r="I33" s="60">
        <f>Таблица224267[[#This Row],[Стоимость, 
грн]]</f>
        <v>1000</v>
      </c>
      <c r="J33" s="99">
        <f>Таблица224267[[#This Row],[Доход, 
грн/рейс]]/Таблица224267[[#This Row],[Километраж, 
км]]</f>
        <v>40</v>
      </c>
      <c r="K33" s="12">
        <v>900</v>
      </c>
      <c r="L33" s="99">
        <f>Таблица224267[[#This Row],[СС, 
грн/рейс]]/Таблица224267[[#This Row],[Километраж, 
км]]</f>
        <v>36</v>
      </c>
      <c r="M33" s="100">
        <f>Таблица224267[[#This Row],[Доход, 
грн/рейс]]-Таблица224267[[#This Row],[СС, 
грн/рейс]]</f>
        <v>100</v>
      </c>
      <c r="N33" s="24" t="s">
        <v>339</v>
      </c>
    </row>
    <row r="34" spans="1:14" ht="13.8" hidden="1" outlineLevel="1" thickTop="1" x14ac:dyDescent="0.25">
      <c r="A34" s="14" t="s">
        <v>158</v>
      </c>
      <c r="B34" s="62" t="s">
        <v>63</v>
      </c>
      <c r="C34" s="25">
        <v>45508</v>
      </c>
      <c r="D34" s="57" t="s">
        <v>281</v>
      </c>
      <c r="E34" s="24" t="s">
        <v>127</v>
      </c>
      <c r="F34" s="55" t="s">
        <v>128</v>
      </c>
      <c r="G34" s="73">
        <v>1000</v>
      </c>
      <c r="H34" s="56">
        <v>24</v>
      </c>
      <c r="I34" s="60">
        <f>Таблица224267[[#This Row],[Стоимость, 
грн]]</f>
        <v>1000</v>
      </c>
      <c r="J34" s="99">
        <f>Таблица224267[[#This Row],[Доход, 
грн/рейс]]/Таблица224267[[#This Row],[Километраж, 
км]]</f>
        <v>41.666666666666664</v>
      </c>
      <c r="K34" s="12">
        <v>900</v>
      </c>
      <c r="L34" s="99">
        <f>Таблица224267[[#This Row],[СС, 
грн/рейс]]/Таблица224267[[#This Row],[Километраж, 
км]]</f>
        <v>37.5</v>
      </c>
      <c r="M34" s="100">
        <f>Таблица224267[[#This Row],[Доход, 
грн/рейс]]-Таблица224267[[#This Row],[СС, 
грн/рейс]]</f>
        <v>100</v>
      </c>
      <c r="N34" s="24" t="s">
        <v>339</v>
      </c>
    </row>
    <row r="35" spans="1:14" ht="13.8" hidden="1" outlineLevel="1" thickTop="1" x14ac:dyDescent="0.25">
      <c r="A35" s="14" t="s">
        <v>13</v>
      </c>
      <c r="B35" s="62" t="s">
        <v>79</v>
      </c>
      <c r="C35" s="25">
        <v>45509</v>
      </c>
      <c r="D35" s="57" t="s">
        <v>282</v>
      </c>
      <c r="E35" s="24" t="s">
        <v>283</v>
      </c>
      <c r="F35" s="55" t="s">
        <v>284</v>
      </c>
      <c r="G35" s="73">
        <v>2750</v>
      </c>
      <c r="H35" s="56">
        <v>37</v>
      </c>
      <c r="I35" s="60">
        <f>Таблица224267[[#This Row],[Стоимость, 
грн]]</f>
        <v>2750</v>
      </c>
      <c r="J35" s="99">
        <f>Таблица224267[[#This Row],[Доход, 
грн/рейс]]/Таблица224267[[#This Row],[Километраж, 
км]]</f>
        <v>74.324324324324323</v>
      </c>
      <c r="K35" s="12">
        <v>2500</v>
      </c>
      <c r="L35" s="99">
        <f>Таблица224267[[#This Row],[СС, 
грн/рейс]]/Таблица224267[[#This Row],[Километраж, 
км]]</f>
        <v>67.567567567567565</v>
      </c>
      <c r="M35" s="100">
        <f>Таблица224267[[#This Row],[Доход, 
грн/рейс]]-Таблица224267[[#This Row],[СС, 
грн/рейс]]</f>
        <v>250</v>
      </c>
      <c r="N35" s="24" t="s">
        <v>339</v>
      </c>
    </row>
    <row r="36" spans="1:14" ht="13.8" hidden="1" outlineLevel="1" thickTop="1" x14ac:dyDescent="0.25">
      <c r="A36" s="14" t="s">
        <v>158</v>
      </c>
      <c r="B36" s="62" t="s">
        <v>63</v>
      </c>
      <c r="C36" s="25">
        <v>45509</v>
      </c>
      <c r="D36" s="57" t="s">
        <v>285</v>
      </c>
      <c r="E36" s="24" t="s">
        <v>127</v>
      </c>
      <c r="F36" s="55" t="s">
        <v>128</v>
      </c>
      <c r="G36" s="73">
        <v>1000</v>
      </c>
      <c r="H36" s="56">
        <v>22</v>
      </c>
      <c r="I36" s="60">
        <f>Таблица224267[[#This Row],[Стоимость, 
грн]]</f>
        <v>1000</v>
      </c>
      <c r="J36" s="99">
        <f>Таблица224267[[#This Row],[Доход, 
грн/рейс]]/Таблица224267[[#This Row],[Километраж, 
км]]</f>
        <v>45.454545454545453</v>
      </c>
      <c r="K36" s="12">
        <v>900</v>
      </c>
      <c r="L36" s="99">
        <f>Таблица224267[[#This Row],[СС, 
грн/рейс]]/Таблица224267[[#This Row],[Километраж, 
км]]</f>
        <v>40.909090909090907</v>
      </c>
      <c r="M36" s="100">
        <f>Таблица224267[[#This Row],[Доход, 
грн/рейс]]-Таблица224267[[#This Row],[СС, 
грн/рейс]]</f>
        <v>100</v>
      </c>
      <c r="N36" s="24" t="s">
        <v>340</v>
      </c>
    </row>
    <row r="37" spans="1:14" ht="13.8" hidden="1" outlineLevel="1" thickTop="1" x14ac:dyDescent="0.25">
      <c r="A37" s="14" t="s">
        <v>158</v>
      </c>
      <c r="B37" s="62" t="s">
        <v>63</v>
      </c>
      <c r="C37" s="25">
        <v>45509</v>
      </c>
      <c r="D37" s="57" t="s">
        <v>282</v>
      </c>
      <c r="E37" s="24" t="s">
        <v>127</v>
      </c>
      <c r="F37" s="55" t="s">
        <v>128</v>
      </c>
      <c r="G37" s="73">
        <v>1000</v>
      </c>
      <c r="H37" s="56">
        <v>23</v>
      </c>
      <c r="I37" s="60">
        <f>Таблица224267[[#This Row],[Стоимость, 
грн]]</f>
        <v>1000</v>
      </c>
      <c r="J37" s="99">
        <f>Таблица224267[[#This Row],[Доход, 
грн/рейс]]/Таблица224267[[#This Row],[Километраж, 
км]]</f>
        <v>43.478260869565219</v>
      </c>
      <c r="K37" s="12">
        <v>900</v>
      </c>
      <c r="L37" s="99">
        <f>Таблица224267[[#This Row],[СС, 
грн/рейс]]/Таблица224267[[#This Row],[Километраж, 
км]]</f>
        <v>39.130434782608695</v>
      </c>
      <c r="M37" s="100">
        <f>Таблица224267[[#This Row],[Доход, 
грн/рейс]]-Таблица224267[[#This Row],[СС, 
грн/рейс]]</f>
        <v>100</v>
      </c>
      <c r="N37" s="24" t="s">
        <v>367</v>
      </c>
    </row>
    <row r="38" spans="1:14" ht="13.8" hidden="1" outlineLevel="1" thickTop="1" x14ac:dyDescent="0.25">
      <c r="A38" s="14" t="s">
        <v>82</v>
      </c>
      <c r="B38" s="62" t="s">
        <v>63</v>
      </c>
      <c r="C38" s="25">
        <v>45509</v>
      </c>
      <c r="D38" s="57" t="s">
        <v>286</v>
      </c>
      <c r="E38" s="24" t="s">
        <v>85</v>
      </c>
      <c r="F38" s="55" t="s">
        <v>287</v>
      </c>
      <c r="G38" s="73">
        <v>4000</v>
      </c>
      <c r="H38" s="56">
        <v>35</v>
      </c>
      <c r="I38" s="60">
        <f>Таблица224267[[#This Row],[Стоимость, 
грн]]</f>
        <v>4000</v>
      </c>
      <c r="J38" s="99">
        <f>Таблица224267[[#This Row],[Доход, 
грн/рейс]]/Таблица224267[[#This Row],[Километраж, 
км]]</f>
        <v>114.28571428571429</v>
      </c>
      <c r="K38" s="12">
        <v>3500</v>
      </c>
      <c r="L38" s="99">
        <f>Таблица224267[[#This Row],[СС, 
грн/рейс]]/Таблица224267[[#This Row],[Километраж, 
км]]</f>
        <v>100</v>
      </c>
      <c r="M38" s="100">
        <f>Таблица224267[[#This Row],[Доход, 
грн/рейс]]-Таблица224267[[#This Row],[СС, 
грн/рейс]]</f>
        <v>500</v>
      </c>
      <c r="N38" s="24" t="s">
        <v>364</v>
      </c>
    </row>
    <row r="39" spans="1:14" ht="13.8" hidden="1" outlineLevel="1" thickTop="1" x14ac:dyDescent="0.25">
      <c r="A39" s="14" t="s">
        <v>158</v>
      </c>
      <c r="B39" s="62" t="s">
        <v>63</v>
      </c>
      <c r="C39" s="25">
        <v>45509</v>
      </c>
      <c r="D39" s="57" t="s">
        <v>286</v>
      </c>
      <c r="E39" s="24" t="s">
        <v>127</v>
      </c>
      <c r="F39" s="55" t="s">
        <v>128</v>
      </c>
      <c r="G39" s="73">
        <v>1800</v>
      </c>
      <c r="H39" s="56">
        <v>27</v>
      </c>
      <c r="I39" s="60">
        <f>Таблица224267[[#This Row],[Стоимость, 
грн]]</f>
        <v>1800</v>
      </c>
      <c r="J39" s="99">
        <f>Таблица224267[[#This Row],[Доход, 
грн/рейс]]/Таблица224267[[#This Row],[Километраж, 
км]]</f>
        <v>66.666666666666671</v>
      </c>
      <c r="K39" s="12">
        <v>1800</v>
      </c>
      <c r="L39" s="99">
        <f>Таблица224267[[#This Row],[СС, 
грн/рейс]]/Таблица224267[[#This Row],[Километраж, 
км]]</f>
        <v>66.666666666666671</v>
      </c>
      <c r="M39" s="100">
        <f>Таблица224267[[#This Row],[Доход, 
грн/рейс]]-Таблица224267[[#This Row],[СС, 
грн/рейс]]</f>
        <v>0</v>
      </c>
      <c r="N39" s="24" t="s">
        <v>339</v>
      </c>
    </row>
    <row r="40" spans="1:14" ht="13.8" hidden="1" outlineLevel="1" collapsed="1" thickTop="1" x14ac:dyDescent="0.25">
      <c r="A40" s="14" t="s">
        <v>158</v>
      </c>
      <c r="B40" s="62" t="s">
        <v>63</v>
      </c>
      <c r="C40" s="25">
        <v>45509</v>
      </c>
      <c r="D40" s="57" t="s">
        <v>286</v>
      </c>
      <c r="E40" s="24" t="s">
        <v>288</v>
      </c>
      <c r="F40" s="55" t="s">
        <v>102</v>
      </c>
      <c r="G40" s="73">
        <v>2000</v>
      </c>
      <c r="H40" s="56">
        <v>67</v>
      </c>
      <c r="I40" s="60">
        <f>Таблица224267[[#This Row],[Стоимость, 
грн]]</f>
        <v>2000</v>
      </c>
      <c r="J40" s="99">
        <f>Таблица224267[[#This Row],[Доход, 
грн/рейс]]/Таблица224267[[#This Row],[Километраж, 
км]]</f>
        <v>29.850746268656717</v>
      </c>
      <c r="K40" s="12">
        <v>1800</v>
      </c>
      <c r="L40" s="99">
        <f>Таблица224267[[#This Row],[СС, 
грн/рейс]]/Таблица224267[[#This Row],[Километраж, 
км]]</f>
        <v>26.865671641791046</v>
      </c>
      <c r="M40" s="100">
        <f>Таблица224267[[#This Row],[Доход, 
грн/рейс]]-Таблица224267[[#This Row],[СС, 
грн/рейс]]</f>
        <v>200</v>
      </c>
      <c r="N40" s="24" t="s">
        <v>501</v>
      </c>
    </row>
    <row r="41" spans="1:14" ht="13.8" hidden="1" outlineLevel="1" thickTop="1" x14ac:dyDescent="0.25">
      <c r="A41" s="14" t="s">
        <v>158</v>
      </c>
      <c r="B41" s="62" t="s">
        <v>63</v>
      </c>
      <c r="C41" s="25">
        <v>45510</v>
      </c>
      <c r="D41" s="57" t="s">
        <v>289</v>
      </c>
      <c r="E41" s="24" t="s">
        <v>127</v>
      </c>
      <c r="F41" s="55" t="s">
        <v>290</v>
      </c>
      <c r="G41" s="73">
        <v>6600</v>
      </c>
      <c r="H41" s="56">
        <v>22</v>
      </c>
      <c r="I41" s="60">
        <f>Таблица224267[[#This Row],[Стоимость, 
грн]]</f>
        <v>6600</v>
      </c>
      <c r="J41" s="99">
        <f>Таблица224267[[#This Row],[Доход, 
грн/рейс]]/Таблица224267[[#This Row],[Километраж, 
км]]</f>
        <v>300</v>
      </c>
      <c r="K41" s="12">
        <v>6000</v>
      </c>
      <c r="L41" s="99">
        <f>Таблица224267[[#This Row],[СС, 
грн/рейс]]/Таблица224267[[#This Row],[Километраж, 
км]]</f>
        <v>272.72727272727275</v>
      </c>
      <c r="M41" s="100">
        <f>Таблица224267[[#This Row],[Доход, 
грн/рейс]]-Таблица224267[[#This Row],[СС, 
грн/рейс]]</f>
        <v>600</v>
      </c>
      <c r="N41" s="24" t="s">
        <v>366</v>
      </c>
    </row>
    <row r="42" spans="1:14" ht="13.8" hidden="1" outlineLevel="1" thickTop="1" x14ac:dyDescent="0.25">
      <c r="A42" s="14" t="s">
        <v>158</v>
      </c>
      <c r="B42" s="62" t="s">
        <v>63</v>
      </c>
      <c r="C42" s="25">
        <v>45511</v>
      </c>
      <c r="D42" s="57" t="s">
        <v>291</v>
      </c>
      <c r="E42" s="24" t="s">
        <v>127</v>
      </c>
      <c r="F42" s="55" t="s">
        <v>128</v>
      </c>
      <c r="G42" s="73">
        <v>3000</v>
      </c>
      <c r="H42" s="56">
        <v>53</v>
      </c>
      <c r="I42" s="60">
        <f>Таблица224267[[#This Row],[Стоимость, 
грн]]</f>
        <v>3000</v>
      </c>
      <c r="J42" s="99">
        <f>Таблица224267[[#This Row],[Доход, 
грн/рейс]]/Таблица224267[[#This Row],[Километраж, 
км]]</f>
        <v>56.60377358490566</v>
      </c>
      <c r="K42" s="12">
        <v>2700</v>
      </c>
      <c r="L42" s="99">
        <f>Таблица224267[[#This Row],[СС, 
грн/рейс]]/Таблица224267[[#This Row],[Километраж, 
км]]</f>
        <v>50.943396226415096</v>
      </c>
      <c r="M42" s="100">
        <f>Таблица224267[[#This Row],[Доход, 
грн/рейс]]-Таблица224267[[#This Row],[СС, 
грн/рейс]]</f>
        <v>300</v>
      </c>
      <c r="N42" s="24" t="s">
        <v>366</v>
      </c>
    </row>
    <row r="43" spans="1:14" ht="13.8" hidden="1" outlineLevel="1" thickTop="1" x14ac:dyDescent="0.25">
      <c r="A43" s="14" t="s">
        <v>158</v>
      </c>
      <c r="B43" s="62" t="s">
        <v>63</v>
      </c>
      <c r="C43" s="25">
        <v>45512</v>
      </c>
      <c r="D43" s="57" t="s">
        <v>306</v>
      </c>
      <c r="E43" s="24" t="s">
        <v>127</v>
      </c>
      <c r="F43" s="55" t="s">
        <v>128</v>
      </c>
      <c r="G43" s="73">
        <v>2000</v>
      </c>
      <c r="H43" s="56">
        <v>37</v>
      </c>
      <c r="I43" s="60">
        <f>Таблица224267[[#This Row],[Стоимость, 
грн]]</f>
        <v>2000</v>
      </c>
      <c r="J43" s="99">
        <f>Таблица224267[[#This Row],[Доход, 
грн/рейс]]/Таблица224267[[#This Row],[Километраж, 
км]]</f>
        <v>54.054054054054056</v>
      </c>
      <c r="K43" s="12">
        <v>1800</v>
      </c>
      <c r="L43" s="99">
        <f>Таблица224267[[#This Row],[СС, 
грн/рейс]]/Таблица224267[[#This Row],[Километраж, 
км]]</f>
        <v>48.648648648648646</v>
      </c>
      <c r="M43" s="100">
        <f>Таблица224267[[#This Row],[Доход, 
грн/рейс]]-Таблица224267[[#This Row],[СС, 
грн/рейс]]</f>
        <v>200</v>
      </c>
      <c r="N43" s="24" t="s">
        <v>477</v>
      </c>
    </row>
    <row r="44" spans="1:14" ht="13.8" hidden="1" outlineLevel="1" thickTop="1" x14ac:dyDescent="0.25">
      <c r="A44" s="14" t="s">
        <v>158</v>
      </c>
      <c r="B44" s="62" t="s">
        <v>63</v>
      </c>
      <c r="C44" s="25">
        <v>45513</v>
      </c>
      <c r="D44" s="57" t="s">
        <v>306</v>
      </c>
      <c r="E44" s="24" t="s">
        <v>127</v>
      </c>
      <c r="F44" s="55" t="s">
        <v>128</v>
      </c>
      <c r="G44" s="73">
        <v>4400</v>
      </c>
      <c r="H44" s="60">
        <v>29</v>
      </c>
      <c r="I44" s="60">
        <f>Таблица224267[[#This Row],[Стоимость, 
грн]]</f>
        <v>4400</v>
      </c>
      <c r="J44" s="99">
        <f>Таблица224267[[#This Row],[Доход, 
грн/рейс]]/Таблица224267[[#This Row],[Километраж, 
км]]</f>
        <v>151.72413793103448</v>
      </c>
      <c r="K44" s="12">
        <v>4000</v>
      </c>
      <c r="L44" s="99">
        <f>Таблица224267[[#This Row],[СС, 
грн/рейс]]/Таблица224267[[#This Row],[Километраж, 
км]]</f>
        <v>137.93103448275863</v>
      </c>
      <c r="M44" s="100">
        <f>Таблица224267[[#This Row],[Доход, 
грн/рейс]]-Таблица224267[[#This Row],[СС, 
грн/рейс]]</f>
        <v>400</v>
      </c>
      <c r="N44" s="24" t="s">
        <v>366</v>
      </c>
    </row>
    <row r="45" spans="1:14" ht="13.8" hidden="1" outlineLevel="1" thickTop="1" x14ac:dyDescent="0.25">
      <c r="A45" s="14" t="s">
        <v>158</v>
      </c>
      <c r="B45" s="62" t="s">
        <v>63</v>
      </c>
      <c r="C45" s="25">
        <v>45514</v>
      </c>
      <c r="D45" s="57" t="s">
        <v>322</v>
      </c>
      <c r="E45" s="24" t="s">
        <v>127</v>
      </c>
      <c r="F45" s="55" t="s">
        <v>128</v>
      </c>
      <c r="G45" s="73">
        <v>4000</v>
      </c>
      <c r="H45" s="56">
        <v>24</v>
      </c>
      <c r="I45" s="60">
        <f>Таблица224267[[#This Row],[Стоимость, 
грн]]</f>
        <v>4000</v>
      </c>
      <c r="J45" s="99">
        <f>Таблица224267[[#This Row],[Доход, 
грн/рейс]]/Таблица224267[[#This Row],[Километраж, 
км]]</f>
        <v>166.66666666666666</v>
      </c>
      <c r="K45" s="12">
        <v>3600</v>
      </c>
      <c r="L45" s="99">
        <f>Таблица224267[[#This Row],[СС, 
грн/рейс]]/Таблица224267[[#This Row],[Километраж, 
км]]</f>
        <v>150</v>
      </c>
      <c r="M45" s="100">
        <f>Таблица224267[[#This Row],[Доход, 
грн/рейс]]-Таблица224267[[#This Row],[СС, 
грн/рейс]]</f>
        <v>400</v>
      </c>
      <c r="N45" s="24" t="s">
        <v>366</v>
      </c>
    </row>
    <row r="46" spans="1:14" ht="13.8" hidden="1" outlineLevel="1" thickTop="1" x14ac:dyDescent="0.25">
      <c r="A46" s="14" t="s">
        <v>158</v>
      </c>
      <c r="B46" s="62" t="s">
        <v>63</v>
      </c>
      <c r="C46" s="25">
        <v>45515</v>
      </c>
      <c r="D46" s="57" t="s">
        <v>322</v>
      </c>
      <c r="E46" s="24" t="s">
        <v>127</v>
      </c>
      <c r="F46" s="55" t="s">
        <v>128</v>
      </c>
      <c r="G46" s="73">
        <v>3000</v>
      </c>
      <c r="H46" s="56">
        <v>58</v>
      </c>
      <c r="I46" s="60">
        <f>Таблица224267[[#This Row],[Стоимость, 
грн]]</f>
        <v>3000</v>
      </c>
      <c r="J46" s="99">
        <f>Таблица224267[[#This Row],[Доход, 
грн/рейс]]/Таблица224267[[#This Row],[Километраж, 
км]]</f>
        <v>51.724137931034484</v>
      </c>
      <c r="K46" s="12">
        <v>2700</v>
      </c>
      <c r="L46" s="99">
        <f>Таблица224267[[#This Row],[СС, 
грн/рейс]]/Таблица224267[[#This Row],[Километраж, 
км]]</f>
        <v>46.551724137931032</v>
      </c>
      <c r="M46" s="100">
        <f>Таблица224267[[#This Row],[Доход, 
грн/рейс]]-Таблица224267[[#This Row],[СС, 
грн/рейс]]</f>
        <v>300</v>
      </c>
      <c r="N46" s="24" t="s">
        <v>366</v>
      </c>
    </row>
    <row r="47" spans="1:14" ht="13.8" hidden="1" outlineLevel="1" thickTop="1" x14ac:dyDescent="0.25">
      <c r="A47" s="14" t="s">
        <v>158</v>
      </c>
      <c r="B47" s="62" t="s">
        <v>63</v>
      </c>
      <c r="C47" s="25">
        <v>45515</v>
      </c>
      <c r="D47" s="57" t="s">
        <v>323</v>
      </c>
      <c r="E47" s="24" t="s">
        <v>127</v>
      </c>
      <c r="F47" s="55" t="s">
        <v>128</v>
      </c>
      <c r="G47" s="73">
        <v>1000</v>
      </c>
      <c r="H47" s="60">
        <v>22</v>
      </c>
      <c r="I47" s="60">
        <f>Таблица224267[[#This Row],[Стоимость, 
грн]]</f>
        <v>1000</v>
      </c>
      <c r="J47" s="99">
        <f>Таблица224267[[#This Row],[Доход, 
грн/рейс]]/Таблица224267[[#This Row],[Километраж, 
км]]</f>
        <v>45.454545454545453</v>
      </c>
      <c r="K47" s="12">
        <v>900</v>
      </c>
      <c r="L47" s="99">
        <f>Таблица224267[[#This Row],[СС, 
грн/рейс]]/Таблица224267[[#This Row],[Километраж, 
км]]</f>
        <v>40.909090909090907</v>
      </c>
      <c r="M47" s="100">
        <f>Таблица224267[[#This Row],[Доход, 
грн/рейс]]-Таблица224267[[#This Row],[СС, 
грн/рейс]]</f>
        <v>100</v>
      </c>
      <c r="N47" s="24" t="s">
        <v>477</v>
      </c>
    </row>
    <row r="48" spans="1:14" ht="13.8" hidden="1" outlineLevel="1" thickTop="1" x14ac:dyDescent="0.25">
      <c r="A48" s="14" t="s">
        <v>158</v>
      </c>
      <c r="B48" s="62" t="s">
        <v>63</v>
      </c>
      <c r="C48" s="25">
        <v>45515</v>
      </c>
      <c r="D48" s="57" t="s">
        <v>343</v>
      </c>
      <c r="E48" s="24" t="s">
        <v>127</v>
      </c>
      <c r="F48" s="55" t="s">
        <v>128</v>
      </c>
      <c r="G48" s="73">
        <v>2200</v>
      </c>
      <c r="H48" s="56">
        <v>23</v>
      </c>
      <c r="I48" s="60">
        <f>Таблица224267[[#This Row],[Стоимость, 
грн]]</f>
        <v>2200</v>
      </c>
      <c r="J48" s="99">
        <f>Таблица224267[[#This Row],[Доход, 
грн/рейс]]/Таблица224267[[#This Row],[Километраж, 
км]]</f>
        <v>95.652173913043484</v>
      </c>
      <c r="K48" s="12">
        <v>2000</v>
      </c>
      <c r="L48" s="99">
        <f>Таблица224267[[#This Row],[СС, 
грн/рейс]]/Таблица224267[[#This Row],[Километраж, 
км]]</f>
        <v>86.956521739130437</v>
      </c>
      <c r="M48" s="100">
        <f>Таблица224267[[#This Row],[Доход, 
грн/рейс]]-Таблица224267[[#This Row],[СС, 
грн/рейс]]</f>
        <v>200</v>
      </c>
      <c r="N48" s="24" t="s">
        <v>367</v>
      </c>
    </row>
    <row r="49" spans="1:14" ht="13.8" hidden="1" outlineLevel="1" thickTop="1" x14ac:dyDescent="0.25">
      <c r="A49" s="14" t="s">
        <v>158</v>
      </c>
      <c r="B49" s="62" t="s">
        <v>63</v>
      </c>
      <c r="C49" s="25">
        <v>45537</v>
      </c>
      <c r="D49" s="57" t="s">
        <v>344</v>
      </c>
      <c r="E49" s="24" t="s">
        <v>127</v>
      </c>
      <c r="F49" s="55" t="s">
        <v>128</v>
      </c>
      <c r="G49" s="73">
        <v>2200</v>
      </c>
      <c r="H49" s="56">
        <v>24</v>
      </c>
      <c r="I49" s="60">
        <f>Таблица224267[[#This Row],[Стоимость, 
грн]]</f>
        <v>2200</v>
      </c>
      <c r="J49" s="99">
        <f>Таблица224267[[#This Row],[Доход, 
грн/рейс]]/Таблица224267[[#This Row],[Километраж, 
км]]</f>
        <v>91.666666666666671</v>
      </c>
      <c r="K49" s="12">
        <v>2000</v>
      </c>
      <c r="L49" s="99">
        <f>Таблица224267[[#This Row],[СС, 
грн/рейс]]/Таблица224267[[#This Row],[Километраж, 
км]]</f>
        <v>83.333333333333329</v>
      </c>
      <c r="M49" s="100">
        <f>Таблица224267[[#This Row],[Доход, 
грн/рейс]]-Таблица224267[[#This Row],[СС, 
грн/рейс]]</f>
        <v>200</v>
      </c>
      <c r="N49" s="24" t="s">
        <v>367</v>
      </c>
    </row>
    <row r="50" spans="1:14" ht="13.8" hidden="1" outlineLevel="1" thickTop="1" x14ac:dyDescent="0.25">
      <c r="A50" s="14" t="s">
        <v>326</v>
      </c>
      <c r="B50" s="62" t="s">
        <v>63</v>
      </c>
      <c r="C50" s="25">
        <v>45537</v>
      </c>
      <c r="D50" s="57" t="s">
        <v>345</v>
      </c>
      <c r="E50" s="24" t="s">
        <v>346</v>
      </c>
      <c r="F50" s="55" t="s">
        <v>347</v>
      </c>
      <c r="G50" s="73">
        <v>6600</v>
      </c>
      <c r="H50" s="60">
        <v>31</v>
      </c>
      <c r="I50" s="60">
        <f>Таблица224267[[#This Row],[Стоимость, 
грн]]</f>
        <v>6600</v>
      </c>
      <c r="J50" s="99">
        <f>Таблица224267[[#This Row],[Доход, 
грн/рейс]]/Таблица224267[[#This Row],[Километраж, 
км]]</f>
        <v>212.90322580645162</v>
      </c>
      <c r="K50" s="12">
        <v>6000</v>
      </c>
      <c r="L50" s="99">
        <f>Таблица224267[[#This Row],[СС, 
грн/рейс]]/Таблица224267[[#This Row],[Километраж, 
км]]</f>
        <v>193.54838709677421</v>
      </c>
      <c r="M50" s="100">
        <f>Таблица224267[[#This Row],[Доход, 
грн/рейс]]-Таблица224267[[#This Row],[СС, 
грн/рейс]]</f>
        <v>600</v>
      </c>
      <c r="N50" s="24" t="s">
        <v>401</v>
      </c>
    </row>
    <row r="51" spans="1:14" ht="13.8" hidden="1" outlineLevel="1" thickTop="1" x14ac:dyDescent="0.25">
      <c r="A51" s="14" t="s">
        <v>13</v>
      </c>
      <c r="B51" s="62" t="s">
        <v>79</v>
      </c>
      <c r="C51" s="25">
        <v>45537</v>
      </c>
      <c r="D51" s="57" t="s">
        <v>348</v>
      </c>
      <c r="E51" s="24" t="s">
        <v>131</v>
      </c>
      <c r="F51" s="55" t="s">
        <v>349</v>
      </c>
      <c r="G51" s="58">
        <v>2400</v>
      </c>
      <c r="H51" s="56">
        <v>22</v>
      </c>
      <c r="I51" s="60">
        <f>Таблица224267[[#This Row],[Стоимость, 
грн]]</f>
        <v>2400</v>
      </c>
      <c r="J51" s="99">
        <f>Таблица224267[[#This Row],[Доход, 
грн/рейс]]/Таблица224267[[#This Row],[Километраж, 
км]]</f>
        <v>109.09090909090909</v>
      </c>
      <c r="K51" s="12">
        <v>2200</v>
      </c>
      <c r="L51" s="99">
        <f>Таблица224267[[#This Row],[СС, 
грн/рейс]]/Таблица224267[[#This Row],[Километраж, 
км]]</f>
        <v>100</v>
      </c>
      <c r="M51" s="100">
        <f>Таблица224267[[#This Row],[Доход, 
грн/рейс]]-Таблица224267[[#This Row],[СС, 
грн/рейс]]</f>
        <v>200</v>
      </c>
      <c r="N51" s="24"/>
    </row>
    <row r="52" spans="1:14" ht="13.8" hidden="1" outlineLevel="1" thickTop="1" x14ac:dyDescent="0.25">
      <c r="A52" s="14" t="s">
        <v>158</v>
      </c>
      <c r="B52" s="62" t="s">
        <v>63</v>
      </c>
      <c r="C52" s="25">
        <v>45537</v>
      </c>
      <c r="D52" s="57" t="s">
        <v>348</v>
      </c>
      <c r="E52" s="24" t="s">
        <v>127</v>
      </c>
      <c r="F52" s="55" t="s">
        <v>128</v>
      </c>
      <c r="G52" s="73">
        <v>2000</v>
      </c>
      <c r="H52" s="56">
        <v>25</v>
      </c>
      <c r="I52" s="60">
        <f>Таблица224267[[#This Row],[Стоимость, 
грн]]</f>
        <v>2000</v>
      </c>
      <c r="J52" s="99">
        <f>Таблица224267[[#This Row],[Доход, 
грн/рейс]]/Таблица224267[[#This Row],[Километраж, 
км]]</f>
        <v>80</v>
      </c>
      <c r="K52" s="12">
        <v>1800</v>
      </c>
      <c r="L52" s="99">
        <f>Таблица224267[[#This Row],[СС, 
грн/рейс]]/Таблица224267[[#This Row],[Километраж, 
км]]</f>
        <v>72</v>
      </c>
      <c r="M52" s="100">
        <f>Таблица224267[[#This Row],[Доход, 
грн/рейс]]-Таблица224267[[#This Row],[СС, 
грн/рейс]]</f>
        <v>200</v>
      </c>
      <c r="N52" s="24" t="s">
        <v>501</v>
      </c>
    </row>
    <row r="53" spans="1:14" ht="13.8" hidden="1" outlineLevel="1" thickTop="1" x14ac:dyDescent="0.25">
      <c r="A53" s="14" t="s">
        <v>158</v>
      </c>
      <c r="B53" s="62" t="s">
        <v>63</v>
      </c>
      <c r="C53" s="25">
        <v>45538</v>
      </c>
      <c r="D53" s="57" t="s">
        <v>380</v>
      </c>
      <c r="E53" s="24" t="s">
        <v>127</v>
      </c>
      <c r="F53" s="55" t="s">
        <v>128</v>
      </c>
      <c r="G53" s="73">
        <v>2200</v>
      </c>
      <c r="H53" s="60">
        <v>21</v>
      </c>
      <c r="I53" s="60">
        <f>Таблица224267[[#This Row],[Стоимость, 
грн]]</f>
        <v>2200</v>
      </c>
      <c r="J53" s="99">
        <f>Таблица224267[[#This Row],[Доход, 
грн/рейс]]/Таблица224267[[#This Row],[Километраж, 
км]]</f>
        <v>104.76190476190476</v>
      </c>
      <c r="K53" s="12">
        <v>2000</v>
      </c>
      <c r="L53" s="99">
        <f>Таблица224267[[#This Row],[СС, 
грн/рейс]]/Таблица224267[[#This Row],[Километраж, 
км]]</f>
        <v>95.238095238095241</v>
      </c>
      <c r="M53" s="100">
        <f>Таблица224267[[#This Row],[Доход, 
грн/рейс]]-Таблица224267[[#This Row],[СС, 
грн/рейс]]</f>
        <v>200</v>
      </c>
      <c r="N53" s="24" t="s">
        <v>477</v>
      </c>
    </row>
    <row r="54" spans="1:14" ht="13.8" hidden="1" outlineLevel="1" thickTop="1" x14ac:dyDescent="0.25">
      <c r="A54" s="14" t="s">
        <v>158</v>
      </c>
      <c r="B54" s="62" t="s">
        <v>63</v>
      </c>
      <c r="C54" s="25">
        <v>45539</v>
      </c>
      <c r="D54" s="57" t="s">
        <v>381</v>
      </c>
      <c r="E54" s="24" t="s">
        <v>127</v>
      </c>
      <c r="F54" s="55" t="s">
        <v>128</v>
      </c>
      <c r="G54" s="73">
        <v>1000</v>
      </c>
      <c r="H54" s="56">
        <v>12</v>
      </c>
      <c r="I54" s="60">
        <f>Таблица224267[[#This Row],[Стоимость, 
грн]]</f>
        <v>1000</v>
      </c>
      <c r="J54" s="99">
        <f>Таблица224267[[#This Row],[Доход, 
грн/рейс]]/Таблица224267[[#This Row],[Километраж, 
км]]</f>
        <v>83.333333333333329</v>
      </c>
      <c r="K54" s="12">
        <v>900</v>
      </c>
      <c r="L54" s="99">
        <f>Таблица224267[[#This Row],[СС, 
грн/рейс]]/Таблица224267[[#This Row],[Километраж, 
км]]</f>
        <v>75</v>
      </c>
      <c r="M54" s="100">
        <f>Таблица224267[[#This Row],[Доход, 
грн/рейс]]-Таблица224267[[#This Row],[СС, 
грн/рейс]]</f>
        <v>100</v>
      </c>
      <c r="N54" s="24" t="s">
        <v>477</v>
      </c>
    </row>
    <row r="55" spans="1:14" ht="13.8" hidden="1" outlineLevel="1" thickTop="1" x14ac:dyDescent="0.25">
      <c r="A55" s="14" t="s">
        <v>158</v>
      </c>
      <c r="B55" s="62" t="s">
        <v>63</v>
      </c>
      <c r="C55" s="25">
        <v>45539</v>
      </c>
      <c r="D55" s="57" t="s">
        <v>382</v>
      </c>
      <c r="E55" s="24" t="s">
        <v>127</v>
      </c>
      <c r="F55" s="55" t="s">
        <v>128</v>
      </c>
      <c r="G55" s="73">
        <v>1000</v>
      </c>
      <c r="H55" s="56">
        <v>17</v>
      </c>
      <c r="I55" s="60">
        <f>Таблица224267[[#This Row],[Стоимость, 
грн]]</f>
        <v>1000</v>
      </c>
      <c r="J55" s="99">
        <f>Таблица224267[[#This Row],[Доход, 
грн/рейс]]/Таблица224267[[#This Row],[Километраж, 
км]]</f>
        <v>58.823529411764703</v>
      </c>
      <c r="K55" s="12">
        <v>900</v>
      </c>
      <c r="L55" s="99">
        <f>Таблица224267[[#This Row],[СС, 
грн/рейс]]/Таблица224267[[#This Row],[Километраж, 
км]]</f>
        <v>52.941176470588232</v>
      </c>
      <c r="M55" s="100">
        <f>Таблица224267[[#This Row],[Доход, 
грн/рейс]]-Таблица224267[[#This Row],[СС, 
грн/рейс]]</f>
        <v>100</v>
      </c>
      <c r="N55" s="24" t="s">
        <v>477</v>
      </c>
    </row>
    <row r="56" spans="1:14" ht="13.8" hidden="1" outlineLevel="1" thickTop="1" x14ac:dyDescent="0.25">
      <c r="A56" s="14" t="s">
        <v>158</v>
      </c>
      <c r="B56" s="62" t="s">
        <v>63</v>
      </c>
      <c r="C56" s="25">
        <v>45540</v>
      </c>
      <c r="D56" s="57" t="s">
        <v>383</v>
      </c>
      <c r="E56" s="24" t="s">
        <v>127</v>
      </c>
      <c r="F56" s="55" t="s">
        <v>128</v>
      </c>
      <c r="G56" s="73">
        <v>2200</v>
      </c>
      <c r="H56" s="60">
        <v>27</v>
      </c>
      <c r="I56" s="60">
        <f>Таблица224267[[#This Row],[Стоимость, 
грн]]</f>
        <v>2200</v>
      </c>
      <c r="J56" s="99">
        <f>Таблица224267[[#This Row],[Доход, 
грн/рейс]]/Таблица224267[[#This Row],[Километраж, 
км]]</f>
        <v>81.481481481481481</v>
      </c>
      <c r="K56" s="12">
        <v>2000</v>
      </c>
      <c r="L56" s="99">
        <f>Таблица224267[[#This Row],[СС, 
грн/рейс]]/Таблица224267[[#This Row],[Километраж, 
км]]</f>
        <v>74.074074074074076</v>
      </c>
      <c r="M56" s="100">
        <f>Таблица224267[[#This Row],[Доход, 
грн/рейс]]-Таблица224267[[#This Row],[СС, 
грн/рейс]]</f>
        <v>200</v>
      </c>
      <c r="N56" s="24" t="s">
        <v>508</v>
      </c>
    </row>
    <row r="57" spans="1:14" ht="13.8" hidden="1" outlineLevel="1" thickTop="1" x14ac:dyDescent="0.25">
      <c r="A57" s="14" t="s">
        <v>158</v>
      </c>
      <c r="B57" s="62" t="s">
        <v>63</v>
      </c>
      <c r="C57" s="25">
        <v>45541</v>
      </c>
      <c r="D57" s="57" t="s">
        <v>384</v>
      </c>
      <c r="E57" s="24" t="s">
        <v>127</v>
      </c>
      <c r="F57" s="55" t="s">
        <v>128</v>
      </c>
      <c r="G57" s="73">
        <v>1000</v>
      </c>
      <c r="H57" s="56">
        <v>23</v>
      </c>
      <c r="I57" s="60">
        <f>Таблица224267[[#This Row],[Стоимость, 
грн]]</f>
        <v>1000</v>
      </c>
      <c r="J57" s="99">
        <f>Таблица224267[[#This Row],[Доход, 
грн/рейс]]/Таблица224267[[#This Row],[Километраж, 
км]]</f>
        <v>43.478260869565219</v>
      </c>
      <c r="K57" s="12">
        <v>900</v>
      </c>
      <c r="L57" s="99">
        <f>Таблица224267[[#This Row],[СС, 
грн/рейс]]/Таблица224267[[#This Row],[Километраж, 
км]]</f>
        <v>39.130434782608695</v>
      </c>
      <c r="M57" s="100">
        <f>Таблица224267[[#This Row],[Доход, 
грн/рейс]]-Таблица224267[[#This Row],[СС, 
грн/рейс]]</f>
        <v>100</v>
      </c>
      <c r="N57" s="24" t="s">
        <v>479</v>
      </c>
    </row>
    <row r="58" spans="1:14" ht="13.8" hidden="1" outlineLevel="1" thickTop="1" x14ac:dyDescent="0.25">
      <c r="A58" s="14" t="s">
        <v>158</v>
      </c>
      <c r="B58" s="62" t="s">
        <v>63</v>
      </c>
      <c r="C58" s="25">
        <v>45541</v>
      </c>
      <c r="D58" s="57" t="s">
        <v>410</v>
      </c>
      <c r="E58" s="24" t="s">
        <v>127</v>
      </c>
      <c r="F58" s="55" t="s">
        <v>128</v>
      </c>
      <c r="G58" s="73">
        <v>1000</v>
      </c>
      <c r="H58" s="56">
        <v>21</v>
      </c>
      <c r="I58" s="60">
        <f>Таблица224267[[#This Row],[Стоимость, 
грн]]</f>
        <v>1000</v>
      </c>
      <c r="J58" s="99">
        <f>Таблица224267[[#This Row],[Доход, 
грн/рейс]]/Таблица224267[[#This Row],[Километраж, 
км]]</f>
        <v>47.61904761904762</v>
      </c>
      <c r="K58" s="12">
        <v>900</v>
      </c>
      <c r="L58" s="99">
        <f>Таблица224267[[#This Row],[СС, 
грн/рейс]]/Таблица224267[[#This Row],[Километраж, 
км]]</f>
        <v>42.857142857142854</v>
      </c>
      <c r="M58" s="100">
        <f>Таблица224267[[#This Row],[Доход, 
грн/рейс]]-Таблица224267[[#This Row],[СС, 
грн/рейс]]</f>
        <v>100</v>
      </c>
      <c r="N58" s="24" t="s">
        <v>501</v>
      </c>
    </row>
    <row r="59" spans="1:14" ht="13.8" hidden="1" outlineLevel="1" thickTop="1" x14ac:dyDescent="0.25">
      <c r="A59" s="14" t="s">
        <v>158</v>
      </c>
      <c r="B59" s="62" t="s">
        <v>63</v>
      </c>
      <c r="C59" s="25">
        <v>45541</v>
      </c>
      <c r="D59" s="57" t="s">
        <v>411</v>
      </c>
      <c r="E59" s="24" t="s">
        <v>127</v>
      </c>
      <c r="F59" s="55" t="s">
        <v>128</v>
      </c>
      <c r="G59" s="73">
        <v>1000</v>
      </c>
      <c r="H59" s="56">
        <v>24</v>
      </c>
      <c r="I59" s="60">
        <f>Таблица224267[[#This Row],[Стоимость, 
грн]]</f>
        <v>1000</v>
      </c>
      <c r="J59" s="99">
        <f>Таблица224267[[#This Row],[Доход, 
грн/рейс]]/Таблица224267[[#This Row],[Километраж, 
км]]</f>
        <v>41.666666666666664</v>
      </c>
      <c r="K59" s="12">
        <v>900</v>
      </c>
      <c r="L59" s="99">
        <f>Таблица224267[[#This Row],[СС, 
грн/рейс]]/Таблица224267[[#This Row],[Километраж, 
км]]</f>
        <v>37.5</v>
      </c>
      <c r="M59" s="100">
        <f>Таблица224267[[#This Row],[Доход, 
грн/рейс]]-Таблица224267[[#This Row],[СС, 
грн/рейс]]</f>
        <v>100</v>
      </c>
      <c r="N59" s="24" t="s">
        <v>479</v>
      </c>
    </row>
    <row r="60" spans="1:14" ht="13.8" hidden="1" outlineLevel="1" thickTop="1" x14ac:dyDescent="0.25">
      <c r="A60" s="124" t="s">
        <v>158</v>
      </c>
      <c r="B60" s="125" t="s">
        <v>63</v>
      </c>
      <c r="C60" s="126">
        <v>45541</v>
      </c>
      <c r="D60" s="127" t="s">
        <v>412</v>
      </c>
      <c r="E60" s="128" t="s">
        <v>127</v>
      </c>
      <c r="F60" s="129" t="s">
        <v>128</v>
      </c>
      <c r="G60" s="73">
        <v>1000</v>
      </c>
      <c r="H60" s="56">
        <v>23</v>
      </c>
      <c r="I60" s="60">
        <f>Таблица224267[[#This Row],[Стоимость, 
грн]]</f>
        <v>1000</v>
      </c>
      <c r="J60" s="99">
        <f>Таблица224267[[#This Row],[Доход, 
грн/рейс]]/Таблица224267[[#This Row],[Километраж, 
км]]</f>
        <v>43.478260869565219</v>
      </c>
      <c r="K60" s="12">
        <v>900</v>
      </c>
      <c r="L60" s="99">
        <f>Таблица224267[[#This Row],[СС, 
грн/рейс]]/Таблица224267[[#This Row],[Километраж, 
км]]</f>
        <v>39.130434782608695</v>
      </c>
      <c r="M60" s="100">
        <f>Таблица224267[[#This Row],[Доход, 
грн/рейс]]-Таблица224267[[#This Row],[СС, 
грн/рейс]]</f>
        <v>100</v>
      </c>
      <c r="N60" s="24" t="s">
        <v>549</v>
      </c>
    </row>
    <row r="61" spans="1:14" ht="13.8" hidden="1" outlineLevel="1" thickTop="1" x14ac:dyDescent="0.25">
      <c r="A61" s="124" t="s">
        <v>158</v>
      </c>
      <c r="B61" s="125" t="s">
        <v>515</v>
      </c>
      <c r="C61" s="126">
        <v>45541</v>
      </c>
      <c r="D61" s="127" t="s">
        <v>412</v>
      </c>
      <c r="E61" s="128" t="s">
        <v>127</v>
      </c>
      <c r="F61" s="129" t="s">
        <v>128</v>
      </c>
      <c r="G61" s="73">
        <v>1000</v>
      </c>
      <c r="H61" s="56">
        <v>23</v>
      </c>
      <c r="I61" s="60">
        <f>Таблица224267[[#This Row],[Стоимость, 
грн]]</f>
        <v>1000</v>
      </c>
      <c r="J61" s="99">
        <f>Таблица224267[[#This Row],[Доход, 
грн/рейс]]/Таблица224267[[#This Row],[Километраж, 
км]]</f>
        <v>43.478260869565219</v>
      </c>
      <c r="K61" s="12">
        <v>900</v>
      </c>
      <c r="L61" s="99">
        <f>Таблица224267[[#This Row],[СС, 
грн/рейс]]/Таблица224267[[#This Row],[Километраж, 
км]]</f>
        <v>39.130434782608695</v>
      </c>
      <c r="M61" s="100">
        <f>Таблица224267[[#This Row],[Доход, 
грн/рейс]]-Таблица224267[[#This Row],[СС, 
грн/рейс]]</f>
        <v>100</v>
      </c>
      <c r="N61" s="24" t="s">
        <v>549</v>
      </c>
    </row>
    <row r="62" spans="1:14" ht="13.8" hidden="1" outlineLevel="1" thickTop="1" x14ac:dyDescent="0.25">
      <c r="A62" s="124" t="s">
        <v>158</v>
      </c>
      <c r="B62" s="125" t="s">
        <v>515</v>
      </c>
      <c r="C62" s="126">
        <v>45541</v>
      </c>
      <c r="D62" s="127" t="s">
        <v>471</v>
      </c>
      <c r="E62" s="128" t="s">
        <v>127</v>
      </c>
      <c r="F62" s="129" t="s">
        <v>128</v>
      </c>
      <c r="G62" s="73">
        <v>2200</v>
      </c>
      <c r="H62" s="56">
        <v>34</v>
      </c>
      <c r="I62" s="60">
        <f>Таблица224267[[#This Row],[Стоимость, 
грн]]</f>
        <v>2200</v>
      </c>
      <c r="J62" s="99">
        <f>Таблица224267[[#This Row],[Доход, 
грн/рейс]]/Таблица224267[[#This Row],[Километраж, 
км]]</f>
        <v>64.705882352941174</v>
      </c>
      <c r="K62" s="12">
        <v>2000</v>
      </c>
      <c r="L62" s="99">
        <f>Таблица224267[[#This Row],[СС, 
грн/рейс]]/Таблица224267[[#This Row],[Километраж, 
км]]</f>
        <v>58.823529411764703</v>
      </c>
      <c r="M62" s="100">
        <f>Таблица224267[[#This Row],[Доход, 
грн/рейс]]-Таблица224267[[#This Row],[СС, 
грн/рейс]]</f>
        <v>200</v>
      </c>
      <c r="N62" s="24" t="s">
        <v>567</v>
      </c>
    </row>
    <row r="63" spans="1:14" ht="13.8" hidden="1" outlineLevel="1" thickTop="1" x14ac:dyDescent="0.25">
      <c r="A63" s="124" t="s">
        <v>268</v>
      </c>
      <c r="B63" s="125" t="s">
        <v>515</v>
      </c>
      <c r="C63" s="126">
        <v>45541</v>
      </c>
      <c r="D63" s="127" t="s">
        <v>523</v>
      </c>
      <c r="E63" s="128" t="s">
        <v>127</v>
      </c>
      <c r="F63" s="129" t="s">
        <v>128</v>
      </c>
      <c r="G63" s="73">
        <v>2000</v>
      </c>
      <c r="H63" s="56">
        <v>31</v>
      </c>
      <c r="I63" s="60">
        <f>Таблица224267[[#This Row],[Стоимость, 
грн]]</f>
        <v>2000</v>
      </c>
      <c r="J63" s="99">
        <f>Таблица224267[[#This Row],[Доход, 
грн/рейс]]/Таблица224267[[#This Row],[Километраж, 
км]]</f>
        <v>64.516129032258064</v>
      </c>
      <c r="K63" s="12">
        <v>1800</v>
      </c>
      <c r="L63" s="99">
        <f>Таблица224267[[#This Row],[СС, 
грн/рейс]]/Таблица224267[[#This Row],[Километраж, 
км]]</f>
        <v>58.064516129032256</v>
      </c>
      <c r="M63" s="100">
        <f>Таблица224267[[#This Row],[Доход, 
грн/рейс]]-Таблица224267[[#This Row],[СС, 
грн/рейс]]</f>
        <v>200</v>
      </c>
      <c r="N63" s="24" t="s">
        <v>580</v>
      </c>
    </row>
    <row r="64" spans="1:14" ht="13.8" hidden="1" outlineLevel="1" thickTop="1" x14ac:dyDescent="0.25">
      <c r="A64" s="124" t="s">
        <v>268</v>
      </c>
      <c r="B64" s="125" t="s">
        <v>515</v>
      </c>
      <c r="C64" s="126">
        <v>45541</v>
      </c>
      <c r="D64" s="127" t="s">
        <v>524</v>
      </c>
      <c r="E64" s="128" t="s">
        <v>127</v>
      </c>
      <c r="F64" s="129" t="s">
        <v>128</v>
      </c>
      <c r="G64" s="58">
        <v>3000</v>
      </c>
      <c r="H64" s="56">
        <v>56</v>
      </c>
      <c r="I64" s="60">
        <f>Таблица224267[[#This Row],[Стоимость, 
грн]]</f>
        <v>3000</v>
      </c>
      <c r="J64" s="99">
        <f>Таблица224267[[#This Row],[Доход, 
грн/рейс]]/Таблица224267[[#This Row],[Километраж, 
км]]</f>
        <v>53.571428571428569</v>
      </c>
      <c r="K64" s="12">
        <v>2700</v>
      </c>
      <c r="L64" s="99">
        <f>Таблица224267[[#This Row],[СС, 
грн/рейс]]/Таблица224267[[#This Row],[Километраж, 
км]]</f>
        <v>48.214285714285715</v>
      </c>
      <c r="M64" s="100">
        <f>Таблица224267[[#This Row],[Доход, 
грн/рейс]]-Таблица224267[[#This Row],[СС, 
грн/рейс]]</f>
        <v>300</v>
      </c>
      <c r="N64" s="24"/>
    </row>
    <row r="65" spans="1:14" ht="13.8" hidden="1" outlineLevel="1" thickTop="1" x14ac:dyDescent="0.25">
      <c r="A65" s="124" t="s">
        <v>158</v>
      </c>
      <c r="B65" s="125" t="s">
        <v>515</v>
      </c>
      <c r="C65" s="126">
        <v>45541</v>
      </c>
      <c r="D65" s="127" t="s">
        <v>552</v>
      </c>
      <c r="E65" s="128" t="s">
        <v>127</v>
      </c>
      <c r="F65" s="129" t="s">
        <v>128</v>
      </c>
      <c r="G65" s="73">
        <v>1000</v>
      </c>
      <c r="H65" s="56">
        <v>20</v>
      </c>
      <c r="I65" s="60">
        <f>Таблица224267[[#This Row],[Стоимость, 
грн]]</f>
        <v>1000</v>
      </c>
      <c r="J65" s="99">
        <f>Таблица224267[[#This Row],[Доход, 
грн/рейс]]/Таблица224267[[#This Row],[Километраж, 
км]]</f>
        <v>50</v>
      </c>
      <c r="K65" s="12">
        <v>900</v>
      </c>
      <c r="L65" s="99">
        <f>Таблица224267[[#This Row],[СС, 
грн/рейс]]/Таблица224267[[#This Row],[Километраж, 
км]]</f>
        <v>45</v>
      </c>
      <c r="M65" s="100">
        <f>Таблица224267[[#This Row],[Доход, 
грн/рейс]]-Таблица224267[[#This Row],[СС, 
грн/рейс]]</f>
        <v>100</v>
      </c>
      <c r="N65" s="24" t="s">
        <v>567</v>
      </c>
    </row>
    <row r="66" spans="1:14" ht="13.8" hidden="1" outlineLevel="1" collapsed="1" thickTop="1" x14ac:dyDescent="0.25">
      <c r="A66" s="124" t="s">
        <v>261</v>
      </c>
      <c r="B66" s="125" t="s">
        <v>515</v>
      </c>
      <c r="C66" s="126">
        <v>45566</v>
      </c>
      <c r="D66" s="127" t="s">
        <v>553</v>
      </c>
      <c r="E66" s="128" t="s">
        <v>127</v>
      </c>
      <c r="F66" s="129" t="s">
        <v>128</v>
      </c>
      <c r="G66" s="73">
        <v>2000</v>
      </c>
      <c r="H66" s="56">
        <v>43</v>
      </c>
      <c r="I66" s="60">
        <f>Таблица224267[[#This Row],[Стоимость, 
грн]]</f>
        <v>2000</v>
      </c>
      <c r="J66" s="99">
        <f>Таблица224267[[#This Row],[Доход, 
грн/рейс]]/Таблица224267[[#This Row],[Километраж, 
км]]</f>
        <v>46.511627906976742</v>
      </c>
      <c r="K66" s="12">
        <v>1800</v>
      </c>
      <c r="L66" s="99">
        <f>Таблица224267[[#This Row],[СС, 
грн/рейс]]/Таблица224267[[#This Row],[Километраж, 
км]]</f>
        <v>41.860465116279073</v>
      </c>
      <c r="M66" s="100">
        <f>Таблица224267[[#This Row],[Доход, 
грн/рейс]]-Таблица224267[[#This Row],[СС, 
грн/рейс]]</f>
        <v>200</v>
      </c>
      <c r="N66" s="24" t="s">
        <v>581</v>
      </c>
    </row>
    <row r="67" spans="1:14" ht="13.8" hidden="1" outlineLevel="1" thickTop="1" x14ac:dyDescent="0.25">
      <c r="A67" s="124" t="s">
        <v>268</v>
      </c>
      <c r="B67" s="125" t="s">
        <v>515</v>
      </c>
      <c r="C67" s="126">
        <v>45566</v>
      </c>
      <c r="D67" s="127" t="s">
        <v>547</v>
      </c>
      <c r="E67" s="128" t="s">
        <v>127</v>
      </c>
      <c r="F67" s="129" t="s">
        <v>128</v>
      </c>
      <c r="G67" s="58">
        <v>2000</v>
      </c>
      <c r="H67" s="56">
        <v>41</v>
      </c>
      <c r="I67" s="60">
        <f>Таблица224267[[#This Row],[Стоимость, 
грн]]</f>
        <v>2000</v>
      </c>
      <c r="J67" s="99">
        <f>Таблица224267[[#This Row],[Доход, 
грн/рейс]]/Таблица224267[[#This Row],[Километраж, 
км]]</f>
        <v>48.780487804878049</v>
      </c>
      <c r="K67" s="12">
        <v>1800</v>
      </c>
      <c r="L67" s="99">
        <f>Таблица224267[[#This Row],[СС, 
грн/рейс]]/Таблица224267[[#This Row],[Километраж, 
км]]</f>
        <v>43.902439024390247</v>
      </c>
      <c r="M67" s="100">
        <f>Таблица224267[[#This Row],[Доход, 
грн/рейс]]-Таблица224267[[#This Row],[СС, 
грн/рейс]]</f>
        <v>200</v>
      </c>
      <c r="N67" s="24"/>
    </row>
    <row r="68" spans="1:14" ht="13.8" hidden="1" outlineLevel="1" thickTop="1" x14ac:dyDescent="0.25">
      <c r="A68" s="124" t="s">
        <v>261</v>
      </c>
      <c r="B68" s="125" t="s">
        <v>515</v>
      </c>
      <c r="C68" s="126">
        <v>45566</v>
      </c>
      <c r="D68" s="127" t="s">
        <v>542</v>
      </c>
      <c r="E68" s="128" t="s">
        <v>127</v>
      </c>
      <c r="F68" s="129" t="s">
        <v>128</v>
      </c>
      <c r="G68" s="58">
        <v>1000</v>
      </c>
      <c r="H68" s="56">
        <v>28</v>
      </c>
      <c r="I68" s="60">
        <f>Таблица224267[[#This Row],[Стоимость, 
грн]]</f>
        <v>1000</v>
      </c>
      <c r="J68" s="99">
        <f>Таблица224267[[#This Row],[Доход, 
грн/рейс]]/Таблица224267[[#This Row],[Километраж, 
км]]</f>
        <v>35.714285714285715</v>
      </c>
      <c r="K68" s="12">
        <v>900</v>
      </c>
      <c r="L68" s="99">
        <f>Таблица224267[[#This Row],[СС, 
грн/рейс]]/Таблица224267[[#This Row],[Километраж, 
км]]</f>
        <v>32.142857142857146</v>
      </c>
      <c r="M68" s="100">
        <f>Таблица224267[[#This Row],[Доход, 
грн/рейс]]-Таблица224267[[#This Row],[СС, 
грн/рейс]]</f>
        <v>100</v>
      </c>
      <c r="N68" s="24"/>
    </row>
    <row r="69" spans="1:14" ht="13.8" hidden="1" outlineLevel="1" thickTop="1" x14ac:dyDescent="0.25">
      <c r="A69" s="124" t="s">
        <v>261</v>
      </c>
      <c r="B69" s="125" t="s">
        <v>515</v>
      </c>
      <c r="C69" s="126">
        <v>45566</v>
      </c>
      <c r="D69" s="127" t="s">
        <v>534</v>
      </c>
      <c r="E69" s="128" t="s">
        <v>127</v>
      </c>
      <c r="F69" s="129" t="s">
        <v>128</v>
      </c>
      <c r="G69" s="58">
        <v>1000</v>
      </c>
      <c r="H69" s="56">
        <v>29</v>
      </c>
      <c r="I69" s="60">
        <f>Таблица224267[[#This Row],[Стоимость, 
грн]]</f>
        <v>1000</v>
      </c>
      <c r="J69" s="99">
        <f>Таблица224267[[#This Row],[Доход, 
грн/рейс]]/Таблица224267[[#This Row],[Километраж, 
км]]</f>
        <v>34.482758620689658</v>
      </c>
      <c r="K69" s="12">
        <v>900</v>
      </c>
      <c r="L69" s="99">
        <f>Таблица224267[[#This Row],[СС, 
грн/рейс]]/Таблица224267[[#This Row],[Километраж, 
км]]</f>
        <v>31.03448275862069</v>
      </c>
      <c r="M69" s="100">
        <f>Таблица224267[[#This Row],[Доход, 
грн/рейс]]-Таблица224267[[#This Row],[СС, 
грн/рейс]]</f>
        <v>100</v>
      </c>
      <c r="N69" s="24"/>
    </row>
    <row r="70" spans="1:14" ht="13.8" hidden="1" outlineLevel="1" thickTop="1" x14ac:dyDescent="0.25">
      <c r="A70" s="124" t="s">
        <v>268</v>
      </c>
      <c r="B70" s="125" t="s">
        <v>515</v>
      </c>
      <c r="C70" s="126">
        <v>45566</v>
      </c>
      <c r="D70" s="127" t="s">
        <v>554</v>
      </c>
      <c r="E70" s="128" t="s">
        <v>127</v>
      </c>
      <c r="F70" s="129" t="s">
        <v>128</v>
      </c>
      <c r="G70" s="58">
        <v>1000</v>
      </c>
      <c r="H70" s="56">
        <v>26</v>
      </c>
      <c r="I70" s="60">
        <f>Таблица224267[[#This Row],[Стоимость, 
грн]]</f>
        <v>1000</v>
      </c>
      <c r="J70" s="99">
        <f>Таблица224267[[#This Row],[Доход, 
грн/рейс]]/Таблица224267[[#This Row],[Километраж, 
км]]</f>
        <v>38.46153846153846</v>
      </c>
      <c r="K70" s="12">
        <v>900</v>
      </c>
      <c r="L70" s="99">
        <f>Таблица224267[[#This Row],[СС, 
грн/рейс]]/Таблица224267[[#This Row],[Километраж, 
км]]</f>
        <v>34.615384615384613</v>
      </c>
      <c r="M70" s="100">
        <f>Таблица224267[[#This Row],[Доход, 
грн/рейс]]-Таблица224267[[#This Row],[СС, 
грн/рейс]]</f>
        <v>100</v>
      </c>
      <c r="N70" s="24"/>
    </row>
    <row r="71" spans="1:14" ht="13.8" hidden="1" outlineLevel="1" thickTop="1" x14ac:dyDescent="0.25">
      <c r="A71" s="124" t="s">
        <v>268</v>
      </c>
      <c r="B71" s="125" t="s">
        <v>515</v>
      </c>
      <c r="C71" s="126">
        <v>45566</v>
      </c>
      <c r="D71" s="127" t="s">
        <v>587</v>
      </c>
      <c r="E71" s="128" t="s">
        <v>127</v>
      </c>
      <c r="F71" s="129" t="s">
        <v>128</v>
      </c>
      <c r="G71" s="58">
        <v>1000</v>
      </c>
      <c r="H71" s="56">
        <v>27</v>
      </c>
      <c r="I71" s="60">
        <f>Таблица224267[[#This Row],[Стоимость, 
грн]]</f>
        <v>1000</v>
      </c>
      <c r="J71" s="99">
        <f>Таблица224267[[#This Row],[Доход, 
грн/рейс]]/Таблица224267[[#This Row],[Километраж, 
км]]</f>
        <v>37.037037037037038</v>
      </c>
      <c r="K71" s="12">
        <v>900</v>
      </c>
      <c r="L71" s="99">
        <f>Таблица224267[[#This Row],[СС, 
грн/рейс]]/Таблица224267[[#This Row],[Километраж, 
км]]</f>
        <v>33.333333333333336</v>
      </c>
      <c r="M71" s="100">
        <f>Таблица224267[[#This Row],[Доход, 
грн/рейс]]-Таблица224267[[#This Row],[СС, 
грн/рейс]]</f>
        <v>100</v>
      </c>
      <c r="N71" s="24"/>
    </row>
    <row r="72" spans="1:14" ht="13.8" hidden="1" outlineLevel="1" thickTop="1" x14ac:dyDescent="0.25">
      <c r="A72" s="124" t="s">
        <v>268</v>
      </c>
      <c r="B72" s="125" t="s">
        <v>515</v>
      </c>
      <c r="C72" s="126">
        <v>45566</v>
      </c>
      <c r="D72" s="127" t="s">
        <v>588</v>
      </c>
      <c r="E72" s="128" t="s">
        <v>127</v>
      </c>
      <c r="F72" s="129" t="s">
        <v>128</v>
      </c>
      <c r="G72" s="58">
        <v>1000</v>
      </c>
      <c r="H72" s="56">
        <v>28</v>
      </c>
      <c r="I72" s="60">
        <f>Таблица224267[[#This Row],[Стоимость, 
грн]]</f>
        <v>1000</v>
      </c>
      <c r="J72" s="99">
        <f>Таблица224267[[#This Row],[Доход, 
грн/рейс]]/Таблица224267[[#This Row],[Километраж, 
км]]</f>
        <v>35.714285714285715</v>
      </c>
      <c r="K72" s="12">
        <v>900</v>
      </c>
      <c r="L72" s="99">
        <f>Таблица224267[[#This Row],[СС, 
грн/рейс]]/Таблица224267[[#This Row],[Километраж, 
км]]</f>
        <v>32.142857142857146</v>
      </c>
      <c r="M72" s="100">
        <f>Таблица224267[[#This Row],[Доход, 
грн/рейс]]-Таблица224267[[#This Row],[СС, 
грн/рейс]]</f>
        <v>100</v>
      </c>
      <c r="N72" s="24"/>
    </row>
    <row r="73" spans="1:14" ht="13.8" hidden="1" outlineLevel="1" thickTop="1" x14ac:dyDescent="0.25">
      <c r="A73" s="124" t="s">
        <v>261</v>
      </c>
      <c r="B73" s="125" t="s">
        <v>515</v>
      </c>
      <c r="C73" s="126">
        <v>45566</v>
      </c>
      <c r="D73" s="127" t="s">
        <v>589</v>
      </c>
      <c r="E73" s="128" t="s">
        <v>127</v>
      </c>
      <c r="F73" s="129" t="s">
        <v>128</v>
      </c>
      <c r="G73" s="58">
        <v>4000</v>
      </c>
      <c r="H73" s="56">
        <v>66</v>
      </c>
      <c r="I73" s="60">
        <f>Таблица224267[[#This Row],[Стоимость, 
грн]]</f>
        <v>4000</v>
      </c>
      <c r="J73" s="99">
        <f>Таблица224267[[#This Row],[Доход, 
грн/рейс]]/Таблица224267[[#This Row],[Километраж, 
км]]</f>
        <v>60.606060606060609</v>
      </c>
      <c r="K73" s="12">
        <v>3600</v>
      </c>
      <c r="L73" s="99">
        <f>Таблица224267[[#This Row],[СС, 
грн/рейс]]/Таблица224267[[#This Row],[Километраж, 
км]]</f>
        <v>54.545454545454547</v>
      </c>
      <c r="M73" s="100">
        <f>Таблица224267[[#This Row],[Доход, 
грн/рейс]]-Таблица224267[[#This Row],[СС, 
грн/рейс]]</f>
        <v>400</v>
      </c>
      <c r="N73" s="24"/>
    </row>
    <row r="74" spans="1:14" ht="13.8" hidden="1" outlineLevel="1" thickTop="1" x14ac:dyDescent="0.25">
      <c r="A74" s="124" t="s">
        <v>261</v>
      </c>
      <c r="B74" s="125" t="s">
        <v>515</v>
      </c>
      <c r="C74" s="126">
        <v>45566</v>
      </c>
      <c r="D74" s="127" t="s">
        <v>590</v>
      </c>
      <c r="E74" s="128" t="s">
        <v>127</v>
      </c>
      <c r="F74" s="129" t="s">
        <v>128</v>
      </c>
      <c r="G74" s="58">
        <v>3000</v>
      </c>
      <c r="H74" s="56">
        <v>53</v>
      </c>
      <c r="I74" s="60">
        <f>Таблица224267[[#This Row],[Стоимость, 
грн]]</f>
        <v>3000</v>
      </c>
      <c r="J74" s="99">
        <f>Таблица224267[[#This Row],[Доход, 
грн/рейс]]/Таблица224267[[#This Row],[Километраж, 
км]]</f>
        <v>56.60377358490566</v>
      </c>
      <c r="K74" s="12">
        <v>2700</v>
      </c>
      <c r="L74" s="99">
        <f>Таблица224267[[#This Row],[СС, 
грн/рейс]]/Таблица224267[[#This Row],[Километраж, 
км]]</f>
        <v>50.943396226415096</v>
      </c>
      <c r="M74" s="100">
        <f>Таблица224267[[#This Row],[Доход, 
грн/рейс]]-Таблица224267[[#This Row],[СС, 
грн/рейс]]</f>
        <v>300</v>
      </c>
      <c r="N74" s="24"/>
    </row>
    <row r="75" spans="1:14" ht="13.8" hidden="1" outlineLevel="1" thickTop="1" x14ac:dyDescent="0.25">
      <c r="A75" s="124" t="s">
        <v>261</v>
      </c>
      <c r="B75" s="125" t="s">
        <v>515</v>
      </c>
      <c r="C75" s="126">
        <v>45566</v>
      </c>
      <c r="D75" s="127" t="s">
        <v>591</v>
      </c>
      <c r="E75" s="128" t="s">
        <v>127</v>
      </c>
      <c r="F75" s="129" t="s">
        <v>128</v>
      </c>
      <c r="G75" s="58">
        <v>2000</v>
      </c>
      <c r="H75" s="56">
        <v>42</v>
      </c>
      <c r="I75" s="60">
        <f>Таблица224267[[#This Row],[Стоимость, 
грн]]</f>
        <v>2000</v>
      </c>
      <c r="J75" s="99">
        <f>Таблица224267[[#This Row],[Доход, 
грн/рейс]]/Таблица224267[[#This Row],[Километраж, 
км]]</f>
        <v>47.61904761904762</v>
      </c>
      <c r="K75" s="12">
        <v>1800</v>
      </c>
      <c r="L75" s="99">
        <f>Таблица224267[[#This Row],[СС, 
грн/рейс]]/Таблица224267[[#This Row],[Километраж, 
км]]</f>
        <v>42.857142857142854</v>
      </c>
      <c r="M75" s="100">
        <f>Таблица224267[[#This Row],[Доход, 
грн/рейс]]-Таблица224267[[#This Row],[СС, 
грн/рейс]]</f>
        <v>200</v>
      </c>
      <c r="N75" s="24"/>
    </row>
    <row r="76" spans="1:14" ht="13.8" hidden="1" outlineLevel="1" thickTop="1" x14ac:dyDescent="0.25">
      <c r="A76" s="124" t="s">
        <v>261</v>
      </c>
      <c r="B76" s="125" t="s">
        <v>515</v>
      </c>
      <c r="C76" s="126">
        <v>45566</v>
      </c>
      <c r="D76" s="127" t="s">
        <v>592</v>
      </c>
      <c r="E76" s="128" t="s">
        <v>127</v>
      </c>
      <c r="F76" s="129" t="s">
        <v>128</v>
      </c>
      <c r="G76" s="58">
        <v>1000</v>
      </c>
      <c r="H76" s="56">
        <v>25</v>
      </c>
      <c r="I76" s="60">
        <f>Таблица224267[[#This Row],[Стоимость, 
грн]]</f>
        <v>1000</v>
      </c>
      <c r="J76" s="99">
        <f>Таблица224267[[#This Row],[Доход, 
грн/рейс]]/Таблица224267[[#This Row],[Километраж, 
км]]</f>
        <v>40</v>
      </c>
      <c r="K76" s="12">
        <v>900</v>
      </c>
      <c r="L76" s="99">
        <f>Таблица224267[[#This Row],[СС, 
грн/рейс]]/Таблица224267[[#This Row],[Километраж, 
км]]</f>
        <v>36</v>
      </c>
      <c r="M76" s="100">
        <f>Таблица224267[[#This Row],[Доход, 
грн/рейс]]-Таблица224267[[#This Row],[СС, 
грн/рейс]]</f>
        <v>100</v>
      </c>
      <c r="N76" s="24"/>
    </row>
    <row r="77" spans="1:14" ht="13.8" hidden="1" outlineLevel="1" thickTop="1" x14ac:dyDescent="0.25">
      <c r="A77" s="124" t="s">
        <v>158</v>
      </c>
      <c r="B77" s="125" t="s">
        <v>515</v>
      </c>
      <c r="C77" s="126">
        <v>45566</v>
      </c>
      <c r="D77" s="127" t="s">
        <v>608</v>
      </c>
      <c r="E77" s="128" t="s">
        <v>127</v>
      </c>
      <c r="F77" s="129" t="s">
        <v>128</v>
      </c>
      <c r="G77" s="58">
        <v>1000</v>
      </c>
      <c r="H77" s="56">
        <v>23</v>
      </c>
      <c r="I77" s="60">
        <f>Таблица224267[[#This Row],[Стоимость, 
грн]]</f>
        <v>1000</v>
      </c>
      <c r="J77" s="99">
        <f>Таблица224267[[#This Row],[Доход, 
грн/рейс]]/Таблица224267[[#This Row],[Километраж, 
км]]</f>
        <v>43.478260869565219</v>
      </c>
      <c r="K77" s="12">
        <v>900</v>
      </c>
      <c r="L77" s="99">
        <f>Таблица224267[[#This Row],[СС, 
грн/рейс]]/Таблица224267[[#This Row],[Километраж, 
км]]</f>
        <v>39.130434782608695</v>
      </c>
      <c r="M77" s="100">
        <f>Таблица224267[[#This Row],[Доход, 
грн/рейс]]-Таблица224267[[#This Row],[СС, 
грн/рейс]]</f>
        <v>100</v>
      </c>
      <c r="N77" s="24"/>
    </row>
    <row r="78" spans="1:14" ht="13.8" hidden="1" outlineLevel="1" thickTop="1" x14ac:dyDescent="0.25">
      <c r="A78" s="124" t="s">
        <v>158</v>
      </c>
      <c r="B78" s="125" t="s">
        <v>515</v>
      </c>
      <c r="C78" s="126">
        <v>45566</v>
      </c>
      <c r="D78" s="127" t="s">
        <v>611</v>
      </c>
      <c r="E78" s="128" t="s">
        <v>127</v>
      </c>
      <c r="F78" s="129" t="s">
        <v>128</v>
      </c>
      <c r="G78" s="58">
        <v>2000</v>
      </c>
      <c r="H78" s="56">
        <v>44</v>
      </c>
      <c r="I78" s="60">
        <f>Таблица224267[[#This Row],[Стоимость, 
грн]]</f>
        <v>2000</v>
      </c>
      <c r="J78" s="99">
        <f>Таблица224267[[#This Row],[Доход, 
грн/рейс]]/Таблица224267[[#This Row],[Километраж, 
км]]</f>
        <v>45.454545454545453</v>
      </c>
      <c r="K78" s="12">
        <v>1800</v>
      </c>
      <c r="L78" s="99">
        <f>Таблица224267[[#This Row],[СС, 
грн/рейс]]/Таблица224267[[#This Row],[Километраж, 
км]]</f>
        <v>40.909090909090907</v>
      </c>
      <c r="M78" s="100">
        <f>Таблица224267[[#This Row],[Доход, 
грн/рейс]]-Таблица224267[[#This Row],[СС, 
грн/рейс]]</f>
        <v>200</v>
      </c>
      <c r="N78" s="24"/>
    </row>
    <row r="79" spans="1:14" ht="13.8" hidden="1" outlineLevel="1" thickTop="1" x14ac:dyDescent="0.25">
      <c r="A79" s="124" t="s">
        <v>158</v>
      </c>
      <c r="B79" s="125" t="s">
        <v>515</v>
      </c>
      <c r="C79" s="126">
        <v>45566</v>
      </c>
      <c r="D79" s="127" t="s">
        <v>625</v>
      </c>
      <c r="E79" s="128" t="s">
        <v>127</v>
      </c>
      <c r="F79" s="129" t="s">
        <v>128</v>
      </c>
      <c r="G79" s="58">
        <v>3000</v>
      </c>
      <c r="H79" s="56">
        <v>54</v>
      </c>
      <c r="I79" s="60">
        <f>Таблица224267[[#This Row],[Стоимость, 
грн]]</f>
        <v>3000</v>
      </c>
      <c r="J79" s="99">
        <f>Таблица224267[[#This Row],[Доход, 
грн/рейс]]/Таблица224267[[#This Row],[Километраж, 
км]]</f>
        <v>55.555555555555557</v>
      </c>
      <c r="K79" s="12">
        <v>2700</v>
      </c>
      <c r="L79" s="99">
        <f>Таблица224267[[#This Row],[СС, 
грн/рейс]]/Таблица224267[[#This Row],[Километраж, 
км]]</f>
        <v>50</v>
      </c>
      <c r="M79" s="100">
        <f>Таблица224267[[#This Row],[Доход, 
грн/рейс]]-Таблица224267[[#This Row],[СС, 
грн/рейс]]</f>
        <v>300</v>
      </c>
      <c r="N79" s="24"/>
    </row>
    <row r="80" spans="1:14" ht="13.8" hidden="1" outlineLevel="1" thickTop="1" x14ac:dyDescent="0.25">
      <c r="A80" s="124" t="s">
        <v>158</v>
      </c>
      <c r="B80" s="125" t="s">
        <v>515</v>
      </c>
      <c r="C80" s="126">
        <v>45566</v>
      </c>
      <c r="D80" s="127" t="s">
        <v>634</v>
      </c>
      <c r="E80" s="128" t="s">
        <v>127</v>
      </c>
      <c r="F80" s="129" t="s">
        <v>128</v>
      </c>
      <c r="G80" s="58">
        <v>1000</v>
      </c>
      <c r="H80" s="56">
        <v>23</v>
      </c>
      <c r="I80" s="60">
        <f>Таблица224267[[#This Row],[Стоимость, 
грн]]</f>
        <v>1000</v>
      </c>
      <c r="J80" s="99">
        <f>Таблица224267[[#This Row],[Доход, 
грн/рейс]]/Таблица224267[[#This Row],[Километраж, 
км]]</f>
        <v>43.478260869565219</v>
      </c>
      <c r="K80" s="12">
        <v>900</v>
      </c>
      <c r="L80" s="99">
        <f>Таблица224267[[#This Row],[СС, 
грн/рейс]]/Таблица224267[[#This Row],[Километраж, 
км]]</f>
        <v>39.130434782608695</v>
      </c>
      <c r="M80" s="100">
        <f>Таблица224267[[#This Row],[Доход, 
грн/рейс]]-Таблица224267[[#This Row],[СС, 
грн/рейс]]</f>
        <v>100</v>
      </c>
      <c r="N80" s="24"/>
    </row>
    <row r="81" spans="1:14" ht="13.8" hidden="1" outlineLevel="1" thickTop="1" x14ac:dyDescent="0.25">
      <c r="A81" s="124" t="s">
        <v>158</v>
      </c>
      <c r="B81" s="125" t="s">
        <v>515</v>
      </c>
      <c r="C81" s="126">
        <v>45566</v>
      </c>
      <c r="D81" s="127" t="s">
        <v>627</v>
      </c>
      <c r="E81" s="128" t="s">
        <v>127</v>
      </c>
      <c r="F81" s="129" t="s">
        <v>128</v>
      </c>
      <c r="G81" s="58">
        <v>1000</v>
      </c>
      <c r="H81" s="56">
        <v>25</v>
      </c>
      <c r="I81" s="60">
        <f>Таблица224267[[#This Row],[Стоимость, 
грн]]</f>
        <v>1000</v>
      </c>
      <c r="J81" s="99">
        <f>Таблица224267[[#This Row],[Доход, 
грн/рейс]]/Таблица224267[[#This Row],[Километраж, 
км]]</f>
        <v>40</v>
      </c>
      <c r="K81" s="12">
        <v>900</v>
      </c>
      <c r="L81" s="99">
        <f>Таблица224267[[#This Row],[СС, 
грн/рейс]]/Таблица224267[[#This Row],[Километраж, 
км]]</f>
        <v>36</v>
      </c>
      <c r="M81" s="100">
        <f>Таблица224267[[#This Row],[Доход, 
грн/рейс]]-Таблица224267[[#This Row],[СС, 
грн/рейс]]</f>
        <v>100</v>
      </c>
      <c r="N81" s="24"/>
    </row>
    <row r="82" spans="1:14" ht="13.8" hidden="1" outlineLevel="1" thickTop="1" x14ac:dyDescent="0.25">
      <c r="A82" s="124" t="s">
        <v>158</v>
      </c>
      <c r="B82" s="125" t="s">
        <v>515</v>
      </c>
      <c r="C82" s="126">
        <v>45566</v>
      </c>
      <c r="D82" s="127" t="s">
        <v>631</v>
      </c>
      <c r="E82" s="128" t="s">
        <v>127</v>
      </c>
      <c r="F82" s="129" t="s">
        <v>128</v>
      </c>
      <c r="G82" s="58">
        <v>1000</v>
      </c>
      <c r="H82" s="56">
        <v>26</v>
      </c>
      <c r="I82" s="60">
        <f>Таблица224267[[#This Row],[Стоимость, 
грн]]</f>
        <v>1000</v>
      </c>
      <c r="J82" s="99">
        <f>Таблица224267[[#This Row],[Доход, 
грн/рейс]]/Таблица224267[[#This Row],[Километраж, 
км]]</f>
        <v>38.46153846153846</v>
      </c>
      <c r="K82" s="12">
        <v>900</v>
      </c>
      <c r="L82" s="99">
        <f>Таблица224267[[#This Row],[СС, 
грн/рейс]]/Таблица224267[[#This Row],[Километраж, 
км]]</f>
        <v>34.615384615384613</v>
      </c>
      <c r="M82" s="100">
        <f>Таблица224267[[#This Row],[Доход, 
грн/рейс]]-Таблица224267[[#This Row],[СС, 
грн/рейс]]</f>
        <v>100</v>
      </c>
      <c r="N82" s="24"/>
    </row>
    <row r="83" spans="1:14" ht="13.8" hidden="1" outlineLevel="1" collapsed="1" thickTop="1" x14ac:dyDescent="0.25">
      <c r="A83" s="124" t="s">
        <v>261</v>
      </c>
      <c r="B83" s="125" t="s">
        <v>515</v>
      </c>
      <c r="C83" s="126">
        <v>45597</v>
      </c>
      <c r="D83" s="127" t="s">
        <v>635</v>
      </c>
      <c r="E83" s="128" t="s">
        <v>127</v>
      </c>
      <c r="F83" s="129" t="s">
        <v>128</v>
      </c>
      <c r="G83" s="58">
        <v>1000</v>
      </c>
      <c r="H83" s="56">
        <v>22</v>
      </c>
      <c r="I83" s="60">
        <f>Таблица224267[[#This Row],[Стоимость, 
грн]]</f>
        <v>1000</v>
      </c>
      <c r="J83" s="99">
        <f>Таблица224267[[#This Row],[Доход, 
грн/рейс]]/Таблица224267[[#This Row],[Километраж, 
км]]</f>
        <v>45.454545454545453</v>
      </c>
      <c r="K83" s="12">
        <v>900</v>
      </c>
      <c r="L83" s="99">
        <f>Таблица224267[[#This Row],[СС, 
грн/рейс]]/Таблица224267[[#This Row],[Километраж, 
км]]</f>
        <v>40.909090909090907</v>
      </c>
      <c r="M83" s="100">
        <f>Таблица224267[[#This Row],[Доход, 
грн/рейс]]-Таблица224267[[#This Row],[СС, 
грн/рейс]]</f>
        <v>100</v>
      </c>
      <c r="N83" s="24"/>
    </row>
    <row r="84" spans="1:14" ht="13.8" hidden="1" outlineLevel="1" thickTop="1" x14ac:dyDescent="0.25">
      <c r="A84" s="124" t="s">
        <v>261</v>
      </c>
      <c r="B84" s="125" t="s">
        <v>515</v>
      </c>
      <c r="C84" s="126">
        <v>45597</v>
      </c>
      <c r="D84" s="127" t="s">
        <v>645</v>
      </c>
      <c r="E84" s="128" t="s">
        <v>127</v>
      </c>
      <c r="F84" s="129" t="s">
        <v>128</v>
      </c>
      <c r="G84" s="58">
        <v>3000</v>
      </c>
      <c r="H84" s="56">
        <v>56</v>
      </c>
      <c r="I84" s="60">
        <f>Таблица224267[[#This Row],[Стоимость, 
грн]]</f>
        <v>3000</v>
      </c>
      <c r="J84" s="99">
        <f>Таблица224267[[#This Row],[Доход, 
грн/рейс]]/Таблица224267[[#This Row],[Километраж, 
км]]</f>
        <v>53.571428571428569</v>
      </c>
      <c r="K84" s="12">
        <v>2700</v>
      </c>
      <c r="L84" s="99">
        <f>Таблица224267[[#This Row],[СС, 
грн/рейс]]/Таблица224267[[#This Row],[Километраж, 
км]]</f>
        <v>48.214285714285715</v>
      </c>
      <c r="M84" s="100">
        <f>Таблица224267[[#This Row],[Доход, 
грн/рейс]]-Таблица224267[[#This Row],[СС, 
грн/рейс]]</f>
        <v>300</v>
      </c>
      <c r="N84" s="24"/>
    </row>
    <row r="85" spans="1:14" ht="13.8" hidden="1" outlineLevel="1" thickTop="1" x14ac:dyDescent="0.25">
      <c r="A85" s="124" t="s">
        <v>158</v>
      </c>
      <c r="B85" s="125" t="s">
        <v>515</v>
      </c>
      <c r="C85" s="126">
        <v>45597</v>
      </c>
      <c r="D85" s="127" t="s">
        <v>645</v>
      </c>
      <c r="E85" s="128" t="s">
        <v>127</v>
      </c>
      <c r="F85" s="129" t="s">
        <v>128</v>
      </c>
      <c r="G85" s="58">
        <v>1000</v>
      </c>
      <c r="H85" s="56">
        <v>25</v>
      </c>
      <c r="I85" s="60">
        <f>Таблица224267[[#This Row],[Стоимость, 
грн]]</f>
        <v>1000</v>
      </c>
      <c r="J85" s="99">
        <f>Таблица224267[[#This Row],[Доход, 
грн/рейс]]/Таблица224267[[#This Row],[Километраж, 
км]]</f>
        <v>40</v>
      </c>
      <c r="K85" s="12">
        <v>900</v>
      </c>
      <c r="L85" s="99">
        <f>Таблица224267[[#This Row],[СС, 
грн/рейс]]/Таблица224267[[#This Row],[Километраж, 
км]]</f>
        <v>36</v>
      </c>
      <c r="M85" s="100">
        <f>Таблица224267[[#This Row],[Доход, 
грн/рейс]]-Таблица224267[[#This Row],[СС, 
грн/рейс]]</f>
        <v>100</v>
      </c>
      <c r="N85" s="24"/>
    </row>
    <row r="86" spans="1:14" ht="13.8" hidden="1" outlineLevel="1" thickTop="1" x14ac:dyDescent="0.25">
      <c r="A86" s="124" t="s">
        <v>261</v>
      </c>
      <c r="B86" s="125" t="s">
        <v>515</v>
      </c>
      <c r="C86" s="126">
        <v>45597</v>
      </c>
      <c r="D86" s="127" t="s">
        <v>646</v>
      </c>
      <c r="E86" s="128" t="s">
        <v>127</v>
      </c>
      <c r="F86" s="129" t="s">
        <v>128</v>
      </c>
      <c r="G86" s="58">
        <v>1000</v>
      </c>
      <c r="H86" s="56">
        <v>23</v>
      </c>
      <c r="I86" s="60">
        <f>Таблица224267[[#This Row],[Стоимость, 
грн]]</f>
        <v>1000</v>
      </c>
      <c r="J86" s="99">
        <f>Таблица224267[[#This Row],[Доход, 
грн/рейс]]/Таблица224267[[#This Row],[Километраж, 
км]]</f>
        <v>43.478260869565219</v>
      </c>
      <c r="K86" s="12">
        <v>900</v>
      </c>
      <c r="L86" s="99">
        <f>Таблица224267[[#This Row],[СС, 
грн/рейс]]/Таблица224267[[#This Row],[Километраж, 
км]]</f>
        <v>39.130434782608695</v>
      </c>
      <c r="M86" s="100">
        <f>Таблица224267[[#This Row],[Доход, 
грн/рейс]]-Таблица224267[[#This Row],[СС, 
грн/рейс]]</f>
        <v>100</v>
      </c>
      <c r="N86" s="24"/>
    </row>
    <row r="87" spans="1:14" ht="13.8" hidden="1" outlineLevel="1" thickTop="1" x14ac:dyDescent="0.25">
      <c r="A87" s="124" t="s">
        <v>261</v>
      </c>
      <c r="B87" s="125" t="s">
        <v>515</v>
      </c>
      <c r="C87" s="126">
        <v>45597</v>
      </c>
      <c r="D87" s="127" t="s">
        <v>647</v>
      </c>
      <c r="E87" s="128" t="s">
        <v>127</v>
      </c>
      <c r="F87" s="129" t="s">
        <v>128</v>
      </c>
      <c r="G87" s="58">
        <v>1000</v>
      </c>
      <c r="H87" s="56">
        <v>22</v>
      </c>
      <c r="I87" s="60">
        <f>Таблица224267[[#This Row],[Стоимость, 
грн]]</f>
        <v>1000</v>
      </c>
      <c r="J87" s="99">
        <f>Таблица224267[[#This Row],[Доход, 
грн/рейс]]/Таблица224267[[#This Row],[Километраж, 
км]]</f>
        <v>45.454545454545453</v>
      </c>
      <c r="K87" s="12">
        <v>900</v>
      </c>
      <c r="L87" s="99">
        <f>Таблица224267[[#This Row],[СС, 
грн/рейс]]/Таблица224267[[#This Row],[Километраж, 
км]]</f>
        <v>40.909090909090907</v>
      </c>
      <c r="M87" s="100">
        <f>Таблица224267[[#This Row],[Доход, 
грн/рейс]]-Таблица224267[[#This Row],[СС, 
грн/рейс]]</f>
        <v>100</v>
      </c>
      <c r="N87" s="24"/>
    </row>
    <row r="88" spans="1:14" ht="13.8" hidden="1" outlineLevel="1" thickTop="1" x14ac:dyDescent="0.25">
      <c r="A88" s="124" t="s">
        <v>261</v>
      </c>
      <c r="B88" s="125" t="s">
        <v>515</v>
      </c>
      <c r="C88" s="126">
        <v>45597</v>
      </c>
      <c r="D88" s="127" t="s">
        <v>648</v>
      </c>
      <c r="E88" s="128" t="s">
        <v>127</v>
      </c>
      <c r="F88" s="129" t="s">
        <v>128</v>
      </c>
      <c r="G88" s="58">
        <v>1000</v>
      </c>
      <c r="H88" s="56">
        <v>25</v>
      </c>
      <c r="I88" s="60">
        <f>Таблица224267[[#This Row],[Стоимость, 
грн]]</f>
        <v>1000</v>
      </c>
      <c r="J88" s="99">
        <f>Таблица224267[[#This Row],[Доход, 
грн/рейс]]/Таблица224267[[#This Row],[Километраж, 
км]]</f>
        <v>40</v>
      </c>
      <c r="K88" s="12">
        <v>900</v>
      </c>
      <c r="L88" s="99">
        <f>Таблица224267[[#This Row],[СС, 
грн/рейс]]/Таблица224267[[#This Row],[Километраж, 
км]]</f>
        <v>36</v>
      </c>
      <c r="M88" s="100">
        <f>Таблица224267[[#This Row],[Доход, 
грн/рейс]]-Таблица224267[[#This Row],[СС, 
грн/рейс]]</f>
        <v>100</v>
      </c>
      <c r="N88" s="24"/>
    </row>
    <row r="89" spans="1:14" ht="13.8" hidden="1" outlineLevel="1" thickTop="1" x14ac:dyDescent="0.25">
      <c r="A89" s="124" t="s">
        <v>261</v>
      </c>
      <c r="B89" s="125" t="s">
        <v>515</v>
      </c>
      <c r="C89" s="126">
        <v>45597</v>
      </c>
      <c r="D89" s="127" t="s">
        <v>649</v>
      </c>
      <c r="E89" s="128" t="s">
        <v>127</v>
      </c>
      <c r="F89" s="129" t="s">
        <v>128</v>
      </c>
      <c r="G89" s="58">
        <v>3000</v>
      </c>
      <c r="H89" s="56">
        <v>53</v>
      </c>
      <c r="I89" s="60">
        <f>Таблица224267[[#This Row],[Стоимость, 
грн]]</f>
        <v>3000</v>
      </c>
      <c r="J89" s="99">
        <f>Таблица224267[[#This Row],[Доход, 
грн/рейс]]/Таблица224267[[#This Row],[Километраж, 
км]]</f>
        <v>56.60377358490566</v>
      </c>
      <c r="K89" s="12">
        <v>2700</v>
      </c>
      <c r="L89" s="99">
        <f>Таблица224267[[#This Row],[СС, 
грн/рейс]]/Таблица224267[[#This Row],[Километраж, 
км]]</f>
        <v>50.943396226415096</v>
      </c>
      <c r="M89" s="100">
        <f>Таблица224267[[#This Row],[Доход, 
грн/рейс]]-Таблица224267[[#This Row],[СС, 
грн/рейс]]</f>
        <v>300</v>
      </c>
      <c r="N89" s="24"/>
    </row>
    <row r="90" spans="1:14" ht="13.8" hidden="1" outlineLevel="1" thickTop="1" x14ac:dyDescent="0.25">
      <c r="A90" s="124" t="s">
        <v>261</v>
      </c>
      <c r="B90" s="125" t="s">
        <v>515</v>
      </c>
      <c r="C90" s="126">
        <v>45597</v>
      </c>
      <c r="D90" s="127" t="s">
        <v>650</v>
      </c>
      <c r="E90" s="128" t="s">
        <v>127</v>
      </c>
      <c r="F90" s="129" t="s">
        <v>128</v>
      </c>
      <c r="G90" s="58">
        <v>1000</v>
      </c>
      <c r="H90" s="56">
        <v>20</v>
      </c>
      <c r="I90" s="60">
        <f>Таблица224267[[#This Row],[Стоимость, 
грн]]</f>
        <v>1000</v>
      </c>
      <c r="J90" s="99">
        <f>Таблица224267[[#This Row],[Доход, 
грн/рейс]]/Таблица224267[[#This Row],[Километраж, 
км]]</f>
        <v>50</v>
      </c>
      <c r="K90" s="12">
        <v>900</v>
      </c>
      <c r="L90" s="99">
        <f>Таблица224267[[#This Row],[СС, 
грн/рейс]]/Таблица224267[[#This Row],[Километраж, 
км]]</f>
        <v>45</v>
      </c>
      <c r="M90" s="100">
        <f>Таблица224267[[#This Row],[Доход, 
грн/рейс]]-Таблица224267[[#This Row],[СС, 
грн/рейс]]</f>
        <v>100</v>
      </c>
      <c r="N90" s="24"/>
    </row>
    <row r="91" spans="1:14" ht="13.8" hidden="1" outlineLevel="1" thickTop="1" x14ac:dyDescent="0.25">
      <c r="A91" s="124" t="s">
        <v>261</v>
      </c>
      <c r="B91" s="125" t="s">
        <v>515</v>
      </c>
      <c r="C91" s="126">
        <v>45597</v>
      </c>
      <c r="D91" s="127" t="s">
        <v>650</v>
      </c>
      <c r="E91" s="128" t="s">
        <v>651</v>
      </c>
      <c r="F91" s="129" t="s">
        <v>652</v>
      </c>
      <c r="G91" s="58">
        <v>1650</v>
      </c>
      <c r="H91" s="56">
        <v>37</v>
      </c>
      <c r="I91" s="60">
        <f>Таблица224267[[#This Row],[Стоимость, 
грн]]</f>
        <v>1650</v>
      </c>
      <c r="J91" s="99">
        <f>Таблица224267[[#This Row],[Доход, 
грн/рейс]]/Таблица224267[[#This Row],[Километраж, 
км]]</f>
        <v>44.594594594594597</v>
      </c>
      <c r="K91" s="12">
        <v>1500</v>
      </c>
      <c r="L91" s="99">
        <f>Таблица224267[[#This Row],[СС, 
грн/рейс]]/Таблица224267[[#This Row],[Километраж, 
км]]</f>
        <v>40.54054054054054</v>
      </c>
      <c r="M91" s="100">
        <f>Таблица224267[[#This Row],[Доход, 
грн/рейс]]-Таблица224267[[#This Row],[СС, 
грн/рейс]]</f>
        <v>150</v>
      </c>
      <c r="N91" s="24"/>
    </row>
    <row r="92" spans="1:14" ht="13.8" hidden="1" outlineLevel="1" thickTop="1" x14ac:dyDescent="0.25">
      <c r="A92" s="124" t="s">
        <v>261</v>
      </c>
      <c r="B92" s="125" t="s">
        <v>515</v>
      </c>
      <c r="C92" s="126">
        <v>45597</v>
      </c>
      <c r="D92" s="127" t="s">
        <v>653</v>
      </c>
      <c r="E92" s="128" t="s">
        <v>127</v>
      </c>
      <c r="F92" s="129" t="s">
        <v>128</v>
      </c>
      <c r="G92" s="58">
        <v>1000</v>
      </c>
      <c r="H92" s="56">
        <v>21</v>
      </c>
      <c r="I92" s="60">
        <f>Таблица224267[[#This Row],[Стоимость, 
грн]]</f>
        <v>1000</v>
      </c>
      <c r="J92" s="99">
        <f>Таблица224267[[#This Row],[Доход, 
грн/рейс]]/Таблица224267[[#This Row],[Километраж, 
км]]</f>
        <v>47.61904761904762</v>
      </c>
      <c r="K92" s="12">
        <v>900</v>
      </c>
      <c r="L92" s="99">
        <f>Таблица224267[[#This Row],[СС, 
грн/рейс]]/Таблица224267[[#This Row],[Километраж, 
км]]</f>
        <v>42.857142857142854</v>
      </c>
      <c r="M92" s="100">
        <f>Таблица224267[[#This Row],[Доход, 
грн/рейс]]-Таблица224267[[#This Row],[СС, 
грн/рейс]]</f>
        <v>100</v>
      </c>
      <c r="N92" s="24"/>
    </row>
    <row r="93" spans="1:14" ht="13.8" hidden="1" outlineLevel="1" thickTop="1" x14ac:dyDescent="0.25">
      <c r="A93" s="124" t="s">
        <v>261</v>
      </c>
      <c r="B93" s="125" t="s">
        <v>515</v>
      </c>
      <c r="C93" s="126">
        <v>45597</v>
      </c>
      <c r="D93" s="127" t="s">
        <v>654</v>
      </c>
      <c r="E93" s="128" t="s">
        <v>127</v>
      </c>
      <c r="F93" s="129" t="s">
        <v>128</v>
      </c>
      <c r="G93" s="58">
        <v>1000</v>
      </c>
      <c r="H93" s="56">
        <v>24</v>
      </c>
      <c r="I93" s="60">
        <f>Таблица224267[[#This Row],[Стоимость, 
грн]]</f>
        <v>1000</v>
      </c>
      <c r="J93" s="99">
        <f>Таблица224267[[#This Row],[Доход, 
грн/рейс]]/Таблица224267[[#This Row],[Километраж, 
км]]</f>
        <v>41.666666666666664</v>
      </c>
      <c r="K93" s="12">
        <v>900</v>
      </c>
      <c r="L93" s="99">
        <f>Таблица224267[[#This Row],[СС, 
грн/рейс]]/Таблица224267[[#This Row],[Километраж, 
км]]</f>
        <v>37.5</v>
      </c>
      <c r="M93" s="100">
        <f>Таблица224267[[#This Row],[Доход, 
грн/рейс]]-Таблица224267[[#This Row],[СС, 
грн/рейс]]</f>
        <v>100</v>
      </c>
      <c r="N93" s="24"/>
    </row>
    <row r="94" spans="1:14" ht="13.8" hidden="1" outlineLevel="1" thickTop="1" x14ac:dyDescent="0.25">
      <c r="A94" s="124" t="s">
        <v>261</v>
      </c>
      <c r="B94" s="125" t="s">
        <v>515</v>
      </c>
      <c r="C94" s="126">
        <v>45597</v>
      </c>
      <c r="D94" s="127" t="s">
        <v>675</v>
      </c>
      <c r="E94" s="128" t="s">
        <v>127</v>
      </c>
      <c r="F94" s="129" t="s">
        <v>128</v>
      </c>
      <c r="G94" s="58">
        <v>1000</v>
      </c>
      <c r="H94" s="56">
        <v>23</v>
      </c>
      <c r="I94" s="60">
        <f>Таблица224267[[#This Row],[Стоимость, 
грн]]</f>
        <v>1000</v>
      </c>
      <c r="J94" s="99">
        <f>Таблица224267[[#This Row],[Доход, 
грн/рейс]]/Таблица224267[[#This Row],[Километраж, 
км]]</f>
        <v>43.478260869565219</v>
      </c>
      <c r="K94" s="12">
        <v>900</v>
      </c>
      <c r="L94" s="99">
        <f>Таблица224267[[#This Row],[СС, 
грн/рейс]]/Таблица224267[[#This Row],[Километраж, 
км]]</f>
        <v>39.130434782608695</v>
      </c>
      <c r="M94" s="100">
        <f>Таблица224267[[#This Row],[Доход, 
грн/рейс]]-Таблица224267[[#This Row],[СС, 
грн/рейс]]</f>
        <v>100</v>
      </c>
      <c r="N94" s="24"/>
    </row>
    <row r="95" spans="1:14" ht="13.8" hidden="1" outlineLevel="1" thickTop="1" x14ac:dyDescent="0.25">
      <c r="A95" s="124" t="s">
        <v>261</v>
      </c>
      <c r="B95" s="125" t="s">
        <v>515</v>
      </c>
      <c r="C95" s="126">
        <v>45597</v>
      </c>
      <c r="D95" s="127" t="s">
        <v>676</v>
      </c>
      <c r="E95" s="128" t="s">
        <v>127</v>
      </c>
      <c r="F95" s="129" t="s">
        <v>128</v>
      </c>
      <c r="G95" s="58">
        <v>1000</v>
      </c>
      <c r="H95" s="56">
        <v>21</v>
      </c>
      <c r="I95" s="60">
        <f>Таблица224267[[#This Row],[Стоимость, 
грн]]</f>
        <v>1000</v>
      </c>
      <c r="J95" s="99">
        <f>Таблица224267[[#This Row],[Доход, 
грн/рейс]]/Таблица224267[[#This Row],[Километраж, 
км]]</f>
        <v>47.61904761904762</v>
      </c>
      <c r="K95" s="12">
        <v>900</v>
      </c>
      <c r="L95" s="99">
        <f>Таблица224267[[#This Row],[СС, 
грн/рейс]]/Таблица224267[[#This Row],[Километраж, 
км]]</f>
        <v>42.857142857142854</v>
      </c>
      <c r="M95" s="100">
        <f>Таблица224267[[#This Row],[Доход, 
грн/рейс]]-Таблица224267[[#This Row],[СС, 
грн/рейс]]</f>
        <v>100</v>
      </c>
      <c r="N95" s="24"/>
    </row>
    <row r="96" spans="1:14" ht="13.8" hidden="1" outlineLevel="1" thickTop="1" x14ac:dyDescent="0.25">
      <c r="A96" s="124" t="s">
        <v>261</v>
      </c>
      <c r="B96" s="125" t="s">
        <v>515</v>
      </c>
      <c r="C96" s="126">
        <v>45597</v>
      </c>
      <c r="D96" s="127" t="s">
        <v>677</v>
      </c>
      <c r="E96" s="128" t="s">
        <v>127</v>
      </c>
      <c r="F96" s="129" t="s">
        <v>128</v>
      </c>
      <c r="G96" s="58">
        <v>1000</v>
      </c>
      <c r="H96" s="56">
        <v>25</v>
      </c>
      <c r="I96" s="60">
        <f>Таблица224267[[#This Row],[Стоимость, 
грн]]</f>
        <v>1000</v>
      </c>
      <c r="J96" s="99">
        <f>Таблица224267[[#This Row],[Доход, 
грн/рейс]]/Таблица224267[[#This Row],[Километраж, 
км]]</f>
        <v>40</v>
      </c>
      <c r="K96" s="12">
        <v>900</v>
      </c>
      <c r="L96" s="99">
        <f>Таблица224267[[#This Row],[СС, 
грн/рейс]]/Таблица224267[[#This Row],[Километраж, 
км]]</f>
        <v>36</v>
      </c>
      <c r="M96" s="100">
        <f>Таблица224267[[#This Row],[Доход, 
грн/рейс]]-Таблица224267[[#This Row],[СС, 
грн/рейс]]</f>
        <v>100</v>
      </c>
      <c r="N96" s="24"/>
    </row>
    <row r="97" spans="1:15" ht="13.8" hidden="1" collapsed="1" thickTop="1" x14ac:dyDescent="0.25">
      <c r="A97" s="14" t="s">
        <v>310</v>
      </c>
      <c r="B97" s="125" t="s">
        <v>515</v>
      </c>
      <c r="C97" s="126">
        <v>45627</v>
      </c>
      <c r="D97" s="152" t="s">
        <v>688</v>
      </c>
      <c r="E97" s="128" t="s">
        <v>127</v>
      </c>
      <c r="F97" s="129" t="s">
        <v>128</v>
      </c>
      <c r="G97" s="58">
        <v>1000</v>
      </c>
      <c r="H97" s="56">
        <v>22</v>
      </c>
      <c r="I97" s="60">
        <f>Таблица224267[[#This Row],[Стоимость, 
грн]]</f>
        <v>1000</v>
      </c>
      <c r="J97" s="99">
        <f>Таблица224267[[#This Row],[Доход, 
грн/рейс]]/Таблица224267[[#This Row],[Километраж, 
км]]</f>
        <v>45.454545454545453</v>
      </c>
      <c r="K97" s="12">
        <v>900</v>
      </c>
      <c r="L97" s="99">
        <f>Таблица224267[[#This Row],[СС, 
грн/рейс]]/Таблица224267[[#This Row],[Километраж, 
км]]</f>
        <v>40.909090909090907</v>
      </c>
      <c r="M97" s="100">
        <f>Таблица224267[[#This Row],[Доход, 
грн/рейс]]-Таблица224267[[#This Row],[СС, 
грн/рейс]]</f>
        <v>100</v>
      </c>
      <c r="N97" s="24"/>
    </row>
    <row r="98" spans="1:15" ht="13.8" hidden="1" thickTop="1" x14ac:dyDescent="0.25">
      <c r="A98" s="14" t="s">
        <v>310</v>
      </c>
      <c r="B98" s="125" t="s">
        <v>515</v>
      </c>
      <c r="C98" s="126">
        <v>45627</v>
      </c>
      <c r="D98" s="152" t="s">
        <v>688</v>
      </c>
      <c r="E98" s="128" t="s">
        <v>127</v>
      </c>
      <c r="F98" s="129" t="s">
        <v>128</v>
      </c>
      <c r="G98" s="58">
        <v>1000</v>
      </c>
      <c r="H98" s="56">
        <v>21</v>
      </c>
      <c r="I98" s="60">
        <f>Таблица224267[[#This Row],[Стоимость, 
грн]]</f>
        <v>1000</v>
      </c>
      <c r="J98" s="99">
        <f>Таблица224267[[#This Row],[Доход, 
грн/рейс]]/Таблица224267[[#This Row],[Километраж, 
км]]</f>
        <v>47.61904761904762</v>
      </c>
      <c r="K98" s="12">
        <v>900</v>
      </c>
      <c r="L98" s="99">
        <f>Таблица224267[[#This Row],[СС, 
грн/рейс]]/Таблица224267[[#This Row],[Километраж, 
км]]</f>
        <v>42.857142857142854</v>
      </c>
      <c r="M98" s="100">
        <f>Таблица224267[[#This Row],[Доход, 
грн/рейс]]-Таблица224267[[#This Row],[СС, 
грн/рейс]]</f>
        <v>100</v>
      </c>
      <c r="N98" s="24"/>
    </row>
    <row r="99" spans="1:15" ht="13.8" hidden="1" thickTop="1" x14ac:dyDescent="0.25">
      <c r="A99" s="124" t="s">
        <v>261</v>
      </c>
      <c r="B99" s="125" t="s">
        <v>515</v>
      </c>
      <c r="C99" s="126">
        <v>45627</v>
      </c>
      <c r="D99" s="152" t="s">
        <v>689</v>
      </c>
      <c r="E99" s="128" t="s">
        <v>127</v>
      </c>
      <c r="F99" s="129" t="s">
        <v>128</v>
      </c>
      <c r="G99" s="58">
        <v>3000</v>
      </c>
      <c r="H99" s="56">
        <v>54</v>
      </c>
      <c r="I99" s="60">
        <v>3000</v>
      </c>
      <c r="J99" s="99">
        <f>Таблица224267[[#This Row],[Доход, 
грн/рейс]]/Таблица224267[[#This Row],[Километраж, 
км]]</f>
        <v>55.555555555555557</v>
      </c>
      <c r="K99" s="12">
        <v>2700</v>
      </c>
      <c r="L99" s="99">
        <f>Таблица224267[[#This Row],[СС, 
грн/рейс]]/Таблица224267[[#This Row],[Километраж, 
км]]</f>
        <v>50</v>
      </c>
      <c r="M99" s="100">
        <f>Таблица224267[[#This Row],[Доход, 
грн/рейс]]-Таблица224267[[#This Row],[СС, 
грн/рейс]]</f>
        <v>300</v>
      </c>
      <c r="N99" s="24"/>
    </row>
    <row r="100" spans="1:15" ht="13.8" hidden="1" thickTop="1" x14ac:dyDescent="0.25">
      <c r="A100" s="124" t="s">
        <v>261</v>
      </c>
      <c r="B100" s="125" t="s">
        <v>515</v>
      </c>
      <c r="C100" s="126">
        <v>45627</v>
      </c>
      <c r="D100" s="127" t="s">
        <v>696</v>
      </c>
      <c r="E100" s="128" t="s">
        <v>127</v>
      </c>
      <c r="F100" s="129" t="s">
        <v>128</v>
      </c>
      <c r="G100" s="58">
        <v>1000</v>
      </c>
      <c r="H100" s="56">
        <v>21</v>
      </c>
      <c r="I100" s="60">
        <f>Таблица224267[[#This Row],[Стоимость, 
грн]]</f>
        <v>1000</v>
      </c>
      <c r="J100" s="99">
        <f>Таблица224267[[#This Row],[Доход, 
грн/рейс]]/Таблица224267[[#This Row],[Километраж, 
км]]</f>
        <v>47.61904761904762</v>
      </c>
      <c r="K100" s="12">
        <v>900</v>
      </c>
      <c r="L100" s="99">
        <f>Таблица224267[[#This Row],[СС, 
грн/рейс]]/Таблица224267[[#This Row],[Километраж, 
км]]</f>
        <v>42.857142857142854</v>
      </c>
      <c r="M100" s="100">
        <f>Таблица224267[[#This Row],[Доход, 
грн/рейс]]-Таблица224267[[#This Row],[СС, 
грн/рейс]]</f>
        <v>100</v>
      </c>
      <c r="N100" s="24"/>
    </row>
    <row r="101" spans="1:15" ht="13.8" hidden="1" thickTop="1" x14ac:dyDescent="0.25">
      <c r="A101" s="124" t="s">
        <v>261</v>
      </c>
      <c r="B101" s="125" t="s">
        <v>515</v>
      </c>
      <c r="C101" s="126">
        <v>45627</v>
      </c>
      <c r="D101" s="127" t="s">
        <v>696</v>
      </c>
      <c r="E101" s="128" t="s">
        <v>127</v>
      </c>
      <c r="F101" s="129" t="s">
        <v>128</v>
      </c>
      <c r="G101" s="58">
        <v>1650</v>
      </c>
      <c r="H101" s="56">
        <v>27</v>
      </c>
      <c r="I101" s="60">
        <f>Таблица224267[[#This Row],[Стоимость, 
грн]]</f>
        <v>1650</v>
      </c>
      <c r="J101" s="99">
        <f>Таблица224267[[#This Row],[Доход, 
грн/рейс]]/Таблица224267[[#This Row],[Километраж, 
км]]</f>
        <v>61.111111111111114</v>
      </c>
      <c r="K101" s="12">
        <v>1500</v>
      </c>
      <c r="L101" s="99">
        <f>Таблица224267[[#This Row],[СС, 
грн/рейс]]/Таблица224267[[#This Row],[Километраж, 
км]]</f>
        <v>55.555555555555557</v>
      </c>
      <c r="M101" s="100">
        <f>Таблица224267[[#This Row],[Доход, 
грн/рейс]]-Таблица224267[[#This Row],[СС, 
грн/рейс]]</f>
        <v>150</v>
      </c>
      <c r="N101" s="24"/>
    </row>
    <row r="102" spans="1:15" ht="13.8" hidden="1" thickTop="1" x14ac:dyDescent="0.25">
      <c r="A102" s="124" t="s">
        <v>261</v>
      </c>
      <c r="B102" s="125" t="s">
        <v>515</v>
      </c>
      <c r="C102" s="126">
        <v>45627</v>
      </c>
      <c r="D102" s="127" t="s">
        <v>697</v>
      </c>
      <c r="E102" s="128" t="s">
        <v>127</v>
      </c>
      <c r="F102" s="129" t="s">
        <v>128</v>
      </c>
      <c r="G102" s="58">
        <v>1000</v>
      </c>
      <c r="H102" s="56">
        <v>24</v>
      </c>
      <c r="I102" s="60">
        <f>Таблица224267[[#This Row],[Стоимость, 
грн]]</f>
        <v>1000</v>
      </c>
      <c r="J102" s="99">
        <f>Таблица224267[[#This Row],[Доход, 
грн/рейс]]/Таблица224267[[#This Row],[Километраж, 
км]]</f>
        <v>41.666666666666664</v>
      </c>
      <c r="K102" s="12">
        <v>900</v>
      </c>
      <c r="L102" s="99">
        <f>Таблица224267[[#This Row],[СС, 
грн/рейс]]/Таблица224267[[#This Row],[Километраж, 
км]]</f>
        <v>37.5</v>
      </c>
      <c r="M102" s="100">
        <f>Таблица224267[[#This Row],[Доход, 
грн/рейс]]-Таблица224267[[#This Row],[СС, 
грн/рейс]]</f>
        <v>100</v>
      </c>
      <c r="N102" s="24"/>
    </row>
    <row r="103" spans="1:15" ht="13.8" hidden="1" thickTop="1" x14ac:dyDescent="0.25">
      <c r="A103" s="124" t="s">
        <v>698</v>
      </c>
      <c r="B103" s="125" t="s">
        <v>515</v>
      </c>
      <c r="C103" s="126">
        <v>45627</v>
      </c>
      <c r="D103" s="127" t="s">
        <v>697</v>
      </c>
      <c r="E103" s="128" t="s">
        <v>127</v>
      </c>
      <c r="F103" s="129" t="s">
        <v>128</v>
      </c>
      <c r="G103" s="58">
        <v>1000</v>
      </c>
      <c r="H103" s="56">
        <v>23</v>
      </c>
      <c r="I103" s="60">
        <f>Таблица224267[[#This Row],[Стоимость, 
грн]]</f>
        <v>1000</v>
      </c>
      <c r="J103" s="99">
        <f>Таблица224267[[#This Row],[Доход, 
грн/рейс]]/Таблица224267[[#This Row],[Километраж, 
км]]</f>
        <v>43.478260869565219</v>
      </c>
      <c r="K103" s="12">
        <v>900</v>
      </c>
      <c r="L103" s="99">
        <f>Таблица224267[[#This Row],[СС, 
грн/рейс]]/Таблица224267[[#This Row],[Километраж, 
км]]</f>
        <v>39.130434782608695</v>
      </c>
      <c r="M103" s="100">
        <f>Таблица224267[[#This Row],[Доход, 
грн/рейс]]-Таблица224267[[#This Row],[СС, 
грн/рейс]]</f>
        <v>100</v>
      </c>
      <c r="N103" s="24"/>
    </row>
    <row r="104" spans="1:15" ht="13.8" hidden="1" thickTop="1" x14ac:dyDescent="0.25">
      <c r="A104" s="124" t="s">
        <v>261</v>
      </c>
      <c r="B104" s="125" t="s">
        <v>515</v>
      </c>
      <c r="C104" s="126">
        <v>45627</v>
      </c>
      <c r="D104" s="127" t="s">
        <v>699</v>
      </c>
      <c r="E104" s="128" t="s">
        <v>294</v>
      </c>
      <c r="F104" s="129" t="s">
        <v>633</v>
      </c>
      <c r="G104" s="58">
        <v>4850</v>
      </c>
      <c r="H104" s="56">
        <v>41</v>
      </c>
      <c r="I104" s="60">
        <f>Таблица224267[[#This Row],[Стоимость, 
грн]]</f>
        <v>4850</v>
      </c>
      <c r="J104" s="99">
        <f>Таблица224267[[#This Row],[Доход, 
грн/рейс]]/Таблица224267[[#This Row],[Километраж, 
км]]</f>
        <v>118.29268292682927</v>
      </c>
      <c r="K104" s="12">
        <v>4600</v>
      </c>
      <c r="L104" s="99">
        <f>Таблица224267[[#This Row],[СС, 
грн/рейс]]/Таблица224267[[#This Row],[Километраж, 
км]]</f>
        <v>112.19512195121951</v>
      </c>
      <c r="M104" s="100">
        <f>Таблица224267[[#This Row],[Доход, 
грн/рейс]]-Таблица224267[[#This Row],[СС, 
грн/рейс]]</f>
        <v>250</v>
      </c>
      <c r="N104" s="24"/>
    </row>
    <row r="105" spans="1:15" ht="13.8" hidden="1" thickTop="1" x14ac:dyDescent="0.25">
      <c r="A105" s="124" t="s">
        <v>708</v>
      </c>
      <c r="B105" s="125" t="s">
        <v>526</v>
      </c>
      <c r="C105" s="126">
        <v>45627</v>
      </c>
      <c r="D105" s="176" t="s">
        <v>700</v>
      </c>
      <c r="E105" s="128" t="s">
        <v>127</v>
      </c>
      <c r="F105" s="129" t="s">
        <v>128</v>
      </c>
      <c r="G105" s="163">
        <v>2000</v>
      </c>
      <c r="H105" s="164">
        <v>40</v>
      </c>
      <c r="I105" s="164">
        <f>Таблица224267[[#This Row],[Стоимость, 
грн]]</f>
        <v>2000</v>
      </c>
      <c r="J105" s="99">
        <f>Таблица224267[[#This Row],[Доход, 
грн/рейс]]/Таблица224267[[#This Row],[Километраж, 
км]]</f>
        <v>50</v>
      </c>
      <c r="K105" s="165">
        <v>1800</v>
      </c>
      <c r="L105" s="166"/>
      <c r="M105" s="167"/>
      <c r="N105" s="162"/>
      <c r="O105" s="177"/>
    </row>
    <row r="106" spans="1:15" ht="13.8" hidden="1" thickTop="1" x14ac:dyDescent="0.25">
      <c r="A106" s="124" t="s">
        <v>708</v>
      </c>
      <c r="B106" s="125" t="s">
        <v>526</v>
      </c>
      <c r="C106" s="126">
        <v>45627</v>
      </c>
      <c r="D106" s="176" t="s">
        <v>700</v>
      </c>
      <c r="E106" s="128" t="s">
        <v>127</v>
      </c>
      <c r="F106" s="129" t="s">
        <v>128</v>
      </c>
      <c r="G106" s="163">
        <v>550</v>
      </c>
      <c r="H106" s="164">
        <v>16</v>
      </c>
      <c r="I106" s="164">
        <f>Таблица224267[[#This Row],[Стоимость, 
грн]]</f>
        <v>550</v>
      </c>
      <c r="J106" s="99">
        <f>Таблица224267[[#This Row],[Доход, 
грн/рейс]]/Таблица224267[[#This Row],[Километраж, 
км]]</f>
        <v>34.375</v>
      </c>
      <c r="K106" s="165">
        <v>500</v>
      </c>
      <c r="L106" s="166"/>
      <c r="M106" s="167"/>
      <c r="N106" s="162"/>
      <c r="O106" s="177"/>
    </row>
    <row r="107" spans="1:15" ht="13.8" hidden="1" thickTop="1" x14ac:dyDescent="0.25">
      <c r="A107" s="124" t="s">
        <v>708</v>
      </c>
      <c r="B107" s="125" t="s">
        <v>526</v>
      </c>
      <c r="C107" s="126">
        <v>45627</v>
      </c>
      <c r="D107" s="127" t="s">
        <v>709</v>
      </c>
      <c r="E107" s="128" t="s">
        <v>127</v>
      </c>
      <c r="F107" s="129" t="s">
        <v>360</v>
      </c>
      <c r="G107" s="58">
        <v>1000</v>
      </c>
      <c r="H107" s="56">
        <v>24</v>
      </c>
      <c r="I107" s="60">
        <f>Таблица224267[[#This Row],[Стоимость, 
грн]]</f>
        <v>1000</v>
      </c>
      <c r="J107" s="99">
        <f>Таблица224267[[#This Row],[Доход, 
грн/рейс]]/Таблица224267[[#This Row],[Километраж, 
км]]</f>
        <v>41.666666666666664</v>
      </c>
      <c r="K107" s="12">
        <v>900</v>
      </c>
      <c r="L107" s="99">
        <f>Таблица224267[[#This Row],[СС, 
грн/рейс]]/Таблица224267[[#This Row],[Километраж, 
км]]</f>
        <v>37.5</v>
      </c>
      <c r="M107" s="100">
        <f>Таблица224267[[#This Row],[Доход, 
грн/рейс]]-Таблица224267[[#This Row],[СС, 
грн/рейс]]</f>
        <v>100</v>
      </c>
      <c r="N107" s="24"/>
    </row>
    <row r="108" spans="1:15" ht="13.8" hidden="1" thickTop="1" x14ac:dyDescent="0.25">
      <c r="A108" s="124" t="s">
        <v>708</v>
      </c>
      <c r="B108" s="125" t="s">
        <v>526</v>
      </c>
      <c r="C108" s="126">
        <v>45627</v>
      </c>
      <c r="D108" s="127" t="s">
        <v>709</v>
      </c>
      <c r="E108" s="128" t="s">
        <v>127</v>
      </c>
      <c r="F108" s="129" t="s">
        <v>128</v>
      </c>
      <c r="G108" s="58">
        <v>1000</v>
      </c>
      <c r="H108" s="56">
        <v>21</v>
      </c>
      <c r="I108" s="60">
        <f>Таблица224267[[#This Row],[Стоимость, 
грн]]</f>
        <v>1000</v>
      </c>
      <c r="J108" s="99">
        <f>Таблица224267[[#This Row],[Доход, 
грн/рейс]]/Таблица224267[[#This Row],[Километраж, 
км]]</f>
        <v>47.61904761904762</v>
      </c>
      <c r="K108" s="12">
        <v>900</v>
      </c>
      <c r="L108" s="99">
        <f>Таблица224267[[#This Row],[СС, 
грн/рейс]]/Таблица224267[[#This Row],[Километраж, 
км]]</f>
        <v>42.857142857142854</v>
      </c>
      <c r="M108" s="100">
        <f>Таблица224267[[#This Row],[Доход, 
грн/рейс]]-Таблица224267[[#This Row],[СС, 
грн/рейс]]</f>
        <v>100</v>
      </c>
      <c r="N108" s="24"/>
    </row>
    <row r="109" spans="1:15" ht="13.8" hidden="1" thickTop="1" x14ac:dyDescent="0.25">
      <c r="A109" s="124" t="s">
        <v>708</v>
      </c>
      <c r="B109" s="125" t="s">
        <v>526</v>
      </c>
      <c r="C109" s="126">
        <v>45627</v>
      </c>
      <c r="D109" s="127" t="s">
        <v>709</v>
      </c>
      <c r="E109" s="128" t="s">
        <v>651</v>
      </c>
      <c r="F109" s="129" t="s">
        <v>710</v>
      </c>
      <c r="G109" s="58">
        <v>2000</v>
      </c>
      <c r="H109" s="56">
        <v>68</v>
      </c>
      <c r="I109" s="60">
        <f>Таблица224267[[#This Row],[Стоимость, 
грн]]</f>
        <v>2000</v>
      </c>
      <c r="J109" s="99">
        <f>Таблица224267[[#This Row],[Доход, 
грн/рейс]]/Таблица224267[[#This Row],[Километраж, 
км]]</f>
        <v>29.411764705882351</v>
      </c>
      <c r="K109" s="12">
        <v>1800</v>
      </c>
      <c r="L109" s="99">
        <f>Таблица224267[[#This Row],[СС, 
грн/рейс]]/Таблица224267[[#This Row],[Километраж, 
км]]</f>
        <v>26.470588235294116</v>
      </c>
      <c r="M109" s="100">
        <f>Таблица224267[[#This Row],[Доход, 
грн/рейс]]-Таблица224267[[#This Row],[СС, 
грн/рейс]]</f>
        <v>200</v>
      </c>
      <c r="N109" s="24"/>
    </row>
    <row r="110" spans="1:15" ht="13.8" hidden="1" thickTop="1" x14ac:dyDescent="0.25">
      <c r="A110" s="124" t="s">
        <v>708</v>
      </c>
      <c r="B110" s="125" t="s">
        <v>526</v>
      </c>
      <c r="C110" s="126">
        <v>45627</v>
      </c>
      <c r="D110" s="161" t="s">
        <v>733</v>
      </c>
      <c r="E110" s="128" t="s">
        <v>127</v>
      </c>
      <c r="F110" s="129" t="s">
        <v>128</v>
      </c>
      <c r="G110" s="58">
        <v>1000</v>
      </c>
      <c r="H110" s="56">
        <v>20</v>
      </c>
      <c r="I110" s="60">
        <f>Таблица224267[[#This Row],[Стоимость, 
грн]]</f>
        <v>1000</v>
      </c>
      <c r="J110" s="99">
        <f>Таблица224267[[#This Row],[Доход, 
грн/рейс]]/Таблица224267[[#This Row],[Километраж, 
км]]</f>
        <v>50</v>
      </c>
      <c r="K110" s="12">
        <v>900</v>
      </c>
      <c r="L110" s="99">
        <f>Таблица224267[[#This Row],[СС, 
грн/рейс]]/Таблица224267[[#This Row],[Километраж, 
км]]</f>
        <v>45</v>
      </c>
      <c r="M110" s="100">
        <f>Таблица224267[[#This Row],[Доход, 
грн/рейс]]-Таблица224267[[#This Row],[СС, 
грн/рейс]]</f>
        <v>100</v>
      </c>
      <c r="N110" s="24"/>
    </row>
    <row r="111" spans="1:15" ht="13.8" hidden="1" thickTop="1" x14ac:dyDescent="0.25">
      <c r="A111" s="124" t="s">
        <v>708</v>
      </c>
      <c r="B111" s="125" t="s">
        <v>526</v>
      </c>
      <c r="C111" s="126">
        <v>45627</v>
      </c>
      <c r="D111" s="161" t="s">
        <v>733</v>
      </c>
      <c r="E111" s="128" t="s">
        <v>127</v>
      </c>
      <c r="F111" s="129" t="s">
        <v>128</v>
      </c>
      <c r="G111" s="58">
        <v>1000</v>
      </c>
      <c r="H111" s="56">
        <v>23</v>
      </c>
      <c r="I111" s="60">
        <f>Таблица224267[[#This Row],[Стоимость, 
грн]]</f>
        <v>1000</v>
      </c>
      <c r="J111" s="99">
        <f>Таблица224267[[#This Row],[Доход, 
грн/рейс]]/Таблица224267[[#This Row],[Километраж, 
км]]</f>
        <v>43.478260869565219</v>
      </c>
      <c r="K111" s="12">
        <v>900</v>
      </c>
      <c r="L111" s="99">
        <f>Таблица224267[[#This Row],[СС, 
грн/рейс]]/Таблица224267[[#This Row],[Километраж, 
км]]</f>
        <v>39.130434782608695</v>
      </c>
      <c r="M111" s="100">
        <f>Таблица224267[[#This Row],[Доход, 
грн/рейс]]-Таблица224267[[#This Row],[СС, 
грн/рейс]]</f>
        <v>100</v>
      </c>
      <c r="N111" s="24"/>
    </row>
    <row r="112" spans="1:15" ht="13.8" hidden="1" thickTop="1" x14ac:dyDescent="0.25">
      <c r="A112" s="124" t="s">
        <v>708</v>
      </c>
      <c r="B112" s="125" t="s">
        <v>526</v>
      </c>
      <c r="C112" s="126">
        <v>45627</v>
      </c>
      <c r="D112" s="161" t="s">
        <v>734</v>
      </c>
      <c r="E112" s="128" t="s">
        <v>127</v>
      </c>
      <c r="F112" s="129" t="s">
        <v>128</v>
      </c>
      <c r="G112" s="58">
        <v>2200</v>
      </c>
      <c r="H112" s="56">
        <v>45</v>
      </c>
      <c r="I112" s="60">
        <f>Таблица224267[[#This Row],[Стоимость, 
грн]]</f>
        <v>2200</v>
      </c>
      <c r="J112" s="99">
        <f>Таблица224267[[#This Row],[Доход, 
грн/рейс]]/Таблица224267[[#This Row],[Километраж, 
км]]</f>
        <v>48.888888888888886</v>
      </c>
      <c r="K112" s="12">
        <v>2000</v>
      </c>
      <c r="L112" s="99">
        <f>Таблица224267[[#This Row],[СС, 
грн/рейс]]/Таблица224267[[#This Row],[Километраж, 
км]]</f>
        <v>44.444444444444443</v>
      </c>
      <c r="M112" s="100">
        <f>Таблица224267[[#This Row],[Доход, 
грн/рейс]]-Таблица224267[[#This Row],[СС, 
грн/рейс]]</f>
        <v>200</v>
      </c>
      <c r="N112" s="24"/>
    </row>
    <row r="113" spans="1:15" ht="13.8" hidden="1" thickTop="1" x14ac:dyDescent="0.25">
      <c r="A113" s="14" t="s">
        <v>762</v>
      </c>
      <c r="B113" s="125" t="s">
        <v>526</v>
      </c>
      <c r="C113" s="178">
        <v>45658</v>
      </c>
      <c r="D113" s="179" t="s">
        <v>758</v>
      </c>
      <c r="E113" s="128" t="s">
        <v>127</v>
      </c>
      <c r="F113" s="129" t="s">
        <v>128</v>
      </c>
      <c r="G113" s="58">
        <v>1000</v>
      </c>
      <c r="H113" s="56">
        <v>24</v>
      </c>
      <c r="I113" s="60">
        <f>Таблица224267[[#This Row],[Стоимость, 
грн]]</f>
        <v>1000</v>
      </c>
      <c r="J113" s="99">
        <f>Таблица224267[[#This Row],[Доход, 
грн/рейс]]/Таблица224267[[#This Row],[Километраж, 
км]]</f>
        <v>41.666666666666664</v>
      </c>
      <c r="K113" s="12">
        <v>900</v>
      </c>
      <c r="L113" s="99">
        <f>Таблица224267[[#This Row],[СС, 
грн/рейс]]/Таблица224267[[#This Row],[Километраж, 
км]]</f>
        <v>37.5</v>
      </c>
      <c r="M113" s="100">
        <f>Таблица224267[[#This Row],[Доход, 
грн/рейс]]-Таблица224267[[#This Row],[СС, 
грн/рейс]]</f>
        <v>100</v>
      </c>
      <c r="N113" s="24"/>
    </row>
    <row r="114" spans="1:15" ht="13.8" hidden="1" thickTop="1" x14ac:dyDescent="0.25">
      <c r="A114" s="14" t="s">
        <v>762</v>
      </c>
      <c r="B114" s="125" t="s">
        <v>526</v>
      </c>
      <c r="C114" s="178">
        <v>45658</v>
      </c>
      <c r="D114" s="179" t="s">
        <v>763</v>
      </c>
      <c r="E114" s="128" t="s">
        <v>127</v>
      </c>
      <c r="F114" s="129" t="s">
        <v>128</v>
      </c>
      <c r="G114" s="58">
        <v>1000</v>
      </c>
      <c r="H114" s="56">
        <v>23</v>
      </c>
      <c r="I114" s="60">
        <f>Таблица224267[[#This Row],[Стоимость, 
грн]]</f>
        <v>1000</v>
      </c>
      <c r="J114" s="99">
        <f>Таблица224267[[#This Row],[Доход, 
грн/рейс]]/Таблица224267[[#This Row],[Километраж, 
км]]</f>
        <v>43.478260869565219</v>
      </c>
      <c r="K114" s="12">
        <v>900</v>
      </c>
      <c r="L114" s="99">
        <f>Таблица224267[[#This Row],[СС, 
грн/рейс]]/Таблица224267[[#This Row],[Километраж, 
км]]</f>
        <v>39.130434782608695</v>
      </c>
      <c r="M114" s="100">
        <f>Таблица224267[[#This Row],[Доход, 
грн/рейс]]-Таблица224267[[#This Row],[СС, 
грн/рейс]]</f>
        <v>100</v>
      </c>
      <c r="N114" s="24"/>
    </row>
    <row r="115" spans="1:15" ht="13.8" hidden="1" thickTop="1" x14ac:dyDescent="0.25">
      <c r="A115" s="14" t="s">
        <v>762</v>
      </c>
      <c r="B115" s="125" t="s">
        <v>526</v>
      </c>
      <c r="C115" s="178">
        <v>45658</v>
      </c>
      <c r="D115" s="179" t="s">
        <v>774</v>
      </c>
      <c r="E115" s="128" t="s">
        <v>127</v>
      </c>
      <c r="F115" s="129" t="s">
        <v>128</v>
      </c>
      <c r="G115" s="58">
        <v>1000</v>
      </c>
      <c r="H115" s="56">
        <v>21</v>
      </c>
      <c r="I115" s="60">
        <f>Таблица224267[[#This Row],[Стоимость, 
грн]]</f>
        <v>1000</v>
      </c>
      <c r="J115" s="99">
        <f>Таблица224267[[#This Row],[Доход, 
грн/рейс]]/Таблица224267[[#This Row],[Километраж, 
км]]</f>
        <v>47.61904761904762</v>
      </c>
      <c r="K115" s="12">
        <v>900</v>
      </c>
      <c r="L115" s="99">
        <f>Таблица224267[[#This Row],[СС, 
грн/рейс]]/Таблица224267[[#This Row],[Километраж, 
км]]</f>
        <v>42.857142857142854</v>
      </c>
      <c r="M115" s="100">
        <f>Таблица224267[[#This Row],[Доход, 
грн/рейс]]-Таблица224267[[#This Row],[СС, 
грн/рейс]]</f>
        <v>100</v>
      </c>
      <c r="N115" s="24"/>
    </row>
    <row r="116" spans="1:15" ht="13.8" hidden="1" thickTop="1" x14ac:dyDescent="0.25">
      <c r="A116" s="124" t="s">
        <v>708</v>
      </c>
      <c r="B116" s="125" t="s">
        <v>526</v>
      </c>
      <c r="C116" s="178">
        <v>45658</v>
      </c>
      <c r="D116" s="179" t="s">
        <v>792</v>
      </c>
      <c r="E116" s="128" t="s">
        <v>294</v>
      </c>
      <c r="F116" s="129" t="s">
        <v>633</v>
      </c>
      <c r="G116" s="58">
        <v>4150</v>
      </c>
      <c r="H116" s="56">
        <v>48</v>
      </c>
      <c r="I116" s="60">
        <f>Таблица224267[[#This Row],[Стоимость, 
грн]]</f>
        <v>4150</v>
      </c>
      <c r="J116" s="99">
        <f>Таблица224267[[#This Row],[Доход, 
грн/рейс]]/Таблица224267[[#This Row],[Километраж, 
км]]</f>
        <v>86.458333333333329</v>
      </c>
      <c r="K116" s="12">
        <v>3800</v>
      </c>
      <c r="L116" s="99">
        <f>Таблица224267[[#This Row],[СС, 
грн/рейс]]/Таблица224267[[#This Row],[Километраж, 
км]]</f>
        <v>79.166666666666671</v>
      </c>
      <c r="M116" s="100">
        <f>Таблица224267[[#This Row],[Доход, 
грн/рейс]]-Таблица224267[[#This Row],[СС, 
грн/рейс]]</f>
        <v>350</v>
      </c>
      <c r="N116" s="24"/>
    </row>
    <row r="117" spans="1:15" ht="13.8" hidden="1" thickTop="1" x14ac:dyDescent="0.25">
      <c r="A117" s="14" t="s">
        <v>797</v>
      </c>
      <c r="B117" s="125" t="s">
        <v>526</v>
      </c>
      <c r="C117" s="178">
        <v>45658</v>
      </c>
      <c r="D117" s="179" t="s">
        <v>796</v>
      </c>
      <c r="E117" s="128" t="s">
        <v>127</v>
      </c>
      <c r="F117" s="129" t="s">
        <v>128</v>
      </c>
      <c r="G117" s="58">
        <v>1000</v>
      </c>
      <c r="H117" s="56">
        <v>20</v>
      </c>
      <c r="I117" s="60">
        <f>Таблица224267[[#This Row],[Стоимость, 
грн]]</f>
        <v>1000</v>
      </c>
      <c r="J117" s="99">
        <f>Таблица224267[[#This Row],[Доход, 
грн/рейс]]/Таблица224267[[#This Row],[Километраж, 
км]]</f>
        <v>50</v>
      </c>
      <c r="K117" s="12">
        <v>900</v>
      </c>
      <c r="L117" s="99">
        <f>Таблица224267[[#This Row],[СС, 
грн/рейс]]/Таблица224267[[#This Row],[Километраж, 
км]]</f>
        <v>45</v>
      </c>
      <c r="M117" s="100">
        <f>Таблица224267[[#This Row],[Доход, 
грн/рейс]]-Таблица224267[[#This Row],[СС, 
грн/рейс]]</f>
        <v>100</v>
      </c>
      <c r="N117" s="24"/>
    </row>
    <row r="118" spans="1:15" ht="13.8" hidden="1" thickTop="1" x14ac:dyDescent="0.25">
      <c r="A118" s="14" t="s">
        <v>797</v>
      </c>
      <c r="B118" s="125" t="s">
        <v>526</v>
      </c>
      <c r="C118" s="178">
        <v>45658</v>
      </c>
      <c r="D118" s="179" t="s">
        <v>798</v>
      </c>
      <c r="E118" s="128" t="s">
        <v>127</v>
      </c>
      <c r="F118" s="129" t="s">
        <v>128</v>
      </c>
      <c r="G118" s="58">
        <v>3000</v>
      </c>
      <c r="H118" s="56">
        <v>68</v>
      </c>
      <c r="I118" s="60">
        <f>Таблица224267[[#This Row],[Стоимость, 
грн]]</f>
        <v>3000</v>
      </c>
      <c r="J118" s="99">
        <f>Таблица224267[[#This Row],[Доход, 
грн/рейс]]/Таблица224267[[#This Row],[Километраж, 
км]]</f>
        <v>44.117647058823529</v>
      </c>
      <c r="K118" s="12">
        <v>2700</v>
      </c>
      <c r="L118" s="99">
        <f>Таблица224267[[#This Row],[СС, 
грн/рейс]]/Таблица224267[[#This Row],[Километраж, 
км]]</f>
        <v>39.705882352941174</v>
      </c>
      <c r="M118" s="100">
        <f>Таблица224267[[#This Row],[Доход, 
грн/рейс]]-Таблица224267[[#This Row],[СС, 
грн/рейс]]</f>
        <v>300</v>
      </c>
      <c r="N118" s="24"/>
    </row>
    <row r="119" spans="1:15" ht="13.8" hidden="1" thickTop="1" x14ac:dyDescent="0.25">
      <c r="A119" s="124" t="s">
        <v>708</v>
      </c>
      <c r="B119" s="125" t="s">
        <v>526</v>
      </c>
      <c r="C119" s="178">
        <v>45658</v>
      </c>
      <c r="D119" s="179" t="s">
        <v>798</v>
      </c>
      <c r="E119" s="128" t="s">
        <v>294</v>
      </c>
      <c r="F119" s="129" t="s">
        <v>633</v>
      </c>
      <c r="G119" s="163">
        <v>5060</v>
      </c>
      <c r="H119" s="164">
        <v>62</v>
      </c>
      <c r="I119" s="164">
        <f>Таблица224267[[#This Row],[Стоимость, 
грн]]</f>
        <v>5060</v>
      </c>
      <c r="J119" s="99">
        <f>Таблица224267[[#This Row],[Доход, 
грн/рейс]]/Таблица224267[[#This Row],[Километраж, 
км]]</f>
        <v>81.612903225806448</v>
      </c>
      <c r="K119" s="165">
        <v>4600</v>
      </c>
      <c r="L119" s="99">
        <f>Таблица224267[[#This Row],[СС, 
грн/рейс]]/Таблица224267[[#This Row],[Километраж, 
км]]</f>
        <v>74.193548387096769</v>
      </c>
      <c r="M119" s="100">
        <f>Таблица224267[[#This Row],[Доход, 
грн/рейс]]-Таблица224267[[#This Row],[СС, 
грн/рейс]]</f>
        <v>460</v>
      </c>
      <c r="N119" s="162"/>
      <c r="O119" s="177"/>
    </row>
    <row r="120" spans="1:15" ht="13.8" hidden="1" thickTop="1" x14ac:dyDescent="0.25">
      <c r="A120" s="14" t="s">
        <v>762</v>
      </c>
      <c r="B120" s="125" t="s">
        <v>526</v>
      </c>
      <c r="C120" s="178">
        <v>45658</v>
      </c>
      <c r="D120" s="179" t="s">
        <v>799</v>
      </c>
      <c r="E120" s="128" t="s">
        <v>127</v>
      </c>
      <c r="F120" s="129" t="s">
        <v>128</v>
      </c>
      <c r="G120" s="58">
        <v>1000</v>
      </c>
      <c r="H120" s="56">
        <v>23</v>
      </c>
      <c r="I120" s="60">
        <f>Таблица224267[[#This Row],[Стоимость, 
грн]]</f>
        <v>1000</v>
      </c>
      <c r="J120" s="99">
        <f>Таблица224267[[#This Row],[Доход, 
грн/рейс]]/Таблица224267[[#This Row],[Километраж, 
км]]</f>
        <v>43.478260869565219</v>
      </c>
      <c r="K120" s="12">
        <v>900</v>
      </c>
      <c r="L120" s="99">
        <f>Таблица224267[[#This Row],[СС, 
грн/рейс]]/Таблица224267[[#This Row],[Километраж, 
км]]</f>
        <v>39.130434782608695</v>
      </c>
      <c r="M120" s="100">
        <f>Таблица224267[[#This Row],[Доход, 
грн/рейс]]-Таблица224267[[#This Row],[СС, 
грн/рейс]]</f>
        <v>100</v>
      </c>
      <c r="N120" s="24"/>
    </row>
    <row r="121" spans="1:15" ht="13.8" hidden="1" thickTop="1" x14ac:dyDescent="0.25">
      <c r="A121" s="14" t="s">
        <v>762</v>
      </c>
      <c r="B121" s="125" t="s">
        <v>526</v>
      </c>
      <c r="C121" s="178">
        <v>45658</v>
      </c>
      <c r="D121" s="179" t="s">
        <v>815</v>
      </c>
      <c r="E121" s="128" t="s">
        <v>127</v>
      </c>
      <c r="F121" s="129" t="s">
        <v>128</v>
      </c>
      <c r="G121" s="58">
        <v>1000</v>
      </c>
      <c r="H121" s="56">
        <v>21</v>
      </c>
      <c r="I121" s="60">
        <f>Таблица224267[[#This Row],[Стоимость, 
грн]]</f>
        <v>1000</v>
      </c>
      <c r="J121" s="99">
        <f>Таблица224267[[#This Row],[Доход, 
грн/рейс]]/Таблица224267[[#This Row],[Километраж, 
км]]</f>
        <v>47.61904761904762</v>
      </c>
      <c r="K121" s="12">
        <v>900</v>
      </c>
      <c r="L121" s="99">
        <f>Таблица224267[[#This Row],[СС, 
грн/рейс]]/Таблица224267[[#This Row],[Километраж, 
км]]</f>
        <v>42.857142857142854</v>
      </c>
      <c r="M121" s="100">
        <f>Таблица224267[[#This Row],[Доход, 
грн/рейс]]-Таблица224267[[#This Row],[СС, 
грн/рейс]]</f>
        <v>100</v>
      </c>
      <c r="N121" s="24"/>
    </row>
    <row r="122" spans="1:15" ht="13.8" hidden="1" thickTop="1" x14ac:dyDescent="0.25">
      <c r="A122" s="14" t="s">
        <v>762</v>
      </c>
      <c r="B122" s="125" t="s">
        <v>526</v>
      </c>
      <c r="C122" s="178">
        <v>45658</v>
      </c>
      <c r="D122" s="179" t="s">
        <v>816</v>
      </c>
      <c r="E122" s="128" t="s">
        <v>127</v>
      </c>
      <c r="F122" s="129" t="s">
        <v>128</v>
      </c>
      <c r="G122" s="58">
        <v>1000</v>
      </c>
      <c r="H122" s="56">
        <v>22</v>
      </c>
      <c r="I122" s="60">
        <f>Таблица224267[[#This Row],[Стоимость, 
грн]]</f>
        <v>1000</v>
      </c>
      <c r="J122" s="99">
        <f>Таблица224267[[#This Row],[Доход, 
грн/рейс]]/Таблица224267[[#This Row],[Километраж, 
км]]</f>
        <v>45.454545454545453</v>
      </c>
      <c r="K122" s="12">
        <v>900</v>
      </c>
      <c r="L122" s="99">
        <f>Таблица224267[[#This Row],[СС, 
грн/рейс]]/Таблица224267[[#This Row],[Километраж, 
км]]</f>
        <v>40.909090909090907</v>
      </c>
      <c r="M122" s="100">
        <f>Таблица224267[[#This Row],[Доход, 
грн/рейс]]-Таблица224267[[#This Row],[СС, 
грн/рейс]]</f>
        <v>100</v>
      </c>
      <c r="N122" s="24"/>
    </row>
    <row r="123" spans="1:15" ht="13.8" hidden="1" thickTop="1" x14ac:dyDescent="0.25">
      <c r="A123" s="14" t="s">
        <v>762</v>
      </c>
      <c r="B123" s="125" t="s">
        <v>526</v>
      </c>
      <c r="C123" s="183">
        <v>45689</v>
      </c>
      <c r="D123" s="186" t="s">
        <v>817</v>
      </c>
      <c r="E123" s="128" t="s">
        <v>127</v>
      </c>
      <c r="F123" s="129" t="s">
        <v>128</v>
      </c>
      <c r="G123" s="58">
        <v>1100</v>
      </c>
      <c r="H123" s="56">
        <v>29</v>
      </c>
      <c r="I123" s="60">
        <f>Таблица224267[[#This Row],[Стоимость, 
грн]]</f>
        <v>1100</v>
      </c>
      <c r="J123" s="99">
        <f>Таблица224267[[#This Row],[Доход, 
грн/рейс]]/Таблица224267[[#This Row],[Километраж, 
км]]</f>
        <v>37.931034482758619</v>
      </c>
      <c r="K123" s="12">
        <v>1000</v>
      </c>
      <c r="L123" s="99">
        <f>Таблица224267[[#This Row],[СС, 
грн/рейс]]/Таблица224267[[#This Row],[Километраж, 
км]]</f>
        <v>34.482758620689658</v>
      </c>
      <c r="M123" s="100">
        <f>Таблица224267[[#This Row],[Доход, 
грн/рейс]]-Таблица224267[[#This Row],[СС, 
грн/рейс]]</f>
        <v>100</v>
      </c>
      <c r="N123" s="24"/>
    </row>
    <row r="124" spans="1:15" ht="13.8" hidden="1" thickTop="1" x14ac:dyDescent="0.25">
      <c r="A124" s="14" t="s">
        <v>310</v>
      </c>
      <c r="B124" s="125" t="s">
        <v>526</v>
      </c>
      <c r="C124" s="183">
        <v>45689</v>
      </c>
      <c r="D124" s="186" t="s">
        <v>818</v>
      </c>
      <c r="E124" s="128" t="s">
        <v>127</v>
      </c>
      <c r="F124" s="129" t="s">
        <v>128</v>
      </c>
      <c r="G124" s="58">
        <v>1000</v>
      </c>
      <c r="H124" s="56">
        <v>20</v>
      </c>
      <c r="I124" s="60">
        <f>Таблица224267[[#This Row],[Стоимость, 
грн]]</f>
        <v>1000</v>
      </c>
      <c r="J124" s="99">
        <f>Таблица224267[[#This Row],[Доход, 
грн/рейс]]/Таблица224267[[#This Row],[Километраж, 
км]]</f>
        <v>50</v>
      </c>
      <c r="K124" s="12">
        <v>900</v>
      </c>
      <c r="L124" s="99">
        <f>Таблица224267[[#This Row],[СС, 
грн/рейс]]/Таблица224267[[#This Row],[Километраж, 
км]]</f>
        <v>45</v>
      </c>
      <c r="M124" s="100">
        <f>Таблица224267[[#This Row],[Доход, 
грн/рейс]]-Таблица224267[[#This Row],[СС, 
грн/рейс]]</f>
        <v>100</v>
      </c>
      <c r="N124" s="24"/>
    </row>
    <row r="125" spans="1:15" ht="13.8" hidden="1" thickTop="1" x14ac:dyDescent="0.25">
      <c r="A125" s="14" t="s">
        <v>762</v>
      </c>
      <c r="B125" s="125" t="s">
        <v>526</v>
      </c>
      <c r="C125" s="183">
        <v>45689</v>
      </c>
      <c r="D125" s="186" t="s">
        <v>827</v>
      </c>
      <c r="E125" s="128" t="s">
        <v>127</v>
      </c>
      <c r="F125" s="129" t="s">
        <v>128</v>
      </c>
      <c r="G125" s="58">
        <v>2000</v>
      </c>
      <c r="H125" s="56">
        <v>41</v>
      </c>
      <c r="I125" s="60">
        <f>Таблица224267[[#This Row],[Стоимость, 
грн]]</f>
        <v>2000</v>
      </c>
      <c r="J125" s="99">
        <f>Таблица224267[[#This Row],[Доход, 
грн/рейс]]/Таблица224267[[#This Row],[Километраж, 
км]]</f>
        <v>48.780487804878049</v>
      </c>
      <c r="K125" s="12">
        <v>1800</v>
      </c>
      <c r="L125" s="99">
        <f>Таблица224267[[#This Row],[СС, 
грн/рейс]]/Таблица224267[[#This Row],[Километраж, 
км]]</f>
        <v>43.902439024390247</v>
      </c>
      <c r="M125" s="100">
        <f>Таблица224267[[#This Row],[Доход, 
грн/рейс]]-Таблица224267[[#This Row],[СС, 
грн/рейс]]</f>
        <v>200</v>
      </c>
      <c r="N125" s="24"/>
    </row>
    <row r="126" spans="1:15" ht="13.8" hidden="1" thickTop="1" x14ac:dyDescent="0.25">
      <c r="A126" s="14" t="s">
        <v>821</v>
      </c>
      <c r="B126" s="125" t="s">
        <v>526</v>
      </c>
      <c r="C126" s="183">
        <v>45689</v>
      </c>
      <c r="D126" s="186" t="s">
        <v>826</v>
      </c>
      <c r="E126" s="128" t="s">
        <v>127</v>
      </c>
      <c r="F126" s="158" t="s">
        <v>828</v>
      </c>
      <c r="G126" s="58">
        <v>3700</v>
      </c>
      <c r="H126" s="56">
        <v>59</v>
      </c>
      <c r="I126" s="60">
        <f>Таблица224267[[#This Row],[Стоимость, 
грн]]</f>
        <v>3700</v>
      </c>
      <c r="J126" s="99">
        <f>Таблица224267[[#This Row],[Доход, 
грн/рейс]]/Таблица224267[[#This Row],[Километраж, 
км]]</f>
        <v>62.711864406779661</v>
      </c>
      <c r="K126" s="12">
        <v>3400</v>
      </c>
      <c r="L126" s="99">
        <f>Таблица224267[[#This Row],[СС, 
грн/рейс]]/Таблица224267[[#This Row],[Километраж, 
км]]</f>
        <v>57.627118644067799</v>
      </c>
      <c r="M126" s="100">
        <f>Таблица224267[[#This Row],[Доход, 
грн/рейс]]-Таблица224267[[#This Row],[СС, 
грн/рейс]]</f>
        <v>300</v>
      </c>
      <c r="N126" s="24"/>
    </row>
    <row r="127" spans="1:15" ht="13.8" hidden="1" thickTop="1" x14ac:dyDescent="0.25">
      <c r="A127" s="14" t="s">
        <v>754</v>
      </c>
      <c r="B127" s="125" t="s">
        <v>526</v>
      </c>
      <c r="C127" s="183">
        <v>45689</v>
      </c>
      <c r="D127" s="186" t="s">
        <v>829</v>
      </c>
      <c r="E127" s="128" t="s">
        <v>127</v>
      </c>
      <c r="F127" s="129" t="s">
        <v>128</v>
      </c>
      <c r="G127" s="58">
        <v>1000</v>
      </c>
      <c r="H127" s="56">
        <v>22</v>
      </c>
      <c r="I127" s="60">
        <f>Таблица224267[[#This Row],[Стоимость, 
грн]]</f>
        <v>1000</v>
      </c>
      <c r="J127" s="99">
        <f>Таблица224267[[#This Row],[Доход, 
грн/рейс]]/Таблица224267[[#This Row],[Километраж, 
км]]</f>
        <v>45.454545454545453</v>
      </c>
      <c r="K127" s="12">
        <v>900</v>
      </c>
      <c r="L127" s="99">
        <f>Таблица224267[[#This Row],[СС, 
грн/рейс]]/Таблица224267[[#This Row],[Километраж, 
км]]</f>
        <v>40.909090909090907</v>
      </c>
      <c r="M127" s="100">
        <f>Таблица224267[[#This Row],[Доход, 
грн/рейс]]-Таблица224267[[#This Row],[СС, 
грн/рейс]]</f>
        <v>100</v>
      </c>
      <c r="N127" s="24"/>
    </row>
    <row r="128" spans="1:15" ht="13.8" hidden="1" thickTop="1" x14ac:dyDescent="0.25">
      <c r="A128" s="14" t="s">
        <v>836</v>
      </c>
      <c r="B128" s="125" t="s">
        <v>526</v>
      </c>
      <c r="C128" s="183">
        <v>45689</v>
      </c>
      <c r="D128" s="186" t="s">
        <v>835</v>
      </c>
      <c r="E128" s="128" t="s">
        <v>127</v>
      </c>
      <c r="F128" s="129" t="s">
        <v>128</v>
      </c>
      <c r="G128" s="58">
        <v>1100</v>
      </c>
      <c r="H128" s="56">
        <v>24</v>
      </c>
      <c r="I128" s="60">
        <f>Таблица224267[[#This Row],[Стоимость, 
грн]]</f>
        <v>1100</v>
      </c>
      <c r="J128" s="99">
        <f>Таблица224267[[#This Row],[Доход, 
грн/рейс]]/Таблица224267[[#This Row],[Километраж, 
км]]</f>
        <v>45.833333333333336</v>
      </c>
      <c r="K128" s="12">
        <v>1000</v>
      </c>
      <c r="L128" s="99">
        <f>Таблица224267[[#This Row],[СС, 
грн/рейс]]/Таблица224267[[#This Row],[Километраж, 
км]]</f>
        <v>41.666666666666664</v>
      </c>
      <c r="M128" s="100">
        <f>Таблица224267[[#This Row],[Доход, 
грн/рейс]]-Таблица224267[[#This Row],[СС, 
грн/рейс]]</f>
        <v>100</v>
      </c>
      <c r="N128" s="24"/>
    </row>
    <row r="129" spans="1:14" ht="13.8" thickTop="1" x14ac:dyDescent="0.25">
      <c r="A129" s="14" t="s">
        <v>845</v>
      </c>
      <c r="B129" s="125" t="s">
        <v>526</v>
      </c>
      <c r="C129" s="194">
        <v>45717</v>
      </c>
      <c r="D129" s="195" t="s">
        <v>844</v>
      </c>
      <c r="E129" s="128" t="s">
        <v>127</v>
      </c>
      <c r="F129" s="129" t="s">
        <v>128</v>
      </c>
      <c r="G129" s="58">
        <v>5950</v>
      </c>
      <c r="H129" s="56">
        <v>122</v>
      </c>
      <c r="I129" s="60">
        <f>Таблица224267[[#This Row],[Стоимость, 
грн]]</f>
        <v>5950</v>
      </c>
      <c r="J129" s="99">
        <f>Таблица224267[[#This Row],[Доход, 
грн/рейс]]/Таблица224267[[#This Row],[Километраж, 
км]]</f>
        <v>48.770491803278688</v>
      </c>
      <c r="K129" s="12">
        <v>5400</v>
      </c>
      <c r="L129" s="99">
        <f>Таблица224267[[#This Row],[СС, 
грн/рейс]]/Таблица224267[[#This Row],[Километраж, 
км]]</f>
        <v>44.26229508196721</v>
      </c>
      <c r="M129" s="100">
        <f>Таблица224267[[#This Row],[Доход, 
грн/рейс]]-Таблица224267[[#This Row],[СС, 
грн/рейс]]</f>
        <v>550</v>
      </c>
      <c r="N129" s="24"/>
    </row>
    <row r="130" spans="1:14" ht="13.2" x14ac:dyDescent="0.25">
      <c r="A130" s="14" t="s">
        <v>845</v>
      </c>
      <c r="B130" s="125" t="s">
        <v>526</v>
      </c>
      <c r="C130" s="194">
        <v>45717</v>
      </c>
      <c r="D130" s="195" t="s">
        <v>846</v>
      </c>
      <c r="E130" s="128" t="s">
        <v>127</v>
      </c>
      <c r="F130" s="129" t="s">
        <v>128</v>
      </c>
      <c r="G130" s="58">
        <v>4000</v>
      </c>
      <c r="H130" s="56">
        <v>99</v>
      </c>
      <c r="I130" s="60">
        <f>Таблица224267[[#This Row],[Стоимость, 
грн]]</f>
        <v>4000</v>
      </c>
      <c r="J130" s="99">
        <f>Таблица224267[[#This Row],[Доход, 
грн/рейс]]/Таблица224267[[#This Row],[Километраж, 
км]]</f>
        <v>40.404040404040401</v>
      </c>
      <c r="K130" s="12">
        <v>3600</v>
      </c>
      <c r="L130" s="99">
        <f>Таблица224267[[#This Row],[СС, 
грн/рейс]]/Таблица224267[[#This Row],[Километраж, 
км]]</f>
        <v>36.363636363636367</v>
      </c>
      <c r="M130" s="100">
        <f>Таблица224267[[#This Row],[Доход, 
грн/рейс]]-Таблица224267[[#This Row],[СС, 
грн/рейс]]</f>
        <v>400</v>
      </c>
      <c r="N130" s="24"/>
    </row>
    <row r="131" spans="1:14" ht="13.2" x14ac:dyDescent="0.25">
      <c r="A131" s="14" t="s">
        <v>845</v>
      </c>
      <c r="B131" s="125" t="s">
        <v>526</v>
      </c>
      <c r="C131" s="194">
        <v>45717</v>
      </c>
      <c r="D131" s="195" t="s">
        <v>846</v>
      </c>
      <c r="E131" s="128" t="s">
        <v>651</v>
      </c>
      <c r="F131" s="216" t="s">
        <v>848</v>
      </c>
      <c r="G131" s="58">
        <v>1650</v>
      </c>
      <c r="H131" s="56">
        <v>68</v>
      </c>
      <c r="I131" s="60">
        <f>Таблица224267[[#This Row],[Стоимость, 
грн]]</f>
        <v>1650</v>
      </c>
      <c r="J131" s="99">
        <f>Таблица224267[[#This Row],[Доход, 
грн/рейс]]/Таблица224267[[#This Row],[Километраж, 
км]]</f>
        <v>24.264705882352942</v>
      </c>
      <c r="K131" s="12">
        <v>1500</v>
      </c>
      <c r="L131" s="99">
        <f>Таблица224267[[#This Row],[СС, 
грн/рейс]]/Таблица224267[[#This Row],[Километраж, 
км]]</f>
        <v>22.058823529411764</v>
      </c>
      <c r="M131" s="100">
        <f>Таблица224267[[#This Row],[Доход, 
грн/рейс]]-Таблица224267[[#This Row],[СС, 
грн/рейс]]</f>
        <v>150</v>
      </c>
      <c r="N131" s="24"/>
    </row>
    <row r="132" spans="1:14" x14ac:dyDescent="0.25">
      <c r="A132" s="14" t="s">
        <v>855</v>
      </c>
      <c r="B132" s="125" t="s">
        <v>526</v>
      </c>
      <c r="C132" s="194">
        <v>45717</v>
      </c>
      <c r="D132" s="195" t="s">
        <v>856</v>
      </c>
      <c r="E132" s="128" t="s">
        <v>127</v>
      </c>
      <c r="F132" s="217" t="s">
        <v>854</v>
      </c>
      <c r="G132" s="215">
        <v>1000</v>
      </c>
      <c r="H132" s="56">
        <v>24</v>
      </c>
      <c r="I132" s="60">
        <f>Таблица224267[[#This Row],[Стоимость, 
грн]]</f>
        <v>1000</v>
      </c>
      <c r="J132" s="99">
        <f>Таблица224267[[#This Row],[Доход, 
грн/рейс]]/Таблица224267[[#This Row],[Километраж, 
км]]</f>
        <v>41.666666666666664</v>
      </c>
      <c r="K132" s="12">
        <v>900</v>
      </c>
      <c r="L132" s="99">
        <f>Таблица224267[[#This Row],[СС, 
грн/рейс]]/Таблица224267[[#This Row],[Километраж, 
км]]</f>
        <v>37.5</v>
      </c>
      <c r="M132" s="100">
        <f>Таблица224267[[#This Row],[Доход, 
грн/рейс]]-Таблица224267[[#This Row],[СС, 
грн/рейс]]</f>
        <v>100</v>
      </c>
      <c r="N132" s="24"/>
    </row>
    <row r="133" spans="1:14" x14ac:dyDescent="0.25">
      <c r="A133" s="14" t="s">
        <v>855</v>
      </c>
      <c r="B133" s="125" t="s">
        <v>526</v>
      </c>
      <c r="C133" s="194">
        <v>45717</v>
      </c>
      <c r="D133" s="195" t="s">
        <v>852</v>
      </c>
      <c r="E133" s="128" t="s">
        <v>127</v>
      </c>
      <c r="F133" s="218" t="s">
        <v>854</v>
      </c>
      <c r="G133" s="215">
        <v>1000</v>
      </c>
      <c r="H133" s="56">
        <v>24</v>
      </c>
      <c r="I133" s="60">
        <f>Таблица224267[[#This Row],[Стоимость, 
грн]]</f>
        <v>1000</v>
      </c>
      <c r="J133" s="99">
        <f>Таблица224267[[#This Row],[Доход, 
грн/рейс]]/Таблица224267[[#This Row],[Километраж, 
км]]</f>
        <v>41.666666666666664</v>
      </c>
      <c r="K133" s="12">
        <v>900</v>
      </c>
      <c r="L133" s="99">
        <f>Таблица224267[[#This Row],[СС, 
грн/рейс]]/Таблица224267[[#This Row],[Километраж, 
км]]</f>
        <v>37.5</v>
      </c>
      <c r="M133" s="100">
        <f>Таблица224267[[#This Row],[Доход, 
грн/рейс]]-Таблица224267[[#This Row],[СС, 
грн/рейс]]</f>
        <v>100</v>
      </c>
      <c r="N133" s="24"/>
    </row>
    <row r="134" spans="1:14" ht="13.2" x14ac:dyDescent="0.25">
      <c r="A134" s="14" t="s">
        <v>845</v>
      </c>
      <c r="B134" s="125" t="s">
        <v>526</v>
      </c>
      <c r="C134" s="194">
        <v>45717</v>
      </c>
      <c r="D134" s="195" t="s">
        <v>857</v>
      </c>
      <c r="E134" s="128" t="s">
        <v>127</v>
      </c>
      <c r="F134" s="129" t="s">
        <v>128</v>
      </c>
      <c r="G134" s="58">
        <v>1000</v>
      </c>
      <c r="H134" s="56">
        <v>23</v>
      </c>
      <c r="I134" s="60">
        <f>Таблица224267[[#This Row],[Стоимость, 
грн]]</f>
        <v>1000</v>
      </c>
      <c r="J134" s="99">
        <f>Таблица224267[[#This Row],[Доход, 
грн/рейс]]/Таблица224267[[#This Row],[Километраж, 
км]]</f>
        <v>43.478260869565219</v>
      </c>
      <c r="K134" s="12">
        <v>900</v>
      </c>
      <c r="L134" s="99">
        <f>Таблица224267[[#This Row],[СС, 
грн/рейс]]/Таблица224267[[#This Row],[Километраж, 
км]]</f>
        <v>39.130434782608695</v>
      </c>
      <c r="M134" s="100">
        <f>Таблица224267[[#This Row],[Доход, 
грн/рейс]]-Таблица224267[[#This Row],[СС, 
грн/рейс]]</f>
        <v>100</v>
      </c>
      <c r="N134" s="24"/>
    </row>
    <row r="135" spans="1:14" x14ac:dyDescent="0.25">
      <c r="A135" s="14" t="s">
        <v>845</v>
      </c>
      <c r="B135" s="125" t="s">
        <v>526</v>
      </c>
      <c r="C135" s="194">
        <v>45717</v>
      </c>
      <c r="D135" s="195" t="s">
        <v>858</v>
      </c>
      <c r="E135" s="128" t="s">
        <v>127</v>
      </c>
      <c r="F135" s="218" t="s">
        <v>860</v>
      </c>
      <c r="G135" s="58">
        <v>1000</v>
      </c>
      <c r="H135" s="56">
        <v>24</v>
      </c>
      <c r="I135" s="60">
        <f>Таблица224267[[#This Row],[Стоимость, 
грн]]</f>
        <v>1000</v>
      </c>
      <c r="J135" s="99">
        <f>Таблица224267[[#This Row],[Доход, 
грн/рейс]]/Таблица224267[[#This Row],[Километраж, 
км]]</f>
        <v>41.666666666666664</v>
      </c>
      <c r="K135" s="12">
        <v>900</v>
      </c>
      <c r="L135" s="99">
        <f>Таблица224267[[#This Row],[СС, 
грн/рейс]]/Таблица224267[[#This Row],[Километраж, 
км]]</f>
        <v>37.5</v>
      </c>
      <c r="M135" s="100">
        <f>Таблица224267[[#This Row],[Доход, 
грн/рейс]]-Таблица224267[[#This Row],[СС, 
грн/рейс]]</f>
        <v>100</v>
      </c>
      <c r="N135" s="24"/>
    </row>
    <row r="136" spans="1:14" ht="28.8" x14ac:dyDescent="0.25">
      <c r="A136" s="14" t="s">
        <v>845</v>
      </c>
      <c r="B136" s="125" t="s">
        <v>526</v>
      </c>
      <c r="C136" s="194">
        <v>45717</v>
      </c>
      <c r="D136" s="195" t="s">
        <v>859</v>
      </c>
      <c r="E136" s="128" t="s">
        <v>127</v>
      </c>
      <c r="F136" s="220" t="s">
        <v>867</v>
      </c>
      <c r="G136" s="58">
        <v>2000</v>
      </c>
      <c r="H136" s="56">
        <v>45</v>
      </c>
      <c r="I136" s="60">
        <f>Таблица224267[[#This Row],[Стоимость, 
грн]]</f>
        <v>2000</v>
      </c>
      <c r="J136" s="99">
        <f>Таблица224267[[#This Row],[Доход, 
грн/рейс]]/Таблица224267[[#This Row],[Километраж, 
км]]</f>
        <v>44.444444444444443</v>
      </c>
      <c r="K136" s="12">
        <v>1800</v>
      </c>
      <c r="L136" s="99">
        <f>Таблица224267[[#This Row],[СС, 
грн/рейс]]/Таблица224267[[#This Row],[Километраж, 
км]]</f>
        <v>40</v>
      </c>
      <c r="M136" s="100">
        <f>Таблица224267[[#This Row],[Доход, 
грн/рейс]]-Таблица224267[[#This Row],[СС, 
грн/рейс]]</f>
        <v>200</v>
      </c>
      <c r="N136" s="24"/>
    </row>
    <row r="137" spans="1:14" ht="26.4" x14ac:dyDescent="0.25">
      <c r="A137" s="14" t="s">
        <v>845</v>
      </c>
      <c r="B137" s="125" t="s">
        <v>526</v>
      </c>
      <c r="C137" s="194">
        <v>45717</v>
      </c>
      <c r="D137" s="195" t="s">
        <v>863</v>
      </c>
      <c r="E137" s="128" t="s">
        <v>127</v>
      </c>
      <c r="F137" s="219" t="s">
        <v>862</v>
      </c>
      <c r="G137" s="58">
        <v>3000</v>
      </c>
      <c r="H137" s="56">
        <v>70</v>
      </c>
      <c r="I137" s="60">
        <f>Таблица224267[[#This Row],[Стоимость, 
грн]]</f>
        <v>3000</v>
      </c>
      <c r="J137" s="99">
        <f>Таблица224267[[#This Row],[Доход, 
грн/рейс]]/Таблица224267[[#This Row],[Километраж, 
км]]</f>
        <v>42.857142857142854</v>
      </c>
      <c r="K137" s="12">
        <v>2700</v>
      </c>
      <c r="L137" s="99">
        <f>Таблица224267[[#This Row],[СС, 
грн/рейс]]/Таблица224267[[#This Row],[Километраж, 
км]]</f>
        <v>38.571428571428569</v>
      </c>
      <c r="M137" s="100">
        <f>Таблица224267[[#This Row],[Доход, 
грн/рейс]]-Таблица224267[[#This Row],[СС, 
грн/рейс]]</f>
        <v>300</v>
      </c>
      <c r="N137" s="24"/>
    </row>
    <row r="138" spans="1:14" ht="26.4" x14ac:dyDescent="0.25">
      <c r="A138" s="14" t="s">
        <v>845</v>
      </c>
      <c r="B138" s="125" t="s">
        <v>526</v>
      </c>
      <c r="C138" s="194">
        <v>45717</v>
      </c>
      <c r="D138" s="195" t="s">
        <v>865</v>
      </c>
      <c r="E138" s="128" t="s">
        <v>127</v>
      </c>
      <c r="F138" s="219" t="s">
        <v>866</v>
      </c>
      <c r="G138" s="58">
        <v>3000</v>
      </c>
      <c r="H138" s="56">
        <v>72</v>
      </c>
      <c r="I138" s="60">
        <f>Таблица224267[[#This Row],[Стоимость, 
грн]]</f>
        <v>3000</v>
      </c>
      <c r="J138" s="99">
        <f>Таблица224267[[#This Row],[Доход, 
грн/рейс]]/Таблица224267[[#This Row],[Километраж, 
км]]</f>
        <v>41.666666666666664</v>
      </c>
      <c r="K138" s="12">
        <v>2700</v>
      </c>
      <c r="L138" s="99">
        <f>Таблица224267[[#This Row],[СС, 
грн/рейс]]/Таблица224267[[#This Row],[Километраж, 
км]]</f>
        <v>37.5</v>
      </c>
      <c r="M138" s="100">
        <f>Таблица224267[[#This Row],[Доход, 
грн/рейс]]-Таблица224267[[#This Row],[СС, 
грн/рейс]]</f>
        <v>300</v>
      </c>
      <c r="N138" s="24"/>
    </row>
    <row r="139" spans="1:14" ht="13.2" hidden="1" x14ac:dyDescent="0.25">
      <c r="A139" s="124"/>
      <c r="B139" s="125"/>
      <c r="C139" s="126"/>
      <c r="D139" s="127"/>
      <c r="E139" s="128"/>
      <c r="F139" s="129"/>
      <c r="G139" s="58"/>
      <c r="H139" s="56"/>
      <c r="I139" s="60">
        <f>Таблица224267[[#This Row],[Стоимость, 
грн]]</f>
        <v>0</v>
      </c>
      <c r="J139" s="99" t="e">
        <f>Таблица224267[[#This Row],[Доход, 
грн/рейс]]/Таблица224267[[#This Row],[Километраж, 
км]]</f>
        <v>#DIV/0!</v>
      </c>
      <c r="K139" s="12"/>
      <c r="L139" s="99" t="e">
        <f>Таблица224267[[#This Row],[СС, 
грн/рейс]]/Таблица224267[[#This Row],[Километраж, 
км]]</f>
        <v>#DIV/0!</v>
      </c>
      <c r="M139" s="100">
        <f>Таблица224267[[#This Row],[Доход, 
грн/рейс]]-Таблица224267[[#This Row],[СС, 
грн/рейс]]</f>
        <v>0</v>
      </c>
      <c r="N139" s="24"/>
    </row>
    <row r="140" spans="1:14" ht="13.2" hidden="1" x14ac:dyDescent="0.25">
      <c r="A140" s="124"/>
      <c r="B140" s="125"/>
      <c r="C140" s="126"/>
      <c r="D140" s="127"/>
      <c r="E140" s="128"/>
      <c r="F140" s="129"/>
      <c r="G140" s="58"/>
      <c r="H140" s="56"/>
      <c r="I140" s="60">
        <f>Таблица224267[[#This Row],[Стоимость, 
грн]]</f>
        <v>0</v>
      </c>
      <c r="J140" s="99" t="e">
        <f>Таблица224267[[#This Row],[Доход, 
грн/рейс]]/Таблица224267[[#This Row],[Километраж, 
км]]</f>
        <v>#DIV/0!</v>
      </c>
      <c r="K140" s="12"/>
      <c r="L140" s="99" t="e">
        <f>Таблица224267[[#This Row],[СС, 
грн/рейс]]/Таблица224267[[#This Row],[Километраж, 
км]]</f>
        <v>#DIV/0!</v>
      </c>
      <c r="M140" s="100">
        <f>Таблица224267[[#This Row],[Доход, 
грн/рейс]]-Таблица224267[[#This Row],[СС, 
грн/рейс]]</f>
        <v>0</v>
      </c>
      <c r="N140" s="24"/>
    </row>
    <row r="141" spans="1:14" ht="13.2" hidden="1" x14ac:dyDescent="0.25">
      <c r="A141" s="124"/>
      <c r="B141" s="125"/>
      <c r="C141" s="126"/>
      <c r="D141" s="127"/>
      <c r="E141" s="128"/>
      <c r="F141" s="129"/>
      <c r="G141" s="58"/>
      <c r="H141" s="56"/>
      <c r="I141" s="60">
        <f>Таблица224267[[#This Row],[Стоимость, 
грн]]</f>
        <v>0</v>
      </c>
      <c r="J141" s="99" t="e">
        <f>Таблица224267[[#This Row],[Доход, 
грн/рейс]]/Таблица224267[[#This Row],[Километраж, 
км]]</f>
        <v>#DIV/0!</v>
      </c>
      <c r="K141" s="12"/>
      <c r="L141" s="99" t="e">
        <f>Таблица224267[[#This Row],[СС, 
грн/рейс]]/Таблица224267[[#This Row],[Километраж, 
км]]</f>
        <v>#DIV/0!</v>
      </c>
      <c r="M141" s="100">
        <f>Таблица224267[[#This Row],[Доход, 
грн/рейс]]-Таблица224267[[#This Row],[СС, 
грн/рейс]]</f>
        <v>0</v>
      </c>
      <c r="N141" s="24"/>
    </row>
    <row r="142" spans="1:14" ht="13.2" hidden="1" x14ac:dyDescent="0.25">
      <c r="A142" s="124"/>
      <c r="B142" s="125"/>
      <c r="C142" s="126"/>
      <c r="D142" s="127"/>
      <c r="E142" s="128"/>
      <c r="F142" s="129"/>
      <c r="G142" s="58"/>
      <c r="H142" s="56"/>
      <c r="I142" s="60">
        <f>Таблица224267[[#This Row],[Стоимость, 
грн]]</f>
        <v>0</v>
      </c>
      <c r="J142" s="99" t="e">
        <f>Таблица224267[[#This Row],[Доход, 
грн/рейс]]/Таблица224267[[#This Row],[Километраж, 
км]]</f>
        <v>#DIV/0!</v>
      </c>
      <c r="K142" s="12"/>
      <c r="L142" s="99" t="e">
        <f>Таблица224267[[#This Row],[СС, 
грн/рейс]]/Таблица224267[[#This Row],[Километраж, 
км]]</f>
        <v>#DIV/0!</v>
      </c>
      <c r="M142" s="100">
        <f>Таблица224267[[#This Row],[Доход, 
грн/рейс]]-Таблица224267[[#This Row],[СС, 
грн/рейс]]</f>
        <v>0</v>
      </c>
      <c r="N142" s="24"/>
    </row>
    <row r="143" spans="1:14" ht="13.2" hidden="1" x14ac:dyDescent="0.25">
      <c r="A143" s="124"/>
      <c r="B143" s="125"/>
      <c r="C143" s="126"/>
      <c r="D143" s="127"/>
      <c r="E143" s="128"/>
      <c r="F143" s="129"/>
      <c r="G143" s="58"/>
      <c r="H143" s="56"/>
      <c r="I143" s="60">
        <f>Таблица224267[[#This Row],[Стоимость, 
грн]]</f>
        <v>0</v>
      </c>
      <c r="J143" s="99" t="e">
        <f>Таблица224267[[#This Row],[Доход, 
грн/рейс]]/Таблица224267[[#This Row],[Километраж, 
км]]</f>
        <v>#DIV/0!</v>
      </c>
      <c r="K143" s="12"/>
      <c r="L143" s="99" t="e">
        <f>Таблица224267[[#This Row],[СС, 
грн/рейс]]/Таблица224267[[#This Row],[Километраж, 
км]]</f>
        <v>#DIV/0!</v>
      </c>
      <c r="M143" s="100">
        <f>Таблица224267[[#This Row],[Доход, 
грн/рейс]]-Таблица224267[[#This Row],[СС, 
грн/рейс]]</f>
        <v>0</v>
      </c>
      <c r="N143" s="24"/>
    </row>
    <row r="144" spans="1:14" ht="13.2" hidden="1" x14ac:dyDescent="0.25">
      <c r="A144" s="124"/>
      <c r="B144" s="125"/>
      <c r="C144" s="126"/>
      <c r="D144" s="127"/>
      <c r="E144" s="128"/>
      <c r="F144" s="129"/>
      <c r="G144" s="58"/>
      <c r="H144" s="56"/>
      <c r="I144" s="60">
        <f>Таблица224267[[#This Row],[Стоимость, 
грн]]</f>
        <v>0</v>
      </c>
      <c r="J144" s="99" t="e">
        <f>Таблица224267[[#This Row],[Доход, 
грн/рейс]]/Таблица224267[[#This Row],[Километраж, 
км]]</f>
        <v>#DIV/0!</v>
      </c>
      <c r="K144" s="12"/>
      <c r="L144" s="99" t="e">
        <f>Таблица224267[[#This Row],[СС, 
грн/рейс]]/Таблица224267[[#This Row],[Километраж, 
км]]</f>
        <v>#DIV/0!</v>
      </c>
      <c r="M144" s="100">
        <f>Таблица224267[[#This Row],[Доход, 
грн/рейс]]-Таблица224267[[#This Row],[СС, 
грн/рейс]]</f>
        <v>0</v>
      </c>
      <c r="N144" s="24"/>
    </row>
    <row r="145" spans="1:14" ht="13.2" hidden="1" x14ac:dyDescent="0.25">
      <c r="A145" s="124"/>
      <c r="B145" s="125"/>
      <c r="C145" s="126"/>
      <c r="D145" s="127"/>
      <c r="E145" s="128"/>
      <c r="F145" s="129"/>
      <c r="G145" s="58"/>
      <c r="H145" s="56"/>
      <c r="I145" s="60">
        <f>Таблица224267[[#This Row],[Стоимость, 
грн]]</f>
        <v>0</v>
      </c>
      <c r="J145" s="99" t="e">
        <f>Таблица224267[[#This Row],[Доход, 
грн/рейс]]/Таблица224267[[#This Row],[Километраж, 
км]]</f>
        <v>#DIV/0!</v>
      </c>
      <c r="K145" s="12"/>
      <c r="L145" s="99" t="e">
        <f>Таблица224267[[#This Row],[СС, 
грн/рейс]]/Таблица224267[[#This Row],[Километраж, 
км]]</f>
        <v>#DIV/0!</v>
      </c>
      <c r="M145" s="100">
        <f>Таблица224267[[#This Row],[Доход, 
грн/рейс]]-Таблица224267[[#This Row],[СС, 
грн/рейс]]</f>
        <v>0</v>
      </c>
      <c r="N145" s="24"/>
    </row>
    <row r="146" spans="1:14" ht="13.2" hidden="1" x14ac:dyDescent="0.25">
      <c r="A146" s="124"/>
      <c r="B146" s="125"/>
      <c r="C146" s="126"/>
      <c r="D146" s="127"/>
      <c r="E146" s="128"/>
      <c r="F146" s="129"/>
      <c r="G146" s="58"/>
      <c r="H146" s="56"/>
      <c r="I146" s="60">
        <f>Таблица224267[[#This Row],[Стоимость, 
грн]]</f>
        <v>0</v>
      </c>
      <c r="J146" s="99" t="e">
        <f>Таблица224267[[#This Row],[Доход, 
грн/рейс]]/Таблица224267[[#This Row],[Километраж, 
км]]</f>
        <v>#DIV/0!</v>
      </c>
      <c r="K146" s="12"/>
      <c r="L146" s="99" t="e">
        <f>Таблица224267[[#This Row],[СС, 
грн/рейс]]/Таблица224267[[#This Row],[Километраж, 
км]]</f>
        <v>#DIV/0!</v>
      </c>
      <c r="M146" s="100">
        <f>Таблица224267[[#This Row],[Доход, 
грн/рейс]]-Таблица224267[[#This Row],[СС, 
грн/рейс]]</f>
        <v>0</v>
      </c>
      <c r="N146" s="24"/>
    </row>
    <row r="147" spans="1:14" ht="13.2" hidden="1" x14ac:dyDescent="0.25">
      <c r="A147" s="124"/>
      <c r="B147" s="125"/>
      <c r="C147" s="126"/>
      <c r="D147" s="127"/>
      <c r="E147" s="128"/>
      <c r="F147" s="129"/>
      <c r="G147" s="58"/>
      <c r="H147" s="56"/>
      <c r="I147" s="60">
        <f>Таблица224267[[#This Row],[Стоимость, 
грн]]</f>
        <v>0</v>
      </c>
      <c r="J147" s="99" t="e">
        <f>Таблица224267[[#This Row],[Доход, 
грн/рейс]]/Таблица224267[[#This Row],[Километраж, 
км]]</f>
        <v>#DIV/0!</v>
      </c>
      <c r="K147" s="12"/>
      <c r="L147" s="99" t="e">
        <f>Таблица224267[[#This Row],[СС, 
грн/рейс]]/Таблица224267[[#This Row],[Километраж, 
км]]</f>
        <v>#DIV/0!</v>
      </c>
      <c r="M147" s="100">
        <f>Таблица224267[[#This Row],[Доход, 
грн/рейс]]-Таблица224267[[#This Row],[СС, 
грн/рейс]]</f>
        <v>0</v>
      </c>
      <c r="N147" s="24"/>
    </row>
    <row r="148" spans="1:14" ht="13.2" hidden="1" x14ac:dyDescent="0.25">
      <c r="A148" s="124"/>
      <c r="B148" s="125"/>
      <c r="C148" s="126"/>
      <c r="D148" s="127"/>
      <c r="E148" s="128"/>
      <c r="F148" s="129"/>
      <c r="G148" s="58"/>
      <c r="H148" s="56"/>
      <c r="I148" s="60">
        <f>Таблица224267[[#This Row],[Стоимость, 
грн]]</f>
        <v>0</v>
      </c>
      <c r="J148" s="99" t="e">
        <f>Таблица224267[[#This Row],[Доход, 
грн/рейс]]/Таблица224267[[#This Row],[Километраж, 
км]]</f>
        <v>#DIV/0!</v>
      </c>
      <c r="K148" s="12"/>
      <c r="L148" s="99" t="e">
        <f>Таблица224267[[#This Row],[СС, 
грн/рейс]]/Таблица224267[[#This Row],[Километраж, 
км]]</f>
        <v>#DIV/0!</v>
      </c>
      <c r="M148" s="100">
        <f>Таблица224267[[#This Row],[Доход, 
грн/рейс]]-Таблица224267[[#This Row],[СС, 
грн/рейс]]</f>
        <v>0</v>
      </c>
      <c r="N148" s="24"/>
    </row>
    <row r="149" spans="1:14" ht="13.2" hidden="1" x14ac:dyDescent="0.25">
      <c r="A149" s="124"/>
      <c r="B149" s="125"/>
      <c r="C149" s="126"/>
      <c r="D149" s="127"/>
      <c r="E149" s="128"/>
      <c r="F149" s="129"/>
      <c r="G149" s="58"/>
      <c r="H149" s="56"/>
      <c r="I149" s="60">
        <f>Таблица224267[[#This Row],[Стоимость, 
грн]]</f>
        <v>0</v>
      </c>
      <c r="J149" s="99" t="e">
        <f>Таблица224267[[#This Row],[Доход, 
грн/рейс]]/Таблица224267[[#This Row],[Километраж, 
км]]</f>
        <v>#DIV/0!</v>
      </c>
      <c r="K149" s="12"/>
      <c r="L149" s="99" t="e">
        <f>Таблица224267[[#This Row],[СС, 
грн/рейс]]/Таблица224267[[#This Row],[Километраж, 
км]]</f>
        <v>#DIV/0!</v>
      </c>
      <c r="M149" s="100">
        <f>Таблица224267[[#This Row],[Доход, 
грн/рейс]]-Таблица224267[[#This Row],[СС, 
грн/рейс]]</f>
        <v>0</v>
      </c>
      <c r="N149" s="24"/>
    </row>
    <row r="150" spans="1:14" ht="13.2" hidden="1" x14ac:dyDescent="0.25">
      <c r="A150" s="124"/>
      <c r="B150" s="125"/>
      <c r="C150" s="126"/>
      <c r="D150" s="127"/>
      <c r="E150" s="128"/>
      <c r="F150" s="129"/>
      <c r="G150" s="58"/>
      <c r="H150" s="56"/>
      <c r="I150" s="60">
        <f>Таблица224267[[#This Row],[Стоимость, 
грн]]</f>
        <v>0</v>
      </c>
      <c r="J150" s="99" t="e">
        <f>Таблица224267[[#This Row],[Доход, 
грн/рейс]]/Таблица224267[[#This Row],[Километраж, 
км]]</f>
        <v>#DIV/0!</v>
      </c>
      <c r="K150" s="12"/>
      <c r="L150" s="99" t="e">
        <f>Таблица224267[[#This Row],[СС, 
грн/рейс]]/Таблица224267[[#This Row],[Километраж, 
км]]</f>
        <v>#DIV/0!</v>
      </c>
      <c r="M150" s="100">
        <f>Таблица224267[[#This Row],[Доход, 
грн/рейс]]-Таблица224267[[#This Row],[СС, 
грн/рейс]]</f>
        <v>0</v>
      </c>
      <c r="N150" s="24"/>
    </row>
    <row r="151" spans="1:14" ht="13.2" hidden="1" x14ac:dyDescent="0.25">
      <c r="A151" s="124"/>
      <c r="B151" s="125"/>
      <c r="C151" s="126"/>
      <c r="D151" s="127"/>
      <c r="E151" s="128"/>
      <c r="F151" s="129"/>
      <c r="G151" s="58"/>
      <c r="H151" s="56"/>
      <c r="I151" s="60">
        <f>Таблица224267[[#This Row],[Стоимость, 
грн]]</f>
        <v>0</v>
      </c>
      <c r="J151" s="99" t="e">
        <f>Таблица224267[[#This Row],[Доход, 
грн/рейс]]/Таблица224267[[#This Row],[Километраж, 
км]]</f>
        <v>#DIV/0!</v>
      </c>
      <c r="K151" s="12"/>
      <c r="L151" s="99" t="e">
        <f>Таблица224267[[#This Row],[СС, 
грн/рейс]]/Таблица224267[[#This Row],[Километраж, 
км]]</f>
        <v>#DIV/0!</v>
      </c>
      <c r="M151" s="100">
        <f>Таблица224267[[#This Row],[Доход, 
грн/рейс]]-Таблица224267[[#This Row],[СС, 
грн/рейс]]</f>
        <v>0</v>
      </c>
      <c r="N151" s="24"/>
    </row>
    <row r="152" spans="1:14" ht="13.2" hidden="1" x14ac:dyDescent="0.25">
      <c r="A152" s="124"/>
      <c r="B152" s="125"/>
      <c r="C152" s="126"/>
      <c r="D152" s="127"/>
      <c r="E152" s="128"/>
      <c r="F152" s="129"/>
      <c r="G152" s="58"/>
      <c r="H152" s="56"/>
      <c r="I152" s="60">
        <f>Таблица224267[[#This Row],[Стоимость, 
грн]]</f>
        <v>0</v>
      </c>
      <c r="J152" s="99" t="e">
        <f>Таблица224267[[#This Row],[Доход, 
грн/рейс]]/Таблица224267[[#This Row],[Километраж, 
км]]</f>
        <v>#DIV/0!</v>
      </c>
      <c r="K152" s="12"/>
      <c r="L152" s="99" t="e">
        <f>Таблица224267[[#This Row],[СС, 
грн/рейс]]/Таблица224267[[#This Row],[Километраж, 
км]]</f>
        <v>#DIV/0!</v>
      </c>
      <c r="M152" s="100">
        <f>Таблица224267[[#This Row],[Доход, 
грн/рейс]]-Таблица224267[[#This Row],[СС, 
грн/рейс]]</f>
        <v>0</v>
      </c>
      <c r="N152" s="24"/>
    </row>
    <row r="153" spans="1:14" ht="13.2" hidden="1" x14ac:dyDescent="0.25">
      <c r="A153" s="124"/>
      <c r="B153" s="125"/>
      <c r="C153" s="126"/>
      <c r="D153" s="127"/>
      <c r="E153" s="128"/>
      <c r="F153" s="129"/>
      <c r="G153" s="58"/>
      <c r="H153" s="56"/>
      <c r="I153" s="60">
        <f>Таблица224267[[#This Row],[Стоимость, 
грн]]</f>
        <v>0</v>
      </c>
      <c r="J153" s="99" t="e">
        <f>Таблица224267[[#This Row],[Доход, 
грн/рейс]]/Таблица224267[[#This Row],[Километраж, 
км]]</f>
        <v>#DIV/0!</v>
      </c>
      <c r="K153" s="12"/>
      <c r="L153" s="99" t="e">
        <f>Таблица224267[[#This Row],[СС, 
грн/рейс]]/Таблица224267[[#This Row],[Километраж, 
км]]</f>
        <v>#DIV/0!</v>
      </c>
      <c r="M153" s="100">
        <f>Таблица224267[[#This Row],[Доход, 
грн/рейс]]-Таблица224267[[#This Row],[СС, 
грн/рейс]]</f>
        <v>0</v>
      </c>
      <c r="N153" s="24"/>
    </row>
    <row r="154" spans="1:14" ht="13.2" hidden="1" x14ac:dyDescent="0.25">
      <c r="A154" s="124"/>
      <c r="B154" s="125"/>
      <c r="C154" s="126"/>
      <c r="D154" s="127"/>
      <c r="E154" s="128"/>
      <c r="F154" s="129"/>
      <c r="G154" s="58"/>
      <c r="H154" s="56"/>
      <c r="I154" s="60">
        <f>Таблица224267[[#This Row],[Стоимость, 
грн]]</f>
        <v>0</v>
      </c>
      <c r="J154" s="99" t="e">
        <f>Таблица224267[[#This Row],[Доход, 
грн/рейс]]/Таблица224267[[#This Row],[Километраж, 
км]]</f>
        <v>#DIV/0!</v>
      </c>
      <c r="K154" s="12"/>
      <c r="L154" s="99" t="e">
        <f>Таблица224267[[#This Row],[СС, 
грн/рейс]]/Таблица224267[[#This Row],[Километраж, 
км]]</f>
        <v>#DIV/0!</v>
      </c>
      <c r="M154" s="100">
        <f>Таблица224267[[#This Row],[Доход, 
грн/рейс]]-Таблица224267[[#This Row],[СС, 
грн/рейс]]</f>
        <v>0</v>
      </c>
      <c r="N154" s="24"/>
    </row>
    <row r="155" spans="1:14" ht="13.2" hidden="1" x14ac:dyDescent="0.25">
      <c r="A155" s="124"/>
      <c r="B155" s="125"/>
      <c r="C155" s="126"/>
      <c r="D155" s="127"/>
      <c r="E155" s="128"/>
      <c r="F155" s="129"/>
      <c r="G155" s="58"/>
      <c r="H155" s="56"/>
      <c r="I155" s="60">
        <f>Таблица224267[[#This Row],[Стоимость, 
грн]]</f>
        <v>0</v>
      </c>
      <c r="J155" s="99" t="e">
        <f>Таблица224267[[#This Row],[Доход, 
грн/рейс]]/Таблица224267[[#This Row],[Километраж, 
км]]</f>
        <v>#DIV/0!</v>
      </c>
      <c r="K155" s="12"/>
      <c r="L155" s="99" t="e">
        <f>Таблица224267[[#This Row],[СС, 
грн/рейс]]/Таблица224267[[#This Row],[Километраж, 
км]]</f>
        <v>#DIV/0!</v>
      </c>
      <c r="M155" s="100">
        <f>Таблица224267[[#This Row],[Доход, 
грн/рейс]]-Таблица224267[[#This Row],[СС, 
грн/рейс]]</f>
        <v>0</v>
      </c>
      <c r="N155" s="24"/>
    </row>
    <row r="156" spans="1:14" ht="13.2" hidden="1" x14ac:dyDescent="0.25">
      <c r="A156" s="124"/>
      <c r="B156" s="125"/>
      <c r="C156" s="126"/>
      <c r="D156" s="127"/>
      <c r="E156" s="128"/>
      <c r="F156" s="129"/>
      <c r="G156" s="58"/>
      <c r="H156" s="56"/>
      <c r="I156" s="60">
        <f>Таблица224267[[#This Row],[Стоимость, 
грн]]</f>
        <v>0</v>
      </c>
      <c r="J156" s="99" t="e">
        <f>Таблица224267[[#This Row],[Доход, 
грн/рейс]]/Таблица224267[[#This Row],[Километраж, 
км]]</f>
        <v>#DIV/0!</v>
      </c>
      <c r="K156" s="12"/>
      <c r="L156" s="99" t="e">
        <f>Таблица224267[[#This Row],[СС, 
грн/рейс]]/Таблица224267[[#This Row],[Километраж, 
км]]</f>
        <v>#DIV/0!</v>
      </c>
      <c r="M156" s="100">
        <f>Таблица224267[[#This Row],[Доход, 
грн/рейс]]-Таблица224267[[#This Row],[СС, 
грн/рейс]]</f>
        <v>0</v>
      </c>
      <c r="N156" s="24"/>
    </row>
    <row r="157" spans="1:14" ht="13.2" hidden="1" x14ac:dyDescent="0.25">
      <c r="A157" s="124"/>
      <c r="B157" s="125"/>
      <c r="C157" s="126"/>
      <c r="D157" s="127"/>
      <c r="E157" s="128"/>
      <c r="F157" s="129"/>
      <c r="G157" s="58"/>
      <c r="H157" s="56"/>
      <c r="I157" s="60">
        <f>Таблица224267[[#This Row],[Стоимость, 
грн]]</f>
        <v>0</v>
      </c>
      <c r="J157" s="99" t="e">
        <f>Таблица224267[[#This Row],[Доход, 
грн/рейс]]/Таблица224267[[#This Row],[Километраж, 
км]]</f>
        <v>#DIV/0!</v>
      </c>
      <c r="K157" s="12"/>
      <c r="L157" s="99" t="e">
        <f>Таблица224267[[#This Row],[СС, 
грн/рейс]]/Таблица224267[[#This Row],[Километраж, 
км]]</f>
        <v>#DIV/0!</v>
      </c>
      <c r="M157" s="100">
        <f>Таблица224267[[#This Row],[Доход, 
грн/рейс]]-Таблица224267[[#This Row],[СС, 
грн/рейс]]</f>
        <v>0</v>
      </c>
      <c r="N157" s="24"/>
    </row>
    <row r="158" spans="1:14" ht="13.2" hidden="1" x14ac:dyDescent="0.25">
      <c r="A158" s="124"/>
      <c r="B158" s="125"/>
      <c r="C158" s="126"/>
      <c r="D158" s="127"/>
      <c r="E158" s="128"/>
      <c r="F158" s="129"/>
      <c r="G158" s="58"/>
      <c r="H158" s="56"/>
      <c r="I158" s="60">
        <f>Таблица224267[[#This Row],[Стоимость, 
грн]]</f>
        <v>0</v>
      </c>
      <c r="J158" s="99" t="e">
        <f>Таблица224267[[#This Row],[Доход, 
грн/рейс]]/Таблица224267[[#This Row],[Километраж, 
км]]</f>
        <v>#DIV/0!</v>
      </c>
      <c r="K158" s="12"/>
      <c r="L158" s="99" t="e">
        <f>Таблица224267[[#This Row],[СС, 
грн/рейс]]/Таблица224267[[#This Row],[Километраж, 
км]]</f>
        <v>#DIV/0!</v>
      </c>
      <c r="M158" s="100">
        <f>Таблица224267[[#This Row],[Доход, 
грн/рейс]]-Таблица224267[[#This Row],[СС, 
грн/рейс]]</f>
        <v>0</v>
      </c>
      <c r="N158" s="24"/>
    </row>
    <row r="159" spans="1:14" ht="13.2" hidden="1" x14ac:dyDescent="0.25">
      <c r="A159" s="124"/>
      <c r="B159" s="125"/>
      <c r="C159" s="126"/>
      <c r="D159" s="127"/>
      <c r="E159" s="128"/>
      <c r="F159" s="129"/>
      <c r="G159" s="58"/>
      <c r="H159" s="56"/>
      <c r="I159" s="60">
        <f>Таблица224267[[#This Row],[Стоимость, 
грн]]</f>
        <v>0</v>
      </c>
      <c r="J159" s="99" t="e">
        <f>Таблица224267[[#This Row],[Доход, 
грн/рейс]]/Таблица224267[[#This Row],[Километраж, 
км]]</f>
        <v>#DIV/0!</v>
      </c>
      <c r="K159" s="12"/>
      <c r="L159" s="99" t="e">
        <f>Таблица224267[[#This Row],[СС, 
грн/рейс]]/Таблица224267[[#This Row],[Километраж, 
км]]</f>
        <v>#DIV/0!</v>
      </c>
      <c r="M159" s="100">
        <f>Таблица224267[[#This Row],[Доход, 
грн/рейс]]-Таблица224267[[#This Row],[СС, 
грн/рейс]]</f>
        <v>0</v>
      </c>
      <c r="N159" s="24"/>
    </row>
    <row r="160" spans="1:14" ht="13.2" hidden="1" x14ac:dyDescent="0.25">
      <c r="A160" s="124"/>
      <c r="B160" s="125"/>
      <c r="C160" s="126"/>
      <c r="D160" s="127"/>
      <c r="E160" s="128"/>
      <c r="F160" s="129"/>
      <c r="G160" s="58"/>
      <c r="H160" s="56"/>
      <c r="I160" s="60">
        <f>Таблица224267[[#This Row],[Стоимость, 
грн]]</f>
        <v>0</v>
      </c>
      <c r="J160" s="99" t="e">
        <f>Таблица224267[[#This Row],[Доход, 
грн/рейс]]/Таблица224267[[#This Row],[Километраж, 
км]]</f>
        <v>#DIV/0!</v>
      </c>
      <c r="K160" s="12"/>
      <c r="L160" s="99" t="e">
        <f>Таблица224267[[#This Row],[СС, 
грн/рейс]]/Таблица224267[[#This Row],[Километраж, 
км]]</f>
        <v>#DIV/0!</v>
      </c>
      <c r="M160" s="100">
        <f>Таблица224267[[#This Row],[Доход, 
грн/рейс]]-Таблица224267[[#This Row],[СС, 
грн/рейс]]</f>
        <v>0</v>
      </c>
      <c r="N160" s="24"/>
    </row>
    <row r="161" spans="1:14" ht="13.2" hidden="1" x14ac:dyDescent="0.25">
      <c r="A161" s="124"/>
      <c r="B161" s="125"/>
      <c r="C161" s="126"/>
      <c r="D161" s="127"/>
      <c r="E161" s="128"/>
      <c r="F161" s="129"/>
      <c r="G161" s="58"/>
      <c r="H161" s="56"/>
      <c r="I161" s="60">
        <f>Таблица224267[[#This Row],[Стоимость, 
грн]]</f>
        <v>0</v>
      </c>
      <c r="J161" s="99" t="e">
        <f>Таблица224267[[#This Row],[Доход, 
грн/рейс]]/Таблица224267[[#This Row],[Километраж, 
км]]</f>
        <v>#DIV/0!</v>
      </c>
      <c r="K161" s="12"/>
      <c r="L161" s="99" t="e">
        <f>Таблица224267[[#This Row],[СС, 
грн/рейс]]/Таблица224267[[#This Row],[Километраж, 
км]]</f>
        <v>#DIV/0!</v>
      </c>
      <c r="M161" s="100">
        <f>Таблица224267[[#This Row],[Доход, 
грн/рейс]]-Таблица224267[[#This Row],[СС, 
грн/рейс]]</f>
        <v>0</v>
      </c>
      <c r="N161" s="24"/>
    </row>
    <row r="162" spans="1:14" ht="13.2" hidden="1" x14ac:dyDescent="0.25">
      <c r="A162" s="124"/>
      <c r="B162" s="125"/>
      <c r="C162" s="126"/>
      <c r="D162" s="127"/>
      <c r="E162" s="128"/>
      <c r="F162" s="129"/>
      <c r="G162" s="58"/>
      <c r="H162" s="56"/>
      <c r="I162" s="60">
        <f>Таблица224267[[#This Row],[Стоимость, 
грн]]</f>
        <v>0</v>
      </c>
      <c r="J162" s="99" t="e">
        <f>Таблица224267[[#This Row],[Доход, 
грн/рейс]]/Таблица224267[[#This Row],[Километраж, 
км]]</f>
        <v>#DIV/0!</v>
      </c>
      <c r="K162" s="12"/>
      <c r="L162" s="99" t="e">
        <f>Таблица224267[[#This Row],[СС, 
грн/рейс]]/Таблица224267[[#This Row],[Километраж, 
км]]</f>
        <v>#DIV/0!</v>
      </c>
      <c r="M162" s="100">
        <f>Таблица224267[[#This Row],[Доход, 
грн/рейс]]-Таблица224267[[#This Row],[СС, 
грн/рейс]]</f>
        <v>0</v>
      </c>
      <c r="N162" s="24"/>
    </row>
    <row r="163" spans="1:14" ht="13.2" hidden="1" x14ac:dyDescent="0.25">
      <c r="A163" s="124"/>
      <c r="B163" s="125"/>
      <c r="C163" s="126"/>
      <c r="D163" s="127"/>
      <c r="E163" s="128"/>
      <c r="F163" s="129"/>
      <c r="G163" s="58"/>
      <c r="H163" s="56"/>
      <c r="I163" s="60">
        <f>Таблица224267[[#This Row],[Стоимость, 
грн]]</f>
        <v>0</v>
      </c>
      <c r="J163" s="99" t="e">
        <f>Таблица224267[[#This Row],[Доход, 
грн/рейс]]/Таблица224267[[#This Row],[Километраж, 
км]]</f>
        <v>#DIV/0!</v>
      </c>
      <c r="K163" s="12"/>
      <c r="L163" s="99" t="e">
        <f>Таблица224267[[#This Row],[СС, 
грн/рейс]]/Таблица224267[[#This Row],[Километраж, 
км]]</f>
        <v>#DIV/0!</v>
      </c>
      <c r="M163" s="100">
        <f>Таблица224267[[#This Row],[Доход, 
грн/рейс]]-Таблица224267[[#This Row],[СС, 
грн/рейс]]</f>
        <v>0</v>
      </c>
      <c r="N163" s="24"/>
    </row>
    <row r="164" spans="1:14" ht="13.2" hidden="1" x14ac:dyDescent="0.25">
      <c r="A164" s="124"/>
      <c r="B164" s="125"/>
      <c r="C164" s="126"/>
      <c r="D164" s="127"/>
      <c r="E164" s="128"/>
      <c r="F164" s="129"/>
      <c r="G164" s="58"/>
      <c r="H164" s="56"/>
      <c r="I164" s="60">
        <f>Таблица224267[[#This Row],[Стоимость, 
грн]]</f>
        <v>0</v>
      </c>
      <c r="J164" s="99" t="e">
        <f>Таблица224267[[#This Row],[Доход, 
грн/рейс]]/Таблица224267[[#This Row],[Километраж, 
км]]</f>
        <v>#DIV/0!</v>
      </c>
      <c r="K164" s="12"/>
      <c r="L164" s="99" t="e">
        <f>Таблица224267[[#This Row],[СС, 
грн/рейс]]/Таблица224267[[#This Row],[Километраж, 
км]]</f>
        <v>#DIV/0!</v>
      </c>
      <c r="M164" s="100">
        <f>Таблица224267[[#This Row],[Доход, 
грн/рейс]]-Таблица224267[[#This Row],[СС, 
грн/рейс]]</f>
        <v>0</v>
      </c>
      <c r="N164" s="24"/>
    </row>
    <row r="165" spans="1:14" ht="13.2" hidden="1" x14ac:dyDescent="0.25">
      <c r="A165" s="124"/>
      <c r="B165" s="125"/>
      <c r="C165" s="126"/>
      <c r="D165" s="127"/>
      <c r="E165" s="128"/>
      <c r="F165" s="129"/>
      <c r="G165" s="58"/>
      <c r="H165" s="56"/>
      <c r="I165" s="60">
        <f>Таблица224267[[#This Row],[Стоимость, 
грн]]</f>
        <v>0</v>
      </c>
      <c r="J165" s="99" t="e">
        <f>Таблица224267[[#This Row],[Доход, 
грн/рейс]]/Таблица224267[[#This Row],[Километраж, 
км]]</f>
        <v>#DIV/0!</v>
      </c>
      <c r="K165" s="12"/>
      <c r="L165" s="99" t="e">
        <f>Таблица224267[[#This Row],[СС, 
грн/рейс]]/Таблица224267[[#This Row],[Километраж, 
км]]</f>
        <v>#DIV/0!</v>
      </c>
      <c r="M165" s="100">
        <f>Таблица224267[[#This Row],[Доход, 
грн/рейс]]-Таблица224267[[#This Row],[СС, 
грн/рейс]]</f>
        <v>0</v>
      </c>
      <c r="N165" s="24"/>
    </row>
    <row r="166" spans="1:14" ht="13.2" hidden="1" x14ac:dyDescent="0.25">
      <c r="A166" s="124"/>
      <c r="B166" s="125"/>
      <c r="C166" s="126"/>
      <c r="D166" s="127"/>
      <c r="E166" s="128"/>
      <c r="F166" s="129"/>
      <c r="G166" s="58"/>
      <c r="H166" s="56"/>
      <c r="I166" s="60">
        <f>Таблица224267[[#This Row],[Стоимость, 
грн]]</f>
        <v>0</v>
      </c>
      <c r="J166" s="99" t="e">
        <f>Таблица224267[[#This Row],[Доход, 
грн/рейс]]/Таблица224267[[#This Row],[Километраж, 
км]]</f>
        <v>#DIV/0!</v>
      </c>
      <c r="K166" s="12"/>
      <c r="L166" s="99" t="e">
        <f>Таблица224267[[#This Row],[СС, 
грн/рейс]]/Таблица224267[[#This Row],[Километраж, 
км]]</f>
        <v>#DIV/0!</v>
      </c>
      <c r="M166" s="100">
        <f>Таблица224267[[#This Row],[Доход, 
грн/рейс]]-Таблица224267[[#This Row],[СС, 
грн/рейс]]</f>
        <v>0</v>
      </c>
      <c r="N166" s="24"/>
    </row>
    <row r="167" spans="1:14" ht="13.2" hidden="1" x14ac:dyDescent="0.25">
      <c r="A167" s="124"/>
      <c r="B167" s="125"/>
      <c r="C167" s="126"/>
      <c r="D167" s="127"/>
      <c r="E167" s="128"/>
      <c r="F167" s="129"/>
      <c r="G167" s="58"/>
      <c r="H167" s="56"/>
      <c r="I167" s="60">
        <f>Таблица224267[[#This Row],[Стоимость, 
грн]]</f>
        <v>0</v>
      </c>
      <c r="J167" s="99" t="e">
        <f>Таблица224267[[#This Row],[Доход, 
грн/рейс]]/Таблица224267[[#This Row],[Километраж, 
км]]</f>
        <v>#DIV/0!</v>
      </c>
      <c r="K167" s="12"/>
      <c r="L167" s="99" t="e">
        <f>Таблица224267[[#This Row],[СС, 
грн/рейс]]/Таблица224267[[#This Row],[Километраж, 
км]]</f>
        <v>#DIV/0!</v>
      </c>
      <c r="M167" s="100">
        <f>Таблица224267[[#This Row],[Доход, 
грн/рейс]]-Таблица224267[[#This Row],[СС, 
грн/рейс]]</f>
        <v>0</v>
      </c>
      <c r="N167" s="24"/>
    </row>
    <row r="168" spans="1:14" ht="13.2" hidden="1" x14ac:dyDescent="0.25">
      <c r="A168" s="124"/>
      <c r="B168" s="125"/>
      <c r="C168" s="126"/>
      <c r="D168" s="127"/>
      <c r="E168" s="128"/>
      <c r="F168" s="129"/>
      <c r="G168" s="58"/>
      <c r="H168" s="56"/>
      <c r="I168" s="60">
        <f>Таблица224267[[#This Row],[Стоимость, 
грн]]</f>
        <v>0</v>
      </c>
      <c r="J168" s="99" t="e">
        <f>Таблица224267[[#This Row],[Доход, 
грн/рейс]]/Таблица224267[[#This Row],[Километраж, 
км]]</f>
        <v>#DIV/0!</v>
      </c>
      <c r="K168" s="12"/>
      <c r="L168" s="99" t="e">
        <f>Таблица224267[[#This Row],[СС, 
грн/рейс]]/Таблица224267[[#This Row],[Километраж, 
км]]</f>
        <v>#DIV/0!</v>
      </c>
      <c r="M168" s="100">
        <f>Таблица224267[[#This Row],[Доход, 
грн/рейс]]-Таблица224267[[#This Row],[СС, 
грн/рейс]]</f>
        <v>0</v>
      </c>
      <c r="N168" s="24"/>
    </row>
    <row r="169" spans="1:14" ht="13.2" hidden="1" x14ac:dyDescent="0.25">
      <c r="A169" s="124"/>
      <c r="B169" s="125"/>
      <c r="C169" s="126"/>
      <c r="D169" s="127"/>
      <c r="E169" s="128"/>
      <c r="F169" s="129"/>
      <c r="G169" s="58"/>
      <c r="H169" s="56"/>
      <c r="I169" s="60">
        <f>Таблица224267[[#This Row],[Стоимость, 
грн]]</f>
        <v>0</v>
      </c>
      <c r="J169" s="99" t="e">
        <f>Таблица224267[[#This Row],[Доход, 
грн/рейс]]/Таблица224267[[#This Row],[Километраж, 
км]]</f>
        <v>#DIV/0!</v>
      </c>
      <c r="K169" s="12"/>
      <c r="L169" s="99" t="e">
        <f>Таблица224267[[#This Row],[СС, 
грн/рейс]]/Таблица224267[[#This Row],[Километраж, 
км]]</f>
        <v>#DIV/0!</v>
      </c>
      <c r="M169" s="100">
        <f>Таблица224267[[#This Row],[Доход, 
грн/рейс]]-Таблица224267[[#This Row],[СС, 
грн/рейс]]</f>
        <v>0</v>
      </c>
      <c r="N169" s="24"/>
    </row>
    <row r="170" spans="1:14" ht="13.2" hidden="1" x14ac:dyDescent="0.25">
      <c r="A170" s="124"/>
      <c r="B170" s="125"/>
      <c r="C170" s="126"/>
      <c r="D170" s="127"/>
      <c r="E170" s="128"/>
      <c r="F170" s="129"/>
      <c r="G170" s="58"/>
      <c r="H170" s="56"/>
      <c r="I170" s="60">
        <f>Таблица224267[[#This Row],[Стоимость, 
грн]]</f>
        <v>0</v>
      </c>
      <c r="J170" s="99" t="e">
        <f>Таблица224267[[#This Row],[Доход, 
грн/рейс]]/Таблица224267[[#This Row],[Километраж, 
км]]</f>
        <v>#DIV/0!</v>
      </c>
      <c r="K170" s="12"/>
      <c r="L170" s="99" t="e">
        <f>Таблица224267[[#This Row],[СС, 
грн/рейс]]/Таблица224267[[#This Row],[Километраж, 
км]]</f>
        <v>#DIV/0!</v>
      </c>
      <c r="M170" s="100">
        <f>Таблица224267[[#This Row],[Доход, 
грн/рейс]]-Таблица224267[[#This Row],[СС, 
грн/рейс]]</f>
        <v>0</v>
      </c>
      <c r="N170" s="24"/>
    </row>
    <row r="171" spans="1:14" ht="13.2" hidden="1" x14ac:dyDescent="0.25">
      <c r="A171" s="124"/>
      <c r="B171" s="125"/>
      <c r="C171" s="126"/>
      <c r="D171" s="127"/>
      <c r="E171" s="128"/>
      <c r="F171" s="129"/>
      <c r="G171" s="58"/>
      <c r="H171" s="56"/>
      <c r="I171" s="60">
        <f>Таблица224267[[#This Row],[Стоимость, 
грн]]</f>
        <v>0</v>
      </c>
      <c r="J171" s="99" t="e">
        <f>Таблица224267[[#This Row],[Доход, 
грн/рейс]]/Таблица224267[[#This Row],[Километраж, 
км]]</f>
        <v>#DIV/0!</v>
      </c>
      <c r="K171" s="12"/>
      <c r="L171" s="99" t="e">
        <f>Таблица224267[[#This Row],[СС, 
грн/рейс]]/Таблица224267[[#This Row],[Километраж, 
км]]</f>
        <v>#DIV/0!</v>
      </c>
      <c r="M171" s="100">
        <f>Таблица224267[[#This Row],[Доход, 
грн/рейс]]-Таблица224267[[#This Row],[СС, 
грн/рейс]]</f>
        <v>0</v>
      </c>
      <c r="N171" s="24"/>
    </row>
    <row r="172" spans="1:14" ht="13.2" hidden="1" x14ac:dyDescent="0.25">
      <c r="A172" s="124"/>
      <c r="B172" s="125"/>
      <c r="C172" s="126"/>
      <c r="D172" s="127"/>
      <c r="E172" s="128"/>
      <c r="F172" s="129"/>
      <c r="G172" s="58"/>
      <c r="H172" s="56"/>
      <c r="I172" s="60">
        <f>Таблица224267[[#This Row],[Стоимость, 
грн]]</f>
        <v>0</v>
      </c>
      <c r="J172" s="99" t="e">
        <f>Таблица224267[[#This Row],[Доход, 
грн/рейс]]/Таблица224267[[#This Row],[Километраж, 
км]]</f>
        <v>#DIV/0!</v>
      </c>
      <c r="K172" s="12"/>
      <c r="L172" s="99" t="e">
        <f>Таблица224267[[#This Row],[СС, 
грн/рейс]]/Таблица224267[[#This Row],[Километраж, 
км]]</f>
        <v>#DIV/0!</v>
      </c>
      <c r="M172" s="100">
        <f>Таблица224267[[#This Row],[Доход, 
грн/рейс]]-Таблица224267[[#This Row],[СС, 
грн/рейс]]</f>
        <v>0</v>
      </c>
      <c r="N172" s="24"/>
    </row>
    <row r="173" spans="1:14" ht="13.2" hidden="1" x14ac:dyDescent="0.25">
      <c r="A173" s="124"/>
      <c r="B173" s="125"/>
      <c r="C173" s="126"/>
      <c r="D173" s="127"/>
      <c r="E173" s="128"/>
      <c r="F173" s="129"/>
      <c r="G173" s="58"/>
      <c r="H173" s="56"/>
      <c r="I173" s="60">
        <f>Таблица224267[[#This Row],[Стоимость, 
грн]]</f>
        <v>0</v>
      </c>
      <c r="J173" s="99" t="e">
        <f>Таблица224267[[#This Row],[Доход, 
грн/рейс]]/Таблица224267[[#This Row],[Километраж, 
км]]</f>
        <v>#DIV/0!</v>
      </c>
      <c r="K173" s="12"/>
      <c r="L173" s="99" t="e">
        <f>Таблица224267[[#This Row],[СС, 
грн/рейс]]/Таблица224267[[#This Row],[Километраж, 
км]]</f>
        <v>#DIV/0!</v>
      </c>
      <c r="M173" s="100">
        <f>Таблица224267[[#This Row],[Доход, 
грн/рейс]]-Таблица224267[[#This Row],[СС, 
грн/рейс]]</f>
        <v>0</v>
      </c>
      <c r="N173" s="24"/>
    </row>
    <row r="174" spans="1:14" ht="13.2" hidden="1" x14ac:dyDescent="0.25">
      <c r="A174" s="124"/>
      <c r="B174" s="125"/>
      <c r="C174" s="126"/>
      <c r="D174" s="127"/>
      <c r="E174" s="128"/>
      <c r="F174" s="129"/>
      <c r="G174" s="58"/>
      <c r="H174" s="56"/>
      <c r="I174" s="60">
        <f>Таблица224267[[#This Row],[Стоимость, 
грн]]</f>
        <v>0</v>
      </c>
      <c r="J174" s="99" t="e">
        <f>Таблица224267[[#This Row],[Доход, 
грн/рейс]]/Таблица224267[[#This Row],[Километраж, 
км]]</f>
        <v>#DIV/0!</v>
      </c>
      <c r="K174" s="12"/>
      <c r="L174" s="99" t="e">
        <f>Таблица224267[[#This Row],[СС, 
грн/рейс]]/Таблица224267[[#This Row],[Километраж, 
км]]</f>
        <v>#DIV/0!</v>
      </c>
      <c r="M174" s="100">
        <f>Таблица224267[[#This Row],[Доход, 
грн/рейс]]-Таблица224267[[#This Row],[СС, 
грн/рейс]]</f>
        <v>0</v>
      </c>
      <c r="N174" s="24"/>
    </row>
    <row r="175" spans="1:14" ht="13.2" hidden="1" x14ac:dyDescent="0.25">
      <c r="A175" s="124"/>
      <c r="B175" s="125"/>
      <c r="C175" s="126"/>
      <c r="D175" s="127"/>
      <c r="E175" s="128"/>
      <c r="F175" s="129"/>
      <c r="G175" s="58"/>
      <c r="H175" s="56"/>
      <c r="I175" s="60">
        <f>Таблица224267[[#This Row],[Стоимость, 
грн]]</f>
        <v>0</v>
      </c>
      <c r="J175" s="99" t="e">
        <f>Таблица224267[[#This Row],[Доход, 
грн/рейс]]/Таблица224267[[#This Row],[Километраж, 
км]]</f>
        <v>#DIV/0!</v>
      </c>
      <c r="K175" s="12"/>
      <c r="L175" s="99" t="e">
        <f>Таблица224267[[#This Row],[СС, 
грн/рейс]]/Таблица224267[[#This Row],[Километраж, 
км]]</f>
        <v>#DIV/0!</v>
      </c>
      <c r="M175" s="100">
        <f>Таблица224267[[#This Row],[Доход, 
грн/рейс]]-Таблица224267[[#This Row],[СС, 
грн/рейс]]</f>
        <v>0</v>
      </c>
      <c r="N175" s="24"/>
    </row>
    <row r="176" spans="1:14" ht="13.2" hidden="1" x14ac:dyDescent="0.25">
      <c r="A176" s="124"/>
      <c r="B176" s="125"/>
      <c r="C176" s="126"/>
      <c r="D176" s="127"/>
      <c r="E176" s="128"/>
      <c r="F176" s="129"/>
      <c r="G176" s="58"/>
      <c r="H176" s="56"/>
      <c r="I176" s="60">
        <f>Таблица224267[[#This Row],[Стоимость, 
грн]]</f>
        <v>0</v>
      </c>
      <c r="J176" s="99" t="e">
        <f>Таблица224267[[#This Row],[Доход, 
грн/рейс]]/Таблица224267[[#This Row],[Километраж, 
км]]</f>
        <v>#DIV/0!</v>
      </c>
      <c r="K176" s="12"/>
      <c r="L176" s="99" t="e">
        <f>Таблица224267[[#This Row],[СС, 
грн/рейс]]/Таблица224267[[#This Row],[Километраж, 
км]]</f>
        <v>#DIV/0!</v>
      </c>
      <c r="M176" s="100">
        <f>Таблица224267[[#This Row],[Доход, 
грн/рейс]]-Таблица224267[[#This Row],[СС, 
грн/рейс]]</f>
        <v>0</v>
      </c>
      <c r="N176" s="24"/>
    </row>
    <row r="177" spans="1:14" ht="13.2" hidden="1" x14ac:dyDescent="0.25">
      <c r="A177" s="124"/>
      <c r="B177" s="125"/>
      <c r="C177" s="126"/>
      <c r="D177" s="127"/>
      <c r="E177" s="128"/>
      <c r="F177" s="129"/>
      <c r="G177" s="58"/>
      <c r="H177" s="56"/>
      <c r="I177" s="60">
        <f>Таблица224267[[#This Row],[Стоимость, 
грн]]</f>
        <v>0</v>
      </c>
      <c r="J177" s="99" t="e">
        <f>Таблица224267[[#This Row],[Доход, 
грн/рейс]]/Таблица224267[[#This Row],[Километраж, 
км]]</f>
        <v>#DIV/0!</v>
      </c>
      <c r="K177" s="12"/>
      <c r="L177" s="99" t="e">
        <f>Таблица224267[[#This Row],[СС, 
грн/рейс]]/Таблица224267[[#This Row],[Километраж, 
км]]</f>
        <v>#DIV/0!</v>
      </c>
      <c r="M177" s="100">
        <f>Таблица224267[[#This Row],[Доход, 
грн/рейс]]-Таблица224267[[#This Row],[СС, 
грн/рейс]]</f>
        <v>0</v>
      </c>
      <c r="N177" s="24"/>
    </row>
    <row r="178" spans="1:14" ht="13.2" hidden="1" x14ac:dyDescent="0.25">
      <c r="A178" s="124"/>
      <c r="B178" s="125"/>
      <c r="C178" s="126"/>
      <c r="D178" s="127"/>
      <c r="E178" s="128"/>
      <c r="F178" s="129"/>
      <c r="G178" s="58"/>
      <c r="H178" s="56"/>
      <c r="I178" s="60">
        <f>Таблица224267[[#This Row],[Стоимость, 
грн]]</f>
        <v>0</v>
      </c>
      <c r="J178" s="99" t="e">
        <f>Таблица224267[[#This Row],[Доход, 
грн/рейс]]/Таблица224267[[#This Row],[Километраж, 
км]]</f>
        <v>#DIV/0!</v>
      </c>
      <c r="K178" s="12"/>
      <c r="L178" s="99" t="e">
        <f>Таблица224267[[#This Row],[СС, 
грн/рейс]]/Таблица224267[[#This Row],[Километраж, 
км]]</f>
        <v>#DIV/0!</v>
      </c>
      <c r="M178" s="100">
        <f>Таблица224267[[#This Row],[Доход, 
грн/рейс]]-Таблица224267[[#This Row],[СС, 
грн/рейс]]</f>
        <v>0</v>
      </c>
      <c r="N178" s="24"/>
    </row>
    <row r="179" spans="1:14" ht="13.2" hidden="1" x14ac:dyDescent="0.25">
      <c r="A179" s="124"/>
      <c r="B179" s="125"/>
      <c r="C179" s="126"/>
      <c r="D179" s="127"/>
      <c r="E179" s="128"/>
      <c r="F179" s="129"/>
      <c r="G179" s="58"/>
      <c r="H179" s="56"/>
      <c r="I179" s="60">
        <f>Таблица224267[[#This Row],[Стоимость, 
грн]]</f>
        <v>0</v>
      </c>
      <c r="J179" s="99" t="e">
        <f>Таблица224267[[#This Row],[Доход, 
грн/рейс]]/Таблица224267[[#This Row],[Километраж, 
км]]</f>
        <v>#DIV/0!</v>
      </c>
      <c r="K179" s="12"/>
      <c r="L179" s="99" t="e">
        <f>Таблица224267[[#This Row],[СС, 
грн/рейс]]/Таблица224267[[#This Row],[Километраж, 
км]]</f>
        <v>#DIV/0!</v>
      </c>
      <c r="M179" s="100">
        <f>Таблица224267[[#This Row],[Доход, 
грн/рейс]]-Таблица224267[[#This Row],[СС, 
грн/рейс]]</f>
        <v>0</v>
      </c>
      <c r="N179" s="24"/>
    </row>
    <row r="180" spans="1:14" ht="13.2" hidden="1" x14ac:dyDescent="0.25">
      <c r="A180" s="124"/>
      <c r="B180" s="125"/>
      <c r="C180" s="126"/>
      <c r="D180" s="127"/>
      <c r="E180" s="128"/>
      <c r="F180" s="129"/>
      <c r="G180" s="58"/>
      <c r="H180" s="56"/>
      <c r="I180" s="60">
        <f>Таблица224267[[#This Row],[Стоимость, 
грн]]</f>
        <v>0</v>
      </c>
      <c r="J180" s="99" t="e">
        <f>Таблица224267[[#This Row],[Доход, 
грн/рейс]]/Таблица224267[[#This Row],[Километраж, 
км]]</f>
        <v>#DIV/0!</v>
      </c>
      <c r="K180" s="12"/>
      <c r="L180" s="99" t="e">
        <f>Таблица224267[[#This Row],[СС, 
грн/рейс]]/Таблица224267[[#This Row],[Километраж, 
км]]</f>
        <v>#DIV/0!</v>
      </c>
      <c r="M180" s="100">
        <f>Таблица224267[[#This Row],[Доход, 
грн/рейс]]-Таблица224267[[#This Row],[СС, 
грн/рейс]]</f>
        <v>0</v>
      </c>
      <c r="N180" s="24"/>
    </row>
    <row r="181" spans="1:14" ht="13.2" hidden="1" x14ac:dyDescent="0.25">
      <c r="A181" s="124"/>
      <c r="B181" s="125"/>
      <c r="C181" s="126"/>
      <c r="D181" s="127"/>
      <c r="E181" s="128"/>
      <c r="F181" s="129"/>
      <c r="G181" s="58"/>
      <c r="H181" s="56"/>
      <c r="I181" s="60">
        <f>Таблица224267[[#This Row],[Стоимость, 
грн]]</f>
        <v>0</v>
      </c>
      <c r="J181" s="99" t="e">
        <f>Таблица224267[[#This Row],[Доход, 
грн/рейс]]/Таблица224267[[#This Row],[Километраж, 
км]]</f>
        <v>#DIV/0!</v>
      </c>
      <c r="K181" s="12"/>
      <c r="L181" s="99" t="e">
        <f>Таблица224267[[#This Row],[СС, 
грн/рейс]]/Таблица224267[[#This Row],[Километраж, 
км]]</f>
        <v>#DIV/0!</v>
      </c>
      <c r="M181" s="100">
        <f>Таблица224267[[#This Row],[Доход, 
грн/рейс]]-Таблица224267[[#This Row],[СС, 
грн/рейс]]</f>
        <v>0</v>
      </c>
      <c r="N181" s="24"/>
    </row>
    <row r="182" spans="1:14" ht="13.2" hidden="1" x14ac:dyDescent="0.25">
      <c r="A182" s="124"/>
      <c r="B182" s="125"/>
      <c r="C182" s="126"/>
      <c r="D182" s="127"/>
      <c r="E182" s="128"/>
      <c r="F182" s="129"/>
      <c r="G182" s="58"/>
      <c r="H182" s="56"/>
      <c r="I182" s="60">
        <f>Таблица224267[[#This Row],[Стоимость, 
грн]]</f>
        <v>0</v>
      </c>
      <c r="J182" s="99" t="e">
        <f>Таблица224267[[#This Row],[Доход, 
грн/рейс]]/Таблица224267[[#This Row],[Километраж, 
км]]</f>
        <v>#DIV/0!</v>
      </c>
      <c r="K182" s="12"/>
      <c r="L182" s="99" t="e">
        <f>Таблица224267[[#This Row],[СС, 
грн/рейс]]/Таблица224267[[#This Row],[Километраж, 
км]]</f>
        <v>#DIV/0!</v>
      </c>
      <c r="M182" s="100">
        <f>Таблица224267[[#This Row],[Доход, 
грн/рейс]]-Таблица224267[[#This Row],[СС, 
грн/рейс]]</f>
        <v>0</v>
      </c>
      <c r="N182" s="24"/>
    </row>
    <row r="183" spans="1:14" ht="13.2" hidden="1" x14ac:dyDescent="0.25">
      <c r="A183" s="124"/>
      <c r="B183" s="125"/>
      <c r="C183" s="126"/>
      <c r="D183" s="127"/>
      <c r="E183" s="128"/>
      <c r="F183" s="129"/>
      <c r="G183" s="58"/>
      <c r="H183" s="56"/>
      <c r="I183" s="60">
        <f>Таблица224267[[#This Row],[Стоимость, 
грн]]</f>
        <v>0</v>
      </c>
      <c r="J183" s="99" t="e">
        <f>Таблица224267[[#This Row],[Доход, 
грн/рейс]]/Таблица224267[[#This Row],[Километраж, 
км]]</f>
        <v>#DIV/0!</v>
      </c>
      <c r="K183" s="12"/>
      <c r="L183" s="99" t="e">
        <f>Таблица224267[[#This Row],[СС, 
грн/рейс]]/Таблица224267[[#This Row],[Километраж, 
км]]</f>
        <v>#DIV/0!</v>
      </c>
      <c r="M183" s="100">
        <f>Таблица224267[[#This Row],[Доход, 
грн/рейс]]-Таблица224267[[#This Row],[СС, 
грн/рейс]]</f>
        <v>0</v>
      </c>
      <c r="N183" s="24"/>
    </row>
    <row r="184" spans="1:14" ht="13.2" hidden="1" x14ac:dyDescent="0.25">
      <c r="A184" s="124"/>
      <c r="B184" s="125"/>
      <c r="C184" s="126"/>
      <c r="D184" s="127"/>
      <c r="E184" s="128"/>
      <c r="F184" s="129"/>
      <c r="G184" s="58"/>
      <c r="H184" s="56"/>
      <c r="I184" s="60">
        <f>Таблица224267[[#This Row],[Стоимость, 
грн]]</f>
        <v>0</v>
      </c>
      <c r="J184" s="99" t="e">
        <f>Таблица224267[[#This Row],[Доход, 
грн/рейс]]/Таблица224267[[#This Row],[Километраж, 
км]]</f>
        <v>#DIV/0!</v>
      </c>
      <c r="K184" s="12"/>
      <c r="L184" s="99" t="e">
        <f>Таблица224267[[#This Row],[СС, 
грн/рейс]]/Таблица224267[[#This Row],[Километраж, 
км]]</f>
        <v>#DIV/0!</v>
      </c>
      <c r="M184" s="100">
        <f>Таблица224267[[#This Row],[Доход, 
грн/рейс]]-Таблица224267[[#This Row],[СС, 
грн/рейс]]</f>
        <v>0</v>
      </c>
      <c r="N184" s="24"/>
    </row>
    <row r="185" spans="1:14" ht="13.2" hidden="1" x14ac:dyDescent="0.25">
      <c r="A185" s="124"/>
      <c r="B185" s="125"/>
      <c r="C185" s="126"/>
      <c r="D185" s="127"/>
      <c r="E185" s="128"/>
      <c r="F185" s="129"/>
      <c r="G185" s="58"/>
      <c r="H185" s="56"/>
      <c r="I185" s="60">
        <f>Таблица224267[[#This Row],[Стоимость, 
грн]]</f>
        <v>0</v>
      </c>
      <c r="J185" s="99" t="e">
        <f>Таблица224267[[#This Row],[Доход, 
грн/рейс]]/Таблица224267[[#This Row],[Километраж, 
км]]</f>
        <v>#DIV/0!</v>
      </c>
      <c r="K185" s="12"/>
      <c r="L185" s="99" t="e">
        <f>Таблица224267[[#This Row],[СС, 
грн/рейс]]/Таблица224267[[#This Row],[Километраж, 
км]]</f>
        <v>#DIV/0!</v>
      </c>
      <c r="M185" s="100">
        <f>Таблица224267[[#This Row],[Доход, 
грн/рейс]]-Таблица224267[[#This Row],[СС, 
грн/рейс]]</f>
        <v>0</v>
      </c>
      <c r="N185" s="24"/>
    </row>
    <row r="186" spans="1:14" ht="13.2" hidden="1" x14ac:dyDescent="0.25">
      <c r="A186" s="124"/>
      <c r="B186" s="125"/>
      <c r="C186" s="126"/>
      <c r="D186" s="127"/>
      <c r="E186" s="128"/>
      <c r="F186" s="129"/>
      <c r="G186" s="58"/>
      <c r="H186" s="56"/>
      <c r="I186" s="60">
        <f>Таблица224267[[#This Row],[Стоимость, 
грн]]</f>
        <v>0</v>
      </c>
      <c r="J186" s="99" t="e">
        <f>Таблица224267[[#This Row],[Доход, 
грн/рейс]]/Таблица224267[[#This Row],[Километраж, 
км]]</f>
        <v>#DIV/0!</v>
      </c>
      <c r="K186" s="12"/>
      <c r="L186" s="99" t="e">
        <f>Таблица224267[[#This Row],[СС, 
грн/рейс]]/Таблица224267[[#This Row],[Километраж, 
км]]</f>
        <v>#DIV/0!</v>
      </c>
      <c r="M186" s="100">
        <f>Таблица224267[[#This Row],[Доход, 
грн/рейс]]-Таблица224267[[#This Row],[СС, 
грн/рейс]]</f>
        <v>0</v>
      </c>
      <c r="N186" s="24"/>
    </row>
    <row r="187" spans="1:14" ht="13.2" hidden="1" x14ac:dyDescent="0.25">
      <c r="A187" s="124"/>
      <c r="B187" s="125"/>
      <c r="C187" s="126"/>
      <c r="D187" s="127"/>
      <c r="E187" s="128"/>
      <c r="F187" s="129"/>
      <c r="G187" s="58"/>
      <c r="H187" s="56"/>
      <c r="I187" s="60">
        <f>Таблица224267[[#This Row],[Стоимость, 
грн]]</f>
        <v>0</v>
      </c>
      <c r="J187" s="99" t="e">
        <f>Таблица224267[[#This Row],[Доход, 
грн/рейс]]/Таблица224267[[#This Row],[Километраж, 
км]]</f>
        <v>#DIV/0!</v>
      </c>
      <c r="K187" s="12"/>
      <c r="L187" s="99" t="e">
        <f>Таблица224267[[#This Row],[СС, 
грн/рейс]]/Таблица224267[[#This Row],[Километраж, 
км]]</f>
        <v>#DIV/0!</v>
      </c>
      <c r="M187" s="100">
        <f>Таблица224267[[#This Row],[Доход, 
грн/рейс]]-Таблица224267[[#This Row],[СС, 
грн/рейс]]</f>
        <v>0</v>
      </c>
      <c r="N187" s="24"/>
    </row>
    <row r="188" spans="1:14" ht="13.2" hidden="1" x14ac:dyDescent="0.25">
      <c r="A188" s="124"/>
      <c r="B188" s="125"/>
      <c r="C188" s="126"/>
      <c r="D188" s="127"/>
      <c r="E188" s="128"/>
      <c r="F188" s="129"/>
      <c r="G188" s="58"/>
      <c r="H188" s="56"/>
      <c r="I188" s="60">
        <f>Таблица224267[[#This Row],[Стоимость, 
грн]]</f>
        <v>0</v>
      </c>
      <c r="J188" s="99" t="e">
        <f>Таблица224267[[#This Row],[Доход, 
грн/рейс]]/Таблица224267[[#This Row],[Километраж, 
км]]</f>
        <v>#DIV/0!</v>
      </c>
      <c r="K188" s="12"/>
      <c r="L188" s="99" t="e">
        <f>Таблица224267[[#This Row],[СС, 
грн/рейс]]/Таблица224267[[#This Row],[Километраж, 
км]]</f>
        <v>#DIV/0!</v>
      </c>
      <c r="M188" s="100">
        <f>Таблица224267[[#This Row],[Доход, 
грн/рейс]]-Таблица224267[[#This Row],[СС, 
грн/рейс]]</f>
        <v>0</v>
      </c>
      <c r="N188" s="24"/>
    </row>
    <row r="189" spans="1:14" ht="13.2" hidden="1" x14ac:dyDescent="0.25">
      <c r="A189" s="124"/>
      <c r="B189" s="125"/>
      <c r="C189" s="126"/>
      <c r="D189" s="127"/>
      <c r="E189" s="128"/>
      <c r="F189" s="129"/>
      <c r="G189" s="58"/>
      <c r="H189" s="56"/>
      <c r="I189" s="60">
        <f>Таблица224267[[#This Row],[Стоимость, 
грн]]</f>
        <v>0</v>
      </c>
      <c r="J189" s="99" t="e">
        <f>Таблица224267[[#This Row],[Доход, 
грн/рейс]]/Таблица224267[[#This Row],[Километраж, 
км]]</f>
        <v>#DIV/0!</v>
      </c>
      <c r="K189" s="12"/>
      <c r="L189" s="99" t="e">
        <f>Таблица224267[[#This Row],[СС, 
грн/рейс]]/Таблица224267[[#This Row],[Километраж, 
км]]</f>
        <v>#DIV/0!</v>
      </c>
      <c r="M189" s="100">
        <f>Таблица224267[[#This Row],[Доход, 
грн/рейс]]-Таблица224267[[#This Row],[СС, 
грн/рейс]]</f>
        <v>0</v>
      </c>
      <c r="N189" s="24"/>
    </row>
    <row r="190" spans="1:14" ht="13.2" hidden="1" x14ac:dyDescent="0.25">
      <c r="A190" s="124"/>
      <c r="B190" s="125"/>
      <c r="C190" s="126"/>
      <c r="D190" s="127"/>
      <c r="E190" s="128"/>
      <c r="F190" s="129"/>
      <c r="G190" s="58"/>
      <c r="H190" s="56"/>
      <c r="I190" s="60">
        <f>Таблица224267[[#This Row],[Стоимость, 
грн]]</f>
        <v>0</v>
      </c>
      <c r="J190" s="99" t="e">
        <f>Таблица224267[[#This Row],[Доход, 
грн/рейс]]/Таблица224267[[#This Row],[Километраж, 
км]]</f>
        <v>#DIV/0!</v>
      </c>
      <c r="K190" s="12"/>
      <c r="L190" s="99" t="e">
        <f>Таблица224267[[#This Row],[СС, 
грн/рейс]]/Таблица224267[[#This Row],[Километраж, 
км]]</f>
        <v>#DIV/0!</v>
      </c>
      <c r="M190" s="100">
        <f>Таблица224267[[#This Row],[Доход, 
грн/рейс]]-Таблица224267[[#This Row],[СС, 
грн/рейс]]</f>
        <v>0</v>
      </c>
      <c r="N190" s="24"/>
    </row>
    <row r="191" spans="1:14" ht="13.2" hidden="1" x14ac:dyDescent="0.25">
      <c r="A191" s="124"/>
      <c r="B191" s="125"/>
      <c r="C191" s="126"/>
      <c r="D191" s="127"/>
      <c r="E191" s="128"/>
      <c r="F191" s="129"/>
      <c r="G191" s="58"/>
      <c r="H191" s="56"/>
      <c r="I191" s="60">
        <f>Таблица224267[[#This Row],[Стоимость, 
грн]]</f>
        <v>0</v>
      </c>
      <c r="J191" s="99" t="e">
        <f>Таблица224267[[#This Row],[Доход, 
грн/рейс]]/Таблица224267[[#This Row],[Километраж, 
км]]</f>
        <v>#DIV/0!</v>
      </c>
      <c r="K191" s="12"/>
      <c r="L191" s="99" t="e">
        <f>Таблица224267[[#This Row],[СС, 
грн/рейс]]/Таблица224267[[#This Row],[Километраж, 
км]]</f>
        <v>#DIV/0!</v>
      </c>
      <c r="M191" s="100">
        <f>Таблица224267[[#This Row],[Доход, 
грн/рейс]]-Таблица224267[[#This Row],[СС, 
грн/рейс]]</f>
        <v>0</v>
      </c>
      <c r="N191" s="24"/>
    </row>
    <row r="192" spans="1:14" ht="13.2" hidden="1" x14ac:dyDescent="0.25">
      <c r="A192" s="124"/>
      <c r="B192" s="125"/>
      <c r="C192" s="126"/>
      <c r="D192" s="127"/>
      <c r="E192" s="128"/>
      <c r="F192" s="129"/>
      <c r="G192" s="58"/>
      <c r="H192" s="56"/>
      <c r="I192" s="60">
        <f>Таблица224267[[#This Row],[Стоимость, 
грн]]</f>
        <v>0</v>
      </c>
      <c r="J192" s="99" t="e">
        <f>Таблица224267[[#This Row],[Доход, 
грн/рейс]]/Таблица224267[[#This Row],[Километраж, 
км]]</f>
        <v>#DIV/0!</v>
      </c>
      <c r="K192" s="12"/>
      <c r="L192" s="99" t="e">
        <f>Таблица224267[[#This Row],[СС, 
грн/рейс]]/Таблица224267[[#This Row],[Километраж, 
км]]</f>
        <v>#DIV/0!</v>
      </c>
      <c r="M192" s="100">
        <f>Таблица224267[[#This Row],[Доход, 
грн/рейс]]-Таблица224267[[#This Row],[СС, 
грн/рейс]]</f>
        <v>0</v>
      </c>
      <c r="N192" s="24"/>
    </row>
    <row r="193" spans="1:15" ht="13.2" hidden="1" x14ac:dyDescent="0.25">
      <c r="A193" s="124"/>
      <c r="B193" s="125"/>
      <c r="C193" s="126"/>
      <c r="D193" s="127"/>
      <c r="E193" s="128"/>
      <c r="F193" s="129"/>
      <c r="G193" s="58"/>
      <c r="H193" s="56"/>
      <c r="I193" s="60">
        <f>Таблица224267[[#This Row],[Стоимость, 
грн]]</f>
        <v>0</v>
      </c>
      <c r="J193" s="99" t="e">
        <f>Таблица224267[[#This Row],[Доход, 
грн/рейс]]/Таблица224267[[#This Row],[Километраж, 
км]]</f>
        <v>#DIV/0!</v>
      </c>
      <c r="K193" s="12"/>
      <c r="L193" s="99" t="e">
        <f>Таблица224267[[#This Row],[СС, 
грн/рейс]]/Таблица224267[[#This Row],[Километраж, 
км]]</f>
        <v>#DIV/0!</v>
      </c>
      <c r="M193" s="100">
        <f>Таблица224267[[#This Row],[Доход, 
грн/рейс]]-Таблица224267[[#This Row],[СС, 
грн/рейс]]</f>
        <v>0</v>
      </c>
      <c r="N193" s="24"/>
    </row>
    <row r="194" spans="1:15" ht="13.2" hidden="1" x14ac:dyDescent="0.25">
      <c r="A194" s="124"/>
      <c r="B194" s="125"/>
      <c r="C194" s="126"/>
      <c r="D194" s="127"/>
      <c r="E194" s="128"/>
      <c r="F194" s="129"/>
      <c r="G194" s="58"/>
      <c r="H194" s="56"/>
      <c r="I194" s="60">
        <f>Таблица224267[[#This Row],[Стоимость, 
грн]]</f>
        <v>0</v>
      </c>
      <c r="J194" s="99" t="e">
        <f>Таблица224267[[#This Row],[Доход, 
грн/рейс]]/Таблица224267[[#This Row],[Километраж, 
км]]</f>
        <v>#DIV/0!</v>
      </c>
      <c r="K194" s="12"/>
      <c r="L194" s="99" t="e">
        <f>Таблица224267[[#This Row],[СС, 
грн/рейс]]/Таблица224267[[#This Row],[Километраж, 
км]]</f>
        <v>#DIV/0!</v>
      </c>
      <c r="M194" s="100">
        <f>Таблица224267[[#This Row],[Доход, 
грн/рейс]]-Таблица224267[[#This Row],[СС, 
грн/рейс]]</f>
        <v>0</v>
      </c>
      <c r="N194" s="24"/>
    </row>
    <row r="195" spans="1:15" ht="13.2" hidden="1" x14ac:dyDescent="0.25">
      <c r="A195" s="124"/>
      <c r="B195" s="125"/>
      <c r="C195" s="126"/>
      <c r="D195" s="127"/>
      <c r="E195" s="128"/>
      <c r="F195" s="129"/>
      <c r="G195" s="58"/>
      <c r="H195" s="56"/>
      <c r="I195" s="60">
        <f>Таблица224267[[#This Row],[Стоимость, 
грн]]</f>
        <v>0</v>
      </c>
      <c r="J195" s="99" t="e">
        <f>Таблица224267[[#This Row],[Доход, 
грн/рейс]]/Таблица224267[[#This Row],[Километраж, 
км]]</f>
        <v>#DIV/0!</v>
      </c>
      <c r="K195" s="12"/>
      <c r="L195" s="99" t="e">
        <f>Таблица224267[[#This Row],[СС, 
грн/рейс]]/Таблица224267[[#This Row],[Километраж, 
км]]</f>
        <v>#DIV/0!</v>
      </c>
      <c r="M195" s="100">
        <f>Таблица224267[[#This Row],[Доход, 
грн/рейс]]-Таблица224267[[#This Row],[СС, 
грн/рейс]]</f>
        <v>0</v>
      </c>
      <c r="N195" s="24"/>
    </row>
    <row r="196" spans="1:15" ht="13.2" hidden="1" x14ac:dyDescent="0.25">
      <c r="A196" s="124"/>
      <c r="B196" s="125"/>
      <c r="C196" s="126"/>
      <c r="D196" s="127"/>
      <c r="E196" s="128"/>
      <c r="F196" s="129"/>
      <c r="G196" s="58"/>
      <c r="H196" s="56"/>
      <c r="I196" s="60">
        <f>Таблица224267[[#This Row],[Стоимость, 
грн]]</f>
        <v>0</v>
      </c>
      <c r="J196" s="99" t="e">
        <f>Таблица224267[[#This Row],[Доход, 
грн/рейс]]/Таблица224267[[#This Row],[Километраж, 
км]]</f>
        <v>#DIV/0!</v>
      </c>
      <c r="K196" s="12"/>
      <c r="L196" s="99" t="e">
        <f>Таблица224267[[#This Row],[СС, 
грн/рейс]]/Таблица224267[[#This Row],[Километраж, 
км]]</f>
        <v>#DIV/0!</v>
      </c>
      <c r="M196" s="100">
        <f>Таблица224267[[#This Row],[Доход, 
грн/рейс]]-Таблица224267[[#This Row],[СС, 
грн/рейс]]</f>
        <v>0</v>
      </c>
      <c r="N196" s="24"/>
    </row>
    <row r="197" spans="1:15" ht="13.2" hidden="1" x14ac:dyDescent="0.25">
      <c r="A197" s="124"/>
      <c r="B197" s="125"/>
      <c r="C197" s="126"/>
      <c r="D197" s="127"/>
      <c r="E197" s="128"/>
      <c r="F197" s="129"/>
      <c r="G197" s="58"/>
      <c r="H197" s="56"/>
      <c r="I197" s="60">
        <f>Таблица224267[[#This Row],[Стоимость, 
грн]]</f>
        <v>0</v>
      </c>
      <c r="J197" s="99" t="e">
        <f>Таблица224267[[#This Row],[Доход, 
грн/рейс]]/Таблица224267[[#This Row],[Километраж, 
км]]</f>
        <v>#DIV/0!</v>
      </c>
      <c r="K197" s="12"/>
      <c r="L197" s="99" t="e">
        <f>Таблица224267[[#This Row],[СС, 
грн/рейс]]/Таблица224267[[#This Row],[Километраж, 
км]]</f>
        <v>#DIV/0!</v>
      </c>
      <c r="M197" s="100">
        <f>Таблица224267[[#This Row],[Доход, 
грн/рейс]]-Таблица224267[[#This Row],[СС, 
грн/рейс]]</f>
        <v>0</v>
      </c>
      <c r="N197" s="24"/>
    </row>
    <row r="198" spans="1:15" ht="13.2" hidden="1" x14ac:dyDescent="0.25">
      <c r="A198" s="124"/>
      <c r="B198" s="125"/>
      <c r="C198" s="126"/>
      <c r="D198" s="127"/>
      <c r="E198" s="128"/>
      <c r="F198" s="129"/>
      <c r="G198" s="58"/>
      <c r="H198" s="56"/>
      <c r="I198" s="60">
        <f>Таблица224267[[#This Row],[Стоимость, 
грн]]</f>
        <v>0</v>
      </c>
      <c r="J198" s="99" t="e">
        <f>Таблица224267[[#This Row],[Доход, 
грн/рейс]]/Таблица224267[[#This Row],[Километраж, 
км]]</f>
        <v>#DIV/0!</v>
      </c>
      <c r="K198" s="12"/>
      <c r="L198" s="99" t="e">
        <f>Таблица224267[[#This Row],[СС, 
грн/рейс]]/Таблица224267[[#This Row],[Километраж, 
км]]</f>
        <v>#DIV/0!</v>
      </c>
      <c r="M198" s="100">
        <f>Таблица224267[[#This Row],[Доход, 
грн/рейс]]-Таблица224267[[#This Row],[СС, 
грн/рейс]]</f>
        <v>0</v>
      </c>
      <c r="N198" s="24"/>
    </row>
    <row r="199" spans="1:15" ht="13.2" hidden="1" x14ac:dyDescent="0.25">
      <c r="A199" s="124"/>
      <c r="B199" s="125"/>
      <c r="C199" s="126"/>
      <c r="D199" s="127"/>
      <c r="E199" s="128"/>
      <c r="F199" s="129"/>
      <c r="G199" s="58"/>
      <c r="H199" s="56"/>
      <c r="I199" s="60">
        <f>Таблица224267[[#This Row],[Стоимость, 
грн]]</f>
        <v>0</v>
      </c>
      <c r="J199" s="99" t="e">
        <f>Таблица224267[[#This Row],[Доход, 
грн/рейс]]/Таблица224267[[#This Row],[Километраж, 
км]]</f>
        <v>#DIV/0!</v>
      </c>
      <c r="K199" s="12"/>
      <c r="L199" s="99" t="e">
        <f>Таблица224267[[#This Row],[СС, 
грн/рейс]]/Таблица224267[[#This Row],[Километраж, 
км]]</f>
        <v>#DIV/0!</v>
      </c>
      <c r="M199" s="100">
        <f>Таблица224267[[#This Row],[Доход, 
грн/рейс]]-Таблица224267[[#This Row],[СС, 
грн/рейс]]</f>
        <v>0</v>
      </c>
      <c r="N199" s="24"/>
    </row>
    <row r="200" spans="1:15" ht="13.2" hidden="1" x14ac:dyDescent="0.25">
      <c r="A200" s="124"/>
      <c r="B200" s="125"/>
      <c r="C200" s="126"/>
      <c r="D200" s="127"/>
      <c r="E200" s="128"/>
      <c r="F200" s="129"/>
      <c r="G200" s="58"/>
      <c r="H200" s="56"/>
      <c r="I200" s="60">
        <f>Таблица224267[[#This Row],[Стоимость, 
грн]]</f>
        <v>0</v>
      </c>
      <c r="J200" s="99" t="e">
        <f>Таблица224267[[#This Row],[Доход, 
грн/рейс]]/Таблица224267[[#This Row],[Километраж, 
км]]</f>
        <v>#DIV/0!</v>
      </c>
      <c r="K200" s="12"/>
      <c r="L200" s="99" t="e">
        <f>Таблица224267[[#This Row],[СС, 
грн/рейс]]/Таблица224267[[#This Row],[Километраж, 
км]]</f>
        <v>#DIV/0!</v>
      </c>
      <c r="M200" s="100">
        <f>Таблица224267[[#This Row],[Доход, 
грн/рейс]]-Таблица224267[[#This Row],[СС, 
грн/рейс]]</f>
        <v>0</v>
      </c>
      <c r="N200" s="24"/>
    </row>
    <row r="201" spans="1:15" ht="13.2" hidden="1" x14ac:dyDescent="0.25">
      <c r="A201" s="124"/>
      <c r="B201" s="125"/>
      <c r="C201" s="126"/>
      <c r="D201" s="127"/>
      <c r="E201" s="128"/>
      <c r="F201" s="129"/>
      <c r="G201" s="58"/>
      <c r="H201" s="56"/>
      <c r="I201" s="60">
        <f>Таблица224267[[#This Row],[Стоимость, 
грн]]</f>
        <v>0</v>
      </c>
      <c r="J201" s="99" t="e">
        <f>Таблица224267[[#This Row],[Доход, 
грн/рейс]]/Таблица224267[[#This Row],[Километраж, 
км]]</f>
        <v>#DIV/0!</v>
      </c>
      <c r="K201" s="12"/>
      <c r="L201" s="99" t="e">
        <f>Таблица224267[[#This Row],[СС, 
грн/рейс]]/Таблица224267[[#This Row],[Километраж, 
км]]</f>
        <v>#DIV/0!</v>
      </c>
      <c r="M201" s="100">
        <f>Таблица224267[[#This Row],[Доход, 
грн/рейс]]-Таблица224267[[#This Row],[СС, 
грн/рейс]]</f>
        <v>0</v>
      </c>
      <c r="N201" s="24"/>
    </row>
    <row r="202" spans="1:15" ht="13.2" hidden="1" x14ac:dyDescent="0.25">
      <c r="A202" s="124"/>
      <c r="B202" s="125"/>
      <c r="C202" s="126"/>
      <c r="D202" s="127"/>
      <c r="E202" s="128"/>
      <c r="F202" s="129"/>
      <c r="G202" s="58"/>
      <c r="H202" s="56"/>
      <c r="I202" s="60">
        <f>Таблица224267[[#This Row],[Стоимость, 
грн]]</f>
        <v>0</v>
      </c>
      <c r="J202" s="99" t="e">
        <f>Таблица224267[[#This Row],[Доход, 
грн/рейс]]/Таблица224267[[#This Row],[Километраж, 
км]]</f>
        <v>#DIV/0!</v>
      </c>
      <c r="K202" s="12"/>
      <c r="L202" s="99" t="e">
        <f>Таблица224267[[#This Row],[СС, 
грн/рейс]]/Таблица224267[[#This Row],[Километраж, 
км]]</f>
        <v>#DIV/0!</v>
      </c>
      <c r="M202" s="100">
        <f>Таблица224267[[#This Row],[Доход, 
грн/рейс]]-Таблица224267[[#This Row],[СС, 
грн/рейс]]</f>
        <v>0</v>
      </c>
      <c r="N202" s="24"/>
    </row>
    <row r="203" spans="1:15" ht="13.2" hidden="1" x14ac:dyDescent="0.25">
      <c r="A203" s="124"/>
      <c r="B203" s="125"/>
      <c r="C203" s="126"/>
      <c r="D203" s="127"/>
      <c r="E203" s="128"/>
      <c r="F203" s="129"/>
      <c r="G203" s="58"/>
      <c r="H203" s="56"/>
      <c r="I203" s="60">
        <f>Таблица224267[[#This Row],[Стоимость, 
грн]]</f>
        <v>0</v>
      </c>
      <c r="J203" s="99" t="e">
        <f>Таблица224267[[#This Row],[Доход, 
грн/рейс]]/Таблица224267[[#This Row],[Километраж, 
км]]</f>
        <v>#DIV/0!</v>
      </c>
      <c r="K203" s="12"/>
      <c r="L203" s="99" t="e">
        <f>Таблица224267[[#This Row],[СС, 
грн/рейс]]/Таблица224267[[#This Row],[Километраж, 
км]]</f>
        <v>#DIV/0!</v>
      </c>
      <c r="M203" s="100">
        <f>Таблица224267[[#This Row],[Доход, 
грн/рейс]]-Таблица224267[[#This Row],[СС, 
грн/рейс]]</f>
        <v>0</v>
      </c>
      <c r="N203" s="24"/>
    </row>
    <row r="204" spans="1:15" ht="13.2" hidden="1" x14ac:dyDescent="0.25">
      <c r="A204" s="124"/>
      <c r="B204" s="125"/>
      <c r="C204" s="126"/>
      <c r="D204" s="127"/>
      <c r="E204" s="128"/>
      <c r="F204" s="129"/>
      <c r="G204" s="58"/>
      <c r="H204" s="56"/>
      <c r="I204" s="60">
        <f>Таблица224267[[#This Row],[Стоимость, 
грн]]</f>
        <v>0</v>
      </c>
      <c r="J204" s="99" t="e">
        <f>Таблица224267[[#This Row],[Доход, 
грн/рейс]]/Таблица224267[[#This Row],[Километраж, 
км]]</f>
        <v>#DIV/0!</v>
      </c>
      <c r="K204" s="12"/>
      <c r="L204" s="99" t="e">
        <f>Таблица224267[[#This Row],[СС, 
грн/рейс]]/Таблица224267[[#This Row],[Километраж, 
км]]</f>
        <v>#DIV/0!</v>
      </c>
      <c r="M204" s="100">
        <f>Таблица224267[[#This Row],[Доход, 
грн/рейс]]-Таблица224267[[#This Row],[СС, 
грн/рейс]]</f>
        <v>0</v>
      </c>
      <c r="N204" s="24"/>
    </row>
    <row r="205" spans="1:15" ht="13.2" hidden="1" x14ac:dyDescent="0.25">
      <c r="A205" s="124"/>
      <c r="B205" s="125"/>
      <c r="C205" s="126"/>
      <c r="D205" s="127"/>
      <c r="E205" s="128"/>
      <c r="F205" s="129"/>
      <c r="G205" s="58"/>
      <c r="H205" s="56"/>
      <c r="I205" s="60">
        <f>Таблица224267[[#This Row],[Стоимость, 
грн]]</f>
        <v>0</v>
      </c>
      <c r="J205" s="99" t="e">
        <f>Таблица224267[[#This Row],[Доход, 
грн/рейс]]/Таблица224267[[#This Row],[Километраж, 
км]]</f>
        <v>#DIV/0!</v>
      </c>
      <c r="K205" s="12"/>
      <c r="L205" s="99" t="e">
        <f>Таблица224267[[#This Row],[СС, 
грн/рейс]]/Таблица224267[[#This Row],[Километраж, 
км]]</f>
        <v>#DIV/0!</v>
      </c>
      <c r="M205" s="100">
        <f>Таблица224267[[#This Row],[Доход, 
грн/рейс]]-Таблица224267[[#This Row],[СС, 
грн/рейс]]</f>
        <v>0</v>
      </c>
      <c r="N205" s="24"/>
    </row>
    <row r="206" spans="1:15" ht="13.2" hidden="1" x14ac:dyDescent="0.25">
      <c r="A206" s="124"/>
      <c r="B206" s="125"/>
      <c r="C206" s="126"/>
      <c r="D206" s="127"/>
      <c r="E206" s="128"/>
      <c r="F206" s="129"/>
      <c r="G206" s="58"/>
      <c r="H206" s="56"/>
      <c r="I206" s="60">
        <f>Таблица224267[[#This Row],[Стоимость, 
грн]]</f>
        <v>0</v>
      </c>
      <c r="J206" s="99" t="e">
        <f>Таблица224267[[#This Row],[Доход, 
грн/рейс]]/Таблица224267[[#This Row],[Километраж, 
км]]</f>
        <v>#DIV/0!</v>
      </c>
      <c r="K206" s="12"/>
      <c r="L206" s="99" t="e">
        <f>Таблица224267[[#This Row],[СС, 
грн/рейс]]/Таблица224267[[#This Row],[Километраж, 
км]]</f>
        <v>#DIV/0!</v>
      </c>
      <c r="M206" s="100">
        <f>Таблица224267[[#This Row],[Доход, 
грн/рейс]]-Таблица224267[[#This Row],[СС, 
грн/рейс]]</f>
        <v>0</v>
      </c>
      <c r="N206" s="24"/>
    </row>
    <row r="207" spans="1:15" ht="13.2" hidden="1" x14ac:dyDescent="0.25">
      <c r="A207" s="124"/>
      <c r="B207" s="125"/>
      <c r="C207" s="126"/>
      <c r="D207" s="127"/>
      <c r="E207" s="128"/>
      <c r="F207" s="129"/>
      <c r="G207" s="130"/>
      <c r="H207" s="131"/>
      <c r="I207" s="131"/>
      <c r="J207" s="132"/>
      <c r="K207" s="132"/>
      <c r="L207" s="133"/>
      <c r="M207" s="134"/>
      <c r="N207" s="128"/>
      <c r="O207" s="135"/>
    </row>
    <row r="208" spans="1:15" ht="13.2" hidden="1" x14ac:dyDescent="0.25">
      <c r="A208" s="124"/>
      <c r="B208" s="125"/>
      <c r="C208" s="126"/>
      <c r="D208" s="127"/>
      <c r="E208" s="128"/>
      <c r="F208" s="129"/>
      <c r="G208" s="130"/>
      <c r="H208" s="131"/>
      <c r="I208" s="131"/>
      <c r="J208" s="132"/>
      <c r="K208" s="132"/>
      <c r="L208" s="133"/>
      <c r="M208" s="134"/>
      <c r="N208" s="128"/>
      <c r="O208" s="135"/>
    </row>
    <row r="209" spans="1:15" ht="13.2" hidden="1" x14ac:dyDescent="0.25">
      <c r="A209" s="124"/>
      <c r="B209" s="125"/>
      <c r="C209" s="126"/>
      <c r="D209" s="127"/>
      <c r="E209" s="128"/>
      <c r="F209" s="129"/>
      <c r="G209" s="130"/>
      <c r="H209" s="131"/>
      <c r="I209" s="131"/>
      <c r="J209" s="132"/>
      <c r="K209" s="132"/>
      <c r="L209" s="133"/>
      <c r="M209" s="134"/>
      <c r="N209" s="128"/>
      <c r="O209" s="135"/>
    </row>
    <row r="210" spans="1:15" ht="13.2" hidden="1" x14ac:dyDescent="0.25">
      <c r="A210" s="136"/>
      <c r="B210" s="137"/>
      <c r="C210" s="138"/>
      <c r="D210" s="139"/>
      <c r="E210" s="140"/>
      <c r="F210" s="141"/>
      <c r="G210" s="142"/>
      <c r="H210" s="143"/>
      <c r="I210" s="143"/>
      <c r="J210" s="144"/>
      <c r="K210" s="144"/>
      <c r="L210" s="145"/>
      <c r="M210" s="146"/>
      <c r="N210" s="140"/>
      <c r="O210" s="135"/>
    </row>
    <row r="211" spans="1:15" ht="26.4" x14ac:dyDescent="0.25">
      <c r="A211" s="14" t="s">
        <v>845</v>
      </c>
      <c r="B211" s="125" t="s">
        <v>526</v>
      </c>
      <c r="C211" s="194">
        <v>45717</v>
      </c>
      <c r="D211" s="195" t="s">
        <v>868</v>
      </c>
      <c r="E211" s="223" t="s">
        <v>127</v>
      </c>
      <c r="F211" s="231" t="s">
        <v>870</v>
      </c>
      <c r="G211" s="225">
        <v>2000</v>
      </c>
      <c r="H211" s="226">
        <v>44</v>
      </c>
      <c r="I211" s="226">
        <f>Таблица224267[[#This Row],[Стоимость, 
грн]]</f>
        <v>2000</v>
      </c>
      <c r="J211" s="99">
        <f>Таблица224267[[#This Row],[Доход, 
грн/рейс]]/Таблица224267[[#This Row],[Километраж, 
км]]</f>
        <v>45.454545454545453</v>
      </c>
      <c r="K211" s="227">
        <v>1800</v>
      </c>
      <c r="L211" s="99">
        <f>Таблица224267[[#This Row],[СС, 
грн/рейс]]/Таблица224267[[#This Row],[Километраж, 
км]]</f>
        <v>40.909090909090907</v>
      </c>
      <c r="M211" s="100">
        <f>Таблица224267[[#This Row],[Доход, 
грн/рейс]]-Таблица224267[[#This Row],[СС, 
грн/рейс]]</f>
        <v>200</v>
      </c>
      <c r="N211" s="223"/>
      <c r="O211" s="230"/>
    </row>
    <row r="212" spans="1:15" ht="26.4" x14ac:dyDescent="0.25">
      <c r="A212" s="235" t="s">
        <v>845</v>
      </c>
      <c r="B212" s="236" t="s">
        <v>526</v>
      </c>
      <c r="C212" s="237">
        <v>45717</v>
      </c>
      <c r="D212" s="238" t="s">
        <v>878</v>
      </c>
      <c r="E212" s="239" t="s">
        <v>127</v>
      </c>
      <c r="F212" s="219" t="s">
        <v>882</v>
      </c>
      <c r="G212" s="241">
        <v>2000</v>
      </c>
      <c r="H212" s="242">
        <v>46</v>
      </c>
      <c r="I212" s="242">
        <f>Таблица224267[[#This Row],[Стоимость, 
грн]]</f>
        <v>2000</v>
      </c>
      <c r="J212" s="99">
        <f>Таблица224267[[#This Row],[Доход, 
грн/рейс]]/Таблица224267[[#This Row],[Километраж, 
км]]</f>
        <v>43.478260869565219</v>
      </c>
      <c r="K212" s="243">
        <v>1800</v>
      </c>
      <c r="L212" s="99">
        <f>Таблица224267[[#This Row],[СС, 
грн/рейс]]/Таблица224267[[#This Row],[Километраж, 
км]]</f>
        <v>39.130434782608695</v>
      </c>
      <c r="M212" s="100">
        <f>Таблица224267[[#This Row],[Доход, 
грн/рейс]]-Таблица224267[[#This Row],[СС, 
грн/рейс]]</f>
        <v>200</v>
      </c>
      <c r="N212" s="239"/>
      <c r="O212" s="246"/>
    </row>
    <row r="213" spans="1:15" ht="13.2" x14ac:dyDescent="0.25">
      <c r="A213" s="84" t="s">
        <v>888</v>
      </c>
      <c r="B213" s="236" t="s">
        <v>526</v>
      </c>
      <c r="C213" s="237">
        <v>45717</v>
      </c>
      <c r="D213" s="249" t="s">
        <v>885</v>
      </c>
      <c r="E213" s="251" t="s">
        <v>127</v>
      </c>
      <c r="F213" s="252" t="s">
        <v>886</v>
      </c>
      <c r="G213" s="253">
        <v>1000</v>
      </c>
      <c r="H213" s="254">
        <v>20</v>
      </c>
      <c r="I213" s="254">
        <f>Таблица224267[[#This Row],[Стоимость, 
грн]]</f>
        <v>1000</v>
      </c>
      <c r="J213" s="99">
        <f>Таблица224267[[#This Row],[Доход, 
грн/рейс]]/Таблица224267[[#This Row],[Километраж, 
км]]</f>
        <v>50</v>
      </c>
      <c r="K213" s="255">
        <v>900</v>
      </c>
      <c r="L213" s="99">
        <f>Таблица224267[[#This Row],[СС, 
грн/рейс]]/Таблица224267[[#This Row],[Километраж, 
км]]</f>
        <v>45</v>
      </c>
      <c r="M213" s="100">
        <f>Таблица224267[[#This Row],[Доход, 
грн/рейс]]-Таблица224267[[#This Row],[СС, 
грн/рейс]]</f>
        <v>100</v>
      </c>
      <c r="N213" s="251"/>
      <c r="O213" s="259"/>
    </row>
    <row r="214" spans="1:15" ht="13.2" x14ac:dyDescent="0.25">
      <c r="A214" s="235" t="s">
        <v>845</v>
      </c>
      <c r="B214" s="236" t="s">
        <v>526</v>
      </c>
      <c r="C214" s="237">
        <v>45717</v>
      </c>
      <c r="D214" s="249" t="s">
        <v>885</v>
      </c>
      <c r="E214" s="251" t="s">
        <v>127</v>
      </c>
      <c r="F214" s="252" t="s">
        <v>887</v>
      </c>
      <c r="G214" s="253">
        <v>3000</v>
      </c>
      <c r="H214" s="254">
        <v>74</v>
      </c>
      <c r="I214" s="254">
        <f>Таблица224267[[#This Row],[Стоимость, 
грн]]</f>
        <v>3000</v>
      </c>
      <c r="J214" s="99">
        <f>Таблица224267[[#This Row],[Доход, 
грн/рейс]]/Таблица224267[[#This Row],[Километраж, 
км]]</f>
        <v>40.54054054054054</v>
      </c>
      <c r="K214" s="255">
        <v>2700</v>
      </c>
      <c r="L214" s="99">
        <f>Таблица224267[[#This Row],[СС, 
грн/рейс]]/Таблица224267[[#This Row],[Километраж, 
км]]</f>
        <v>36.486486486486484</v>
      </c>
      <c r="M214" s="100">
        <f>Таблица224267[[#This Row],[Доход, 
грн/рейс]]-Таблица224267[[#This Row],[СС, 
грн/рейс]]</f>
        <v>300</v>
      </c>
      <c r="N214" s="251"/>
      <c r="O214" s="259"/>
    </row>
    <row r="215" spans="1:15" ht="13.2" x14ac:dyDescent="0.25">
      <c r="A215" s="260" t="s">
        <v>845</v>
      </c>
      <c r="B215" s="261" t="s">
        <v>526</v>
      </c>
      <c r="C215" s="262">
        <v>45717</v>
      </c>
      <c r="D215" s="263" t="s">
        <v>889</v>
      </c>
      <c r="E215" s="251" t="s">
        <v>127</v>
      </c>
      <c r="F215" s="252" t="s">
        <v>887</v>
      </c>
      <c r="G215" s="253">
        <v>1000</v>
      </c>
      <c r="H215" s="254">
        <v>23</v>
      </c>
      <c r="I215" s="254">
        <f>Таблица224267[[#This Row],[Стоимость, 
грн]]</f>
        <v>1000</v>
      </c>
      <c r="J215" s="99">
        <f>Таблица224267[[#This Row],[Доход, 
грн/рейс]]/Таблица224267[[#This Row],[Километраж, 
км]]</f>
        <v>43.478260869565219</v>
      </c>
      <c r="K215" s="255">
        <v>900</v>
      </c>
      <c r="L215" s="99">
        <f>Таблица224267[[#This Row],[СС, 
грн/рейс]]/Таблица224267[[#This Row],[Километраж, 
км]]</f>
        <v>39.130434782608695</v>
      </c>
      <c r="M215" s="100">
        <f>Таблица224267[[#This Row],[Доход, 
грн/рейс]]-Таблица224267[[#This Row],[СС, 
грн/рейс]]</f>
        <v>100</v>
      </c>
      <c r="N215" s="251"/>
      <c r="O215" s="259"/>
    </row>
    <row r="216" spans="1:15" ht="13.2" x14ac:dyDescent="0.25">
      <c r="A216" s="260" t="s">
        <v>845</v>
      </c>
      <c r="B216" s="261" t="s">
        <v>526</v>
      </c>
      <c r="C216" s="262">
        <v>45717</v>
      </c>
      <c r="D216" s="249" t="s">
        <v>892</v>
      </c>
      <c r="E216" s="264" t="s">
        <v>127</v>
      </c>
      <c r="F216" s="252" t="s">
        <v>887</v>
      </c>
      <c r="G216" s="265">
        <v>1000</v>
      </c>
      <c r="H216" s="266">
        <v>24</v>
      </c>
      <c r="I216" s="266">
        <f>Таблица224267[[#This Row],[Стоимость, 
грн]]</f>
        <v>1000</v>
      </c>
      <c r="J216" s="99">
        <f>Таблица224267[[#This Row],[Доход, 
грн/рейс]]/Таблица224267[[#This Row],[Километраж, 
км]]</f>
        <v>41.666666666666664</v>
      </c>
      <c r="K216" s="255">
        <v>900</v>
      </c>
      <c r="L216" s="99">
        <f>Таблица224267[[#This Row],[СС, 
грн/рейс]]/Таблица224267[[#This Row],[Километраж, 
км]]</f>
        <v>37.5</v>
      </c>
      <c r="M216" s="100">
        <f>Таблица224267[[#This Row],[Доход, 
грн/рейс]]-Таблица224267[[#This Row],[СС, 
грн/рейс]]</f>
        <v>100</v>
      </c>
      <c r="N216" s="264"/>
      <c r="O216" s="271"/>
    </row>
    <row r="217" spans="1:15" ht="13.2" x14ac:dyDescent="0.25">
      <c r="A217" s="260" t="s">
        <v>845</v>
      </c>
      <c r="B217" s="261" t="s">
        <v>526</v>
      </c>
      <c r="C217" s="262">
        <v>45717</v>
      </c>
      <c r="D217" s="249" t="s">
        <v>895</v>
      </c>
      <c r="E217" s="272" t="s">
        <v>127</v>
      </c>
      <c r="F217" s="252" t="s">
        <v>887</v>
      </c>
      <c r="G217" s="273">
        <v>3000</v>
      </c>
      <c r="H217" s="274">
        <v>76</v>
      </c>
      <c r="I217" s="274">
        <f>Таблица224267[[#This Row],[Стоимость, 
грн]]</f>
        <v>3000</v>
      </c>
      <c r="J217" s="99">
        <f>Таблица224267[[#This Row],[Доход, 
грн/рейс]]/Таблица224267[[#This Row],[Километраж, 
км]]</f>
        <v>39.473684210526315</v>
      </c>
      <c r="K217" s="255">
        <v>2700</v>
      </c>
      <c r="L217" s="99">
        <f>Таблица224267[[#This Row],[СС, 
грн/рейс]]/Таблица224267[[#This Row],[Километраж, 
км]]</f>
        <v>35.526315789473685</v>
      </c>
      <c r="M217" s="100">
        <f>Таблица224267[[#This Row],[Доход, 
грн/рейс]]-Таблица224267[[#This Row],[СС, 
грн/рейс]]</f>
        <v>300</v>
      </c>
      <c r="N217" s="272"/>
      <c r="O217" s="275"/>
    </row>
    <row r="218" spans="1:15" ht="13.2" x14ac:dyDescent="0.25">
      <c r="A218" s="260" t="s">
        <v>845</v>
      </c>
      <c r="B218" s="261" t="s">
        <v>526</v>
      </c>
      <c r="C218" s="262">
        <v>45717</v>
      </c>
      <c r="D218" s="249" t="s">
        <v>898</v>
      </c>
      <c r="E218" s="272" t="s">
        <v>127</v>
      </c>
      <c r="F218" s="252" t="s">
        <v>887</v>
      </c>
      <c r="G218" s="203">
        <v>4000</v>
      </c>
      <c r="H218" s="204">
        <v>97</v>
      </c>
      <c r="I218" s="204">
        <f>Таблица224267[[#This Row],[Стоимость, 
грн]]</f>
        <v>4000</v>
      </c>
      <c r="J218" s="99">
        <f>Таблица224267[[#This Row],[Доход, 
грн/рейс]]/Таблица224267[[#This Row],[Километраж, 
км]]</f>
        <v>41.237113402061858</v>
      </c>
      <c r="K218" s="205">
        <v>3600</v>
      </c>
      <c r="L218" s="99">
        <f>Таблица224267[[#This Row],[СС, 
грн/рейс]]/Таблица224267[[#This Row],[Километраж, 
км]]</f>
        <v>37.113402061855673</v>
      </c>
      <c r="M218" s="100">
        <f>Таблица224267[[#This Row],[Доход, 
грн/рейс]]-Таблица224267[[#This Row],[СС, 
грн/рейс]]</f>
        <v>400</v>
      </c>
      <c r="N218" s="201"/>
      <c r="O218" s="277"/>
    </row>
    <row r="219" spans="1:15" ht="13.2" x14ac:dyDescent="0.25">
      <c r="A219" s="260" t="s">
        <v>845</v>
      </c>
      <c r="B219" s="261" t="s">
        <v>526</v>
      </c>
      <c r="C219" s="278">
        <v>45748</v>
      </c>
      <c r="D219" s="279" t="s">
        <v>899</v>
      </c>
      <c r="E219" s="272" t="s">
        <v>127</v>
      </c>
      <c r="F219" s="252" t="s">
        <v>887</v>
      </c>
      <c r="G219" s="273">
        <v>4000</v>
      </c>
      <c r="H219" s="274">
        <v>97</v>
      </c>
      <c r="I219" s="274">
        <f>Таблица224267[[#This Row],[Стоимость, 
грн]]</f>
        <v>4000</v>
      </c>
      <c r="J219" s="99">
        <f>Таблица224267[[#This Row],[Доход, 
грн/рейс]]/Таблица224267[[#This Row],[Километраж, 
км]]</f>
        <v>41.237113402061858</v>
      </c>
      <c r="K219" s="281">
        <v>3600</v>
      </c>
      <c r="L219" s="99">
        <f>Таблица224267[[#This Row],[СС, 
грн/рейс]]/Таблица224267[[#This Row],[Километраж, 
км]]</f>
        <v>37.113402061855673</v>
      </c>
      <c r="M219" s="100">
        <f>Таблица224267[[#This Row],[Доход, 
грн/рейс]]-Таблица224267[[#This Row],[СС, 
грн/рейс]]</f>
        <v>400</v>
      </c>
      <c r="N219" s="272"/>
      <c r="O219" s="275"/>
    </row>
    <row r="220" spans="1:15" ht="13.2" x14ac:dyDescent="0.25">
      <c r="A220" s="260" t="s">
        <v>845</v>
      </c>
      <c r="B220" s="261" t="s">
        <v>526</v>
      </c>
      <c r="C220" s="278">
        <v>45748</v>
      </c>
      <c r="D220" s="279" t="s">
        <v>901</v>
      </c>
      <c r="E220" s="272" t="s">
        <v>651</v>
      </c>
      <c r="F220" s="280" t="s">
        <v>848</v>
      </c>
      <c r="G220" s="273">
        <v>1650</v>
      </c>
      <c r="H220" s="274">
        <v>68</v>
      </c>
      <c r="I220" s="274">
        <f>Таблица224267[[#This Row],[Стоимость, 
грн]]</f>
        <v>1650</v>
      </c>
      <c r="J220" s="99">
        <f>Таблица224267[[#This Row],[Доход, 
грн/рейс]]/Таблица224267[[#This Row],[Километраж, 
км]]</f>
        <v>24.264705882352942</v>
      </c>
      <c r="K220" s="281">
        <v>1500</v>
      </c>
      <c r="L220" s="99">
        <f>Таблица224267[[#This Row],[СС, 
грн/рейс]]/Таблица224267[[#This Row],[Километраж, 
км]]</f>
        <v>22.058823529411764</v>
      </c>
      <c r="M220" s="100">
        <f>Таблица224267[[#This Row],[Доход, 
грн/рейс]]-Таблица224267[[#This Row],[СС, 
грн/рейс]]</f>
        <v>150</v>
      </c>
      <c r="N220" s="272"/>
      <c r="O220" s="275"/>
    </row>
    <row r="221" spans="1:15" ht="13.2" x14ac:dyDescent="0.25">
      <c r="A221" s="260" t="s">
        <v>845</v>
      </c>
      <c r="B221" s="261" t="s">
        <v>526</v>
      </c>
      <c r="C221" s="284">
        <v>45748</v>
      </c>
      <c r="D221" s="285" t="s">
        <v>900</v>
      </c>
      <c r="E221" s="272" t="s">
        <v>127</v>
      </c>
      <c r="F221" s="252" t="s">
        <v>887</v>
      </c>
      <c r="G221" s="203">
        <v>2000</v>
      </c>
      <c r="H221" s="204">
        <v>44</v>
      </c>
      <c r="I221" s="204">
        <f>Таблица224267[[#This Row],[Стоимость, 
грн]]</f>
        <v>2000</v>
      </c>
      <c r="J221" s="99">
        <f>Таблица224267[[#This Row],[Доход, 
грн/рейс]]/Таблица224267[[#This Row],[Километраж, 
км]]</f>
        <v>45.454545454545453</v>
      </c>
      <c r="K221" s="205">
        <v>1800</v>
      </c>
      <c r="L221" s="99">
        <f>Таблица224267[[#This Row],[СС, 
грн/рейс]]/Таблица224267[[#This Row],[Километраж, 
км]]</f>
        <v>40.909090909090907</v>
      </c>
      <c r="M221" s="100">
        <f>Таблица224267[[#This Row],[Доход, 
грн/рейс]]-Таблица224267[[#This Row],[СС, 
грн/рейс]]</f>
        <v>200</v>
      </c>
      <c r="N221" s="201"/>
      <c r="O221" s="277"/>
    </row>
    <row r="222" spans="1:15" ht="13.2" x14ac:dyDescent="0.25">
      <c r="A222" s="260" t="s">
        <v>845</v>
      </c>
      <c r="B222" s="261" t="s">
        <v>526</v>
      </c>
      <c r="C222" s="284">
        <v>45748</v>
      </c>
      <c r="D222" s="285" t="s">
        <v>907</v>
      </c>
      <c r="E222" s="286" t="s">
        <v>127</v>
      </c>
      <c r="F222" s="287" t="s">
        <v>887</v>
      </c>
      <c r="G222" s="288">
        <v>1000</v>
      </c>
      <c r="H222" s="289">
        <v>23</v>
      </c>
      <c r="I222" s="289">
        <f>Таблица224267[[#This Row],[Стоимость, 
грн]]</f>
        <v>1000</v>
      </c>
      <c r="J222" s="99">
        <f>Таблица224267[[#This Row],[Доход, 
грн/рейс]]/Таблица224267[[#This Row],[Километраж, 
км]]</f>
        <v>43.478260869565219</v>
      </c>
      <c r="K222" s="290">
        <v>900</v>
      </c>
      <c r="L222" s="99">
        <f>Таблица224267[[#This Row],[СС, 
грн/рейс]]/Таблица224267[[#This Row],[Километраж, 
км]]</f>
        <v>39.130434782608695</v>
      </c>
      <c r="M222" s="100">
        <f>Таблица224267[[#This Row],[Доход, 
грн/рейс]]-Таблица224267[[#This Row],[СС, 
грн/рейс]]</f>
        <v>100</v>
      </c>
      <c r="N222" s="286"/>
      <c r="O222" s="293"/>
    </row>
    <row r="223" spans="1:15" ht="13.2" x14ac:dyDescent="0.25">
      <c r="A223" s="84" t="s">
        <v>845</v>
      </c>
      <c r="B223" s="261" t="s">
        <v>526</v>
      </c>
      <c r="C223" s="294">
        <v>45748</v>
      </c>
      <c r="D223" s="295" t="s">
        <v>908</v>
      </c>
      <c r="E223" s="286" t="s">
        <v>127</v>
      </c>
      <c r="F223" s="287" t="s">
        <v>887</v>
      </c>
      <c r="G223" s="288">
        <v>1000</v>
      </c>
      <c r="H223" s="289">
        <v>21</v>
      </c>
      <c r="I223" s="289">
        <f>Таблица224267[[#This Row],[Стоимость, 
грн]]</f>
        <v>1000</v>
      </c>
      <c r="J223" s="99">
        <f>Таблица224267[[#This Row],[Доход, 
грн/рейс]]/Таблица224267[[#This Row],[Километраж, 
км]]</f>
        <v>47.61904761904762</v>
      </c>
      <c r="K223" s="290">
        <v>900</v>
      </c>
      <c r="L223" s="99">
        <f>Таблица224267[[#This Row],[СС, 
грн/рейс]]/Таблица224267[[#This Row],[Километраж, 
км]]</f>
        <v>42.857142857142854</v>
      </c>
      <c r="M223" s="100">
        <f>Таблица224267[[#This Row],[Доход, 
грн/рейс]]-Таблица224267[[#This Row],[СС, 
грн/рейс]]</f>
        <v>100</v>
      </c>
      <c r="N223" s="286"/>
      <c r="O223" s="293"/>
    </row>
    <row r="224" spans="1:15" ht="13.2" x14ac:dyDescent="0.25">
      <c r="A224" s="260" t="s">
        <v>845</v>
      </c>
      <c r="B224" s="261" t="s">
        <v>526</v>
      </c>
      <c r="C224" s="294">
        <v>45748</v>
      </c>
      <c r="D224" s="295" t="s">
        <v>22</v>
      </c>
      <c r="E224" s="286" t="s">
        <v>127</v>
      </c>
      <c r="F224" s="287" t="s">
        <v>887</v>
      </c>
      <c r="G224" s="288">
        <v>3000</v>
      </c>
      <c r="H224" s="289">
        <v>74</v>
      </c>
      <c r="I224" s="289">
        <f>Таблица224267[[#This Row],[Стоимость, 
грн]]</f>
        <v>3000</v>
      </c>
      <c r="J224" s="99">
        <f>Таблица224267[[#This Row],[Доход, 
грн/рейс]]/Таблица224267[[#This Row],[Километраж, 
км]]</f>
        <v>40.54054054054054</v>
      </c>
      <c r="K224" s="290">
        <v>2700</v>
      </c>
      <c r="L224" s="99">
        <f>Таблица224267[[#This Row],[СС, 
грн/рейс]]/Таблица224267[[#This Row],[Километраж, 
км]]</f>
        <v>36.486486486486484</v>
      </c>
      <c r="M224" s="100">
        <f>Таблица224267[[#This Row],[Доход, 
грн/рейс]]-Таблица224267[[#This Row],[СС, 
грн/рейс]]</f>
        <v>300</v>
      </c>
      <c r="N224" s="286"/>
      <c r="O224" s="293"/>
    </row>
    <row r="225" spans="1:15" ht="13.2" x14ac:dyDescent="0.25">
      <c r="A225" s="260" t="s">
        <v>845</v>
      </c>
      <c r="B225" s="261" t="s">
        <v>526</v>
      </c>
      <c r="C225" s="294">
        <v>45748</v>
      </c>
      <c r="D225" s="295" t="s">
        <v>910</v>
      </c>
      <c r="E225" s="286" t="s">
        <v>127</v>
      </c>
      <c r="F225" s="287" t="s">
        <v>887</v>
      </c>
      <c r="G225" s="288">
        <v>2300</v>
      </c>
      <c r="H225" s="289">
        <v>45</v>
      </c>
      <c r="I225" s="289">
        <f>Таблица224267[[#This Row],[Стоимость, 
грн]]</f>
        <v>2300</v>
      </c>
      <c r="J225" s="99">
        <f>Таблица224267[[#This Row],[Доход, 
грн/рейс]]/Таблица224267[[#This Row],[Километраж, 
км]]</f>
        <v>51.111111111111114</v>
      </c>
      <c r="K225" s="290">
        <v>2100</v>
      </c>
      <c r="L225" s="99">
        <f>Таблица224267[[#This Row],[СС, 
грн/рейс]]/Таблица224267[[#This Row],[Километраж, 
км]]</f>
        <v>46.666666666666664</v>
      </c>
      <c r="M225" s="100">
        <f>Таблица224267[[#This Row],[Доход, 
грн/рейс]]-Таблица224267[[#This Row],[СС, 
грн/рейс]]</f>
        <v>200</v>
      </c>
      <c r="N225" s="286"/>
      <c r="O225" s="293"/>
    </row>
    <row r="226" spans="1:15" ht="13.2" x14ac:dyDescent="0.25">
      <c r="A226" s="14" t="s">
        <v>888</v>
      </c>
      <c r="B226" s="62" t="s">
        <v>526</v>
      </c>
      <c r="C226" s="298">
        <v>45748</v>
      </c>
      <c r="D226" s="179" t="s">
        <v>914</v>
      </c>
      <c r="E226" s="157" t="s">
        <v>127</v>
      </c>
      <c r="F226" s="196" t="s">
        <v>886</v>
      </c>
      <c r="G226" s="197">
        <v>1000</v>
      </c>
      <c r="H226" s="154">
        <v>23</v>
      </c>
      <c r="I226" s="154">
        <f>Таблица224267[[#This Row],[Стоимость, 
грн]]</f>
        <v>1000</v>
      </c>
      <c r="J226" s="99">
        <f>Таблица224267[[#This Row],[Доход, 
грн/рейс]]/Таблица224267[[#This Row],[Километраж, 
км]]</f>
        <v>43.478260869565219</v>
      </c>
      <c r="K226" s="155">
        <v>900</v>
      </c>
      <c r="L226" s="99">
        <f>Таблица224267[[#This Row],[СС, 
грн/рейс]]/Таблица224267[[#This Row],[Километраж, 
км]]</f>
        <v>39.130434782608695</v>
      </c>
      <c r="M226" s="100">
        <f>Таблица224267[[#This Row],[Доход, 
грн/рейс]]-Таблица224267[[#This Row],[СС, 
грн/рейс]]</f>
        <v>100</v>
      </c>
      <c r="N226" s="157"/>
      <c r="O226" s="135"/>
    </row>
    <row r="227" spans="1:15" ht="13.2" x14ac:dyDescent="0.25">
      <c r="A227" s="84" t="s">
        <v>845</v>
      </c>
      <c r="B227" s="85" t="s">
        <v>526</v>
      </c>
      <c r="C227" s="284">
        <v>45748</v>
      </c>
      <c r="D227" s="285" t="s">
        <v>914</v>
      </c>
      <c r="E227" s="201" t="s">
        <v>127</v>
      </c>
      <c r="F227" s="202" t="s">
        <v>887</v>
      </c>
      <c r="G227" s="203">
        <v>2000</v>
      </c>
      <c r="H227" s="204">
        <v>48</v>
      </c>
      <c r="I227" s="204">
        <f>Таблица224267[[#This Row],[Стоимость, 
грн]]</f>
        <v>2000</v>
      </c>
      <c r="J227" s="99">
        <f>Таблица224267[[#This Row],[Доход, 
грн/рейс]]/Таблица224267[[#This Row],[Километраж, 
км]]</f>
        <v>41.666666666666664</v>
      </c>
      <c r="K227" s="205">
        <v>1800</v>
      </c>
      <c r="L227" s="99">
        <f>Таблица224267[[#This Row],[СС, 
грн/рейс]]/Таблица224267[[#This Row],[Километраж, 
км]]</f>
        <v>37.5</v>
      </c>
      <c r="M227" s="100">
        <f>Таблица224267[[#This Row],[Доход, 
грн/рейс]]-Таблица224267[[#This Row],[СС, 
грн/рейс]]</f>
        <v>200</v>
      </c>
      <c r="N227" s="201"/>
      <c r="O227" s="277"/>
    </row>
    <row r="228" spans="1:15" ht="26.4" x14ac:dyDescent="0.25">
      <c r="A228" s="299" t="s">
        <v>918</v>
      </c>
      <c r="B228" s="85" t="s">
        <v>526</v>
      </c>
      <c r="C228" s="284">
        <v>45748</v>
      </c>
      <c r="D228" s="285" t="s">
        <v>919</v>
      </c>
      <c r="E228" s="201" t="s">
        <v>127</v>
      </c>
      <c r="F228" s="202" t="s">
        <v>128</v>
      </c>
      <c r="G228" s="203">
        <v>3000</v>
      </c>
      <c r="H228" s="204">
        <v>64</v>
      </c>
      <c r="I228" s="204">
        <f>Таблица224267[[#This Row],[Стоимость, 
грн]]</f>
        <v>3000</v>
      </c>
      <c r="J228" s="99">
        <f>Таблица224267[[#This Row],[Доход, 
грн/рейс]]/Таблица224267[[#This Row],[Километраж, 
км]]</f>
        <v>46.875</v>
      </c>
      <c r="K228" s="205">
        <v>2700</v>
      </c>
      <c r="L228" s="99">
        <f>Таблица224267[[#This Row],[СС, 
грн/рейс]]/Таблица224267[[#This Row],[Километраж, 
км]]</f>
        <v>42.1875</v>
      </c>
      <c r="M228" s="100">
        <f>Таблица224267[[#This Row],[Доход, 
грн/рейс]]-Таблица224267[[#This Row],[СС, 
грн/рейс]]</f>
        <v>300</v>
      </c>
      <c r="N228" s="201"/>
      <c r="O228" s="277"/>
    </row>
    <row r="229" spans="1:15" ht="13.2" x14ac:dyDescent="0.25">
      <c r="A229" s="260" t="s">
        <v>845</v>
      </c>
      <c r="B229" s="261" t="s">
        <v>526</v>
      </c>
      <c r="C229" s="284">
        <v>45748</v>
      </c>
      <c r="D229" s="285" t="s">
        <v>25</v>
      </c>
      <c r="E229" s="201" t="s">
        <v>127</v>
      </c>
      <c r="F229" s="202" t="s">
        <v>128</v>
      </c>
      <c r="G229" s="203">
        <v>4000</v>
      </c>
      <c r="H229" s="204">
        <v>78</v>
      </c>
      <c r="I229" s="204">
        <f>Таблица224267[[#This Row],[Стоимость, 
грн]]</f>
        <v>4000</v>
      </c>
      <c r="J229" s="99">
        <f>Таблица224267[[#This Row],[Доход, 
грн/рейс]]/Таблица224267[[#This Row],[Километраж, 
км]]</f>
        <v>51.282051282051285</v>
      </c>
      <c r="K229" s="205">
        <v>3600</v>
      </c>
      <c r="L229" s="99">
        <f>Таблица224267[[#This Row],[СС, 
грн/рейс]]/Таблица224267[[#This Row],[Километраж, 
км]]</f>
        <v>46.153846153846153</v>
      </c>
      <c r="M229" s="100">
        <f>Таблица224267[[#This Row],[Доход, 
грн/рейс]]-Таблица224267[[#This Row],[СС, 
грн/рейс]]</f>
        <v>400</v>
      </c>
      <c r="N229" s="201"/>
      <c r="O229" s="277"/>
    </row>
    <row r="230" spans="1:15" ht="13.2" x14ac:dyDescent="0.25">
      <c r="A230" s="260" t="s">
        <v>845</v>
      </c>
      <c r="B230" s="261" t="s">
        <v>526</v>
      </c>
      <c r="C230" s="284">
        <v>45748</v>
      </c>
      <c r="D230" s="285" t="s">
        <v>925</v>
      </c>
      <c r="E230" s="201" t="s">
        <v>127</v>
      </c>
      <c r="F230" s="202" t="s">
        <v>128</v>
      </c>
      <c r="G230" s="203">
        <v>2000</v>
      </c>
      <c r="H230" s="204">
        <v>48</v>
      </c>
      <c r="I230" s="204">
        <f>Таблица224267[[#This Row],[Стоимость, 
грн]]</f>
        <v>2000</v>
      </c>
      <c r="J230" s="99">
        <f>Таблица224267[[#This Row],[Доход, 
грн/рейс]]/Таблица224267[[#This Row],[Километраж, 
км]]</f>
        <v>41.666666666666664</v>
      </c>
      <c r="K230" s="205">
        <v>1800</v>
      </c>
      <c r="L230" s="99">
        <f>Таблица224267[[#This Row],[СС, 
грн/рейс]]/Таблица224267[[#This Row],[Километраж, 
км]]</f>
        <v>37.5</v>
      </c>
      <c r="M230" s="100">
        <f>Таблица224267[[#This Row],[Доход, 
грн/рейс]]-Таблица224267[[#This Row],[СС, 
грн/рейс]]</f>
        <v>200</v>
      </c>
      <c r="N230" s="201"/>
      <c r="O230" s="277"/>
    </row>
    <row r="231" spans="1:15" ht="13.2" x14ac:dyDescent="0.25">
      <c r="A231" s="260" t="s">
        <v>845</v>
      </c>
      <c r="B231" s="261" t="s">
        <v>526</v>
      </c>
      <c r="C231" s="284">
        <v>45748</v>
      </c>
      <c r="D231" s="315" t="s">
        <v>932</v>
      </c>
      <c r="E231" s="201" t="s">
        <v>127</v>
      </c>
      <c r="F231" s="202" t="s">
        <v>887</v>
      </c>
      <c r="G231" s="301">
        <v>1000</v>
      </c>
      <c r="H231" s="302">
        <v>25</v>
      </c>
      <c r="I231" s="302">
        <f>Таблица224267[[#This Row],[Стоимость, 
грн]]</f>
        <v>1000</v>
      </c>
      <c r="J231" s="99">
        <f>Таблица224267[[#This Row],[Доход, 
грн/рейс]]/Таблица224267[[#This Row],[Километраж, 
км]]</f>
        <v>40</v>
      </c>
      <c r="K231" s="303">
        <v>900</v>
      </c>
      <c r="L231" s="99">
        <f>Таблица224267[[#This Row],[СС, 
грн/рейс]]/Таблица224267[[#This Row],[Километраж, 
км]]</f>
        <v>36</v>
      </c>
      <c r="M231" s="100">
        <f>Таблица224267[[#This Row],[Доход, 
грн/рейс]]-Таблица224267[[#This Row],[СС, 
грн/рейс]]</f>
        <v>100</v>
      </c>
      <c r="N231" s="300"/>
      <c r="O231" s="314"/>
    </row>
    <row r="232" spans="1:15" ht="13.2" x14ac:dyDescent="0.25">
      <c r="A232" s="260" t="s">
        <v>845</v>
      </c>
      <c r="B232" s="261" t="s">
        <v>526</v>
      </c>
      <c r="C232" s="284">
        <v>45748</v>
      </c>
      <c r="D232" s="315" t="s">
        <v>933</v>
      </c>
      <c r="E232" s="201" t="s">
        <v>127</v>
      </c>
      <c r="F232" s="202" t="s">
        <v>887</v>
      </c>
      <c r="G232" s="310">
        <v>2000</v>
      </c>
      <c r="H232" s="311">
        <v>51</v>
      </c>
      <c r="I232" s="311">
        <f>Таблица224267[[#This Row],[Стоимость, 
грн]]</f>
        <v>2000</v>
      </c>
      <c r="J232" s="99">
        <f>Таблица224267[[#This Row],[Доход, 
грн/рейс]]/Таблица224267[[#This Row],[Километраж, 
км]]</f>
        <v>39.215686274509807</v>
      </c>
      <c r="K232" s="312">
        <v>1800</v>
      </c>
      <c r="L232" s="99">
        <f>Таблица224267[[#This Row],[СС, 
грн/рейс]]/Таблица224267[[#This Row],[Километраж, 
км]]</f>
        <v>35.294117647058826</v>
      </c>
      <c r="M232" s="100">
        <f>Таблица224267[[#This Row],[Доход, 
грн/рейс]]-Таблица224267[[#This Row],[СС, 
грн/рейс]]</f>
        <v>200</v>
      </c>
      <c r="N232" s="309"/>
      <c r="O232" s="313"/>
    </row>
    <row r="233" spans="1:15" ht="26.4" x14ac:dyDescent="0.25">
      <c r="A233" s="299" t="s">
        <v>942</v>
      </c>
      <c r="B233" s="261" t="s">
        <v>526</v>
      </c>
      <c r="C233" s="320">
        <v>45748</v>
      </c>
      <c r="D233" s="321" t="s">
        <v>936</v>
      </c>
      <c r="E233" s="201" t="s">
        <v>127</v>
      </c>
      <c r="F233" s="327" t="s">
        <v>943</v>
      </c>
      <c r="G233" s="323">
        <v>5000</v>
      </c>
      <c r="H233" s="324">
        <v>96</v>
      </c>
      <c r="I233" s="324">
        <f>Таблица224267[[#This Row],[Стоимость, 
грн]]</f>
        <v>5000</v>
      </c>
      <c r="J233" s="99">
        <f>Таблица224267[[#This Row],[Доход, 
грн/рейс]]/Таблица224267[[#This Row],[Километраж, 
км]]</f>
        <v>52.083333333333336</v>
      </c>
      <c r="K233" s="325">
        <v>4500</v>
      </c>
      <c r="L233" s="99">
        <f>Таблица224267[[#This Row],[СС, 
грн/рейс]]/Таблица224267[[#This Row],[Километраж, 
км]]</f>
        <v>46.875</v>
      </c>
      <c r="M233" s="100">
        <f>Таблица224267[[#This Row],[Доход, 
грн/рейс]]-Таблица224267[[#This Row],[СС, 
грн/рейс]]</f>
        <v>500</v>
      </c>
      <c r="N233" s="322"/>
      <c r="O233" s="326"/>
    </row>
    <row r="234" spans="1:15" ht="26.4" x14ac:dyDescent="0.25">
      <c r="A234" s="299" t="s">
        <v>947</v>
      </c>
      <c r="B234" s="261" t="s">
        <v>526</v>
      </c>
      <c r="C234" s="320">
        <v>45748</v>
      </c>
      <c r="D234" s="321" t="s">
        <v>945</v>
      </c>
      <c r="E234" s="322" t="s">
        <v>127</v>
      </c>
      <c r="F234" s="327" t="s">
        <v>949</v>
      </c>
      <c r="G234" s="323">
        <v>4000</v>
      </c>
      <c r="H234" s="324">
        <v>75</v>
      </c>
      <c r="I234" s="324">
        <f>Таблица224267[[#This Row],[Стоимость, 
грн]]</f>
        <v>4000</v>
      </c>
      <c r="J234" s="99">
        <f>Таблица224267[[#This Row],[Доход, 
грн/рейс]]/Таблица224267[[#This Row],[Километраж, 
км]]</f>
        <v>53.333333333333336</v>
      </c>
      <c r="K234" s="325">
        <v>3600</v>
      </c>
      <c r="L234" s="99">
        <f>Таблица224267[[#This Row],[СС, 
грн/рейс]]/Таблица224267[[#This Row],[Километраж, 
км]]</f>
        <v>48</v>
      </c>
      <c r="M234" s="100">
        <f>Таблица224267[[#This Row],[Доход, 
грн/рейс]]-Таблица224267[[#This Row],[СС, 
грн/рейс]]</f>
        <v>400</v>
      </c>
      <c r="N234" s="322"/>
      <c r="O234" s="326"/>
    </row>
    <row r="235" spans="1:15" ht="13.2" x14ac:dyDescent="0.25">
      <c r="A235" s="299" t="s">
        <v>845</v>
      </c>
      <c r="B235" s="261" t="s">
        <v>526</v>
      </c>
      <c r="C235" s="320">
        <v>45748</v>
      </c>
      <c r="D235" s="321" t="s">
        <v>945</v>
      </c>
      <c r="E235" s="322" t="s">
        <v>127</v>
      </c>
      <c r="F235" s="341" t="s">
        <v>948</v>
      </c>
      <c r="G235" s="323">
        <v>3300</v>
      </c>
      <c r="H235" s="324">
        <v>33</v>
      </c>
      <c r="I235" s="324">
        <f>Таблица224267[[#This Row],[Стоимость, 
грн]]</f>
        <v>3300</v>
      </c>
      <c r="J235" s="99">
        <f>Таблица224267[[#This Row],[Доход, 
грн/рейс]]/Таблица224267[[#This Row],[Километраж, 
км]]</f>
        <v>100</v>
      </c>
      <c r="K235" s="325">
        <v>3000</v>
      </c>
      <c r="L235" s="99">
        <f>Таблица224267[[#This Row],[СС, 
грн/рейс]]/Таблица224267[[#This Row],[Километраж, 
км]]</f>
        <v>90.909090909090907</v>
      </c>
      <c r="M235" s="100">
        <f>Таблица224267[[#This Row],[Доход, 
грн/рейс]]-Таблица224267[[#This Row],[СС, 
грн/рейс]]</f>
        <v>300</v>
      </c>
      <c r="N235" s="322"/>
      <c r="O235" s="326"/>
    </row>
    <row r="236" spans="1:15" ht="13.2" x14ac:dyDescent="0.25">
      <c r="A236" s="299" t="s">
        <v>845</v>
      </c>
      <c r="B236" s="261" t="s">
        <v>526</v>
      </c>
      <c r="C236" s="320">
        <v>45748</v>
      </c>
      <c r="D236" s="285" t="s">
        <v>957</v>
      </c>
      <c r="E236" s="322" t="s">
        <v>127</v>
      </c>
      <c r="F236" s="327" t="s">
        <v>958</v>
      </c>
      <c r="G236" s="336">
        <v>3000</v>
      </c>
      <c r="H236" s="337">
        <v>67</v>
      </c>
      <c r="I236" s="337">
        <f>Таблица224267[[#This Row],[Стоимость, 
грн]]</f>
        <v>3000</v>
      </c>
      <c r="J236" s="99">
        <f>Таблица224267[[#This Row],[Доход, 
грн/рейс]]/Таблица224267[[#This Row],[Километраж, 
км]]</f>
        <v>44.776119402985074</v>
      </c>
      <c r="K236" s="338">
        <v>2700</v>
      </c>
      <c r="L236" s="339">
        <f>Таблица224267[[#This Row],[СС, 
грн/рейс]]/Таблица224267[[#This Row],[Километраж, 
км]]</f>
        <v>40.298507462686565</v>
      </c>
      <c r="M236" s="100">
        <f>Таблица224267[[#This Row],[Доход, 
грн/рейс]]-Таблица224267[[#This Row],[СС, 
грн/рейс]]</f>
        <v>300</v>
      </c>
      <c r="N236" s="335"/>
      <c r="O236" s="340"/>
    </row>
    <row r="237" spans="1:15" ht="13.2" x14ac:dyDescent="0.25">
      <c r="A237" s="299" t="s">
        <v>845</v>
      </c>
      <c r="B237" s="512" t="s">
        <v>526</v>
      </c>
      <c r="C237" s="351">
        <v>45778</v>
      </c>
      <c r="D237" s="352" t="s">
        <v>954</v>
      </c>
      <c r="E237" s="361" t="s">
        <v>127</v>
      </c>
      <c r="F237" s="362" t="s">
        <v>960</v>
      </c>
      <c r="G237" s="363">
        <v>1000</v>
      </c>
      <c r="H237" s="364">
        <v>27</v>
      </c>
      <c r="I237" s="364">
        <f>Таблица224267[[#This Row],[Стоимость, 
грн]]</f>
        <v>1000</v>
      </c>
      <c r="J237" s="99">
        <f>Таблица224267[[#This Row],[Доход, 
грн/рейс]]/Таблица224267[[#This Row],[Километраж, 
км]]</f>
        <v>37.037037037037038</v>
      </c>
      <c r="K237" s="365">
        <v>900</v>
      </c>
      <c r="L237" s="339">
        <f>Таблица224267[[#This Row],[СС, 
грн/рейс]]/Таблица224267[[#This Row],[Километраж, 
км]]</f>
        <v>33.333333333333336</v>
      </c>
      <c r="M237" s="100">
        <f>Таблица224267[[#This Row],[Доход, 
грн/рейс]]-Таблица224267[[#This Row],[СС, 
грн/рейс]]</f>
        <v>100</v>
      </c>
      <c r="N237" s="361"/>
      <c r="O237" s="366"/>
    </row>
    <row r="238" spans="1:15" ht="13.2" x14ac:dyDescent="0.25">
      <c r="A238" s="299" t="s">
        <v>708</v>
      </c>
      <c r="B238" s="512" t="s">
        <v>526</v>
      </c>
      <c r="C238" s="369">
        <v>45778</v>
      </c>
      <c r="D238" s="370" t="s">
        <v>959</v>
      </c>
      <c r="E238" s="361" t="s">
        <v>127</v>
      </c>
      <c r="F238" s="362" t="s">
        <v>964</v>
      </c>
      <c r="G238" s="363">
        <v>1000</v>
      </c>
      <c r="H238" s="364">
        <v>22</v>
      </c>
      <c r="I238" s="364">
        <f>Таблица224267[[#This Row],[Стоимость, 
грн]]</f>
        <v>1000</v>
      </c>
      <c r="J238" s="99">
        <f>Таблица224267[[#This Row],[Доход, 
грн/рейс]]/Таблица224267[[#This Row],[Километраж, 
км]]</f>
        <v>45.454545454545453</v>
      </c>
      <c r="K238" s="365">
        <v>900</v>
      </c>
      <c r="L238" s="339">
        <f>Таблица224267[[#This Row],[СС, 
грн/рейс]]/Таблица224267[[#This Row],[Километраж, 
км]]</f>
        <v>40.909090909090907</v>
      </c>
      <c r="M238" s="100">
        <f>Таблица224267[[#This Row],[Доход, 
грн/рейс]]-Таблица224267[[#This Row],[СС, 
грн/рейс]]</f>
        <v>100</v>
      </c>
      <c r="N238" s="361"/>
      <c r="O238" s="366"/>
    </row>
    <row r="239" spans="1:15" ht="13.2" x14ac:dyDescent="0.25">
      <c r="A239" s="299" t="s">
        <v>708</v>
      </c>
      <c r="B239" s="512" t="s">
        <v>526</v>
      </c>
      <c r="C239" s="369">
        <v>45778</v>
      </c>
      <c r="D239" s="370" t="s">
        <v>961</v>
      </c>
      <c r="E239" s="361" t="s">
        <v>127</v>
      </c>
      <c r="F239" s="202" t="s">
        <v>128</v>
      </c>
      <c r="G239" s="363">
        <v>1000</v>
      </c>
      <c r="H239" s="364">
        <v>24</v>
      </c>
      <c r="I239" s="364">
        <f>Таблица224267[[#This Row],[Стоимость, 
грн]]</f>
        <v>1000</v>
      </c>
      <c r="J239" s="99">
        <f>Таблица224267[[#This Row],[Доход, 
грн/рейс]]/Таблица224267[[#This Row],[Километраж, 
км]]</f>
        <v>41.666666666666664</v>
      </c>
      <c r="K239" s="365">
        <v>900</v>
      </c>
      <c r="L239" s="339">
        <f>Таблица224267[[#This Row],[СС, 
грн/рейс]]/Таблица224267[[#This Row],[Километраж, 
км]]</f>
        <v>37.5</v>
      </c>
      <c r="M239" s="100">
        <f>Таблица224267[[#This Row],[Доход, 
грн/рейс]]-Таблица224267[[#This Row],[СС, 
грн/рейс]]</f>
        <v>100</v>
      </c>
      <c r="N239" s="361"/>
      <c r="O239" s="366"/>
    </row>
    <row r="240" spans="1:15" ht="13.2" x14ac:dyDescent="0.25">
      <c r="A240" s="299" t="s">
        <v>845</v>
      </c>
      <c r="B240" s="512" t="s">
        <v>526</v>
      </c>
      <c r="C240" s="367">
        <v>45778</v>
      </c>
      <c r="D240" s="368" t="s">
        <v>961</v>
      </c>
      <c r="E240" s="361" t="s">
        <v>127</v>
      </c>
      <c r="F240" s="354" t="s">
        <v>962</v>
      </c>
      <c r="G240" s="355">
        <v>2000</v>
      </c>
      <c r="H240" s="356">
        <v>50</v>
      </c>
      <c r="I240" s="356">
        <f>Таблица224267[[#This Row],[Стоимость, 
грн]]</f>
        <v>2000</v>
      </c>
      <c r="J240" s="99">
        <f>Таблица224267[[#This Row],[Доход, 
грн/рейс]]/Таблица224267[[#This Row],[Километраж, 
км]]</f>
        <v>40</v>
      </c>
      <c r="K240" s="357">
        <v>1800</v>
      </c>
      <c r="L240" s="339">
        <f>Таблица224267[[#This Row],[СС, 
грн/рейс]]/Таблица224267[[#This Row],[Километраж, 
км]]</f>
        <v>36</v>
      </c>
      <c r="M240" s="100">
        <f>Таблица224267[[#This Row],[Доход, 
грн/рейс]]-Таблица224267[[#This Row],[СС, 
грн/рейс]]</f>
        <v>200</v>
      </c>
      <c r="N240" s="353"/>
      <c r="O240" s="360"/>
    </row>
    <row r="241" spans="1:15" ht="13.2" x14ac:dyDescent="0.25">
      <c r="A241" s="299" t="s">
        <v>845</v>
      </c>
      <c r="B241" s="512" t="s">
        <v>526</v>
      </c>
      <c r="C241" s="369">
        <v>45778</v>
      </c>
      <c r="D241" s="370" t="s">
        <v>961</v>
      </c>
      <c r="E241" s="361" t="s">
        <v>651</v>
      </c>
      <c r="F241" s="362" t="s">
        <v>963</v>
      </c>
      <c r="G241" s="363">
        <v>2750</v>
      </c>
      <c r="H241" s="364">
        <v>81</v>
      </c>
      <c r="I241" s="364">
        <f>Таблица224267[[#This Row],[Стоимость, 
грн]]</f>
        <v>2750</v>
      </c>
      <c r="J241" s="99">
        <f>Таблица224267[[#This Row],[Доход, 
грн/рейс]]/Таблица224267[[#This Row],[Километраж, 
км]]</f>
        <v>33.950617283950621</v>
      </c>
      <c r="K241" s="365">
        <v>2500</v>
      </c>
      <c r="L241" s="339">
        <f>Таблица224267[[#This Row],[СС, 
грн/рейс]]/Таблица224267[[#This Row],[Километраж, 
км]]</f>
        <v>30.864197530864196</v>
      </c>
      <c r="M241" s="100">
        <f>Таблица224267[[#This Row],[Доход, 
грн/рейс]]-Таблица224267[[#This Row],[СС, 
грн/рейс]]</f>
        <v>250</v>
      </c>
      <c r="N241" s="361"/>
      <c r="O241" s="366"/>
    </row>
    <row r="242" spans="1:15" ht="13.2" x14ac:dyDescent="0.25">
      <c r="A242" s="14" t="s">
        <v>888</v>
      </c>
      <c r="B242" s="513" t="s">
        <v>526</v>
      </c>
      <c r="C242" s="369">
        <v>45778</v>
      </c>
      <c r="D242" s="370" t="s">
        <v>961</v>
      </c>
      <c r="E242" s="361" t="s">
        <v>127</v>
      </c>
      <c r="F242" s="362" t="s">
        <v>114</v>
      </c>
      <c r="G242" s="363">
        <v>1000</v>
      </c>
      <c r="H242" s="364">
        <v>25</v>
      </c>
      <c r="I242" s="364">
        <f>Таблица224267[[#This Row],[Стоимость, 
грн]]</f>
        <v>1000</v>
      </c>
      <c r="J242" s="99">
        <f>Таблица224267[[#This Row],[Доход, 
грн/рейс]]/Таблица224267[[#This Row],[Километраж, 
км]]</f>
        <v>40</v>
      </c>
      <c r="K242" s="365">
        <v>900</v>
      </c>
      <c r="L242" s="339">
        <f>Таблица224267[[#This Row],[СС, 
грн/рейс]]/Таблица224267[[#This Row],[Километраж, 
км]]</f>
        <v>36</v>
      </c>
      <c r="M242" s="100">
        <f>Таблица224267[[#This Row],[Доход, 
грн/рейс]]-Таблица224267[[#This Row],[СС, 
грн/рейс]]</f>
        <v>100</v>
      </c>
      <c r="N242" s="361"/>
      <c r="O242" s="366"/>
    </row>
    <row r="243" spans="1:15" ht="26.4" x14ac:dyDescent="0.25">
      <c r="A243" s="14" t="s">
        <v>888</v>
      </c>
      <c r="B243" s="513" t="s">
        <v>526</v>
      </c>
      <c r="C243" s="369">
        <v>45778</v>
      </c>
      <c r="D243" s="370" t="s">
        <v>965</v>
      </c>
      <c r="E243" s="361" t="s">
        <v>127</v>
      </c>
      <c r="F243" s="374" t="s">
        <v>966</v>
      </c>
      <c r="G243" s="355">
        <v>2000</v>
      </c>
      <c r="H243" s="356">
        <v>51</v>
      </c>
      <c r="I243" s="356">
        <f>Таблица224267[[#This Row],[Стоимость, 
грн]]</f>
        <v>2000</v>
      </c>
      <c r="J243" s="357">
        <f>Таблица224267[[#This Row],[Доход, 
грн/рейс]]/Таблица224267[[#This Row],[Километраж, 
км]]</f>
        <v>39.215686274509807</v>
      </c>
      <c r="K243" s="357">
        <v>1800</v>
      </c>
      <c r="L243" s="339">
        <f>Таблица224267[[#This Row],[СС, 
грн/рейс]]/Таблица224267[[#This Row],[Километраж, 
км]]</f>
        <v>35.294117647058826</v>
      </c>
      <c r="M243" s="100">
        <f>Таблица224267[[#This Row],[Доход, 
грн/рейс]]-Таблица224267[[#This Row],[СС, 
грн/рейс]]</f>
        <v>200</v>
      </c>
      <c r="N243" s="353"/>
      <c r="O243" s="360"/>
    </row>
    <row r="244" spans="1:15" ht="13.2" x14ac:dyDescent="0.25">
      <c r="A244" s="299" t="s">
        <v>708</v>
      </c>
      <c r="B244" s="514" t="s">
        <v>526</v>
      </c>
      <c r="C244" s="369">
        <v>45778</v>
      </c>
      <c r="D244" s="370" t="s">
        <v>965</v>
      </c>
      <c r="E244" s="361" t="s">
        <v>127</v>
      </c>
      <c r="F244" s="362" t="s">
        <v>967</v>
      </c>
      <c r="G244" s="363">
        <v>1000</v>
      </c>
      <c r="H244" s="364">
        <v>26</v>
      </c>
      <c r="I244" s="364">
        <f>Таблица224267[[#This Row],[Стоимость, 
грн]]</f>
        <v>1000</v>
      </c>
      <c r="J244" s="357">
        <f>Таблица224267[[#This Row],[Доход, 
грн/рейс]]/Таблица224267[[#This Row],[Километраж, 
км]]</f>
        <v>38.46153846153846</v>
      </c>
      <c r="K244" s="365">
        <v>900</v>
      </c>
      <c r="L244" s="339">
        <f>Таблица224267[[#This Row],[СС, 
грн/рейс]]/Таблица224267[[#This Row],[Километраж, 
км]]</f>
        <v>34.615384615384613</v>
      </c>
      <c r="M244" s="100">
        <f>Таблица224267[[#This Row],[Доход, 
грн/рейс]]-Таблица224267[[#This Row],[СС, 
грн/рейс]]</f>
        <v>100</v>
      </c>
      <c r="N244" s="361"/>
      <c r="O244" s="366"/>
    </row>
    <row r="245" spans="1:15" ht="13.2" x14ac:dyDescent="0.25">
      <c r="A245" s="14" t="s">
        <v>888</v>
      </c>
      <c r="B245" s="514" t="s">
        <v>526</v>
      </c>
      <c r="C245" s="369">
        <v>45778</v>
      </c>
      <c r="D245" s="343" t="s">
        <v>64</v>
      </c>
      <c r="E245" s="157" t="s">
        <v>127</v>
      </c>
      <c r="F245" s="196" t="s">
        <v>886</v>
      </c>
      <c r="G245" s="197">
        <v>1000</v>
      </c>
      <c r="H245" s="154">
        <v>24</v>
      </c>
      <c r="I245" s="154">
        <f>Таблица224267[[#This Row],[Стоимость, 
грн]]</f>
        <v>1000</v>
      </c>
      <c r="J245" s="357">
        <f>Таблица224267[[#This Row],[Доход, 
грн/рейс]]/Таблица224267[[#This Row],[Километраж, 
км]]</f>
        <v>41.666666666666664</v>
      </c>
      <c r="K245" s="155">
        <v>900</v>
      </c>
      <c r="L245" s="339">
        <f>Таблица224267[[#This Row],[СС, 
грн/рейс]]/Таблица224267[[#This Row],[Километраж, 
км]]</f>
        <v>37.5</v>
      </c>
      <c r="M245" s="100">
        <f>Таблица224267[[#This Row],[Доход, 
грн/рейс]]-Таблица224267[[#This Row],[СС, 
грн/рейс]]</f>
        <v>100</v>
      </c>
      <c r="N245" s="157"/>
      <c r="O245" s="135"/>
    </row>
    <row r="246" spans="1:15" ht="13.2" x14ac:dyDescent="0.25">
      <c r="A246" s="299" t="s">
        <v>845</v>
      </c>
      <c r="B246" s="514" t="s">
        <v>526</v>
      </c>
      <c r="C246" s="369">
        <v>45778</v>
      </c>
      <c r="D246" s="343" t="s">
        <v>64</v>
      </c>
      <c r="E246" s="201" t="s">
        <v>127</v>
      </c>
      <c r="F246" s="362" t="s">
        <v>114</v>
      </c>
      <c r="G246" s="203">
        <v>2000</v>
      </c>
      <c r="H246" s="204">
        <v>54</v>
      </c>
      <c r="I246" s="204">
        <f>Таблица224267[[#This Row],[Стоимость, 
грн]]</f>
        <v>2000</v>
      </c>
      <c r="J246" s="357">
        <f>Таблица224267[[#This Row],[Доход, 
грн/рейс]]/Таблица224267[[#This Row],[Километраж, 
км]]</f>
        <v>37.037037037037038</v>
      </c>
      <c r="K246" s="205">
        <v>1800</v>
      </c>
      <c r="L246" s="339">
        <f>Таблица224267[[#This Row],[СС, 
грн/рейс]]/Таблица224267[[#This Row],[Километраж, 
км]]</f>
        <v>33.333333333333336</v>
      </c>
      <c r="M246" s="100">
        <f>Таблица224267[[#This Row],[Доход, 
грн/рейс]]-Таблица224267[[#This Row],[СС, 
грн/рейс]]</f>
        <v>200</v>
      </c>
      <c r="N246" s="201"/>
      <c r="O246" s="277"/>
    </row>
    <row r="247" spans="1:15" ht="13.2" x14ac:dyDescent="0.25">
      <c r="A247" s="299" t="s">
        <v>708</v>
      </c>
      <c r="B247" s="514" t="s">
        <v>526</v>
      </c>
      <c r="C247" s="369">
        <v>45778</v>
      </c>
      <c r="D247" s="343" t="s">
        <v>974</v>
      </c>
      <c r="E247" s="201" t="s">
        <v>127</v>
      </c>
      <c r="F247" s="382" t="s">
        <v>973</v>
      </c>
      <c r="G247" s="383">
        <v>3300</v>
      </c>
      <c r="H247" s="384">
        <v>33</v>
      </c>
      <c r="I247" s="384">
        <f>Таблица224267[[#This Row],[Стоимость, 
грн]]</f>
        <v>3300</v>
      </c>
      <c r="J247" s="357">
        <f>Таблица224267[[#This Row],[Доход, 
грн/рейс]]/Таблица224267[[#This Row],[Километраж, 
км]]</f>
        <v>100</v>
      </c>
      <c r="K247" s="385">
        <v>3000</v>
      </c>
      <c r="L247" s="339">
        <f>Таблица224267[[#This Row],[СС, 
грн/рейс]]/Таблица224267[[#This Row],[Километраж, 
км]]</f>
        <v>90.909090909090907</v>
      </c>
      <c r="M247" s="100">
        <f>Таблица224267[[#This Row],[Доход, 
грн/рейс]]-Таблица224267[[#This Row],[СС, 
грн/рейс]]</f>
        <v>300</v>
      </c>
      <c r="N247" s="381"/>
      <c r="O247" s="388"/>
    </row>
    <row r="248" spans="1:15" ht="13.2" x14ac:dyDescent="0.25">
      <c r="A248" s="299" t="s">
        <v>845</v>
      </c>
      <c r="B248" s="514" t="s">
        <v>526</v>
      </c>
      <c r="C248" s="369">
        <v>45778</v>
      </c>
      <c r="D248" s="343" t="s">
        <v>974</v>
      </c>
      <c r="E248" s="201" t="s">
        <v>127</v>
      </c>
      <c r="F248" s="382" t="s">
        <v>114</v>
      </c>
      <c r="G248" s="383">
        <v>1000</v>
      </c>
      <c r="H248" s="384">
        <v>24</v>
      </c>
      <c r="I248" s="384">
        <f>Таблица224267[[#This Row],[Стоимость, 
грн]]</f>
        <v>1000</v>
      </c>
      <c r="J248" s="357">
        <f>Таблица224267[[#This Row],[Доход, 
грн/рейс]]/Таблица224267[[#This Row],[Километраж, 
км]]</f>
        <v>41.666666666666664</v>
      </c>
      <c r="K248" s="385">
        <v>900</v>
      </c>
      <c r="L248" s="339">
        <f>Таблица224267[[#This Row],[СС, 
грн/рейс]]/Таблица224267[[#This Row],[Километраж, 
км]]</f>
        <v>37.5</v>
      </c>
      <c r="M248" s="100">
        <f>Таблица224267[[#This Row],[Доход, 
грн/рейс]]-Таблица224267[[#This Row],[СС, 
грн/рейс]]</f>
        <v>100</v>
      </c>
      <c r="N248" s="381"/>
      <c r="O248" s="388"/>
    </row>
    <row r="249" spans="1:15" ht="13.2" x14ac:dyDescent="0.25">
      <c r="A249" s="299" t="s">
        <v>976</v>
      </c>
      <c r="B249" s="514" t="s">
        <v>526</v>
      </c>
      <c r="C249" s="389">
        <v>45778</v>
      </c>
      <c r="D249" s="390" t="s">
        <v>975</v>
      </c>
      <c r="E249" s="201" t="s">
        <v>127</v>
      </c>
      <c r="F249" s="382" t="s">
        <v>114</v>
      </c>
      <c r="G249" s="383">
        <v>3000</v>
      </c>
      <c r="H249" s="384">
        <v>69</v>
      </c>
      <c r="I249" s="384">
        <f>Таблица224267[[#This Row],[Стоимость, 
грн]]</f>
        <v>3000</v>
      </c>
      <c r="J249" s="357">
        <f>Таблица224267[[#This Row],[Доход, 
грн/рейс]]/Таблица224267[[#This Row],[Километраж, 
км]]</f>
        <v>43.478260869565219</v>
      </c>
      <c r="K249" s="385">
        <v>2700</v>
      </c>
      <c r="L249" s="339">
        <f>Таблица224267[[#This Row],[СС, 
грн/рейс]]/Таблица224267[[#This Row],[Километраж, 
км]]</f>
        <v>39.130434782608695</v>
      </c>
      <c r="M249" s="100">
        <f>Таблица224267[[#This Row],[Доход, 
грн/рейс]]-Таблица224267[[#This Row],[СС, 
грн/рейс]]</f>
        <v>300</v>
      </c>
      <c r="N249" s="381"/>
      <c r="O249" s="388"/>
    </row>
    <row r="250" spans="1:15" ht="13.2" x14ac:dyDescent="0.25">
      <c r="A250" s="299" t="s">
        <v>845</v>
      </c>
      <c r="B250" s="514" t="s">
        <v>526</v>
      </c>
      <c r="C250" s="389">
        <v>45778</v>
      </c>
      <c r="D250" s="390" t="s">
        <v>980</v>
      </c>
      <c r="E250" s="201" t="s">
        <v>127</v>
      </c>
      <c r="F250" s="382" t="s">
        <v>114</v>
      </c>
      <c r="G250" s="383">
        <v>1000</v>
      </c>
      <c r="H250" s="384">
        <v>27</v>
      </c>
      <c r="I250" s="384">
        <f>Таблица224267[[#This Row],[Стоимость, 
грн]]</f>
        <v>1000</v>
      </c>
      <c r="J250" s="357">
        <f>Таблица224267[[#This Row],[Доход, 
грн/рейс]]/Таблица224267[[#This Row],[Километраж, 
км]]</f>
        <v>37.037037037037038</v>
      </c>
      <c r="K250" s="385">
        <v>900</v>
      </c>
      <c r="L250" s="339">
        <f>Таблица224267[[#This Row],[СС, 
грн/рейс]]/Таблица224267[[#This Row],[Километраж, 
км]]</f>
        <v>33.333333333333336</v>
      </c>
      <c r="M250" s="100">
        <f>Таблица224267[[#This Row],[Доход, 
грн/рейс]]-Таблица224267[[#This Row],[СС, 
грн/рейс]]</f>
        <v>100</v>
      </c>
      <c r="N250" s="381"/>
      <c r="O250" s="388"/>
    </row>
    <row r="251" spans="1:15" ht="13.2" x14ac:dyDescent="0.25">
      <c r="A251" s="299" t="s">
        <v>845</v>
      </c>
      <c r="B251" s="514" t="s">
        <v>526</v>
      </c>
      <c r="C251" s="389">
        <v>45778</v>
      </c>
      <c r="D251" s="390" t="s">
        <v>92</v>
      </c>
      <c r="E251" s="392" t="s">
        <v>127</v>
      </c>
      <c r="F251" s="382" t="s">
        <v>114</v>
      </c>
      <c r="G251" s="393">
        <v>3000</v>
      </c>
      <c r="H251" s="394">
        <v>70</v>
      </c>
      <c r="I251" s="394">
        <f>Таблица224267[[#This Row],[Стоимость, 
грн]]</f>
        <v>3000</v>
      </c>
      <c r="J251" s="357">
        <f>Таблица224267[[#This Row],[Доход, 
грн/рейс]]/Таблица224267[[#This Row],[Километраж, 
км]]</f>
        <v>42.857142857142854</v>
      </c>
      <c r="K251" s="395">
        <v>2700</v>
      </c>
      <c r="L251" s="339">
        <f>Таблица224267[[#This Row],[СС, 
грн/рейс]]/Таблица224267[[#This Row],[Километраж, 
км]]</f>
        <v>38.571428571428569</v>
      </c>
      <c r="M251" s="100">
        <f>Таблица224267[[#This Row],[Доход, 
грн/рейс]]-Таблица224267[[#This Row],[СС, 
грн/рейс]]</f>
        <v>300</v>
      </c>
      <c r="N251" s="392"/>
      <c r="O251" s="396"/>
    </row>
    <row r="252" spans="1:15" ht="13.2" x14ac:dyDescent="0.25">
      <c r="A252" s="299" t="s">
        <v>845</v>
      </c>
      <c r="B252" s="514" t="s">
        <v>526</v>
      </c>
      <c r="C252" s="389">
        <v>45778</v>
      </c>
      <c r="D252" s="343" t="s">
        <v>74</v>
      </c>
      <c r="E252" s="381" t="s">
        <v>127</v>
      </c>
      <c r="F252" s="382" t="s">
        <v>114</v>
      </c>
      <c r="G252" s="383">
        <v>1320</v>
      </c>
      <c r="H252" s="384">
        <v>39</v>
      </c>
      <c r="I252" s="384">
        <f>Таблица224267[[#This Row],[Стоимость, 
грн]]</f>
        <v>1320</v>
      </c>
      <c r="J252" s="357">
        <f>Таблица224267[[#This Row],[Доход, 
грн/рейс]]/Таблица224267[[#This Row],[Километраж, 
км]]</f>
        <v>33.846153846153847</v>
      </c>
      <c r="K252" s="385">
        <v>1200</v>
      </c>
      <c r="L252" s="339">
        <f>Таблица224267[[#This Row],[СС, 
грн/рейс]]/Таблица224267[[#This Row],[Километраж, 
км]]</f>
        <v>30.76923076923077</v>
      </c>
      <c r="M252" s="100">
        <f>Таблица224267[[#This Row],[Доход, 
грн/рейс]]-Таблица224267[[#This Row],[СС, 
грн/рейс]]</f>
        <v>120</v>
      </c>
      <c r="N252" s="381"/>
      <c r="O252" s="388"/>
    </row>
    <row r="253" spans="1:15" ht="26.4" x14ac:dyDescent="0.25">
      <c r="A253" s="299" t="s">
        <v>991</v>
      </c>
      <c r="B253" s="514" t="s">
        <v>526</v>
      </c>
      <c r="C253" s="389">
        <v>45778</v>
      </c>
      <c r="D253" s="343" t="s">
        <v>80</v>
      </c>
      <c r="E253" s="381" t="s">
        <v>127</v>
      </c>
      <c r="F253" s="400" t="s">
        <v>114</v>
      </c>
      <c r="G253" s="401">
        <v>2000</v>
      </c>
      <c r="H253" s="402">
        <v>56</v>
      </c>
      <c r="I253" s="402">
        <f>Таблица224267[[#This Row],[Стоимость, 
грн]]</f>
        <v>2000</v>
      </c>
      <c r="J253" s="357">
        <f>Таблица224267[[#This Row],[Доход, 
грн/рейс]]/Таблица224267[[#This Row],[Километраж, 
км]]</f>
        <v>35.714285714285715</v>
      </c>
      <c r="K253" s="403">
        <v>1800</v>
      </c>
      <c r="L253" s="339">
        <f>Таблица224267[[#This Row],[СС, 
грн/рейс]]/Таблица224267[[#This Row],[Километраж, 
км]]</f>
        <v>32.142857142857146</v>
      </c>
      <c r="M253" s="100">
        <f>Таблица224267[[#This Row],[Доход, 
грн/рейс]]-Таблица224267[[#This Row],[СС, 
грн/рейс]]</f>
        <v>200</v>
      </c>
      <c r="N253" s="399"/>
      <c r="O253" s="420"/>
    </row>
    <row r="254" spans="1:15" ht="13.2" x14ac:dyDescent="0.25">
      <c r="A254" s="407" t="s">
        <v>992</v>
      </c>
      <c r="B254" s="514" t="s">
        <v>526</v>
      </c>
      <c r="C254" s="389">
        <v>45778</v>
      </c>
      <c r="D254" s="422" t="s">
        <v>986</v>
      </c>
      <c r="E254" s="381" t="s">
        <v>127</v>
      </c>
      <c r="F254" s="410" t="s">
        <v>167</v>
      </c>
      <c r="G254" s="411">
        <v>1000</v>
      </c>
      <c r="H254" s="412">
        <v>26</v>
      </c>
      <c r="I254" s="412">
        <f>Таблица224267[[#This Row],[Стоимость, 
грн]]</f>
        <v>1000</v>
      </c>
      <c r="J254" s="357">
        <f>Таблица224267[[#This Row],[Доход, 
грн/рейс]]/Таблица224267[[#This Row],[Километраж, 
км]]</f>
        <v>38.46153846153846</v>
      </c>
      <c r="K254" s="413">
        <v>900</v>
      </c>
      <c r="L254" s="339">
        <f>Таблица224267[[#This Row],[СС, 
грн/рейс]]/Таблица224267[[#This Row],[Километраж, 
км]]</f>
        <v>34.615384615384613</v>
      </c>
      <c r="M254" s="100">
        <f>Таблица224267[[#This Row],[Доход, 
грн/рейс]]-Таблица224267[[#This Row],[СС, 
грн/рейс]]</f>
        <v>100</v>
      </c>
      <c r="N254" s="409"/>
      <c r="O254" s="421"/>
    </row>
    <row r="255" spans="1:15" ht="13.2" x14ac:dyDescent="0.25">
      <c r="A255" s="299" t="s">
        <v>845</v>
      </c>
      <c r="B255" s="514" t="s">
        <v>526</v>
      </c>
      <c r="C255" s="423">
        <v>45778</v>
      </c>
      <c r="D255" s="422" t="s">
        <v>87</v>
      </c>
      <c r="E255" s="381" t="s">
        <v>127</v>
      </c>
      <c r="F255" s="382" t="s">
        <v>114</v>
      </c>
      <c r="G255" s="411">
        <v>1000</v>
      </c>
      <c r="H255" s="412">
        <v>24</v>
      </c>
      <c r="I255" s="412">
        <f>Таблица224267[[#This Row],[Стоимость, 
грн]]</f>
        <v>1000</v>
      </c>
      <c r="J255" s="357">
        <f>Таблица224267[[#This Row],[Доход, 
грн/рейс]]/Таблица224267[[#This Row],[Километраж, 
км]]</f>
        <v>41.666666666666664</v>
      </c>
      <c r="K255" s="413">
        <v>900</v>
      </c>
      <c r="L255" s="339">
        <f>Таблица224267[[#This Row],[СС, 
грн/рейс]]/Таблица224267[[#This Row],[Километраж, 
км]]</f>
        <v>37.5</v>
      </c>
      <c r="M255" s="100">
        <f>Таблица224267[[#This Row],[Доход, 
грн/рейс]]-Таблица224267[[#This Row],[СС, 
грн/рейс]]</f>
        <v>100</v>
      </c>
      <c r="N255" s="409"/>
      <c r="O255" s="421"/>
    </row>
    <row r="256" spans="1:15" ht="13.2" x14ac:dyDescent="0.25">
      <c r="A256" s="299" t="s">
        <v>845</v>
      </c>
      <c r="B256" s="514" t="s">
        <v>526</v>
      </c>
      <c r="C256" s="423">
        <v>45778</v>
      </c>
      <c r="D256" s="343" t="s">
        <v>995</v>
      </c>
      <c r="E256" s="381" t="s">
        <v>127</v>
      </c>
      <c r="F256" s="382" t="s">
        <v>114</v>
      </c>
      <c r="G256" s="203">
        <v>3000</v>
      </c>
      <c r="H256" s="204">
        <v>72</v>
      </c>
      <c r="I256" s="204">
        <v>3000</v>
      </c>
      <c r="J256" s="357">
        <f>Таблица224267[[#This Row],[Доход, 
грн/рейс]]/Таблица224267[[#This Row],[Километраж, 
км]]</f>
        <v>41.666666666666664</v>
      </c>
      <c r="K256" s="205">
        <v>2700</v>
      </c>
      <c r="L256" s="339">
        <f>Таблица224267[[#This Row],[СС, 
грн/рейс]]/Таблица224267[[#This Row],[Километраж, 
км]]</f>
        <v>37.5</v>
      </c>
      <c r="M256" s="100">
        <f>Таблица224267[[#This Row],[Доход, 
грн/рейс]]-Таблица224267[[#This Row],[СС, 
грн/рейс]]</f>
        <v>300</v>
      </c>
      <c r="N256" s="201"/>
      <c r="O256" s="277"/>
    </row>
    <row r="257" spans="1:15" ht="13.2" x14ac:dyDescent="0.25">
      <c r="A257" s="299" t="s">
        <v>845</v>
      </c>
      <c r="B257" s="514" t="s">
        <v>526</v>
      </c>
      <c r="C257" s="342">
        <v>45778</v>
      </c>
      <c r="D257" s="343" t="s">
        <v>84</v>
      </c>
      <c r="E257" s="381" t="s">
        <v>127</v>
      </c>
      <c r="F257" s="382" t="s">
        <v>114</v>
      </c>
      <c r="G257" s="203">
        <v>4000</v>
      </c>
      <c r="H257" s="204">
        <v>80</v>
      </c>
      <c r="I257" s="204">
        <f>Таблица224267[[#This Row],[Стоимость, 
грн]]</f>
        <v>4000</v>
      </c>
      <c r="J257" s="357">
        <f>Таблица224267[[#This Row],[Доход, 
грн/рейс]]/Таблица224267[[#This Row],[Километраж, 
км]]</f>
        <v>50</v>
      </c>
      <c r="K257" s="205">
        <v>3600</v>
      </c>
      <c r="L257" s="339">
        <f>Таблица224267[[#This Row],[СС, 
грн/рейс]]/Таблица224267[[#This Row],[Километраж, 
км]]</f>
        <v>45</v>
      </c>
      <c r="M257" s="100">
        <f>Таблица224267[[#This Row],[Доход, 
грн/рейс]]-Таблица224267[[#This Row],[СС, 
грн/рейс]]</f>
        <v>400</v>
      </c>
      <c r="N257" s="201"/>
      <c r="O257" s="277"/>
    </row>
    <row r="258" spans="1:15" ht="13.2" x14ac:dyDescent="0.25">
      <c r="A258" s="299" t="s">
        <v>845</v>
      </c>
      <c r="B258" s="520" t="s">
        <v>526</v>
      </c>
      <c r="C258" s="342">
        <v>45778</v>
      </c>
      <c r="D258" s="343" t="s">
        <v>1004</v>
      </c>
      <c r="E258" s="381" t="s">
        <v>127</v>
      </c>
      <c r="F258" s="436" t="s">
        <v>1007</v>
      </c>
      <c r="G258" s="437">
        <v>1000</v>
      </c>
      <c r="H258" s="438">
        <v>28</v>
      </c>
      <c r="I258" s="438">
        <f>Таблица224267[[#This Row],[Стоимость, 
грн]]</f>
        <v>1000</v>
      </c>
      <c r="J258" s="357">
        <f>Таблица224267[[#This Row],[Доход, 
грн/рейс]]/Таблица224267[[#This Row],[Километраж, 
км]]</f>
        <v>35.714285714285715</v>
      </c>
      <c r="K258" s="439">
        <v>900</v>
      </c>
      <c r="L258" s="339">
        <f>Таблица224267[[#This Row],[СС, 
грн/рейс]]/Таблица224267[[#This Row],[Километраж, 
км]]</f>
        <v>32.142857142857146</v>
      </c>
      <c r="M258" s="100">
        <f>Таблица224267[[#This Row],[Доход, 
грн/рейс]]-Таблица224267[[#This Row],[СС, 
грн/рейс]]</f>
        <v>100</v>
      </c>
      <c r="N258" s="435"/>
      <c r="O258" s="440"/>
    </row>
    <row r="259" spans="1:15" ht="13.2" x14ac:dyDescent="0.25">
      <c r="A259" s="299" t="s">
        <v>845</v>
      </c>
      <c r="B259" s="520" t="s">
        <v>526</v>
      </c>
      <c r="C259" s="342">
        <v>45778</v>
      </c>
      <c r="D259" s="343" t="s">
        <v>1005</v>
      </c>
      <c r="E259" s="361" t="s">
        <v>651</v>
      </c>
      <c r="F259" s="436" t="s">
        <v>1008</v>
      </c>
      <c r="G259" s="437">
        <v>2400</v>
      </c>
      <c r="H259" s="438">
        <v>82</v>
      </c>
      <c r="I259" s="438">
        <f>Таблица224267[[#This Row],[Стоимость, 
грн]]</f>
        <v>2400</v>
      </c>
      <c r="J259" s="357">
        <f>Таблица224267[[#This Row],[Доход, 
грн/рейс]]/Таблица224267[[#This Row],[Километраж, 
км]]</f>
        <v>29.26829268292683</v>
      </c>
      <c r="K259" s="439">
        <v>2200</v>
      </c>
      <c r="L259" s="339">
        <f>Таблица224267[[#This Row],[СС, 
грн/рейс]]/Таблица224267[[#This Row],[Километраж, 
км]]</f>
        <v>26.829268292682926</v>
      </c>
      <c r="M259" s="100">
        <f>Таблица224267[[#This Row],[Доход, 
грн/рейс]]-Таблица224267[[#This Row],[СС, 
грн/рейс]]</f>
        <v>200</v>
      </c>
      <c r="N259" s="435"/>
      <c r="O259" s="440"/>
    </row>
    <row r="260" spans="1:15" ht="13.2" x14ac:dyDescent="0.25">
      <c r="A260" s="299" t="s">
        <v>845</v>
      </c>
      <c r="B260" s="520" t="s">
        <v>526</v>
      </c>
      <c r="C260" s="342">
        <v>45778</v>
      </c>
      <c r="D260" s="343" t="s">
        <v>1005</v>
      </c>
      <c r="E260" s="381" t="s">
        <v>127</v>
      </c>
      <c r="F260" s="436" t="s">
        <v>1007</v>
      </c>
      <c r="G260" s="437">
        <v>1000</v>
      </c>
      <c r="H260" s="438">
        <v>27</v>
      </c>
      <c r="I260" s="438">
        <f>Таблица224267[[#This Row],[Стоимость, 
грн]]</f>
        <v>1000</v>
      </c>
      <c r="J260" s="357">
        <f>Таблица224267[[#This Row],[Доход, 
грн/рейс]]/Таблица224267[[#This Row],[Километраж, 
км]]</f>
        <v>37.037037037037038</v>
      </c>
      <c r="K260" s="439">
        <v>900</v>
      </c>
      <c r="L260" s="339">
        <f>Таблица224267[[#This Row],[СС, 
грн/рейс]]/Таблица224267[[#This Row],[Километраж, 
км]]</f>
        <v>33.333333333333336</v>
      </c>
      <c r="M260" s="100">
        <f>Таблица224267[[#This Row],[Доход, 
грн/рейс]]-Таблица224267[[#This Row],[СС, 
грн/рейс]]</f>
        <v>100</v>
      </c>
      <c r="N260" s="435"/>
      <c r="O260" s="440"/>
    </row>
    <row r="261" spans="1:15" ht="13.2" x14ac:dyDescent="0.25">
      <c r="A261" s="434" t="s">
        <v>1009</v>
      </c>
      <c r="B261" s="520" t="s">
        <v>526</v>
      </c>
      <c r="C261" s="342">
        <v>45778</v>
      </c>
      <c r="D261" s="343" t="s">
        <v>107</v>
      </c>
      <c r="E261" s="381" t="s">
        <v>127</v>
      </c>
      <c r="F261" s="436" t="s">
        <v>1011</v>
      </c>
      <c r="G261" s="437">
        <v>3000</v>
      </c>
      <c r="H261" s="438">
        <v>74</v>
      </c>
      <c r="I261" s="438">
        <f>Таблица224267[[#This Row],[Стоимость, 
грн]]</f>
        <v>3000</v>
      </c>
      <c r="J261" s="357">
        <f>Таблица224267[[#This Row],[Доход, 
грн/рейс]]/Таблица224267[[#This Row],[Километраж, 
км]]</f>
        <v>40.54054054054054</v>
      </c>
      <c r="K261" s="439">
        <v>2700</v>
      </c>
      <c r="L261" s="339">
        <f>Таблица224267[[#This Row],[СС, 
грн/рейс]]/Таблица224267[[#This Row],[Километраж, 
км]]</f>
        <v>36.486486486486484</v>
      </c>
      <c r="M261" s="100">
        <f>Таблица224267[[#This Row],[Доход, 
грн/рейс]]-Таблица224267[[#This Row],[СС, 
грн/рейс]]</f>
        <v>300</v>
      </c>
      <c r="N261" s="435"/>
      <c r="O261" s="440"/>
    </row>
    <row r="262" spans="1:15" ht="13.2" x14ac:dyDescent="0.25">
      <c r="A262" s="299" t="s">
        <v>845</v>
      </c>
      <c r="B262" s="520" t="s">
        <v>526</v>
      </c>
      <c r="C262" s="342">
        <v>45778</v>
      </c>
      <c r="D262" s="343" t="s">
        <v>107</v>
      </c>
      <c r="E262" s="381" t="s">
        <v>127</v>
      </c>
      <c r="F262" s="382" t="s">
        <v>114</v>
      </c>
      <c r="G262" s="437">
        <v>1000</v>
      </c>
      <c r="H262" s="438">
        <v>25</v>
      </c>
      <c r="I262" s="438">
        <f>Таблица224267[[#This Row],[Стоимость, 
грн]]</f>
        <v>1000</v>
      </c>
      <c r="J262" s="357">
        <f>Таблица224267[[#This Row],[Доход, 
грн/рейс]]/Таблица224267[[#This Row],[Километраж, 
км]]</f>
        <v>40</v>
      </c>
      <c r="K262" s="439">
        <v>900</v>
      </c>
      <c r="L262" s="339">
        <f>Таблица224267[[#This Row],[СС, 
грн/рейс]]/Таблица224267[[#This Row],[Километраж, 
км]]</f>
        <v>36</v>
      </c>
      <c r="M262" s="100">
        <f>Таблица224267[[#This Row],[Доход, 
грн/рейс]]-Таблица224267[[#This Row],[СС, 
грн/рейс]]</f>
        <v>100</v>
      </c>
      <c r="N262" s="435"/>
      <c r="O262" s="440"/>
    </row>
    <row r="263" spans="1:15" ht="13.2" x14ac:dyDescent="0.25">
      <c r="A263" s="434" t="s">
        <v>1010</v>
      </c>
      <c r="B263" s="520" t="s">
        <v>526</v>
      </c>
      <c r="C263" s="342">
        <v>45778</v>
      </c>
      <c r="D263" s="343" t="s">
        <v>110</v>
      </c>
      <c r="E263" s="381" t="s">
        <v>127</v>
      </c>
      <c r="F263" s="382" t="s">
        <v>114</v>
      </c>
      <c r="G263" s="437">
        <v>3000</v>
      </c>
      <c r="H263" s="438">
        <v>77</v>
      </c>
      <c r="I263" s="438">
        <f>Таблица224267[[#This Row],[Стоимость, 
грн]]</f>
        <v>3000</v>
      </c>
      <c r="J263" s="357">
        <f>Таблица224267[[#This Row],[Доход, 
грн/рейс]]/Таблица224267[[#This Row],[Километраж, 
км]]</f>
        <v>38.961038961038959</v>
      </c>
      <c r="K263" s="439">
        <v>2700</v>
      </c>
      <c r="L263" s="339">
        <f>Таблица224267[[#This Row],[СС, 
грн/рейс]]/Таблица224267[[#This Row],[Километраж, 
км]]</f>
        <v>35.064935064935064</v>
      </c>
      <c r="M263" s="100">
        <f>Таблица224267[[#This Row],[Доход, 
грн/рейс]]-Таблица224267[[#This Row],[СС, 
грн/рейс]]</f>
        <v>300</v>
      </c>
      <c r="N263" s="435"/>
      <c r="O263" s="440"/>
    </row>
    <row r="264" spans="1:15" ht="13.2" x14ac:dyDescent="0.25">
      <c r="A264" s="299" t="s">
        <v>845</v>
      </c>
      <c r="B264" s="521" t="s">
        <v>526</v>
      </c>
      <c r="C264" s="342">
        <v>45778</v>
      </c>
      <c r="D264" s="343" t="s">
        <v>110</v>
      </c>
      <c r="E264" s="381" t="s">
        <v>127</v>
      </c>
      <c r="F264" s="202" t="s">
        <v>1012</v>
      </c>
      <c r="G264" s="443">
        <v>3000</v>
      </c>
      <c r="H264" s="444">
        <v>78</v>
      </c>
      <c r="I264" s="444">
        <f>Таблица224267[[#This Row],[Стоимость, 
грн]]</f>
        <v>3000</v>
      </c>
      <c r="J264" s="357">
        <f>Таблица224267[[#This Row],[Доход, 
грн/рейс]]/Таблица224267[[#This Row],[Километраж, 
км]]</f>
        <v>38.46153846153846</v>
      </c>
      <c r="K264" s="445">
        <v>2700</v>
      </c>
      <c r="L264" s="339">
        <f>Таблица224267[[#This Row],[СС, 
грн/рейс]]/Таблица224267[[#This Row],[Километраж, 
км]]</f>
        <v>34.615384615384613</v>
      </c>
      <c r="M264" s="100">
        <f>Таблица224267[[#This Row],[Доход, 
грн/рейс]]-Таблица224267[[#This Row],[СС, 
грн/рейс]]</f>
        <v>300</v>
      </c>
      <c r="N264" s="442"/>
      <c r="O264" s="446"/>
    </row>
    <row r="265" spans="1:15" ht="26.4" x14ac:dyDescent="0.25">
      <c r="A265" s="299" t="s">
        <v>991</v>
      </c>
      <c r="B265" s="521" t="s">
        <v>526</v>
      </c>
      <c r="C265" s="485">
        <v>45778</v>
      </c>
      <c r="D265" s="486" t="s">
        <v>1013</v>
      </c>
      <c r="E265" s="381" t="s">
        <v>127</v>
      </c>
      <c r="F265" s="382" t="s">
        <v>114</v>
      </c>
      <c r="G265" s="465">
        <v>2000</v>
      </c>
      <c r="H265" s="466">
        <v>55</v>
      </c>
      <c r="I265" s="466">
        <f>Таблица224267[[#This Row],[Стоимость, 
грн]]</f>
        <v>2000</v>
      </c>
      <c r="J265" s="357">
        <f>Таблица224267[[#This Row],[Доход, 
грн/рейс]]/Таблица224267[[#This Row],[Километраж, 
км]]</f>
        <v>36.363636363636367</v>
      </c>
      <c r="K265" s="467">
        <v>1800</v>
      </c>
      <c r="L265" s="339">
        <f>Таблица224267[[#This Row],[СС, 
грн/рейс]]/Таблица224267[[#This Row],[Километраж, 
км]]</f>
        <v>32.727272727272727</v>
      </c>
      <c r="M265" s="100">
        <f>Таблица224267[[#This Row],[Доход, 
грн/рейс]]-Таблица224267[[#This Row],[СС, 
грн/рейс]]</f>
        <v>200</v>
      </c>
      <c r="N265" s="463"/>
      <c r="O265" s="487"/>
    </row>
    <row r="266" spans="1:15" ht="13.2" x14ac:dyDescent="0.25">
      <c r="A266" s="482" t="s">
        <v>1025</v>
      </c>
      <c r="B266" s="441" t="s">
        <v>526</v>
      </c>
      <c r="C266" s="461">
        <v>45809</v>
      </c>
      <c r="D266" s="462" t="s">
        <v>1020</v>
      </c>
      <c r="E266" s="381" t="s">
        <v>127</v>
      </c>
      <c r="F266" s="382" t="s">
        <v>114</v>
      </c>
      <c r="G266" s="465">
        <v>3000</v>
      </c>
      <c r="H266" s="466">
        <v>76</v>
      </c>
      <c r="I266" s="466">
        <f>Таблица224267[[#This Row],[Стоимость, 
грн]]</f>
        <v>3000</v>
      </c>
      <c r="J266" s="357">
        <f>Таблица224267[[#This Row],[Доход, 
грн/рейс]]/Таблица224267[[#This Row],[Километраж, 
км]]</f>
        <v>39.473684210526315</v>
      </c>
      <c r="K266" s="467">
        <v>2700</v>
      </c>
      <c r="L266" s="339">
        <f>Таблица224267[[#This Row],[СС, 
грн/рейс]]/Таблица224267[[#This Row],[Километраж, 
км]]</f>
        <v>35.526315789473685</v>
      </c>
      <c r="M266" s="100">
        <f>Таблица224267[[#This Row],[Доход, 
грн/рейс]]-Таблица224267[[#This Row],[СС, 
грн/рейс]]</f>
        <v>300</v>
      </c>
      <c r="N266" s="463"/>
      <c r="O266" s="487"/>
    </row>
    <row r="267" spans="1:15" ht="13.2" x14ac:dyDescent="0.25">
      <c r="A267" s="482" t="s">
        <v>1025</v>
      </c>
      <c r="B267" s="441" t="s">
        <v>526</v>
      </c>
      <c r="C267" s="461">
        <v>45809</v>
      </c>
      <c r="D267" s="462" t="s">
        <v>119</v>
      </c>
      <c r="E267" s="381" t="s">
        <v>127</v>
      </c>
      <c r="F267" s="382" t="s">
        <v>114</v>
      </c>
      <c r="G267" s="465">
        <v>1000</v>
      </c>
      <c r="H267" s="466">
        <v>28</v>
      </c>
      <c r="I267" s="466">
        <f>Таблица224267[[#This Row],[Стоимость, 
грн]]</f>
        <v>1000</v>
      </c>
      <c r="J267" s="357">
        <f>Таблица224267[[#This Row],[Доход, 
грн/рейс]]/Таблица224267[[#This Row],[Километраж, 
км]]</f>
        <v>35.714285714285715</v>
      </c>
      <c r="K267" s="467">
        <v>900</v>
      </c>
      <c r="L267" s="339">
        <f>Таблица224267[[#This Row],[СС, 
грн/рейс]]/Таблица224267[[#This Row],[Километраж, 
км]]</f>
        <v>32.142857142857146</v>
      </c>
      <c r="M267" s="100">
        <f>Таблица224267[[#This Row],[Доход, 
грн/рейс]]-Таблица224267[[#This Row],[СС, 
грн/рейс]]</f>
        <v>100</v>
      </c>
      <c r="N267" s="463"/>
      <c r="O267" s="487"/>
    </row>
    <row r="268" spans="1:15" ht="26.4" x14ac:dyDescent="0.25">
      <c r="A268" s="471" t="s">
        <v>888</v>
      </c>
      <c r="B268" s="441" t="s">
        <v>526</v>
      </c>
      <c r="C268" s="461">
        <v>45809</v>
      </c>
      <c r="D268" s="462" t="s">
        <v>119</v>
      </c>
      <c r="E268" s="381" t="s">
        <v>127</v>
      </c>
      <c r="F268" s="488" t="s">
        <v>1026</v>
      </c>
      <c r="G268" s="476">
        <v>2300</v>
      </c>
      <c r="H268" s="477">
        <v>64</v>
      </c>
      <c r="I268" s="477">
        <f>Таблица224267[[#This Row],[Стоимость, 
грн]]</f>
        <v>2300</v>
      </c>
      <c r="J268" s="478">
        <f>Таблица224267[[#This Row],[Доход, 
грн/рейс]]/Таблица224267[[#This Row],[Километраж, 
км]]</f>
        <v>35.9375</v>
      </c>
      <c r="K268" s="478">
        <v>2100</v>
      </c>
      <c r="L268" s="339">
        <f>Таблица224267[[#This Row],[СС, 
грн/рейс]]/Таблица224267[[#This Row],[Километраж, 
км]]</f>
        <v>32.8125</v>
      </c>
      <c r="M268" s="100">
        <f>Таблица224267[[#This Row],[Доход, 
грн/рейс]]-Таблица224267[[#This Row],[СС, 
грн/рейс]]</f>
        <v>200</v>
      </c>
      <c r="N268" s="474"/>
      <c r="O268" s="484"/>
    </row>
    <row r="269" spans="1:15" ht="13.2" x14ac:dyDescent="0.25">
      <c r="A269" s="299" t="s">
        <v>845</v>
      </c>
      <c r="B269" s="441" t="s">
        <v>526</v>
      </c>
      <c r="C269" s="461">
        <v>45809</v>
      </c>
      <c r="D269" s="460" t="s">
        <v>1022</v>
      </c>
      <c r="E269" s="157" t="s">
        <v>127</v>
      </c>
      <c r="F269" s="382" t="s">
        <v>114</v>
      </c>
      <c r="G269" s="197">
        <v>1000</v>
      </c>
      <c r="H269" s="154">
        <v>27</v>
      </c>
      <c r="I269" s="154">
        <f>Таблица224267[[#This Row],[Стоимость, 
грн]]</f>
        <v>1000</v>
      </c>
      <c r="J269" s="478">
        <f>Таблица224267[[#This Row],[Доход, 
грн/рейс]]/Таблица224267[[#This Row],[Километраж, 
км]]</f>
        <v>37.037037037037038</v>
      </c>
      <c r="K269" s="478">
        <v>900</v>
      </c>
      <c r="L269" s="339">
        <f>Таблица224267[[#This Row],[СС, 
грн/рейс]]/Таблица224267[[#This Row],[Километраж, 
км]]</f>
        <v>33.333333333333336</v>
      </c>
      <c r="M269" s="100">
        <f>Таблица224267[[#This Row],[Доход, 
грн/рейс]]-Таблица224267[[#This Row],[СС, 
грн/рейс]]</f>
        <v>100</v>
      </c>
      <c r="N269" s="157"/>
      <c r="O269" s="135"/>
    </row>
    <row r="270" spans="1:15" ht="13.2" x14ac:dyDescent="0.25">
      <c r="A270" s="299" t="s">
        <v>845</v>
      </c>
      <c r="B270" s="441" t="s">
        <v>526</v>
      </c>
      <c r="C270" s="461">
        <v>45809</v>
      </c>
      <c r="D270" s="460" t="s">
        <v>1028</v>
      </c>
      <c r="E270" s="201" t="s">
        <v>127</v>
      </c>
      <c r="F270" s="382" t="s">
        <v>114</v>
      </c>
      <c r="G270" s="203">
        <v>1000</v>
      </c>
      <c r="H270" s="204">
        <v>25</v>
      </c>
      <c r="I270" s="204">
        <f>Таблица224267[[#This Row],[Стоимость, 
грн]]</f>
        <v>1000</v>
      </c>
      <c r="J270" s="478">
        <f>Таблица224267[[#This Row],[Доход, 
грн/рейс]]/Таблица224267[[#This Row],[Километраж, 
км]]</f>
        <v>40</v>
      </c>
      <c r="K270" s="478">
        <v>900</v>
      </c>
      <c r="L270" s="339">
        <f>Таблица224267[[#This Row],[СС, 
грн/рейс]]/Таблица224267[[#This Row],[Километраж, 
км]]</f>
        <v>36</v>
      </c>
      <c r="M270" s="100">
        <f>Таблица224267[[#This Row],[Доход, 
грн/рейс]]-Таблица224267[[#This Row],[СС, 
грн/рейс]]</f>
        <v>100</v>
      </c>
      <c r="N270" s="201"/>
      <c r="O270" s="277"/>
    </row>
    <row r="271" spans="1:15" ht="13.2" x14ac:dyDescent="0.25">
      <c r="A271" s="299" t="s">
        <v>845</v>
      </c>
      <c r="B271" s="441" t="s">
        <v>526</v>
      </c>
      <c r="C271" s="461">
        <v>45809</v>
      </c>
      <c r="D271" s="460" t="s">
        <v>1028</v>
      </c>
      <c r="E271" s="201" t="s">
        <v>127</v>
      </c>
      <c r="F271" s="202" t="s">
        <v>948</v>
      </c>
      <c r="G271" s="203">
        <v>5000</v>
      </c>
      <c r="H271" s="204">
        <v>65</v>
      </c>
      <c r="I271" s="204">
        <f>Таблица224267[[#This Row],[Стоимость, 
грн]]</f>
        <v>5000</v>
      </c>
      <c r="J271" s="478">
        <f>Таблица224267[[#This Row],[Доход, 
грн/рейс]]/Таблица224267[[#This Row],[Километраж, 
км]]</f>
        <v>76.92307692307692</v>
      </c>
      <c r="K271" s="205">
        <v>4600</v>
      </c>
      <c r="L271" s="339">
        <f>Таблица224267[[#This Row],[СС, 
грн/рейс]]/Таблица224267[[#This Row],[Километраж, 
км]]</f>
        <v>70.769230769230774</v>
      </c>
      <c r="M271" s="100">
        <f>Таблица224267[[#This Row],[Доход, 
грн/рейс]]-Таблица224267[[#This Row],[СС, 
грн/рейс]]</f>
        <v>400</v>
      </c>
      <c r="N271" s="201"/>
      <c r="O271" s="277"/>
    </row>
    <row r="272" spans="1:15" ht="13.2" x14ac:dyDescent="0.25">
      <c r="A272" s="490" t="s">
        <v>845</v>
      </c>
      <c r="B272" s="483" t="s">
        <v>526</v>
      </c>
      <c r="C272" s="461">
        <v>45809</v>
      </c>
      <c r="D272" s="460" t="s">
        <v>1032</v>
      </c>
      <c r="E272" s="201" t="s">
        <v>127</v>
      </c>
      <c r="F272" s="202" t="s">
        <v>1038</v>
      </c>
      <c r="G272" s="465">
        <v>4000</v>
      </c>
      <c r="H272" s="466">
        <v>86</v>
      </c>
      <c r="I272" s="466">
        <f>Таблица224267[[#This Row],[Стоимость, 
грн]]</f>
        <v>4000</v>
      </c>
      <c r="J272" s="478">
        <f>Таблица224267[[#This Row],[Доход, 
грн/рейс]]/Таблица224267[[#This Row],[Километраж, 
км]]</f>
        <v>46.511627906976742</v>
      </c>
      <c r="K272" s="467">
        <v>3600</v>
      </c>
      <c r="L272" s="339">
        <f>Таблица224267[[#This Row],[СС, 
грн/рейс]]/Таблица224267[[#This Row],[Километраж, 
км]]</f>
        <v>41.860465116279073</v>
      </c>
      <c r="M272" s="100">
        <f>Таблица224267[[#This Row],[Доход, 
грн/рейс]]-Таблица224267[[#This Row],[СС, 
грн/рейс]]</f>
        <v>400</v>
      </c>
      <c r="N272" s="463"/>
      <c r="O272" s="487"/>
    </row>
    <row r="273" spans="1:15" ht="13.2" x14ac:dyDescent="0.25">
      <c r="A273" s="490" t="s">
        <v>845</v>
      </c>
      <c r="B273" s="483" t="s">
        <v>526</v>
      </c>
      <c r="C273" s="491">
        <v>45809</v>
      </c>
      <c r="D273" s="460" t="s">
        <v>133</v>
      </c>
      <c r="E273" s="201" t="s">
        <v>127</v>
      </c>
      <c r="F273" s="196" t="s">
        <v>1041</v>
      </c>
      <c r="G273" s="197">
        <v>1000</v>
      </c>
      <c r="H273" s="154">
        <v>27</v>
      </c>
      <c r="I273" s="154">
        <f>Таблица224267[[#This Row],[Стоимость, 
грн]]</f>
        <v>1000</v>
      </c>
      <c r="J273" s="478">
        <f>Таблица224267[[#This Row],[Доход, 
грн/рейс]]/Таблица224267[[#This Row],[Километраж, 
км]]</f>
        <v>37.037037037037038</v>
      </c>
      <c r="K273" s="155">
        <v>900</v>
      </c>
      <c r="L273" s="339">
        <f>Таблица224267[[#This Row],[СС, 
грн/рейс]]/Таблица224267[[#This Row],[Километраж, 
км]]</f>
        <v>33.333333333333336</v>
      </c>
      <c r="M273" s="100">
        <f>Таблица224267[[#This Row],[Доход, 
грн/рейс]]-Таблица224267[[#This Row],[СС, 
грн/рейс]]</f>
        <v>100</v>
      </c>
      <c r="N273" s="157"/>
      <c r="O273" s="135"/>
    </row>
    <row r="274" spans="1:15" ht="13.2" x14ac:dyDescent="0.25">
      <c r="A274" s="14" t="s">
        <v>1010</v>
      </c>
      <c r="B274" s="483" t="s">
        <v>526</v>
      </c>
      <c r="C274" s="459">
        <v>45809</v>
      </c>
      <c r="D274" s="460" t="s">
        <v>126</v>
      </c>
      <c r="E274" s="201" t="s">
        <v>127</v>
      </c>
      <c r="F274" s="382" t="s">
        <v>114</v>
      </c>
      <c r="G274" s="203">
        <v>2000</v>
      </c>
      <c r="H274" s="204">
        <v>56</v>
      </c>
      <c r="I274" s="204">
        <f>Таблица224267[[#This Row],[Стоимость, 
грн]]</f>
        <v>2000</v>
      </c>
      <c r="J274" s="478">
        <f>Таблица224267[[#This Row],[Доход, 
грн/рейс]]/Таблица224267[[#This Row],[Километраж, 
км]]</f>
        <v>35.714285714285715</v>
      </c>
      <c r="K274" s="205">
        <v>1800</v>
      </c>
      <c r="L274" s="339">
        <f>Таблица224267[[#This Row],[СС, 
грн/рейс]]/Таблица224267[[#This Row],[Километраж, 
км]]</f>
        <v>32.142857142857146</v>
      </c>
      <c r="M274" s="100">
        <f>Таблица224267[[#This Row],[Доход, 
грн/рейс]]-Таблица224267[[#This Row],[СС, 
грн/рейс]]</f>
        <v>200</v>
      </c>
      <c r="N274" s="201"/>
      <c r="O274" s="277"/>
    </row>
    <row r="275" spans="1:15" ht="13.2" x14ac:dyDescent="0.25">
      <c r="A275" s="299" t="s">
        <v>1047</v>
      </c>
      <c r="B275" s="483" t="s">
        <v>526</v>
      </c>
      <c r="C275" s="491">
        <v>45809</v>
      </c>
      <c r="D275" s="460" t="s">
        <v>1044</v>
      </c>
      <c r="E275" s="201" t="s">
        <v>127</v>
      </c>
      <c r="F275" s="382" t="s">
        <v>114</v>
      </c>
      <c r="G275" s="197">
        <v>2000</v>
      </c>
      <c r="H275" s="154">
        <v>54</v>
      </c>
      <c r="I275" s="154">
        <f>Таблица224267[[#This Row],[Стоимость, 
грн]]</f>
        <v>2000</v>
      </c>
      <c r="J275" s="478">
        <f>Таблица224267[[#This Row],[Доход, 
грн/рейс]]/Таблица224267[[#This Row],[Километраж, 
км]]</f>
        <v>37.037037037037038</v>
      </c>
      <c r="K275" s="155">
        <v>1800</v>
      </c>
      <c r="L275" s="339">
        <f>Таблица224267[[#This Row],[СС, 
грн/рейс]]/Таблица224267[[#This Row],[Километраж, 
км]]</f>
        <v>33.333333333333336</v>
      </c>
      <c r="M275" s="100">
        <f>Таблица224267[[#This Row],[Доход, 
грн/рейс]]-Таблица224267[[#This Row],[СС, 
грн/рейс]]</f>
        <v>200</v>
      </c>
      <c r="N275" s="157"/>
      <c r="O275" s="135"/>
    </row>
    <row r="276" spans="1:15" ht="13.2" x14ac:dyDescent="0.25">
      <c r="A276" s="14" t="s">
        <v>1010</v>
      </c>
      <c r="B276" s="483" t="s">
        <v>526</v>
      </c>
      <c r="C276" s="491">
        <v>45809</v>
      </c>
      <c r="D276" s="460" t="s">
        <v>148</v>
      </c>
      <c r="E276" s="201" t="s">
        <v>127</v>
      </c>
      <c r="F276" s="382" t="s">
        <v>114</v>
      </c>
      <c r="G276" s="197">
        <v>1000</v>
      </c>
      <c r="H276" s="154">
        <v>29</v>
      </c>
      <c r="I276" s="154">
        <f>Таблица224267[[#This Row],[Стоимость, 
грн]]</f>
        <v>1000</v>
      </c>
      <c r="J276" s="478">
        <f>Таблица224267[[#This Row],[Доход, 
грн/рейс]]/Таблица224267[[#This Row],[Километраж, 
км]]</f>
        <v>34.482758620689658</v>
      </c>
      <c r="K276" s="155">
        <v>900</v>
      </c>
      <c r="L276" s="339">
        <f>Таблица224267[[#This Row],[СС, 
грн/рейс]]/Таблица224267[[#This Row],[Километраж, 
км]]</f>
        <v>31.03448275862069</v>
      </c>
      <c r="M276" s="100">
        <f>Таблица224267[[#This Row],[Доход, 
грн/рейс]]-Таблица224267[[#This Row],[СС, 
грн/рейс]]</f>
        <v>100</v>
      </c>
      <c r="N276" s="157"/>
      <c r="O276" s="135"/>
    </row>
    <row r="277" spans="1:15" ht="26.4" x14ac:dyDescent="0.25">
      <c r="A277" s="299" t="s">
        <v>1053</v>
      </c>
      <c r="B277" s="483" t="s">
        <v>526</v>
      </c>
      <c r="C277" s="491">
        <v>45809</v>
      </c>
      <c r="D277" s="460" t="s">
        <v>155</v>
      </c>
      <c r="E277" s="201" t="s">
        <v>127</v>
      </c>
      <c r="F277" s="202" t="s">
        <v>1054</v>
      </c>
      <c r="G277" s="197">
        <v>2000</v>
      </c>
      <c r="H277" s="154">
        <v>59</v>
      </c>
      <c r="I277" s="154">
        <f>Таблица224267[[#This Row],[Стоимость, 
грн]]</f>
        <v>2000</v>
      </c>
      <c r="J277" s="478">
        <f>Таблица224267[[#This Row],[Доход, 
грн/рейс]]/Таблица224267[[#This Row],[Километраж, 
км]]</f>
        <v>33.898305084745765</v>
      </c>
      <c r="K277" s="155">
        <v>1800</v>
      </c>
      <c r="L277" s="339">
        <f>Таблица224267[[#This Row],[СС, 
грн/рейс]]/Таблица224267[[#This Row],[Километраж, 
км]]</f>
        <v>30.508474576271187</v>
      </c>
      <c r="M277" s="100">
        <f>Таблица224267[[#This Row],[Доход, 
грн/рейс]]-Таблица224267[[#This Row],[СС, 
грн/рейс]]</f>
        <v>200</v>
      </c>
      <c r="N277" s="157"/>
      <c r="O277" s="135"/>
    </row>
    <row r="278" spans="1:15" ht="13.2" x14ac:dyDescent="0.25">
      <c r="A278" s="490" t="s">
        <v>845</v>
      </c>
      <c r="B278" s="483" t="s">
        <v>526</v>
      </c>
      <c r="C278" s="491">
        <v>45809</v>
      </c>
      <c r="D278" s="460" t="s">
        <v>155</v>
      </c>
      <c r="E278" s="201" t="s">
        <v>127</v>
      </c>
      <c r="F278" s="196" t="s">
        <v>633</v>
      </c>
      <c r="G278" s="197">
        <v>2750</v>
      </c>
      <c r="H278" s="154">
        <v>33</v>
      </c>
      <c r="I278" s="154">
        <f>Таблица224267[[#This Row],[Стоимость, 
грн]]</f>
        <v>2750</v>
      </c>
      <c r="J278" s="478">
        <f>Таблица224267[[#This Row],[Доход, 
грн/рейс]]/Таблица224267[[#This Row],[Километраж, 
км]]</f>
        <v>83.333333333333329</v>
      </c>
      <c r="K278" s="155">
        <v>2500</v>
      </c>
      <c r="L278" s="339">
        <f>Таблица224267[[#This Row],[СС, 
грн/рейс]]/Таблица224267[[#This Row],[Километраж, 
км]]</f>
        <v>75.757575757575751</v>
      </c>
      <c r="M278" s="100">
        <f>Таблица224267[[#This Row],[Доход, 
грн/рейс]]-Таблица224267[[#This Row],[СС, 
грн/рейс]]</f>
        <v>250</v>
      </c>
      <c r="N278" s="157"/>
      <c r="O278" s="135"/>
    </row>
    <row r="279" spans="1:15" ht="26.4" x14ac:dyDescent="0.25">
      <c r="A279" s="299" t="s">
        <v>991</v>
      </c>
      <c r="B279" s="483" t="s">
        <v>526</v>
      </c>
      <c r="C279" s="459">
        <v>45809</v>
      </c>
      <c r="D279" s="460" t="s">
        <v>1046</v>
      </c>
      <c r="E279" s="201" t="s">
        <v>127</v>
      </c>
      <c r="F279" s="202" t="s">
        <v>1048</v>
      </c>
      <c r="G279" s="203">
        <v>2000</v>
      </c>
      <c r="H279" s="204">
        <v>54</v>
      </c>
      <c r="I279" s="204">
        <f>Таблица224267[[#This Row],[Стоимость, 
грн]]</f>
        <v>2000</v>
      </c>
      <c r="J279" s="478">
        <f>Таблица224267[[#This Row],[Доход, 
грн/рейс]]/Таблица224267[[#This Row],[Километраж, 
км]]</f>
        <v>37.037037037037038</v>
      </c>
      <c r="K279" s="205">
        <v>1800</v>
      </c>
      <c r="L279" s="339">
        <f>Таблица224267[[#This Row],[СС, 
грн/рейс]]/Таблица224267[[#This Row],[Километраж, 
км]]</f>
        <v>33.333333333333336</v>
      </c>
      <c r="M279" s="100">
        <f>Таблица224267[[#This Row],[Доход, 
грн/рейс]]-Таблица224267[[#This Row],[СС, 
грн/рейс]]</f>
        <v>200</v>
      </c>
      <c r="N279" s="201"/>
      <c r="O279" s="277"/>
    </row>
    <row r="280" spans="1:15" ht="13.2" x14ac:dyDescent="0.25">
      <c r="A280" s="471" t="s">
        <v>888</v>
      </c>
      <c r="B280" s="483" t="s">
        <v>526</v>
      </c>
      <c r="C280" s="459">
        <v>45809</v>
      </c>
      <c r="D280" s="460" t="s">
        <v>1049</v>
      </c>
      <c r="E280" s="201" t="s">
        <v>127</v>
      </c>
      <c r="F280" s="526" t="s">
        <v>1059</v>
      </c>
      <c r="G280" s="203">
        <v>1200</v>
      </c>
      <c r="H280" s="204">
        <v>36</v>
      </c>
      <c r="I280" s="204">
        <f>Таблица224267[[#This Row],[Стоимость, 
грн]]</f>
        <v>1200</v>
      </c>
      <c r="J280" s="478">
        <f>Таблица224267[[#This Row],[Доход, 
грн/рейс]]/Таблица224267[[#This Row],[Километраж, 
км]]</f>
        <v>33.333333333333336</v>
      </c>
      <c r="K280" s="205">
        <v>1100</v>
      </c>
      <c r="L280" s="339">
        <f>Таблица224267[[#This Row],[СС, 
грн/рейс]]/Таблица224267[[#This Row],[Километраж, 
км]]</f>
        <v>30.555555555555557</v>
      </c>
      <c r="M280" s="100">
        <f>Таблица224267[[#This Row],[Доход, 
грн/рейс]]-Таблица224267[[#This Row],[СС, 
грн/рейс]]</f>
        <v>100</v>
      </c>
      <c r="N280" s="201"/>
      <c r="O280" s="277"/>
    </row>
    <row r="281" spans="1:15" ht="13.2" x14ac:dyDescent="0.25">
      <c r="A281" s="299" t="s">
        <v>1060</v>
      </c>
      <c r="B281" s="483" t="s">
        <v>526</v>
      </c>
      <c r="C281" s="459">
        <v>45809</v>
      </c>
      <c r="D281" s="460" t="s">
        <v>159</v>
      </c>
      <c r="E281" s="201" t="s">
        <v>127</v>
      </c>
      <c r="F281" s="202" t="s">
        <v>1061</v>
      </c>
      <c r="G281" s="203">
        <v>3000</v>
      </c>
      <c r="H281" s="204">
        <v>77</v>
      </c>
      <c r="I281" s="204">
        <f>Таблица224267[[#This Row],[Стоимость, 
грн]]</f>
        <v>3000</v>
      </c>
      <c r="J281" s="478">
        <f>Таблица224267[[#This Row],[Доход, 
грн/рейс]]/Таблица224267[[#This Row],[Километраж, 
км]]</f>
        <v>38.961038961038959</v>
      </c>
      <c r="K281" s="205">
        <v>2700</v>
      </c>
      <c r="L281" s="339">
        <f>Таблица224267[[#This Row],[СС, 
грн/рейс]]/Таблица224267[[#This Row],[Километраж, 
км]]</f>
        <v>35.064935064935064</v>
      </c>
      <c r="M281" s="100">
        <f>Таблица224267[[#This Row],[Доход, 
грн/рейс]]-Таблица224267[[#This Row],[СС, 
грн/рейс]]</f>
        <v>300</v>
      </c>
      <c r="N281" s="201"/>
      <c r="O281" s="277"/>
    </row>
    <row r="282" spans="1:15" ht="13.2" x14ac:dyDescent="0.25">
      <c r="A282" s="14" t="s">
        <v>1010</v>
      </c>
      <c r="B282" s="483" t="s">
        <v>526</v>
      </c>
      <c r="C282" s="459">
        <v>45809</v>
      </c>
      <c r="D282" s="460" t="s">
        <v>159</v>
      </c>
      <c r="E282" s="361" t="s">
        <v>651</v>
      </c>
      <c r="F282" s="202" t="s">
        <v>1058</v>
      </c>
      <c r="G282" s="203">
        <v>1650</v>
      </c>
      <c r="H282" s="204">
        <v>80</v>
      </c>
      <c r="I282" s="204">
        <f>Таблица224267[[#This Row],[Стоимость, 
грн]]</f>
        <v>1650</v>
      </c>
      <c r="J282" s="478">
        <f>Таблица224267[[#This Row],[Доход, 
грн/рейс]]/Таблица224267[[#This Row],[Километраж, 
км]]</f>
        <v>20.625</v>
      </c>
      <c r="K282" s="205">
        <v>1500</v>
      </c>
      <c r="L282" s="339">
        <f>Таблица224267[[#This Row],[СС, 
грн/рейс]]/Таблица224267[[#This Row],[Километраж, 
км]]</f>
        <v>18.75</v>
      </c>
      <c r="M282" s="100">
        <f>Таблица224267[[#This Row],[Доход, 
грн/рейс]]-Таблица224267[[#This Row],[СС, 
грн/рейс]]</f>
        <v>150</v>
      </c>
      <c r="N282" s="201"/>
      <c r="O282" s="277"/>
    </row>
    <row r="283" spans="1:15" ht="13.2" x14ac:dyDescent="0.25">
      <c r="A283" s="14" t="s">
        <v>1064</v>
      </c>
      <c r="B283" s="483" t="s">
        <v>526</v>
      </c>
      <c r="C283" s="459">
        <v>45809</v>
      </c>
      <c r="D283" s="460" t="s">
        <v>161</v>
      </c>
      <c r="E283" s="201" t="s">
        <v>127</v>
      </c>
      <c r="F283" s="202" t="s">
        <v>1065</v>
      </c>
      <c r="G283" s="203">
        <v>2000</v>
      </c>
      <c r="H283" s="204">
        <v>56</v>
      </c>
      <c r="I283" s="204">
        <f>Таблица224267[[#This Row],[Стоимость, 
грн]]</f>
        <v>2000</v>
      </c>
      <c r="J283" s="478">
        <f>Таблица224267[[#This Row],[Доход, 
грн/рейс]]/Таблица224267[[#This Row],[Километраж, 
км]]</f>
        <v>35.714285714285715</v>
      </c>
      <c r="K283" s="205">
        <v>1800</v>
      </c>
      <c r="L283" s="339">
        <f>Таблица224267[[#This Row],[СС, 
грн/рейс]]/Таблица224267[[#This Row],[Километраж, 
км]]</f>
        <v>32.142857142857146</v>
      </c>
      <c r="M283" s="100">
        <f>Таблица224267[[#This Row],[Доход, 
грн/рейс]]-Таблица224267[[#This Row],[СС, 
грн/рейс]]</f>
        <v>200</v>
      </c>
      <c r="N283" s="201"/>
      <c r="O283" s="277"/>
    </row>
    <row r="284" spans="1:15" ht="13.2" x14ac:dyDescent="0.25">
      <c r="A284" s="14" t="s">
        <v>1010</v>
      </c>
      <c r="B284" s="483" t="s">
        <v>526</v>
      </c>
      <c r="C284" s="459">
        <v>45809</v>
      </c>
      <c r="D284" s="460" t="s">
        <v>161</v>
      </c>
      <c r="E284" s="201" t="s">
        <v>127</v>
      </c>
      <c r="F284" s="196" t="s">
        <v>633</v>
      </c>
      <c r="G284" s="203">
        <v>5500</v>
      </c>
      <c r="H284" s="204">
        <v>35</v>
      </c>
      <c r="I284" s="204">
        <f>Таблица224267[[#This Row],[Стоимость, 
грн]]</f>
        <v>5500</v>
      </c>
      <c r="J284" s="478">
        <f>Таблица224267[[#This Row],[Доход, 
грн/рейс]]/Таблица224267[[#This Row],[Километраж, 
км]]</f>
        <v>157.14285714285714</v>
      </c>
      <c r="K284" s="205">
        <v>5000</v>
      </c>
      <c r="L284" s="339">
        <f>Таблица224267[[#This Row],[СС, 
грн/рейс]]/Таблица224267[[#This Row],[Километраж, 
км]]</f>
        <v>142.85714285714286</v>
      </c>
      <c r="M284" s="100">
        <f>Таблица224267[[#This Row],[Доход, 
грн/рейс]]-Таблица224267[[#This Row],[СС, 
грн/рейс]]</f>
        <v>500</v>
      </c>
      <c r="N284" s="201"/>
      <c r="O284" s="277"/>
    </row>
    <row r="285" spans="1:15" ht="13.2" x14ac:dyDescent="0.25">
      <c r="A285" s="14" t="s">
        <v>1010</v>
      </c>
      <c r="B285" s="483" t="s">
        <v>526</v>
      </c>
      <c r="C285" s="459">
        <v>45809</v>
      </c>
      <c r="D285" s="460" t="s">
        <v>162</v>
      </c>
      <c r="E285" s="201" t="s">
        <v>127</v>
      </c>
      <c r="F285" s="382" t="s">
        <v>114</v>
      </c>
      <c r="G285" s="203">
        <v>1000</v>
      </c>
      <c r="H285" s="204">
        <v>28</v>
      </c>
      <c r="I285" s="204">
        <f>Таблица224267[[#This Row],[Стоимость, 
грн]]</f>
        <v>1000</v>
      </c>
      <c r="J285" s="478">
        <f>Таблица224267[[#This Row],[Доход, 
грн/рейс]]/Таблица224267[[#This Row],[Километраж, 
км]]</f>
        <v>35.714285714285715</v>
      </c>
      <c r="K285" s="205">
        <v>900</v>
      </c>
      <c r="L285" s="339">
        <f>Таблица224267[[#This Row],[СС, 
грн/рейс]]/Таблица224267[[#This Row],[Километраж, 
км]]</f>
        <v>32.142857142857146</v>
      </c>
      <c r="M285" s="100">
        <f>Таблица224267[[#This Row],[Доход, 
грн/рейс]]-Таблица224267[[#This Row],[СС, 
грн/рейс]]</f>
        <v>100</v>
      </c>
      <c r="N285" s="201"/>
      <c r="O285" s="277"/>
    </row>
    <row r="286" spans="1:15" ht="13.2" x14ac:dyDescent="0.25">
      <c r="A286" s="14" t="s">
        <v>1010</v>
      </c>
      <c r="B286" s="483" t="s">
        <v>526</v>
      </c>
      <c r="C286" s="528">
        <v>45809</v>
      </c>
      <c r="D286" s="529" t="s">
        <v>1067</v>
      </c>
      <c r="E286" s="201" t="s">
        <v>127</v>
      </c>
      <c r="F286" s="531" t="s">
        <v>1070</v>
      </c>
      <c r="G286" s="532">
        <v>1000</v>
      </c>
      <c r="H286" s="533">
        <v>27</v>
      </c>
      <c r="I286" s="533">
        <f>Таблица224267[[#This Row],[Стоимость, 
грн]]</f>
        <v>1000</v>
      </c>
      <c r="J286" s="478">
        <f>Таблица224267[[#This Row],[Доход, 
грн/рейс]]/Таблица224267[[#This Row],[Километраж, 
км]]</f>
        <v>37.037037037037038</v>
      </c>
      <c r="K286" s="534">
        <v>900</v>
      </c>
      <c r="L286" s="339">
        <f>Таблица224267[[#This Row],[СС, 
грн/рейс]]/Таблица224267[[#This Row],[Километраж, 
км]]</f>
        <v>33.333333333333336</v>
      </c>
      <c r="M286" s="100">
        <f>Таблица224267[[#This Row],[Доход, 
грн/рейс]]-Таблица224267[[#This Row],[СС, 
грн/рейс]]</f>
        <v>100</v>
      </c>
      <c r="N286" s="530"/>
      <c r="O286" s="535"/>
    </row>
    <row r="287" spans="1:15" ht="26.4" x14ac:dyDescent="0.25">
      <c r="A287" s="299" t="s">
        <v>1072</v>
      </c>
      <c r="B287" s="85" t="s">
        <v>526</v>
      </c>
      <c r="C287" s="527">
        <v>45839</v>
      </c>
      <c r="D287" s="195" t="s">
        <v>182</v>
      </c>
      <c r="E287" s="201" t="s">
        <v>127</v>
      </c>
      <c r="F287" s="202" t="s">
        <v>1073</v>
      </c>
      <c r="G287" s="203">
        <v>4000</v>
      </c>
      <c r="H287" s="204">
        <v>88</v>
      </c>
      <c r="I287" s="204">
        <f>Таблица224267[[#This Row],[Стоимость, 
грн]]</f>
        <v>4000</v>
      </c>
      <c r="J287" s="478">
        <f>Таблица224267[[#This Row],[Доход, 
грн/рейс]]/Таблица224267[[#This Row],[Километраж, 
км]]</f>
        <v>45.454545454545453</v>
      </c>
      <c r="K287" s="205">
        <v>3600</v>
      </c>
      <c r="L287" s="339">
        <f>Таблица224267[[#This Row],[СС, 
грн/рейс]]/Таблица224267[[#This Row],[Километраж, 
км]]</f>
        <v>40.909090909090907</v>
      </c>
      <c r="M287" s="100">
        <f>Таблица224267[[#This Row],[Доход, 
грн/рейс]]-Таблица224267[[#This Row],[СС, 
грн/рейс]]</f>
        <v>400</v>
      </c>
      <c r="N287" s="201"/>
      <c r="O287" s="277"/>
    </row>
    <row r="288" spans="1:15" ht="13.2" x14ac:dyDescent="0.25">
      <c r="A288" s="299" t="s">
        <v>1074</v>
      </c>
      <c r="B288" s="85" t="s">
        <v>526</v>
      </c>
      <c r="C288" s="537">
        <v>45839</v>
      </c>
      <c r="D288" s="538" t="s">
        <v>203</v>
      </c>
      <c r="E288" s="201" t="s">
        <v>127</v>
      </c>
      <c r="F288" s="540" t="s">
        <v>114</v>
      </c>
      <c r="G288" s="541">
        <v>1000</v>
      </c>
      <c r="H288" s="542">
        <v>27</v>
      </c>
      <c r="I288" s="542">
        <f>Таблица224267[[#This Row],[Стоимость, 
грн]]</f>
        <v>1000</v>
      </c>
      <c r="J288" s="478">
        <f>Таблица224267[[#This Row],[Доход, 
грн/рейс]]/Таблица224267[[#This Row],[Километраж, 
км]]</f>
        <v>37.037037037037038</v>
      </c>
      <c r="K288" s="543">
        <v>900</v>
      </c>
      <c r="L288" s="339">
        <f>Таблица224267[[#This Row],[СС, 
грн/рейс]]/Таблица224267[[#This Row],[Километраж, 
км]]</f>
        <v>33.333333333333336</v>
      </c>
      <c r="M288" s="100">
        <f>Таблица224267[[#This Row],[Доход, 
грн/рейс]]-Таблица224267[[#This Row],[СС, 
грн/рейс]]</f>
        <v>100</v>
      </c>
      <c r="N288" s="539"/>
      <c r="O288" s="544"/>
    </row>
    <row r="289" spans="1:15" ht="26.4" x14ac:dyDescent="0.25">
      <c r="A289" s="299" t="s">
        <v>1074</v>
      </c>
      <c r="B289" s="85" t="s">
        <v>526</v>
      </c>
      <c r="C289" s="537">
        <v>45839</v>
      </c>
      <c r="D289" s="538" t="s">
        <v>185</v>
      </c>
      <c r="E289" s="201" t="s">
        <v>127</v>
      </c>
      <c r="F289" s="545" t="s">
        <v>1076</v>
      </c>
      <c r="G289" s="541">
        <v>3000</v>
      </c>
      <c r="H289" s="542">
        <v>79</v>
      </c>
      <c r="I289" s="542">
        <f>Таблица224267[[#This Row],[Стоимость, 
грн]]</f>
        <v>3000</v>
      </c>
      <c r="J289" s="478">
        <f>Таблица224267[[#This Row],[Доход, 
грн/рейс]]/Таблица224267[[#This Row],[Километраж, 
км]]</f>
        <v>37.974683544303801</v>
      </c>
      <c r="K289" s="543">
        <v>2700</v>
      </c>
      <c r="L289" s="339">
        <f>Таблица224267[[#This Row],[СС, 
грн/рейс]]/Таблица224267[[#This Row],[Километраж, 
км]]</f>
        <v>34.177215189873415</v>
      </c>
      <c r="M289" s="100">
        <f>Таблица224267[[#This Row],[Доход, 
грн/рейс]]-Таблица224267[[#This Row],[СС, 
грн/рейс]]</f>
        <v>300</v>
      </c>
      <c r="N289" s="539"/>
      <c r="O289" s="544"/>
    </row>
  </sheetData>
  <mergeCells count="1">
    <mergeCell ref="A1:N1"/>
  </mergeCells>
  <phoneticPr fontId="13" type="noConversion"/>
  <pageMargins left="0.25" right="0.25" top="0.75" bottom="0.75" header="0.3" footer="0.3"/>
  <pageSetup paperSize="9" scale="42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714A-F5D1-46C7-881A-60E6122C36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49"/>
  <sheetViews>
    <sheetView showGridLines="0" showZeros="0" workbookViewId="0">
      <pane xSplit="2" ySplit="4" topLeftCell="C146" activePane="bottomRight" state="frozen"/>
      <selection pane="topRight" activeCell="C1" sqref="C1"/>
      <selection pane="bottomLeft" activeCell="A4" sqref="A4"/>
      <selection pane="bottomRight" activeCell="C86" sqref="C86"/>
    </sheetView>
  </sheetViews>
  <sheetFormatPr defaultRowHeight="14.4" outlineLevelCol="1" x14ac:dyDescent="0.3"/>
  <cols>
    <col min="1" max="1" width="1.109375" customWidth="1"/>
    <col min="2" max="2" width="11" style="27" customWidth="1"/>
    <col min="3" max="3" width="11.6640625" style="28" customWidth="1"/>
    <col min="4" max="4" width="23.5546875" style="28" customWidth="1" outlineLevel="1"/>
    <col min="5" max="5" width="11.6640625" style="29" customWidth="1"/>
    <col min="6" max="6" width="12.6640625" style="15" customWidth="1"/>
    <col min="7" max="7" width="12.6640625" style="15" hidden="1" customWidth="1" outlineLevel="1"/>
    <col min="8" max="8" width="12.6640625" style="30" customWidth="1" collapsed="1"/>
  </cols>
  <sheetData>
    <row r="2" spans="2:9" ht="15.6" customHeight="1" x14ac:dyDescent="0.3">
      <c r="B2" s="547" t="str">
        <f>UPPER("Распределение резерва на топливо для логистики - 200К")</f>
        <v>РАСПРЕДЕЛЕНИЕ РЕЗЕРВА НА ТОПЛИВО ДЛЯ ЛОГИСТИКИ - 200К</v>
      </c>
      <c r="C2" s="547"/>
      <c r="D2" s="547"/>
      <c r="E2" s="547"/>
      <c r="F2" s="547"/>
      <c r="G2" s="547"/>
      <c r="H2" s="547"/>
      <c r="I2" s="46"/>
    </row>
    <row r="3" spans="2:9" ht="15.6" customHeight="1" x14ac:dyDescent="0.3">
      <c r="B3" s="53"/>
      <c r="C3" s="53"/>
      <c r="D3" s="53"/>
      <c r="E3" s="53"/>
      <c r="F3" s="54">
        <f>SUM(F5:F95)</f>
        <v>210000</v>
      </c>
      <c r="G3" s="53"/>
      <c r="H3" s="53"/>
      <c r="I3" s="46"/>
    </row>
    <row r="4" spans="2:9" ht="29.4" thickBot="1" x14ac:dyDescent="0.35">
      <c r="B4" s="31" t="s">
        <v>5</v>
      </c>
      <c r="C4" s="32" t="s">
        <v>10</v>
      </c>
      <c r="D4" s="32" t="s">
        <v>4</v>
      </c>
      <c r="E4" s="32" t="s">
        <v>6</v>
      </c>
      <c r="F4" s="33" t="s">
        <v>7</v>
      </c>
      <c r="G4" s="34" t="s">
        <v>8</v>
      </c>
      <c r="H4" s="34" t="s">
        <v>9</v>
      </c>
    </row>
    <row r="5" spans="2:9" x14ac:dyDescent="0.3">
      <c r="B5" s="35">
        <v>45261</v>
      </c>
      <c r="C5" s="47">
        <v>200000</v>
      </c>
      <c r="D5" s="36" t="s">
        <v>12</v>
      </c>
      <c r="E5" s="37">
        <v>0</v>
      </c>
      <c r="F5" s="38">
        <v>15000</v>
      </c>
      <c r="G5" s="38"/>
      <c r="H5" s="44">
        <f>C5-F5</f>
        <v>185000</v>
      </c>
    </row>
    <row r="6" spans="2:9" x14ac:dyDescent="0.3">
      <c r="B6" s="40">
        <f>B5+1</f>
        <v>45262</v>
      </c>
      <c r="C6" s="42">
        <f t="shared" ref="C6:C69" si="0">IF(B6=0,0,C5-F5)</f>
        <v>185000</v>
      </c>
      <c r="D6" s="41"/>
      <c r="E6" s="42">
        <f>IF(B6=0,0,H5)</f>
        <v>185000</v>
      </c>
      <c r="F6" s="43"/>
      <c r="G6" s="43"/>
      <c r="H6" s="44">
        <f t="shared" ref="H6:H69" si="1">IF(B6=0,0,E6-F6+G6)</f>
        <v>185000</v>
      </c>
    </row>
    <row r="7" spans="2:9" x14ac:dyDescent="0.3">
      <c r="B7" s="40">
        <f t="shared" ref="B7:B24" ca="1" si="2">IF(OR(B6+1&gt;TODAY(),B6=0),0,B6+1)</f>
        <v>45263</v>
      </c>
      <c r="C7" s="42">
        <f t="shared" ca="1" si="0"/>
        <v>185000</v>
      </c>
      <c r="D7" s="41"/>
      <c r="E7" s="42">
        <f t="shared" ref="E7:E28" ca="1" si="3">IF(B7=0,0,H6)</f>
        <v>185000</v>
      </c>
      <c r="F7" s="43"/>
      <c r="G7" s="43"/>
      <c r="H7" s="44">
        <f t="shared" ca="1" si="1"/>
        <v>185000</v>
      </c>
    </row>
    <row r="8" spans="2:9" x14ac:dyDescent="0.3">
      <c r="B8" s="40">
        <f t="shared" ca="1" si="2"/>
        <v>45264</v>
      </c>
      <c r="C8" s="42">
        <f t="shared" ca="1" si="0"/>
        <v>185000</v>
      </c>
      <c r="D8" s="41"/>
      <c r="E8" s="42">
        <f t="shared" ca="1" si="3"/>
        <v>185000</v>
      </c>
      <c r="F8" s="43"/>
      <c r="G8" s="43"/>
      <c r="H8" s="44">
        <f t="shared" ca="1" si="1"/>
        <v>185000</v>
      </c>
    </row>
    <row r="9" spans="2:9" x14ac:dyDescent="0.3">
      <c r="B9" s="40">
        <f t="shared" ca="1" si="2"/>
        <v>45265</v>
      </c>
      <c r="C9" s="42">
        <f t="shared" ca="1" si="0"/>
        <v>185000</v>
      </c>
      <c r="D9" s="41"/>
      <c r="E9" s="42">
        <f t="shared" ca="1" si="3"/>
        <v>185000</v>
      </c>
      <c r="F9" s="43"/>
      <c r="G9" s="43"/>
      <c r="H9" s="44">
        <f t="shared" ca="1" si="1"/>
        <v>185000</v>
      </c>
    </row>
    <row r="10" spans="2:9" x14ac:dyDescent="0.3">
      <c r="B10" s="40">
        <f t="shared" ca="1" si="2"/>
        <v>45266</v>
      </c>
      <c r="C10" s="42">
        <f t="shared" ca="1" si="0"/>
        <v>185000</v>
      </c>
      <c r="D10" s="41"/>
      <c r="E10" s="42">
        <f t="shared" ca="1" si="3"/>
        <v>185000</v>
      </c>
      <c r="F10" s="43"/>
      <c r="G10" s="43"/>
      <c r="H10" s="44">
        <f t="shared" ca="1" si="1"/>
        <v>185000</v>
      </c>
    </row>
    <row r="11" spans="2:9" x14ac:dyDescent="0.3">
      <c r="B11" s="40">
        <f t="shared" ca="1" si="2"/>
        <v>45267</v>
      </c>
      <c r="C11" s="42">
        <f t="shared" ca="1" si="0"/>
        <v>185000</v>
      </c>
      <c r="D11" s="41"/>
      <c r="E11" s="42">
        <f t="shared" ca="1" si="3"/>
        <v>185000</v>
      </c>
      <c r="F11" s="43"/>
      <c r="G11" s="43"/>
      <c r="H11" s="44">
        <f ca="1">IF(B11=0,0,E11-F11+G11)</f>
        <v>185000</v>
      </c>
    </row>
    <row r="12" spans="2:9" x14ac:dyDescent="0.3">
      <c r="B12" s="40">
        <f t="shared" ca="1" si="2"/>
        <v>45268</v>
      </c>
      <c r="C12" s="42">
        <f t="shared" ca="1" si="0"/>
        <v>185000</v>
      </c>
      <c r="D12" s="41"/>
      <c r="E12" s="42">
        <f t="shared" ca="1" si="3"/>
        <v>185000</v>
      </c>
      <c r="F12" s="43"/>
      <c r="G12" s="43"/>
      <c r="H12" s="44">
        <f t="shared" ca="1" si="1"/>
        <v>185000</v>
      </c>
    </row>
    <row r="13" spans="2:9" x14ac:dyDescent="0.3">
      <c r="B13" s="40">
        <f t="shared" ca="1" si="2"/>
        <v>45269</v>
      </c>
      <c r="C13" s="42">
        <f t="shared" ca="1" si="0"/>
        <v>185000</v>
      </c>
      <c r="D13" s="41"/>
      <c r="E13" s="42">
        <f t="shared" ca="1" si="3"/>
        <v>185000</v>
      </c>
      <c r="F13" s="43"/>
      <c r="G13" s="43"/>
      <c r="H13" s="44">
        <f t="shared" ca="1" si="1"/>
        <v>185000</v>
      </c>
    </row>
    <row r="14" spans="2:9" x14ac:dyDescent="0.3">
      <c r="B14" s="40">
        <f t="shared" ca="1" si="2"/>
        <v>45270</v>
      </c>
      <c r="C14" s="42">
        <f t="shared" ca="1" si="0"/>
        <v>185000</v>
      </c>
      <c r="D14" s="41"/>
      <c r="E14" s="42">
        <f t="shared" ca="1" si="3"/>
        <v>185000</v>
      </c>
      <c r="F14" s="43"/>
      <c r="G14" s="43"/>
      <c r="H14" s="44">
        <f t="shared" ca="1" si="1"/>
        <v>185000</v>
      </c>
    </row>
    <row r="15" spans="2:9" x14ac:dyDescent="0.3">
      <c r="B15" s="40">
        <f t="shared" ca="1" si="2"/>
        <v>45271</v>
      </c>
      <c r="C15" s="42">
        <f t="shared" ca="1" si="0"/>
        <v>185000</v>
      </c>
      <c r="D15" s="42"/>
      <c r="E15" s="42">
        <f t="shared" ca="1" si="3"/>
        <v>185000</v>
      </c>
      <c r="F15" s="43"/>
      <c r="G15" s="43"/>
      <c r="H15" s="44">
        <f t="shared" ca="1" si="1"/>
        <v>185000</v>
      </c>
    </row>
    <row r="16" spans="2:9" x14ac:dyDescent="0.3">
      <c r="B16" s="40">
        <f t="shared" ca="1" si="2"/>
        <v>45272</v>
      </c>
      <c r="C16" s="42">
        <f t="shared" ca="1" si="0"/>
        <v>185000</v>
      </c>
      <c r="D16" s="41" t="str">
        <f>D5</f>
        <v>Согласованный в бюджете декабря 2023 резерв для топлива (покупка ВОГ РЕСУРС ТОВ)</v>
      </c>
      <c r="E16" s="42">
        <f t="shared" ca="1" si="3"/>
        <v>185000</v>
      </c>
      <c r="F16" s="43">
        <v>20000</v>
      </c>
      <c r="G16" s="43"/>
      <c r="H16" s="44">
        <f t="shared" ca="1" si="1"/>
        <v>165000</v>
      </c>
    </row>
    <row r="17" spans="2:8" x14ac:dyDescent="0.3">
      <c r="B17" s="40">
        <f t="shared" ca="1" si="2"/>
        <v>45273</v>
      </c>
      <c r="C17" s="42">
        <f t="shared" ca="1" si="0"/>
        <v>165000</v>
      </c>
      <c r="D17" s="41"/>
      <c r="E17" s="42">
        <f t="shared" ca="1" si="3"/>
        <v>165000</v>
      </c>
      <c r="F17" s="43"/>
      <c r="G17" s="43"/>
      <c r="H17" s="44">
        <f t="shared" ca="1" si="1"/>
        <v>165000</v>
      </c>
    </row>
    <row r="18" spans="2:8" x14ac:dyDescent="0.3">
      <c r="B18" s="40">
        <f t="shared" ca="1" si="2"/>
        <v>45274</v>
      </c>
      <c r="C18" s="42">
        <f t="shared" ca="1" si="0"/>
        <v>165000</v>
      </c>
      <c r="D18" s="41"/>
      <c r="E18" s="42">
        <f t="shared" ca="1" si="3"/>
        <v>165000</v>
      </c>
      <c r="F18" s="43"/>
      <c r="G18" s="43"/>
      <c r="H18" s="44">
        <f t="shared" ca="1" si="1"/>
        <v>165000</v>
      </c>
    </row>
    <row r="19" spans="2:8" x14ac:dyDescent="0.3">
      <c r="B19" s="40">
        <f t="shared" ca="1" si="2"/>
        <v>45275</v>
      </c>
      <c r="C19" s="42">
        <f t="shared" ca="1" si="0"/>
        <v>165000</v>
      </c>
      <c r="D19" s="41"/>
      <c r="E19" s="42">
        <f t="shared" ca="1" si="3"/>
        <v>165000</v>
      </c>
      <c r="F19" s="43"/>
      <c r="G19" s="43"/>
      <c r="H19" s="44">
        <f t="shared" ca="1" si="1"/>
        <v>165000</v>
      </c>
    </row>
    <row r="20" spans="2:8" x14ac:dyDescent="0.3">
      <c r="B20" s="40">
        <f t="shared" ca="1" si="2"/>
        <v>45276</v>
      </c>
      <c r="C20" s="42">
        <f t="shared" ca="1" si="0"/>
        <v>165000</v>
      </c>
      <c r="D20" s="41"/>
      <c r="E20" s="42">
        <f t="shared" ca="1" si="3"/>
        <v>165000</v>
      </c>
      <c r="F20" s="43"/>
      <c r="G20" s="43"/>
      <c r="H20" s="44">
        <f t="shared" ca="1" si="1"/>
        <v>165000</v>
      </c>
    </row>
    <row r="21" spans="2:8" x14ac:dyDescent="0.3">
      <c r="B21" s="40">
        <f t="shared" ca="1" si="2"/>
        <v>45277</v>
      </c>
      <c r="C21" s="42">
        <f t="shared" ca="1" si="0"/>
        <v>165000</v>
      </c>
      <c r="D21" s="41"/>
      <c r="E21" s="42">
        <f t="shared" ca="1" si="3"/>
        <v>165000</v>
      </c>
      <c r="F21" s="43"/>
      <c r="G21" s="43"/>
      <c r="H21" s="44">
        <f t="shared" ca="1" si="1"/>
        <v>165000</v>
      </c>
    </row>
    <row r="22" spans="2:8" x14ac:dyDescent="0.3">
      <c r="B22" s="40">
        <f t="shared" ca="1" si="2"/>
        <v>45278</v>
      </c>
      <c r="C22" s="42">
        <f t="shared" ca="1" si="0"/>
        <v>165000</v>
      </c>
      <c r="D22" s="41"/>
      <c r="E22" s="42">
        <f t="shared" ca="1" si="3"/>
        <v>165000</v>
      </c>
      <c r="F22" s="43"/>
      <c r="G22" s="43"/>
      <c r="H22" s="44">
        <f t="shared" ca="1" si="1"/>
        <v>165000</v>
      </c>
    </row>
    <row r="23" spans="2:8" x14ac:dyDescent="0.3">
      <c r="B23" s="40">
        <f t="shared" ca="1" si="2"/>
        <v>45279</v>
      </c>
      <c r="C23" s="42">
        <f t="shared" ca="1" si="0"/>
        <v>165000</v>
      </c>
      <c r="D23" s="41" t="s">
        <v>11</v>
      </c>
      <c r="E23" s="42">
        <f t="shared" ca="1" si="3"/>
        <v>165000</v>
      </c>
      <c r="F23" s="43">
        <v>20000</v>
      </c>
      <c r="G23" s="43"/>
      <c r="H23" s="44">
        <f t="shared" ca="1" si="1"/>
        <v>145000</v>
      </c>
    </row>
    <row r="24" spans="2:8" x14ac:dyDescent="0.3">
      <c r="B24" s="40">
        <f t="shared" ca="1" si="2"/>
        <v>45280</v>
      </c>
      <c r="C24" s="42">
        <f t="shared" ca="1" si="0"/>
        <v>145000</v>
      </c>
      <c r="D24" s="41"/>
      <c r="E24" s="42">
        <f t="shared" ca="1" si="3"/>
        <v>145000</v>
      </c>
      <c r="F24" s="43"/>
      <c r="G24" s="43"/>
      <c r="H24" s="44">
        <f t="shared" ca="1" si="1"/>
        <v>145000</v>
      </c>
    </row>
    <row r="25" spans="2:8" x14ac:dyDescent="0.3">
      <c r="B25" s="40">
        <f ca="1">IF(OR(B24+1&gt;TODAY(),B24=0),0,B24+1)</f>
        <v>45281</v>
      </c>
      <c r="C25" s="42">
        <f t="shared" ca="1" si="0"/>
        <v>145000</v>
      </c>
      <c r="D25" s="41"/>
      <c r="E25" s="42">
        <f t="shared" ca="1" si="3"/>
        <v>145000</v>
      </c>
      <c r="F25" s="43"/>
      <c r="G25" s="43"/>
      <c r="H25" s="44">
        <f t="shared" ca="1" si="1"/>
        <v>145000</v>
      </c>
    </row>
    <row r="26" spans="2:8" x14ac:dyDescent="0.3">
      <c r="B26" s="40">
        <f ca="1">IF(OR(B25+1&gt;TODAY(),B25=0),0,B25+1)</f>
        <v>45282</v>
      </c>
      <c r="C26" s="42">
        <f t="shared" ca="1" si="0"/>
        <v>145000</v>
      </c>
      <c r="D26" s="41"/>
      <c r="E26" s="42">
        <f t="shared" ca="1" si="3"/>
        <v>145000</v>
      </c>
      <c r="F26" s="43"/>
      <c r="G26" s="43"/>
      <c r="H26" s="44">
        <f t="shared" ca="1" si="1"/>
        <v>145000</v>
      </c>
    </row>
    <row r="27" spans="2:8" x14ac:dyDescent="0.3">
      <c r="B27" s="40">
        <f ca="1">IF(OR(B26+1&gt;TODAY(),B26=0),0,B26+1)</f>
        <v>45283</v>
      </c>
      <c r="C27" s="42">
        <f t="shared" ca="1" si="0"/>
        <v>145000</v>
      </c>
      <c r="D27" s="41"/>
      <c r="E27" s="42">
        <f t="shared" ca="1" si="3"/>
        <v>145000</v>
      </c>
      <c r="F27" s="43"/>
      <c r="G27" s="43"/>
      <c r="H27" s="44">
        <f t="shared" ca="1" si="1"/>
        <v>145000</v>
      </c>
    </row>
    <row r="28" spans="2:8" x14ac:dyDescent="0.3">
      <c r="B28" s="40">
        <f ca="1">IF(OR(B27+1&gt;TODAY(),B27=0),0,B27+1)</f>
        <v>45284</v>
      </c>
      <c r="C28" s="42">
        <f t="shared" ca="1" si="0"/>
        <v>145000</v>
      </c>
      <c r="D28" s="45"/>
      <c r="E28" s="42">
        <f t="shared" ca="1" si="3"/>
        <v>145000</v>
      </c>
      <c r="F28" s="43">
        <v>0</v>
      </c>
      <c r="G28" s="43"/>
      <c r="H28" s="44">
        <f t="shared" ca="1" si="1"/>
        <v>145000</v>
      </c>
    </row>
    <row r="29" spans="2:8" x14ac:dyDescent="0.3">
      <c r="B29" s="40">
        <f ca="1">IF(OR(B28+1&gt;TODAY(),B28=0),0,B28+1)</f>
        <v>45285</v>
      </c>
      <c r="C29" s="42">
        <f t="shared" ca="1" si="0"/>
        <v>145000</v>
      </c>
      <c r="D29" s="41" t="str">
        <f>D23</f>
        <v>ВОГ РЕСУРС ТОВ</v>
      </c>
      <c r="E29" s="42">
        <f t="shared" ref="E29:E92" ca="1" si="4">IF(B29=0,0,H28)</f>
        <v>145000</v>
      </c>
      <c r="F29" s="43">
        <v>15000</v>
      </c>
      <c r="G29" s="43"/>
      <c r="H29" s="44">
        <f t="shared" ca="1" si="1"/>
        <v>130000</v>
      </c>
    </row>
    <row r="30" spans="2:8" x14ac:dyDescent="0.3">
      <c r="B30" s="40">
        <f t="shared" ref="B30:B93" ca="1" si="5">IF(OR(B29+1&gt;TODAY(),B29=0),0,B29+1)</f>
        <v>45286</v>
      </c>
      <c r="C30" s="42">
        <f t="shared" ca="1" si="0"/>
        <v>130000</v>
      </c>
      <c r="D30" s="41"/>
      <c r="E30" s="42">
        <f t="shared" ca="1" si="4"/>
        <v>130000</v>
      </c>
      <c r="F30" s="43"/>
      <c r="G30" s="43"/>
      <c r="H30" s="44">
        <f t="shared" ca="1" si="1"/>
        <v>130000</v>
      </c>
    </row>
    <row r="31" spans="2:8" x14ac:dyDescent="0.3">
      <c r="B31" s="40">
        <f t="shared" ca="1" si="5"/>
        <v>45287</v>
      </c>
      <c r="C31" s="42">
        <f t="shared" ca="1" si="0"/>
        <v>130000</v>
      </c>
      <c r="D31" s="41"/>
      <c r="E31" s="42">
        <f t="shared" ca="1" si="4"/>
        <v>130000</v>
      </c>
      <c r="F31" s="43"/>
      <c r="G31" s="43"/>
      <c r="H31" s="44">
        <f t="shared" ca="1" si="1"/>
        <v>130000</v>
      </c>
    </row>
    <row r="32" spans="2:8" x14ac:dyDescent="0.3">
      <c r="B32" s="40">
        <f t="shared" ca="1" si="5"/>
        <v>45288</v>
      </c>
      <c r="C32" s="42">
        <f t="shared" ca="1" si="0"/>
        <v>130000</v>
      </c>
      <c r="D32" s="41"/>
      <c r="E32" s="42">
        <f t="shared" ca="1" si="4"/>
        <v>130000</v>
      </c>
      <c r="F32" s="43"/>
      <c r="G32" s="43"/>
      <c r="H32" s="44">
        <f t="shared" ca="1" si="1"/>
        <v>130000</v>
      </c>
    </row>
    <row r="33" spans="2:8" x14ac:dyDescent="0.3">
      <c r="B33" s="40">
        <f t="shared" ca="1" si="5"/>
        <v>45289</v>
      </c>
      <c r="C33" s="42">
        <f t="shared" ca="1" si="0"/>
        <v>130000</v>
      </c>
      <c r="D33" s="41"/>
      <c r="E33" s="42">
        <f t="shared" ca="1" si="4"/>
        <v>130000</v>
      </c>
      <c r="F33" s="43"/>
      <c r="G33" s="43"/>
      <c r="H33" s="44">
        <f t="shared" ca="1" si="1"/>
        <v>130000</v>
      </c>
    </row>
    <row r="34" spans="2:8" x14ac:dyDescent="0.3">
      <c r="B34" s="40">
        <f t="shared" ca="1" si="5"/>
        <v>45290</v>
      </c>
      <c r="C34" s="42">
        <f t="shared" ca="1" si="0"/>
        <v>130000</v>
      </c>
      <c r="D34" s="41"/>
      <c r="E34" s="42">
        <f t="shared" ca="1" si="4"/>
        <v>130000</v>
      </c>
      <c r="F34" s="43"/>
      <c r="G34" s="43"/>
      <c r="H34" s="44">
        <f t="shared" ca="1" si="1"/>
        <v>130000</v>
      </c>
    </row>
    <row r="35" spans="2:8" ht="15" thickBot="1" x14ac:dyDescent="0.35">
      <c r="B35" s="48">
        <f t="shared" ca="1" si="5"/>
        <v>45291</v>
      </c>
      <c r="C35" s="49">
        <f t="shared" ca="1" si="0"/>
        <v>130000</v>
      </c>
      <c r="D35" s="50"/>
      <c r="E35" s="49">
        <f t="shared" ca="1" si="4"/>
        <v>130000</v>
      </c>
      <c r="F35" s="51"/>
      <c r="G35" s="51"/>
      <c r="H35" s="52">
        <f t="shared" ca="1" si="1"/>
        <v>130000</v>
      </c>
    </row>
    <row r="36" spans="2:8" x14ac:dyDescent="0.3">
      <c r="B36" s="35">
        <f t="shared" ca="1" si="5"/>
        <v>45292</v>
      </c>
      <c r="C36" s="37">
        <f t="shared" ca="1" si="0"/>
        <v>130000</v>
      </c>
      <c r="D36" s="36"/>
      <c r="E36" s="37">
        <f t="shared" ca="1" si="4"/>
        <v>130000</v>
      </c>
      <c r="F36" s="38"/>
      <c r="G36" s="38"/>
      <c r="H36" s="39">
        <f t="shared" ca="1" si="1"/>
        <v>130000</v>
      </c>
    </row>
    <row r="37" spans="2:8" x14ac:dyDescent="0.3">
      <c r="B37" s="40">
        <f t="shared" ca="1" si="5"/>
        <v>45293</v>
      </c>
      <c r="C37" s="42">
        <f t="shared" ca="1" si="0"/>
        <v>130000</v>
      </c>
      <c r="D37" s="41"/>
      <c r="E37" s="42">
        <f t="shared" ca="1" si="4"/>
        <v>130000</v>
      </c>
      <c r="F37" s="43"/>
      <c r="G37" s="43"/>
      <c r="H37" s="44">
        <f t="shared" ca="1" si="1"/>
        <v>130000</v>
      </c>
    </row>
    <row r="38" spans="2:8" x14ac:dyDescent="0.3">
      <c r="B38" s="40">
        <f t="shared" ca="1" si="5"/>
        <v>45294</v>
      </c>
      <c r="C38" s="42">
        <f t="shared" ca="1" si="0"/>
        <v>130000</v>
      </c>
      <c r="D38" s="41"/>
      <c r="E38" s="42">
        <f t="shared" ca="1" si="4"/>
        <v>130000</v>
      </c>
      <c r="F38" s="43"/>
      <c r="G38" s="43"/>
      <c r="H38" s="44">
        <f t="shared" ca="1" si="1"/>
        <v>130000</v>
      </c>
    </row>
    <row r="39" spans="2:8" x14ac:dyDescent="0.3">
      <c r="B39" s="40">
        <f t="shared" ca="1" si="5"/>
        <v>45295</v>
      </c>
      <c r="C39" s="42">
        <f t="shared" ca="1" si="0"/>
        <v>130000</v>
      </c>
      <c r="D39" s="41"/>
      <c r="E39" s="42">
        <f t="shared" ca="1" si="4"/>
        <v>130000</v>
      </c>
      <c r="F39" s="43"/>
      <c r="G39" s="43"/>
      <c r="H39" s="44">
        <f t="shared" ca="1" si="1"/>
        <v>130000</v>
      </c>
    </row>
    <row r="40" spans="2:8" x14ac:dyDescent="0.3">
      <c r="B40" s="40">
        <f t="shared" ca="1" si="5"/>
        <v>45296</v>
      </c>
      <c r="C40" s="42">
        <f t="shared" ca="1" si="0"/>
        <v>130000</v>
      </c>
      <c r="D40" s="41"/>
      <c r="E40" s="42">
        <f t="shared" ca="1" si="4"/>
        <v>130000</v>
      </c>
      <c r="F40" s="43"/>
      <c r="G40" s="43"/>
      <c r="H40" s="44">
        <f t="shared" ca="1" si="1"/>
        <v>130000</v>
      </c>
    </row>
    <row r="41" spans="2:8" x14ac:dyDescent="0.3">
      <c r="B41" s="40">
        <f t="shared" ca="1" si="5"/>
        <v>45297</v>
      </c>
      <c r="C41" s="42">
        <f t="shared" ca="1" si="0"/>
        <v>130000</v>
      </c>
      <c r="D41" s="41"/>
      <c r="E41" s="42">
        <f t="shared" ca="1" si="4"/>
        <v>130000</v>
      </c>
      <c r="F41" s="43"/>
      <c r="G41" s="43"/>
      <c r="H41" s="44">
        <f t="shared" ca="1" si="1"/>
        <v>130000</v>
      </c>
    </row>
    <row r="42" spans="2:8" x14ac:dyDescent="0.3">
      <c r="B42" s="40">
        <f t="shared" ca="1" si="5"/>
        <v>45298</v>
      </c>
      <c r="C42" s="42">
        <f t="shared" ca="1" si="0"/>
        <v>130000</v>
      </c>
      <c r="D42" s="41"/>
      <c r="E42" s="42">
        <f t="shared" ca="1" si="4"/>
        <v>130000</v>
      </c>
      <c r="F42" s="43"/>
      <c r="G42" s="43"/>
      <c r="H42" s="44">
        <f t="shared" ca="1" si="1"/>
        <v>130000</v>
      </c>
    </row>
    <row r="43" spans="2:8" x14ac:dyDescent="0.3">
      <c r="B43" s="40">
        <f t="shared" ca="1" si="5"/>
        <v>45299</v>
      </c>
      <c r="C43" s="42">
        <f t="shared" ca="1" si="0"/>
        <v>130000</v>
      </c>
      <c r="D43" s="41"/>
      <c r="E43" s="42">
        <f t="shared" ca="1" si="4"/>
        <v>130000</v>
      </c>
      <c r="F43" s="43"/>
      <c r="G43" s="43"/>
      <c r="H43" s="44">
        <f t="shared" ca="1" si="1"/>
        <v>130000</v>
      </c>
    </row>
    <row r="44" spans="2:8" x14ac:dyDescent="0.3">
      <c r="B44" s="40">
        <f t="shared" ca="1" si="5"/>
        <v>45300</v>
      </c>
      <c r="C44" s="42">
        <f t="shared" ca="1" si="0"/>
        <v>130000</v>
      </c>
      <c r="D44" s="41"/>
      <c r="E44" s="42">
        <f t="shared" ca="1" si="4"/>
        <v>130000</v>
      </c>
      <c r="F44" s="43"/>
      <c r="G44" s="43"/>
      <c r="H44" s="44">
        <f t="shared" ca="1" si="1"/>
        <v>130000</v>
      </c>
    </row>
    <row r="45" spans="2:8" x14ac:dyDescent="0.3">
      <c r="B45" s="40">
        <f t="shared" ca="1" si="5"/>
        <v>45301</v>
      </c>
      <c r="C45" s="42">
        <f t="shared" ca="1" si="0"/>
        <v>130000</v>
      </c>
      <c r="D45" s="41"/>
      <c r="E45" s="42">
        <f t="shared" ca="1" si="4"/>
        <v>130000</v>
      </c>
      <c r="F45" s="43"/>
      <c r="G45" s="43"/>
      <c r="H45" s="44">
        <f t="shared" ca="1" si="1"/>
        <v>130000</v>
      </c>
    </row>
    <row r="46" spans="2:8" x14ac:dyDescent="0.3">
      <c r="B46" s="40">
        <f t="shared" ca="1" si="5"/>
        <v>45302</v>
      </c>
      <c r="C46" s="42">
        <f t="shared" ca="1" si="0"/>
        <v>130000</v>
      </c>
      <c r="D46" s="41"/>
      <c r="E46" s="42">
        <f t="shared" ca="1" si="4"/>
        <v>130000</v>
      </c>
      <c r="F46" s="43"/>
      <c r="G46" s="43"/>
      <c r="H46" s="44">
        <f t="shared" ca="1" si="1"/>
        <v>130000</v>
      </c>
    </row>
    <row r="47" spans="2:8" x14ac:dyDescent="0.3">
      <c r="B47" s="40">
        <f t="shared" ca="1" si="5"/>
        <v>45303</v>
      </c>
      <c r="C47" s="42">
        <f t="shared" ca="1" si="0"/>
        <v>130000</v>
      </c>
      <c r="D47" s="41"/>
      <c r="E47" s="42">
        <f t="shared" ca="1" si="4"/>
        <v>130000</v>
      </c>
      <c r="F47" s="43"/>
      <c r="G47" s="43"/>
      <c r="H47" s="44">
        <f t="shared" ca="1" si="1"/>
        <v>130000</v>
      </c>
    </row>
    <row r="48" spans="2:8" x14ac:dyDescent="0.3">
      <c r="B48" s="40">
        <f t="shared" ca="1" si="5"/>
        <v>45304</v>
      </c>
      <c r="C48" s="42">
        <f t="shared" ca="1" si="0"/>
        <v>130000</v>
      </c>
      <c r="D48" s="41"/>
      <c r="E48" s="42">
        <f t="shared" ca="1" si="4"/>
        <v>130000</v>
      </c>
      <c r="F48" s="43"/>
      <c r="G48" s="43"/>
      <c r="H48" s="44">
        <f t="shared" ca="1" si="1"/>
        <v>130000</v>
      </c>
    </row>
    <row r="49" spans="2:8" x14ac:dyDescent="0.3">
      <c r="B49" s="40">
        <f t="shared" ca="1" si="5"/>
        <v>45305</v>
      </c>
      <c r="C49" s="42">
        <f t="shared" ca="1" si="0"/>
        <v>130000</v>
      </c>
      <c r="D49" s="41"/>
      <c r="E49" s="42">
        <f t="shared" ca="1" si="4"/>
        <v>130000</v>
      </c>
      <c r="F49" s="43"/>
      <c r="G49" s="43"/>
      <c r="H49" s="44">
        <f t="shared" ca="1" si="1"/>
        <v>130000</v>
      </c>
    </row>
    <row r="50" spans="2:8" x14ac:dyDescent="0.3">
      <c r="B50" s="40">
        <f t="shared" ca="1" si="5"/>
        <v>45306</v>
      </c>
      <c r="C50" s="42">
        <f t="shared" ca="1" si="0"/>
        <v>130000</v>
      </c>
      <c r="D50" s="41"/>
      <c r="E50" s="42">
        <f t="shared" ca="1" si="4"/>
        <v>130000</v>
      </c>
      <c r="F50" s="43"/>
      <c r="G50" s="43"/>
      <c r="H50" s="44">
        <f t="shared" ca="1" si="1"/>
        <v>130000</v>
      </c>
    </row>
    <row r="51" spans="2:8" x14ac:dyDescent="0.3">
      <c r="B51" s="40">
        <f t="shared" ca="1" si="5"/>
        <v>45307</v>
      </c>
      <c r="C51" s="42">
        <f t="shared" ca="1" si="0"/>
        <v>130000</v>
      </c>
      <c r="D51" s="41"/>
      <c r="E51" s="42">
        <f t="shared" ca="1" si="4"/>
        <v>130000</v>
      </c>
      <c r="F51" s="43"/>
      <c r="G51" s="43"/>
      <c r="H51" s="44">
        <f t="shared" ca="1" si="1"/>
        <v>130000</v>
      </c>
    </row>
    <row r="52" spans="2:8" x14ac:dyDescent="0.3">
      <c r="B52" s="40">
        <f t="shared" ca="1" si="5"/>
        <v>45308</v>
      </c>
      <c r="C52" s="42">
        <f t="shared" ca="1" si="0"/>
        <v>130000</v>
      </c>
      <c r="D52" s="41"/>
      <c r="E52" s="42">
        <f t="shared" ca="1" si="4"/>
        <v>130000</v>
      </c>
      <c r="F52" s="43"/>
      <c r="G52" s="43"/>
      <c r="H52" s="44">
        <f t="shared" ca="1" si="1"/>
        <v>130000</v>
      </c>
    </row>
    <row r="53" spans="2:8" x14ac:dyDescent="0.3">
      <c r="B53" s="40">
        <f t="shared" ca="1" si="5"/>
        <v>45309</v>
      </c>
      <c r="C53" s="42">
        <f t="shared" ca="1" si="0"/>
        <v>130000</v>
      </c>
      <c r="D53" s="41"/>
      <c r="E53" s="42">
        <f t="shared" ca="1" si="4"/>
        <v>130000</v>
      </c>
      <c r="F53" s="43"/>
      <c r="G53" s="43"/>
      <c r="H53" s="44">
        <f t="shared" ca="1" si="1"/>
        <v>130000</v>
      </c>
    </row>
    <row r="54" spans="2:8" x14ac:dyDescent="0.3">
      <c r="B54" s="40">
        <f t="shared" ca="1" si="5"/>
        <v>45310</v>
      </c>
      <c r="C54" s="42">
        <f t="shared" ca="1" si="0"/>
        <v>130000</v>
      </c>
      <c r="D54" s="41"/>
      <c r="E54" s="42">
        <f t="shared" ca="1" si="4"/>
        <v>130000</v>
      </c>
      <c r="F54" s="43"/>
      <c r="G54" s="43"/>
      <c r="H54" s="44">
        <f t="shared" ca="1" si="1"/>
        <v>130000</v>
      </c>
    </row>
    <row r="55" spans="2:8" x14ac:dyDescent="0.3">
      <c r="B55" s="40">
        <f t="shared" ca="1" si="5"/>
        <v>45311</v>
      </c>
      <c r="C55" s="42">
        <f t="shared" ca="1" si="0"/>
        <v>130000</v>
      </c>
      <c r="D55" s="41"/>
      <c r="E55" s="42">
        <f t="shared" ca="1" si="4"/>
        <v>130000</v>
      </c>
      <c r="F55" s="43"/>
      <c r="G55" s="43"/>
      <c r="H55" s="44">
        <f t="shared" ca="1" si="1"/>
        <v>130000</v>
      </c>
    </row>
    <row r="56" spans="2:8" x14ac:dyDescent="0.3">
      <c r="B56" s="40">
        <f t="shared" ca="1" si="5"/>
        <v>45312</v>
      </c>
      <c r="C56" s="42">
        <f t="shared" ca="1" si="0"/>
        <v>130000</v>
      </c>
      <c r="D56" s="41"/>
      <c r="E56" s="42">
        <f t="shared" ca="1" si="4"/>
        <v>130000</v>
      </c>
      <c r="F56" s="43"/>
      <c r="G56" s="43"/>
      <c r="H56" s="44">
        <f t="shared" ca="1" si="1"/>
        <v>130000</v>
      </c>
    </row>
    <row r="57" spans="2:8" x14ac:dyDescent="0.3">
      <c r="B57" s="40">
        <f t="shared" ca="1" si="5"/>
        <v>45313</v>
      </c>
      <c r="C57" s="42">
        <f t="shared" ca="1" si="0"/>
        <v>130000</v>
      </c>
      <c r="D57" s="41"/>
      <c r="E57" s="42">
        <f t="shared" ca="1" si="4"/>
        <v>130000</v>
      </c>
      <c r="F57" s="43"/>
      <c r="G57" s="43"/>
      <c r="H57" s="44">
        <f t="shared" ca="1" si="1"/>
        <v>130000</v>
      </c>
    </row>
    <row r="58" spans="2:8" x14ac:dyDescent="0.3">
      <c r="B58" s="40">
        <f t="shared" ca="1" si="5"/>
        <v>45314</v>
      </c>
      <c r="C58" s="42">
        <f t="shared" ca="1" si="0"/>
        <v>130000</v>
      </c>
      <c r="D58" s="41" t="s">
        <v>11</v>
      </c>
      <c r="E58" s="42">
        <f t="shared" ca="1" si="4"/>
        <v>130000</v>
      </c>
      <c r="F58" s="43">
        <v>20000</v>
      </c>
      <c r="G58" s="43"/>
      <c r="H58" s="44">
        <f t="shared" ca="1" si="1"/>
        <v>110000</v>
      </c>
    </row>
    <row r="59" spans="2:8" x14ac:dyDescent="0.3">
      <c r="B59" s="40">
        <f t="shared" ca="1" si="5"/>
        <v>45315</v>
      </c>
      <c r="C59" s="42">
        <f t="shared" ca="1" si="0"/>
        <v>110000</v>
      </c>
      <c r="D59" s="41"/>
      <c r="E59" s="42">
        <f t="shared" ca="1" si="4"/>
        <v>110000</v>
      </c>
      <c r="F59" s="43"/>
      <c r="G59" s="43"/>
      <c r="H59" s="44">
        <f t="shared" ca="1" si="1"/>
        <v>110000</v>
      </c>
    </row>
    <row r="60" spans="2:8" x14ac:dyDescent="0.3">
      <c r="B60" s="40">
        <f t="shared" ca="1" si="5"/>
        <v>45316</v>
      </c>
      <c r="C60" s="42">
        <f t="shared" ca="1" si="0"/>
        <v>110000</v>
      </c>
      <c r="D60" s="41"/>
      <c r="E60" s="42">
        <f t="shared" ca="1" si="4"/>
        <v>110000</v>
      </c>
      <c r="F60" s="43"/>
      <c r="G60" s="43"/>
      <c r="H60" s="44">
        <f t="shared" ca="1" si="1"/>
        <v>110000</v>
      </c>
    </row>
    <row r="61" spans="2:8" x14ac:dyDescent="0.3">
      <c r="B61" s="40">
        <f t="shared" ca="1" si="5"/>
        <v>45317</v>
      </c>
      <c r="C61" s="42">
        <f t="shared" ca="1" si="0"/>
        <v>110000</v>
      </c>
      <c r="D61" s="41"/>
      <c r="E61" s="42">
        <f t="shared" ca="1" si="4"/>
        <v>110000</v>
      </c>
      <c r="F61" s="43"/>
      <c r="G61" s="43"/>
      <c r="H61" s="44">
        <f t="shared" ca="1" si="1"/>
        <v>110000</v>
      </c>
    </row>
    <row r="62" spans="2:8" x14ac:dyDescent="0.3">
      <c r="B62" s="40">
        <f t="shared" ca="1" si="5"/>
        <v>45318</v>
      </c>
      <c r="C62" s="42">
        <f t="shared" ca="1" si="0"/>
        <v>110000</v>
      </c>
      <c r="D62" s="41"/>
      <c r="E62" s="42">
        <f t="shared" ca="1" si="4"/>
        <v>110000</v>
      </c>
      <c r="F62" s="43"/>
      <c r="G62" s="43"/>
      <c r="H62" s="44">
        <f t="shared" ca="1" si="1"/>
        <v>110000</v>
      </c>
    </row>
    <row r="63" spans="2:8" x14ac:dyDescent="0.3">
      <c r="B63" s="40">
        <f t="shared" ca="1" si="5"/>
        <v>45319</v>
      </c>
      <c r="C63" s="42">
        <f t="shared" ca="1" si="0"/>
        <v>110000</v>
      </c>
      <c r="D63" s="41"/>
      <c r="E63" s="42">
        <f t="shared" ca="1" si="4"/>
        <v>110000</v>
      </c>
      <c r="F63" s="43"/>
      <c r="G63" s="43"/>
      <c r="H63" s="44">
        <f t="shared" ca="1" si="1"/>
        <v>110000</v>
      </c>
    </row>
    <row r="64" spans="2:8" x14ac:dyDescent="0.3">
      <c r="B64" s="40">
        <f t="shared" ca="1" si="5"/>
        <v>45320</v>
      </c>
      <c r="C64" s="42">
        <f t="shared" ca="1" si="0"/>
        <v>110000</v>
      </c>
      <c r="D64" s="41" t="s">
        <v>11</v>
      </c>
      <c r="E64" s="42">
        <f t="shared" ca="1" si="4"/>
        <v>110000</v>
      </c>
      <c r="F64" s="43">
        <v>20000</v>
      </c>
      <c r="G64" s="43"/>
      <c r="H64" s="44">
        <f t="shared" ca="1" si="1"/>
        <v>90000</v>
      </c>
    </row>
    <row r="65" spans="2:8" x14ac:dyDescent="0.3">
      <c r="B65" s="40">
        <f t="shared" ca="1" si="5"/>
        <v>45321</v>
      </c>
      <c r="C65" s="42">
        <f t="shared" ca="1" si="0"/>
        <v>90000</v>
      </c>
      <c r="D65" s="41"/>
      <c r="E65" s="42">
        <f t="shared" ca="1" si="4"/>
        <v>90000</v>
      </c>
      <c r="F65" s="43"/>
      <c r="G65" s="43"/>
      <c r="H65" s="44">
        <f t="shared" ca="1" si="1"/>
        <v>90000</v>
      </c>
    </row>
    <row r="66" spans="2:8" x14ac:dyDescent="0.3">
      <c r="B66" s="40">
        <f t="shared" ca="1" si="5"/>
        <v>45322</v>
      </c>
      <c r="C66" s="42">
        <f t="shared" ca="1" si="0"/>
        <v>90000</v>
      </c>
      <c r="D66" s="41" t="s">
        <v>11</v>
      </c>
      <c r="E66" s="42">
        <f t="shared" ca="1" si="4"/>
        <v>90000</v>
      </c>
      <c r="F66" s="43">
        <v>20000</v>
      </c>
      <c r="G66" s="43"/>
      <c r="H66" s="44">
        <f t="shared" ca="1" si="1"/>
        <v>70000</v>
      </c>
    </row>
    <row r="67" spans="2:8" x14ac:dyDescent="0.3">
      <c r="B67" s="40">
        <f t="shared" ca="1" si="5"/>
        <v>45323</v>
      </c>
      <c r="C67" s="42">
        <f t="shared" ca="1" si="0"/>
        <v>70000</v>
      </c>
      <c r="D67" s="41"/>
      <c r="E67" s="42">
        <f t="shared" ca="1" si="4"/>
        <v>70000</v>
      </c>
      <c r="F67" s="43"/>
      <c r="G67" s="43"/>
      <c r="H67" s="44">
        <f t="shared" ca="1" si="1"/>
        <v>70000</v>
      </c>
    </row>
    <row r="68" spans="2:8" x14ac:dyDescent="0.3">
      <c r="B68" s="40">
        <f t="shared" ca="1" si="5"/>
        <v>45324</v>
      </c>
      <c r="C68" s="42">
        <f t="shared" ca="1" si="0"/>
        <v>70000</v>
      </c>
      <c r="D68" s="41" t="s">
        <v>11</v>
      </c>
      <c r="E68" s="42">
        <f t="shared" ca="1" si="4"/>
        <v>70000</v>
      </c>
      <c r="F68" s="43">
        <v>40000</v>
      </c>
      <c r="G68" s="43"/>
      <c r="H68" s="44">
        <f t="shared" ca="1" si="1"/>
        <v>30000</v>
      </c>
    </row>
    <row r="69" spans="2:8" x14ac:dyDescent="0.3">
      <c r="B69" s="40">
        <f t="shared" ca="1" si="5"/>
        <v>45325</v>
      </c>
      <c r="C69" s="42">
        <f t="shared" ca="1" si="0"/>
        <v>30000</v>
      </c>
      <c r="D69" s="41"/>
      <c r="E69" s="42">
        <f t="shared" ca="1" si="4"/>
        <v>30000</v>
      </c>
      <c r="F69" s="43"/>
      <c r="G69" s="43"/>
      <c r="H69" s="44">
        <f t="shared" ca="1" si="1"/>
        <v>30000</v>
      </c>
    </row>
    <row r="70" spans="2:8" x14ac:dyDescent="0.3">
      <c r="B70" s="40">
        <f t="shared" ca="1" si="5"/>
        <v>45326</v>
      </c>
      <c r="C70" s="42">
        <f t="shared" ref="C70:C133" ca="1" si="6">IF(B70=0,0,C69-F69)</f>
        <v>30000</v>
      </c>
      <c r="D70" s="41"/>
      <c r="E70" s="42">
        <f t="shared" ca="1" si="4"/>
        <v>30000</v>
      </c>
      <c r="F70" s="43"/>
      <c r="G70" s="43"/>
      <c r="H70" s="44">
        <f t="shared" ref="H70:H133" ca="1" si="7">IF(B70=0,0,E70-F70+G70)</f>
        <v>30000</v>
      </c>
    </row>
    <row r="71" spans="2:8" x14ac:dyDescent="0.3">
      <c r="B71" s="40">
        <f t="shared" ca="1" si="5"/>
        <v>45327</v>
      </c>
      <c r="C71" s="42">
        <f t="shared" ca="1" si="6"/>
        <v>30000</v>
      </c>
      <c r="D71" s="41"/>
      <c r="E71" s="42">
        <f t="shared" ca="1" si="4"/>
        <v>30000</v>
      </c>
      <c r="F71" s="43"/>
      <c r="G71" s="43"/>
      <c r="H71" s="44">
        <f t="shared" ca="1" si="7"/>
        <v>30000</v>
      </c>
    </row>
    <row r="72" spans="2:8" x14ac:dyDescent="0.3">
      <c r="B72" s="40">
        <f t="shared" ca="1" si="5"/>
        <v>45328</v>
      </c>
      <c r="C72" s="42">
        <f t="shared" ca="1" si="6"/>
        <v>30000</v>
      </c>
      <c r="D72" s="41"/>
      <c r="E72" s="42">
        <f t="shared" ca="1" si="4"/>
        <v>30000</v>
      </c>
      <c r="F72" s="43"/>
      <c r="G72" s="43"/>
      <c r="H72" s="44">
        <f t="shared" ca="1" si="7"/>
        <v>30000</v>
      </c>
    </row>
    <row r="73" spans="2:8" x14ac:dyDescent="0.3">
      <c r="B73" s="40">
        <f t="shared" ca="1" si="5"/>
        <v>45329</v>
      </c>
      <c r="C73" s="42">
        <f t="shared" ca="1" si="6"/>
        <v>30000</v>
      </c>
      <c r="D73" s="41" t="s">
        <v>11</v>
      </c>
      <c r="E73" s="42">
        <f t="shared" ca="1" si="4"/>
        <v>30000</v>
      </c>
      <c r="F73" s="43">
        <v>20000</v>
      </c>
      <c r="G73" s="43"/>
      <c r="H73" s="44">
        <f t="shared" ca="1" si="7"/>
        <v>10000</v>
      </c>
    </row>
    <row r="74" spans="2:8" x14ac:dyDescent="0.3">
      <c r="B74" s="40">
        <f t="shared" ca="1" si="5"/>
        <v>45330</v>
      </c>
      <c r="C74" s="42">
        <f t="shared" ca="1" si="6"/>
        <v>10000</v>
      </c>
      <c r="D74" s="41"/>
      <c r="E74" s="42">
        <f t="shared" ca="1" si="4"/>
        <v>10000</v>
      </c>
      <c r="F74" s="43"/>
      <c r="G74" s="43"/>
      <c r="H74" s="44">
        <f t="shared" ca="1" si="7"/>
        <v>10000</v>
      </c>
    </row>
    <row r="75" spans="2:8" x14ac:dyDescent="0.3">
      <c r="B75" s="40">
        <f t="shared" ca="1" si="5"/>
        <v>45331</v>
      </c>
      <c r="C75" s="42">
        <f t="shared" ca="1" si="6"/>
        <v>10000</v>
      </c>
      <c r="D75" s="41" t="s">
        <v>11</v>
      </c>
      <c r="E75" s="42">
        <f t="shared" ca="1" si="4"/>
        <v>10000</v>
      </c>
      <c r="F75" s="43">
        <v>20000</v>
      </c>
      <c r="G75" s="43"/>
      <c r="H75" s="44">
        <f t="shared" ca="1" si="7"/>
        <v>-10000</v>
      </c>
    </row>
    <row r="76" spans="2:8" x14ac:dyDescent="0.3">
      <c r="B76" s="40">
        <f t="shared" ca="1" si="5"/>
        <v>45332</v>
      </c>
      <c r="C76" s="42">
        <f t="shared" ca="1" si="6"/>
        <v>-10000</v>
      </c>
      <c r="D76" s="41"/>
      <c r="E76" s="42">
        <f t="shared" ca="1" si="4"/>
        <v>-10000</v>
      </c>
      <c r="F76" s="43"/>
      <c r="G76" s="43"/>
      <c r="H76" s="44">
        <f t="shared" ca="1" si="7"/>
        <v>-10000</v>
      </c>
    </row>
    <row r="77" spans="2:8" x14ac:dyDescent="0.3">
      <c r="B77" s="40">
        <f t="shared" ca="1" si="5"/>
        <v>45333</v>
      </c>
      <c r="C77" s="42">
        <f t="shared" ca="1" si="6"/>
        <v>-10000</v>
      </c>
      <c r="D77" s="41"/>
      <c r="E77" s="42">
        <f t="shared" ca="1" si="4"/>
        <v>-10000</v>
      </c>
      <c r="F77" s="43"/>
      <c r="G77" s="43"/>
      <c r="H77" s="44">
        <f t="shared" ca="1" si="7"/>
        <v>-10000</v>
      </c>
    </row>
    <row r="78" spans="2:8" x14ac:dyDescent="0.3">
      <c r="B78" s="40">
        <f t="shared" ca="1" si="5"/>
        <v>45334</v>
      </c>
      <c r="C78" s="42">
        <f t="shared" ca="1" si="6"/>
        <v>-10000</v>
      </c>
      <c r="D78" s="41"/>
      <c r="E78" s="42">
        <f t="shared" ca="1" si="4"/>
        <v>-10000</v>
      </c>
      <c r="F78" s="43"/>
      <c r="G78" s="43"/>
      <c r="H78" s="44">
        <f t="shared" ca="1" si="7"/>
        <v>-10000</v>
      </c>
    </row>
    <row r="79" spans="2:8" x14ac:dyDescent="0.3">
      <c r="B79" s="40">
        <f t="shared" ca="1" si="5"/>
        <v>45335</v>
      </c>
      <c r="C79" s="42">
        <f t="shared" ca="1" si="6"/>
        <v>-10000</v>
      </c>
      <c r="D79" s="41"/>
      <c r="E79" s="42">
        <f t="shared" ca="1" si="4"/>
        <v>-10000</v>
      </c>
      <c r="F79" s="43"/>
      <c r="G79" s="43"/>
      <c r="H79" s="44">
        <f t="shared" ca="1" si="7"/>
        <v>-10000</v>
      </c>
    </row>
    <row r="80" spans="2:8" x14ac:dyDescent="0.3">
      <c r="B80" s="40">
        <f t="shared" ca="1" si="5"/>
        <v>45336</v>
      </c>
      <c r="C80" s="42">
        <f t="shared" ca="1" si="6"/>
        <v>-10000</v>
      </c>
      <c r="D80" s="41"/>
      <c r="E80" s="42">
        <f t="shared" ca="1" si="4"/>
        <v>-10000</v>
      </c>
      <c r="F80" s="43"/>
      <c r="G80" s="43"/>
      <c r="H80" s="44">
        <f t="shared" ca="1" si="7"/>
        <v>-10000</v>
      </c>
    </row>
    <row r="81" spans="2:8" x14ac:dyDescent="0.3">
      <c r="B81" s="40">
        <f t="shared" ca="1" si="5"/>
        <v>45337</v>
      </c>
      <c r="C81" s="42">
        <f t="shared" ca="1" si="6"/>
        <v>-10000</v>
      </c>
      <c r="D81" s="41"/>
      <c r="E81" s="42">
        <f t="shared" ca="1" si="4"/>
        <v>-10000</v>
      </c>
      <c r="F81" s="43"/>
      <c r="G81" s="43"/>
      <c r="H81" s="44">
        <f t="shared" ca="1" si="7"/>
        <v>-10000</v>
      </c>
    </row>
    <row r="82" spans="2:8" x14ac:dyDescent="0.3">
      <c r="B82" s="40">
        <f t="shared" ca="1" si="5"/>
        <v>45338</v>
      </c>
      <c r="C82" s="42">
        <f t="shared" ca="1" si="6"/>
        <v>-10000</v>
      </c>
      <c r="D82" s="41"/>
      <c r="E82" s="42">
        <f t="shared" ca="1" si="4"/>
        <v>-10000</v>
      </c>
      <c r="F82" s="43"/>
      <c r="G82" s="43"/>
      <c r="H82" s="44">
        <f t="shared" ca="1" si="7"/>
        <v>-10000</v>
      </c>
    </row>
    <row r="83" spans="2:8" x14ac:dyDescent="0.3">
      <c r="B83" s="40">
        <f t="shared" ca="1" si="5"/>
        <v>45339</v>
      </c>
      <c r="C83" s="42">
        <f t="shared" ca="1" si="6"/>
        <v>-10000</v>
      </c>
      <c r="D83" s="41"/>
      <c r="E83" s="42">
        <f t="shared" ca="1" si="4"/>
        <v>-10000</v>
      </c>
      <c r="F83" s="43"/>
      <c r="G83" s="43"/>
      <c r="H83" s="44">
        <f t="shared" ca="1" si="7"/>
        <v>-10000</v>
      </c>
    </row>
    <row r="84" spans="2:8" x14ac:dyDescent="0.3">
      <c r="B84" s="40">
        <f t="shared" ca="1" si="5"/>
        <v>45340</v>
      </c>
      <c r="C84" s="42">
        <f t="shared" ca="1" si="6"/>
        <v>-10000</v>
      </c>
      <c r="D84" s="41"/>
      <c r="E84" s="42">
        <f t="shared" ca="1" si="4"/>
        <v>-10000</v>
      </c>
      <c r="F84" s="43"/>
      <c r="G84" s="43"/>
      <c r="H84" s="44">
        <f t="shared" ca="1" si="7"/>
        <v>-10000</v>
      </c>
    </row>
    <row r="85" spans="2:8" x14ac:dyDescent="0.3">
      <c r="B85" s="40">
        <f t="shared" ca="1" si="5"/>
        <v>45341</v>
      </c>
      <c r="C85" s="42">
        <f t="shared" ca="1" si="6"/>
        <v>-10000</v>
      </c>
      <c r="D85" s="41"/>
      <c r="E85" s="42">
        <f t="shared" ca="1" si="4"/>
        <v>-10000</v>
      </c>
      <c r="F85" s="43"/>
      <c r="G85" s="43"/>
      <c r="H85" s="44">
        <f t="shared" ca="1" si="7"/>
        <v>-10000</v>
      </c>
    </row>
    <row r="86" spans="2:8" x14ac:dyDescent="0.3">
      <c r="B86" s="40">
        <f t="shared" ca="1" si="5"/>
        <v>45342</v>
      </c>
      <c r="C86" s="42">
        <f t="shared" ca="1" si="6"/>
        <v>-10000</v>
      </c>
      <c r="D86" s="41"/>
      <c r="E86" s="42">
        <f t="shared" ca="1" si="4"/>
        <v>-10000</v>
      </c>
      <c r="F86" s="43"/>
      <c r="G86" s="43"/>
      <c r="H86" s="44">
        <f t="shared" ca="1" si="7"/>
        <v>-10000</v>
      </c>
    </row>
    <row r="87" spans="2:8" x14ac:dyDescent="0.3">
      <c r="B87" s="40">
        <f t="shared" ca="1" si="5"/>
        <v>45343</v>
      </c>
      <c r="C87" s="42">
        <f t="shared" ca="1" si="6"/>
        <v>-10000</v>
      </c>
      <c r="D87" s="41"/>
      <c r="E87" s="42">
        <f t="shared" ca="1" si="4"/>
        <v>-10000</v>
      </c>
      <c r="F87" s="43"/>
      <c r="G87" s="43"/>
      <c r="H87" s="44">
        <f t="shared" ca="1" si="7"/>
        <v>-10000</v>
      </c>
    </row>
    <row r="88" spans="2:8" x14ac:dyDescent="0.3">
      <c r="B88" s="40">
        <f t="shared" ca="1" si="5"/>
        <v>45344</v>
      </c>
      <c r="C88" s="42">
        <f t="shared" ca="1" si="6"/>
        <v>-10000</v>
      </c>
      <c r="D88" s="41"/>
      <c r="E88" s="42">
        <f t="shared" ca="1" si="4"/>
        <v>-10000</v>
      </c>
      <c r="F88" s="43"/>
      <c r="G88" s="43"/>
      <c r="H88" s="44">
        <f t="shared" ca="1" si="7"/>
        <v>-10000</v>
      </c>
    </row>
    <row r="89" spans="2:8" x14ac:dyDescent="0.3">
      <c r="B89" s="40">
        <f t="shared" ca="1" si="5"/>
        <v>45345</v>
      </c>
      <c r="C89" s="42">
        <f t="shared" ca="1" si="6"/>
        <v>-10000</v>
      </c>
      <c r="D89" s="41"/>
      <c r="E89" s="42">
        <f t="shared" ca="1" si="4"/>
        <v>-10000</v>
      </c>
      <c r="F89" s="43"/>
      <c r="G89" s="43"/>
      <c r="H89" s="44">
        <f t="shared" ca="1" si="7"/>
        <v>-10000</v>
      </c>
    </row>
    <row r="90" spans="2:8" x14ac:dyDescent="0.3">
      <c r="B90" s="40">
        <f t="shared" ca="1" si="5"/>
        <v>45346</v>
      </c>
      <c r="C90" s="42">
        <f t="shared" ca="1" si="6"/>
        <v>-10000</v>
      </c>
      <c r="D90" s="41"/>
      <c r="E90" s="42">
        <f t="shared" ca="1" si="4"/>
        <v>-10000</v>
      </c>
      <c r="F90" s="43"/>
      <c r="G90" s="43"/>
      <c r="H90" s="44">
        <f t="shared" ca="1" si="7"/>
        <v>-10000</v>
      </c>
    </row>
    <row r="91" spans="2:8" x14ac:dyDescent="0.3">
      <c r="B91" s="40">
        <f t="shared" ca="1" si="5"/>
        <v>45347</v>
      </c>
      <c r="C91" s="42">
        <f t="shared" ca="1" si="6"/>
        <v>-10000</v>
      </c>
      <c r="D91" s="41"/>
      <c r="E91" s="42">
        <f t="shared" ca="1" si="4"/>
        <v>-10000</v>
      </c>
      <c r="F91" s="43"/>
      <c r="G91" s="43"/>
      <c r="H91" s="44">
        <f t="shared" ca="1" si="7"/>
        <v>-10000</v>
      </c>
    </row>
    <row r="92" spans="2:8" x14ac:dyDescent="0.3">
      <c r="B92" s="40">
        <f t="shared" ca="1" si="5"/>
        <v>45348</v>
      </c>
      <c r="C92" s="42">
        <f t="shared" ca="1" si="6"/>
        <v>-10000</v>
      </c>
      <c r="D92" s="41"/>
      <c r="E92" s="42">
        <f t="shared" ca="1" si="4"/>
        <v>-10000</v>
      </c>
      <c r="F92" s="43"/>
      <c r="G92" s="43"/>
      <c r="H92" s="44">
        <f t="shared" ca="1" si="7"/>
        <v>-10000</v>
      </c>
    </row>
    <row r="93" spans="2:8" x14ac:dyDescent="0.3">
      <c r="B93" s="40">
        <f t="shared" ca="1" si="5"/>
        <v>45349</v>
      </c>
      <c r="C93" s="42">
        <f t="shared" ca="1" si="6"/>
        <v>-10000</v>
      </c>
      <c r="D93" s="41"/>
      <c r="E93" s="42">
        <f t="shared" ref="E93:E156" ca="1" si="8">IF(B93=0,0,H92)</f>
        <v>-10000</v>
      </c>
      <c r="F93" s="43"/>
      <c r="G93" s="43"/>
      <c r="H93" s="44">
        <f t="shared" ca="1" si="7"/>
        <v>-10000</v>
      </c>
    </row>
    <row r="94" spans="2:8" x14ac:dyDescent="0.3">
      <c r="B94" s="40">
        <f t="shared" ref="B94:B157" ca="1" si="9">IF(OR(B93+1&gt;TODAY(),B93=0),0,B93+1)</f>
        <v>45350</v>
      </c>
      <c r="C94" s="42">
        <f t="shared" ca="1" si="6"/>
        <v>-10000</v>
      </c>
      <c r="D94" s="41"/>
      <c r="E94" s="42">
        <f t="shared" ca="1" si="8"/>
        <v>-10000</v>
      </c>
      <c r="F94" s="43"/>
      <c r="G94" s="43"/>
      <c r="H94" s="44">
        <f t="shared" ca="1" si="7"/>
        <v>-10000</v>
      </c>
    </row>
    <row r="95" spans="2:8" x14ac:dyDescent="0.3">
      <c r="B95" s="40">
        <f t="shared" ca="1" si="9"/>
        <v>45351</v>
      </c>
      <c r="C95" s="42">
        <f t="shared" ca="1" si="6"/>
        <v>-10000</v>
      </c>
      <c r="D95" s="41"/>
      <c r="E95" s="42">
        <f t="shared" ca="1" si="8"/>
        <v>-10000</v>
      </c>
      <c r="F95" s="43"/>
      <c r="G95" s="43"/>
      <c r="H95" s="44">
        <f t="shared" ca="1" si="7"/>
        <v>-10000</v>
      </c>
    </row>
    <row r="96" spans="2:8" x14ac:dyDescent="0.3">
      <c r="B96" s="40">
        <f t="shared" ca="1" si="9"/>
        <v>45352</v>
      </c>
      <c r="C96" s="42">
        <f t="shared" ca="1" si="6"/>
        <v>-10000</v>
      </c>
      <c r="D96" s="41"/>
      <c r="E96" s="42">
        <f t="shared" ca="1" si="8"/>
        <v>-10000</v>
      </c>
      <c r="F96" s="43"/>
      <c r="G96" s="43"/>
      <c r="H96" s="44">
        <f t="shared" ca="1" si="7"/>
        <v>-10000</v>
      </c>
    </row>
    <row r="97" spans="2:8" x14ac:dyDescent="0.3">
      <c r="B97" s="40">
        <f t="shared" ca="1" si="9"/>
        <v>45353</v>
      </c>
      <c r="C97" s="42">
        <f t="shared" ca="1" si="6"/>
        <v>-10000</v>
      </c>
      <c r="D97" s="41"/>
      <c r="E97" s="42">
        <f t="shared" ca="1" si="8"/>
        <v>-10000</v>
      </c>
      <c r="F97" s="43"/>
      <c r="G97" s="43"/>
      <c r="H97" s="44">
        <f t="shared" ca="1" si="7"/>
        <v>-10000</v>
      </c>
    </row>
    <row r="98" spans="2:8" x14ac:dyDescent="0.3">
      <c r="B98" s="40">
        <f t="shared" ca="1" si="9"/>
        <v>45354</v>
      </c>
      <c r="C98" s="42">
        <f t="shared" ca="1" si="6"/>
        <v>-10000</v>
      </c>
      <c r="D98" s="41"/>
      <c r="E98" s="42">
        <f t="shared" ca="1" si="8"/>
        <v>-10000</v>
      </c>
      <c r="F98" s="43"/>
      <c r="G98" s="43"/>
      <c r="H98" s="44">
        <f t="shared" ca="1" si="7"/>
        <v>-10000</v>
      </c>
    </row>
    <row r="99" spans="2:8" x14ac:dyDescent="0.3">
      <c r="B99" s="40">
        <f t="shared" ca="1" si="9"/>
        <v>45355</v>
      </c>
      <c r="C99" s="42">
        <f t="shared" ca="1" si="6"/>
        <v>-10000</v>
      </c>
      <c r="D99" s="41"/>
      <c r="E99" s="42">
        <f t="shared" ca="1" si="8"/>
        <v>-10000</v>
      </c>
      <c r="F99" s="43"/>
      <c r="G99" s="43"/>
      <c r="H99" s="44">
        <f t="shared" ca="1" si="7"/>
        <v>-10000</v>
      </c>
    </row>
    <row r="100" spans="2:8" x14ac:dyDescent="0.3">
      <c r="B100" s="40">
        <f t="shared" ca="1" si="9"/>
        <v>45356</v>
      </c>
      <c r="C100" s="42">
        <f t="shared" ca="1" si="6"/>
        <v>-10000</v>
      </c>
      <c r="D100" s="41"/>
      <c r="E100" s="42">
        <f t="shared" ca="1" si="8"/>
        <v>-10000</v>
      </c>
      <c r="F100" s="43"/>
      <c r="G100" s="43"/>
      <c r="H100" s="44">
        <f t="shared" ca="1" si="7"/>
        <v>-10000</v>
      </c>
    </row>
    <row r="101" spans="2:8" x14ac:dyDescent="0.3">
      <c r="B101" s="40">
        <f t="shared" ca="1" si="9"/>
        <v>45357</v>
      </c>
      <c r="C101" s="42">
        <f t="shared" ca="1" si="6"/>
        <v>-10000</v>
      </c>
      <c r="D101" s="41"/>
      <c r="E101" s="42">
        <f t="shared" ca="1" si="8"/>
        <v>-10000</v>
      </c>
      <c r="F101" s="43"/>
      <c r="G101" s="43"/>
      <c r="H101" s="44">
        <f t="shared" ca="1" si="7"/>
        <v>-10000</v>
      </c>
    </row>
    <row r="102" spans="2:8" x14ac:dyDescent="0.3">
      <c r="B102" s="40">
        <f t="shared" ca="1" si="9"/>
        <v>45358</v>
      </c>
      <c r="C102" s="42">
        <f t="shared" ca="1" si="6"/>
        <v>-10000</v>
      </c>
      <c r="D102" s="41"/>
      <c r="E102" s="42">
        <f t="shared" ca="1" si="8"/>
        <v>-10000</v>
      </c>
      <c r="F102" s="43"/>
      <c r="G102" s="43"/>
      <c r="H102" s="44">
        <f t="shared" ca="1" si="7"/>
        <v>-10000</v>
      </c>
    </row>
    <row r="103" spans="2:8" x14ac:dyDescent="0.3">
      <c r="B103" s="40">
        <f t="shared" ca="1" si="9"/>
        <v>45359</v>
      </c>
      <c r="C103" s="42">
        <f t="shared" ca="1" si="6"/>
        <v>-10000</v>
      </c>
      <c r="D103" s="41"/>
      <c r="E103" s="42">
        <f t="shared" ca="1" si="8"/>
        <v>-10000</v>
      </c>
      <c r="F103" s="43"/>
      <c r="G103" s="43"/>
      <c r="H103" s="44">
        <f t="shared" ca="1" si="7"/>
        <v>-10000</v>
      </c>
    </row>
    <row r="104" spans="2:8" x14ac:dyDescent="0.3">
      <c r="B104" s="40">
        <f t="shared" ca="1" si="9"/>
        <v>45360</v>
      </c>
      <c r="C104" s="42">
        <f t="shared" ca="1" si="6"/>
        <v>-10000</v>
      </c>
      <c r="D104" s="41"/>
      <c r="E104" s="42">
        <f t="shared" ca="1" si="8"/>
        <v>-10000</v>
      </c>
      <c r="F104" s="43"/>
      <c r="G104" s="43"/>
      <c r="H104" s="44">
        <f t="shared" ca="1" si="7"/>
        <v>-10000</v>
      </c>
    </row>
    <row r="105" spans="2:8" x14ac:dyDescent="0.3">
      <c r="B105" s="40">
        <f t="shared" ca="1" si="9"/>
        <v>45361</v>
      </c>
      <c r="C105" s="42">
        <f t="shared" ca="1" si="6"/>
        <v>-10000</v>
      </c>
      <c r="D105" s="41"/>
      <c r="E105" s="42">
        <f t="shared" ca="1" si="8"/>
        <v>-10000</v>
      </c>
      <c r="F105" s="43"/>
      <c r="G105" s="43"/>
      <c r="H105" s="44">
        <f t="shared" ca="1" si="7"/>
        <v>-10000</v>
      </c>
    </row>
    <row r="106" spans="2:8" x14ac:dyDescent="0.3">
      <c r="B106" s="40">
        <f t="shared" ca="1" si="9"/>
        <v>45362</v>
      </c>
      <c r="C106" s="42">
        <f t="shared" ca="1" si="6"/>
        <v>-10000</v>
      </c>
      <c r="D106" s="41"/>
      <c r="E106" s="42">
        <f t="shared" ca="1" si="8"/>
        <v>-10000</v>
      </c>
      <c r="F106" s="43"/>
      <c r="G106" s="43"/>
      <c r="H106" s="44">
        <f t="shared" ca="1" si="7"/>
        <v>-10000</v>
      </c>
    </row>
    <row r="107" spans="2:8" x14ac:dyDescent="0.3">
      <c r="B107" s="40">
        <f t="shared" ca="1" si="9"/>
        <v>45363</v>
      </c>
      <c r="C107" s="42">
        <f t="shared" ca="1" si="6"/>
        <v>-10000</v>
      </c>
      <c r="D107" s="41"/>
      <c r="E107" s="42">
        <f t="shared" ca="1" si="8"/>
        <v>-10000</v>
      </c>
      <c r="F107" s="43"/>
      <c r="G107" s="43"/>
      <c r="H107" s="44">
        <f t="shared" ca="1" si="7"/>
        <v>-10000</v>
      </c>
    </row>
    <row r="108" spans="2:8" x14ac:dyDescent="0.3">
      <c r="B108" s="40">
        <f t="shared" ca="1" si="9"/>
        <v>45364</v>
      </c>
      <c r="C108" s="42">
        <f t="shared" ca="1" si="6"/>
        <v>-10000</v>
      </c>
      <c r="D108" s="41"/>
      <c r="E108" s="42">
        <f t="shared" ca="1" si="8"/>
        <v>-10000</v>
      </c>
      <c r="F108" s="43"/>
      <c r="G108" s="43"/>
      <c r="H108" s="44">
        <f t="shared" ca="1" si="7"/>
        <v>-10000</v>
      </c>
    </row>
    <row r="109" spans="2:8" x14ac:dyDescent="0.3">
      <c r="B109" s="40">
        <f t="shared" ca="1" si="9"/>
        <v>45365</v>
      </c>
      <c r="C109" s="42">
        <f t="shared" ca="1" si="6"/>
        <v>-10000</v>
      </c>
      <c r="D109" s="41"/>
      <c r="E109" s="42">
        <f t="shared" ca="1" si="8"/>
        <v>-10000</v>
      </c>
      <c r="F109" s="43"/>
      <c r="G109" s="43"/>
      <c r="H109" s="44">
        <f t="shared" ca="1" si="7"/>
        <v>-10000</v>
      </c>
    </row>
    <row r="110" spans="2:8" x14ac:dyDescent="0.3">
      <c r="B110" s="40">
        <f t="shared" ca="1" si="9"/>
        <v>45366</v>
      </c>
      <c r="C110" s="42">
        <f t="shared" ca="1" si="6"/>
        <v>-10000</v>
      </c>
      <c r="D110" s="41"/>
      <c r="E110" s="42">
        <f t="shared" ca="1" si="8"/>
        <v>-10000</v>
      </c>
      <c r="F110" s="43"/>
      <c r="G110" s="43"/>
      <c r="H110" s="44">
        <f t="shared" ca="1" si="7"/>
        <v>-10000</v>
      </c>
    </row>
    <row r="111" spans="2:8" x14ac:dyDescent="0.3">
      <c r="B111" s="40">
        <f t="shared" ca="1" si="9"/>
        <v>45367</v>
      </c>
      <c r="C111" s="42">
        <f t="shared" ca="1" si="6"/>
        <v>-10000</v>
      </c>
      <c r="D111" s="41"/>
      <c r="E111" s="42">
        <f t="shared" ca="1" si="8"/>
        <v>-10000</v>
      </c>
      <c r="F111" s="43"/>
      <c r="G111" s="43"/>
      <c r="H111" s="44">
        <f t="shared" ca="1" si="7"/>
        <v>-10000</v>
      </c>
    </row>
    <row r="112" spans="2:8" x14ac:dyDescent="0.3">
      <c r="B112" s="40">
        <f t="shared" ca="1" si="9"/>
        <v>45368</v>
      </c>
      <c r="C112" s="42">
        <f t="shared" ca="1" si="6"/>
        <v>-10000</v>
      </c>
      <c r="D112" s="41"/>
      <c r="E112" s="42">
        <f t="shared" ca="1" si="8"/>
        <v>-10000</v>
      </c>
      <c r="F112" s="43"/>
      <c r="G112" s="43"/>
      <c r="H112" s="44">
        <f t="shared" ca="1" si="7"/>
        <v>-10000</v>
      </c>
    </row>
    <row r="113" spans="2:8" x14ac:dyDescent="0.3">
      <c r="B113" s="40">
        <f t="shared" ca="1" si="9"/>
        <v>45369</v>
      </c>
      <c r="C113" s="42">
        <f t="shared" ca="1" si="6"/>
        <v>-10000</v>
      </c>
      <c r="D113" s="41"/>
      <c r="E113" s="42">
        <f t="shared" ca="1" si="8"/>
        <v>-10000</v>
      </c>
      <c r="F113" s="43"/>
      <c r="G113" s="43"/>
      <c r="H113" s="44">
        <f t="shared" ca="1" si="7"/>
        <v>-10000</v>
      </c>
    </row>
    <row r="114" spans="2:8" x14ac:dyDescent="0.3">
      <c r="B114" s="40">
        <f t="shared" ca="1" si="9"/>
        <v>45370</v>
      </c>
      <c r="C114" s="42">
        <f t="shared" ca="1" si="6"/>
        <v>-10000</v>
      </c>
      <c r="D114" s="41"/>
      <c r="E114" s="42">
        <f t="shared" ca="1" si="8"/>
        <v>-10000</v>
      </c>
      <c r="F114" s="43"/>
      <c r="G114" s="43"/>
      <c r="H114" s="44">
        <f t="shared" ca="1" si="7"/>
        <v>-10000</v>
      </c>
    </row>
    <row r="115" spans="2:8" x14ac:dyDescent="0.3">
      <c r="B115" s="40">
        <f t="shared" ca="1" si="9"/>
        <v>45371</v>
      </c>
      <c r="C115" s="42">
        <f t="shared" ca="1" si="6"/>
        <v>-10000</v>
      </c>
      <c r="D115" s="41"/>
      <c r="E115" s="42">
        <f t="shared" ca="1" si="8"/>
        <v>-10000</v>
      </c>
      <c r="F115" s="43"/>
      <c r="G115" s="43"/>
      <c r="H115" s="44">
        <f t="shared" ca="1" si="7"/>
        <v>-10000</v>
      </c>
    </row>
    <row r="116" spans="2:8" x14ac:dyDescent="0.3">
      <c r="B116" s="40">
        <f t="shared" ca="1" si="9"/>
        <v>45372</v>
      </c>
      <c r="C116" s="42">
        <f t="shared" ca="1" si="6"/>
        <v>-10000</v>
      </c>
      <c r="D116" s="41"/>
      <c r="E116" s="42">
        <f t="shared" ca="1" si="8"/>
        <v>-10000</v>
      </c>
      <c r="F116" s="43"/>
      <c r="G116" s="43"/>
      <c r="H116" s="44">
        <f t="shared" ca="1" si="7"/>
        <v>-10000</v>
      </c>
    </row>
    <row r="117" spans="2:8" x14ac:dyDescent="0.3">
      <c r="B117" s="40">
        <f t="shared" ca="1" si="9"/>
        <v>45373</v>
      </c>
      <c r="C117" s="42">
        <f t="shared" ca="1" si="6"/>
        <v>-10000</v>
      </c>
      <c r="D117" s="41"/>
      <c r="E117" s="42">
        <f t="shared" ca="1" si="8"/>
        <v>-10000</v>
      </c>
      <c r="F117" s="43"/>
      <c r="G117" s="43"/>
      <c r="H117" s="44">
        <f t="shared" ca="1" si="7"/>
        <v>-10000</v>
      </c>
    </row>
    <row r="118" spans="2:8" x14ac:dyDescent="0.3">
      <c r="B118" s="40">
        <f t="shared" ca="1" si="9"/>
        <v>45374</v>
      </c>
      <c r="C118" s="42">
        <f t="shared" ca="1" si="6"/>
        <v>-10000</v>
      </c>
      <c r="D118" s="41"/>
      <c r="E118" s="42">
        <f t="shared" ca="1" si="8"/>
        <v>-10000</v>
      </c>
      <c r="F118" s="43"/>
      <c r="G118" s="43"/>
      <c r="H118" s="44">
        <f t="shared" ca="1" si="7"/>
        <v>-10000</v>
      </c>
    </row>
    <row r="119" spans="2:8" x14ac:dyDescent="0.3">
      <c r="B119" s="40">
        <f t="shared" ca="1" si="9"/>
        <v>45375</v>
      </c>
      <c r="C119" s="42">
        <f t="shared" ca="1" si="6"/>
        <v>-10000</v>
      </c>
      <c r="D119" s="41"/>
      <c r="E119" s="42">
        <f t="shared" ca="1" si="8"/>
        <v>-10000</v>
      </c>
      <c r="F119" s="43"/>
      <c r="G119" s="43"/>
      <c r="H119" s="44">
        <f t="shared" ca="1" si="7"/>
        <v>-10000</v>
      </c>
    </row>
    <row r="120" spans="2:8" x14ac:dyDescent="0.3">
      <c r="B120" s="40">
        <f t="shared" ca="1" si="9"/>
        <v>45376</v>
      </c>
      <c r="C120" s="42">
        <f t="shared" ca="1" si="6"/>
        <v>-10000</v>
      </c>
      <c r="D120" s="41"/>
      <c r="E120" s="42">
        <f t="shared" ca="1" si="8"/>
        <v>-10000</v>
      </c>
      <c r="F120" s="43"/>
      <c r="G120" s="43"/>
      <c r="H120" s="44">
        <f t="shared" ca="1" si="7"/>
        <v>-10000</v>
      </c>
    </row>
    <row r="121" spans="2:8" x14ac:dyDescent="0.3">
      <c r="B121" s="40">
        <f t="shared" ca="1" si="9"/>
        <v>45377</v>
      </c>
      <c r="C121" s="42">
        <f t="shared" ca="1" si="6"/>
        <v>-10000</v>
      </c>
      <c r="D121" s="41"/>
      <c r="E121" s="42">
        <f t="shared" ca="1" si="8"/>
        <v>-10000</v>
      </c>
      <c r="F121" s="43"/>
      <c r="G121" s="43"/>
      <c r="H121" s="44">
        <f t="shared" ca="1" si="7"/>
        <v>-10000</v>
      </c>
    </row>
    <row r="122" spans="2:8" x14ac:dyDescent="0.3">
      <c r="B122" s="40">
        <f t="shared" ca="1" si="9"/>
        <v>45378</v>
      </c>
      <c r="C122" s="42">
        <f t="shared" ca="1" si="6"/>
        <v>-10000</v>
      </c>
      <c r="D122" s="41"/>
      <c r="E122" s="42">
        <f t="shared" ca="1" si="8"/>
        <v>-10000</v>
      </c>
      <c r="F122" s="43"/>
      <c r="G122" s="43"/>
      <c r="H122" s="44">
        <f t="shared" ca="1" si="7"/>
        <v>-10000</v>
      </c>
    </row>
    <row r="123" spans="2:8" x14ac:dyDescent="0.3">
      <c r="B123" s="40">
        <f t="shared" ca="1" si="9"/>
        <v>45379</v>
      </c>
      <c r="C123" s="42">
        <f t="shared" ca="1" si="6"/>
        <v>-10000</v>
      </c>
      <c r="D123" s="41"/>
      <c r="E123" s="42">
        <f t="shared" ca="1" si="8"/>
        <v>-10000</v>
      </c>
      <c r="F123" s="43"/>
      <c r="G123" s="43"/>
      <c r="H123" s="44">
        <f t="shared" ca="1" si="7"/>
        <v>-10000</v>
      </c>
    </row>
    <row r="124" spans="2:8" x14ac:dyDescent="0.3">
      <c r="B124" s="40">
        <f t="shared" ca="1" si="9"/>
        <v>45380</v>
      </c>
      <c r="C124" s="42">
        <f t="shared" ca="1" si="6"/>
        <v>-10000</v>
      </c>
      <c r="D124" s="41"/>
      <c r="E124" s="42">
        <f t="shared" ca="1" si="8"/>
        <v>-10000</v>
      </c>
      <c r="F124" s="43"/>
      <c r="G124" s="43"/>
      <c r="H124" s="44">
        <f t="shared" ca="1" si="7"/>
        <v>-10000</v>
      </c>
    </row>
    <row r="125" spans="2:8" x14ac:dyDescent="0.3">
      <c r="B125" s="40">
        <f t="shared" ca="1" si="9"/>
        <v>45381</v>
      </c>
      <c r="C125" s="42">
        <f t="shared" ca="1" si="6"/>
        <v>-10000</v>
      </c>
      <c r="D125" s="41"/>
      <c r="E125" s="42">
        <f t="shared" ca="1" si="8"/>
        <v>-10000</v>
      </c>
      <c r="F125" s="43"/>
      <c r="G125" s="43"/>
      <c r="H125" s="44">
        <f t="shared" ca="1" si="7"/>
        <v>-10000</v>
      </c>
    </row>
    <row r="126" spans="2:8" x14ac:dyDescent="0.3">
      <c r="B126" s="40">
        <f t="shared" ca="1" si="9"/>
        <v>45382</v>
      </c>
      <c r="C126" s="42">
        <f t="shared" ca="1" si="6"/>
        <v>-10000</v>
      </c>
      <c r="D126" s="41"/>
      <c r="E126" s="42">
        <f t="shared" ca="1" si="8"/>
        <v>-10000</v>
      </c>
      <c r="F126" s="43"/>
      <c r="G126" s="43"/>
      <c r="H126" s="44">
        <f t="shared" ca="1" si="7"/>
        <v>-10000</v>
      </c>
    </row>
    <row r="127" spans="2:8" x14ac:dyDescent="0.3">
      <c r="B127" s="40">
        <f t="shared" ca="1" si="9"/>
        <v>45383</v>
      </c>
      <c r="C127" s="42">
        <f t="shared" ca="1" si="6"/>
        <v>-10000</v>
      </c>
      <c r="D127" s="41"/>
      <c r="E127" s="42">
        <f t="shared" ca="1" si="8"/>
        <v>-10000</v>
      </c>
      <c r="F127" s="43"/>
      <c r="G127" s="43"/>
      <c r="H127" s="44">
        <f t="shared" ca="1" si="7"/>
        <v>-10000</v>
      </c>
    </row>
    <row r="128" spans="2:8" x14ac:dyDescent="0.3">
      <c r="B128" s="40">
        <f t="shared" ca="1" si="9"/>
        <v>45384</v>
      </c>
      <c r="C128" s="42">
        <f t="shared" ca="1" si="6"/>
        <v>-10000</v>
      </c>
      <c r="D128" s="41"/>
      <c r="E128" s="42">
        <f t="shared" ca="1" si="8"/>
        <v>-10000</v>
      </c>
      <c r="F128" s="43"/>
      <c r="G128" s="43"/>
      <c r="H128" s="44">
        <f t="shared" ca="1" si="7"/>
        <v>-10000</v>
      </c>
    </row>
    <row r="129" spans="2:8" x14ac:dyDescent="0.3">
      <c r="B129" s="40">
        <f t="shared" ca="1" si="9"/>
        <v>45385</v>
      </c>
      <c r="C129" s="42">
        <f t="shared" ca="1" si="6"/>
        <v>-10000</v>
      </c>
      <c r="D129" s="41"/>
      <c r="E129" s="42">
        <f t="shared" ca="1" si="8"/>
        <v>-10000</v>
      </c>
      <c r="F129" s="43"/>
      <c r="G129" s="43"/>
      <c r="H129" s="44">
        <f t="shared" ca="1" si="7"/>
        <v>-10000</v>
      </c>
    </row>
    <row r="130" spans="2:8" x14ac:dyDescent="0.3">
      <c r="B130" s="40">
        <f t="shared" ca="1" si="9"/>
        <v>45386</v>
      </c>
      <c r="C130" s="42">
        <f t="shared" ca="1" si="6"/>
        <v>-10000</v>
      </c>
      <c r="D130" s="41"/>
      <c r="E130" s="42">
        <f t="shared" ca="1" si="8"/>
        <v>-10000</v>
      </c>
      <c r="F130" s="43"/>
      <c r="G130" s="43"/>
      <c r="H130" s="44">
        <f t="shared" ca="1" si="7"/>
        <v>-10000</v>
      </c>
    </row>
    <row r="131" spans="2:8" x14ac:dyDescent="0.3">
      <c r="B131" s="40">
        <f t="shared" ca="1" si="9"/>
        <v>45387</v>
      </c>
      <c r="C131" s="42">
        <f t="shared" ca="1" si="6"/>
        <v>-10000</v>
      </c>
      <c r="D131" s="41"/>
      <c r="E131" s="42">
        <f t="shared" ca="1" si="8"/>
        <v>-10000</v>
      </c>
      <c r="F131" s="43"/>
      <c r="G131" s="43"/>
      <c r="H131" s="44">
        <f t="shared" ca="1" si="7"/>
        <v>-10000</v>
      </c>
    </row>
    <row r="132" spans="2:8" x14ac:dyDescent="0.3">
      <c r="B132" s="40">
        <f t="shared" ca="1" si="9"/>
        <v>45388</v>
      </c>
      <c r="C132" s="42">
        <f t="shared" ca="1" si="6"/>
        <v>-10000</v>
      </c>
      <c r="D132" s="41"/>
      <c r="E132" s="42">
        <f t="shared" ca="1" si="8"/>
        <v>-10000</v>
      </c>
      <c r="F132" s="43"/>
      <c r="G132" s="43"/>
      <c r="H132" s="44">
        <f t="shared" ca="1" si="7"/>
        <v>-10000</v>
      </c>
    </row>
    <row r="133" spans="2:8" x14ac:dyDescent="0.3">
      <c r="B133" s="40">
        <f t="shared" ca="1" si="9"/>
        <v>45389</v>
      </c>
      <c r="C133" s="42">
        <f t="shared" ca="1" si="6"/>
        <v>-10000</v>
      </c>
      <c r="D133" s="41"/>
      <c r="E133" s="42">
        <f t="shared" ca="1" si="8"/>
        <v>-10000</v>
      </c>
      <c r="F133" s="43"/>
      <c r="G133" s="43"/>
      <c r="H133" s="44">
        <f t="shared" ca="1" si="7"/>
        <v>-10000</v>
      </c>
    </row>
    <row r="134" spans="2:8" x14ac:dyDescent="0.3">
      <c r="B134" s="40">
        <f t="shared" ca="1" si="9"/>
        <v>45390</v>
      </c>
      <c r="C134" s="42">
        <f t="shared" ref="C134:C197" ca="1" si="10">IF(B134=0,0,C133-F133)</f>
        <v>-10000</v>
      </c>
      <c r="D134" s="41"/>
      <c r="E134" s="42">
        <f t="shared" ca="1" si="8"/>
        <v>-10000</v>
      </c>
      <c r="F134" s="43"/>
      <c r="G134" s="43"/>
      <c r="H134" s="44">
        <f t="shared" ref="H134:H197" ca="1" si="11">IF(B134=0,0,E134-F134+G134)</f>
        <v>-10000</v>
      </c>
    </row>
    <row r="135" spans="2:8" x14ac:dyDescent="0.3">
      <c r="B135" s="40">
        <f t="shared" ca="1" si="9"/>
        <v>45391</v>
      </c>
      <c r="C135" s="42">
        <f t="shared" ca="1" si="10"/>
        <v>-10000</v>
      </c>
      <c r="D135" s="41"/>
      <c r="E135" s="42">
        <f t="shared" ca="1" si="8"/>
        <v>-10000</v>
      </c>
      <c r="F135" s="43"/>
      <c r="G135" s="43"/>
      <c r="H135" s="44">
        <f t="shared" ca="1" si="11"/>
        <v>-10000</v>
      </c>
    </row>
    <row r="136" spans="2:8" x14ac:dyDescent="0.3">
      <c r="B136" s="40">
        <f t="shared" ca="1" si="9"/>
        <v>45392</v>
      </c>
      <c r="C136" s="42">
        <f t="shared" ca="1" si="10"/>
        <v>-10000</v>
      </c>
      <c r="D136" s="41"/>
      <c r="E136" s="42">
        <f t="shared" ca="1" si="8"/>
        <v>-10000</v>
      </c>
      <c r="F136" s="43"/>
      <c r="G136" s="43"/>
      <c r="H136" s="44">
        <f t="shared" ca="1" si="11"/>
        <v>-10000</v>
      </c>
    </row>
    <row r="137" spans="2:8" x14ac:dyDescent="0.3">
      <c r="B137" s="40">
        <f t="shared" ca="1" si="9"/>
        <v>45393</v>
      </c>
      <c r="C137" s="42">
        <f t="shared" ca="1" si="10"/>
        <v>-10000</v>
      </c>
      <c r="D137" s="41"/>
      <c r="E137" s="42">
        <f t="shared" ca="1" si="8"/>
        <v>-10000</v>
      </c>
      <c r="F137" s="43"/>
      <c r="G137" s="43"/>
      <c r="H137" s="44">
        <f t="shared" ca="1" si="11"/>
        <v>-10000</v>
      </c>
    </row>
    <row r="138" spans="2:8" x14ac:dyDescent="0.3">
      <c r="B138" s="40">
        <f t="shared" ca="1" si="9"/>
        <v>45394</v>
      </c>
      <c r="C138" s="42">
        <f t="shared" ca="1" si="10"/>
        <v>-10000</v>
      </c>
      <c r="D138" s="41"/>
      <c r="E138" s="42">
        <f t="shared" ca="1" si="8"/>
        <v>-10000</v>
      </c>
      <c r="F138" s="43"/>
      <c r="G138" s="43"/>
      <c r="H138" s="44">
        <f t="shared" ca="1" si="11"/>
        <v>-10000</v>
      </c>
    </row>
    <row r="139" spans="2:8" x14ac:dyDescent="0.3">
      <c r="B139" s="40">
        <f t="shared" ca="1" si="9"/>
        <v>45395</v>
      </c>
      <c r="C139" s="42">
        <f t="shared" ca="1" si="10"/>
        <v>-10000</v>
      </c>
      <c r="D139" s="41"/>
      <c r="E139" s="42">
        <f t="shared" ca="1" si="8"/>
        <v>-10000</v>
      </c>
      <c r="F139" s="43"/>
      <c r="G139" s="43"/>
      <c r="H139" s="44">
        <f t="shared" ca="1" si="11"/>
        <v>-10000</v>
      </c>
    </row>
    <row r="140" spans="2:8" x14ac:dyDescent="0.3">
      <c r="B140" s="40">
        <f t="shared" ca="1" si="9"/>
        <v>45396</v>
      </c>
      <c r="C140" s="42">
        <f t="shared" ca="1" si="10"/>
        <v>-10000</v>
      </c>
      <c r="D140" s="41"/>
      <c r="E140" s="42">
        <f t="shared" ca="1" si="8"/>
        <v>-10000</v>
      </c>
      <c r="F140" s="43"/>
      <c r="G140" s="43"/>
      <c r="H140" s="44">
        <f t="shared" ca="1" si="11"/>
        <v>-10000</v>
      </c>
    </row>
    <row r="141" spans="2:8" x14ac:dyDescent="0.3">
      <c r="B141" s="40">
        <f t="shared" ca="1" si="9"/>
        <v>45397</v>
      </c>
      <c r="C141" s="42">
        <f t="shared" ca="1" si="10"/>
        <v>-10000</v>
      </c>
      <c r="D141" s="41"/>
      <c r="E141" s="42">
        <f t="shared" ca="1" si="8"/>
        <v>-10000</v>
      </c>
      <c r="F141" s="43"/>
      <c r="G141" s="43"/>
      <c r="H141" s="44">
        <f t="shared" ca="1" si="11"/>
        <v>-10000</v>
      </c>
    </row>
    <row r="142" spans="2:8" x14ac:dyDescent="0.3">
      <c r="B142" s="40">
        <f t="shared" ca="1" si="9"/>
        <v>45398</v>
      </c>
      <c r="C142" s="42">
        <f t="shared" ca="1" si="10"/>
        <v>-10000</v>
      </c>
      <c r="D142" s="41"/>
      <c r="E142" s="42">
        <f t="shared" ca="1" si="8"/>
        <v>-10000</v>
      </c>
      <c r="F142" s="43"/>
      <c r="G142" s="43"/>
      <c r="H142" s="44">
        <f t="shared" ca="1" si="11"/>
        <v>-10000</v>
      </c>
    </row>
    <row r="143" spans="2:8" x14ac:dyDescent="0.3">
      <c r="B143" s="40">
        <f t="shared" ca="1" si="9"/>
        <v>45399</v>
      </c>
      <c r="C143" s="42">
        <f t="shared" ca="1" si="10"/>
        <v>-10000</v>
      </c>
      <c r="D143" s="41"/>
      <c r="E143" s="42">
        <f t="shared" ca="1" si="8"/>
        <v>-10000</v>
      </c>
      <c r="F143" s="43"/>
      <c r="G143" s="43"/>
      <c r="H143" s="44">
        <f t="shared" ca="1" si="11"/>
        <v>-10000</v>
      </c>
    </row>
    <row r="144" spans="2:8" x14ac:dyDescent="0.3">
      <c r="B144" s="40">
        <f t="shared" ca="1" si="9"/>
        <v>45400</v>
      </c>
      <c r="C144" s="42">
        <f t="shared" ca="1" si="10"/>
        <v>-10000</v>
      </c>
      <c r="D144" s="41"/>
      <c r="E144" s="42">
        <f t="shared" ca="1" si="8"/>
        <v>-10000</v>
      </c>
      <c r="F144" s="43"/>
      <c r="G144" s="43"/>
      <c r="H144" s="44">
        <f t="shared" ca="1" si="11"/>
        <v>-10000</v>
      </c>
    </row>
    <row r="145" spans="2:8" x14ac:dyDescent="0.3">
      <c r="B145" s="40">
        <f t="shared" ca="1" si="9"/>
        <v>45401</v>
      </c>
      <c r="C145" s="42">
        <f t="shared" ca="1" si="10"/>
        <v>-10000</v>
      </c>
      <c r="D145" s="41"/>
      <c r="E145" s="42">
        <f t="shared" ca="1" si="8"/>
        <v>-10000</v>
      </c>
      <c r="F145" s="43"/>
      <c r="G145" s="43"/>
      <c r="H145" s="44">
        <f t="shared" ca="1" si="11"/>
        <v>-10000</v>
      </c>
    </row>
    <row r="146" spans="2:8" x14ac:dyDescent="0.3">
      <c r="B146" s="40">
        <f t="shared" ca="1" si="9"/>
        <v>45402</v>
      </c>
      <c r="C146" s="42">
        <f t="shared" ca="1" si="10"/>
        <v>-10000</v>
      </c>
      <c r="D146" s="41"/>
      <c r="E146" s="42">
        <f t="shared" ca="1" si="8"/>
        <v>-10000</v>
      </c>
      <c r="F146" s="43"/>
      <c r="G146" s="43"/>
      <c r="H146" s="44">
        <f t="shared" ca="1" si="11"/>
        <v>-10000</v>
      </c>
    </row>
    <row r="147" spans="2:8" x14ac:dyDescent="0.3">
      <c r="B147" s="40">
        <f t="shared" ca="1" si="9"/>
        <v>45403</v>
      </c>
      <c r="C147" s="42">
        <f t="shared" ca="1" si="10"/>
        <v>-10000</v>
      </c>
      <c r="D147" s="41"/>
      <c r="E147" s="42">
        <f t="shared" ca="1" si="8"/>
        <v>-10000</v>
      </c>
      <c r="F147" s="43"/>
      <c r="G147" s="43"/>
      <c r="H147" s="44">
        <f t="shared" ca="1" si="11"/>
        <v>-10000</v>
      </c>
    </row>
    <row r="148" spans="2:8" x14ac:dyDescent="0.3">
      <c r="B148" s="40">
        <f t="shared" ca="1" si="9"/>
        <v>45404</v>
      </c>
      <c r="C148" s="42">
        <f t="shared" ca="1" si="10"/>
        <v>-10000</v>
      </c>
      <c r="D148" s="41"/>
      <c r="E148" s="42">
        <f t="shared" ca="1" si="8"/>
        <v>-10000</v>
      </c>
      <c r="F148" s="43"/>
      <c r="G148" s="43"/>
      <c r="H148" s="44">
        <f t="shared" ca="1" si="11"/>
        <v>-10000</v>
      </c>
    </row>
    <row r="149" spans="2:8" x14ac:dyDescent="0.3">
      <c r="B149" s="40">
        <f t="shared" ca="1" si="9"/>
        <v>45405</v>
      </c>
      <c r="C149" s="42">
        <f t="shared" ca="1" si="10"/>
        <v>-10000</v>
      </c>
      <c r="D149" s="41"/>
      <c r="E149" s="42">
        <f t="shared" ca="1" si="8"/>
        <v>-10000</v>
      </c>
      <c r="F149" s="43"/>
      <c r="G149" s="43"/>
      <c r="H149" s="44">
        <f t="shared" ca="1" si="11"/>
        <v>-10000</v>
      </c>
    </row>
    <row r="150" spans="2:8" x14ac:dyDescent="0.3">
      <c r="B150" s="40">
        <f t="shared" ca="1" si="9"/>
        <v>45406</v>
      </c>
      <c r="C150" s="42">
        <f t="shared" ca="1" si="10"/>
        <v>-10000</v>
      </c>
      <c r="D150" s="41"/>
      <c r="E150" s="42">
        <f t="shared" ca="1" si="8"/>
        <v>-10000</v>
      </c>
      <c r="F150" s="43"/>
      <c r="G150" s="43"/>
      <c r="H150" s="44">
        <f t="shared" ca="1" si="11"/>
        <v>-10000</v>
      </c>
    </row>
    <row r="151" spans="2:8" x14ac:dyDescent="0.3">
      <c r="B151" s="40">
        <f t="shared" ca="1" si="9"/>
        <v>45407</v>
      </c>
      <c r="C151" s="42">
        <f t="shared" ca="1" si="10"/>
        <v>-10000</v>
      </c>
      <c r="D151" s="41"/>
      <c r="E151" s="42">
        <f t="shared" ca="1" si="8"/>
        <v>-10000</v>
      </c>
      <c r="F151" s="43"/>
      <c r="G151" s="43"/>
      <c r="H151" s="44">
        <f t="shared" ca="1" si="11"/>
        <v>-10000</v>
      </c>
    </row>
    <row r="152" spans="2:8" x14ac:dyDescent="0.3">
      <c r="B152" s="40">
        <f t="shared" ca="1" si="9"/>
        <v>45408</v>
      </c>
      <c r="C152" s="42">
        <f t="shared" ca="1" si="10"/>
        <v>-10000</v>
      </c>
      <c r="D152" s="41"/>
      <c r="E152" s="42">
        <f t="shared" ca="1" si="8"/>
        <v>-10000</v>
      </c>
      <c r="F152" s="43"/>
      <c r="G152" s="43"/>
      <c r="H152" s="44">
        <f t="shared" ca="1" si="11"/>
        <v>-10000</v>
      </c>
    </row>
    <row r="153" spans="2:8" x14ac:dyDescent="0.3">
      <c r="B153" s="40">
        <f t="shared" ca="1" si="9"/>
        <v>45409</v>
      </c>
      <c r="C153" s="42">
        <f t="shared" ca="1" si="10"/>
        <v>-10000</v>
      </c>
      <c r="D153" s="41"/>
      <c r="E153" s="42">
        <f t="shared" ca="1" si="8"/>
        <v>-10000</v>
      </c>
      <c r="F153" s="43"/>
      <c r="G153" s="43"/>
      <c r="H153" s="44">
        <f t="shared" ca="1" si="11"/>
        <v>-10000</v>
      </c>
    </row>
    <row r="154" spans="2:8" x14ac:dyDescent="0.3">
      <c r="B154" s="40">
        <f t="shared" ca="1" si="9"/>
        <v>45410</v>
      </c>
      <c r="C154" s="42">
        <f t="shared" ca="1" si="10"/>
        <v>-10000</v>
      </c>
      <c r="D154" s="41"/>
      <c r="E154" s="42">
        <f t="shared" ca="1" si="8"/>
        <v>-10000</v>
      </c>
      <c r="F154" s="43"/>
      <c r="G154" s="43"/>
      <c r="H154" s="44">
        <f t="shared" ca="1" si="11"/>
        <v>-10000</v>
      </c>
    </row>
    <row r="155" spans="2:8" x14ac:dyDescent="0.3">
      <c r="B155" s="40">
        <f t="shared" ca="1" si="9"/>
        <v>45411</v>
      </c>
      <c r="C155" s="42">
        <f t="shared" ca="1" si="10"/>
        <v>-10000</v>
      </c>
      <c r="D155" s="41"/>
      <c r="E155" s="42">
        <f t="shared" ca="1" si="8"/>
        <v>-10000</v>
      </c>
      <c r="F155" s="43"/>
      <c r="G155" s="43"/>
      <c r="H155" s="44">
        <f t="shared" ca="1" si="11"/>
        <v>-10000</v>
      </c>
    </row>
    <row r="156" spans="2:8" x14ac:dyDescent="0.3">
      <c r="B156" s="40">
        <f t="shared" ca="1" si="9"/>
        <v>45412</v>
      </c>
      <c r="C156" s="42">
        <f t="shared" ca="1" si="10"/>
        <v>-10000</v>
      </c>
      <c r="D156" s="41"/>
      <c r="E156" s="42">
        <f t="shared" ca="1" si="8"/>
        <v>-10000</v>
      </c>
      <c r="F156" s="43"/>
      <c r="G156" s="43"/>
      <c r="H156" s="44">
        <f t="shared" ca="1" si="11"/>
        <v>-10000</v>
      </c>
    </row>
    <row r="157" spans="2:8" x14ac:dyDescent="0.3">
      <c r="B157" s="40">
        <f t="shared" ca="1" si="9"/>
        <v>45413</v>
      </c>
      <c r="C157" s="42">
        <f t="shared" ca="1" si="10"/>
        <v>-10000</v>
      </c>
      <c r="D157" s="41"/>
      <c r="E157" s="42">
        <f t="shared" ref="E157:E220" ca="1" si="12">IF(B157=0,0,H156)</f>
        <v>-10000</v>
      </c>
      <c r="F157" s="43"/>
      <c r="G157" s="43"/>
      <c r="H157" s="44">
        <f t="shared" ca="1" si="11"/>
        <v>-10000</v>
      </c>
    </row>
    <row r="158" spans="2:8" x14ac:dyDescent="0.3">
      <c r="B158" s="40">
        <f t="shared" ref="B158:B221" ca="1" si="13">IF(OR(B157+1&gt;TODAY(),B157=0),0,B157+1)</f>
        <v>45414</v>
      </c>
      <c r="C158" s="42">
        <f t="shared" ca="1" si="10"/>
        <v>-10000</v>
      </c>
      <c r="D158" s="41"/>
      <c r="E158" s="42">
        <f t="shared" ca="1" si="12"/>
        <v>-10000</v>
      </c>
      <c r="F158" s="43"/>
      <c r="G158" s="43"/>
      <c r="H158" s="44">
        <f t="shared" ca="1" si="11"/>
        <v>-10000</v>
      </c>
    </row>
    <row r="159" spans="2:8" x14ac:dyDescent="0.3">
      <c r="B159" s="40">
        <f t="shared" ca="1" si="13"/>
        <v>45415</v>
      </c>
      <c r="C159" s="42">
        <f t="shared" ca="1" si="10"/>
        <v>-10000</v>
      </c>
      <c r="D159" s="41"/>
      <c r="E159" s="42">
        <f t="shared" ca="1" si="12"/>
        <v>-10000</v>
      </c>
      <c r="F159" s="43"/>
      <c r="G159" s="43"/>
      <c r="H159" s="44">
        <f t="shared" ca="1" si="11"/>
        <v>-10000</v>
      </c>
    </row>
    <row r="160" spans="2:8" x14ac:dyDescent="0.3">
      <c r="B160" s="40">
        <f t="shared" ca="1" si="13"/>
        <v>45416</v>
      </c>
      <c r="C160" s="42">
        <f t="shared" ca="1" si="10"/>
        <v>-10000</v>
      </c>
      <c r="D160" s="41"/>
      <c r="E160" s="42">
        <f t="shared" ca="1" si="12"/>
        <v>-10000</v>
      </c>
      <c r="F160" s="43"/>
      <c r="G160" s="43"/>
      <c r="H160" s="44">
        <f t="shared" ca="1" si="11"/>
        <v>-10000</v>
      </c>
    </row>
    <row r="161" spans="2:8" x14ac:dyDescent="0.3">
      <c r="B161" s="40">
        <f t="shared" ca="1" si="13"/>
        <v>45417</v>
      </c>
      <c r="C161" s="42">
        <f t="shared" ca="1" si="10"/>
        <v>-10000</v>
      </c>
      <c r="D161" s="41"/>
      <c r="E161" s="42">
        <f t="shared" ca="1" si="12"/>
        <v>-10000</v>
      </c>
      <c r="F161" s="43"/>
      <c r="G161" s="43"/>
      <c r="H161" s="44">
        <f t="shared" ca="1" si="11"/>
        <v>-10000</v>
      </c>
    </row>
    <row r="162" spans="2:8" x14ac:dyDescent="0.3">
      <c r="B162" s="40">
        <f t="shared" ca="1" si="13"/>
        <v>45418</v>
      </c>
      <c r="C162" s="42">
        <f t="shared" ca="1" si="10"/>
        <v>-10000</v>
      </c>
      <c r="D162" s="41"/>
      <c r="E162" s="42">
        <f t="shared" ca="1" si="12"/>
        <v>-10000</v>
      </c>
      <c r="F162" s="43"/>
      <c r="G162" s="43"/>
      <c r="H162" s="44">
        <f t="shared" ca="1" si="11"/>
        <v>-10000</v>
      </c>
    </row>
    <row r="163" spans="2:8" x14ac:dyDescent="0.3">
      <c r="B163" s="40">
        <f t="shared" ca="1" si="13"/>
        <v>45419</v>
      </c>
      <c r="C163" s="42">
        <f t="shared" ca="1" si="10"/>
        <v>-10000</v>
      </c>
      <c r="D163" s="41"/>
      <c r="E163" s="42">
        <f t="shared" ca="1" si="12"/>
        <v>-10000</v>
      </c>
      <c r="F163" s="43"/>
      <c r="G163" s="43"/>
      <c r="H163" s="44">
        <f t="shared" ca="1" si="11"/>
        <v>-10000</v>
      </c>
    </row>
    <row r="164" spans="2:8" x14ac:dyDescent="0.3">
      <c r="B164" s="40">
        <f t="shared" ca="1" si="13"/>
        <v>45420</v>
      </c>
      <c r="C164" s="42">
        <f t="shared" ca="1" si="10"/>
        <v>-10000</v>
      </c>
      <c r="D164" s="41"/>
      <c r="E164" s="42">
        <f t="shared" ca="1" si="12"/>
        <v>-10000</v>
      </c>
      <c r="F164" s="43"/>
      <c r="G164" s="43"/>
      <c r="H164" s="44">
        <f t="shared" ca="1" si="11"/>
        <v>-10000</v>
      </c>
    </row>
    <row r="165" spans="2:8" x14ac:dyDescent="0.3">
      <c r="B165" s="40">
        <f t="shared" ca="1" si="13"/>
        <v>45421</v>
      </c>
      <c r="C165" s="42">
        <f t="shared" ca="1" si="10"/>
        <v>-10000</v>
      </c>
      <c r="D165" s="41"/>
      <c r="E165" s="42">
        <f t="shared" ca="1" si="12"/>
        <v>-10000</v>
      </c>
      <c r="F165" s="43"/>
      <c r="G165" s="43"/>
      <c r="H165" s="44">
        <f t="shared" ca="1" si="11"/>
        <v>-10000</v>
      </c>
    </row>
    <row r="166" spans="2:8" x14ac:dyDescent="0.3">
      <c r="B166" s="40">
        <f t="shared" ca="1" si="13"/>
        <v>45422</v>
      </c>
      <c r="C166" s="42">
        <f t="shared" ca="1" si="10"/>
        <v>-10000</v>
      </c>
      <c r="D166" s="41"/>
      <c r="E166" s="42">
        <f t="shared" ca="1" si="12"/>
        <v>-10000</v>
      </c>
      <c r="F166" s="43"/>
      <c r="G166" s="43"/>
      <c r="H166" s="44">
        <f t="shared" ca="1" si="11"/>
        <v>-10000</v>
      </c>
    </row>
    <row r="167" spans="2:8" x14ac:dyDescent="0.3">
      <c r="B167" s="40">
        <f t="shared" ca="1" si="13"/>
        <v>45423</v>
      </c>
      <c r="C167" s="42">
        <f t="shared" ca="1" si="10"/>
        <v>-10000</v>
      </c>
      <c r="D167" s="41"/>
      <c r="E167" s="42">
        <f t="shared" ca="1" si="12"/>
        <v>-10000</v>
      </c>
      <c r="F167" s="43"/>
      <c r="G167" s="43"/>
      <c r="H167" s="44">
        <f t="shared" ca="1" si="11"/>
        <v>-10000</v>
      </c>
    </row>
    <row r="168" spans="2:8" x14ac:dyDescent="0.3">
      <c r="B168" s="40">
        <f t="shared" ca="1" si="13"/>
        <v>45424</v>
      </c>
      <c r="C168" s="42">
        <f t="shared" ca="1" si="10"/>
        <v>-10000</v>
      </c>
      <c r="D168" s="41"/>
      <c r="E168" s="42">
        <f t="shared" ca="1" si="12"/>
        <v>-10000</v>
      </c>
      <c r="F168" s="43"/>
      <c r="G168" s="43"/>
      <c r="H168" s="44">
        <f t="shared" ca="1" si="11"/>
        <v>-10000</v>
      </c>
    </row>
    <row r="169" spans="2:8" x14ac:dyDescent="0.3">
      <c r="B169" s="40">
        <f t="shared" ca="1" si="13"/>
        <v>45425</v>
      </c>
      <c r="C169" s="42">
        <f t="shared" ca="1" si="10"/>
        <v>-10000</v>
      </c>
      <c r="D169" s="41"/>
      <c r="E169" s="42">
        <f t="shared" ca="1" si="12"/>
        <v>-10000</v>
      </c>
      <c r="F169" s="43"/>
      <c r="G169" s="43"/>
      <c r="H169" s="44">
        <f t="shared" ca="1" si="11"/>
        <v>-10000</v>
      </c>
    </row>
    <row r="170" spans="2:8" x14ac:dyDescent="0.3">
      <c r="B170" s="40">
        <f t="shared" ca="1" si="13"/>
        <v>45426</v>
      </c>
      <c r="C170" s="42">
        <f t="shared" ca="1" si="10"/>
        <v>-10000</v>
      </c>
      <c r="D170" s="41"/>
      <c r="E170" s="42">
        <f t="shared" ca="1" si="12"/>
        <v>-10000</v>
      </c>
      <c r="F170" s="43"/>
      <c r="G170" s="43"/>
      <c r="H170" s="44">
        <f t="shared" ca="1" si="11"/>
        <v>-10000</v>
      </c>
    </row>
    <row r="171" spans="2:8" x14ac:dyDescent="0.3">
      <c r="B171" s="40">
        <f t="shared" ca="1" si="13"/>
        <v>45427</v>
      </c>
      <c r="C171" s="42">
        <f t="shared" ca="1" si="10"/>
        <v>-10000</v>
      </c>
      <c r="D171" s="41"/>
      <c r="E171" s="42">
        <f t="shared" ca="1" si="12"/>
        <v>-10000</v>
      </c>
      <c r="F171" s="43"/>
      <c r="G171" s="43"/>
      <c r="H171" s="44">
        <f t="shared" ca="1" si="11"/>
        <v>-10000</v>
      </c>
    </row>
    <row r="172" spans="2:8" x14ac:dyDescent="0.3">
      <c r="B172" s="40">
        <f t="shared" ca="1" si="13"/>
        <v>45428</v>
      </c>
      <c r="C172" s="42">
        <f t="shared" ca="1" si="10"/>
        <v>-10000</v>
      </c>
      <c r="D172" s="41"/>
      <c r="E172" s="42">
        <f t="shared" ca="1" si="12"/>
        <v>-10000</v>
      </c>
      <c r="F172" s="43"/>
      <c r="G172" s="43"/>
      <c r="H172" s="44">
        <f t="shared" ca="1" si="11"/>
        <v>-10000</v>
      </c>
    </row>
    <row r="173" spans="2:8" x14ac:dyDescent="0.3">
      <c r="B173" s="40">
        <f t="shared" ca="1" si="13"/>
        <v>45429</v>
      </c>
      <c r="C173" s="42">
        <f t="shared" ca="1" si="10"/>
        <v>-10000</v>
      </c>
      <c r="D173" s="41"/>
      <c r="E173" s="42">
        <f t="shared" ca="1" si="12"/>
        <v>-10000</v>
      </c>
      <c r="F173" s="43"/>
      <c r="G173" s="43"/>
      <c r="H173" s="44">
        <f t="shared" ca="1" si="11"/>
        <v>-10000</v>
      </c>
    </row>
    <row r="174" spans="2:8" x14ac:dyDescent="0.3">
      <c r="B174" s="40">
        <f t="shared" ca="1" si="13"/>
        <v>45430</v>
      </c>
      <c r="C174" s="42">
        <f t="shared" ca="1" si="10"/>
        <v>-10000</v>
      </c>
      <c r="D174" s="41"/>
      <c r="E174" s="42">
        <f t="shared" ca="1" si="12"/>
        <v>-10000</v>
      </c>
      <c r="F174" s="43"/>
      <c r="G174" s="43"/>
      <c r="H174" s="44">
        <f t="shared" ca="1" si="11"/>
        <v>-10000</v>
      </c>
    </row>
    <row r="175" spans="2:8" x14ac:dyDescent="0.3">
      <c r="B175" s="40">
        <f t="shared" ca="1" si="13"/>
        <v>45431</v>
      </c>
      <c r="C175" s="42">
        <f t="shared" ca="1" si="10"/>
        <v>-10000</v>
      </c>
      <c r="D175" s="41"/>
      <c r="E175" s="42">
        <f t="shared" ca="1" si="12"/>
        <v>-10000</v>
      </c>
      <c r="F175" s="43"/>
      <c r="G175" s="43"/>
      <c r="H175" s="44">
        <f t="shared" ca="1" si="11"/>
        <v>-10000</v>
      </c>
    </row>
    <row r="176" spans="2:8" x14ac:dyDescent="0.3">
      <c r="B176" s="40">
        <f t="shared" ca="1" si="13"/>
        <v>45432</v>
      </c>
      <c r="C176" s="42">
        <f t="shared" ca="1" si="10"/>
        <v>-10000</v>
      </c>
      <c r="D176" s="41"/>
      <c r="E176" s="42">
        <f t="shared" ca="1" si="12"/>
        <v>-10000</v>
      </c>
      <c r="F176" s="43"/>
      <c r="G176" s="43"/>
      <c r="H176" s="44">
        <f t="shared" ca="1" si="11"/>
        <v>-10000</v>
      </c>
    </row>
    <row r="177" spans="2:8" x14ac:dyDescent="0.3">
      <c r="B177" s="40">
        <f t="shared" ca="1" si="13"/>
        <v>45433</v>
      </c>
      <c r="C177" s="42">
        <f t="shared" ca="1" si="10"/>
        <v>-10000</v>
      </c>
      <c r="D177" s="41"/>
      <c r="E177" s="42">
        <f t="shared" ca="1" si="12"/>
        <v>-10000</v>
      </c>
      <c r="F177" s="43"/>
      <c r="G177" s="43"/>
      <c r="H177" s="44">
        <f t="shared" ca="1" si="11"/>
        <v>-10000</v>
      </c>
    </row>
    <row r="178" spans="2:8" x14ac:dyDescent="0.3">
      <c r="B178" s="40">
        <f t="shared" ca="1" si="13"/>
        <v>45434</v>
      </c>
      <c r="C178" s="42">
        <f t="shared" ca="1" si="10"/>
        <v>-10000</v>
      </c>
      <c r="D178" s="41"/>
      <c r="E178" s="42">
        <f t="shared" ca="1" si="12"/>
        <v>-10000</v>
      </c>
      <c r="F178" s="43"/>
      <c r="G178" s="43"/>
      <c r="H178" s="44">
        <f t="shared" ca="1" si="11"/>
        <v>-10000</v>
      </c>
    </row>
    <row r="179" spans="2:8" x14ac:dyDescent="0.3">
      <c r="B179" s="40">
        <f t="shared" ca="1" si="13"/>
        <v>45435</v>
      </c>
      <c r="C179" s="42">
        <f t="shared" ca="1" si="10"/>
        <v>-10000</v>
      </c>
      <c r="D179" s="41"/>
      <c r="E179" s="42">
        <f t="shared" ca="1" si="12"/>
        <v>-10000</v>
      </c>
      <c r="F179" s="43"/>
      <c r="G179" s="43"/>
      <c r="H179" s="44">
        <f t="shared" ca="1" si="11"/>
        <v>-10000</v>
      </c>
    </row>
    <row r="180" spans="2:8" x14ac:dyDescent="0.3">
      <c r="B180" s="40">
        <f t="shared" ca="1" si="13"/>
        <v>45436</v>
      </c>
      <c r="C180" s="42">
        <f t="shared" ca="1" si="10"/>
        <v>-10000</v>
      </c>
      <c r="D180" s="41"/>
      <c r="E180" s="42">
        <f t="shared" ca="1" si="12"/>
        <v>-10000</v>
      </c>
      <c r="F180" s="43"/>
      <c r="G180" s="43"/>
      <c r="H180" s="44">
        <f t="shared" ca="1" si="11"/>
        <v>-10000</v>
      </c>
    </row>
    <row r="181" spans="2:8" x14ac:dyDescent="0.3">
      <c r="B181" s="40">
        <f t="shared" ca="1" si="13"/>
        <v>45437</v>
      </c>
      <c r="C181" s="42">
        <f t="shared" ca="1" si="10"/>
        <v>-10000</v>
      </c>
      <c r="D181" s="41"/>
      <c r="E181" s="42">
        <f t="shared" ca="1" si="12"/>
        <v>-10000</v>
      </c>
      <c r="F181" s="43"/>
      <c r="G181" s="43"/>
      <c r="H181" s="44">
        <f t="shared" ca="1" si="11"/>
        <v>-10000</v>
      </c>
    </row>
    <row r="182" spans="2:8" x14ac:dyDescent="0.3">
      <c r="B182" s="40">
        <f t="shared" ca="1" si="13"/>
        <v>45438</v>
      </c>
      <c r="C182" s="42">
        <f t="shared" ca="1" si="10"/>
        <v>-10000</v>
      </c>
      <c r="D182" s="41"/>
      <c r="E182" s="42">
        <f t="shared" ca="1" si="12"/>
        <v>-10000</v>
      </c>
      <c r="F182" s="43"/>
      <c r="G182" s="43"/>
      <c r="H182" s="44">
        <f t="shared" ca="1" si="11"/>
        <v>-10000</v>
      </c>
    </row>
    <row r="183" spans="2:8" x14ac:dyDescent="0.3">
      <c r="B183" s="40">
        <f t="shared" ca="1" si="13"/>
        <v>45439</v>
      </c>
      <c r="C183" s="42">
        <f t="shared" ca="1" si="10"/>
        <v>-10000</v>
      </c>
      <c r="D183" s="41"/>
      <c r="E183" s="42">
        <f t="shared" ca="1" si="12"/>
        <v>-10000</v>
      </c>
      <c r="F183" s="43"/>
      <c r="G183" s="43"/>
      <c r="H183" s="44">
        <f t="shared" ca="1" si="11"/>
        <v>-10000</v>
      </c>
    </row>
    <row r="184" spans="2:8" x14ac:dyDescent="0.3">
      <c r="B184" s="40">
        <f t="shared" ca="1" si="13"/>
        <v>45440</v>
      </c>
      <c r="C184" s="42">
        <f t="shared" ca="1" si="10"/>
        <v>-10000</v>
      </c>
      <c r="D184" s="41"/>
      <c r="E184" s="42">
        <f t="shared" ca="1" si="12"/>
        <v>-10000</v>
      </c>
      <c r="F184" s="43"/>
      <c r="G184" s="43"/>
      <c r="H184" s="44">
        <f t="shared" ca="1" si="11"/>
        <v>-10000</v>
      </c>
    </row>
    <row r="185" spans="2:8" x14ac:dyDescent="0.3">
      <c r="B185" s="40">
        <f t="shared" ca="1" si="13"/>
        <v>45441</v>
      </c>
      <c r="C185" s="42">
        <f t="shared" ca="1" si="10"/>
        <v>-10000</v>
      </c>
      <c r="D185" s="41"/>
      <c r="E185" s="42">
        <f t="shared" ca="1" si="12"/>
        <v>-10000</v>
      </c>
      <c r="F185" s="43"/>
      <c r="G185" s="43"/>
      <c r="H185" s="44">
        <f t="shared" ca="1" si="11"/>
        <v>-10000</v>
      </c>
    </row>
    <row r="186" spans="2:8" x14ac:dyDescent="0.3">
      <c r="B186" s="40">
        <f t="shared" ca="1" si="13"/>
        <v>45442</v>
      </c>
      <c r="C186" s="42">
        <f t="shared" ca="1" si="10"/>
        <v>-10000</v>
      </c>
      <c r="D186" s="41"/>
      <c r="E186" s="42">
        <f t="shared" ca="1" si="12"/>
        <v>-10000</v>
      </c>
      <c r="F186" s="43"/>
      <c r="G186" s="43"/>
      <c r="H186" s="44">
        <f t="shared" ca="1" si="11"/>
        <v>-10000</v>
      </c>
    </row>
    <row r="187" spans="2:8" x14ac:dyDescent="0.3">
      <c r="B187" s="40">
        <f t="shared" ca="1" si="13"/>
        <v>45443</v>
      </c>
      <c r="C187" s="42">
        <f t="shared" ca="1" si="10"/>
        <v>-10000</v>
      </c>
      <c r="D187" s="41"/>
      <c r="E187" s="42">
        <f t="shared" ca="1" si="12"/>
        <v>-10000</v>
      </c>
      <c r="F187" s="43"/>
      <c r="G187" s="43"/>
      <c r="H187" s="44">
        <f t="shared" ca="1" si="11"/>
        <v>-10000</v>
      </c>
    </row>
    <row r="188" spans="2:8" x14ac:dyDescent="0.3">
      <c r="B188" s="40">
        <f t="shared" ca="1" si="13"/>
        <v>45444</v>
      </c>
      <c r="C188" s="42">
        <f t="shared" ca="1" si="10"/>
        <v>-10000</v>
      </c>
      <c r="D188" s="41"/>
      <c r="E188" s="42">
        <f t="shared" ca="1" si="12"/>
        <v>-10000</v>
      </c>
      <c r="F188" s="43"/>
      <c r="G188" s="43"/>
      <c r="H188" s="44">
        <f t="shared" ca="1" si="11"/>
        <v>-10000</v>
      </c>
    </row>
    <row r="189" spans="2:8" x14ac:dyDescent="0.3">
      <c r="B189" s="40">
        <f t="shared" ca="1" si="13"/>
        <v>45445</v>
      </c>
      <c r="C189" s="42">
        <f t="shared" ca="1" si="10"/>
        <v>-10000</v>
      </c>
      <c r="D189" s="41"/>
      <c r="E189" s="42">
        <f t="shared" ca="1" si="12"/>
        <v>-10000</v>
      </c>
      <c r="F189" s="43"/>
      <c r="G189" s="43"/>
      <c r="H189" s="44">
        <f t="shared" ca="1" si="11"/>
        <v>-10000</v>
      </c>
    </row>
    <row r="190" spans="2:8" x14ac:dyDescent="0.3">
      <c r="B190" s="40">
        <f t="shared" ca="1" si="13"/>
        <v>45446</v>
      </c>
      <c r="C190" s="42">
        <f t="shared" ca="1" si="10"/>
        <v>-10000</v>
      </c>
      <c r="D190" s="41"/>
      <c r="E190" s="42">
        <f t="shared" ca="1" si="12"/>
        <v>-10000</v>
      </c>
      <c r="F190" s="43"/>
      <c r="G190" s="43"/>
      <c r="H190" s="44">
        <f t="shared" ca="1" si="11"/>
        <v>-10000</v>
      </c>
    </row>
    <row r="191" spans="2:8" x14ac:dyDescent="0.3">
      <c r="B191" s="40">
        <f t="shared" ca="1" si="13"/>
        <v>45447</v>
      </c>
      <c r="C191" s="42">
        <f t="shared" ca="1" si="10"/>
        <v>-10000</v>
      </c>
      <c r="D191" s="41"/>
      <c r="E191" s="42">
        <f t="shared" ca="1" si="12"/>
        <v>-10000</v>
      </c>
      <c r="F191" s="43"/>
      <c r="G191" s="43"/>
      <c r="H191" s="44">
        <f t="shared" ca="1" si="11"/>
        <v>-10000</v>
      </c>
    </row>
    <row r="192" spans="2:8" x14ac:dyDescent="0.3">
      <c r="B192" s="40">
        <f t="shared" ca="1" si="13"/>
        <v>45448</v>
      </c>
      <c r="C192" s="42">
        <f t="shared" ca="1" si="10"/>
        <v>-10000</v>
      </c>
      <c r="D192" s="41"/>
      <c r="E192" s="42">
        <f t="shared" ca="1" si="12"/>
        <v>-10000</v>
      </c>
      <c r="F192" s="43"/>
      <c r="G192" s="43"/>
      <c r="H192" s="44">
        <f t="shared" ca="1" si="11"/>
        <v>-10000</v>
      </c>
    </row>
    <row r="193" spans="2:8" x14ac:dyDescent="0.3">
      <c r="B193" s="40">
        <f t="shared" ca="1" si="13"/>
        <v>45449</v>
      </c>
      <c r="C193" s="42">
        <f t="shared" ca="1" si="10"/>
        <v>-10000</v>
      </c>
      <c r="D193" s="41"/>
      <c r="E193" s="42">
        <f t="shared" ca="1" si="12"/>
        <v>-10000</v>
      </c>
      <c r="F193" s="43"/>
      <c r="G193" s="43"/>
      <c r="H193" s="44">
        <f t="shared" ca="1" si="11"/>
        <v>-10000</v>
      </c>
    </row>
    <row r="194" spans="2:8" x14ac:dyDescent="0.3">
      <c r="B194" s="40">
        <f t="shared" ca="1" si="13"/>
        <v>45450</v>
      </c>
      <c r="C194" s="42">
        <f t="shared" ca="1" si="10"/>
        <v>-10000</v>
      </c>
      <c r="D194" s="41"/>
      <c r="E194" s="42">
        <f t="shared" ca="1" si="12"/>
        <v>-10000</v>
      </c>
      <c r="F194" s="43"/>
      <c r="G194" s="43"/>
      <c r="H194" s="44">
        <f t="shared" ca="1" si="11"/>
        <v>-10000</v>
      </c>
    </row>
    <row r="195" spans="2:8" x14ac:dyDescent="0.3">
      <c r="B195" s="40">
        <f t="shared" ca="1" si="13"/>
        <v>45451</v>
      </c>
      <c r="C195" s="42">
        <f t="shared" ca="1" si="10"/>
        <v>-10000</v>
      </c>
      <c r="D195" s="41"/>
      <c r="E195" s="42">
        <f t="shared" ca="1" si="12"/>
        <v>-10000</v>
      </c>
      <c r="F195" s="43"/>
      <c r="G195" s="43"/>
      <c r="H195" s="44">
        <f t="shared" ca="1" si="11"/>
        <v>-10000</v>
      </c>
    </row>
    <row r="196" spans="2:8" x14ac:dyDescent="0.3">
      <c r="B196" s="40">
        <f t="shared" ca="1" si="13"/>
        <v>45452</v>
      </c>
      <c r="C196" s="42">
        <f t="shared" ca="1" si="10"/>
        <v>-10000</v>
      </c>
      <c r="D196" s="41"/>
      <c r="E196" s="42">
        <f t="shared" ca="1" si="12"/>
        <v>-10000</v>
      </c>
      <c r="F196" s="43"/>
      <c r="G196" s="43"/>
      <c r="H196" s="44">
        <f t="shared" ca="1" si="11"/>
        <v>-10000</v>
      </c>
    </row>
    <row r="197" spans="2:8" x14ac:dyDescent="0.3">
      <c r="B197" s="40">
        <f t="shared" ca="1" si="13"/>
        <v>45453</v>
      </c>
      <c r="C197" s="42">
        <f t="shared" ca="1" si="10"/>
        <v>-10000</v>
      </c>
      <c r="D197" s="41"/>
      <c r="E197" s="42">
        <f t="shared" ca="1" si="12"/>
        <v>-10000</v>
      </c>
      <c r="F197" s="43"/>
      <c r="G197" s="43"/>
      <c r="H197" s="44">
        <f t="shared" ca="1" si="11"/>
        <v>-10000</v>
      </c>
    </row>
    <row r="198" spans="2:8" x14ac:dyDescent="0.3">
      <c r="B198" s="40">
        <f t="shared" ca="1" si="13"/>
        <v>45454</v>
      </c>
      <c r="C198" s="42">
        <f t="shared" ref="C198:C261" ca="1" si="14">IF(B198=0,0,C197-F197)</f>
        <v>-10000</v>
      </c>
      <c r="D198" s="41"/>
      <c r="E198" s="42">
        <f t="shared" ca="1" si="12"/>
        <v>-10000</v>
      </c>
      <c r="F198" s="43"/>
      <c r="G198" s="43"/>
      <c r="H198" s="44">
        <f t="shared" ref="H198:H261" ca="1" si="15">IF(B198=0,0,E198-F198+G198)</f>
        <v>-10000</v>
      </c>
    </row>
    <row r="199" spans="2:8" x14ac:dyDescent="0.3">
      <c r="B199" s="40">
        <f t="shared" ca="1" si="13"/>
        <v>45455</v>
      </c>
      <c r="C199" s="42">
        <f t="shared" ca="1" si="14"/>
        <v>-10000</v>
      </c>
      <c r="D199" s="41"/>
      <c r="E199" s="42">
        <f t="shared" ca="1" si="12"/>
        <v>-10000</v>
      </c>
      <c r="F199" s="43"/>
      <c r="G199" s="43"/>
      <c r="H199" s="44">
        <f t="shared" ca="1" si="15"/>
        <v>-10000</v>
      </c>
    </row>
    <row r="200" spans="2:8" x14ac:dyDescent="0.3">
      <c r="B200" s="40">
        <f t="shared" ca="1" si="13"/>
        <v>45456</v>
      </c>
      <c r="C200" s="42">
        <f t="shared" ca="1" si="14"/>
        <v>-10000</v>
      </c>
      <c r="D200" s="41"/>
      <c r="E200" s="42">
        <f t="shared" ca="1" si="12"/>
        <v>-10000</v>
      </c>
      <c r="F200" s="43"/>
      <c r="G200" s="43"/>
      <c r="H200" s="44">
        <f t="shared" ca="1" si="15"/>
        <v>-10000</v>
      </c>
    </row>
    <row r="201" spans="2:8" x14ac:dyDescent="0.3">
      <c r="B201" s="40">
        <f t="shared" ca="1" si="13"/>
        <v>45457</v>
      </c>
      <c r="C201" s="42">
        <f t="shared" ca="1" si="14"/>
        <v>-10000</v>
      </c>
      <c r="D201" s="41"/>
      <c r="E201" s="42">
        <f t="shared" ca="1" si="12"/>
        <v>-10000</v>
      </c>
      <c r="F201" s="43"/>
      <c r="G201" s="43"/>
      <c r="H201" s="44">
        <f t="shared" ca="1" si="15"/>
        <v>-10000</v>
      </c>
    </row>
    <row r="202" spans="2:8" x14ac:dyDescent="0.3">
      <c r="B202" s="40">
        <f t="shared" ca="1" si="13"/>
        <v>45458</v>
      </c>
      <c r="C202" s="42">
        <f t="shared" ca="1" si="14"/>
        <v>-10000</v>
      </c>
      <c r="D202" s="41"/>
      <c r="E202" s="42">
        <f t="shared" ca="1" si="12"/>
        <v>-10000</v>
      </c>
      <c r="F202" s="43"/>
      <c r="G202" s="43"/>
      <c r="H202" s="44">
        <f t="shared" ca="1" si="15"/>
        <v>-10000</v>
      </c>
    </row>
    <row r="203" spans="2:8" x14ac:dyDescent="0.3">
      <c r="B203" s="40">
        <f t="shared" ca="1" si="13"/>
        <v>45459</v>
      </c>
      <c r="C203" s="42">
        <f t="shared" ca="1" si="14"/>
        <v>-10000</v>
      </c>
      <c r="D203" s="41"/>
      <c r="E203" s="42">
        <f t="shared" ca="1" si="12"/>
        <v>-10000</v>
      </c>
      <c r="F203" s="43"/>
      <c r="G203" s="43"/>
      <c r="H203" s="44">
        <f t="shared" ca="1" si="15"/>
        <v>-10000</v>
      </c>
    </row>
    <row r="204" spans="2:8" x14ac:dyDescent="0.3">
      <c r="B204" s="40">
        <f t="shared" ca="1" si="13"/>
        <v>45460</v>
      </c>
      <c r="C204" s="42">
        <f t="shared" ca="1" si="14"/>
        <v>-10000</v>
      </c>
      <c r="D204" s="41"/>
      <c r="E204" s="42">
        <f t="shared" ca="1" si="12"/>
        <v>-10000</v>
      </c>
      <c r="F204" s="43"/>
      <c r="G204" s="43"/>
      <c r="H204" s="44">
        <f t="shared" ca="1" si="15"/>
        <v>-10000</v>
      </c>
    </row>
    <row r="205" spans="2:8" x14ac:dyDescent="0.3">
      <c r="B205" s="40">
        <f t="shared" ca="1" si="13"/>
        <v>45461</v>
      </c>
      <c r="C205" s="42">
        <f t="shared" ca="1" si="14"/>
        <v>-10000</v>
      </c>
      <c r="D205" s="41"/>
      <c r="E205" s="42">
        <f t="shared" ca="1" si="12"/>
        <v>-10000</v>
      </c>
      <c r="F205" s="43"/>
      <c r="G205" s="43"/>
      <c r="H205" s="44">
        <f t="shared" ca="1" si="15"/>
        <v>-10000</v>
      </c>
    </row>
    <row r="206" spans="2:8" x14ac:dyDescent="0.3">
      <c r="B206" s="40">
        <f t="shared" ca="1" si="13"/>
        <v>45462</v>
      </c>
      <c r="C206" s="42">
        <f t="shared" ca="1" si="14"/>
        <v>-10000</v>
      </c>
      <c r="D206" s="41"/>
      <c r="E206" s="42">
        <f t="shared" ca="1" si="12"/>
        <v>-10000</v>
      </c>
      <c r="F206" s="43"/>
      <c r="G206" s="43"/>
      <c r="H206" s="44">
        <f t="shared" ca="1" si="15"/>
        <v>-10000</v>
      </c>
    </row>
    <row r="207" spans="2:8" x14ac:dyDescent="0.3">
      <c r="B207" s="40">
        <f t="shared" ca="1" si="13"/>
        <v>45463</v>
      </c>
      <c r="C207" s="42">
        <f t="shared" ca="1" si="14"/>
        <v>-10000</v>
      </c>
      <c r="D207" s="41"/>
      <c r="E207" s="42">
        <f t="shared" ca="1" si="12"/>
        <v>-10000</v>
      </c>
      <c r="F207" s="43"/>
      <c r="G207" s="43"/>
      <c r="H207" s="44">
        <f t="shared" ca="1" si="15"/>
        <v>-10000</v>
      </c>
    </row>
    <row r="208" spans="2:8" x14ac:dyDescent="0.3">
      <c r="B208" s="40">
        <f t="shared" ca="1" si="13"/>
        <v>45464</v>
      </c>
      <c r="C208" s="42">
        <f t="shared" ca="1" si="14"/>
        <v>-10000</v>
      </c>
      <c r="D208" s="41"/>
      <c r="E208" s="42">
        <f t="shared" ca="1" si="12"/>
        <v>-10000</v>
      </c>
      <c r="F208" s="43"/>
      <c r="G208" s="43"/>
      <c r="H208" s="44">
        <f t="shared" ca="1" si="15"/>
        <v>-10000</v>
      </c>
    </row>
    <row r="209" spans="2:8" x14ac:dyDescent="0.3">
      <c r="B209" s="40">
        <f t="shared" ca="1" si="13"/>
        <v>45465</v>
      </c>
      <c r="C209" s="42">
        <f t="shared" ca="1" si="14"/>
        <v>-10000</v>
      </c>
      <c r="D209" s="41"/>
      <c r="E209" s="42">
        <f t="shared" ca="1" si="12"/>
        <v>-10000</v>
      </c>
      <c r="F209" s="43"/>
      <c r="G209" s="43"/>
      <c r="H209" s="44">
        <f t="shared" ca="1" si="15"/>
        <v>-10000</v>
      </c>
    </row>
    <row r="210" spans="2:8" x14ac:dyDescent="0.3">
      <c r="B210" s="40">
        <f t="shared" ca="1" si="13"/>
        <v>45466</v>
      </c>
      <c r="C210" s="42">
        <f t="shared" ca="1" si="14"/>
        <v>-10000</v>
      </c>
      <c r="D210" s="41"/>
      <c r="E210" s="42">
        <f t="shared" ca="1" si="12"/>
        <v>-10000</v>
      </c>
      <c r="F210" s="43"/>
      <c r="G210" s="43"/>
      <c r="H210" s="44">
        <f t="shared" ca="1" si="15"/>
        <v>-10000</v>
      </c>
    </row>
    <row r="211" spans="2:8" x14ac:dyDescent="0.3">
      <c r="B211" s="40">
        <f t="shared" ca="1" si="13"/>
        <v>45467</v>
      </c>
      <c r="C211" s="42">
        <f t="shared" ca="1" si="14"/>
        <v>-10000</v>
      </c>
      <c r="D211" s="41"/>
      <c r="E211" s="42">
        <f t="shared" ca="1" si="12"/>
        <v>-10000</v>
      </c>
      <c r="F211" s="43"/>
      <c r="G211" s="43"/>
      <c r="H211" s="44">
        <f t="shared" ca="1" si="15"/>
        <v>-10000</v>
      </c>
    </row>
    <row r="212" spans="2:8" x14ac:dyDescent="0.3">
      <c r="B212" s="40">
        <f t="shared" ca="1" si="13"/>
        <v>45468</v>
      </c>
      <c r="C212" s="42">
        <f t="shared" ca="1" si="14"/>
        <v>-10000</v>
      </c>
      <c r="D212" s="41"/>
      <c r="E212" s="42">
        <f t="shared" ca="1" si="12"/>
        <v>-10000</v>
      </c>
      <c r="F212" s="43"/>
      <c r="G212" s="43"/>
      <c r="H212" s="44">
        <f t="shared" ca="1" si="15"/>
        <v>-10000</v>
      </c>
    </row>
    <row r="213" spans="2:8" x14ac:dyDescent="0.3">
      <c r="B213" s="40">
        <f t="shared" ca="1" si="13"/>
        <v>45469</v>
      </c>
      <c r="C213" s="42">
        <f t="shared" ca="1" si="14"/>
        <v>-10000</v>
      </c>
      <c r="D213" s="41"/>
      <c r="E213" s="42">
        <f t="shared" ca="1" si="12"/>
        <v>-10000</v>
      </c>
      <c r="F213" s="43"/>
      <c r="G213" s="43"/>
      <c r="H213" s="44">
        <f t="shared" ca="1" si="15"/>
        <v>-10000</v>
      </c>
    </row>
    <row r="214" spans="2:8" x14ac:dyDescent="0.3">
      <c r="B214" s="40">
        <f t="shared" ca="1" si="13"/>
        <v>45470</v>
      </c>
      <c r="C214" s="42">
        <f t="shared" ca="1" si="14"/>
        <v>-10000</v>
      </c>
      <c r="D214" s="41"/>
      <c r="E214" s="42">
        <f t="shared" ca="1" si="12"/>
        <v>-10000</v>
      </c>
      <c r="F214" s="43"/>
      <c r="G214" s="43"/>
      <c r="H214" s="44">
        <f t="shared" ca="1" si="15"/>
        <v>-10000</v>
      </c>
    </row>
    <row r="215" spans="2:8" x14ac:dyDescent="0.3">
      <c r="B215" s="40">
        <f t="shared" ca="1" si="13"/>
        <v>45471</v>
      </c>
      <c r="C215" s="42">
        <f t="shared" ca="1" si="14"/>
        <v>-10000</v>
      </c>
      <c r="D215" s="41"/>
      <c r="E215" s="42">
        <f t="shared" ca="1" si="12"/>
        <v>-10000</v>
      </c>
      <c r="F215" s="43"/>
      <c r="G215" s="43"/>
      <c r="H215" s="44">
        <f t="shared" ca="1" si="15"/>
        <v>-10000</v>
      </c>
    </row>
    <row r="216" spans="2:8" x14ac:dyDescent="0.3">
      <c r="B216" s="40">
        <f t="shared" ca="1" si="13"/>
        <v>45472</v>
      </c>
      <c r="C216" s="42">
        <f t="shared" ca="1" si="14"/>
        <v>-10000</v>
      </c>
      <c r="D216" s="41"/>
      <c r="E216" s="42">
        <f t="shared" ca="1" si="12"/>
        <v>-10000</v>
      </c>
      <c r="F216" s="43"/>
      <c r="G216" s="43"/>
      <c r="H216" s="44">
        <f t="shared" ca="1" si="15"/>
        <v>-10000</v>
      </c>
    </row>
    <row r="217" spans="2:8" x14ac:dyDescent="0.3">
      <c r="B217" s="40">
        <f t="shared" ca="1" si="13"/>
        <v>45473</v>
      </c>
      <c r="C217" s="42">
        <f t="shared" ca="1" si="14"/>
        <v>-10000</v>
      </c>
      <c r="D217" s="41"/>
      <c r="E217" s="42">
        <f t="shared" ca="1" si="12"/>
        <v>-10000</v>
      </c>
      <c r="F217" s="43"/>
      <c r="G217" s="43"/>
      <c r="H217" s="44">
        <f t="shared" ca="1" si="15"/>
        <v>-10000</v>
      </c>
    </row>
    <row r="218" spans="2:8" x14ac:dyDescent="0.3">
      <c r="B218" s="40">
        <f t="shared" ca="1" si="13"/>
        <v>45474</v>
      </c>
      <c r="C218" s="42">
        <f t="shared" ca="1" si="14"/>
        <v>-10000</v>
      </c>
      <c r="D218" s="41"/>
      <c r="E218" s="42">
        <f t="shared" ca="1" si="12"/>
        <v>-10000</v>
      </c>
      <c r="F218" s="43"/>
      <c r="G218" s="43"/>
      <c r="H218" s="44">
        <f t="shared" ca="1" si="15"/>
        <v>-10000</v>
      </c>
    </row>
    <row r="219" spans="2:8" x14ac:dyDescent="0.3">
      <c r="B219" s="40">
        <f t="shared" ca="1" si="13"/>
        <v>45475</v>
      </c>
      <c r="C219" s="42">
        <f t="shared" ca="1" si="14"/>
        <v>-10000</v>
      </c>
      <c r="D219" s="41"/>
      <c r="E219" s="42">
        <f t="shared" ca="1" si="12"/>
        <v>-10000</v>
      </c>
      <c r="F219" s="43"/>
      <c r="G219" s="43"/>
      <c r="H219" s="44">
        <f t="shared" ca="1" si="15"/>
        <v>-10000</v>
      </c>
    </row>
    <row r="220" spans="2:8" x14ac:dyDescent="0.3">
      <c r="B220" s="40">
        <f t="shared" ca="1" si="13"/>
        <v>45476</v>
      </c>
      <c r="C220" s="42">
        <f t="shared" ca="1" si="14"/>
        <v>-10000</v>
      </c>
      <c r="D220" s="41"/>
      <c r="E220" s="42">
        <f t="shared" ca="1" si="12"/>
        <v>-10000</v>
      </c>
      <c r="F220" s="43"/>
      <c r="G220" s="43"/>
      <c r="H220" s="44">
        <f t="shared" ca="1" si="15"/>
        <v>-10000</v>
      </c>
    </row>
    <row r="221" spans="2:8" x14ac:dyDescent="0.3">
      <c r="B221" s="40">
        <f t="shared" ca="1" si="13"/>
        <v>45477</v>
      </c>
      <c r="C221" s="42">
        <f t="shared" ca="1" si="14"/>
        <v>-10000</v>
      </c>
      <c r="D221" s="41"/>
      <c r="E221" s="42">
        <f t="shared" ref="E221:E284" ca="1" si="16">IF(B221=0,0,H220)</f>
        <v>-10000</v>
      </c>
      <c r="F221" s="43"/>
      <c r="G221" s="43"/>
      <c r="H221" s="44">
        <f t="shared" ca="1" si="15"/>
        <v>-10000</v>
      </c>
    </row>
    <row r="222" spans="2:8" x14ac:dyDescent="0.3">
      <c r="B222" s="40">
        <f t="shared" ref="B222:B285" ca="1" si="17">IF(OR(B221+1&gt;TODAY(),B221=0),0,B221+1)</f>
        <v>45478</v>
      </c>
      <c r="C222" s="42">
        <f t="shared" ca="1" si="14"/>
        <v>-10000</v>
      </c>
      <c r="D222" s="41"/>
      <c r="E222" s="42">
        <f t="shared" ca="1" si="16"/>
        <v>-10000</v>
      </c>
      <c r="F222" s="43"/>
      <c r="G222" s="43"/>
      <c r="H222" s="44">
        <f t="shared" ca="1" si="15"/>
        <v>-10000</v>
      </c>
    </row>
    <row r="223" spans="2:8" x14ac:dyDescent="0.3">
      <c r="B223" s="40">
        <f t="shared" ca="1" si="17"/>
        <v>45479</v>
      </c>
      <c r="C223" s="42">
        <f t="shared" ca="1" si="14"/>
        <v>-10000</v>
      </c>
      <c r="D223" s="41"/>
      <c r="E223" s="42">
        <f t="shared" ca="1" si="16"/>
        <v>-10000</v>
      </c>
      <c r="F223" s="43"/>
      <c r="G223" s="43"/>
      <c r="H223" s="44">
        <f t="shared" ca="1" si="15"/>
        <v>-10000</v>
      </c>
    </row>
    <row r="224" spans="2:8" x14ac:dyDescent="0.3">
      <c r="B224" s="40">
        <f t="shared" ca="1" si="17"/>
        <v>45480</v>
      </c>
      <c r="C224" s="42">
        <f t="shared" ca="1" si="14"/>
        <v>-10000</v>
      </c>
      <c r="D224" s="41"/>
      <c r="E224" s="42">
        <f t="shared" ca="1" si="16"/>
        <v>-10000</v>
      </c>
      <c r="F224" s="43"/>
      <c r="G224" s="43"/>
      <c r="H224" s="44">
        <f t="shared" ca="1" si="15"/>
        <v>-10000</v>
      </c>
    </row>
    <row r="225" spans="2:8" x14ac:dyDescent="0.3">
      <c r="B225" s="40">
        <f t="shared" ca="1" si="17"/>
        <v>45481</v>
      </c>
      <c r="C225" s="42">
        <f t="shared" ca="1" si="14"/>
        <v>-10000</v>
      </c>
      <c r="D225" s="41"/>
      <c r="E225" s="42">
        <f t="shared" ca="1" si="16"/>
        <v>-10000</v>
      </c>
      <c r="F225" s="43"/>
      <c r="G225" s="43"/>
      <c r="H225" s="44">
        <f t="shared" ca="1" si="15"/>
        <v>-10000</v>
      </c>
    </row>
    <row r="226" spans="2:8" x14ac:dyDescent="0.3">
      <c r="B226" s="40">
        <f t="shared" ca="1" si="17"/>
        <v>45482</v>
      </c>
      <c r="C226" s="42">
        <f t="shared" ca="1" si="14"/>
        <v>-10000</v>
      </c>
      <c r="D226" s="41"/>
      <c r="E226" s="42">
        <f t="shared" ca="1" si="16"/>
        <v>-10000</v>
      </c>
      <c r="F226" s="43"/>
      <c r="G226" s="43"/>
      <c r="H226" s="44">
        <f t="shared" ca="1" si="15"/>
        <v>-10000</v>
      </c>
    </row>
    <row r="227" spans="2:8" x14ac:dyDescent="0.3">
      <c r="B227" s="40">
        <f t="shared" ca="1" si="17"/>
        <v>45483</v>
      </c>
      <c r="C227" s="42">
        <f t="shared" ca="1" si="14"/>
        <v>-10000</v>
      </c>
      <c r="D227" s="41"/>
      <c r="E227" s="42">
        <f t="shared" ca="1" si="16"/>
        <v>-10000</v>
      </c>
      <c r="F227" s="43"/>
      <c r="G227" s="43"/>
      <c r="H227" s="44">
        <f t="shared" ca="1" si="15"/>
        <v>-10000</v>
      </c>
    </row>
    <row r="228" spans="2:8" x14ac:dyDescent="0.3">
      <c r="B228" s="40">
        <f t="shared" ca="1" si="17"/>
        <v>45484</v>
      </c>
      <c r="C228" s="42">
        <f t="shared" ca="1" si="14"/>
        <v>-10000</v>
      </c>
      <c r="D228" s="41"/>
      <c r="E228" s="42">
        <f t="shared" ca="1" si="16"/>
        <v>-10000</v>
      </c>
      <c r="F228" s="43"/>
      <c r="G228" s="43"/>
      <c r="H228" s="44">
        <f t="shared" ca="1" si="15"/>
        <v>-10000</v>
      </c>
    </row>
    <row r="229" spans="2:8" x14ac:dyDescent="0.3">
      <c r="B229" s="40">
        <f t="shared" ca="1" si="17"/>
        <v>45485</v>
      </c>
      <c r="C229" s="42">
        <f t="shared" ca="1" si="14"/>
        <v>-10000</v>
      </c>
      <c r="D229" s="41"/>
      <c r="E229" s="42">
        <f t="shared" ca="1" si="16"/>
        <v>-10000</v>
      </c>
      <c r="F229" s="43"/>
      <c r="G229" s="43"/>
      <c r="H229" s="44">
        <f t="shared" ca="1" si="15"/>
        <v>-10000</v>
      </c>
    </row>
    <row r="230" spans="2:8" x14ac:dyDescent="0.3">
      <c r="B230" s="40">
        <f t="shared" ca="1" si="17"/>
        <v>45486</v>
      </c>
      <c r="C230" s="42">
        <f t="shared" ca="1" si="14"/>
        <v>-10000</v>
      </c>
      <c r="D230" s="41"/>
      <c r="E230" s="42">
        <f t="shared" ca="1" si="16"/>
        <v>-10000</v>
      </c>
      <c r="F230" s="43"/>
      <c r="G230" s="43"/>
      <c r="H230" s="44">
        <f t="shared" ca="1" si="15"/>
        <v>-10000</v>
      </c>
    </row>
    <row r="231" spans="2:8" x14ac:dyDescent="0.3">
      <c r="B231" s="40">
        <f t="shared" ca="1" si="17"/>
        <v>45487</v>
      </c>
      <c r="C231" s="42">
        <f t="shared" ca="1" si="14"/>
        <v>-10000</v>
      </c>
      <c r="D231" s="41"/>
      <c r="E231" s="42">
        <f t="shared" ca="1" si="16"/>
        <v>-10000</v>
      </c>
      <c r="F231" s="43"/>
      <c r="G231" s="43"/>
      <c r="H231" s="44">
        <f t="shared" ca="1" si="15"/>
        <v>-10000</v>
      </c>
    </row>
    <row r="232" spans="2:8" x14ac:dyDescent="0.3">
      <c r="B232" s="40">
        <f t="shared" ca="1" si="17"/>
        <v>45488</v>
      </c>
      <c r="C232" s="42">
        <f t="shared" ca="1" si="14"/>
        <v>-10000</v>
      </c>
      <c r="D232" s="41"/>
      <c r="E232" s="42">
        <f t="shared" ca="1" si="16"/>
        <v>-10000</v>
      </c>
      <c r="F232" s="43"/>
      <c r="G232" s="43"/>
      <c r="H232" s="44">
        <f t="shared" ca="1" si="15"/>
        <v>-10000</v>
      </c>
    </row>
    <row r="233" spans="2:8" x14ac:dyDescent="0.3">
      <c r="B233" s="40">
        <f t="shared" ca="1" si="17"/>
        <v>45489</v>
      </c>
      <c r="C233" s="42">
        <f t="shared" ca="1" si="14"/>
        <v>-10000</v>
      </c>
      <c r="D233" s="41"/>
      <c r="E233" s="42">
        <f t="shared" ca="1" si="16"/>
        <v>-10000</v>
      </c>
      <c r="F233" s="43"/>
      <c r="G233" s="43"/>
      <c r="H233" s="44">
        <f t="shared" ca="1" si="15"/>
        <v>-10000</v>
      </c>
    </row>
    <row r="234" spans="2:8" x14ac:dyDescent="0.3">
      <c r="B234" s="40">
        <f t="shared" ca="1" si="17"/>
        <v>45490</v>
      </c>
      <c r="C234" s="42">
        <f t="shared" ca="1" si="14"/>
        <v>-10000</v>
      </c>
      <c r="D234" s="41"/>
      <c r="E234" s="42">
        <f t="shared" ca="1" si="16"/>
        <v>-10000</v>
      </c>
      <c r="F234" s="43"/>
      <c r="G234" s="43"/>
      <c r="H234" s="44">
        <f t="shared" ca="1" si="15"/>
        <v>-10000</v>
      </c>
    </row>
    <row r="235" spans="2:8" x14ac:dyDescent="0.3">
      <c r="B235" s="40">
        <f t="shared" ca="1" si="17"/>
        <v>45491</v>
      </c>
      <c r="C235" s="42">
        <f t="shared" ca="1" si="14"/>
        <v>-10000</v>
      </c>
      <c r="D235" s="41"/>
      <c r="E235" s="42">
        <f t="shared" ca="1" si="16"/>
        <v>-10000</v>
      </c>
      <c r="F235" s="43"/>
      <c r="G235" s="43"/>
      <c r="H235" s="44">
        <f t="shared" ca="1" si="15"/>
        <v>-10000</v>
      </c>
    </row>
    <row r="236" spans="2:8" x14ac:dyDescent="0.3">
      <c r="B236" s="40">
        <f t="shared" ca="1" si="17"/>
        <v>45492</v>
      </c>
      <c r="C236" s="42">
        <f t="shared" ca="1" si="14"/>
        <v>-10000</v>
      </c>
      <c r="D236" s="41"/>
      <c r="E236" s="42">
        <f t="shared" ca="1" si="16"/>
        <v>-10000</v>
      </c>
      <c r="F236" s="43"/>
      <c r="G236" s="43"/>
      <c r="H236" s="44">
        <f t="shared" ca="1" si="15"/>
        <v>-10000</v>
      </c>
    </row>
    <row r="237" spans="2:8" x14ac:dyDescent="0.3">
      <c r="B237" s="40">
        <f t="shared" ca="1" si="17"/>
        <v>45493</v>
      </c>
      <c r="C237" s="42">
        <f t="shared" ca="1" si="14"/>
        <v>-10000</v>
      </c>
      <c r="D237" s="41"/>
      <c r="E237" s="42">
        <f t="shared" ca="1" si="16"/>
        <v>-10000</v>
      </c>
      <c r="F237" s="43"/>
      <c r="G237" s="43"/>
      <c r="H237" s="44">
        <f t="shared" ca="1" si="15"/>
        <v>-10000</v>
      </c>
    </row>
    <row r="238" spans="2:8" x14ac:dyDescent="0.3">
      <c r="B238" s="40">
        <f t="shared" ca="1" si="17"/>
        <v>45494</v>
      </c>
      <c r="C238" s="42">
        <f t="shared" ca="1" si="14"/>
        <v>-10000</v>
      </c>
      <c r="D238" s="41"/>
      <c r="E238" s="42">
        <f t="shared" ca="1" si="16"/>
        <v>-10000</v>
      </c>
      <c r="F238" s="43"/>
      <c r="G238" s="43"/>
      <c r="H238" s="44">
        <f t="shared" ca="1" si="15"/>
        <v>-10000</v>
      </c>
    </row>
    <row r="239" spans="2:8" x14ac:dyDescent="0.3">
      <c r="B239" s="40">
        <f t="shared" ca="1" si="17"/>
        <v>45495</v>
      </c>
      <c r="C239" s="42">
        <f t="shared" ca="1" si="14"/>
        <v>-10000</v>
      </c>
      <c r="D239" s="41"/>
      <c r="E239" s="42">
        <f t="shared" ca="1" si="16"/>
        <v>-10000</v>
      </c>
      <c r="F239" s="43"/>
      <c r="G239" s="43"/>
      <c r="H239" s="44">
        <f t="shared" ca="1" si="15"/>
        <v>-10000</v>
      </c>
    </row>
    <row r="240" spans="2:8" x14ac:dyDescent="0.3">
      <c r="B240" s="40">
        <f t="shared" ca="1" si="17"/>
        <v>45496</v>
      </c>
      <c r="C240" s="42">
        <f t="shared" ca="1" si="14"/>
        <v>-10000</v>
      </c>
      <c r="D240" s="41"/>
      <c r="E240" s="42">
        <f t="shared" ca="1" si="16"/>
        <v>-10000</v>
      </c>
      <c r="F240" s="43"/>
      <c r="G240" s="43"/>
      <c r="H240" s="44">
        <f t="shared" ca="1" si="15"/>
        <v>-10000</v>
      </c>
    </row>
    <row r="241" spans="2:8" x14ac:dyDescent="0.3">
      <c r="B241" s="40">
        <f t="shared" ca="1" si="17"/>
        <v>45497</v>
      </c>
      <c r="C241" s="42">
        <f t="shared" ca="1" si="14"/>
        <v>-10000</v>
      </c>
      <c r="D241" s="41"/>
      <c r="E241" s="42">
        <f t="shared" ca="1" si="16"/>
        <v>-10000</v>
      </c>
      <c r="F241" s="43"/>
      <c r="G241" s="43"/>
      <c r="H241" s="44">
        <f t="shared" ca="1" si="15"/>
        <v>-10000</v>
      </c>
    </row>
    <row r="242" spans="2:8" x14ac:dyDescent="0.3">
      <c r="B242" s="40">
        <f t="shared" ca="1" si="17"/>
        <v>45498</v>
      </c>
      <c r="C242" s="42">
        <f t="shared" ca="1" si="14"/>
        <v>-10000</v>
      </c>
      <c r="D242" s="41"/>
      <c r="E242" s="42">
        <f t="shared" ca="1" si="16"/>
        <v>-10000</v>
      </c>
      <c r="F242" s="43"/>
      <c r="G242" s="43"/>
      <c r="H242" s="44">
        <f t="shared" ca="1" si="15"/>
        <v>-10000</v>
      </c>
    </row>
    <row r="243" spans="2:8" x14ac:dyDescent="0.3">
      <c r="B243" s="40">
        <f t="shared" ca="1" si="17"/>
        <v>45499</v>
      </c>
      <c r="C243" s="42">
        <f t="shared" ca="1" si="14"/>
        <v>-10000</v>
      </c>
      <c r="D243" s="41"/>
      <c r="E243" s="42">
        <f t="shared" ca="1" si="16"/>
        <v>-10000</v>
      </c>
      <c r="F243" s="43"/>
      <c r="G243" s="43"/>
      <c r="H243" s="44">
        <f t="shared" ca="1" si="15"/>
        <v>-10000</v>
      </c>
    </row>
    <row r="244" spans="2:8" x14ac:dyDescent="0.3">
      <c r="B244" s="40">
        <f t="shared" ca="1" si="17"/>
        <v>45500</v>
      </c>
      <c r="C244" s="42">
        <f t="shared" ca="1" si="14"/>
        <v>-10000</v>
      </c>
      <c r="D244" s="41"/>
      <c r="E244" s="42">
        <f t="shared" ca="1" si="16"/>
        <v>-10000</v>
      </c>
      <c r="F244" s="43"/>
      <c r="G244" s="43"/>
      <c r="H244" s="44">
        <f t="shared" ca="1" si="15"/>
        <v>-10000</v>
      </c>
    </row>
    <row r="245" spans="2:8" x14ac:dyDescent="0.3">
      <c r="B245" s="40">
        <f t="shared" ca="1" si="17"/>
        <v>45501</v>
      </c>
      <c r="C245" s="42">
        <f t="shared" ca="1" si="14"/>
        <v>-10000</v>
      </c>
      <c r="D245" s="41"/>
      <c r="E245" s="42">
        <f t="shared" ca="1" si="16"/>
        <v>-10000</v>
      </c>
      <c r="F245" s="43"/>
      <c r="G245" s="43"/>
      <c r="H245" s="44">
        <f t="shared" ca="1" si="15"/>
        <v>-10000</v>
      </c>
    </row>
    <row r="246" spans="2:8" x14ac:dyDescent="0.3">
      <c r="B246" s="40">
        <f t="shared" ca="1" si="17"/>
        <v>45502</v>
      </c>
      <c r="C246" s="42">
        <f t="shared" ca="1" si="14"/>
        <v>-10000</v>
      </c>
      <c r="D246" s="41"/>
      <c r="E246" s="42">
        <f t="shared" ca="1" si="16"/>
        <v>-10000</v>
      </c>
      <c r="F246" s="43"/>
      <c r="G246" s="43"/>
      <c r="H246" s="44">
        <f t="shared" ca="1" si="15"/>
        <v>-10000</v>
      </c>
    </row>
    <row r="247" spans="2:8" x14ac:dyDescent="0.3">
      <c r="B247" s="40">
        <f t="shared" ca="1" si="17"/>
        <v>45503</v>
      </c>
      <c r="C247" s="42">
        <f t="shared" ca="1" si="14"/>
        <v>-10000</v>
      </c>
      <c r="D247" s="41"/>
      <c r="E247" s="42">
        <f t="shared" ca="1" si="16"/>
        <v>-10000</v>
      </c>
      <c r="F247" s="43"/>
      <c r="G247" s="43"/>
      <c r="H247" s="44">
        <f t="shared" ca="1" si="15"/>
        <v>-10000</v>
      </c>
    </row>
    <row r="248" spans="2:8" x14ac:dyDescent="0.3">
      <c r="B248" s="40">
        <f t="shared" ca="1" si="17"/>
        <v>45504</v>
      </c>
      <c r="C248" s="42">
        <f t="shared" ca="1" si="14"/>
        <v>-10000</v>
      </c>
      <c r="D248" s="41"/>
      <c r="E248" s="42">
        <f t="shared" ca="1" si="16"/>
        <v>-10000</v>
      </c>
      <c r="F248" s="43"/>
      <c r="G248" s="43"/>
      <c r="H248" s="44">
        <f t="shared" ca="1" si="15"/>
        <v>-10000</v>
      </c>
    </row>
    <row r="249" spans="2:8" x14ac:dyDescent="0.3">
      <c r="B249" s="40">
        <f t="shared" ca="1" si="17"/>
        <v>45505</v>
      </c>
      <c r="C249" s="42">
        <f t="shared" ca="1" si="14"/>
        <v>-10000</v>
      </c>
      <c r="D249" s="41"/>
      <c r="E249" s="42">
        <f t="shared" ca="1" si="16"/>
        <v>-10000</v>
      </c>
      <c r="F249" s="43"/>
      <c r="G249" s="43"/>
      <c r="H249" s="44">
        <f t="shared" ca="1" si="15"/>
        <v>-10000</v>
      </c>
    </row>
    <row r="250" spans="2:8" x14ac:dyDescent="0.3">
      <c r="B250" s="40">
        <f t="shared" ca="1" si="17"/>
        <v>45506</v>
      </c>
      <c r="C250" s="42">
        <f t="shared" ca="1" si="14"/>
        <v>-10000</v>
      </c>
      <c r="D250" s="41"/>
      <c r="E250" s="42">
        <f t="shared" ca="1" si="16"/>
        <v>-10000</v>
      </c>
      <c r="F250" s="43"/>
      <c r="G250" s="43"/>
      <c r="H250" s="44">
        <f t="shared" ca="1" si="15"/>
        <v>-10000</v>
      </c>
    </row>
    <row r="251" spans="2:8" x14ac:dyDescent="0.3">
      <c r="B251" s="40">
        <f t="shared" ca="1" si="17"/>
        <v>45507</v>
      </c>
      <c r="C251" s="42">
        <f t="shared" ca="1" si="14"/>
        <v>-10000</v>
      </c>
      <c r="D251" s="41"/>
      <c r="E251" s="42">
        <f t="shared" ca="1" si="16"/>
        <v>-10000</v>
      </c>
      <c r="F251" s="43"/>
      <c r="G251" s="43"/>
      <c r="H251" s="44">
        <f t="shared" ca="1" si="15"/>
        <v>-10000</v>
      </c>
    </row>
    <row r="252" spans="2:8" x14ac:dyDescent="0.3">
      <c r="B252" s="40">
        <f t="shared" ca="1" si="17"/>
        <v>45508</v>
      </c>
      <c r="C252" s="42">
        <f t="shared" ca="1" si="14"/>
        <v>-10000</v>
      </c>
      <c r="D252" s="41"/>
      <c r="E252" s="42">
        <f t="shared" ca="1" si="16"/>
        <v>-10000</v>
      </c>
      <c r="F252" s="43"/>
      <c r="G252" s="43"/>
      <c r="H252" s="44">
        <f t="shared" ca="1" si="15"/>
        <v>-10000</v>
      </c>
    </row>
    <row r="253" spans="2:8" x14ac:dyDescent="0.3">
      <c r="B253" s="40">
        <f t="shared" ca="1" si="17"/>
        <v>45509</v>
      </c>
      <c r="C253" s="42">
        <f t="shared" ca="1" si="14"/>
        <v>-10000</v>
      </c>
      <c r="D253" s="41"/>
      <c r="E253" s="42">
        <f t="shared" ca="1" si="16"/>
        <v>-10000</v>
      </c>
      <c r="F253" s="43"/>
      <c r="G253" s="43"/>
      <c r="H253" s="44">
        <f t="shared" ca="1" si="15"/>
        <v>-10000</v>
      </c>
    </row>
    <row r="254" spans="2:8" x14ac:dyDescent="0.3">
      <c r="B254" s="40">
        <f t="shared" ca="1" si="17"/>
        <v>45510</v>
      </c>
      <c r="C254" s="42">
        <f t="shared" ca="1" si="14"/>
        <v>-10000</v>
      </c>
      <c r="D254" s="41"/>
      <c r="E254" s="42">
        <f t="shared" ca="1" si="16"/>
        <v>-10000</v>
      </c>
      <c r="F254" s="43"/>
      <c r="G254" s="43"/>
      <c r="H254" s="44">
        <f t="shared" ca="1" si="15"/>
        <v>-10000</v>
      </c>
    </row>
    <row r="255" spans="2:8" x14ac:dyDescent="0.3">
      <c r="B255" s="40">
        <f t="shared" ca="1" si="17"/>
        <v>45511</v>
      </c>
      <c r="C255" s="42">
        <f t="shared" ca="1" si="14"/>
        <v>-10000</v>
      </c>
      <c r="D255" s="41"/>
      <c r="E255" s="42">
        <f t="shared" ca="1" si="16"/>
        <v>-10000</v>
      </c>
      <c r="F255" s="43"/>
      <c r="G255" s="43"/>
      <c r="H255" s="44">
        <f t="shared" ca="1" si="15"/>
        <v>-10000</v>
      </c>
    </row>
    <row r="256" spans="2:8" x14ac:dyDescent="0.3">
      <c r="B256" s="40">
        <f t="shared" ca="1" si="17"/>
        <v>45512</v>
      </c>
      <c r="C256" s="42">
        <f t="shared" ca="1" si="14"/>
        <v>-10000</v>
      </c>
      <c r="D256" s="41"/>
      <c r="E256" s="42">
        <f t="shared" ca="1" si="16"/>
        <v>-10000</v>
      </c>
      <c r="F256" s="43"/>
      <c r="G256" s="43"/>
      <c r="H256" s="44">
        <f t="shared" ca="1" si="15"/>
        <v>-10000</v>
      </c>
    </row>
    <row r="257" spans="2:8" x14ac:dyDescent="0.3">
      <c r="B257" s="40">
        <f t="shared" ca="1" si="17"/>
        <v>45513</v>
      </c>
      <c r="C257" s="42">
        <f t="shared" ca="1" si="14"/>
        <v>-10000</v>
      </c>
      <c r="D257" s="41"/>
      <c r="E257" s="42">
        <f t="shared" ca="1" si="16"/>
        <v>-10000</v>
      </c>
      <c r="F257" s="43"/>
      <c r="G257" s="43"/>
      <c r="H257" s="44">
        <f t="shared" ca="1" si="15"/>
        <v>-10000</v>
      </c>
    </row>
    <row r="258" spans="2:8" x14ac:dyDescent="0.3">
      <c r="B258" s="40">
        <f t="shared" ca="1" si="17"/>
        <v>45514</v>
      </c>
      <c r="C258" s="42">
        <f t="shared" ca="1" si="14"/>
        <v>-10000</v>
      </c>
      <c r="D258" s="41"/>
      <c r="E258" s="42">
        <f t="shared" ca="1" si="16"/>
        <v>-10000</v>
      </c>
      <c r="F258" s="43"/>
      <c r="G258" s="43"/>
      <c r="H258" s="44">
        <f t="shared" ca="1" si="15"/>
        <v>-10000</v>
      </c>
    </row>
    <row r="259" spans="2:8" x14ac:dyDescent="0.3">
      <c r="B259" s="40">
        <f t="shared" ca="1" si="17"/>
        <v>45515</v>
      </c>
      <c r="C259" s="42">
        <f t="shared" ca="1" si="14"/>
        <v>-10000</v>
      </c>
      <c r="D259" s="41"/>
      <c r="E259" s="42">
        <f t="shared" ca="1" si="16"/>
        <v>-10000</v>
      </c>
      <c r="F259" s="43"/>
      <c r="G259" s="43"/>
      <c r="H259" s="44">
        <f t="shared" ca="1" si="15"/>
        <v>-10000</v>
      </c>
    </row>
    <row r="260" spans="2:8" x14ac:dyDescent="0.3">
      <c r="B260" s="40">
        <f t="shared" ca="1" si="17"/>
        <v>45516</v>
      </c>
      <c r="C260" s="42">
        <f t="shared" ca="1" si="14"/>
        <v>-10000</v>
      </c>
      <c r="D260" s="41"/>
      <c r="E260" s="42">
        <f t="shared" ca="1" si="16"/>
        <v>-10000</v>
      </c>
      <c r="F260" s="43"/>
      <c r="G260" s="43"/>
      <c r="H260" s="44">
        <f t="shared" ca="1" si="15"/>
        <v>-10000</v>
      </c>
    </row>
    <row r="261" spans="2:8" x14ac:dyDescent="0.3">
      <c r="B261" s="40">
        <f t="shared" ca="1" si="17"/>
        <v>45517</v>
      </c>
      <c r="C261" s="42">
        <f t="shared" ca="1" si="14"/>
        <v>-10000</v>
      </c>
      <c r="D261" s="41"/>
      <c r="E261" s="42">
        <f t="shared" ca="1" si="16"/>
        <v>-10000</v>
      </c>
      <c r="F261" s="43"/>
      <c r="G261" s="43"/>
      <c r="H261" s="44">
        <f t="shared" ca="1" si="15"/>
        <v>-10000</v>
      </c>
    </row>
    <row r="262" spans="2:8" x14ac:dyDescent="0.3">
      <c r="B262" s="40">
        <f t="shared" ca="1" si="17"/>
        <v>45518</v>
      </c>
      <c r="C262" s="42">
        <f t="shared" ref="C262:C325" ca="1" si="18">IF(B262=0,0,C261-F261)</f>
        <v>-10000</v>
      </c>
      <c r="D262" s="41"/>
      <c r="E262" s="42">
        <f t="shared" ca="1" si="16"/>
        <v>-10000</v>
      </c>
      <c r="F262" s="43"/>
      <c r="G262" s="43"/>
      <c r="H262" s="44">
        <f t="shared" ref="H262:H325" ca="1" si="19">IF(B262=0,0,E262-F262+G262)</f>
        <v>-10000</v>
      </c>
    </row>
    <row r="263" spans="2:8" x14ac:dyDescent="0.3">
      <c r="B263" s="40">
        <f t="shared" ca="1" si="17"/>
        <v>45519</v>
      </c>
      <c r="C263" s="42">
        <f t="shared" ca="1" si="18"/>
        <v>-10000</v>
      </c>
      <c r="D263" s="41"/>
      <c r="E263" s="42">
        <f t="shared" ca="1" si="16"/>
        <v>-10000</v>
      </c>
      <c r="F263" s="43"/>
      <c r="G263" s="43"/>
      <c r="H263" s="44">
        <f t="shared" ca="1" si="19"/>
        <v>-10000</v>
      </c>
    </row>
    <row r="264" spans="2:8" x14ac:dyDescent="0.3">
      <c r="B264" s="40">
        <f t="shared" ca="1" si="17"/>
        <v>45520</v>
      </c>
      <c r="C264" s="42">
        <f t="shared" ca="1" si="18"/>
        <v>-10000</v>
      </c>
      <c r="D264" s="41"/>
      <c r="E264" s="42">
        <f t="shared" ca="1" si="16"/>
        <v>-10000</v>
      </c>
      <c r="F264" s="43"/>
      <c r="G264" s="43"/>
      <c r="H264" s="44">
        <f t="shared" ca="1" si="19"/>
        <v>-10000</v>
      </c>
    </row>
    <row r="265" spans="2:8" x14ac:dyDescent="0.3">
      <c r="B265" s="40">
        <f t="shared" ca="1" si="17"/>
        <v>45521</v>
      </c>
      <c r="C265" s="42">
        <f t="shared" ca="1" si="18"/>
        <v>-10000</v>
      </c>
      <c r="D265" s="41"/>
      <c r="E265" s="42">
        <f t="shared" ca="1" si="16"/>
        <v>-10000</v>
      </c>
      <c r="F265" s="43"/>
      <c r="G265" s="43"/>
      <c r="H265" s="44">
        <f t="shared" ca="1" si="19"/>
        <v>-10000</v>
      </c>
    </row>
    <row r="266" spans="2:8" x14ac:dyDescent="0.3">
      <c r="B266" s="40">
        <f t="shared" ca="1" si="17"/>
        <v>45522</v>
      </c>
      <c r="C266" s="42">
        <f t="shared" ca="1" si="18"/>
        <v>-10000</v>
      </c>
      <c r="D266" s="41"/>
      <c r="E266" s="42">
        <f t="shared" ca="1" si="16"/>
        <v>-10000</v>
      </c>
      <c r="F266" s="43"/>
      <c r="G266" s="43"/>
      <c r="H266" s="44">
        <f t="shared" ca="1" si="19"/>
        <v>-10000</v>
      </c>
    </row>
    <row r="267" spans="2:8" x14ac:dyDescent="0.3">
      <c r="B267" s="40">
        <f t="shared" ca="1" si="17"/>
        <v>45523</v>
      </c>
      <c r="C267" s="42">
        <f t="shared" ca="1" si="18"/>
        <v>-10000</v>
      </c>
      <c r="D267" s="41"/>
      <c r="E267" s="42">
        <f t="shared" ca="1" si="16"/>
        <v>-10000</v>
      </c>
      <c r="F267" s="43"/>
      <c r="G267" s="43"/>
      <c r="H267" s="44">
        <f t="shared" ca="1" si="19"/>
        <v>-10000</v>
      </c>
    </row>
    <row r="268" spans="2:8" x14ac:dyDescent="0.3">
      <c r="B268" s="40">
        <f t="shared" ca="1" si="17"/>
        <v>45524</v>
      </c>
      <c r="C268" s="42">
        <f t="shared" ca="1" si="18"/>
        <v>-10000</v>
      </c>
      <c r="D268" s="41"/>
      <c r="E268" s="42">
        <f t="shared" ca="1" si="16"/>
        <v>-10000</v>
      </c>
      <c r="F268" s="43"/>
      <c r="G268" s="43"/>
      <c r="H268" s="44">
        <f t="shared" ca="1" si="19"/>
        <v>-10000</v>
      </c>
    </row>
    <row r="269" spans="2:8" x14ac:dyDescent="0.3">
      <c r="B269" s="40">
        <f t="shared" ca="1" si="17"/>
        <v>45525</v>
      </c>
      <c r="C269" s="42">
        <f t="shared" ca="1" si="18"/>
        <v>-10000</v>
      </c>
      <c r="D269" s="41"/>
      <c r="E269" s="42">
        <f t="shared" ca="1" si="16"/>
        <v>-10000</v>
      </c>
      <c r="F269" s="43"/>
      <c r="G269" s="43"/>
      <c r="H269" s="44">
        <f t="shared" ca="1" si="19"/>
        <v>-10000</v>
      </c>
    </row>
    <row r="270" spans="2:8" x14ac:dyDescent="0.3">
      <c r="B270" s="40">
        <f t="shared" ca="1" si="17"/>
        <v>45526</v>
      </c>
      <c r="C270" s="42">
        <f t="shared" ca="1" si="18"/>
        <v>-10000</v>
      </c>
      <c r="D270" s="41"/>
      <c r="E270" s="42">
        <f t="shared" ca="1" si="16"/>
        <v>-10000</v>
      </c>
      <c r="F270" s="43"/>
      <c r="G270" s="43"/>
      <c r="H270" s="44">
        <f t="shared" ca="1" si="19"/>
        <v>-10000</v>
      </c>
    </row>
    <row r="271" spans="2:8" x14ac:dyDescent="0.3">
      <c r="B271" s="40">
        <f t="shared" ca="1" si="17"/>
        <v>45527</v>
      </c>
      <c r="C271" s="42">
        <f t="shared" ca="1" si="18"/>
        <v>-10000</v>
      </c>
      <c r="D271" s="41"/>
      <c r="E271" s="42">
        <f t="shared" ca="1" si="16"/>
        <v>-10000</v>
      </c>
      <c r="F271" s="43"/>
      <c r="G271" s="43"/>
      <c r="H271" s="44">
        <f t="shared" ca="1" si="19"/>
        <v>-10000</v>
      </c>
    </row>
    <row r="272" spans="2:8" x14ac:dyDescent="0.3">
      <c r="B272" s="40">
        <f t="shared" ca="1" si="17"/>
        <v>45528</v>
      </c>
      <c r="C272" s="42">
        <f t="shared" ca="1" si="18"/>
        <v>-10000</v>
      </c>
      <c r="D272" s="41"/>
      <c r="E272" s="42">
        <f t="shared" ca="1" si="16"/>
        <v>-10000</v>
      </c>
      <c r="F272" s="43"/>
      <c r="G272" s="43"/>
      <c r="H272" s="44">
        <f t="shared" ca="1" si="19"/>
        <v>-10000</v>
      </c>
    </row>
    <row r="273" spans="2:8" x14ac:dyDescent="0.3">
      <c r="B273" s="40">
        <f t="shared" ca="1" si="17"/>
        <v>45529</v>
      </c>
      <c r="C273" s="42">
        <f t="shared" ca="1" si="18"/>
        <v>-10000</v>
      </c>
      <c r="D273" s="41"/>
      <c r="E273" s="42">
        <f t="shared" ca="1" si="16"/>
        <v>-10000</v>
      </c>
      <c r="F273" s="43"/>
      <c r="G273" s="43"/>
      <c r="H273" s="44">
        <f t="shared" ca="1" si="19"/>
        <v>-10000</v>
      </c>
    </row>
    <row r="274" spans="2:8" x14ac:dyDescent="0.3">
      <c r="B274" s="40">
        <f t="shared" ca="1" si="17"/>
        <v>45530</v>
      </c>
      <c r="C274" s="42">
        <f t="shared" ca="1" si="18"/>
        <v>-10000</v>
      </c>
      <c r="D274" s="41"/>
      <c r="E274" s="42">
        <f t="shared" ca="1" si="16"/>
        <v>-10000</v>
      </c>
      <c r="F274" s="43"/>
      <c r="G274" s="43"/>
      <c r="H274" s="44">
        <f t="shared" ca="1" si="19"/>
        <v>-10000</v>
      </c>
    </row>
    <row r="275" spans="2:8" x14ac:dyDescent="0.3">
      <c r="B275" s="40">
        <f t="shared" ca="1" si="17"/>
        <v>45531</v>
      </c>
      <c r="C275" s="42">
        <f t="shared" ca="1" si="18"/>
        <v>-10000</v>
      </c>
      <c r="D275" s="41"/>
      <c r="E275" s="42">
        <f t="shared" ca="1" si="16"/>
        <v>-10000</v>
      </c>
      <c r="F275" s="43"/>
      <c r="G275" s="43"/>
      <c r="H275" s="44">
        <f t="shared" ca="1" si="19"/>
        <v>-10000</v>
      </c>
    </row>
    <row r="276" spans="2:8" x14ac:dyDescent="0.3">
      <c r="B276" s="40">
        <f t="shared" ca="1" si="17"/>
        <v>45532</v>
      </c>
      <c r="C276" s="42">
        <f t="shared" ca="1" si="18"/>
        <v>-10000</v>
      </c>
      <c r="D276" s="41"/>
      <c r="E276" s="42">
        <f t="shared" ca="1" si="16"/>
        <v>-10000</v>
      </c>
      <c r="F276" s="43"/>
      <c r="G276" s="43"/>
      <c r="H276" s="44">
        <f t="shared" ca="1" si="19"/>
        <v>-10000</v>
      </c>
    </row>
    <row r="277" spans="2:8" x14ac:dyDescent="0.3">
      <c r="B277" s="40">
        <f t="shared" ca="1" si="17"/>
        <v>45533</v>
      </c>
      <c r="C277" s="42">
        <f t="shared" ca="1" si="18"/>
        <v>-10000</v>
      </c>
      <c r="D277" s="41"/>
      <c r="E277" s="42">
        <f t="shared" ca="1" si="16"/>
        <v>-10000</v>
      </c>
      <c r="F277" s="43"/>
      <c r="G277" s="43"/>
      <c r="H277" s="44">
        <f t="shared" ca="1" si="19"/>
        <v>-10000</v>
      </c>
    </row>
    <row r="278" spans="2:8" x14ac:dyDescent="0.3">
      <c r="B278" s="40">
        <f t="shared" ca="1" si="17"/>
        <v>45534</v>
      </c>
      <c r="C278" s="42">
        <f t="shared" ca="1" si="18"/>
        <v>-10000</v>
      </c>
      <c r="D278" s="41"/>
      <c r="E278" s="42">
        <f t="shared" ca="1" si="16"/>
        <v>-10000</v>
      </c>
      <c r="F278" s="43"/>
      <c r="G278" s="43"/>
      <c r="H278" s="44">
        <f t="shared" ca="1" si="19"/>
        <v>-10000</v>
      </c>
    </row>
    <row r="279" spans="2:8" x14ac:dyDescent="0.3">
      <c r="B279" s="40">
        <f t="shared" ca="1" si="17"/>
        <v>45535</v>
      </c>
      <c r="C279" s="42">
        <f t="shared" ca="1" si="18"/>
        <v>-10000</v>
      </c>
      <c r="D279" s="41"/>
      <c r="E279" s="42">
        <f t="shared" ca="1" si="16"/>
        <v>-10000</v>
      </c>
      <c r="F279" s="43"/>
      <c r="G279" s="43"/>
      <c r="H279" s="44">
        <f t="shared" ca="1" si="19"/>
        <v>-10000</v>
      </c>
    </row>
    <row r="280" spans="2:8" x14ac:dyDescent="0.3">
      <c r="B280" s="40">
        <f t="shared" ca="1" si="17"/>
        <v>45536</v>
      </c>
      <c r="C280" s="42">
        <f t="shared" ca="1" si="18"/>
        <v>-10000</v>
      </c>
      <c r="D280" s="41"/>
      <c r="E280" s="42">
        <f t="shared" ca="1" si="16"/>
        <v>-10000</v>
      </c>
      <c r="F280" s="43"/>
      <c r="G280" s="43"/>
      <c r="H280" s="44">
        <f t="shared" ca="1" si="19"/>
        <v>-10000</v>
      </c>
    </row>
    <row r="281" spans="2:8" x14ac:dyDescent="0.3">
      <c r="B281" s="40">
        <f t="shared" ca="1" si="17"/>
        <v>45537</v>
      </c>
      <c r="C281" s="42">
        <f t="shared" ca="1" si="18"/>
        <v>-10000</v>
      </c>
      <c r="D281" s="41"/>
      <c r="E281" s="42">
        <f t="shared" ca="1" si="16"/>
        <v>-10000</v>
      </c>
      <c r="F281" s="43"/>
      <c r="G281" s="43"/>
      <c r="H281" s="44">
        <f t="shared" ca="1" si="19"/>
        <v>-10000</v>
      </c>
    </row>
    <row r="282" spans="2:8" x14ac:dyDescent="0.3">
      <c r="B282" s="40">
        <f t="shared" ca="1" si="17"/>
        <v>45538</v>
      </c>
      <c r="C282" s="42">
        <f t="shared" ca="1" si="18"/>
        <v>-10000</v>
      </c>
      <c r="D282" s="41"/>
      <c r="E282" s="42">
        <f t="shared" ca="1" si="16"/>
        <v>-10000</v>
      </c>
      <c r="F282" s="43"/>
      <c r="G282" s="43"/>
      <c r="H282" s="44">
        <f t="shared" ca="1" si="19"/>
        <v>-10000</v>
      </c>
    </row>
    <row r="283" spans="2:8" x14ac:dyDescent="0.3">
      <c r="B283" s="40">
        <f t="shared" ca="1" si="17"/>
        <v>45539</v>
      </c>
      <c r="C283" s="42">
        <f t="shared" ca="1" si="18"/>
        <v>-10000</v>
      </c>
      <c r="D283" s="41"/>
      <c r="E283" s="42">
        <f t="shared" ca="1" si="16"/>
        <v>-10000</v>
      </c>
      <c r="F283" s="43"/>
      <c r="G283" s="43"/>
      <c r="H283" s="44">
        <f t="shared" ca="1" si="19"/>
        <v>-10000</v>
      </c>
    </row>
    <row r="284" spans="2:8" x14ac:dyDescent="0.3">
      <c r="B284" s="40">
        <f t="shared" ca="1" si="17"/>
        <v>45540</v>
      </c>
      <c r="C284" s="42">
        <f t="shared" ca="1" si="18"/>
        <v>-10000</v>
      </c>
      <c r="D284" s="41"/>
      <c r="E284" s="42">
        <f t="shared" ca="1" si="16"/>
        <v>-10000</v>
      </c>
      <c r="F284" s="43"/>
      <c r="G284" s="43"/>
      <c r="H284" s="44">
        <f t="shared" ca="1" si="19"/>
        <v>-10000</v>
      </c>
    </row>
    <row r="285" spans="2:8" x14ac:dyDescent="0.3">
      <c r="B285" s="40">
        <f t="shared" ca="1" si="17"/>
        <v>45541</v>
      </c>
      <c r="C285" s="42">
        <f t="shared" ca="1" si="18"/>
        <v>-10000</v>
      </c>
      <c r="D285" s="41"/>
      <c r="E285" s="42">
        <f t="shared" ref="E285:E348" ca="1" si="20">IF(B285=0,0,H284)</f>
        <v>-10000</v>
      </c>
      <c r="F285" s="43"/>
      <c r="G285" s="43"/>
      <c r="H285" s="44">
        <f t="shared" ca="1" si="19"/>
        <v>-10000</v>
      </c>
    </row>
    <row r="286" spans="2:8" x14ac:dyDescent="0.3">
      <c r="B286" s="40">
        <f t="shared" ref="B286:B349" ca="1" si="21">IF(OR(B285+1&gt;TODAY(),B285=0),0,B285+1)</f>
        <v>45542</v>
      </c>
      <c r="C286" s="42">
        <f t="shared" ca="1" si="18"/>
        <v>-10000</v>
      </c>
      <c r="D286" s="41"/>
      <c r="E286" s="42">
        <f t="shared" ca="1" si="20"/>
        <v>-10000</v>
      </c>
      <c r="F286" s="43"/>
      <c r="G286" s="43"/>
      <c r="H286" s="44">
        <f t="shared" ca="1" si="19"/>
        <v>-10000</v>
      </c>
    </row>
    <row r="287" spans="2:8" x14ac:dyDescent="0.3">
      <c r="B287" s="40">
        <f t="shared" ca="1" si="21"/>
        <v>45543</v>
      </c>
      <c r="C287" s="42">
        <f t="shared" ca="1" si="18"/>
        <v>-10000</v>
      </c>
      <c r="D287" s="41"/>
      <c r="E287" s="42">
        <f t="shared" ca="1" si="20"/>
        <v>-10000</v>
      </c>
      <c r="F287" s="43"/>
      <c r="G287" s="43"/>
      <c r="H287" s="44">
        <f t="shared" ca="1" si="19"/>
        <v>-10000</v>
      </c>
    </row>
    <row r="288" spans="2:8" x14ac:dyDescent="0.3">
      <c r="B288" s="40">
        <f t="shared" ca="1" si="21"/>
        <v>45544</v>
      </c>
      <c r="C288" s="42">
        <f t="shared" ca="1" si="18"/>
        <v>-10000</v>
      </c>
      <c r="D288" s="41"/>
      <c r="E288" s="42">
        <f t="shared" ca="1" si="20"/>
        <v>-10000</v>
      </c>
      <c r="F288" s="43"/>
      <c r="G288" s="43"/>
      <c r="H288" s="44">
        <f t="shared" ca="1" si="19"/>
        <v>-10000</v>
      </c>
    </row>
    <row r="289" spans="2:8" x14ac:dyDescent="0.3">
      <c r="B289" s="40">
        <f t="shared" ca="1" si="21"/>
        <v>45545</v>
      </c>
      <c r="C289" s="42">
        <f t="shared" ca="1" si="18"/>
        <v>-10000</v>
      </c>
      <c r="D289" s="41"/>
      <c r="E289" s="42">
        <f t="shared" ca="1" si="20"/>
        <v>-10000</v>
      </c>
      <c r="F289" s="43"/>
      <c r="G289" s="43"/>
      <c r="H289" s="44">
        <f t="shared" ca="1" si="19"/>
        <v>-10000</v>
      </c>
    </row>
    <row r="290" spans="2:8" x14ac:dyDescent="0.3">
      <c r="B290" s="40">
        <f t="shared" ca="1" si="21"/>
        <v>45546</v>
      </c>
      <c r="C290" s="42">
        <f t="shared" ca="1" si="18"/>
        <v>-10000</v>
      </c>
      <c r="D290" s="41"/>
      <c r="E290" s="42">
        <f t="shared" ca="1" si="20"/>
        <v>-10000</v>
      </c>
      <c r="F290" s="43"/>
      <c r="G290" s="43"/>
      <c r="H290" s="44">
        <f t="shared" ca="1" si="19"/>
        <v>-10000</v>
      </c>
    </row>
    <row r="291" spans="2:8" x14ac:dyDescent="0.3">
      <c r="B291" s="40">
        <f t="shared" ca="1" si="21"/>
        <v>45547</v>
      </c>
      <c r="C291" s="42">
        <f t="shared" ca="1" si="18"/>
        <v>-10000</v>
      </c>
      <c r="D291" s="41"/>
      <c r="E291" s="42">
        <f t="shared" ca="1" si="20"/>
        <v>-10000</v>
      </c>
      <c r="F291" s="43"/>
      <c r="G291" s="43"/>
      <c r="H291" s="44">
        <f t="shared" ca="1" si="19"/>
        <v>-10000</v>
      </c>
    </row>
    <row r="292" spans="2:8" x14ac:dyDescent="0.3">
      <c r="B292" s="40">
        <f t="shared" ca="1" si="21"/>
        <v>45548</v>
      </c>
      <c r="C292" s="42">
        <f t="shared" ca="1" si="18"/>
        <v>-10000</v>
      </c>
      <c r="D292" s="41"/>
      <c r="E292" s="42">
        <f t="shared" ca="1" si="20"/>
        <v>-10000</v>
      </c>
      <c r="F292" s="43"/>
      <c r="G292" s="43"/>
      <c r="H292" s="44">
        <f t="shared" ca="1" si="19"/>
        <v>-10000</v>
      </c>
    </row>
    <row r="293" spans="2:8" x14ac:dyDescent="0.3">
      <c r="B293" s="40">
        <f t="shared" ca="1" si="21"/>
        <v>45549</v>
      </c>
      <c r="C293" s="42">
        <f t="shared" ca="1" si="18"/>
        <v>-10000</v>
      </c>
      <c r="D293" s="41"/>
      <c r="E293" s="42">
        <f t="shared" ca="1" si="20"/>
        <v>-10000</v>
      </c>
      <c r="F293" s="43"/>
      <c r="G293" s="43"/>
      <c r="H293" s="44">
        <f t="shared" ca="1" si="19"/>
        <v>-10000</v>
      </c>
    </row>
    <row r="294" spans="2:8" x14ac:dyDescent="0.3">
      <c r="B294" s="40">
        <f t="shared" ca="1" si="21"/>
        <v>45550</v>
      </c>
      <c r="C294" s="42">
        <f t="shared" ca="1" si="18"/>
        <v>-10000</v>
      </c>
      <c r="D294" s="41"/>
      <c r="E294" s="42">
        <f t="shared" ca="1" si="20"/>
        <v>-10000</v>
      </c>
      <c r="F294" s="43"/>
      <c r="G294" s="43"/>
      <c r="H294" s="44">
        <f t="shared" ca="1" si="19"/>
        <v>-10000</v>
      </c>
    </row>
    <row r="295" spans="2:8" x14ac:dyDescent="0.3">
      <c r="B295" s="40">
        <f t="shared" ca="1" si="21"/>
        <v>45551</v>
      </c>
      <c r="C295" s="42">
        <f t="shared" ca="1" si="18"/>
        <v>-10000</v>
      </c>
      <c r="D295" s="41"/>
      <c r="E295" s="42">
        <f t="shared" ca="1" si="20"/>
        <v>-10000</v>
      </c>
      <c r="F295" s="43"/>
      <c r="G295" s="43"/>
      <c r="H295" s="44">
        <f t="shared" ca="1" si="19"/>
        <v>-10000</v>
      </c>
    </row>
    <row r="296" spans="2:8" x14ac:dyDescent="0.3">
      <c r="B296" s="40">
        <f t="shared" ca="1" si="21"/>
        <v>45552</v>
      </c>
      <c r="C296" s="42">
        <f t="shared" ca="1" si="18"/>
        <v>-10000</v>
      </c>
      <c r="D296" s="41"/>
      <c r="E296" s="42">
        <f t="shared" ca="1" si="20"/>
        <v>-10000</v>
      </c>
      <c r="F296" s="43"/>
      <c r="G296" s="43"/>
      <c r="H296" s="44">
        <f t="shared" ca="1" si="19"/>
        <v>-10000</v>
      </c>
    </row>
    <row r="297" spans="2:8" x14ac:dyDescent="0.3">
      <c r="B297" s="40">
        <f t="shared" ca="1" si="21"/>
        <v>45553</v>
      </c>
      <c r="C297" s="42">
        <f t="shared" ca="1" si="18"/>
        <v>-10000</v>
      </c>
      <c r="D297" s="41"/>
      <c r="E297" s="42">
        <f t="shared" ca="1" si="20"/>
        <v>-10000</v>
      </c>
      <c r="F297" s="43"/>
      <c r="G297" s="43"/>
      <c r="H297" s="44">
        <f t="shared" ca="1" si="19"/>
        <v>-10000</v>
      </c>
    </row>
    <row r="298" spans="2:8" x14ac:dyDescent="0.3">
      <c r="B298" s="40">
        <f t="shared" ca="1" si="21"/>
        <v>45554</v>
      </c>
      <c r="C298" s="42">
        <f t="shared" ca="1" si="18"/>
        <v>-10000</v>
      </c>
      <c r="D298" s="41"/>
      <c r="E298" s="42">
        <f t="shared" ca="1" si="20"/>
        <v>-10000</v>
      </c>
      <c r="F298" s="43"/>
      <c r="G298" s="43"/>
      <c r="H298" s="44">
        <f t="shared" ca="1" si="19"/>
        <v>-10000</v>
      </c>
    </row>
    <row r="299" spans="2:8" x14ac:dyDescent="0.3">
      <c r="B299" s="40">
        <f t="shared" ca="1" si="21"/>
        <v>45555</v>
      </c>
      <c r="C299" s="42">
        <f t="shared" ca="1" si="18"/>
        <v>-10000</v>
      </c>
      <c r="D299" s="41"/>
      <c r="E299" s="42">
        <f t="shared" ca="1" si="20"/>
        <v>-10000</v>
      </c>
      <c r="F299" s="43"/>
      <c r="G299" s="43"/>
      <c r="H299" s="44">
        <f t="shared" ca="1" si="19"/>
        <v>-10000</v>
      </c>
    </row>
    <row r="300" spans="2:8" x14ac:dyDescent="0.3">
      <c r="B300" s="40">
        <f t="shared" ca="1" si="21"/>
        <v>45556</v>
      </c>
      <c r="C300" s="42">
        <f t="shared" ca="1" si="18"/>
        <v>-10000</v>
      </c>
      <c r="D300" s="41"/>
      <c r="E300" s="42">
        <f t="shared" ca="1" si="20"/>
        <v>-10000</v>
      </c>
      <c r="F300" s="43"/>
      <c r="G300" s="43"/>
      <c r="H300" s="44">
        <f t="shared" ca="1" si="19"/>
        <v>-10000</v>
      </c>
    </row>
    <row r="301" spans="2:8" x14ac:dyDescent="0.3">
      <c r="B301" s="40">
        <f t="shared" ca="1" si="21"/>
        <v>45557</v>
      </c>
      <c r="C301" s="42">
        <f t="shared" ca="1" si="18"/>
        <v>-10000</v>
      </c>
      <c r="D301" s="41"/>
      <c r="E301" s="42">
        <f t="shared" ca="1" si="20"/>
        <v>-10000</v>
      </c>
      <c r="F301" s="43"/>
      <c r="G301" s="43"/>
      <c r="H301" s="44">
        <f t="shared" ca="1" si="19"/>
        <v>-10000</v>
      </c>
    </row>
    <row r="302" spans="2:8" x14ac:dyDescent="0.3">
      <c r="B302" s="40">
        <f t="shared" ca="1" si="21"/>
        <v>45558</v>
      </c>
      <c r="C302" s="42">
        <f t="shared" ca="1" si="18"/>
        <v>-10000</v>
      </c>
      <c r="D302" s="41"/>
      <c r="E302" s="42">
        <f t="shared" ca="1" si="20"/>
        <v>-10000</v>
      </c>
      <c r="F302" s="43"/>
      <c r="G302" s="43"/>
      <c r="H302" s="44">
        <f t="shared" ca="1" si="19"/>
        <v>-10000</v>
      </c>
    </row>
    <row r="303" spans="2:8" x14ac:dyDescent="0.3">
      <c r="B303" s="40">
        <f t="shared" ca="1" si="21"/>
        <v>45559</v>
      </c>
      <c r="C303" s="42">
        <f t="shared" ca="1" si="18"/>
        <v>-10000</v>
      </c>
      <c r="D303" s="41"/>
      <c r="E303" s="42">
        <f t="shared" ca="1" si="20"/>
        <v>-10000</v>
      </c>
      <c r="F303" s="43"/>
      <c r="G303" s="43"/>
      <c r="H303" s="44">
        <f t="shared" ca="1" si="19"/>
        <v>-10000</v>
      </c>
    </row>
    <row r="304" spans="2:8" x14ac:dyDescent="0.3">
      <c r="B304" s="40">
        <f t="shared" ca="1" si="21"/>
        <v>45560</v>
      </c>
      <c r="C304" s="42">
        <f t="shared" ca="1" si="18"/>
        <v>-10000</v>
      </c>
      <c r="D304" s="41"/>
      <c r="E304" s="42">
        <f t="shared" ca="1" si="20"/>
        <v>-10000</v>
      </c>
      <c r="F304" s="43"/>
      <c r="G304" s="43"/>
      <c r="H304" s="44">
        <f t="shared" ca="1" si="19"/>
        <v>-10000</v>
      </c>
    </row>
    <row r="305" spans="2:8" x14ac:dyDescent="0.3">
      <c r="B305" s="40">
        <f t="shared" ca="1" si="21"/>
        <v>45561</v>
      </c>
      <c r="C305" s="42">
        <f t="shared" ca="1" si="18"/>
        <v>-10000</v>
      </c>
      <c r="D305" s="41"/>
      <c r="E305" s="42">
        <f t="shared" ca="1" si="20"/>
        <v>-10000</v>
      </c>
      <c r="F305" s="43"/>
      <c r="G305" s="43"/>
      <c r="H305" s="44">
        <f t="shared" ca="1" si="19"/>
        <v>-10000</v>
      </c>
    </row>
    <row r="306" spans="2:8" x14ac:dyDescent="0.3">
      <c r="B306" s="40">
        <f t="shared" ca="1" si="21"/>
        <v>45562</v>
      </c>
      <c r="C306" s="42">
        <f t="shared" ca="1" si="18"/>
        <v>-10000</v>
      </c>
      <c r="D306" s="41"/>
      <c r="E306" s="42">
        <f t="shared" ca="1" si="20"/>
        <v>-10000</v>
      </c>
      <c r="F306" s="43"/>
      <c r="G306" s="43"/>
      <c r="H306" s="44">
        <f t="shared" ca="1" si="19"/>
        <v>-10000</v>
      </c>
    </row>
    <row r="307" spans="2:8" x14ac:dyDescent="0.3">
      <c r="B307" s="40">
        <f t="shared" ca="1" si="21"/>
        <v>45563</v>
      </c>
      <c r="C307" s="42">
        <f t="shared" ca="1" si="18"/>
        <v>-10000</v>
      </c>
      <c r="D307" s="41"/>
      <c r="E307" s="42">
        <f t="shared" ca="1" si="20"/>
        <v>-10000</v>
      </c>
      <c r="F307" s="43"/>
      <c r="G307" s="43"/>
      <c r="H307" s="44">
        <f t="shared" ca="1" si="19"/>
        <v>-10000</v>
      </c>
    </row>
    <row r="308" spans="2:8" x14ac:dyDescent="0.3">
      <c r="B308" s="40">
        <f t="shared" ca="1" si="21"/>
        <v>45564</v>
      </c>
      <c r="C308" s="42">
        <f t="shared" ca="1" si="18"/>
        <v>-10000</v>
      </c>
      <c r="D308" s="41"/>
      <c r="E308" s="42">
        <f t="shared" ca="1" si="20"/>
        <v>-10000</v>
      </c>
      <c r="F308" s="43"/>
      <c r="G308" s="43"/>
      <c r="H308" s="44">
        <f t="shared" ca="1" si="19"/>
        <v>-10000</v>
      </c>
    </row>
    <row r="309" spans="2:8" x14ac:dyDescent="0.3">
      <c r="B309" s="40">
        <f t="shared" ca="1" si="21"/>
        <v>45565</v>
      </c>
      <c r="C309" s="42">
        <f t="shared" ca="1" si="18"/>
        <v>-10000</v>
      </c>
      <c r="D309" s="41"/>
      <c r="E309" s="42">
        <f t="shared" ca="1" si="20"/>
        <v>-10000</v>
      </c>
      <c r="F309" s="43"/>
      <c r="G309" s="43"/>
      <c r="H309" s="44">
        <f t="shared" ca="1" si="19"/>
        <v>-10000</v>
      </c>
    </row>
    <row r="310" spans="2:8" x14ac:dyDescent="0.3">
      <c r="B310" s="40">
        <f t="shared" ca="1" si="21"/>
        <v>45566</v>
      </c>
      <c r="C310" s="42">
        <f t="shared" ca="1" si="18"/>
        <v>-10000</v>
      </c>
      <c r="D310" s="41"/>
      <c r="E310" s="42">
        <f t="shared" ca="1" si="20"/>
        <v>-10000</v>
      </c>
      <c r="F310" s="43"/>
      <c r="G310" s="43"/>
      <c r="H310" s="44">
        <f t="shared" ca="1" si="19"/>
        <v>-10000</v>
      </c>
    </row>
    <row r="311" spans="2:8" x14ac:dyDescent="0.3">
      <c r="B311" s="40">
        <f t="shared" ca="1" si="21"/>
        <v>45567</v>
      </c>
      <c r="C311" s="42">
        <f t="shared" ca="1" si="18"/>
        <v>-10000</v>
      </c>
      <c r="D311" s="41"/>
      <c r="E311" s="42">
        <f t="shared" ca="1" si="20"/>
        <v>-10000</v>
      </c>
      <c r="F311" s="43"/>
      <c r="G311" s="43"/>
      <c r="H311" s="44">
        <f t="shared" ca="1" si="19"/>
        <v>-10000</v>
      </c>
    </row>
    <row r="312" spans="2:8" x14ac:dyDescent="0.3">
      <c r="B312" s="40">
        <f t="shared" ca="1" si="21"/>
        <v>45568</v>
      </c>
      <c r="C312" s="42">
        <f t="shared" ca="1" si="18"/>
        <v>-10000</v>
      </c>
      <c r="D312" s="41"/>
      <c r="E312" s="42">
        <f t="shared" ca="1" si="20"/>
        <v>-10000</v>
      </c>
      <c r="F312" s="43"/>
      <c r="G312" s="43"/>
      <c r="H312" s="44">
        <f t="shared" ca="1" si="19"/>
        <v>-10000</v>
      </c>
    </row>
    <row r="313" spans="2:8" x14ac:dyDescent="0.3">
      <c r="B313" s="40">
        <f t="shared" ca="1" si="21"/>
        <v>45569</v>
      </c>
      <c r="C313" s="42">
        <f t="shared" ca="1" si="18"/>
        <v>-10000</v>
      </c>
      <c r="D313" s="41"/>
      <c r="E313" s="42">
        <f t="shared" ca="1" si="20"/>
        <v>-10000</v>
      </c>
      <c r="F313" s="43"/>
      <c r="G313" s="43"/>
      <c r="H313" s="44">
        <f t="shared" ca="1" si="19"/>
        <v>-10000</v>
      </c>
    </row>
    <row r="314" spans="2:8" x14ac:dyDescent="0.3">
      <c r="B314" s="40">
        <f t="shared" ca="1" si="21"/>
        <v>45570</v>
      </c>
      <c r="C314" s="42">
        <f t="shared" ca="1" si="18"/>
        <v>-10000</v>
      </c>
      <c r="D314" s="41"/>
      <c r="E314" s="42">
        <f t="shared" ca="1" si="20"/>
        <v>-10000</v>
      </c>
      <c r="F314" s="43"/>
      <c r="G314" s="43"/>
      <c r="H314" s="44">
        <f t="shared" ca="1" si="19"/>
        <v>-10000</v>
      </c>
    </row>
    <row r="315" spans="2:8" x14ac:dyDescent="0.3">
      <c r="B315" s="40">
        <f t="shared" ca="1" si="21"/>
        <v>45571</v>
      </c>
      <c r="C315" s="42">
        <f t="shared" ca="1" si="18"/>
        <v>-10000</v>
      </c>
      <c r="D315" s="41"/>
      <c r="E315" s="42">
        <f t="shared" ca="1" si="20"/>
        <v>-10000</v>
      </c>
      <c r="F315" s="43"/>
      <c r="G315" s="43"/>
      <c r="H315" s="44">
        <f t="shared" ca="1" si="19"/>
        <v>-10000</v>
      </c>
    </row>
    <row r="316" spans="2:8" x14ac:dyDescent="0.3">
      <c r="B316" s="40">
        <f t="shared" ca="1" si="21"/>
        <v>45572</v>
      </c>
      <c r="C316" s="42">
        <f t="shared" ca="1" si="18"/>
        <v>-10000</v>
      </c>
      <c r="D316" s="41"/>
      <c r="E316" s="42">
        <f t="shared" ca="1" si="20"/>
        <v>-10000</v>
      </c>
      <c r="F316" s="43"/>
      <c r="G316" s="43"/>
      <c r="H316" s="44">
        <f t="shared" ca="1" si="19"/>
        <v>-10000</v>
      </c>
    </row>
    <row r="317" spans="2:8" x14ac:dyDescent="0.3">
      <c r="B317" s="40">
        <f t="shared" ca="1" si="21"/>
        <v>45573</v>
      </c>
      <c r="C317" s="42">
        <f t="shared" ca="1" si="18"/>
        <v>-10000</v>
      </c>
      <c r="D317" s="41"/>
      <c r="E317" s="42">
        <f t="shared" ca="1" si="20"/>
        <v>-10000</v>
      </c>
      <c r="F317" s="43"/>
      <c r="G317" s="43"/>
      <c r="H317" s="44">
        <f t="shared" ca="1" si="19"/>
        <v>-10000</v>
      </c>
    </row>
    <row r="318" spans="2:8" x14ac:dyDescent="0.3">
      <c r="B318" s="40">
        <f t="shared" ca="1" si="21"/>
        <v>45574</v>
      </c>
      <c r="C318" s="42">
        <f t="shared" ca="1" si="18"/>
        <v>-10000</v>
      </c>
      <c r="D318" s="41"/>
      <c r="E318" s="42">
        <f t="shared" ca="1" si="20"/>
        <v>-10000</v>
      </c>
      <c r="F318" s="43"/>
      <c r="G318" s="43"/>
      <c r="H318" s="44">
        <f t="shared" ca="1" si="19"/>
        <v>-10000</v>
      </c>
    </row>
    <row r="319" spans="2:8" x14ac:dyDescent="0.3">
      <c r="B319" s="40">
        <f t="shared" ca="1" si="21"/>
        <v>45575</v>
      </c>
      <c r="C319" s="42">
        <f t="shared" ca="1" si="18"/>
        <v>-10000</v>
      </c>
      <c r="D319" s="41"/>
      <c r="E319" s="42">
        <f t="shared" ca="1" si="20"/>
        <v>-10000</v>
      </c>
      <c r="F319" s="43"/>
      <c r="G319" s="43"/>
      <c r="H319" s="44">
        <f t="shared" ca="1" si="19"/>
        <v>-10000</v>
      </c>
    </row>
    <row r="320" spans="2:8" x14ac:dyDescent="0.3">
      <c r="B320" s="40">
        <f t="shared" ca="1" si="21"/>
        <v>45576</v>
      </c>
      <c r="C320" s="42">
        <f t="shared" ca="1" si="18"/>
        <v>-10000</v>
      </c>
      <c r="D320" s="41"/>
      <c r="E320" s="42">
        <f t="shared" ca="1" si="20"/>
        <v>-10000</v>
      </c>
      <c r="F320" s="43"/>
      <c r="G320" s="43"/>
      <c r="H320" s="44">
        <f t="shared" ca="1" si="19"/>
        <v>-10000</v>
      </c>
    </row>
    <row r="321" spans="2:8" x14ac:dyDescent="0.3">
      <c r="B321" s="40">
        <f t="shared" ca="1" si="21"/>
        <v>45577</v>
      </c>
      <c r="C321" s="42">
        <f t="shared" ca="1" si="18"/>
        <v>-10000</v>
      </c>
      <c r="D321" s="41"/>
      <c r="E321" s="42">
        <f t="shared" ca="1" si="20"/>
        <v>-10000</v>
      </c>
      <c r="F321" s="43"/>
      <c r="G321" s="43"/>
      <c r="H321" s="44">
        <f t="shared" ca="1" si="19"/>
        <v>-10000</v>
      </c>
    </row>
    <row r="322" spans="2:8" x14ac:dyDescent="0.3">
      <c r="B322" s="40">
        <f t="shared" ca="1" si="21"/>
        <v>45578</v>
      </c>
      <c r="C322" s="42">
        <f t="shared" ca="1" si="18"/>
        <v>-10000</v>
      </c>
      <c r="D322" s="41"/>
      <c r="E322" s="42">
        <f t="shared" ca="1" si="20"/>
        <v>-10000</v>
      </c>
      <c r="F322" s="43"/>
      <c r="G322" s="43"/>
      <c r="H322" s="44">
        <f t="shared" ca="1" si="19"/>
        <v>-10000</v>
      </c>
    </row>
    <row r="323" spans="2:8" x14ac:dyDescent="0.3">
      <c r="B323" s="40">
        <f t="shared" ca="1" si="21"/>
        <v>45579</v>
      </c>
      <c r="C323" s="42">
        <f t="shared" ca="1" si="18"/>
        <v>-10000</v>
      </c>
      <c r="D323" s="41"/>
      <c r="E323" s="42">
        <f t="shared" ca="1" si="20"/>
        <v>-10000</v>
      </c>
      <c r="F323" s="43"/>
      <c r="G323" s="43"/>
      <c r="H323" s="44">
        <f t="shared" ca="1" si="19"/>
        <v>-10000</v>
      </c>
    </row>
    <row r="324" spans="2:8" x14ac:dyDescent="0.3">
      <c r="B324" s="40">
        <f t="shared" ca="1" si="21"/>
        <v>45580</v>
      </c>
      <c r="C324" s="42">
        <f t="shared" ca="1" si="18"/>
        <v>-10000</v>
      </c>
      <c r="D324" s="41"/>
      <c r="E324" s="42">
        <f t="shared" ca="1" si="20"/>
        <v>-10000</v>
      </c>
      <c r="F324" s="43"/>
      <c r="G324" s="43"/>
      <c r="H324" s="44">
        <f t="shared" ca="1" si="19"/>
        <v>-10000</v>
      </c>
    </row>
    <row r="325" spans="2:8" x14ac:dyDescent="0.3">
      <c r="B325" s="40">
        <f t="shared" ca="1" si="21"/>
        <v>45581</v>
      </c>
      <c r="C325" s="42">
        <f t="shared" ca="1" si="18"/>
        <v>-10000</v>
      </c>
      <c r="D325" s="41"/>
      <c r="E325" s="42">
        <f t="shared" ca="1" si="20"/>
        <v>-10000</v>
      </c>
      <c r="F325" s="43"/>
      <c r="G325" s="43"/>
      <c r="H325" s="44">
        <f t="shared" ca="1" si="19"/>
        <v>-10000</v>
      </c>
    </row>
    <row r="326" spans="2:8" x14ac:dyDescent="0.3">
      <c r="B326" s="40">
        <f t="shared" ca="1" si="21"/>
        <v>45582</v>
      </c>
      <c r="C326" s="42">
        <f t="shared" ref="C326:C389" ca="1" si="22">IF(B326=0,0,C325-F325)</f>
        <v>-10000</v>
      </c>
      <c r="D326" s="41"/>
      <c r="E326" s="42">
        <f t="shared" ca="1" si="20"/>
        <v>-10000</v>
      </c>
      <c r="F326" s="43"/>
      <c r="G326" s="43"/>
      <c r="H326" s="44">
        <f t="shared" ref="H326:H389" ca="1" si="23">IF(B326=0,0,E326-F326+G326)</f>
        <v>-10000</v>
      </c>
    </row>
    <row r="327" spans="2:8" x14ac:dyDescent="0.3">
      <c r="B327" s="40">
        <f t="shared" ca="1" si="21"/>
        <v>45583</v>
      </c>
      <c r="C327" s="42">
        <f t="shared" ca="1" si="22"/>
        <v>-10000</v>
      </c>
      <c r="D327" s="41"/>
      <c r="E327" s="42">
        <f t="shared" ca="1" si="20"/>
        <v>-10000</v>
      </c>
      <c r="F327" s="43"/>
      <c r="G327" s="43"/>
      <c r="H327" s="44">
        <f t="shared" ca="1" si="23"/>
        <v>-10000</v>
      </c>
    </row>
    <row r="328" spans="2:8" x14ac:dyDescent="0.3">
      <c r="B328" s="40">
        <f t="shared" ca="1" si="21"/>
        <v>45584</v>
      </c>
      <c r="C328" s="42">
        <f t="shared" ca="1" si="22"/>
        <v>-10000</v>
      </c>
      <c r="D328" s="41"/>
      <c r="E328" s="42">
        <f t="shared" ca="1" si="20"/>
        <v>-10000</v>
      </c>
      <c r="F328" s="43"/>
      <c r="G328" s="43"/>
      <c r="H328" s="44">
        <f t="shared" ca="1" si="23"/>
        <v>-10000</v>
      </c>
    </row>
    <row r="329" spans="2:8" x14ac:dyDescent="0.3">
      <c r="B329" s="40">
        <f t="shared" ca="1" si="21"/>
        <v>45585</v>
      </c>
      <c r="C329" s="42">
        <f t="shared" ca="1" si="22"/>
        <v>-10000</v>
      </c>
      <c r="D329" s="41"/>
      <c r="E329" s="42">
        <f t="shared" ca="1" si="20"/>
        <v>-10000</v>
      </c>
      <c r="F329" s="43"/>
      <c r="G329" s="43"/>
      <c r="H329" s="44">
        <f t="shared" ca="1" si="23"/>
        <v>-10000</v>
      </c>
    </row>
    <row r="330" spans="2:8" x14ac:dyDescent="0.3">
      <c r="B330" s="40">
        <f t="shared" ca="1" si="21"/>
        <v>45586</v>
      </c>
      <c r="C330" s="42">
        <f t="shared" ca="1" si="22"/>
        <v>-10000</v>
      </c>
      <c r="D330" s="41"/>
      <c r="E330" s="42">
        <f t="shared" ca="1" si="20"/>
        <v>-10000</v>
      </c>
      <c r="F330" s="43"/>
      <c r="G330" s="43"/>
      <c r="H330" s="44">
        <f t="shared" ca="1" si="23"/>
        <v>-10000</v>
      </c>
    </row>
    <row r="331" spans="2:8" x14ac:dyDescent="0.3">
      <c r="B331" s="40">
        <f t="shared" ca="1" si="21"/>
        <v>45587</v>
      </c>
      <c r="C331" s="42">
        <f t="shared" ca="1" si="22"/>
        <v>-10000</v>
      </c>
      <c r="D331" s="41"/>
      <c r="E331" s="42">
        <f t="shared" ca="1" si="20"/>
        <v>-10000</v>
      </c>
      <c r="F331" s="43"/>
      <c r="G331" s="43"/>
      <c r="H331" s="44">
        <f t="shared" ca="1" si="23"/>
        <v>-10000</v>
      </c>
    </row>
    <row r="332" spans="2:8" x14ac:dyDescent="0.3">
      <c r="B332" s="40">
        <f t="shared" ca="1" si="21"/>
        <v>45588</v>
      </c>
      <c r="C332" s="42">
        <f t="shared" ca="1" si="22"/>
        <v>-10000</v>
      </c>
      <c r="D332" s="41"/>
      <c r="E332" s="42">
        <f t="shared" ca="1" si="20"/>
        <v>-10000</v>
      </c>
      <c r="F332" s="43"/>
      <c r="G332" s="43"/>
      <c r="H332" s="44">
        <f t="shared" ca="1" si="23"/>
        <v>-10000</v>
      </c>
    </row>
    <row r="333" spans="2:8" x14ac:dyDescent="0.3">
      <c r="B333" s="40">
        <f t="shared" ca="1" si="21"/>
        <v>45589</v>
      </c>
      <c r="C333" s="42">
        <f t="shared" ca="1" si="22"/>
        <v>-10000</v>
      </c>
      <c r="D333" s="41"/>
      <c r="E333" s="42">
        <f t="shared" ca="1" si="20"/>
        <v>-10000</v>
      </c>
      <c r="F333" s="43"/>
      <c r="G333" s="43"/>
      <c r="H333" s="44">
        <f t="shared" ca="1" si="23"/>
        <v>-10000</v>
      </c>
    </row>
    <row r="334" spans="2:8" x14ac:dyDescent="0.3">
      <c r="B334" s="40">
        <f t="shared" ca="1" si="21"/>
        <v>45590</v>
      </c>
      <c r="C334" s="42">
        <f t="shared" ca="1" si="22"/>
        <v>-10000</v>
      </c>
      <c r="D334" s="41"/>
      <c r="E334" s="42">
        <f t="shared" ca="1" si="20"/>
        <v>-10000</v>
      </c>
      <c r="F334" s="43"/>
      <c r="G334" s="43"/>
      <c r="H334" s="44">
        <f t="shared" ca="1" si="23"/>
        <v>-10000</v>
      </c>
    </row>
    <row r="335" spans="2:8" x14ac:dyDescent="0.3">
      <c r="B335" s="40">
        <f t="shared" ca="1" si="21"/>
        <v>45591</v>
      </c>
      <c r="C335" s="42">
        <f t="shared" ca="1" si="22"/>
        <v>-10000</v>
      </c>
      <c r="D335" s="41"/>
      <c r="E335" s="42">
        <f t="shared" ca="1" si="20"/>
        <v>-10000</v>
      </c>
      <c r="F335" s="43"/>
      <c r="G335" s="43"/>
      <c r="H335" s="44">
        <f t="shared" ca="1" si="23"/>
        <v>-10000</v>
      </c>
    </row>
    <row r="336" spans="2:8" x14ac:dyDescent="0.3">
      <c r="B336" s="40">
        <f t="shared" ca="1" si="21"/>
        <v>45592</v>
      </c>
      <c r="C336" s="42">
        <f t="shared" ca="1" si="22"/>
        <v>-10000</v>
      </c>
      <c r="D336" s="41"/>
      <c r="E336" s="42">
        <f t="shared" ca="1" si="20"/>
        <v>-10000</v>
      </c>
      <c r="F336" s="43"/>
      <c r="G336" s="43"/>
      <c r="H336" s="44">
        <f t="shared" ca="1" si="23"/>
        <v>-10000</v>
      </c>
    </row>
    <row r="337" spans="2:8" x14ac:dyDescent="0.3">
      <c r="B337" s="40">
        <f t="shared" ca="1" si="21"/>
        <v>45593</v>
      </c>
      <c r="C337" s="42">
        <f t="shared" ca="1" si="22"/>
        <v>-10000</v>
      </c>
      <c r="D337" s="41"/>
      <c r="E337" s="42">
        <f t="shared" ca="1" si="20"/>
        <v>-10000</v>
      </c>
      <c r="F337" s="43"/>
      <c r="G337" s="43"/>
      <c r="H337" s="44">
        <f t="shared" ca="1" si="23"/>
        <v>-10000</v>
      </c>
    </row>
    <row r="338" spans="2:8" x14ac:dyDescent="0.3">
      <c r="B338" s="40">
        <f t="shared" ca="1" si="21"/>
        <v>45594</v>
      </c>
      <c r="C338" s="42">
        <f t="shared" ca="1" si="22"/>
        <v>-10000</v>
      </c>
      <c r="D338" s="41"/>
      <c r="E338" s="42">
        <f t="shared" ca="1" si="20"/>
        <v>-10000</v>
      </c>
      <c r="F338" s="43"/>
      <c r="G338" s="43"/>
      <c r="H338" s="44">
        <f t="shared" ca="1" si="23"/>
        <v>-10000</v>
      </c>
    </row>
    <row r="339" spans="2:8" x14ac:dyDescent="0.3">
      <c r="B339" s="40">
        <f t="shared" ca="1" si="21"/>
        <v>45595</v>
      </c>
      <c r="C339" s="42">
        <f t="shared" ca="1" si="22"/>
        <v>-10000</v>
      </c>
      <c r="D339" s="41"/>
      <c r="E339" s="42">
        <f t="shared" ca="1" si="20"/>
        <v>-10000</v>
      </c>
      <c r="F339" s="43"/>
      <c r="G339" s="43"/>
      <c r="H339" s="44">
        <f t="shared" ca="1" si="23"/>
        <v>-10000</v>
      </c>
    </row>
    <row r="340" spans="2:8" x14ac:dyDescent="0.3">
      <c r="B340" s="40">
        <f t="shared" ca="1" si="21"/>
        <v>45596</v>
      </c>
      <c r="C340" s="42">
        <f t="shared" ca="1" si="22"/>
        <v>-10000</v>
      </c>
      <c r="D340" s="41"/>
      <c r="E340" s="42">
        <f t="shared" ca="1" si="20"/>
        <v>-10000</v>
      </c>
      <c r="F340" s="43"/>
      <c r="G340" s="43"/>
      <c r="H340" s="44">
        <f t="shared" ca="1" si="23"/>
        <v>-10000</v>
      </c>
    </row>
    <row r="341" spans="2:8" x14ac:dyDescent="0.3">
      <c r="B341" s="40">
        <f t="shared" ca="1" si="21"/>
        <v>45597</v>
      </c>
      <c r="C341" s="42">
        <f t="shared" ca="1" si="22"/>
        <v>-10000</v>
      </c>
      <c r="D341" s="41"/>
      <c r="E341" s="42">
        <f t="shared" ca="1" si="20"/>
        <v>-10000</v>
      </c>
      <c r="F341" s="43"/>
      <c r="G341" s="43"/>
      <c r="H341" s="44">
        <f t="shared" ca="1" si="23"/>
        <v>-10000</v>
      </c>
    </row>
    <row r="342" spans="2:8" x14ac:dyDescent="0.3">
      <c r="B342" s="40">
        <f t="shared" ca="1" si="21"/>
        <v>45598</v>
      </c>
      <c r="C342" s="42">
        <f t="shared" ca="1" si="22"/>
        <v>-10000</v>
      </c>
      <c r="D342" s="41"/>
      <c r="E342" s="42">
        <f t="shared" ca="1" si="20"/>
        <v>-10000</v>
      </c>
      <c r="F342" s="43"/>
      <c r="G342" s="43"/>
      <c r="H342" s="44">
        <f t="shared" ca="1" si="23"/>
        <v>-10000</v>
      </c>
    </row>
    <row r="343" spans="2:8" x14ac:dyDescent="0.3">
      <c r="B343" s="40">
        <f t="shared" ca="1" si="21"/>
        <v>45599</v>
      </c>
      <c r="C343" s="42">
        <f t="shared" ca="1" si="22"/>
        <v>-10000</v>
      </c>
      <c r="D343" s="41"/>
      <c r="E343" s="42">
        <f t="shared" ca="1" si="20"/>
        <v>-10000</v>
      </c>
      <c r="F343" s="43"/>
      <c r="G343" s="43"/>
      <c r="H343" s="44">
        <f t="shared" ca="1" si="23"/>
        <v>-10000</v>
      </c>
    </row>
    <row r="344" spans="2:8" x14ac:dyDescent="0.3">
      <c r="B344" s="40">
        <f t="shared" ca="1" si="21"/>
        <v>45600</v>
      </c>
      <c r="C344" s="42">
        <f t="shared" ca="1" si="22"/>
        <v>-10000</v>
      </c>
      <c r="D344" s="41"/>
      <c r="E344" s="42">
        <f t="shared" ca="1" si="20"/>
        <v>-10000</v>
      </c>
      <c r="F344" s="43"/>
      <c r="G344" s="43"/>
      <c r="H344" s="44">
        <f t="shared" ca="1" si="23"/>
        <v>-10000</v>
      </c>
    </row>
    <row r="345" spans="2:8" x14ac:dyDescent="0.3">
      <c r="B345" s="40">
        <f t="shared" ca="1" si="21"/>
        <v>45601</v>
      </c>
      <c r="C345" s="42">
        <f t="shared" ca="1" si="22"/>
        <v>-10000</v>
      </c>
      <c r="D345" s="41"/>
      <c r="E345" s="42">
        <f t="shared" ca="1" si="20"/>
        <v>-10000</v>
      </c>
      <c r="F345" s="43"/>
      <c r="G345" s="43"/>
      <c r="H345" s="44">
        <f t="shared" ca="1" si="23"/>
        <v>-10000</v>
      </c>
    </row>
    <row r="346" spans="2:8" x14ac:dyDescent="0.3">
      <c r="B346" s="40">
        <f t="shared" ca="1" si="21"/>
        <v>45602</v>
      </c>
      <c r="C346" s="42">
        <f t="shared" ca="1" si="22"/>
        <v>-10000</v>
      </c>
      <c r="D346" s="41"/>
      <c r="E346" s="42">
        <f t="shared" ca="1" si="20"/>
        <v>-10000</v>
      </c>
      <c r="F346" s="43"/>
      <c r="G346" s="43"/>
      <c r="H346" s="44">
        <f t="shared" ca="1" si="23"/>
        <v>-10000</v>
      </c>
    </row>
    <row r="347" spans="2:8" x14ac:dyDescent="0.3">
      <c r="B347" s="40">
        <f t="shared" ca="1" si="21"/>
        <v>45603</v>
      </c>
      <c r="C347" s="42">
        <f t="shared" ca="1" si="22"/>
        <v>-10000</v>
      </c>
      <c r="D347" s="41"/>
      <c r="E347" s="42">
        <f t="shared" ca="1" si="20"/>
        <v>-10000</v>
      </c>
      <c r="F347" s="43"/>
      <c r="G347" s="43"/>
      <c r="H347" s="44">
        <f t="shared" ca="1" si="23"/>
        <v>-10000</v>
      </c>
    </row>
    <row r="348" spans="2:8" x14ac:dyDescent="0.3">
      <c r="B348" s="40">
        <f t="shared" ca="1" si="21"/>
        <v>45604</v>
      </c>
      <c r="C348" s="42">
        <f t="shared" ca="1" si="22"/>
        <v>-10000</v>
      </c>
      <c r="D348" s="41"/>
      <c r="E348" s="42">
        <f t="shared" ca="1" si="20"/>
        <v>-10000</v>
      </c>
      <c r="F348" s="43"/>
      <c r="G348" s="43"/>
      <c r="H348" s="44">
        <f t="shared" ca="1" si="23"/>
        <v>-10000</v>
      </c>
    </row>
    <row r="349" spans="2:8" x14ac:dyDescent="0.3">
      <c r="B349" s="40">
        <f t="shared" ca="1" si="21"/>
        <v>45605</v>
      </c>
      <c r="C349" s="42">
        <f t="shared" ca="1" si="22"/>
        <v>-10000</v>
      </c>
      <c r="D349" s="41"/>
      <c r="E349" s="42">
        <f t="shared" ref="E349:E412" ca="1" si="24">IF(B349=0,0,H348)</f>
        <v>-10000</v>
      </c>
      <c r="F349" s="43"/>
      <c r="G349" s="43"/>
      <c r="H349" s="44">
        <f t="shared" ca="1" si="23"/>
        <v>-10000</v>
      </c>
    </row>
    <row r="350" spans="2:8" x14ac:dyDescent="0.3">
      <c r="B350" s="40">
        <f t="shared" ref="B350:B413" ca="1" si="25">IF(OR(B349+1&gt;TODAY(),B349=0),0,B349+1)</f>
        <v>45606</v>
      </c>
      <c r="C350" s="42">
        <f t="shared" ca="1" si="22"/>
        <v>-10000</v>
      </c>
      <c r="D350" s="41"/>
      <c r="E350" s="42">
        <f t="shared" ca="1" si="24"/>
        <v>-10000</v>
      </c>
      <c r="F350" s="43"/>
      <c r="G350" s="43"/>
      <c r="H350" s="44">
        <f t="shared" ca="1" si="23"/>
        <v>-10000</v>
      </c>
    </row>
    <row r="351" spans="2:8" x14ac:dyDescent="0.3">
      <c r="B351" s="40">
        <f t="shared" ca="1" si="25"/>
        <v>45607</v>
      </c>
      <c r="C351" s="42">
        <f t="shared" ca="1" si="22"/>
        <v>-10000</v>
      </c>
      <c r="D351" s="41"/>
      <c r="E351" s="42">
        <f t="shared" ca="1" si="24"/>
        <v>-10000</v>
      </c>
      <c r="F351" s="43"/>
      <c r="G351" s="43"/>
      <c r="H351" s="44">
        <f t="shared" ca="1" si="23"/>
        <v>-10000</v>
      </c>
    </row>
    <row r="352" spans="2:8" x14ac:dyDescent="0.3">
      <c r="B352" s="40">
        <f t="shared" ca="1" si="25"/>
        <v>45608</v>
      </c>
      <c r="C352" s="42">
        <f t="shared" ca="1" si="22"/>
        <v>-10000</v>
      </c>
      <c r="D352" s="41"/>
      <c r="E352" s="42">
        <f t="shared" ca="1" si="24"/>
        <v>-10000</v>
      </c>
      <c r="F352" s="43"/>
      <c r="G352" s="43"/>
      <c r="H352" s="44">
        <f t="shared" ca="1" si="23"/>
        <v>-10000</v>
      </c>
    </row>
    <row r="353" spans="2:8" x14ac:dyDescent="0.3">
      <c r="B353" s="40">
        <f t="shared" ca="1" si="25"/>
        <v>45609</v>
      </c>
      <c r="C353" s="42">
        <f t="shared" ca="1" si="22"/>
        <v>-10000</v>
      </c>
      <c r="D353" s="41"/>
      <c r="E353" s="42">
        <f t="shared" ca="1" si="24"/>
        <v>-10000</v>
      </c>
      <c r="F353" s="43"/>
      <c r="G353" s="43"/>
      <c r="H353" s="44">
        <f t="shared" ca="1" si="23"/>
        <v>-10000</v>
      </c>
    </row>
    <row r="354" spans="2:8" x14ac:dyDescent="0.3">
      <c r="B354" s="40">
        <f t="shared" ca="1" si="25"/>
        <v>45610</v>
      </c>
      <c r="C354" s="42">
        <f t="shared" ca="1" si="22"/>
        <v>-10000</v>
      </c>
      <c r="D354" s="41"/>
      <c r="E354" s="42">
        <f t="shared" ca="1" si="24"/>
        <v>-10000</v>
      </c>
      <c r="F354" s="43"/>
      <c r="G354" s="43"/>
      <c r="H354" s="44">
        <f t="shared" ca="1" si="23"/>
        <v>-10000</v>
      </c>
    </row>
    <row r="355" spans="2:8" x14ac:dyDescent="0.3">
      <c r="B355" s="40">
        <f t="shared" ca="1" si="25"/>
        <v>45611</v>
      </c>
      <c r="C355" s="42">
        <f t="shared" ca="1" si="22"/>
        <v>-10000</v>
      </c>
      <c r="D355" s="41"/>
      <c r="E355" s="42">
        <f t="shared" ca="1" si="24"/>
        <v>-10000</v>
      </c>
      <c r="F355" s="43"/>
      <c r="G355" s="43"/>
      <c r="H355" s="44">
        <f t="shared" ca="1" si="23"/>
        <v>-10000</v>
      </c>
    </row>
    <row r="356" spans="2:8" x14ac:dyDescent="0.3">
      <c r="B356" s="40">
        <f t="shared" ca="1" si="25"/>
        <v>45612</v>
      </c>
      <c r="C356" s="42">
        <f t="shared" ca="1" si="22"/>
        <v>-10000</v>
      </c>
      <c r="D356" s="41"/>
      <c r="E356" s="42">
        <f t="shared" ca="1" si="24"/>
        <v>-10000</v>
      </c>
      <c r="F356" s="43"/>
      <c r="G356" s="43"/>
      <c r="H356" s="44">
        <f t="shared" ca="1" si="23"/>
        <v>-10000</v>
      </c>
    </row>
    <row r="357" spans="2:8" x14ac:dyDescent="0.3">
      <c r="B357" s="40">
        <f t="shared" ca="1" si="25"/>
        <v>45613</v>
      </c>
      <c r="C357" s="42">
        <f t="shared" ca="1" si="22"/>
        <v>-10000</v>
      </c>
      <c r="D357" s="41"/>
      <c r="E357" s="42">
        <f t="shared" ca="1" si="24"/>
        <v>-10000</v>
      </c>
      <c r="F357" s="43"/>
      <c r="G357" s="43"/>
      <c r="H357" s="44">
        <f t="shared" ca="1" si="23"/>
        <v>-10000</v>
      </c>
    </row>
    <row r="358" spans="2:8" x14ac:dyDescent="0.3">
      <c r="B358" s="40">
        <f t="shared" ca="1" si="25"/>
        <v>45614</v>
      </c>
      <c r="C358" s="42">
        <f t="shared" ca="1" si="22"/>
        <v>-10000</v>
      </c>
      <c r="D358" s="41"/>
      <c r="E358" s="42">
        <f t="shared" ca="1" si="24"/>
        <v>-10000</v>
      </c>
      <c r="F358" s="43"/>
      <c r="G358" s="43"/>
      <c r="H358" s="44">
        <f t="shared" ca="1" si="23"/>
        <v>-10000</v>
      </c>
    </row>
    <row r="359" spans="2:8" x14ac:dyDescent="0.3">
      <c r="B359" s="40">
        <f t="shared" ca="1" si="25"/>
        <v>45615</v>
      </c>
      <c r="C359" s="42">
        <f t="shared" ca="1" si="22"/>
        <v>-10000</v>
      </c>
      <c r="D359" s="41"/>
      <c r="E359" s="42">
        <f t="shared" ca="1" si="24"/>
        <v>-10000</v>
      </c>
      <c r="F359" s="43"/>
      <c r="G359" s="43"/>
      <c r="H359" s="44">
        <f t="shared" ca="1" si="23"/>
        <v>-10000</v>
      </c>
    </row>
    <row r="360" spans="2:8" x14ac:dyDescent="0.3">
      <c r="B360" s="40">
        <f t="shared" ca="1" si="25"/>
        <v>45616</v>
      </c>
      <c r="C360" s="42">
        <f t="shared" ca="1" si="22"/>
        <v>-10000</v>
      </c>
      <c r="D360" s="41"/>
      <c r="E360" s="42">
        <f t="shared" ca="1" si="24"/>
        <v>-10000</v>
      </c>
      <c r="F360" s="43"/>
      <c r="G360" s="43"/>
      <c r="H360" s="44">
        <f t="shared" ca="1" si="23"/>
        <v>-10000</v>
      </c>
    </row>
    <row r="361" spans="2:8" x14ac:dyDescent="0.3">
      <c r="B361" s="40">
        <f t="shared" ca="1" si="25"/>
        <v>45617</v>
      </c>
      <c r="C361" s="42">
        <f t="shared" ca="1" si="22"/>
        <v>-10000</v>
      </c>
      <c r="D361" s="41"/>
      <c r="E361" s="42">
        <f t="shared" ca="1" si="24"/>
        <v>-10000</v>
      </c>
      <c r="F361" s="43"/>
      <c r="G361" s="43"/>
      <c r="H361" s="44">
        <f t="shared" ca="1" si="23"/>
        <v>-10000</v>
      </c>
    </row>
    <row r="362" spans="2:8" x14ac:dyDescent="0.3">
      <c r="B362" s="40">
        <f t="shared" ca="1" si="25"/>
        <v>45618</v>
      </c>
      <c r="C362" s="42">
        <f t="shared" ca="1" si="22"/>
        <v>-10000</v>
      </c>
      <c r="D362" s="41"/>
      <c r="E362" s="42">
        <f t="shared" ca="1" si="24"/>
        <v>-10000</v>
      </c>
      <c r="F362" s="43"/>
      <c r="G362" s="43"/>
      <c r="H362" s="44">
        <f t="shared" ca="1" si="23"/>
        <v>-10000</v>
      </c>
    </row>
    <row r="363" spans="2:8" x14ac:dyDescent="0.3">
      <c r="B363" s="40">
        <f t="shared" ca="1" si="25"/>
        <v>45619</v>
      </c>
      <c r="C363" s="42">
        <f t="shared" ca="1" si="22"/>
        <v>-10000</v>
      </c>
      <c r="D363" s="41"/>
      <c r="E363" s="42">
        <f t="shared" ca="1" si="24"/>
        <v>-10000</v>
      </c>
      <c r="F363" s="43"/>
      <c r="G363" s="43"/>
      <c r="H363" s="44">
        <f t="shared" ca="1" si="23"/>
        <v>-10000</v>
      </c>
    </row>
    <row r="364" spans="2:8" x14ac:dyDescent="0.3">
      <c r="B364" s="40">
        <f t="shared" ca="1" si="25"/>
        <v>45620</v>
      </c>
      <c r="C364" s="42">
        <f t="shared" ca="1" si="22"/>
        <v>-10000</v>
      </c>
      <c r="D364" s="41"/>
      <c r="E364" s="42">
        <f t="shared" ca="1" si="24"/>
        <v>-10000</v>
      </c>
      <c r="F364" s="43"/>
      <c r="G364" s="43"/>
      <c r="H364" s="44">
        <f t="shared" ca="1" si="23"/>
        <v>-10000</v>
      </c>
    </row>
    <row r="365" spans="2:8" x14ac:dyDescent="0.3">
      <c r="B365" s="40">
        <f t="shared" ca="1" si="25"/>
        <v>45621</v>
      </c>
      <c r="C365" s="42">
        <f t="shared" ca="1" si="22"/>
        <v>-10000</v>
      </c>
      <c r="D365" s="41"/>
      <c r="E365" s="42">
        <f t="shared" ca="1" si="24"/>
        <v>-10000</v>
      </c>
      <c r="F365" s="43"/>
      <c r="G365" s="43"/>
      <c r="H365" s="44">
        <f t="shared" ca="1" si="23"/>
        <v>-10000</v>
      </c>
    </row>
    <row r="366" spans="2:8" x14ac:dyDescent="0.3">
      <c r="B366" s="40">
        <f t="shared" ca="1" si="25"/>
        <v>45622</v>
      </c>
      <c r="C366" s="42">
        <f t="shared" ca="1" si="22"/>
        <v>-10000</v>
      </c>
      <c r="D366" s="41"/>
      <c r="E366" s="42">
        <f t="shared" ca="1" si="24"/>
        <v>-10000</v>
      </c>
      <c r="F366" s="43"/>
      <c r="G366" s="43"/>
      <c r="H366" s="44">
        <f t="shared" ca="1" si="23"/>
        <v>-10000</v>
      </c>
    </row>
    <row r="367" spans="2:8" x14ac:dyDescent="0.3">
      <c r="B367" s="40">
        <f t="shared" ca="1" si="25"/>
        <v>45623</v>
      </c>
      <c r="C367" s="42">
        <f t="shared" ca="1" si="22"/>
        <v>-10000</v>
      </c>
      <c r="D367" s="41"/>
      <c r="E367" s="42">
        <f t="shared" ca="1" si="24"/>
        <v>-10000</v>
      </c>
      <c r="F367" s="43"/>
      <c r="G367" s="43"/>
      <c r="H367" s="44">
        <f t="shared" ca="1" si="23"/>
        <v>-10000</v>
      </c>
    </row>
    <row r="368" spans="2:8" x14ac:dyDescent="0.3">
      <c r="B368" s="40">
        <f t="shared" ca="1" si="25"/>
        <v>45624</v>
      </c>
      <c r="C368" s="42">
        <f t="shared" ca="1" si="22"/>
        <v>-10000</v>
      </c>
      <c r="D368" s="41"/>
      <c r="E368" s="42">
        <f t="shared" ca="1" si="24"/>
        <v>-10000</v>
      </c>
      <c r="F368" s="43"/>
      <c r="G368" s="43"/>
      <c r="H368" s="44">
        <f t="shared" ca="1" si="23"/>
        <v>-10000</v>
      </c>
    </row>
    <row r="369" spans="2:8" x14ac:dyDescent="0.3">
      <c r="B369" s="40">
        <f t="shared" ca="1" si="25"/>
        <v>45625</v>
      </c>
      <c r="C369" s="42">
        <f t="shared" ca="1" si="22"/>
        <v>-10000</v>
      </c>
      <c r="D369" s="41"/>
      <c r="E369" s="42">
        <f t="shared" ca="1" si="24"/>
        <v>-10000</v>
      </c>
      <c r="F369" s="43"/>
      <c r="G369" s="43"/>
      <c r="H369" s="44">
        <f t="shared" ca="1" si="23"/>
        <v>-10000</v>
      </c>
    </row>
    <row r="370" spans="2:8" x14ac:dyDescent="0.3">
      <c r="B370" s="40">
        <f t="shared" ca="1" si="25"/>
        <v>45626</v>
      </c>
      <c r="C370" s="42">
        <f t="shared" ca="1" si="22"/>
        <v>-10000</v>
      </c>
      <c r="D370" s="41"/>
      <c r="E370" s="42">
        <f t="shared" ca="1" si="24"/>
        <v>-10000</v>
      </c>
      <c r="F370" s="43"/>
      <c r="G370" s="43"/>
      <c r="H370" s="44">
        <f t="shared" ca="1" si="23"/>
        <v>-10000</v>
      </c>
    </row>
    <row r="371" spans="2:8" x14ac:dyDescent="0.3">
      <c r="B371" s="40">
        <f t="shared" ca="1" si="25"/>
        <v>45627</v>
      </c>
      <c r="C371" s="42">
        <f t="shared" ca="1" si="22"/>
        <v>-10000</v>
      </c>
      <c r="D371" s="41"/>
      <c r="E371" s="42">
        <f t="shared" ca="1" si="24"/>
        <v>-10000</v>
      </c>
      <c r="F371" s="43"/>
      <c r="G371" s="43"/>
      <c r="H371" s="44">
        <f t="shared" ca="1" si="23"/>
        <v>-10000</v>
      </c>
    </row>
    <row r="372" spans="2:8" x14ac:dyDescent="0.3">
      <c r="B372" s="40">
        <f t="shared" ca="1" si="25"/>
        <v>45628</v>
      </c>
      <c r="C372" s="42">
        <f t="shared" ca="1" si="22"/>
        <v>-10000</v>
      </c>
      <c r="D372" s="41"/>
      <c r="E372" s="42">
        <f t="shared" ca="1" si="24"/>
        <v>-10000</v>
      </c>
      <c r="F372" s="43"/>
      <c r="G372" s="43"/>
      <c r="H372" s="44">
        <f t="shared" ca="1" si="23"/>
        <v>-10000</v>
      </c>
    </row>
    <row r="373" spans="2:8" x14ac:dyDescent="0.3">
      <c r="B373" s="40">
        <f t="shared" ca="1" si="25"/>
        <v>45629</v>
      </c>
      <c r="C373" s="42">
        <f t="shared" ca="1" si="22"/>
        <v>-10000</v>
      </c>
      <c r="D373" s="41"/>
      <c r="E373" s="42">
        <f t="shared" ca="1" si="24"/>
        <v>-10000</v>
      </c>
      <c r="F373" s="43"/>
      <c r="G373" s="43"/>
      <c r="H373" s="44">
        <f t="shared" ca="1" si="23"/>
        <v>-10000</v>
      </c>
    </row>
    <row r="374" spans="2:8" x14ac:dyDescent="0.3">
      <c r="B374" s="40">
        <f t="shared" ca="1" si="25"/>
        <v>45630</v>
      </c>
      <c r="C374" s="42">
        <f t="shared" ca="1" si="22"/>
        <v>-10000</v>
      </c>
      <c r="D374" s="41"/>
      <c r="E374" s="42">
        <f t="shared" ca="1" si="24"/>
        <v>-10000</v>
      </c>
      <c r="F374" s="43"/>
      <c r="G374" s="43"/>
      <c r="H374" s="44">
        <f t="shared" ca="1" si="23"/>
        <v>-10000</v>
      </c>
    </row>
    <row r="375" spans="2:8" x14ac:dyDescent="0.3">
      <c r="B375" s="40">
        <f t="shared" ca="1" si="25"/>
        <v>45631</v>
      </c>
      <c r="C375" s="42">
        <f t="shared" ca="1" si="22"/>
        <v>-10000</v>
      </c>
      <c r="D375" s="41"/>
      <c r="E375" s="42">
        <f t="shared" ca="1" si="24"/>
        <v>-10000</v>
      </c>
      <c r="F375" s="43"/>
      <c r="G375" s="43"/>
      <c r="H375" s="44">
        <f t="shared" ca="1" si="23"/>
        <v>-10000</v>
      </c>
    </row>
    <row r="376" spans="2:8" x14ac:dyDescent="0.3">
      <c r="B376" s="40">
        <f t="shared" ca="1" si="25"/>
        <v>45632</v>
      </c>
      <c r="C376" s="42">
        <f t="shared" ca="1" si="22"/>
        <v>-10000</v>
      </c>
      <c r="D376" s="41"/>
      <c r="E376" s="42">
        <f t="shared" ca="1" si="24"/>
        <v>-10000</v>
      </c>
      <c r="F376" s="43"/>
      <c r="G376" s="43"/>
      <c r="H376" s="44">
        <f t="shared" ca="1" si="23"/>
        <v>-10000</v>
      </c>
    </row>
    <row r="377" spans="2:8" x14ac:dyDescent="0.3">
      <c r="B377" s="40">
        <f t="shared" ca="1" si="25"/>
        <v>45633</v>
      </c>
      <c r="C377" s="42">
        <f t="shared" ca="1" si="22"/>
        <v>-10000</v>
      </c>
      <c r="D377" s="41"/>
      <c r="E377" s="42">
        <f t="shared" ca="1" si="24"/>
        <v>-10000</v>
      </c>
      <c r="F377" s="43"/>
      <c r="G377" s="43"/>
      <c r="H377" s="44">
        <f t="shared" ca="1" si="23"/>
        <v>-10000</v>
      </c>
    </row>
    <row r="378" spans="2:8" x14ac:dyDescent="0.3">
      <c r="B378" s="40">
        <f t="shared" ca="1" si="25"/>
        <v>45634</v>
      </c>
      <c r="C378" s="42">
        <f t="shared" ca="1" si="22"/>
        <v>-10000</v>
      </c>
      <c r="D378" s="41"/>
      <c r="E378" s="42">
        <f t="shared" ca="1" si="24"/>
        <v>-10000</v>
      </c>
      <c r="F378" s="43"/>
      <c r="G378" s="43"/>
      <c r="H378" s="44">
        <f t="shared" ca="1" si="23"/>
        <v>-10000</v>
      </c>
    </row>
    <row r="379" spans="2:8" x14ac:dyDescent="0.3">
      <c r="B379" s="40">
        <f t="shared" ca="1" si="25"/>
        <v>45635</v>
      </c>
      <c r="C379" s="42">
        <f t="shared" ca="1" si="22"/>
        <v>-10000</v>
      </c>
      <c r="D379" s="41"/>
      <c r="E379" s="42">
        <f t="shared" ca="1" si="24"/>
        <v>-10000</v>
      </c>
      <c r="F379" s="43"/>
      <c r="G379" s="43"/>
      <c r="H379" s="44">
        <f t="shared" ca="1" si="23"/>
        <v>-10000</v>
      </c>
    </row>
    <row r="380" spans="2:8" x14ac:dyDescent="0.3">
      <c r="B380" s="40">
        <f t="shared" ca="1" si="25"/>
        <v>45636</v>
      </c>
      <c r="C380" s="42">
        <f t="shared" ca="1" si="22"/>
        <v>-10000</v>
      </c>
      <c r="D380" s="41"/>
      <c r="E380" s="42">
        <f t="shared" ca="1" si="24"/>
        <v>-10000</v>
      </c>
      <c r="F380" s="43"/>
      <c r="G380" s="43"/>
      <c r="H380" s="44">
        <f t="shared" ca="1" si="23"/>
        <v>-10000</v>
      </c>
    </row>
    <row r="381" spans="2:8" x14ac:dyDescent="0.3">
      <c r="B381" s="40">
        <f t="shared" ca="1" si="25"/>
        <v>45637</v>
      </c>
      <c r="C381" s="42">
        <f t="shared" ca="1" si="22"/>
        <v>-10000</v>
      </c>
      <c r="D381" s="41"/>
      <c r="E381" s="42">
        <f t="shared" ca="1" si="24"/>
        <v>-10000</v>
      </c>
      <c r="F381" s="43"/>
      <c r="G381" s="43"/>
      <c r="H381" s="44">
        <f t="shared" ca="1" si="23"/>
        <v>-10000</v>
      </c>
    </row>
    <row r="382" spans="2:8" x14ac:dyDescent="0.3">
      <c r="B382" s="40">
        <f t="shared" ca="1" si="25"/>
        <v>45638</v>
      </c>
      <c r="C382" s="42">
        <f t="shared" ca="1" si="22"/>
        <v>-10000</v>
      </c>
      <c r="D382" s="41"/>
      <c r="E382" s="42">
        <f t="shared" ca="1" si="24"/>
        <v>-10000</v>
      </c>
      <c r="F382" s="43"/>
      <c r="G382" s="43"/>
      <c r="H382" s="44">
        <f t="shared" ca="1" si="23"/>
        <v>-10000</v>
      </c>
    </row>
    <row r="383" spans="2:8" x14ac:dyDescent="0.3">
      <c r="B383" s="40">
        <f t="shared" ca="1" si="25"/>
        <v>45639</v>
      </c>
      <c r="C383" s="42">
        <f t="shared" ca="1" si="22"/>
        <v>-10000</v>
      </c>
      <c r="D383" s="41"/>
      <c r="E383" s="42">
        <f t="shared" ca="1" si="24"/>
        <v>-10000</v>
      </c>
      <c r="F383" s="43"/>
      <c r="G383" s="43"/>
      <c r="H383" s="44">
        <f t="shared" ca="1" si="23"/>
        <v>-10000</v>
      </c>
    </row>
    <row r="384" spans="2:8" x14ac:dyDescent="0.3">
      <c r="B384" s="40">
        <f t="shared" ca="1" si="25"/>
        <v>45640</v>
      </c>
      <c r="C384" s="42">
        <f t="shared" ca="1" si="22"/>
        <v>-10000</v>
      </c>
      <c r="D384" s="41"/>
      <c r="E384" s="42">
        <f t="shared" ca="1" si="24"/>
        <v>-10000</v>
      </c>
      <c r="F384" s="43"/>
      <c r="G384" s="43"/>
      <c r="H384" s="44">
        <f t="shared" ca="1" si="23"/>
        <v>-10000</v>
      </c>
    </row>
    <row r="385" spans="2:8" x14ac:dyDescent="0.3">
      <c r="B385" s="40">
        <f t="shared" ca="1" si="25"/>
        <v>45641</v>
      </c>
      <c r="C385" s="42">
        <f t="shared" ca="1" si="22"/>
        <v>-10000</v>
      </c>
      <c r="D385" s="41"/>
      <c r="E385" s="42">
        <f t="shared" ca="1" si="24"/>
        <v>-10000</v>
      </c>
      <c r="F385" s="43"/>
      <c r="G385" s="43"/>
      <c r="H385" s="44">
        <f t="shared" ca="1" si="23"/>
        <v>-10000</v>
      </c>
    </row>
    <row r="386" spans="2:8" x14ac:dyDescent="0.3">
      <c r="B386" s="40">
        <f t="shared" ca="1" si="25"/>
        <v>45642</v>
      </c>
      <c r="C386" s="42">
        <f t="shared" ca="1" si="22"/>
        <v>-10000</v>
      </c>
      <c r="D386" s="41"/>
      <c r="E386" s="42">
        <f t="shared" ca="1" si="24"/>
        <v>-10000</v>
      </c>
      <c r="F386" s="43"/>
      <c r="G386" s="43"/>
      <c r="H386" s="44">
        <f t="shared" ca="1" si="23"/>
        <v>-10000</v>
      </c>
    </row>
    <row r="387" spans="2:8" x14ac:dyDescent="0.3">
      <c r="B387" s="40">
        <f t="shared" ca="1" si="25"/>
        <v>45643</v>
      </c>
      <c r="C387" s="42">
        <f t="shared" ca="1" si="22"/>
        <v>-10000</v>
      </c>
      <c r="D387" s="41"/>
      <c r="E387" s="42">
        <f t="shared" ca="1" si="24"/>
        <v>-10000</v>
      </c>
      <c r="F387" s="43"/>
      <c r="G387" s="43"/>
      <c r="H387" s="44">
        <f t="shared" ca="1" si="23"/>
        <v>-10000</v>
      </c>
    </row>
    <row r="388" spans="2:8" x14ac:dyDescent="0.3">
      <c r="B388" s="40">
        <f t="shared" ca="1" si="25"/>
        <v>45644</v>
      </c>
      <c r="C388" s="42">
        <f t="shared" ca="1" si="22"/>
        <v>-10000</v>
      </c>
      <c r="D388" s="41"/>
      <c r="E388" s="42">
        <f t="shared" ca="1" si="24"/>
        <v>-10000</v>
      </c>
      <c r="F388" s="43"/>
      <c r="G388" s="43"/>
      <c r="H388" s="44">
        <f t="shared" ca="1" si="23"/>
        <v>-10000</v>
      </c>
    </row>
    <row r="389" spans="2:8" x14ac:dyDescent="0.3">
      <c r="B389" s="40">
        <f t="shared" ca="1" si="25"/>
        <v>45645</v>
      </c>
      <c r="C389" s="42">
        <f t="shared" ca="1" si="22"/>
        <v>-10000</v>
      </c>
      <c r="D389" s="41"/>
      <c r="E389" s="42">
        <f t="shared" ca="1" si="24"/>
        <v>-10000</v>
      </c>
      <c r="F389" s="43"/>
      <c r="G389" s="43"/>
      <c r="H389" s="44">
        <f t="shared" ca="1" si="23"/>
        <v>-10000</v>
      </c>
    </row>
    <row r="390" spans="2:8" x14ac:dyDescent="0.3">
      <c r="B390" s="40">
        <f t="shared" ca="1" si="25"/>
        <v>45646</v>
      </c>
      <c r="C390" s="42">
        <f t="shared" ref="C390:C449" ca="1" si="26">IF(B390=0,0,C389-F389)</f>
        <v>-10000</v>
      </c>
      <c r="D390" s="41"/>
      <c r="E390" s="42">
        <f t="shared" ca="1" si="24"/>
        <v>-10000</v>
      </c>
      <c r="F390" s="43"/>
      <c r="G390" s="43"/>
      <c r="H390" s="44">
        <f t="shared" ref="H390:H449" ca="1" si="27">IF(B390=0,0,E390-F390+G390)</f>
        <v>-10000</v>
      </c>
    </row>
    <row r="391" spans="2:8" x14ac:dyDescent="0.3">
      <c r="B391" s="40">
        <f t="shared" ca="1" si="25"/>
        <v>45647</v>
      </c>
      <c r="C391" s="42">
        <f t="shared" ca="1" si="26"/>
        <v>-10000</v>
      </c>
      <c r="D391" s="41"/>
      <c r="E391" s="42">
        <f t="shared" ca="1" si="24"/>
        <v>-10000</v>
      </c>
      <c r="F391" s="43"/>
      <c r="G391" s="43"/>
      <c r="H391" s="44">
        <f t="shared" ca="1" si="27"/>
        <v>-10000</v>
      </c>
    </row>
    <row r="392" spans="2:8" x14ac:dyDescent="0.3">
      <c r="B392" s="40">
        <f t="shared" ca="1" si="25"/>
        <v>45648</v>
      </c>
      <c r="C392" s="42">
        <f t="shared" ca="1" si="26"/>
        <v>-10000</v>
      </c>
      <c r="D392" s="41"/>
      <c r="E392" s="42">
        <f t="shared" ca="1" si="24"/>
        <v>-10000</v>
      </c>
      <c r="F392" s="43"/>
      <c r="G392" s="43"/>
      <c r="H392" s="44">
        <f t="shared" ca="1" si="27"/>
        <v>-10000</v>
      </c>
    </row>
    <row r="393" spans="2:8" x14ac:dyDescent="0.3">
      <c r="B393" s="40">
        <f t="shared" ca="1" si="25"/>
        <v>45649</v>
      </c>
      <c r="C393" s="42">
        <f t="shared" ca="1" si="26"/>
        <v>-10000</v>
      </c>
      <c r="D393" s="41"/>
      <c r="E393" s="42">
        <f t="shared" ca="1" si="24"/>
        <v>-10000</v>
      </c>
      <c r="F393" s="43"/>
      <c r="G393" s="43"/>
      <c r="H393" s="44">
        <f t="shared" ca="1" si="27"/>
        <v>-10000</v>
      </c>
    </row>
    <row r="394" spans="2:8" x14ac:dyDescent="0.3">
      <c r="B394" s="40">
        <f t="shared" ca="1" si="25"/>
        <v>45650</v>
      </c>
      <c r="C394" s="42">
        <f t="shared" ca="1" si="26"/>
        <v>-10000</v>
      </c>
      <c r="D394" s="41"/>
      <c r="E394" s="42">
        <f t="shared" ca="1" si="24"/>
        <v>-10000</v>
      </c>
      <c r="F394" s="43"/>
      <c r="G394" s="43"/>
      <c r="H394" s="44">
        <f t="shared" ca="1" si="27"/>
        <v>-10000</v>
      </c>
    </row>
    <row r="395" spans="2:8" x14ac:dyDescent="0.3">
      <c r="B395" s="40">
        <f t="shared" ca="1" si="25"/>
        <v>45651</v>
      </c>
      <c r="C395" s="42">
        <f t="shared" ca="1" si="26"/>
        <v>-10000</v>
      </c>
      <c r="D395" s="41"/>
      <c r="E395" s="42">
        <f t="shared" ca="1" si="24"/>
        <v>-10000</v>
      </c>
      <c r="F395" s="43"/>
      <c r="G395" s="43"/>
      <c r="H395" s="44">
        <f t="shared" ca="1" si="27"/>
        <v>-10000</v>
      </c>
    </row>
    <row r="396" spans="2:8" x14ac:dyDescent="0.3">
      <c r="B396" s="40">
        <f t="shared" ca="1" si="25"/>
        <v>45652</v>
      </c>
      <c r="C396" s="42">
        <f t="shared" ca="1" si="26"/>
        <v>-10000</v>
      </c>
      <c r="D396" s="41"/>
      <c r="E396" s="42">
        <f t="shared" ca="1" si="24"/>
        <v>-10000</v>
      </c>
      <c r="F396" s="43"/>
      <c r="G396" s="43"/>
      <c r="H396" s="44">
        <f t="shared" ca="1" si="27"/>
        <v>-10000</v>
      </c>
    </row>
    <row r="397" spans="2:8" x14ac:dyDescent="0.3">
      <c r="B397" s="40">
        <f t="shared" ca="1" si="25"/>
        <v>45653</v>
      </c>
      <c r="C397" s="42">
        <f t="shared" ca="1" si="26"/>
        <v>-10000</v>
      </c>
      <c r="D397" s="41"/>
      <c r="E397" s="42">
        <f t="shared" ca="1" si="24"/>
        <v>-10000</v>
      </c>
      <c r="F397" s="43"/>
      <c r="G397" s="43"/>
      <c r="H397" s="44">
        <f t="shared" ca="1" si="27"/>
        <v>-10000</v>
      </c>
    </row>
    <row r="398" spans="2:8" x14ac:dyDescent="0.3">
      <c r="B398" s="40">
        <f t="shared" ca="1" si="25"/>
        <v>45654</v>
      </c>
      <c r="C398" s="42">
        <f t="shared" ca="1" si="26"/>
        <v>-10000</v>
      </c>
      <c r="D398" s="41"/>
      <c r="E398" s="42">
        <f t="shared" ca="1" si="24"/>
        <v>-10000</v>
      </c>
      <c r="F398" s="43"/>
      <c r="G398" s="43"/>
      <c r="H398" s="44">
        <f t="shared" ca="1" si="27"/>
        <v>-10000</v>
      </c>
    </row>
    <row r="399" spans="2:8" x14ac:dyDescent="0.3">
      <c r="B399" s="40">
        <f t="shared" ca="1" si="25"/>
        <v>45655</v>
      </c>
      <c r="C399" s="42">
        <f t="shared" ca="1" si="26"/>
        <v>-10000</v>
      </c>
      <c r="D399" s="41"/>
      <c r="E399" s="42">
        <f t="shared" ca="1" si="24"/>
        <v>-10000</v>
      </c>
      <c r="F399" s="43"/>
      <c r="G399" s="43"/>
      <c r="H399" s="44">
        <f t="shared" ca="1" si="27"/>
        <v>-10000</v>
      </c>
    </row>
    <row r="400" spans="2:8" x14ac:dyDescent="0.3">
      <c r="B400" s="40">
        <f t="shared" ca="1" si="25"/>
        <v>45656</v>
      </c>
      <c r="C400" s="42">
        <f t="shared" ca="1" si="26"/>
        <v>-10000</v>
      </c>
      <c r="D400" s="41"/>
      <c r="E400" s="42">
        <f t="shared" ca="1" si="24"/>
        <v>-10000</v>
      </c>
      <c r="F400" s="43"/>
      <c r="G400" s="43"/>
      <c r="H400" s="44">
        <f t="shared" ca="1" si="27"/>
        <v>-10000</v>
      </c>
    </row>
    <row r="401" spans="2:8" x14ac:dyDescent="0.3">
      <c r="B401" s="40">
        <f t="shared" ca="1" si="25"/>
        <v>45657</v>
      </c>
      <c r="C401" s="42">
        <f t="shared" ca="1" si="26"/>
        <v>-10000</v>
      </c>
      <c r="D401" s="41"/>
      <c r="E401" s="42">
        <f t="shared" ca="1" si="24"/>
        <v>-10000</v>
      </c>
      <c r="F401" s="43"/>
      <c r="G401" s="43"/>
      <c r="H401" s="44">
        <f t="shared" ca="1" si="27"/>
        <v>-10000</v>
      </c>
    </row>
    <row r="402" spans="2:8" x14ac:dyDescent="0.3">
      <c r="B402" s="40">
        <f t="shared" ca="1" si="25"/>
        <v>45658</v>
      </c>
      <c r="C402" s="42">
        <f t="shared" ca="1" si="26"/>
        <v>-10000</v>
      </c>
      <c r="D402" s="41"/>
      <c r="E402" s="42">
        <f t="shared" ca="1" si="24"/>
        <v>-10000</v>
      </c>
      <c r="F402" s="43"/>
      <c r="G402" s="43"/>
      <c r="H402" s="44">
        <f t="shared" ca="1" si="27"/>
        <v>-10000</v>
      </c>
    </row>
    <row r="403" spans="2:8" x14ac:dyDescent="0.3">
      <c r="B403" s="40">
        <f t="shared" ca="1" si="25"/>
        <v>45659</v>
      </c>
      <c r="C403" s="42">
        <f t="shared" ca="1" si="26"/>
        <v>-10000</v>
      </c>
      <c r="D403" s="41"/>
      <c r="E403" s="42">
        <f t="shared" ca="1" si="24"/>
        <v>-10000</v>
      </c>
      <c r="F403" s="43"/>
      <c r="G403" s="43"/>
      <c r="H403" s="44">
        <f t="shared" ca="1" si="27"/>
        <v>-10000</v>
      </c>
    </row>
    <row r="404" spans="2:8" x14ac:dyDescent="0.3">
      <c r="B404" s="40">
        <f t="shared" ca="1" si="25"/>
        <v>45660</v>
      </c>
      <c r="C404" s="42">
        <f t="shared" ca="1" si="26"/>
        <v>-10000</v>
      </c>
      <c r="D404" s="41"/>
      <c r="E404" s="42">
        <f t="shared" ca="1" si="24"/>
        <v>-10000</v>
      </c>
      <c r="F404" s="43"/>
      <c r="G404" s="43"/>
      <c r="H404" s="44">
        <f t="shared" ca="1" si="27"/>
        <v>-10000</v>
      </c>
    </row>
    <row r="405" spans="2:8" x14ac:dyDescent="0.3">
      <c r="B405" s="40">
        <f t="shared" ca="1" si="25"/>
        <v>45661</v>
      </c>
      <c r="C405" s="42">
        <f t="shared" ca="1" si="26"/>
        <v>-10000</v>
      </c>
      <c r="D405" s="41"/>
      <c r="E405" s="42">
        <f t="shared" ca="1" si="24"/>
        <v>-10000</v>
      </c>
      <c r="F405" s="43"/>
      <c r="G405" s="43"/>
      <c r="H405" s="44">
        <f t="shared" ca="1" si="27"/>
        <v>-10000</v>
      </c>
    </row>
    <row r="406" spans="2:8" x14ac:dyDescent="0.3">
      <c r="B406" s="40">
        <f t="shared" ca="1" si="25"/>
        <v>45662</v>
      </c>
      <c r="C406" s="42">
        <f t="shared" ca="1" si="26"/>
        <v>-10000</v>
      </c>
      <c r="D406" s="41"/>
      <c r="E406" s="42">
        <f t="shared" ca="1" si="24"/>
        <v>-10000</v>
      </c>
      <c r="F406" s="43"/>
      <c r="G406" s="43"/>
      <c r="H406" s="44">
        <f t="shared" ca="1" si="27"/>
        <v>-10000</v>
      </c>
    </row>
    <row r="407" spans="2:8" x14ac:dyDescent="0.3">
      <c r="B407" s="40">
        <f t="shared" ca="1" si="25"/>
        <v>45663</v>
      </c>
      <c r="C407" s="42">
        <f t="shared" ca="1" si="26"/>
        <v>-10000</v>
      </c>
      <c r="D407" s="41"/>
      <c r="E407" s="42">
        <f t="shared" ca="1" si="24"/>
        <v>-10000</v>
      </c>
      <c r="F407" s="43"/>
      <c r="G407" s="43"/>
      <c r="H407" s="44">
        <f t="shared" ca="1" si="27"/>
        <v>-10000</v>
      </c>
    </row>
    <row r="408" spans="2:8" x14ac:dyDescent="0.3">
      <c r="B408" s="40">
        <f t="shared" ca="1" si="25"/>
        <v>45664</v>
      </c>
      <c r="C408" s="42">
        <f t="shared" ca="1" si="26"/>
        <v>-10000</v>
      </c>
      <c r="D408" s="41"/>
      <c r="E408" s="42">
        <f t="shared" ca="1" si="24"/>
        <v>-10000</v>
      </c>
      <c r="F408" s="43"/>
      <c r="G408" s="43"/>
      <c r="H408" s="44">
        <f t="shared" ca="1" si="27"/>
        <v>-10000</v>
      </c>
    </row>
    <row r="409" spans="2:8" x14ac:dyDescent="0.3">
      <c r="B409" s="40">
        <f t="shared" ca="1" si="25"/>
        <v>45665</v>
      </c>
      <c r="C409" s="42">
        <f t="shared" ca="1" si="26"/>
        <v>-10000</v>
      </c>
      <c r="D409" s="41"/>
      <c r="E409" s="42">
        <f t="shared" ca="1" si="24"/>
        <v>-10000</v>
      </c>
      <c r="F409" s="43"/>
      <c r="G409" s="43"/>
      <c r="H409" s="44">
        <f t="shared" ca="1" si="27"/>
        <v>-10000</v>
      </c>
    </row>
    <row r="410" spans="2:8" x14ac:dyDescent="0.3">
      <c r="B410" s="40">
        <f t="shared" ca="1" si="25"/>
        <v>45666</v>
      </c>
      <c r="C410" s="42">
        <f t="shared" ca="1" si="26"/>
        <v>-10000</v>
      </c>
      <c r="D410" s="41"/>
      <c r="E410" s="42">
        <f t="shared" ca="1" si="24"/>
        <v>-10000</v>
      </c>
      <c r="F410" s="43"/>
      <c r="G410" s="43"/>
      <c r="H410" s="44">
        <f t="shared" ca="1" si="27"/>
        <v>-10000</v>
      </c>
    </row>
    <row r="411" spans="2:8" x14ac:dyDescent="0.3">
      <c r="B411" s="40">
        <f t="shared" ca="1" si="25"/>
        <v>45667</v>
      </c>
      <c r="C411" s="42">
        <f t="shared" ca="1" si="26"/>
        <v>-10000</v>
      </c>
      <c r="D411" s="41"/>
      <c r="E411" s="42">
        <f t="shared" ca="1" si="24"/>
        <v>-10000</v>
      </c>
      <c r="F411" s="43"/>
      <c r="G411" s="43"/>
      <c r="H411" s="44">
        <f t="shared" ca="1" si="27"/>
        <v>-10000</v>
      </c>
    </row>
    <row r="412" spans="2:8" x14ac:dyDescent="0.3">
      <c r="B412" s="40">
        <f t="shared" ca="1" si="25"/>
        <v>45668</v>
      </c>
      <c r="C412" s="42">
        <f t="shared" ca="1" si="26"/>
        <v>-10000</v>
      </c>
      <c r="D412" s="41"/>
      <c r="E412" s="42">
        <f t="shared" ca="1" si="24"/>
        <v>-10000</v>
      </c>
      <c r="F412" s="43"/>
      <c r="G412" s="43"/>
      <c r="H412" s="44">
        <f t="shared" ca="1" si="27"/>
        <v>-10000</v>
      </c>
    </row>
    <row r="413" spans="2:8" x14ac:dyDescent="0.3">
      <c r="B413" s="40">
        <f t="shared" ca="1" si="25"/>
        <v>45669</v>
      </c>
      <c r="C413" s="42">
        <f t="shared" ca="1" si="26"/>
        <v>-10000</v>
      </c>
      <c r="D413" s="41"/>
      <c r="E413" s="42">
        <f t="shared" ref="E413:E449" ca="1" si="28">IF(B413=0,0,H412)</f>
        <v>-10000</v>
      </c>
      <c r="F413" s="43"/>
      <c r="G413" s="43"/>
      <c r="H413" s="44">
        <f t="shared" ca="1" si="27"/>
        <v>-10000</v>
      </c>
    </row>
    <row r="414" spans="2:8" x14ac:dyDescent="0.3">
      <c r="B414" s="40">
        <f t="shared" ref="B414:B449" ca="1" si="29">IF(OR(B413+1&gt;TODAY(),B413=0),0,B413+1)</f>
        <v>45670</v>
      </c>
      <c r="C414" s="42">
        <f t="shared" ca="1" si="26"/>
        <v>-10000</v>
      </c>
      <c r="D414" s="41"/>
      <c r="E414" s="42">
        <f t="shared" ca="1" si="28"/>
        <v>-10000</v>
      </c>
      <c r="F414" s="43"/>
      <c r="G414" s="43"/>
      <c r="H414" s="44">
        <f t="shared" ca="1" si="27"/>
        <v>-10000</v>
      </c>
    </row>
    <row r="415" spans="2:8" x14ac:dyDescent="0.3">
      <c r="B415" s="40">
        <f t="shared" ca="1" si="29"/>
        <v>45671</v>
      </c>
      <c r="C415" s="42">
        <f t="shared" ca="1" si="26"/>
        <v>-10000</v>
      </c>
      <c r="D415" s="41"/>
      <c r="E415" s="42">
        <f t="shared" ca="1" si="28"/>
        <v>-10000</v>
      </c>
      <c r="F415" s="43"/>
      <c r="G415" s="43"/>
      <c r="H415" s="44">
        <f t="shared" ca="1" si="27"/>
        <v>-10000</v>
      </c>
    </row>
    <row r="416" spans="2:8" x14ac:dyDescent="0.3">
      <c r="B416" s="40">
        <f t="shared" ca="1" si="29"/>
        <v>45672</v>
      </c>
      <c r="C416" s="42">
        <f t="shared" ca="1" si="26"/>
        <v>-10000</v>
      </c>
      <c r="D416" s="41"/>
      <c r="E416" s="42">
        <f t="shared" ca="1" si="28"/>
        <v>-10000</v>
      </c>
      <c r="F416" s="43"/>
      <c r="G416" s="43"/>
      <c r="H416" s="44">
        <f t="shared" ca="1" si="27"/>
        <v>-10000</v>
      </c>
    </row>
    <row r="417" spans="2:8" x14ac:dyDescent="0.3">
      <c r="B417" s="40">
        <f t="shared" ca="1" si="29"/>
        <v>45673</v>
      </c>
      <c r="C417" s="42">
        <f t="shared" ca="1" si="26"/>
        <v>-10000</v>
      </c>
      <c r="D417" s="41"/>
      <c r="E417" s="42">
        <f t="shared" ca="1" si="28"/>
        <v>-10000</v>
      </c>
      <c r="F417" s="43"/>
      <c r="G417" s="43"/>
      <c r="H417" s="44">
        <f t="shared" ca="1" si="27"/>
        <v>-10000</v>
      </c>
    </row>
    <row r="418" spans="2:8" x14ac:dyDescent="0.3">
      <c r="B418" s="40">
        <f t="shared" ca="1" si="29"/>
        <v>45674</v>
      </c>
      <c r="C418" s="42">
        <f t="shared" ca="1" si="26"/>
        <v>-10000</v>
      </c>
      <c r="D418" s="41"/>
      <c r="E418" s="42">
        <f t="shared" ca="1" si="28"/>
        <v>-10000</v>
      </c>
      <c r="F418" s="43"/>
      <c r="G418" s="43"/>
      <c r="H418" s="44">
        <f t="shared" ca="1" si="27"/>
        <v>-10000</v>
      </c>
    </row>
    <row r="419" spans="2:8" x14ac:dyDescent="0.3">
      <c r="B419" s="40">
        <f t="shared" ca="1" si="29"/>
        <v>45675</v>
      </c>
      <c r="C419" s="42">
        <f t="shared" ca="1" si="26"/>
        <v>-10000</v>
      </c>
      <c r="D419" s="41"/>
      <c r="E419" s="42">
        <f t="shared" ca="1" si="28"/>
        <v>-10000</v>
      </c>
      <c r="F419" s="43"/>
      <c r="G419" s="43"/>
      <c r="H419" s="44">
        <f t="shared" ca="1" si="27"/>
        <v>-10000</v>
      </c>
    </row>
    <row r="420" spans="2:8" x14ac:dyDescent="0.3">
      <c r="B420" s="40">
        <f t="shared" ca="1" si="29"/>
        <v>45676</v>
      </c>
      <c r="C420" s="42">
        <f t="shared" ca="1" si="26"/>
        <v>-10000</v>
      </c>
      <c r="D420" s="41"/>
      <c r="E420" s="42">
        <f t="shared" ca="1" si="28"/>
        <v>-10000</v>
      </c>
      <c r="F420" s="43"/>
      <c r="G420" s="43"/>
      <c r="H420" s="44">
        <f t="shared" ca="1" si="27"/>
        <v>-10000</v>
      </c>
    </row>
    <row r="421" spans="2:8" x14ac:dyDescent="0.3">
      <c r="B421" s="40">
        <f t="shared" ca="1" si="29"/>
        <v>45677</v>
      </c>
      <c r="C421" s="42">
        <f t="shared" ca="1" si="26"/>
        <v>-10000</v>
      </c>
      <c r="D421" s="41"/>
      <c r="E421" s="42">
        <f t="shared" ca="1" si="28"/>
        <v>-10000</v>
      </c>
      <c r="F421" s="43"/>
      <c r="G421" s="43"/>
      <c r="H421" s="44">
        <f t="shared" ca="1" si="27"/>
        <v>-10000</v>
      </c>
    </row>
    <row r="422" spans="2:8" x14ac:dyDescent="0.3">
      <c r="B422" s="40">
        <f t="shared" ca="1" si="29"/>
        <v>45678</v>
      </c>
      <c r="C422" s="42">
        <f t="shared" ca="1" si="26"/>
        <v>-10000</v>
      </c>
      <c r="D422" s="41"/>
      <c r="E422" s="42">
        <f t="shared" ca="1" si="28"/>
        <v>-10000</v>
      </c>
      <c r="F422" s="43"/>
      <c r="G422" s="43"/>
      <c r="H422" s="44">
        <f t="shared" ca="1" si="27"/>
        <v>-10000</v>
      </c>
    </row>
    <row r="423" spans="2:8" x14ac:dyDescent="0.3">
      <c r="B423" s="40">
        <f t="shared" ca="1" si="29"/>
        <v>45679</v>
      </c>
      <c r="C423" s="42">
        <f t="shared" ca="1" si="26"/>
        <v>-10000</v>
      </c>
      <c r="D423" s="41"/>
      <c r="E423" s="42">
        <f t="shared" ca="1" si="28"/>
        <v>-10000</v>
      </c>
      <c r="F423" s="43"/>
      <c r="G423" s="43"/>
      <c r="H423" s="44">
        <f t="shared" ca="1" si="27"/>
        <v>-10000</v>
      </c>
    </row>
    <row r="424" spans="2:8" x14ac:dyDescent="0.3">
      <c r="B424" s="40">
        <f t="shared" ca="1" si="29"/>
        <v>45680</v>
      </c>
      <c r="C424" s="42">
        <f t="shared" ca="1" si="26"/>
        <v>-10000</v>
      </c>
      <c r="D424" s="41"/>
      <c r="E424" s="42">
        <f t="shared" ca="1" si="28"/>
        <v>-10000</v>
      </c>
      <c r="F424" s="43"/>
      <c r="G424" s="43"/>
      <c r="H424" s="44">
        <f t="shared" ca="1" si="27"/>
        <v>-10000</v>
      </c>
    </row>
    <row r="425" spans="2:8" x14ac:dyDescent="0.3">
      <c r="B425" s="40">
        <f t="shared" ca="1" si="29"/>
        <v>45681</v>
      </c>
      <c r="C425" s="42">
        <f t="shared" ca="1" si="26"/>
        <v>-10000</v>
      </c>
      <c r="D425" s="41"/>
      <c r="E425" s="42">
        <f t="shared" ca="1" si="28"/>
        <v>-10000</v>
      </c>
      <c r="F425" s="43"/>
      <c r="G425" s="43"/>
      <c r="H425" s="44">
        <f t="shared" ca="1" si="27"/>
        <v>-10000</v>
      </c>
    </row>
    <row r="426" spans="2:8" x14ac:dyDescent="0.3">
      <c r="B426" s="40">
        <f t="shared" ca="1" si="29"/>
        <v>45682</v>
      </c>
      <c r="C426" s="42">
        <f t="shared" ca="1" si="26"/>
        <v>-10000</v>
      </c>
      <c r="D426" s="41"/>
      <c r="E426" s="42">
        <f t="shared" ca="1" si="28"/>
        <v>-10000</v>
      </c>
      <c r="F426" s="43"/>
      <c r="G426" s="43"/>
      <c r="H426" s="44">
        <f t="shared" ca="1" si="27"/>
        <v>-10000</v>
      </c>
    </row>
    <row r="427" spans="2:8" x14ac:dyDescent="0.3">
      <c r="B427" s="40">
        <f t="shared" ca="1" si="29"/>
        <v>45683</v>
      </c>
      <c r="C427" s="42">
        <f t="shared" ca="1" si="26"/>
        <v>-10000</v>
      </c>
      <c r="D427" s="41"/>
      <c r="E427" s="42">
        <f t="shared" ca="1" si="28"/>
        <v>-10000</v>
      </c>
      <c r="F427" s="43"/>
      <c r="G427" s="43"/>
      <c r="H427" s="44">
        <f t="shared" ca="1" si="27"/>
        <v>-10000</v>
      </c>
    </row>
    <row r="428" spans="2:8" x14ac:dyDescent="0.3">
      <c r="B428" s="40">
        <f t="shared" ca="1" si="29"/>
        <v>45684</v>
      </c>
      <c r="C428" s="42">
        <f t="shared" ca="1" si="26"/>
        <v>-10000</v>
      </c>
      <c r="D428" s="41"/>
      <c r="E428" s="42">
        <f t="shared" ca="1" si="28"/>
        <v>-10000</v>
      </c>
      <c r="F428" s="43"/>
      <c r="G428" s="43"/>
      <c r="H428" s="44">
        <f t="shared" ca="1" si="27"/>
        <v>-10000</v>
      </c>
    </row>
    <row r="429" spans="2:8" x14ac:dyDescent="0.3">
      <c r="B429" s="40">
        <f t="shared" ca="1" si="29"/>
        <v>45685</v>
      </c>
      <c r="C429" s="42">
        <f t="shared" ca="1" si="26"/>
        <v>-10000</v>
      </c>
      <c r="D429" s="41"/>
      <c r="E429" s="42">
        <f t="shared" ca="1" si="28"/>
        <v>-10000</v>
      </c>
      <c r="F429" s="43"/>
      <c r="G429" s="43"/>
      <c r="H429" s="44">
        <f t="shared" ca="1" si="27"/>
        <v>-10000</v>
      </c>
    </row>
    <row r="430" spans="2:8" x14ac:dyDescent="0.3">
      <c r="B430" s="40">
        <f t="shared" ca="1" si="29"/>
        <v>45686</v>
      </c>
      <c r="C430" s="42">
        <f t="shared" ca="1" si="26"/>
        <v>-10000</v>
      </c>
      <c r="D430" s="41"/>
      <c r="E430" s="42">
        <f t="shared" ca="1" si="28"/>
        <v>-10000</v>
      </c>
      <c r="F430" s="43"/>
      <c r="G430" s="43"/>
      <c r="H430" s="44">
        <f t="shared" ca="1" si="27"/>
        <v>-10000</v>
      </c>
    </row>
    <row r="431" spans="2:8" x14ac:dyDescent="0.3">
      <c r="B431" s="40">
        <f t="shared" ca="1" si="29"/>
        <v>45687</v>
      </c>
      <c r="C431" s="42">
        <f t="shared" ca="1" si="26"/>
        <v>-10000</v>
      </c>
      <c r="D431" s="41"/>
      <c r="E431" s="42">
        <f t="shared" ca="1" si="28"/>
        <v>-10000</v>
      </c>
      <c r="F431" s="43"/>
      <c r="G431" s="43"/>
      <c r="H431" s="44">
        <f t="shared" ca="1" si="27"/>
        <v>-10000</v>
      </c>
    </row>
    <row r="432" spans="2:8" x14ac:dyDescent="0.3">
      <c r="B432" s="40">
        <f t="shared" ca="1" si="29"/>
        <v>45688</v>
      </c>
      <c r="C432" s="42">
        <f t="shared" ca="1" si="26"/>
        <v>-10000</v>
      </c>
      <c r="D432" s="41"/>
      <c r="E432" s="42">
        <f t="shared" ca="1" si="28"/>
        <v>-10000</v>
      </c>
      <c r="F432" s="43"/>
      <c r="G432" s="43"/>
      <c r="H432" s="44">
        <f t="shared" ca="1" si="27"/>
        <v>-10000</v>
      </c>
    </row>
    <row r="433" spans="2:8" x14ac:dyDescent="0.3">
      <c r="B433" s="40">
        <f t="shared" ca="1" si="29"/>
        <v>45689</v>
      </c>
      <c r="C433" s="42">
        <f t="shared" ca="1" si="26"/>
        <v>-10000</v>
      </c>
      <c r="D433" s="41"/>
      <c r="E433" s="42">
        <f t="shared" ca="1" si="28"/>
        <v>-10000</v>
      </c>
      <c r="F433" s="43"/>
      <c r="G433" s="43"/>
      <c r="H433" s="44">
        <f t="shared" ca="1" si="27"/>
        <v>-10000</v>
      </c>
    </row>
    <row r="434" spans="2:8" x14ac:dyDescent="0.3">
      <c r="B434" s="40">
        <f t="shared" ca="1" si="29"/>
        <v>45690</v>
      </c>
      <c r="C434" s="42">
        <f t="shared" ca="1" si="26"/>
        <v>-10000</v>
      </c>
      <c r="D434" s="41"/>
      <c r="E434" s="42">
        <f t="shared" ca="1" si="28"/>
        <v>-10000</v>
      </c>
      <c r="F434" s="43"/>
      <c r="G434" s="43"/>
      <c r="H434" s="44">
        <f t="shared" ca="1" si="27"/>
        <v>-10000</v>
      </c>
    </row>
    <row r="435" spans="2:8" x14ac:dyDescent="0.3">
      <c r="B435" s="40">
        <f t="shared" ca="1" si="29"/>
        <v>45691</v>
      </c>
      <c r="C435" s="42">
        <f t="shared" ca="1" si="26"/>
        <v>-10000</v>
      </c>
      <c r="D435" s="41"/>
      <c r="E435" s="42">
        <f t="shared" ca="1" si="28"/>
        <v>-10000</v>
      </c>
      <c r="F435" s="43"/>
      <c r="G435" s="43"/>
      <c r="H435" s="44">
        <f t="shared" ca="1" si="27"/>
        <v>-10000</v>
      </c>
    </row>
    <row r="436" spans="2:8" x14ac:dyDescent="0.3">
      <c r="B436" s="40">
        <f t="shared" ca="1" si="29"/>
        <v>45692</v>
      </c>
      <c r="C436" s="42">
        <f t="shared" ca="1" si="26"/>
        <v>-10000</v>
      </c>
      <c r="D436" s="41"/>
      <c r="E436" s="42">
        <f t="shared" ca="1" si="28"/>
        <v>-10000</v>
      </c>
      <c r="F436" s="43"/>
      <c r="G436" s="43"/>
      <c r="H436" s="44">
        <f t="shared" ca="1" si="27"/>
        <v>-10000</v>
      </c>
    </row>
    <row r="437" spans="2:8" x14ac:dyDescent="0.3">
      <c r="B437" s="40">
        <f t="shared" ca="1" si="29"/>
        <v>45693</v>
      </c>
      <c r="C437" s="42">
        <f t="shared" ca="1" si="26"/>
        <v>-10000</v>
      </c>
      <c r="D437" s="41"/>
      <c r="E437" s="42">
        <f t="shared" ca="1" si="28"/>
        <v>-10000</v>
      </c>
      <c r="F437" s="43"/>
      <c r="G437" s="43"/>
      <c r="H437" s="44">
        <f t="shared" ca="1" si="27"/>
        <v>-10000</v>
      </c>
    </row>
    <row r="438" spans="2:8" x14ac:dyDescent="0.3">
      <c r="B438" s="40">
        <f t="shared" ca="1" si="29"/>
        <v>45694</v>
      </c>
      <c r="C438" s="42">
        <f t="shared" ca="1" si="26"/>
        <v>-10000</v>
      </c>
      <c r="D438" s="41"/>
      <c r="E438" s="42">
        <f t="shared" ca="1" si="28"/>
        <v>-10000</v>
      </c>
      <c r="F438" s="43"/>
      <c r="G438" s="43"/>
      <c r="H438" s="44">
        <f t="shared" ca="1" si="27"/>
        <v>-10000</v>
      </c>
    </row>
    <row r="439" spans="2:8" x14ac:dyDescent="0.3">
      <c r="B439" s="40">
        <f t="shared" ca="1" si="29"/>
        <v>45695</v>
      </c>
      <c r="C439" s="42">
        <f t="shared" ca="1" si="26"/>
        <v>-10000</v>
      </c>
      <c r="D439" s="41"/>
      <c r="E439" s="42">
        <f t="shared" ca="1" si="28"/>
        <v>-10000</v>
      </c>
      <c r="F439" s="43"/>
      <c r="G439" s="43"/>
      <c r="H439" s="44">
        <f t="shared" ca="1" si="27"/>
        <v>-10000</v>
      </c>
    </row>
    <row r="440" spans="2:8" x14ac:dyDescent="0.3">
      <c r="B440" s="40">
        <f t="shared" ca="1" si="29"/>
        <v>45696</v>
      </c>
      <c r="C440" s="42">
        <f t="shared" ca="1" si="26"/>
        <v>-10000</v>
      </c>
      <c r="D440" s="41"/>
      <c r="E440" s="42">
        <f t="shared" ca="1" si="28"/>
        <v>-10000</v>
      </c>
      <c r="F440" s="43"/>
      <c r="G440" s="43"/>
      <c r="H440" s="44">
        <f t="shared" ca="1" si="27"/>
        <v>-10000</v>
      </c>
    </row>
    <row r="441" spans="2:8" x14ac:dyDescent="0.3">
      <c r="B441" s="40">
        <f t="shared" ca="1" si="29"/>
        <v>45697</v>
      </c>
      <c r="C441" s="42">
        <f t="shared" ca="1" si="26"/>
        <v>-10000</v>
      </c>
      <c r="D441" s="41"/>
      <c r="E441" s="42">
        <f t="shared" ca="1" si="28"/>
        <v>-10000</v>
      </c>
      <c r="F441" s="43"/>
      <c r="G441" s="43"/>
      <c r="H441" s="44">
        <f t="shared" ca="1" si="27"/>
        <v>-10000</v>
      </c>
    </row>
    <row r="442" spans="2:8" x14ac:dyDescent="0.3">
      <c r="B442" s="40">
        <f t="shared" ca="1" si="29"/>
        <v>45698</v>
      </c>
      <c r="C442" s="42">
        <f t="shared" ca="1" si="26"/>
        <v>-10000</v>
      </c>
      <c r="D442" s="41"/>
      <c r="E442" s="42">
        <f t="shared" ca="1" si="28"/>
        <v>-10000</v>
      </c>
      <c r="F442" s="43"/>
      <c r="G442" s="43"/>
      <c r="H442" s="44">
        <f t="shared" ca="1" si="27"/>
        <v>-10000</v>
      </c>
    </row>
    <row r="443" spans="2:8" x14ac:dyDescent="0.3">
      <c r="B443" s="40">
        <f t="shared" ca="1" si="29"/>
        <v>45699</v>
      </c>
      <c r="C443" s="42">
        <f t="shared" ca="1" si="26"/>
        <v>-10000</v>
      </c>
      <c r="D443" s="41"/>
      <c r="E443" s="42">
        <f t="shared" ca="1" si="28"/>
        <v>-10000</v>
      </c>
      <c r="F443" s="43"/>
      <c r="G443" s="43"/>
      <c r="H443" s="44">
        <f t="shared" ca="1" si="27"/>
        <v>-10000</v>
      </c>
    </row>
    <row r="444" spans="2:8" x14ac:dyDescent="0.3">
      <c r="B444" s="40">
        <f t="shared" ca="1" si="29"/>
        <v>45700</v>
      </c>
      <c r="C444" s="42">
        <f t="shared" ca="1" si="26"/>
        <v>-10000</v>
      </c>
      <c r="D444" s="41"/>
      <c r="E444" s="42">
        <f t="shared" ca="1" si="28"/>
        <v>-10000</v>
      </c>
      <c r="F444" s="43"/>
      <c r="G444" s="43"/>
      <c r="H444" s="44">
        <f t="shared" ca="1" si="27"/>
        <v>-10000</v>
      </c>
    </row>
    <row r="445" spans="2:8" x14ac:dyDescent="0.3">
      <c r="B445" s="40">
        <f t="shared" ca="1" si="29"/>
        <v>45701</v>
      </c>
      <c r="C445" s="42">
        <f t="shared" ca="1" si="26"/>
        <v>-10000</v>
      </c>
      <c r="D445" s="41"/>
      <c r="E445" s="42">
        <f t="shared" ca="1" si="28"/>
        <v>-10000</v>
      </c>
      <c r="F445" s="43"/>
      <c r="G445" s="43"/>
      <c r="H445" s="44">
        <f t="shared" ca="1" si="27"/>
        <v>-10000</v>
      </c>
    </row>
    <row r="446" spans="2:8" x14ac:dyDescent="0.3">
      <c r="B446" s="40">
        <f t="shared" ca="1" si="29"/>
        <v>45702</v>
      </c>
      <c r="C446" s="42">
        <f t="shared" ca="1" si="26"/>
        <v>-10000</v>
      </c>
      <c r="D446" s="41"/>
      <c r="E446" s="42">
        <f t="shared" ca="1" si="28"/>
        <v>-10000</v>
      </c>
      <c r="F446" s="43"/>
      <c r="G446" s="43"/>
      <c r="H446" s="44">
        <f t="shared" ca="1" si="27"/>
        <v>-10000</v>
      </c>
    </row>
    <row r="447" spans="2:8" x14ac:dyDescent="0.3">
      <c r="B447" s="40">
        <f t="shared" ca="1" si="29"/>
        <v>45703</v>
      </c>
      <c r="C447" s="42">
        <f t="shared" ca="1" si="26"/>
        <v>-10000</v>
      </c>
      <c r="D447" s="41"/>
      <c r="E447" s="42">
        <f t="shared" ca="1" si="28"/>
        <v>-10000</v>
      </c>
      <c r="F447" s="43"/>
      <c r="G447" s="43"/>
      <c r="H447" s="44">
        <f t="shared" ca="1" si="27"/>
        <v>-10000</v>
      </c>
    </row>
    <row r="448" spans="2:8" x14ac:dyDescent="0.3">
      <c r="B448" s="40">
        <f t="shared" ca="1" si="29"/>
        <v>45704</v>
      </c>
      <c r="C448" s="42">
        <f t="shared" ca="1" si="26"/>
        <v>-10000</v>
      </c>
      <c r="D448" s="41"/>
      <c r="E448" s="42">
        <f t="shared" ca="1" si="28"/>
        <v>-10000</v>
      </c>
      <c r="F448" s="43"/>
      <c r="G448" s="43"/>
      <c r="H448" s="44">
        <f t="shared" ca="1" si="27"/>
        <v>-10000</v>
      </c>
    </row>
    <row r="449" spans="2:8" x14ac:dyDescent="0.3">
      <c r="B449" s="40">
        <f t="shared" ca="1" si="29"/>
        <v>45705</v>
      </c>
      <c r="C449" s="42">
        <f t="shared" ca="1" si="26"/>
        <v>-10000</v>
      </c>
      <c r="D449" s="41"/>
      <c r="E449" s="42">
        <f t="shared" ca="1" si="28"/>
        <v>-10000</v>
      </c>
      <c r="F449" s="43"/>
      <c r="G449" s="43"/>
      <c r="H449" s="44">
        <f t="shared" ca="1" si="27"/>
        <v>-10000</v>
      </c>
    </row>
  </sheetData>
  <autoFilter ref="B4:H4" xr:uid="{00000000-0009-0000-0000-000007000000}"/>
  <mergeCells count="1">
    <mergeCell ref="B2:H2"/>
  </mergeCells>
  <conditionalFormatting sqref="H5:H449">
    <cfRule type="cellIs" dxfId="1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Оплаты</vt:lpstr>
      <vt:lpstr>0-99 км (130грн)</vt:lpstr>
      <vt:lpstr>100-199км (70 грн)</vt:lpstr>
      <vt:lpstr>от 200 км (60 грн)</vt:lpstr>
      <vt:lpstr>Лист1</vt:lpstr>
      <vt:lpstr> Трали Спецтехника</vt:lpstr>
      <vt:lpstr>Мелкие грузы</vt:lpstr>
      <vt:lpstr>Лист2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i.steblianko</cp:lastModifiedBy>
  <cp:lastPrinted>2024-01-19T15:35:58Z</cp:lastPrinted>
  <dcterms:created xsi:type="dcterms:W3CDTF">2023-12-18T13:39:08Z</dcterms:created>
  <dcterms:modified xsi:type="dcterms:W3CDTF">2025-07-17T12:38:35Z</dcterms:modified>
</cp:coreProperties>
</file>
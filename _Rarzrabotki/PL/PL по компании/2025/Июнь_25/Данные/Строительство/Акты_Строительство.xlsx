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нь_25\Данные\Стрпоительство\"/>
    </mc:Choice>
  </mc:AlternateContent>
  <xr:revisionPtr revIDLastSave="0" documentId="13_ncr:1_{7E8F3167-F31D-4FD6-9BC2-2934036E89B0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7" i="1" l="1"/>
  <c r="D66" i="1"/>
  <c r="D65" i="1"/>
  <c r="D64" i="1"/>
  <c r="D61" i="1"/>
  <c r="D68" i="1" l="1"/>
  <c r="D69" i="1" s="1"/>
</calcChain>
</file>

<file path=xl/sharedStrings.xml><?xml version="1.0" encoding="utf-8"?>
<sst xmlns="http://schemas.openxmlformats.org/spreadsheetml/2006/main" count="512" uniqueCount="212">
  <si>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</si>
  <si>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</si>
  <si>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</si>
  <si>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</si>
  <si>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</si>
  <si>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</si>
  <si>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</si>
  <si>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</si>
  <si>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</si>
  <si>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грн</t>
  </si>
  <si>
    <t>ТОВ "ІНДАСТРІАЛБУД"</t>
  </si>
  <si>
    <t>04.06.2025 18:13:13</t>
  </si>
  <si>
    <t>ІБ00-000303</t>
  </si>
  <si>
    <t>КАТЕРИНОПІЛЬСЬКИЙ ЕЛЕВАТОР ТОВ</t>
  </si>
  <si>
    <t>Виробничий (Катеринопіль МХП)</t>
  </si>
  <si>
    <t>Хлань Елена</t>
  </si>
  <si>
    <t>Акт 3 № 09/05/2025ВО від 09.05.2025</t>
  </si>
  <si>
    <t>05.06.2025 12:14:25</t>
  </si>
  <si>
    <t>ІБ00-000273</t>
  </si>
  <si>
    <t>АСТАРТА АГРО ПРОТЕЇН ТОВ</t>
  </si>
  <si>
    <t>Виробничий (Глобине-2)</t>
  </si>
  <si>
    <t>Аулова Маргарита</t>
  </si>
  <si>
    <t>Акт 49/1.3-КМ(Цех екстракції поз. 3 ГБ)</t>
  </si>
  <si>
    <t>05.06.2025 12:15:24</t>
  </si>
  <si>
    <t>ІБ00-000274</t>
  </si>
  <si>
    <t xml:space="preserve"> Акт 8/1.10-КБ</t>
  </si>
  <si>
    <t>05.06.2025 12:17:52</t>
  </si>
  <si>
    <t>ІБ00-000275</t>
  </si>
  <si>
    <t xml:space="preserve"> Акт 4/1.9-КМ (СПК)</t>
  </si>
  <si>
    <t>05.06.2025 12:18:50</t>
  </si>
  <si>
    <t>ІБ00-000276</t>
  </si>
  <si>
    <t>Акт 8/1.16-КБ (Насосна пожежогасіння поз.7 по ГП)</t>
  </si>
  <si>
    <t>05.06.2025 12:19:29</t>
  </si>
  <si>
    <t>ІБ00-000277</t>
  </si>
  <si>
    <t xml:space="preserve"> Акт 11/1.26_Б</t>
  </si>
  <si>
    <t>05.06.2025 12:20:17</t>
  </si>
  <si>
    <t>ІБ00-000278</t>
  </si>
  <si>
    <t xml:space="preserve"> Акт 9/1.1-КБ (АПК)</t>
  </si>
  <si>
    <t>05.06.2025 12:23:37</t>
  </si>
  <si>
    <t>ІБ00-000280</t>
  </si>
  <si>
    <t>Акт 11/1.3-ТХ (Цех екстракції поз. 3 ГБ)</t>
  </si>
  <si>
    <t>05.06.2025 12:25:24</t>
  </si>
  <si>
    <t>ІБ00-000282</t>
  </si>
  <si>
    <t>Акт 12/1.3-ТХ (Цех екстракції поз. 3 ГБ)</t>
  </si>
  <si>
    <t>05.06.2025 14:24:07</t>
  </si>
  <si>
    <t>ІБ00-000283</t>
  </si>
  <si>
    <t>Акт 50/1.3-КМ(Цех екстракції поз. 3 ГБ)</t>
  </si>
  <si>
    <t>05.06.2025 20:00:00</t>
  </si>
  <si>
    <t>ІБ00-000279</t>
  </si>
  <si>
    <t xml:space="preserve"> Акт 6/1.14-АР (Котельня)</t>
  </si>
  <si>
    <t>09.06.2025 15:56:34</t>
  </si>
  <si>
    <t>ІБ00-000302</t>
  </si>
  <si>
    <t>НІЖИНСЬКИЙ ЖИРКОМБІНАТ ПрАТ</t>
  </si>
  <si>
    <t>Виробничий (Ніжин-4)</t>
  </si>
  <si>
    <t>Акт 1</t>
  </si>
  <si>
    <t>12.06.2025 11:11:13</t>
  </si>
  <si>
    <t>ІБ00-000292</t>
  </si>
  <si>
    <t>Акт 9/1.16-КБ (Насосна пожежогасіння поз.7 по ГП)</t>
  </si>
  <si>
    <t>12.06.2025 11:11:46</t>
  </si>
  <si>
    <t>ІБ00-000293</t>
  </si>
  <si>
    <t xml:space="preserve"> Акт 7/1.14-АР (Котельня)</t>
  </si>
  <si>
    <t>12.06.2025 11:12:33</t>
  </si>
  <si>
    <t>ІБ00-000285</t>
  </si>
  <si>
    <t>Акт 13/1.3-ТХ (Цех екстракції поз. 3 ГБ)</t>
  </si>
  <si>
    <t>12.06.2025 11:13:39</t>
  </si>
  <si>
    <t>ІБ00-000295</t>
  </si>
  <si>
    <t xml:space="preserve"> Акт 9/1.10-КБ</t>
  </si>
  <si>
    <t>12.06.2025 11:14:20</t>
  </si>
  <si>
    <t>ІБ00-000296</t>
  </si>
  <si>
    <t>Акт 51/1.3-КМ(Цех екстракції поз. 3 ГБ)</t>
  </si>
  <si>
    <t>12.06.2025 11:15:04</t>
  </si>
  <si>
    <t>ІБ00-000297</t>
  </si>
  <si>
    <t xml:space="preserve"> Акт 5/1.9-КМ (СПК)</t>
  </si>
  <si>
    <t>12.06.2025 11:15:44</t>
  </si>
  <si>
    <t>ІБ00-000298</t>
  </si>
  <si>
    <t xml:space="preserve"> Акт 20/1.9-КБ (СПК)</t>
  </si>
  <si>
    <t>12.06.2025 11:16:09</t>
  </si>
  <si>
    <t>ІБ00-000299</t>
  </si>
  <si>
    <t xml:space="preserve"> Акт 13/1.9-ЗБ</t>
  </si>
  <si>
    <t>12.06.2025 11:16:38</t>
  </si>
  <si>
    <t>ІБ00-000300</t>
  </si>
  <si>
    <t>Акт 16/1.4-КБ (резервуар для зберігання розчинника)</t>
  </si>
  <si>
    <t>12.06.2025 11:18:20</t>
  </si>
  <si>
    <t>ІБ00-000301</t>
  </si>
  <si>
    <t>Акт 14/1.3-ТХ (Цех екстракції поз. 3 ГБ)</t>
  </si>
  <si>
    <t>16.06.2025 17:51:58</t>
  </si>
  <si>
    <t>ІБ00-000324</t>
  </si>
  <si>
    <t>Акт 1/2 № 09/05/2025ВО від 09.05.2025</t>
  </si>
  <si>
    <t>17.06.2025 16:34:41</t>
  </si>
  <si>
    <t>ІБ00-000341</t>
  </si>
  <si>
    <t>Акт 12</t>
  </si>
  <si>
    <t>17.06.2025 21:59:09</t>
  </si>
  <si>
    <t>ІБ00-000344</t>
  </si>
  <si>
    <t>Акт 1 ДУ 6</t>
  </si>
  <si>
    <t>18.06.2025 15:15:35</t>
  </si>
  <si>
    <t>ІБ00-000305</t>
  </si>
  <si>
    <t xml:space="preserve"> Акт 10/1.1-КБ (АПК)</t>
  </si>
  <si>
    <t>18.06.2025 15:17:01</t>
  </si>
  <si>
    <t>ІБ00-000306</t>
  </si>
  <si>
    <t>Акт 15/1.3-ТХ (Цех екстракції поз. 3 ГБ)</t>
  </si>
  <si>
    <t>18.06.2025 15:18:00</t>
  </si>
  <si>
    <t>ІБ00-000307</t>
  </si>
  <si>
    <t>Акт 52/1.3-КМ(Цех екстракції поз. 3 ГБ)</t>
  </si>
  <si>
    <t>18.06.2025 15:18:45</t>
  </si>
  <si>
    <t>ІБ00-000308</t>
  </si>
  <si>
    <t xml:space="preserve"> Акт 14/1.9-ЗБ</t>
  </si>
  <si>
    <t>18.06.2025 15:19:11</t>
  </si>
  <si>
    <t>ІБ00-000309</t>
  </si>
  <si>
    <t xml:space="preserve"> Акт 21/1.9-КБ (СПК)</t>
  </si>
  <si>
    <t>18.06.2025 15:19:40</t>
  </si>
  <si>
    <t>ІБ00-000310</t>
  </si>
  <si>
    <t xml:space="preserve"> Акт 6/1.9-КМ (СПК)</t>
  </si>
  <si>
    <t>18.06.2025 15:20:18</t>
  </si>
  <si>
    <t>ІБ00-000311</t>
  </si>
  <si>
    <t xml:space="preserve"> Акт 10/1.10-КБ</t>
  </si>
  <si>
    <t>18.06.2025 15:20:43</t>
  </si>
  <si>
    <t>ІБ00-000312</t>
  </si>
  <si>
    <t xml:space="preserve"> Акт 12/1.12-КБ (Резервуарний парк)</t>
  </si>
  <si>
    <t>18.06.2025 15:23:51</t>
  </si>
  <si>
    <t>ІБ00-000313</t>
  </si>
  <si>
    <t xml:space="preserve"> Акт 8/1.14-АР (Котельня)</t>
  </si>
  <si>
    <t>18.06.2025 15:24:54</t>
  </si>
  <si>
    <t>ІБ00-000314</t>
  </si>
  <si>
    <t xml:space="preserve"> Акт 22/1.14-КБ (Котельня)</t>
  </si>
  <si>
    <t>18.06.2025 15:25:35</t>
  </si>
  <si>
    <t>ІБ00-000315</t>
  </si>
  <si>
    <t>Акт 10/1.16-КБ (Насосна пожежогасіння поз.7 по ГП)</t>
  </si>
  <si>
    <t>18.06.2025 15:26:14</t>
  </si>
  <si>
    <t>ІБ00-000316</t>
  </si>
  <si>
    <t xml:space="preserve"> Акт 19/1.14-КМ (Котельня)</t>
  </si>
  <si>
    <t>18.06.2025 15:26:57</t>
  </si>
  <si>
    <t>ІБ00-000317</t>
  </si>
  <si>
    <t xml:space="preserve"> Акт 12/1.26_Б</t>
  </si>
  <si>
    <t>18.06.2025 15:31:39</t>
  </si>
  <si>
    <t>ІБ00-000318</t>
  </si>
  <si>
    <t>Акт 17/1.4-КБ (резервуар для зберігання розчинника)</t>
  </si>
  <si>
    <t>19.06.2025 16:21:05</t>
  </si>
  <si>
    <t>ІБ00-000321</t>
  </si>
  <si>
    <t>РЕТАЛ УКРАЇНА ТОВ</t>
  </si>
  <si>
    <t>Виробничий (Ретал ГПУ)</t>
  </si>
  <si>
    <t>Акт № 6 (Ду 2)  Договір підряду №28/07/22 від 28.07.2022  Счёт под оплату</t>
  </si>
  <si>
    <t>19.06.2025 16:21:38</t>
  </si>
  <si>
    <t>ІБ00-000322</t>
  </si>
  <si>
    <t>Акт № 2 (Ду 3)  Договір підряду № 17/12/24 від 17.12.2024</t>
  </si>
  <si>
    <t>19.06.2025 16:22:42</t>
  </si>
  <si>
    <t>ІБ00-000323</t>
  </si>
  <si>
    <t>Акт № 6 Договір підряду №28/07/22 від 28.07.2022  Счёт под оплату</t>
  </si>
  <si>
    <t>24.06.2025 18:10:16</t>
  </si>
  <si>
    <t>ІБ00-000346</t>
  </si>
  <si>
    <t>Акт 2 ДУ 2 від 24.03.2025 (насосна,градирня)</t>
  </si>
  <si>
    <t>25.06.2025 13:52:29</t>
  </si>
  <si>
    <t>ІБ00-000326</t>
  </si>
  <si>
    <t xml:space="preserve"> Акт 15/1.9-ЗБ</t>
  </si>
  <si>
    <t>25.06.2025 13:53:27</t>
  </si>
  <si>
    <t>ІБ00-000327</t>
  </si>
  <si>
    <t>Акт 29/1.3-КБ(Цех екстракції поз. 3 ГБ)</t>
  </si>
  <si>
    <t>25.06.2025 13:54:11</t>
  </si>
  <si>
    <t>ІБ00-000328</t>
  </si>
  <si>
    <t xml:space="preserve"> Акт 9/1.14-АР (Котельня)</t>
  </si>
  <si>
    <t>25.06.2025 13:54:53</t>
  </si>
  <si>
    <t>ІБ00-000329</t>
  </si>
  <si>
    <t xml:space="preserve"> Акт 11/1.1-КБ (АПК)</t>
  </si>
  <si>
    <t>25.06.2025 13:55:35</t>
  </si>
  <si>
    <t>ІБ00-000330</t>
  </si>
  <si>
    <t>Акт 18/1.4-КБ (резервуар для зберігання розчинника)</t>
  </si>
  <si>
    <t>25.06.2025 13:56:09</t>
  </si>
  <si>
    <t>ІБ00-000331</t>
  </si>
  <si>
    <t xml:space="preserve"> Акт 11/1.10-КБ</t>
  </si>
  <si>
    <t>25.06.2025 14:00:28</t>
  </si>
  <si>
    <t>ІБ00-000332</t>
  </si>
  <si>
    <t xml:space="preserve"> Акт 22/1.9-КБ (СПК)</t>
  </si>
  <si>
    <t>25.06.2025 14:02:52</t>
  </si>
  <si>
    <t>ІБ00-000333</t>
  </si>
  <si>
    <t xml:space="preserve"> Акт 20/1.14-КМ (Котельня)</t>
  </si>
  <si>
    <t>25.06.2025 14:04:57</t>
  </si>
  <si>
    <t>ІБ00-000334</t>
  </si>
  <si>
    <t>Акт 53/1.3-КМ(Цех екстракції поз. 3 ГБ)</t>
  </si>
  <si>
    <t>25.06.2025 14:06:01</t>
  </si>
  <si>
    <t>ІБ00-000335</t>
  </si>
  <si>
    <t>Акт 54/1.3-КМ(Цех екстракції поз. 3 ГБ)</t>
  </si>
  <si>
    <t>25.06.2025 14:06:33</t>
  </si>
  <si>
    <t>ІБ00-000336</t>
  </si>
  <si>
    <t>Акт 55/1.3-КМ(Цех екстракції поз. 3 ГБ)</t>
  </si>
  <si>
    <t>25.06.2025 15:03:52</t>
  </si>
  <si>
    <t>ІБ00-000337</t>
  </si>
  <si>
    <t>Акт 11/1.16-КБ (Насосна пожежогасіння поз.7 по ГП)</t>
  </si>
  <si>
    <t>25.06.2025 15:04:29</t>
  </si>
  <si>
    <t>ІБ00-000338</t>
  </si>
  <si>
    <t xml:space="preserve"> Акт 7/1.9-КМ (СПК)</t>
  </si>
  <si>
    <t>25.06.2025 15:05:05</t>
  </si>
  <si>
    <t>ІБ00-000339</t>
  </si>
  <si>
    <t>Акт 16/1.3-ТХ (Цех екстракції поз. 3 ГБ)</t>
  </si>
  <si>
    <t>30.06.2025 16:17:57</t>
  </si>
  <si>
    <t>ІБ00-000340</t>
  </si>
  <si>
    <t>Акт 17/1.3-ТХ (Цех екстракції поз. 3 ГБ)</t>
  </si>
  <si>
    <t>30.06.2025 16:56:25</t>
  </si>
  <si>
    <t>ІБ00-000304</t>
  </si>
  <si>
    <t>Договір про надання інжинірингових послуг №15/04/2</t>
  </si>
  <si>
    <t>Глобино-2</t>
  </si>
  <si>
    <t>МХП Катеринополь</t>
  </si>
  <si>
    <t>Нежин-4</t>
  </si>
  <si>
    <t>Ретал.ГПУ</t>
  </si>
  <si>
    <t>Вид операції</t>
  </si>
  <si>
    <t>Склад</t>
  </si>
  <si>
    <t>05.06.2025 11:01:08</t>
  </si>
  <si>
    <t>ІБ00-000031</t>
  </si>
  <si>
    <t>Продаж, комісія</t>
  </si>
  <si>
    <t>Вулиця</t>
  </si>
  <si>
    <t>09.06.2025 13:13:01</t>
  </si>
  <si>
    <t>ІБ00-000038</t>
  </si>
  <si>
    <t>Ніжин-4</t>
  </si>
  <si>
    <t>ЦО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</si>
</sst>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  <font>
      <sz val="10"/>
      <color indexed="63"/>
      <name val="Arial"/>
      <family val="2"/>
      <charset val="204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0" fontId="5" fillId="2" borderId="1" xfId="1" applyNumberFormat="1" applyFont="1" applyFill="1" applyBorder="1" applyAlignment="1">
      <alignment horizontal="left" vertical="top"/>
    </xf>
    <xf numFmtId="0" fontId="6" fillId="3" borderId="2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Sheet1" xfId="1" xr:uid="{FB6F26EA-CBB2-4E32-A6AC-A0B8EB6D32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52" workbookViewId="0">
      <selection activeCell="D67" sqref="D67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28.6640625" bestFit="1" customWidth="1"/>
    <col min="4" max="4" width="12.33203125" bestFit="1" customWidth="1"/>
    <col min="5" max="5" width="7.6640625" bestFit="1" customWidth="1"/>
    <col min="6" max="6" width="22.6640625" bestFit="1" customWidth="1"/>
    <col min="7" max="7" width="16.6640625" bestFit="1" customWidth="1"/>
    <col min="8" max="8" width="14.5546875" bestFit="1" customWidth="1"/>
    <col min="9" max="9" width="5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11</v>
      </c>
      <c r="B2" s="2" t="s">
        <v>12</v>
      </c>
      <c r="C2" s="2" t="s">
        <v>13</v>
      </c>
      <c r="D2" s="3">
        <v>360990.53</v>
      </c>
      <c r="E2" s="2" t="s">
        <v>9</v>
      </c>
      <c r="F2" s="2" t="s">
        <v>14</v>
      </c>
      <c r="G2" s="2" t="s">
        <v>10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3">
        <v>531623.1</v>
      </c>
      <c r="E3" s="2" t="s">
        <v>9</v>
      </c>
      <c r="F3" s="2" t="s">
        <v>20</v>
      </c>
      <c r="G3" s="2" t="s">
        <v>10</v>
      </c>
      <c r="H3" s="2" t="s">
        <v>21</v>
      </c>
      <c r="I3" s="2" t="s">
        <v>22</v>
      </c>
    </row>
    <row r="4" spans="1:9" x14ac:dyDescent="0.3">
      <c r="A4" s="2" t="s">
        <v>23</v>
      </c>
      <c r="B4" s="2" t="s">
        <v>24</v>
      </c>
      <c r="C4" s="2" t="s">
        <v>19</v>
      </c>
      <c r="D4" s="3">
        <v>307622.15000000002</v>
      </c>
      <c r="E4" s="2" t="s">
        <v>9</v>
      </c>
      <c r="F4" s="2" t="s">
        <v>20</v>
      </c>
      <c r="G4" s="2" t="s">
        <v>10</v>
      </c>
      <c r="H4" s="2" t="s">
        <v>21</v>
      </c>
      <c r="I4" s="2" t="s">
        <v>25</v>
      </c>
    </row>
    <row r="5" spans="1:9" x14ac:dyDescent="0.3">
      <c r="A5" s="2" t="s">
        <v>26</v>
      </c>
      <c r="B5" s="2" t="s">
        <v>27</v>
      </c>
      <c r="C5" s="2" t="s">
        <v>19</v>
      </c>
      <c r="D5" s="3">
        <v>916579.36</v>
      </c>
      <c r="E5" s="2" t="s">
        <v>9</v>
      </c>
      <c r="F5" s="2" t="s">
        <v>20</v>
      </c>
      <c r="G5" s="2" t="s">
        <v>10</v>
      </c>
      <c r="H5" s="2" t="s">
        <v>21</v>
      </c>
      <c r="I5" s="2" t="s">
        <v>28</v>
      </c>
    </row>
    <row r="6" spans="1:9" x14ac:dyDescent="0.3">
      <c r="A6" s="2" t="s">
        <v>29</v>
      </c>
      <c r="B6" s="2" t="s">
        <v>30</v>
      </c>
      <c r="C6" s="2" t="s">
        <v>19</v>
      </c>
      <c r="D6" s="3">
        <v>240581.12</v>
      </c>
      <c r="E6" s="2" t="s">
        <v>9</v>
      </c>
      <c r="F6" s="2" t="s">
        <v>20</v>
      </c>
      <c r="G6" s="2" t="s">
        <v>10</v>
      </c>
      <c r="H6" s="2" t="s">
        <v>21</v>
      </c>
      <c r="I6" s="2" t="s">
        <v>31</v>
      </c>
    </row>
    <row r="7" spans="1:9" x14ac:dyDescent="0.3">
      <c r="A7" s="2" t="s">
        <v>32</v>
      </c>
      <c r="B7" s="2" t="s">
        <v>33</v>
      </c>
      <c r="C7" s="2" t="s">
        <v>19</v>
      </c>
      <c r="D7" s="3">
        <v>1140670.56</v>
      </c>
      <c r="E7" s="2" t="s">
        <v>9</v>
      </c>
      <c r="F7" s="2" t="s">
        <v>20</v>
      </c>
      <c r="G7" s="2" t="s">
        <v>10</v>
      </c>
      <c r="H7" s="2" t="s">
        <v>21</v>
      </c>
      <c r="I7" s="2" t="s">
        <v>34</v>
      </c>
    </row>
    <row r="8" spans="1:9" x14ac:dyDescent="0.3">
      <c r="A8" s="2" t="s">
        <v>35</v>
      </c>
      <c r="B8" s="2" t="s">
        <v>36</v>
      </c>
      <c r="C8" s="2" t="s">
        <v>19</v>
      </c>
      <c r="D8" s="3">
        <v>133935.72</v>
      </c>
      <c r="E8" s="2" t="s">
        <v>9</v>
      </c>
      <c r="F8" s="2" t="s">
        <v>20</v>
      </c>
      <c r="G8" s="2" t="s">
        <v>10</v>
      </c>
      <c r="H8" s="2" t="s">
        <v>21</v>
      </c>
      <c r="I8" s="2" t="s">
        <v>37</v>
      </c>
    </row>
    <row r="9" spans="1:9" x14ac:dyDescent="0.3">
      <c r="A9" s="2" t="s">
        <v>38</v>
      </c>
      <c r="B9" s="2" t="s">
        <v>39</v>
      </c>
      <c r="C9" s="2" t="s">
        <v>19</v>
      </c>
      <c r="D9" s="3">
        <v>1058856.25</v>
      </c>
      <c r="E9" s="2" t="s">
        <v>9</v>
      </c>
      <c r="F9" s="2" t="s">
        <v>20</v>
      </c>
      <c r="G9" s="2" t="s">
        <v>10</v>
      </c>
      <c r="H9" s="2" t="s">
        <v>21</v>
      </c>
      <c r="I9" s="2" t="s">
        <v>40</v>
      </c>
    </row>
    <row r="10" spans="1:9" x14ac:dyDescent="0.3">
      <c r="A10" s="2" t="s">
        <v>41</v>
      </c>
      <c r="B10" s="2" t="s">
        <v>42</v>
      </c>
      <c r="C10" s="2" t="s">
        <v>19</v>
      </c>
      <c r="D10" s="3">
        <v>2739197.65</v>
      </c>
      <c r="E10" s="2" t="s">
        <v>9</v>
      </c>
      <c r="F10" s="2" t="s">
        <v>20</v>
      </c>
      <c r="G10" s="2" t="s">
        <v>10</v>
      </c>
      <c r="H10" s="2" t="s">
        <v>21</v>
      </c>
      <c r="I10" s="2" t="s">
        <v>43</v>
      </c>
    </row>
    <row r="11" spans="1:9" x14ac:dyDescent="0.3">
      <c r="A11" s="2" t="s">
        <v>44</v>
      </c>
      <c r="B11" s="2" t="s">
        <v>45</v>
      </c>
      <c r="C11" s="2" t="s">
        <v>19</v>
      </c>
      <c r="D11" s="3">
        <v>551842.61</v>
      </c>
      <c r="E11" s="2" t="s">
        <v>9</v>
      </c>
      <c r="F11" s="2" t="s">
        <v>20</v>
      </c>
      <c r="G11" s="2" t="s">
        <v>10</v>
      </c>
      <c r="H11" s="2" t="s">
        <v>21</v>
      </c>
      <c r="I11" s="2" t="s">
        <v>46</v>
      </c>
    </row>
    <row r="12" spans="1:9" x14ac:dyDescent="0.3">
      <c r="A12" s="2" t="s">
        <v>47</v>
      </c>
      <c r="B12" s="2" t="s">
        <v>48</v>
      </c>
      <c r="C12" s="2" t="s">
        <v>19</v>
      </c>
      <c r="D12" s="3">
        <v>437378.84</v>
      </c>
      <c r="E12" s="2" t="s">
        <v>9</v>
      </c>
      <c r="F12" s="2" t="s">
        <v>20</v>
      </c>
      <c r="G12" s="2" t="s">
        <v>10</v>
      </c>
      <c r="H12" s="2" t="s">
        <v>21</v>
      </c>
      <c r="I12" s="2" t="s">
        <v>49</v>
      </c>
    </row>
    <row r="13" spans="1:9" x14ac:dyDescent="0.3">
      <c r="A13" s="2" t="s">
        <v>50</v>
      </c>
      <c r="B13" s="2" t="s">
        <v>51</v>
      </c>
      <c r="C13" s="2" t="s">
        <v>52</v>
      </c>
      <c r="D13" s="3">
        <v>496598.53</v>
      </c>
      <c r="E13" s="2" t="s">
        <v>9</v>
      </c>
      <c r="F13" s="2" t="s">
        <v>53</v>
      </c>
      <c r="G13" s="2" t="s">
        <v>10</v>
      </c>
      <c r="H13" s="2" t="s">
        <v>15</v>
      </c>
      <c r="I13" s="2" t="s">
        <v>54</v>
      </c>
    </row>
    <row r="14" spans="1:9" x14ac:dyDescent="0.3">
      <c r="A14" s="2" t="s">
        <v>55</v>
      </c>
      <c r="B14" s="2" t="s">
        <v>56</v>
      </c>
      <c r="C14" s="2" t="s">
        <v>19</v>
      </c>
      <c r="D14" s="3">
        <v>397896.84</v>
      </c>
      <c r="E14" s="2" t="s">
        <v>9</v>
      </c>
      <c r="F14" s="2" t="s">
        <v>20</v>
      </c>
      <c r="G14" s="2" t="s">
        <v>10</v>
      </c>
      <c r="H14" s="2" t="s">
        <v>15</v>
      </c>
      <c r="I14" s="2" t="s">
        <v>57</v>
      </c>
    </row>
    <row r="15" spans="1:9" x14ac:dyDescent="0.3">
      <c r="A15" s="2" t="s">
        <v>58</v>
      </c>
      <c r="B15" s="2" t="s">
        <v>59</v>
      </c>
      <c r="C15" s="2" t="s">
        <v>19</v>
      </c>
      <c r="D15" s="3">
        <v>744033</v>
      </c>
      <c r="E15" s="2" t="s">
        <v>9</v>
      </c>
      <c r="F15" s="2" t="s">
        <v>20</v>
      </c>
      <c r="G15" s="2" t="s">
        <v>10</v>
      </c>
      <c r="H15" s="2" t="s">
        <v>15</v>
      </c>
      <c r="I15" s="2" t="s">
        <v>60</v>
      </c>
    </row>
    <row r="16" spans="1:9" x14ac:dyDescent="0.3">
      <c r="A16" s="2" t="s">
        <v>61</v>
      </c>
      <c r="B16" s="2" t="s">
        <v>62</v>
      </c>
      <c r="C16" s="2" t="s">
        <v>19</v>
      </c>
      <c r="D16" s="3">
        <v>7693703.71</v>
      </c>
      <c r="E16" s="2" t="s">
        <v>9</v>
      </c>
      <c r="F16" s="2" t="s">
        <v>20</v>
      </c>
      <c r="G16" s="2" t="s">
        <v>10</v>
      </c>
      <c r="H16" s="2" t="s">
        <v>15</v>
      </c>
      <c r="I16" s="2" t="s">
        <v>63</v>
      </c>
    </row>
    <row r="17" spans="1:9" x14ac:dyDescent="0.3">
      <c r="A17" s="2" t="s">
        <v>64</v>
      </c>
      <c r="B17" s="2" t="s">
        <v>65</v>
      </c>
      <c r="C17" s="2" t="s">
        <v>19</v>
      </c>
      <c r="D17" s="3">
        <v>48772.86</v>
      </c>
      <c r="E17" s="2" t="s">
        <v>9</v>
      </c>
      <c r="F17" s="2" t="s">
        <v>20</v>
      </c>
      <c r="G17" s="2" t="s">
        <v>10</v>
      </c>
      <c r="H17" s="2" t="s">
        <v>15</v>
      </c>
      <c r="I17" s="2" t="s">
        <v>66</v>
      </c>
    </row>
    <row r="18" spans="1:9" x14ac:dyDescent="0.3">
      <c r="A18" s="2" t="s">
        <v>67</v>
      </c>
      <c r="B18" s="2" t="s">
        <v>68</v>
      </c>
      <c r="C18" s="2" t="s">
        <v>19</v>
      </c>
      <c r="D18" s="3">
        <v>1006561.42</v>
      </c>
      <c r="E18" s="2" t="s">
        <v>9</v>
      </c>
      <c r="F18" s="2" t="s">
        <v>20</v>
      </c>
      <c r="G18" s="2" t="s">
        <v>10</v>
      </c>
      <c r="H18" s="2" t="s">
        <v>15</v>
      </c>
      <c r="I18" s="2" t="s">
        <v>69</v>
      </c>
    </row>
    <row r="19" spans="1:9" x14ac:dyDescent="0.3">
      <c r="A19" s="2" t="s">
        <v>70</v>
      </c>
      <c r="B19" s="2" t="s">
        <v>71</v>
      </c>
      <c r="C19" s="2" t="s">
        <v>19</v>
      </c>
      <c r="D19" s="3">
        <v>2149828.42</v>
      </c>
      <c r="E19" s="2" t="s">
        <v>9</v>
      </c>
      <c r="F19" s="2" t="s">
        <v>20</v>
      </c>
      <c r="G19" s="2" t="s">
        <v>10</v>
      </c>
      <c r="H19" s="2" t="s">
        <v>15</v>
      </c>
      <c r="I19" s="2" t="s">
        <v>72</v>
      </c>
    </row>
    <row r="20" spans="1:9" x14ac:dyDescent="0.3">
      <c r="A20" s="2" t="s">
        <v>73</v>
      </c>
      <c r="B20" s="2" t="s">
        <v>74</v>
      </c>
      <c r="C20" s="2" t="s">
        <v>19</v>
      </c>
      <c r="D20" s="3">
        <v>53698.7</v>
      </c>
      <c r="E20" s="2" t="s">
        <v>9</v>
      </c>
      <c r="F20" s="2" t="s">
        <v>20</v>
      </c>
      <c r="G20" s="2" t="s">
        <v>10</v>
      </c>
      <c r="H20" s="2" t="s">
        <v>15</v>
      </c>
      <c r="I20" s="2" t="s">
        <v>75</v>
      </c>
    </row>
    <row r="21" spans="1:9" x14ac:dyDescent="0.3">
      <c r="A21" s="2" t="s">
        <v>76</v>
      </c>
      <c r="B21" s="2" t="s">
        <v>77</v>
      </c>
      <c r="C21" s="2" t="s">
        <v>19</v>
      </c>
      <c r="D21" s="3">
        <v>963989.7</v>
      </c>
      <c r="E21" s="2" t="s">
        <v>9</v>
      </c>
      <c r="F21" s="2" t="s">
        <v>20</v>
      </c>
      <c r="G21" s="2" t="s">
        <v>10</v>
      </c>
      <c r="H21" s="2" t="s">
        <v>15</v>
      </c>
      <c r="I21" s="2" t="s">
        <v>78</v>
      </c>
    </row>
    <row r="22" spans="1:9" x14ac:dyDescent="0.3">
      <c r="A22" s="2" t="s">
        <v>79</v>
      </c>
      <c r="B22" s="2" t="s">
        <v>80</v>
      </c>
      <c r="C22" s="2" t="s">
        <v>19</v>
      </c>
      <c r="D22" s="3">
        <v>112740.28</v>
      </c>
      <c r="E22" s="2" t="s">
        <v>9</v>
      </c>
      <c r="F22" s="2" t="s">
        <v>20</v>
      </c>
      <c r="G22" s="2" t="s">
        <v>10</v>
      </c>
      <c r="H22" s="2" t="s">
        <v>15</v>
      </c>
      <c r="I22" s="2" t="s">
        <v>81</v>
      </c>
    </row>
    <row r="23" spans="1:9" x14ac:dyDescent="0.3">
      <c r="A23" s="2" t="s">
        <v>82</v>
      </c>
      <c r="B23" s="2" t="s">
        <v>83</v>
      </c>
      <c r="C23" s="2" t="s">
        <v>19</v>
      </c>
      <c r="D23" s="3">
        <v>181074.4</v>
      </c>
      <c r="E23" s="2" t="s">
        <v>9</v>
      </c>
      <c r="F23" s="2" t="s">
        <v>20</v>
      </c>
      <c r="G23" s="2" t="s">
        <v>10</v>
      </c>
      <c r="H23" s="2" t="s">
        <v>15</v>
      </c>
      <c r="I23" s="2" t="s">
        <v>84</v>
      </c>
    </row>
    <row r="24" spans="1:9" x14ac:dyDescent="0.3">
      <c r="A24" s="2" t="s">
        <v>85</v>
      </c>
      <c r="B24" s="2" t="s">
        <v>86</v>
      </c>
      <c r="C24" s="2" t="s">
        <v>13</v>
      </c>
      <c r="D24" s="3">
        <v>228648.8</v>
      </c>
      <c r="E24" s="2" t="s">
        <v>9</v>
      </c>
      <c r="F24" s="2" t="s">
        <v>14</v>
      </c>
      <c r="G24" s="2" t="s">
        <v>10</v>
      </c>
      <c r="H24" s="2" t="s">
        <v>15</v>
      </c>
      <c r="I24" s="2" t="s">
        <v>87</v>
      </c>
    </row>
    <row r="25" spans="1:9" x14ac:dyDescent="0.3">
      <c r="A25" s="2" t="s">
        <v>88</v>
      </c>
      <c r="B25" s="2" t="s">
        <v>89</v>
      </c>
      <c r="C25" s="2" t="s">
        <v>13</v>
      </c>
      <c r="D25" s="3">
        <v>855962.26</v>
      </c>
      <c r="E25" s="2" t="s">
        <v>9</v>
      </c>
      <c r="F25" s="2" t="s">
        <v>14</v>
      </c>
      <c r="G25" s="2" t="s">
        <v>10</v>
      </c>
      <c r="H25" s="2" t="s">
        <v>15</v>
      </c>
      <c r="I25" s="2" t="s">
        <v>90</v>
      </c>
    </row>
    <row r="26" spans="1:9" x14ac:dyDescent="0.3">
      <c r="A26" s="2" t="s">
        <v>91</v>
      </c>
      <c r="B26" s="2" t="s">
        <v>92</v>
      </c>
      <c r="C26" s="2" t="s">
        <v>13</v>
      </c>
      <c r="D26" s="3">
        <v>427420.39</v>
      </c>
      <c r="E26" s="2" t="s">
        <v>9</v>
      </c>
      <c r="F26" s="2" t="s">
        <v>14</v>
      </c>
      <c r="G26" s="2" t="s">
        <v>10</v>
      </c>
      <c r="H26" s="2" t="s">
        <v>15</v>
      </c>
      <c r="I26" s="2" t="s">
        <v>93</v>
      </c>
    </row>
    <row r="27" spans="1:9" x14ac:dyDescent="0.3">
      <c r="A27" s="2" t="s">
        <v>94</v>
      </c>
      <c r="B27" s="2" t="s">
        <v>95</v>
      </c>
      <c r="C27" s="2" t="s">
        <v>19</v>
      </c>
      <c r="D27" s="3">
        <v>1329048.5900000001</v>
      </c>
      <c r="E27" s="2" t="s">
        <v>9</v>
      </c>
      <c r="F27" s="2" t="s">
        <v>20</v>
      </c>
      <c r="G27" s="2" t="s">
        <v>10</v>
      </c>
      <c r="H27" s="2" t="s">
        <v>15</v>
      </c>
      <c r="I27" s="2" t="s">
        <v>96</v>
      </c>
    </row>
    <row r="28" spans="1:9" x14ac:dyDescent="0.3">
      <c r="A28" s="2" t="s">
        <v>97</v>
      </c>
      <c r="B28" s="2" t="s">
        <v>98</v>
      </c>
      <c r="C28" s="2" t="s">
        <v>19</v>
      </c>
      <c r="D28" s="3">
        <v>1787088.14</v>
      </c>
      <c r="E28" s="2" t="s">
        <v>9</v>
      </c>
      <c r="F28" s="2" t="s">
        <v>20</v>
      </c>
      <c r="G28" s="2" t="s">
        <v>10</v>
      </c>
      <c r="H28" s="2" t="s">
        <v>15</v>
      </c>
      <c r="I28" s="2" t="s">
        <v>99</v>
      </c>
    </row>
    <row r="29" spans="1:9" x14ac:dyDescent="0.3">
      <c r="A29" s="2" t="s">
        <v>100</v>
      </c>
      <c r="B29" s="2" t="s">
        <v>101</v>
      </c>
      <c r="C29" s="2" t="s">
        <v>19</v>
      </c>
      <c r="D29" s="3">
        <v>426258.22</v>
      </c>
      <c r="E29" s="2" t="s">
        <v>9</v>
      </c>
      <c r="F29" s="2" t="s">
        <v>20</v>
      </c>
      <c r="G29" s="2" t="s">
        <v>10</v>
      </c>
      <c r="H29" s="2" t="s">
        <v>15</v>
      </c>
      <c r="I29" s="2" t="s">
        <v>102</v>
      </c>
    </row>
    <row r="30" spans="1:9" x14ac:dyDescent="0.3">
      <c r="A30" s="2" t="s">
        <v>103</v>
      </c>
      <c r="B30" s="2" t="s">
        <v>104</v>
      </c>
      <c r="C30" s="2" t="s">
        <v>19</v>
      </c>
      <c r="D30" s="3">
        <v>537430.85</v>
      </c>
      <c r="E30" s="2" t="s">
        <v>9</v>
      </c>
      <c r="F30" s="2" t="s">
        <v>20</v>
      </c>
      <c r="G30" s="2" t="s">
        <v>10</v>
      </c>
      <c r="H30" s="2" t="s">
        <v>15</v>
      </c>
      <c r="I30" s="2" t="s">
        <v>105</v>
      </c>
    </row>
    <row r="31" spans="1:9" x14ac:dyDescent="0.3">
      <c r="A31" s="2" t="s">
        <v>106</v>
      </c>
      <c r="B31" s="2" t="s">
        <v>107</v>
      </c>
      <c r="C31" s="2" t="s">
        <v>19</v>
      </c>
      <c r="D31" s="3">
        <v>16002</v>
      </c>
      <c r="E31" s="2" t="s">
        <v>9</v>
      </c>
      <c r="F31" s="2" t="s">
        <v>20</v>
      </c>
      <c r="G31" s="2" t="s">
        <v>10</v>
      </c>
      <c r="H31" s="2" t="s">
        <v>15</v>
      </c>
      <c r="I31" s="2" t="s">
        <v>108</v>
      </c>
    </row>
    <row r="32" spans="1:9" x14ac:dyDescent="0.3">
      <c r="A32" s="2" t="s">
        <v>109</v>
      </c>
      <c r="B32" s="2" t="s">
        <v>110</v>
      </c>
      <c r="C32" s="2" t="s">
        <v>19</v>
      </c>
      <c r="D32" s="3">
        <v>325376.88</v>
      </c>
      <c r="E32" s="2" t="s">
        <v>9</v>
      </c>
      <c r="F32" s="2" t="s">
        <v>20</v>
      </c>
      <c r="G32" s="2" t="s">
        <v>10</v>
      </c>
      <c r="H32" s="2" t="s">
        <v>15</v>
      </c>
      <c r="I32" s="2" t="s">
        <v>111</v>
      </c>
    </row>
    <row r="33" spans="1:9" x14ac:dyDescent="0.3">
      <c r="A33" s="2" t="s">
        <v>112</v>
      </c>
      <c r="B33" s="2" t="s">
        <v>113</v>
      </c>
      <c r="C33" s="2" t="s">
        <v>19</v>
      </c>
      <c r="D33" s="3">
        <v>135942.85</v>
      </c>
      <c r="E33" s="2" t="s">
        <v>9</v>
      </c>
      <c r="F33" s="2" t="s">
        <v>20</v>
      </c>
      <c r="G33" s="2" t="s">
        <v>10</v>
      </c>
      <c r="H33" s="2" t="s">
        <v>15</v>
      </c>
      <c r="I33" s="2" t="s">
        <v>114</v>
      </c>
    </row>
    <row r="34" spans="1:9" x14ac:dyDescent="0.3">
      <c r="A34" s="2" t="s">
        <v>115</v>
      </c>
      <c r="B34" s="2" t="s">
        <v>116</v>
      </c>
      <c r="C34" s="2" t="s">
        <v>19</v>
      </c>
      <c r="D34" s="3">
        <v>4752</v>
      </c>
      <c r="E34" s="2" t="s">
        <v>9</v>
      </c>
      <c r="F34" s="2" t="s">
        <v>20</v>
      </c>
      <c r="G34" s="2" t="s">
        <v>10</v>
      </c>
      <c r="H34" s="2" t="s">
        <v>15</v>
      </c>
      <c r="I34" s="2" t="s">
        <v>117</v>
      </c>
    </row>
    <row r="35" spans="1:9" x14ac:dyDescent="0.3">
      <c r="A35" s="2" t="s">
        <v>118</v>
      </c>
      <c r="B35" s="2" t="s">
        <v>119</v>
      </c>
      <c r="C35" s="2" t="s">
        <v>19</v>
      </c>
      <c r="D35" s="3">
        <v>1077300.76</v>
      </c>
      <c r="E35" s="2" t="s">
        <v>9</v>
      </c>
      <c r="F35" s="2" t="s">
        <v>20</v>
      </c>
      <c r="G35" s="2" t="s">
        <v>10</v>
      </c>
      <c r="H35" s="2" t="s">
        <v>15</v>
      </c>
      <c r="I35" s="2" t="s">
        <v>120</v>
      </c>
    </row>
    <row r="36" spans="1:9" x14ac:dyDescent="0.3">
      <c r="A36" s="2" t="s">
        <v>121</v>
      </c>
      <c r="B36" s="2" t="s">
        <v>122</v>
      </c>
      <c r="C36" s="2" t="s">
        <v>19</v>
      </c>
      <c r="D36" s="3">
        <v>159527.29</v>
      </c>
      <c r="E36" s="2" t="s">
        <v>9</v>
      </c>
      <c r="F36" s="2" t="s">
        <v>20</v>
      </c>
      <c r="G36" s="2" t="s">
        <v>10</v>
      </c>
      <c r="H36" s="2" t="s">
        <v>15</v>
      </c>
      <c r="I36" s="2" t="s">
        <v>123</v>
      </c>
    </row>
    <row r="37" spans="1:9" x14ac:dyDescent="0.3">
      <c r="A37" s="2" t="s">
        <v>124</v>
      </c>
      <c r="B37" s="2" t="s">
        <v>125</v>
      </c>
      <c r="C37" s="2" t="s">
        <v>19</v>
      </c>
      <c r="D37" s="3">
        <v>612339.91</v>
      </c>
      <c r="E37" s="2" t="s">
        <v>9</v>
      </c>
      <c r="F37" s="2" t="s">
        <v>20</v>
      </c>
      <c r="G37" s="2" t="s">
        <v>10</v>
      </c>
      <c r="H37" s="2" t="s">
        <v>15</v>
      </c>
      <c r="I37" s="2" t="s">
        <v>126</v>
      </c>
    </row>
    <row r="38" spans="1:9" x14ac:dyDescent="0.3">
      <c r="A38" s="2" t="s">
        <v>127</v>
      </c>
      <c r="B38" s="2" t="s">
        <v>128</v>
      </c>
      <c r="C38" s="2" t="s">
        <v>19</v>
      </c>
      <c r="D38" s="3">
        <v>67869.039999999994</v>
      </c>
      <c r="E38" s="2" t="s">
        <v>9</v>
      </c>
      <c r="F38" s="2" t="s">
        <v>20</v>
      </c>
      <c r="G38" s="2" t="s">
        <v>10</v>
      </c>
      <c r="H38" s="2" t="s">
        <v>15</v>
      </c>
      <c r="I38" s="2" t="s">
        <v>129</v>
      </c>
    </row>
    <row r="39" spans="1:9" x14ac:dyDescent="0.3">
      <c r="A39" s="2" t="s">
        <v>130</v>
      </c>
      <c r="B39" s="2" t="s">
        <v>131</v>
      </c>
      <c r="C39" s="2" t="s">
        <v>19</v>
      </c>
      <c r="D39" s="3">
        <v>111810.77</v>
      </c>
      <c r="E39" s="2" t="s">
        <v>9</v>
      </c>
      <c r="F39" s="2" t="s">
        <v>20</v>
      </c>
      <c r="G39" s="2" t="s">
        <v>10</v>
      </c>
      <c r="H39" s="2" t="s">
        <v>15</v>
      </c>
      <c r="I39" s="2" t="s">
        <v>132</v>
      </c>
    </row>
    <row r="40" spans="1:9" x14ac:dyDescent="0.3">
      <c r="A40" s="2" t="s">
        <v>133</v>
      </c>
      <c r="B40" s="2" t="s">
        <v>134</v>
      </c>
      <c r="C40" s="2" t="s">
        <v>19</v>
      </c>
      <c r="D40" s="3">
        <v>225782.94</v>
      </c>
      <c r="E40" s="2" t="s">
        <v>9</v>
      </c>
      <c r="F40" s="2" t="s">
        <v>20</v>
      </c>
      <c r="G40" s="2" t="s">
        <v>10</v>
      </c>
      <c r="H40" s="2" t="s">
        <v>15</v>
      </c>
      <c r="I40" s="2" t="s">
        <v>135</v>
      </c>
    </row>
    <row r="41" spans="1:9" x14ac:dyDescent="0.3">
      <c r="A41" s="2" t="s">
        <v>136</v>
      </c>
      <c r="B41" s="2" t="s">
        <v>137</v>
      </c>
      <c r="C41" s="2" t="s">
        <v>138</v>
      </c>
      <c r="D41" s="3">
        <v>214371.92</v>
      </c>
      <c r="E41" s="2" t="s">
        <v>9</v>
      </c>
      <c r="F41" s="2" t="s">
        <v>139</v>
      </c>
      <c r="G41" s="2" t="s">
        <v>10</v>
      </c>
      <c r="H41" s="2" t="s">
        <v>15</v>
      </c>
      <c r="I41" s="2" t="s">
        <v>140</v>
      </c>
    </row>
    <row r="42" spans="1:9" x14ac:dyDescent="0.3">
      <c r="A42" s="2" t="s">
        <v>141</v>
      </c>
      <c r="B42" s="2" t="s">
        <v>142</v>
      </c>
      <c r="C42" s="2" t="s">
        <v>138</v>
      </c>
      <c r="D42" s="3">
        <v>103281.28</v>
      </c>
      <c r="E42" s="2" t="s">
        <v>9</v>
      </c>
      <c r="F42" s="2" t="s">
        <v>139</v>
      </c>
      <c r="G42" s="2" t="s">
        <v>10</v>
      </c>
      <c r="H42" s="2" t="s">
        <v>15</v>
      </c>
      <c r="I42" s="2" t="s">
        <v>143</v>
      </c>
    </row>
    <row r="43" spans="1:9" x14ac:dyDescent="0.3">
      <c r="A43" s="2" t="s">
        <v>144</v>
      </c>
      <c r="B43" s="2" t="s">
        <v>145</v>
      </c>
      <c r="C43" s="2" t="s">
        <v>138</v>
      </c>
      <c r="D43" s="3">
        <v>22579.919999999998</v>
      </c>
      <c r="E43" s="2" t="s">
        <v>9</v>
      </c>
      <c r="F43" s="2" t="s">
        <v>139</v>
      </c>
      <c r="G43" s="2" t="s">
        <v>10</v>
      </c>
      <c r="H43" s="2" t="s">
        <v>15</v>
      </c>
      <c r="I43" s="2" t="s">
        <v>146</v>
      </c>
    </row>
    <row r="44" spans="1:9" x14ac:dyDescent="0.3">
      <c r="A44" s="2" t="s">
        <v>147</v>
      </c>
      <c r="B44" s="2" t="s">
        <v>148</v>
      </c>
      <c r="C44" s="2" t="s">
        <v>13</v>
      </c>
      <c r="D44" s="3">
        <v>208440.46</v>
      </c>
      <c r="E44" s="2" t="s">
        <v>9</v>
      </c>
      <c r="F44" s="2" t="s">
        <v>14</v>
      </c>
      <c r="G44" s="2" t="s">
        <v>10</v>
      </c>
      <c r="H44" s="2" t="s">
        <v>15</v>
      </c>
      <c r="I44" s="2" t="s">
        <v>149</v>
      </c>
    </row>
    <row r="45" spans="1:9" x14ac:dyDescent="0.3">
      <c r="A45" s="2" t="s">
        <v>150</v>
      </c>
      <c r="B45" s="2" t="s">
        <v>151</v>
      </c>
      <c r="C45" s="2" t="s">
        <v>19</v>
      </c>
      <c r="D45" s="3">
        <v>2235542.71</v>
      </c>
      <c r="E45" s="2" t="s">
        <v>9</v>
      </c>
      <c r="F45" s="2" t="s">
        <v>20</v>
      </c>
      <c r="G45" s="2" t="s">
        <v>10</v>
      </c>
      <c r="H45" s="2" t="s">
        <v>15</v>
      </c>
      <c r="I45" s="2" t="s">
        <v>152</v>
      </c>
    </row>
    <row r="46" spans="1:9" x14ac:dyDescent="0.3">
      <c r="A46" s="2" t="s">
        <v>153</v>
      </c>
      <c r="B46" s="2" t="s">
        <v>154</v>
      </c>
      <c r="C46" s="2" t="s">
        <v>19</v>
      </c>
      <c r="D46" s="3">
        <v>4643.75</v>
      </c>
      <c r="E46" s="2" t="s">
        <v>9</v>
      </c>
      <c r="F46" s="2" t="s">
        <v>20</v>
      </c>
      <c r="G46" s="2" t="s">
        <v>10</v>
      </c>
      <c r="H46" s="2" t="s">
        <v>15</v>
      </c>
      <c r="I46" s="2" t="s">
        <v>155</v>
      </c>
    </row>
    <row r="47" spans="1:9" x14ac:dyDescent="0.3">
      <c r="A47" s="2" t="s">
        <v>156</v>
      </c>
      <c r="B47" s="2" t="s">
        <v>157</v>
      </c>
      <c r="C47" s="2" t="s">
        <v>19</v>
      </c>
      <c r="D47" s="3">
        <v>3566277.19</v>
      </c>
      <c r="E47" s="2" t="s">
        <v>9</v>
      </c>
      <c r="F47" s="2" t="s">
        <v>20</v>
      </c>
      <c r="G47" s="2" t="s">
        <v>10</v>
      </c>
      <c r="H47" s="2" t="s">
        <v>15</v>
      </c>
      <c r="I47" s="2" t="s">
        <v>158</v>
      </c>
    </row>
    <row r="48" spans="1:9" x14ac:dyDescent="0.3">
      <c r="A48" s="2" t="s">
        <v>159</v>
      </c>
      <c r="B48" s="2" t="s">
        <v>160</v>
      </c>
      <c r="C48" s="2" t="s">
        <v>19</v>
      </c>
      <c r="D48" s="3">
        <v>97609.33</v>
      </c>
      <c r="E48" s="2" t="s">
        <v>9</v>
      </c>
      <c r="F48" s="2" t="s">
        <v>20</v>
      </c>
      <c r="G48" s="2" t="s">
        <v>10</v>
      </c>
      <c r="H48" s="2" t="s">
        <v>15</v>
      </c>
      <c r="I48" s="2" t="s">
        <v>161</v>
      </c>
    </row>
    <row r="49" spans="1:9" x14ac:dyDescent="0.3">
      <c r="A49" s="2" t="s">
        <v>162</v>
      </c>
      <c r="B49" s="2" t="s">
        <v>163</v>
      </c>
      <c r="C49" s="2" t="s">
        <v>19</v>
      </c>
      <c r="D49" s="3">
        <v>817003.99</v>
      </c>
      <c r="E49" s="2" t="s">
        <v>9</v>
      </c>
      <c r="F49" s="2" t="s">
        <v>20</v>
      </c>
      <c r="G49" s="2" t="s">
        <v>10</v>
      </c>
      <c r="H49" s="2" t="s">
        <v>15</v>
      </c>
      <c r="I49" s="2" t="s">
        <v>164</v>
      </c>
    </row>
    <row r="50" spans="1:9" x14ac:dyDescent="0.3">
      <c r="A50" s="2" t="s">
        <v>165</v>
      </c>
      <c r="B50" s="2" t="s">
        <v>166</v>
      </c>
      <c r="C50" s="2" t="s">
        <v>19</v>
      </c>
      <c r="D50" s="3">
        <v>62176.1</v>
      </c>
      <c r="E50" s="2" t="s">
        <v>9</v>
      </c>
      <c r="F50" s="2" t="s">
        <v>20</v>
      </c>
      <c r="G50" s="2" t="s">
        <v>10</v>
      </c>
      <c r="H50" s="2" t="s">
        <v>15</v>
      </c>
      <c r="I50" s="2" t="s">
        <v>167</v>
      </c>
    </row>
    <row r="51" spans="1:9" x14ac:dyDescent="0.3">
      <c r="A51" s="2" t="s">
        <v>168</v>
      </c>
      <c r="B51" s="2" t="s">
        <v>169</v>
      </c>
      <c r="C51" s="2" t="s">
        <v>19</v>
      </c>
      <c r="D51" s="3">
        <v>32793.83</v>
      </c>
      <c r="E51" s="2" t="s">
        <v>9</v>
      </c>
      <c r="F51" s="2" t="s">
        <v>20</v>
      </c>
      <c r="G51" s="2" t="s">
        <v>10</v>
      </c>
      <c r="H51" s="2" t="s">
        <v>15</v>
      </c>
      <c r="I51" s="2" t="s">
        <v>170</v>
      </c>
    </row>
    <row r="52" spans="1:9" x14ac:dyDescent="0.3">
      <c r="A52" s="2" t="s">
        <v>171</v>
      </c>
      <c r="B52" s="2" t="s">
        <v>172</v>
      </c>
      <c r="C52" s="2" t="s">
        <v>19</v>
      </c>
      <c r="D52" s="3">
        <v>9650.7000000000007</v>
      </c>
      <c r="E52" s="2" t="s">
        <v>9</v>
      </c>
      <c r="F52" s="2" t="s">
        <v>20</v>
      </c>
      <c r="G52" s="2" t="s">
        <v>10</v>
      </c>
      <c r="H52" s="2" t="s">
        <v>15</v>
      </c>
      <c r="I52" s="2" t="s">
        <v>173</v>
      </c>
    </row>
    <row r="53" spans="1:9" x14ac:dyDescent="0.3">
      <c r="A53" s="2" t="s">
        <v>174</v>
      </c>
      <c r="B53" s="2" t="s">
        <v>175</v>
      </c>
      <c r="C53" s="2" t="s">
        <v>19</v>
      </c>
      <c r="D53" s="3">
        <v>2653472.62</v>
      </c>
      <c r="E53" s="2" t="s">
        <v>9</v>
      </c>
      <c r="F53" s="2" t="s">
        <v>20</v>
      </c>
      <c r="G53" s="2" t="s">
        <v>10</v>
      </c>
      <c r="H53" s="2" t="s">
        <v>15</v>
      </c>
      <c r="I53" s="2" t="s">
        <v>176</v>
      </c>
    </row>
    <row r="54" spans="1:9" x14ac:dyDescent="0.3">
      <c r="A54" s="2" t="s">
        <v>177</v>
      </c>
      <c r="B54" s="2" t="s">
        <v>178</v>
      </c>
      <c r="C54" s="2" t="s">
        <v>19</v>
      </c>
      <c r="D54" s="3">
        <v>589356.82999999996</v>
      </c>
      <c r="E54" s="2" t="s">
        <v>9</v>
      </c>
      <c r="F54" s="2" t="s">
        <v>20</v>
      </c>
      <c r="G54" s="2" t="s">
        <v>10</v>
      </c>
      <c r="H54" s="2" t="s">
        <v>15</v>
      </c>
      <c r="I54" s="2" t="s">
        <v>179</v>
      </c>
    </row>
    <row r="55" spans="1:9" x14ac:dyDescent="0.3">
      <c r="A55" s="2" t="s">
        <v>180</v>
      </c>
      <c r="B55" s="2" t="s">
        <v>181</v>
      </c>
      <c r="C55" s="2" t="s">
        <v>19</v>
      </c>
      <c r="D55" s="3">
        <v>719705.94</v>
      </c>
      <c r="E55" s="2" t="s">
        <v>9</v>
      </c>
      <c r="F55" s="2" t="s">
        <v>20</v>
      </c>
      <c r="G55" s="2" t="s">
        <v>10</v>
      </c>
      <c r="H55" s="2" t="s">
        <v>15</v>
      </c>
      <c r="I55" s="2" t="s">
        <v>182</v>
      </c>
    </row>
    <row r="56" spans="1:9" x14ac:dyDescent="0.3">
      <c r="A56" s="2" t="s">
        <v>183</v>
      </c>
      <c r="B56" s="2" t="s">
        <v>184</v>
      </c>
      <c r="C56" s="2" t="s">
        <v>19</v>
      </c>
      <c r="D56" s="3">
        <v>543315.18000000005</v>
      </c>
      <c r="E56" s="2" t="s">
        <v>9</v>
      </c>
      <c r="F56" s="2" t="s">
        <v>20</v>
      </c>
      <c r="G56" s="2" t="s">
        <v>10</v>
      </c>
      <c r="H56" s="2" t="s">
        <v>15</v>
      </c>
      <c r="I56" s="2" t="s">
        <v>185</v>
      </c>
    </row>
    <row r="57" spans="1:9" x14ac:dyDescent="0.3">
      <c r="A57" s="2" t="s">
        <v>186</v>
      </c>
      <c r="B57" s="2" t="s">
        <v>187</v>
      </c>
      <c r="C57" s="2" t="s">
        <v>19</v>
      </c>
      <c r="D57" s="3">
        <v>2316550.94</v>
      </c>
      <c r="E57" s="2" t="s">
        <v>9</v>
      </c>
      <c r="F57" s="2" t="s">
        <v>20</v>
      </c>
      <c r="G57" s="2" t="s">
        <v>10</v>
      </c>
      <c r="H57" s="2" t="s">
        <v>15</v>
      </c>
      <c r="I57" s="2" t="s">
        <v>188</v>
      </c>
    </row>
    <row r="58" spans="1:9" x14ac:dyDescent="0.3">
      <c r="A58" s="2" t="s">
        <v>189</v>
      </c>
      <c r="B58" s="2" t="s">
        <v>190</v>
      </c>
      <c r="C58" s="2" t="s">
        <v>19</v>
      </c>
      <c r="D58" s="3">
        <v>179396.06</v>
      </c>
      <c r="E58" s="2" t="s">
        <v>9</v>
      </c>
      <c r="F58" s="2" t="s">
        <v>20</v>
      </c>
      <c r="G58" s="2" t="s">
        <v>10</v>
      </c>
      <c r="H58" s="2" t="s">
        <v>15</v>
      </c>
      <c r="I58" s="2" t="s">
        <v>191</v>
      </c>
    </row>
    <row r="59" spans="1:9" x14ac:dyDescent="0.3">
      <c r="A59" s="2" t="s">
        <v>192</v>
      </c>
      <c r="B59" s="2" t="s">
        <v>193</v>
      </c>
      <c r="C59" s="2" t="s">
        <v>19</v>
      </c>
      <c r="D59" s="3">
        <v>1316976.3700000001</v>
      </c>
      <c r="E59" s="2" t="s">
        <v>9</v>
      </c>
      <c r="F59" s="2" t="s">
        <v>20</v>
      </c>
      <c r="G59" s="2" t="s">
        <v>10</v>
      </c>
      <c r="H59" s="2" t="s">
        <v>15</v>
      </c>
      <c r="I59" s="2" t="s">
        <v>194</v>
      </c>
    </row>
    <row r="60" spans="1:9" x14ac:dyDescent="0.3">
      <c r="A60" s="2" t="s">
        <v>195</v>
      </c>
      <c r="B60" s="2" t="s">
        <v>196</v>
      </c>
      <c r="C60" s="2" t="s">
        <v>138</v>
      </c>
      <c r="D60" s="3">
        <v>930000</v>
      </c>
      <c r="E60" s="2" t="s">
        <v>9</v>
      </c>
      <c r="F60" s="2" t="s">
        <v>139</v>
      </c>
      <c r="G60" s="2" t="s">
        <v>10</v>
      </c>
      <c r="H60" s="2" t="s">
        <v>15</v>
      </c>
      <c r="I60" s="2" t="s">
        <v>197</v>
      </c>
    </row>
    <row r="61" spans="1:9" x14ac:dyDescent="0.3">
      <c r="D61" s="6">
        <f>SUM(D2:D60)</f>
        <v>47219882.560000002</v>
      </c>
    </row>
    <row r="64" spans="1:9" x14ac:dyDescent="0.3">
      <c r="C64" s="5" t="s">
        <v>198</v>
      </c>
      <c r="D64" s="4">
        <f>D3+D4+D5+D6+D7+D8+D9+D10+D11+D12+D14+D15+D16+D17+D18+D19+D20+D21+D23+D22+D27+D28+D29+D30+D31+D32+D33+D34+D35+D36+D37+D38+D39+D40+D45+D46+D47+D48+D49+D50+D51+D52+D53+D55+D54+D56+D57+D58+D59</f>
        <v>43371588.469999991</v>
      </c>
    </row>
    <row r="65" spans="1:10" x14ac:dyDescent="0.3">
      <c r="C65" s="5" t="s">
        <v>199</v>
      </c>
      <c r="D65" s="4">
        <f>D2+D24+D25+D26+D44</f>
        <v>2081462.44</v>
      </c>
    </row>
    <row r="66" spans="1:10" x14ac:dyDescent="0.3">
      <c r="C66" s="5" t="s">
        <v>200</v>
      </c>
      <c r="D66" s="4">
        <f>D13</f>
        <v>496598.53</v>
      </c>
    </row>
    <row r="67" spans="1:10" x14ac:dyDescent="0.3">
      <c r="C67" s="5" t="s">
        <v>201</v>
      </c>
      <c r="D67" s="4">
        <f>D41+D42+D43+D60</f>
        <v>1270233.1200000001</v>
      </c>
    </row>
    <row r="68" spans="1:10" x14ac:dyDescent="0.3">
      <c r="C68" s="5"/>
      <c r="D68" s="6">
        <f>SUM(D64:D67)</f>
        <v>47219882.559999987</v>
      </c>
    </row>
    <row r="69" spans="1:10" x14ac:dyDescent="0.3">
      <c r="D69" s="4">
        <f>D68-D61</f>
        <v>0</v>
      </c>
    </row>
    <row r="72" spans="1:10" x14ac:dyDescent="0.3">
      <c r="A72" s="7" t="s">
        <v>0</v>
      </c>
      <c r="B72" s="7" t="s">
        <v>1</v>
      </c>
      <c r="C72" s="7" t="s">
        <v>202</v>
      </c>
      <c r="D72" s="7" t="s">
        <v>3</v>
      </c>
      <c r="E72" s="7" t="s">
        <v>4</v>
      </c>
      <c r="F72" s="7" t="s">
        <v>2</v>
      </c>
      <c r="G72" s="7" t="s">
        <v>203</v>
      </c>
      <c r="H72" s="7" t="s">
        <v>6</v>
      </c>
      <c r="I72" s="7" t="s">
        <v>7</v>
      </c>
    </row>
    <row r="73" spans="1:10" x14ac:dyDescent="0.3">
      <c r="A73" s="2" t="s">
        <v>204</v>
      </c>
      <c r="B73" s="2" t="s">
        <v>205</v>
      </c>
      <c r="C73" s="2" t="s">
        <v>206</v>
      </c>
      <c r="D73" s="3">
        <v>17676.52</v>
      </c>
      <c r="E73" s="2" t="s">
        <v>9</v>
      </c>
      <c r="F73" s="2" t="s">
        <v>52</v>
      </c>
      <c r="G73" s="2" t="s">
        <v>207</v>
      </c>
      <c r="H73" s="2" t="s">
        <v>10</v>
      </c>
      <c r="I73" s="2" t="s">
        <v>15</v>
      </c>
      <c r="J73" s="8" t="s">
        <v>211</v>
      </c>
    </row>
    <row r="74" spans="1:10" x14ac:dyDescent="0.3">
      <c r="A74" s="2" t="s">
        <v>208</v>
      </c>
      <c r="B74" s="2" t="s">
        <v>209</v>
      </c>
      <c r="C74" s="2" t="s">
        <v>206</v>
      </c>
      <c r="D74" s="3">
        <v>11041.25</v>
      </c>
      <c r="E74" s="2" t="s">
        <v>9</v>
      </c>
      <c r="F74" s="2" t="s">
        <v>52</v>
      </c>
      <c r="G74" s="2" t="s">
        <v>210</v>
      </c>
      <c r="H74" s="2" t="s">
        <v>10</v>
      </c>
      <c r="I74" s="2" t="s">
        <v>15</v>
      </c>
      <c r="J74" s="8" t="s">
        <v>211</v>
      </c>
    </row>
  </sheetData>
  <autoFilter ref="A1:I61" xr:uid="{A484FA11-65B9-44E9-A68F-597B1B8AEB2A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2025-07-16T08:04:00Z</dcterms:modified>
</cp:coreProperties>
</file>
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o\Desktop\"/>
    </mc:Choice>
  </mc:AlternateContent>
  <xr:revisionPtr revIDLastSave="0" documentId="8_{1644A232-45A3-438F-8CE5-C48AEF997DD3}" xr6:coauthVersionLast="45" xr6:coauthVersionMax="45" xr10:uidLastSave="{00000000-0000-0000-0000-000000000000}"/>
  <bookViews>
    <workbookView xWindow="-108" yWindow="-108" windowWidth="23256" windowHeight="12768" xr2:uid="{A3ED6797-E723-4535-A8A0-AA0E3FDF955A}"/>
  </bookViews>
  <sheets>
    <sheet name="Спецтехника для Бюдж" sheetId="1" r:id="rId1"/>
  </sheets>
  <externalReferences>
    <externalReference r:id="rId2"/>
  </externalReferences>
  <definedNames>
    <definedName name="_xlnm._FilterDatabase" localSheetId="0" hidden="1">'Спецтехника для Бюдж'!$A$5:$T$33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4" i="1" l="1"/>
  <c r="P27" i="1"/>
  <c r="O27" i="1"/>
  <c r="G27" i="1"/>
  <c r="Q27" i="1" s="1"/>
  <c r="P26" i="1"/>
  <c r="O26" i="1"/>
  <c r="G26" i="1"/>
  <c r="H26" i="1" s="1"/>
  <c r="Q25" i="1"/>
  <c r="R25" i="1" s="1"/>
  <c r="T25" i="1" s="1"/>
  <c r="P25" i="1"/>
  <c r="O25" i="1"/>
  <c r="G25" i="1"/>
  <c r="H25" i="1" s="1"/>
  <c r="P24" i="1"/>
  <c r="O24" i="1"/>
  <c r="G24" i="1"/>
  <c r="Q24" i="1" s="1"/>
  <c r="P23" i="1"/>
  <c r="O23" i="1"/>
  <c r="H23" i="1"/>
  <c r="G23" i="1"/>
  <c r="Q23" i="1" s="1"/>
  <c r="P22" i="1"/>
  <c r="O22" i="1"/>
  <c r="G22" i="1"/>
  <c r="Q22" i="1" s="1"/>
  <c r="R22" i="1" s="1"/>
  <c r="T22" i="1" s="1"/>
  <c r="P21" i="1"/>
  <c r="O21" i="1"/>
  <c r="G21" i="1"/>
  <c r="Q21" i="1" s="1"/>
  <c r="R21" i="1" s="1"/>
  <c r="T21" i="1" s="1"/>
  <c r="P20" i="1"/>
  <c r="O20" i="1"/>
  <c r="G20" i="1"/>
  <c r="H20" i="1" s="1"/>
  <c r="P19" i="1"/>
  <c r="O19" i="1"/>
  <c r="G19" i="1"/>
  <c r="Q19" i="1" s="1"/>
  <c r="R19" i="1" s="1"/>
  <c r="T19" i="1" s="1"/>
  <c r="P18" i="1"/>
  <c r="O18" i="1"/>
  <c r="G18" i="1"/>
  <c r="Q18" i="1" s="1"/>
  <c r="P17" i="1"/>
  <c r="O17" i="1"/>
  <c r="G17" i="1"/>
  <c r="Q17" i="1" s="1"/>
  <c r="R17" i="1" s="1"/>
  <c r="T17" i="1" s="1"/>
  <c r="P16" i="1"/>
  <c r="O16" i="1"/>
  <c r="G16" i="1"/>
  <c r="Q16" i="1" s="1"/>
  <c r="P15" i="1"/>
  <c r="O15" i="1"/>
  <c r="G15" i="1"/>
  <c r="H15" i="1" s="1"/>
  <c r="P14" i="1"/>
  <c r="O14" i="1"/>
  <c r="G14" i="1"/>
  <c r="Q14" i="1" s="1"/>
  <c r="R14" i="1" s="1"/>
  <c r="P13" i="1"/>
  <c r="O13" i="1"/>
  <c r="G13" i="1"/>
  <c r="H13" i="1" s="1"/>
  <c r="Q12" i="1"/>
  <c r="R12" i="1" s="1"/>
  <c r="P12" i="1"/>
  <c r="O12" i="1"/>
  <c r="G12" i="1"/>
  <c r="H12" i="1" s="1"/>
  <c r="J32" i="1" s="1"/>
  <c r="P11" i="1"/>
  <c r="O11" i="1"/>
  <c r="G11" i="1"/>
  <c r="Q11" i="1" s="1"/>
  <c r="P10" i="1"/>
  <c r="O10" i="1"/>
  <c r="G10" i="1"/>
  <c r="H10" i="1" s="1"/>
  <c r="P9" i="1"/>
  <c r="O9" i="1"/>
  <c r="G9" i="1"/>
  <c r="Q9" i="1" s="1"/>
  <c r="P8" i="1"/>
  <c r="O8" i="1"/>
  <c r="G8" i="1"/>
  <c r="Q8" i="1" s="1"/>
  <c r="Q7" i="1"/>
  <c r="P7" i="1"/>
  <c r="O7" i="1"/>
  <c r="R7" i="1" s="1"/>
  <c r="T7" i="1" s="1"/>
  <c r="G7" i="1"/>
  <c r="H7" i="1" s="1"/>
  <c r="Q6" i="1"/>
  <c r="P6" i="1"/>
  <c r="P34" i="1" s="1"/>
  <c r="O6" i="1"/>
  <c r="O34" i="1" s="1"/>
  <c r="I15" i="1"/>
  <c r="L20" i="1"/>
  <c r="I7" i="1"/>
  <c r="I12" i="1"/>
  <c r="L8" i="1"/>
  <c r="I20" i="1"/>
  <c r="L25" i="1"/>
  <c r="L12" i="1"/>
  <c r="I23" i="1"/>
  <c r="L7" i="1"/>
  <c r="I25" i="1"/>
  <c r="L17" i="1"/>
  <c r="I17" i="1"/>
  <c r="L22" i="1"/>
  <c r="L9" i="1"/>
  <c r="I9" i="1"/>
  <c r="I6" i="1"/>
  <c r="L19" i="1"/>
  <c r="I22" i="1"/>
  <c r="L27" i="1"/>
  <c r="L14" i="1"/>
  <c r="L6" i="1"/>
  <c r="I14" i="1"/>
  <c r="I27" i="1"/>
  <c r="I18" i="1"/>
  <c r="I10" i="1"/>
  <c r="I19" i="1"/>
  <c r="I11" i="1"/>
  <c r="L13" i="1"/>
  <c r="L24" i="1"/>
  <c r="L11" i="1"/>
  <c r="L26" i="1"/>
  <c r="I26" i="1"/>
  <c r="I13" i="1"/>
  <c r="L18" i="1"/>
  <c r="L15" i="1"/>
  <c r="I24" i="1"/>
  <c r="L16" i="1"/>
  <c r="I16" i="1"/>
  <c r="L21" i="1"/>
  <c r="I21" i="1"/>
  <c r="L23" i="1"/>
  <c r="L10" i="1"/>
  <c r="M10" i="1" l="1"/>
  <c r="M23" i="1"/>
  <c r="M15" i="1"/>
  <c r="M26" i="1"/>
  <c r="M13" i="1"/>
  <c r="K33" i="1"/>
  <c r="L33" i="1" s="1"/>
  <c r="M14" i="1"/>
  <c r="M27" i="1"/>
  <c r="M19" i="1"/>
  <c r="K31" i="1"/>
  <c r="I34" i="1"/>
  <c r="M9" i="1"/>
  <c r="M22" i="1"/>
  <c r="M17" i="1"/>
  <c r="M7" i="1"/>
  <c r="M12" i="1"/>
  <c r="M25" i="1"/>
  <c r="M8" i="1"/>
  <c r="K32" i="1"/>
  <c r="L32" i="1" s="1"/>
  <c r="M20" i="1"/>
  <c r="R13" i="1"/>
  <c r="T13" i="1" s="1"/>
  <c r="T12" i="1"/>
  <c r="T14" i="1"/>
  <c r="R23" i="1"/>
  <c r="T23" i="1" s="1"/>
  <c r="R16" i="1"/>
  <c r="T16" i="1" s="1"/>
  <c r="R24" i="1"/>
  <c r="T24" i="1" s="1"/>
  <c r="R8" i="1"/>
  <c r="T8" i="1" s="1"/>
  <c r="R15" i="1"/>
  <c r="T15" i="1" s="1"/>
  <c r="R10" i="1"/>
  <c r="T10" i="1" s="1"/>
  <c r="R27" i="1"/>
  <c r="T27" i="1" s="1"/>
  <c r="R18" i="1"/>
  <c r="T18" i="1" s="1"/>
  <c r="R11" i="1"/>
  <c r="T11" i="1" s="1"/>
  <c r="R9" i="1"/>
  <c r="T9" i="1" s="1"/>
  <c r="R26" i="1"/>
  <c r="T26" i="1" s="1"/>
  <c r="H18" i="1"/>
  <c r="M18" i="1" s="1"/>
  <c r="Q20" i="1"/>
  <c r="R20" i="1" s="1"/>
  <c r="T20" i="1" s="1"/>
  <c r="H8" i="1"/>
  <c r="H34" i="1" s="1"/>
  <c r="H16" i="1"/>
  <c r="M16" i="1" s="1"/>
  <c r="H11" i="1"/>
  <c r="J31" i="1" s="1"/>
  <c r="J34" i="1" s="1"/>
  <c r="Q13" i="1"/>
  <c r="Q34" i="1" s="1"/>
  <c r="H24" i="1"/>
  <c r="M24" i="1" s="1"/>
  <c r="Q26" i="1"/>
  <c r="Q10" i="1"/>
  <c r="H21" i="1"/>
  <c r="M21" i="1" s="1"/>
  <c r="H19" i="1"/>
  <c r="Q15" i="1"/>
  <c r="H14" i="1"/>
  <c r="J33" i="1" s="1"/>
  <c r="H27" i="1"/>
  <c r="H9" i="1"/>
  <c r="H22" i="1"/>
  <c r="H17" i="1"/>
  <c r="R6" i="1"/>
  <c r="M11" i="1" l="1"/>
  <c r="L31" i="1"/>
  <c r="L34" i="1" s="1"/>
  <c r="K34" i="1"/>
  <c r="T6" i="1"/>
  <c r="R34" i="1"/>
  <c r="T34" i="1" l="1"/>
  <c r="S32" i="1" l="1"/>
  <c r="S33" i="1"/>
  <c r="R32" i="1"/>
  <c r="T33" i="1"/>
  <c r="R33" i="1"/>
  <c r="S31" i="1"/>
  <c r="T32" i="1"/>
  <c r="T31" i="1"/>
  <c r="R31" i="1"/>
</calcChain>
</file>

<file path=xl/sharedStrings.xml><?xml version="1.0" encoding="utf-8"?>
<sst xmlns="http://schemas.openxmlformats.org/spreadsheetml/2006/main" count="76" uniqueCount="43">
  <si>
    <t>ИЮНЬ</t>
  </si>
  <si>
    <t>Результат накопительно, грн</t>
  </si>
  <si>
    <t>На начало периода</t>
  </si>
  <si>
    <t>Наименование хники</t>
  </si>
  <si>
    <t>Обьект</t>
  </si>
  <si>
    <t>На начало июня</t>
  </si>
  <si>
    <t>Начислено</t>
  </si>
  <si>
    <t>Оплачено</t>
  </si>
  <si>
    <t>Корректировка по единицам техники, грн</t>
  </si>
  <si>
    <t>Распределение оплаченного</t>
  </si>
  <si>
    <t>Долги</t>
  </si>
  <si>
    <t>ФОТ</t>
  </si>
  <si>
    <t xml:space="preserve">Оплачено </t>
  </si>
  <si>
    <t>Долг за Июнь</t>
  </si>
  <si>
    <t xml:space="preserve">Предоплата за Июль ( 60 %) </t>
  </si>
  <si>
    <t xml:space="preserve">Итого: </t>
  </si>
  <si>
    <t>Телескоп №1</t>
  </si>
  <si>
    <t>Глобино 2</t>
  </si>
  <si>
    <t>Телескоп №2</t>
  </si>
  <si>
    <t>Телескоп №3</t>
  </si>
  <si>
    <t>Телескоп №4</t>
  </si>
  <si>
    <t>Телескоп №5</t>
  </si>
  <si>
    <t>Виброкаток</t>
  </si>
  <si>
    <t>Ротор Пегасус</t>
  </si>
  <si>
    <t>Катеринополь</t>
  </si>
  <si>
    <t>Экскаватор JCB 2007</t>
  </si>
  <si>
    <t>Экскаватор  JCB 3CX 2008</t>
  </si>
  <si>
    <t>Подгорцы</t>
  </si>
  <si>
    <t>Экскаватор JCB 2013</t>
  </si>
  <si>
    <t>Экскаватор JCB 220</t>
  </si>
  <si>
    <t>МАЗ 264</t>
  </si>
  <si>
    <t>МАЗ 265</t>
  </si>
  <si>
    <t>РДК 250</t>
  </si>
  <si>
    <t>РДК 250 (2)</t>
  </si>
  <si>
    <t>Самосвал камаз</t>
  </si>
  <si>
    <t>Автокран XCMG</t>
  </si>
  <si>
    <t>Автокран XCMG 55</t>
  </si>
  <si>
    <t>Автокран клинцы</t>
  </si>
  <si>
    <t>Подъемник Haulotte №1</t>
  </si>
  <si>
    <t>Самосвал МАЗ</t>
  </si>
  <si>
    <t xml:space="preserve">Самосвал МАЗ №2 </t>
  </si>
  <si>
    <t>Задолженность</t>
  </si>
  <si>
    <t>Итого : грн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</si>
</sst>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mmm"/>
  </numFmts>
  <fonts count="8" x14ac:knownFonts="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2" fillId="0" borderId="0" xfId="1"/>
    <xf numFmtId="164" fontId="4" fillId="2" borderId="1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5" fontId="2" fillId="0" borderId="0" xfId="1" applyNumberFormat="1"/>
    <xf numFmtId="164" fontId="4" fillId="2" borderId="3" xfId="0" applyNumberFormat="1" applyFont="1" applyFill="1" applyBorder="1" applyAlignment="1">
      <alignment horizontal="center" vertical="center" wrapText="1"/>
    </xf>
    <xf numFmtId="0" fontId="2" fillId="0" borderId="4" xfId="1" applyBorder="1"/>
    <xf numFmtId="0" fontId="0" fillId="0" borderId="4" xfId="0" applyBorder="1"/>
    <xf numFmtId="164" fontId="0" fillId="2" borderId="4" xfId="0" applyNumberFormat="1" applyFill="1" applyBorder="1"/>
    <xf numFmtId="3" fontId="5" fillId="3" borderId="4" xfId="0" applyNumberFormat="1" applyFont="1" applyFill="1" applyBorder="1"/>
    <xf numFmtId="4" fontId="2" fillId="0" borderId="4" xfId="1" applyNumberFormat="1" applyBorder="1"/>
    <xf numFmtId="0" fontId="2" fillId="0" borderId="5" xfId="1" applyBorder="1"/>
    <xf numFmtId="0" fontId="0" fillId="0" borderId="5" xfId="0" applyBorder="1"/>
    <xf numFmtId="164" fontId="0" fillId="2" borderId="5" xfId="0" applyNumberFormat="1" applyFill="1" applyBorder="1"/>
    <xf numFmtId="3" fontId="5" fillId="3" borderId="5" xfId="0" applyNumberFormat="1" applyFont="1" applyFill="1" applyBorder="1"/>
    <xf numFmtId="4" fontId="2" fillId="0" borderId="5" xfId="1" applyNumberFormat="1" applyBorder="1"/>
    <xf numFmtId="164" fontId="0" fillId="2" borderId="6" xfId="0" applyNumberFormat="1" applyFill="1" applyBorder="1"/>
    <xf numFmtId="4" fontId="2" fillId="0" borderId="6" xfId="1" applyNumberFormat="1" applyBorder="1"/>
    <xf numFmtId="0" fontId="2" fillId="0" borderId="6" xfId="1" applyBorder="1"/>
    <xf numFmtId="9" fontId="2" fillId="0" borderId="6" xfId="1" applyNumberFormat="1" applyBorder="1"/>
    <xf numFmtId="0" fontId="2" fillId="4" borderId="7" xfId="1" applyFill="1" applyBorder="1"/>
    <xf numFmtId="0" fontId="2" fillId="4" borderId="8" xfId="1" applyFill="1" applyBorder="1"/>
    <xf numFmtId="4" fontId="2" fillId="4" borderId="8" xfId="1" applyNumberFormat="1" applyFill="1" applyBorder="1"/>
    <xf numFmtId="4" fontId="6" fillId="4" borderId="8" xfId="1" applyNumberFormat="1" applyFont="1" applyFill="1" applyBorder="1"/>
    <xf numFmtId="4" fontId="7" fillId="4" borderId="9" xfId="1" applyNumberFormat="1" applyFont="1" applyFill="1" applyBorder="1"/>
    <xf numFmtId="0" fontId="2" fillId="4" borderId="10" xfId="1" applyFill="1" applyBorder="1"/>
    <xf numFmtId="0" fontId="2" fillId="4" borderId="5" xfId="1" applyFill="1" applyBorder="1"/>
    <xf numFmtId="4" fontId="2" fillId="4" borderId="5" xfId="1" applyNumberFormat="1" applyFill="1" applyBorder="1"/>
    <xf numFmtId="4" fontId="6" fillId="4" borderId="5" xfId="1" applyNumberFormat="1" applyFont="1" applyFill="1" applyBorder="1"/>
    <xf numFmtId="4" fontId="7" fillId="4" borderId="11" xfId="1" applyNumberFormat="1" applyFont="1" applyFill="1" applyBorder="1"/>
    <xf numFmtId="0" fontId="2" fillId="4" borderId="12" xfId="1" applyFill="1" applyBorder="1"/>
    <xf numFmtId="0" fontId="2" fillId="4" borderId="6" xfId="1" applyFill="1" applyBorder="1"/>
    <xf numFmtId="4" fontId="2" fillId="4" borderId="6" xfId="1" applyNumberFormat="1" applyFill="1" applyBorder="1"/>
    <xf numFmtId="4" fontId="6" fillId="4" borderId="6" xfId="1" applyNumberFormat="1" applyFont="1" applyFill="1" applyBorder="1"/>
    <xf numFmtId="4" fontId="7" fillId="4" borderId="13" xfId="1" applyNumberFormat="1" applyFont="1" applyFill="1" applyBorder="1"/>
    <xf numFmtId="0" fontId="1" fillId="5" borderId="14" xfId="1" applyFont="1" applyFill="1" applyBorder="1"/>
    <xf numFmtId="0" fontId="2" fillId="5" borderId="15" xfId="1" applyFill="1" applyBorder="1"/>
    <xf numFmtId="4" fontId="3" fillId="5" borderId="15" xfId="1" applyNumberFormat="1" applyFont="1" applyFill="1" applyBorder="1"/>
    <xf numFmtId="4" fontId="6" fillId="5" borderId="15" xfId="1" applyNumberFormat="1" applyFont="1" applyFill="1" applyBorder="1"/>
    <xf numFmtId="4" fontId="2" fillId="5" borderId="15" xfId="1" applyNumberFormat="1" applyFill="1" applyBorder="1"/>
    <xf numFmtId="4" fontId="2" fillId="5" borderId="16" xfId="1" applyNumberFormat="1" applyFill="1" applyBorder="1"/>
  </cellXfs>
  <cellStyles count="2">
    <cellStyle name="Обычный" xfId="0" builtinId="0"/>
    <cellStyle name="Обычный 32" xfId="1" xr:uid="{80528EBC-F5E6-447B-8EC0-33B1FAC10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blic/&#1060;&#1110;&#1085;&#1072;&#1085;&#1089;&#1086;&#1074;&#1080;&#1081;%20&#1074;&#1110;&#1076;&#1076;&#1110;&#1083;/!%20&#1041;&#1102;&#1076;&#1078;&#1077;&#1090;/2025/&#1041;&#1102;&#1076;&#1078;&#1077;&#1090;%2007.2025-09.2025/&#1044;&#1072;&#1085;&#1085;&#1099;&#1077;/&#1057;&#1087;&#1077;&#1094;&#1090;&#1077;&#1093;&#1085;&#1080;&#1082;&#1072;/&#1057;&#1087;&#1077;&#1094;&#1090;&#1077;&#1093;&#1085;&#1080;&#1082;&#1072;_&#1048;&#1070;&#1053;&#1068;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Т (2)"/>
      <sheetName val="ФОТ для Бюдж "/>
      <sheetName val="Спецтехника для Бюдж"/>
      <sheetName val="ФОТ"/>
      <sheetName val="Взаиморасчеты по Направлениям"/>
      <sheetName val="Лист1"/>
      <sheetName val="Лист5"/>
      <sheetName val="date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C1D8-5A6A-4941-B12F-3550E300BFD5}">
  <dimension ref="A1:T34"/>
  <sheetViews>
    <sheetView tabSelected="1" topLeftCell="A5" workbookViewId="0">
      <selection activeCell="Q17" sqref="Q17"/>
    </sheetView>
  </sheetViews>
  <sheetFormatPr defaultRowHeight="14.4" outlineLevelCol="2" x14ac:dyDescent="0.3"/>
  <cols>
    <col min="1" max="1" width="29.28515625" style="1" bestFit="1" customWidth="1"/>
    <col min="2" max="2" width="29.28515625" style="1" customWidth="1"/>
    <col min="3" max="3" width="29.28515625" style="1" hidden="1" customWidth="1" outlineLevel="1"/>
    <col min="4" max="4" width="25.140625" style="1" hidden="1" customWidth="1" outlineLevel="1"/>
    <col min="5" max="5" width="21.85546875" style="1" hidden="1" customWidth="1" outlineLevel="2"/>
    <col min="6" max="6" width="20.42578125" style="1" hidden="1" customWidth="1" outlineLevel="2"/>
    <col min="7" max="7" width="24.140625" style="1" hidden="1" customWidth="1" outlineLevel="2"/>
    <col min="8" max="8" width="12.7109375" style="1" hidden="1" customWidth="1" outlineLevel="1"/>
    <col min="9" max="11" width="14.7109375" style="1" hidden="1" customWidth="1" outlineLevel="1"/>
    <col min="12" max="12" width="19.28515625" style="1" hidden="1" customWidth="1" collapsed="1"/>
    <col min="13" max="13" width="12.28515625" style="1" hidden="1" customWidth="1"/>
    <col min="14" max="14" width="0" style="1" hidden="1" customWidth="1"/>
    <col min="15" max="15" width="19.7109375" style="1" customWidth="1"/>
    <col min="16" max="16" width="18.28515625" style="1" customWidth="1"/>
    <col min="17" max="17" width="16.140625" style="1" customWidth="1"/>
    <col min="18" max="18" width="21" style="1" customWidth="1"/>
    <col min="19" max="19" width="32.85546875" style="1" bestFit="1" customWidth="1"/>
    <col min="20" max="20" width="23.28515625" style="1" customWidth="1"/>
    <col min="21" max="16384" width="9.140625" style="1"/>
  </cols>
  <sheetData>
    <row r="1" spans="1:20" ht="15" hidden="1" thickBot="1" x14ac:dyDescent="0.35">
      <c r="C1" s="1" t="s">
        <v>0</v>
      </c>
      <c r="D1" s="1">
        <v>6</v>
      </c>
    </row>
    <row r="2" spans="1:20" ht="15" hidden="1" thickBot="1" x14ac:dyDescent="0.35">
      <c r="C2" s="2" t="s">
        <v>1</v>
      </c>
    </row>
    <row r="3" spans="1:20" ht="15" hidden="1" thickBot="1" x14ac:dyDescent="0.35">
      <c r="C3" s="3"/>
    </row>
    <row r="4" spans="1:20" ht="14.4" hidden="1" customHeight="1" x14ac:dyDescent="0.3">
      <c r="C4" s="1" t="s">
        <v>2</v>
      </c>
      <c r="D4" s="4">
        <v>45809</v>
      </c>
    </row>
    <row r="5" spans="1:20" ht="43.8" thickBot="1" x14ac:dyDescent="0.3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>
        <v>0.6</v>
      </c>
      <c r="J5" s="5"/>
      <c r="K5" s="5" t="s">
        <v>11</v>
      </c>
      <c r="L5" s="5"/>
      <c r="M5" s="5"/>
      <c r="N5" s="5"/>
      <c r="O5" s="5" t="s">
        <v>5</v>
      </c>
      <c r="P5" s="5" t="s">
        <v>6</v>
      </c>
      <c r="Q5" s="5" t="s">
        <v>12</v>
      </c>
      <c r="R5" s="5" t="s">
        <v>13</v>
      </c>
      <c r="S5" s="5" t="s">
        <v>14</v>
      </c>
      <c r="T5" s="5" t="s">
        <v>15</v>
      </c>
    </row>
    <row r="6" spans="1:20" x14ac:dyDescent="0.3">
      <c r="A6" s="6" t="s">
        <v>16</v>
      </c>
      <c r="B6" s="7" t="s">
        <v>17</v>
      </c>
      <c r="C6" s="8">
        <v>0</v>
      </c>
      <c r="D6" s="9">
        <v>0</v>
      </c>
      <c r="E6" s="10"/>
      <c r="F6" s="10"/>
      <c r="G6" s="10"/>
      <c r="H6" s="10"/>
      <c r="I6" s="10" t="e">
        <f ca="1">INDIRECT(CONCATENATE("'",$A6,"'","!$B$8"))</f>
        <v>#REF!</v>
      </c>
      <c r="J6" s="6"/>
      <c r="K6" s="6">
        <v>0</v>
      </c>
      <c r="L6" s="10" t="e">
        <f ca="1">INDIRECT(CONCATENATE("'",$A6,"'","!$B$9"))</f>
        <v>#REF!</v>
      </c>
      <c r="M6" s="6"/>
      <c r="N6" s="6"/>
      <c r="O6" s="8">
        <f>C6</f>
        <v>0</v>
      </c>
      <c r="P6" s="8">
        <f>D6</f>
        <v>0</v>
      </c>
      <c r="Q6" s="8">
        <f>G6</f>
        <v>0</v>
      </c>
      <c r="R6" s="8">
        <f>O6+P6-Q6</f>
        <v>0</v>
      </c>
      <c r="S6" s="8">
        <v>0</v>
      </c>
      <c r="T6" s="8">
        <f>S6+R6</f>
        <v>0</v>
      </c>
    </row>
    <row r="7" spans="1:20" x14ac:dyDescent="0.3">
      <c r="A7" s="11" t="s">
        <v>18</v>
      </c>
      <c r="B7" s="12" t="s">
        <v>17</v>
      </c>
      <c r="C7" s="13">
        <v>74456.300000000017</v>
      </c>
      <c r="D7" s="14">
        <v>192584.22</v>
      </c>
      <c r="E7" s="15"/>
      <c r="F7" s="15"/>
      <c r="G7" s="15">
        <f>(C7+D7)*(-SUMIF($B:$B,$B7,$E:$E))/(SUMIF($B:$B,$B7,$C:$C)+SUMIF($B:$B,$B7,$D:$D))</f>
        <v>158501.21664202679</v>
      </c>
      <c r="H7" s="15">
        <f>C7+D7-G7</f>
        <v>108539.30335797323</v>
      </c>
      <c r="I7" s="15" t="e">
        <f t="shared" ref="I7:I27" ca="1" si="0">INDIRECT(CONCATENATE("'",$A7,"'","!$B$8"))</f>
        <v>#REF!</v>
      </c>
      <c r="J7" s="11"/>
      <c r="K7" s="11">
        <v>39200</v>
      </c>
      <c r="L7" s="15" t="e">
        <f t="shared" ref="L7:L27" ca="1" si="1">INDIRECT(CONCATENATE("'",$A7,"'","!$B$9"))</f>
        <v>#REF!</v>
      </c>
      <c r="M7" s="15" t="e">
        <f ca="1">L7-H7</f>
        <v>#REF!</v>
      </c>
      <c r="N7" s="11"/>
      <c r="O7" s="13">
        <f t="shared" ref="O7:P27" si="2">C7</f>
        <v>74456.300000000017</v>
      </c>
      <c r="P7" s="13">
        <f t="shared" si="2"/>
        <v>192584.22</v>
      </c>
      <c r="Q7" s="13">
        <f t="shared" ref="Q7:Q27" si="3">G7</f>
        <v>158501.21664202679</v>
      </c>
      <c r="R7" s="13">
        <f t="shared" ref="R7:R27" si="4">O7+P7-Q7</f>
        <v>108539.30335797323</v>
      </c>
      <c r="S7" s="13">
        <v>101304.57599999999</v>
      </c>
      <c r="T7" s="13">
        <f t="shared" ref="T7:T27" si="5">S7+R7</f>
        <v>209843.87935797323</v>
      </c>
    </row>
    <row r="8" spans="1:20" x14ac:dyDescent="0.3">
      <c r="A8" s="11" t="s">
        <v>19</v>
      </c>
      <c r="B8" s="12" t="s">
        <v>17</v>
      </c>
      <c r="C8" s="13">
        <v>0</v>
      </c>
      <c r="D8" s="14">
        <v>0</v>
      </c>
      <c r="E8" s="15"/>
      <c r="F8" s="15"/>
      <c r="G8" s="15">
        <f>(C8+D8)*(-SUMIF($B:$B,$B8,$E:$E))/(SUMIF($B:$B,$B8,$C:$C)+SUMIF($B:$B,$B8,$D:$D))</f>
        <v>0</v>
      </c>
      <c r="H8" s="15">
        <f t="shared" ref="H8:H27" si="6">C8+D8-G8</f>
        <v>0</v>
      </c>
      <c r="I8" s="15"/>
      <c r="J8" s="11"/>
      <c r="K8" s="11">
        <v>0</v>
      </c>
      <c r="L8" s="15" t="e">
        <f t="shared" ca="1" si="1"/>
        <v>#REF!</v>
      </c>
      <c r="M8" s="15" t="e">
        <f t="shared" ref="M8:M27" ca="1" si="7">L8-H8</f>
        <v>#REF!</v>
      </c>
      <c r="N8" s="11"/>
      <c r="O8" s="13">
        <f t="shared" si="2"/>
        <v>0</v>
      </c>
      <c r="P8" s="13">
        <f t="shared" si="2"/>
        <v>0</v>
      </c>
      <c r="Q8" s="13">
        <f t="shared" si="3"/>
        <v>0</v>
      </c>
      <c r="R8" s="13">
        <f t="shared" si="4"/>
        <v>0</v>
      </c>
      <c r="S8" s="13">
        <v>0</v>
      </c>
      <c r="T8" s="13">
        <f t="shared" si="5"/>
        <v>0</v>
      </c>
    </row>
    <row r="9" spans="1:20" x14ac:dyDescent="0.3">
      <c r="A9" s="11" t="s">
        <v>20</v>
      </c>
      <c r="B9" s="12" t="s">
        <v>17</v>
      </c>
      <c r="C9" s="13">
        <v>49133.259999999995</v>
      </c>
      <c r="D9" s="14">
        <v>80902.960000000006</v>
      </c>
      <c r="E9" s="15"/>
      <c r="F9" s="15"/>
      <c r="G9" s="15">
        <f>(C9+D9)*(-SUMIF($B:$B,$B9,$E:$E))/(SUMIF($B:$B,$B9,$C:$C)+SUMIF($B:$B,$B9,$D:$D))</f>
        <v>77182.665303116752</v>
      </c>
      <c r="H9" s="15">
        <f t="shared" si="6"/>
        <v>52853.55469688325</v>
      </c>
      <c r="I9" s="15" t="e">
        <f t="shared" ca="1" si="0"/>
        <v>#REF!</v>
      </c>
      <c r="J9" s="11"/>
      <c r="K9" s="11">
        <v>21600</v>
      </c>
      <c r="L9" s="15" t="e">
        <f t="shared" ca="1" si="1"/>
        <v>#REF!</v>
      </c>
      <c r="M9" s="15" t="e">
        <f t="shared" ca="1" si="7"/>
        <v>#REF!</v>
      </c>
      <c r="N9" s="11"/>
      <c r="O9" s="13">
        <f t="shared" si="2"/>
        <v>49133.259999999995</v>
      </c>
      <c r="P9" s="13">
        <f t="shared" si="2"/>
        <v>80902.960000000006</v>
      </c>
      <c r="Q9" s="13">
        <f t="shared" si="3"/>
        <v>77182.665303116752</v>
      </c>
      <c r="R9" s="13">
        <f t="shared" si="4"/>
        <v>52853.55469688325</v>
      </c>
      <c r="S9" s="13">
        <v>84420.479999999996</v>
      </c>
      <c r="T9" s="13">
        <f t="shared" si="5"/>
        <v>137274.03469688323</v>
      </c>
    </row>
    <row r="10" spans="1:20" x14ac:dyDescent="0.3">
      <c r="A10" s="11" t="s">
        <v>21</v>
      </c>
      <c r="B10" s="12" t="s">
        <v>17</v>
      </c>
      <c r="C10" s="13">
        <v>61458.400000000009</v>
      </c>
      <c r="D10" s="14">
        <v>84420.479999999996</v>
      </c>
      <c r="E10" s="15"/>
      <c r="F10" s="15"/>
      <c r="G10" s="15">
        <f>(C10+D10)*(-SUMIF($B:$B,$B10,$E:$E))/(SUMIF($B:$B,$B10,$C:$C)+SUMIF($B:$B,$B10,$D:$D))</f>
        <v>86586.035566348612</v>
      </c>
      <c r="H10" s="15">
        <f t="shared" si="6"/>
        <v>59292.844433651393</v>
      </c>
      <c r="I10" s="15" t="e">
        <f t="shared" ca="1" si="0"/>
        <v>#REF!</v>
      </c>
      <c r="J10" s="11"/>
      <c r="K10" s="11">
        <v>22800</v>
      </c>
      <c r="L10" s="15" t="e">
        <f t="shared" ca="1" si="1"/>
        <v>#REF!</v>
      </c>
      <c r="M10" s="15" t="e">
        <f t="shared" ca="1" si="7"/>
        <v>#REF!</v>
      </c>
      <c r="N10" s="11"/>
      <c r="O10" s="13">
        <f t="shared" si="2"/>
        <v>61458.400000000009</v>
      </c>
      <c r="P10" s="13">
        <f t="shared" si="2"/>
        <v>84420.479999999996</v>
      </c>
      <c r="Q10" s="13">
        <f t="shared" si="3"/>
        <v>86586.035566348612</v>
      </c>
      <c r="R10" s="13">
        <f t="shared" si="4"/>
        <v>59292.844433651393</v>
      </c>
      <c r="S10" s="13">
        <v>101304.57599999999</v>
      </c>
      <c r="T10" s="13">
        <f t="shared" si="5"/>
        <v>160597.42043365136</v>
      </c>
    </row>
    <row r="11" spans="1:20" x14ac:dyDescent="0.3">
      <c r="A11" s="11" t="s">
        <v>22</v>
      </c>
      <c r="B11" s="12" t="s">
        <v>17</v>
      </c>
      <c r="C11" s="13">
        <v>17227.25</v>
      </c>
      <c r="D11" s="14">
        <v>53383.399999999994</v>
      </c>
      <c r="E11" s="15"/>
      <c r="F11" s="15"/>
      <c r="G11" s="15">
        <f>(C11+D11)*(-SUMIF($B:$B,$B11,$E:$E))/(SUMIF($B:$B,$B11,$C:$C)+SUMIF($B:$B,$B11,$D:$D))</f>
        <v>41910.770443692694</v>
      </c>
      <c r="H11" s="15">
        <f t="shared" si="6"/>
        <v>28699.8795563073</v>
      </c>
      <c r="I11" s="15" t="e">
        <f t="shared" ca="1" si="0"/>
        <v>#REF!</v>
      </c>
      <c r="J11" s="11"/>
      <c r="K11" s="11">
        <v>14600</v>
      </c>
      <c r="L11" s="15" t="e">
        <f t="shared" ca="1" si="1"/>
        <v>#REF!</v>
      </c>
      <c r="M11" s="15" t="e">
        <f t="shared" ca="1" si="7"/>
        <v>#REF!</v>
      </c>
      <c r="N11" s="11"/>
      <c r="O11" s="13">
        <f t="shared" si="2"/>
        <v>17227.25</v>
      </c>
      <c r="P11" s="13">
        <f t="shared" si="2"/>
        <v>53383.399999999994</v>
      </c>
      <c r="Q11" s="13">
        <f t="shared" si="3"/>
        <v>41910.770443692694</v>
      </c>
      <c r="R11" s="13">
        <f t="shared" si="4"/>
        <v>28699.8795563073</v>
      </c>
      <c r="S11" s="13">
        <v>18841.2</v>
      </c>
      <c r="T11" s="13">
        <f t="shared" si="5"/>
        <v>47541.079556307304</v>
      </c>
    </row>
    <row r="12" spans="1:20" x14ac:dyDescent="0.3">
      <c r="A12" s="11" t="s">
        <v>23</v>
      </c>
      <c r="B12" s="12" t="s">
        <v>24</v>
      </c>
      <c r="C12" s="13">
        <v>32077.47</v>
      </c>
      <c r="D12" s="14">
        <v>247213.6</v>
      </c>
      <c r="E12" s="15"/>
      <c r="F12" s="15"/>
      <c r="G12" s="15">
        <f>(C12+D12)*(-SUMIF($B:$B,$B12,$E:$E))/(SUMIF($B:$B,$B12,$C:$C)+SUMIF($B:$B,$B12,$D:$D))</f>
        <v>170999.454</v>
      </c>
      <c r="H12" s="15">
        <f t="shared" si="6"/>
        <v>108291.61600000001</v>
      </c>
      <c r="I12" s="15" t="e">
        <f t="shared" ca="1" si="0"/>
        <v>#REF!</v>
      </c>
      <c r="J12" s="11"/>
      <c r="K12" s="11">
        <v>35100</v>
      </c>
      <c r="L12" s="15" t="e">
        <f t="shared" ca="1" si="1"/>
        <v>#REF!</v>
      </c>
      <c r="M12" s="15" t="e">
        <f t="shared" ca="1" si="7"/>
        <v>#REF!</v>
      </c>
      <c r="N12" s="11"/>
      <c r="O12" s="13">
        <f t="shared" si="2"/>
        <v>32077.47</v>
      </c>
      <c r="P12" s="13">
        <f t="shared" si="2"/>
        <v>247213.6</v>
      </c>
      <c r="Q12" s="13">
        <f t="shared" si="3"/>
        <v>170999.454</v>
      </c>
      <c r="R12" s="13">
        <f t="shared" si="4"/>
        <v>108291.61600000001</v>
      </c>
      <c r="S12" s="13">
        <v>138921.984</v>
      </c>
      <c r="T12" s="13">
        <f t="shared" si="5"/>
        <v>247213.6</v>
      </c>
    </row>
    <row r="13" spans="1:20" x14ac:dyDescent="0.3">
      <c r="A13" s="11" t="s">
        <v>25</v>
      </c>
      <c r="B13" s="12" t="s">
        <v>17</v>
      </c>
      <c r="C13" s="13">
        <v>13468.350000000006</v>
      </c>
      <c r="D13" s="14">
        <v>170512.11000000002</v>
      </c>
      <c r="E13" s="15"/>
      <c r="F13" s="15"/>
      <c r="G13" s="15">
        <f>(C13+D13)*(-SUMIF($B:$B,$B13,$E:$E))/(SUMIF($B:$B,$B13,$C:$C)+SUMIF($B:$B,$B13,$D:$D))</f>
        <v>109201.13078105055</v>
      </c>
      <c r="H13" s="15">
        <f t="shared" si="6"/>
        <v>74779.329218949468</v>
      </c>
      <c r="I13" s="15" t="e">
        <f t="shared" ca="1" si="0"/>
        <v>#REF!</v>
      </c>
      <c r="J13" s="11"/>
      <c r="K13" s="11">
        <v>36900</v>
      </c>
      <c r="L13" s="15" t="e">
        <f t="shared" ca="1" si="1"/>
        <v>#REF!</v>
      </c>
      <c r="M13" s="15" t="e">
        <f t="shared" ca="1" si="7"/>
        <v>#REF!</v>
      </c>
      <c r="N13" s="11"/>
      <c r="O13" s="13">
        <f t="shared" si="2"/>
        <v>13468.350000000006</v>
      </c>
      <c r="P13" s="13">
        <f t="shared" si="2"/>
        <v>170512.11000000002</v>
      </c>
      <c r="Q13" s="13">
        <f t="shared" si="3"/>
        <v>109201.13078105055</v>
      </c>
      <c r="R13" s="13">
        <f t="shared" si="4"/>
        <v>74779.329218949468</v>
      </c>
      <c r="S13" s="13">
        <v>94893.695999999996</v>
      </c>
      <c r="T13" s="13">
        <f t="shared" si="5"/>
        <v>169673.02521894948</v>
      </c>
    </row>
    <row r="14" spans="1:20" x14ac:dyDescent="0.3">
      <c r="A14" s="12" t="s">
        <v>26</v>
      </c>
      <c r="B14" s="12" t="s">
        <v>27</v>
      </c>
      <c r="C14" s="13">
        <v>31301</v>
      </c>
      <c r="D14" s="14">
        <v>193750</v>
      </c>
      <c r="E14" s="15"/>
      <c r="F14" s="15"/>
      <c r="G14" s="15">
        <f>(C14+D14)*(-SUMIF($B:$B,$B14,$E:$E))/(SUMIF($B:$B,$B14,$C:$C)+SUMIF($B:$B,$B14,$D:$D))</f>
        <v>175301</v>
      </c>
      <c r="H14" s="15">
        <f t="shared" si="6"/>
        <v>49750</v>
      </c>
      <c r="I14" s="15" t="e">
        <f t="shared" ca="1" si="0"/>
        <v>#REF!</v>
      </c>
      <c r="J14" s="11"/>
      <c r="K14" s="11">
        <v>37500</v>
      </c>
      <c r="L14" s="15" t="e">
        <f t="shared" ca="1" si="1"/>
        <v>#REF!</v>
      </c>
      <c r="M14" s="15" t="e">
        <f t="shared" ca="1" si="7"/>
        <v>#REF!</v>
      </c>
      <c r="N14" s="11"/>
      <c r="O14" s="13">
        <f t="shared" si="2"/>
        <v>31301</v>
      </c>
      <c r="P14" s="13">
        <f t="shared" si="2"/>
        <v>193750</v>
      </c>
      <c r="Q14" s="13">
        <f t="shared" si="3"/>
        <v>175301</v>
      </c>
      <c r="R14" s="13">
        <f t="shared" si="4"/>
        <v>49750</v>
      </c>
      <c r="S14" s="13">
        <v>144000</v>
      </c>
      <c r="T14" s="13">
        <f t="shared" si="5"/>
        <v>193750</v>
      </c>
    </row>
    <row r="15" spans="1:20" x14ac:dyDescent="0.3">
      <c r="A15" s="12" t="s">
        <v>28</v>
      </c>
      <c r="B15" s="12" t="s">
        <v>17</v>
      </c>
      <c r="C15" s="13">
        <v>84728.8</v>
      </c>
      <c r="D15" s="14">
        <v>4942.38</v>
      </c>
      <c r="E15" s="15"/>
      <c r="F15" s="15"/>
      <c r="G15" s="15">
        <f>(C15+D15)*(-SUMIF($B:$B,$B15,$E:$E))/(SUMIF($B:$B,$B15,$C:$C)+SUMIF($B:$B,$B15,$D:$D))</f>
        <v>53224.0992030954</v>
      </c>
      <c r="H15" s="15">
        <f t="shared" si="6"/>
        <v>36447.080796904607</v>
      </c>
      <c r="I15" s="15" t="e">
        <f t="shared" ca="1" si="0"/>
        <v>#REF!</v>
      </c>
      <c r="J15" s="11"/>
      <c r="K15" s="11">
        <v>900</v>
      </c>
      <c r="L15" s="15" t="e">
        <f t="shared" ca="1" si="1"/>
        <v>#REF!</v>
      </c>
      <c r="M15" s="15" t="e">
        <f t="shared" ca="1" si="7"/>
        <v>#REF!</v>
      </c>
      <c r="N15" s="11"/>
      <c r="O15" s="13">
        <f t="shared" si="2"/>
        <v>84728.8</v>
      </c>
      <c r="P15" s="13">
        <f t="shared" si="2"/>
        <v>4942.38</v>
      </c>
      <c r="Q15" s="13">
        <f t="shared" si="3"/>
        <v>53224.0992030954</v>
      </c>
      <c r="R15" s="13">
        <f t="shared" si="4"/>
        <v>36447.080796904607</v>
      </c>
      <c r="S15" s="13">
        <v>79078.079999999987</v>
      </c>
      <c r="T15" s="13">
        <f t="shared" si="5"/>
        <v>115525.16079690459</v>
      </c>
    </row>
    <row r="16" spans="1:20" x14ac:dyDescent="0.3">
      <c r="A16" s="12" t="s">
        <v>29</v>
      </c>
      <c r="B16" s="12" t="s">
        <v>17</v>
      </c>
      <c r="C16" s="13">
        <v>97184.089999999967</v>
      </c>
      <c r="D16" s="14">
        <v>258978.51</v>
      </c>
      <c r="E16" s="15"/>
      <c r="F16" s="15"/>
      <c r="G16" s="15">
        <f>(C16+D16)*(-SUMIF($B:$B,$B16,$E:$E))/(SUMIF($B:$B,$B16,$C:$C)+SUMIF($B:$B,$B16,$D:$D))</f>
        <v>211399.39894660003</v>
      </c>
      <c r="H16" s="15">
        <f t="shared" si="6"/>
        <v>144763.20105339994</v>
      </c>
      <c r="I16" s="15" t="e">
        <f t="shared" ca="1" si="0"/>
        <v>#REF!</v>
      </c>
      <c r="J16" s="11"/>
      <c r="K16" s="11">
        <v>24700</v>
      </c>
      <c r="L16" s="15" t="e">
        <f t="shared" ca="1" si="1"/>
        <v>#REF!</v>
      </c>
      <c r="M16" s="15" t="e">
        <f t="shared" ca="1" si="7"/>
        <v>#REF!</v>
      </c>
      <c r="N16" s="11"/>
      <c r="O16" s="13">
        <f t="shared" si="2"/>
        <v>97184.089999999967</v>
      </c>
      <c r="P16" s="13">
        <f t="shared" si="2"/>
        <v>258978.51</v>
      </c>
      <c r="Q16" s="13">
        <f t="shared" si="3"/>
        <v>211399.39894660003</v>
      </c>
      <c r="R16" s="13">
        <f t="shared" si="4"/>
        <v>144763.20105339994</v>
      </c>
      <c r="S16" s="13">
        <v>81248.160000000003</v>
      </c>
      <c r="T16" s="13">
        <f t="shared" si="5"/>
        <v>226011.36105339995</v>
      </c>
    </row>
    <row r="17" spans="1:20" x14ac:dyDescent="0.3">
      <c r="A17" s="12" t="s">
        <v>30</v>
      </c>
      <c r="B17" s="12" t="s">
        <v>17</v>
      </c>
      <c r="C17" s="13">
        <v>2810.25</v>
      </c>
      <c r="D17" s="14">
        <v>60332.480000000003</v>
      </c>
      <c r="E17" s="15"/>
      <c r="F17" s="15"/>
      <c r="G17" s="15">
        <f>(C17+D17)*(-SUMIF($B:$B,$B17,$E:$E))/(SUMIF($B:$B,$B17,$C:$C)+SUMIF($B:$B,$B17,$D:$D))</f>
        <v>37478.20565620155</v>
      </c>
      <c r="H17" s="15">
        <f t="shared" si="6"/>
        <v>25664.524343798454</v>
      </c>
      <c r="I17" s="15" t="e">
        <f t="shared" ca="1" si="0"/>
        <v>#REF!</v>
      </c>
      <c r="J17" s="11"/>
      <c r="K17" s="11">
        <v>9700</v>
      </c>
      <c r="L17" s="15" t="e">
        <f t="shared" ca="1" si="1"/>
        <v>#REF!</v>
      </c>
      <c r="M17" s="15" t="e">
        <f t="shared" ca="1" si="7"/>
        <v>#REF!</v>
      </c>
      <c r="N17" s="11"/>
      <c r="O17" s="13">
        <f t="shared" si="2"/>
        <v>2810.25</v>
      </c>
      <c r="P17" s="13">
        <f t="shared" si="2"/>
        <v>60332.480000000003</v>
      </c>
      <c r="Q17" s="13">
        <f t="shared" si="3"/>
        <v>37478.20565620155</v>
      </c>
      <c r="R17" s="13">
        <f t="shared" si="4"/>
        <v>25664.524343798454</v>
      </c>
      <c r="S17" s="13">
        <v>66829.824000000008</v>
      </c>
      <c r="T17" s="13">
        <f t="shared" si="5"/>
        <v>92494.348343798454</v>
      </c>
    </row>
    <row r="18" spans="1:20" x14ac:dyDescent="0.3">
      <c r="A18" s="12" t="s">
        <v>31</v>
      </c>
      <c r="B18" s="12" t="s">
        <v>17</v>
      </c>
      <c r="C18" s="13">
        <v>34836.010000000009</v>
      </c>
      <c r="D18" s="14">
        <v>89918.6</v>
      </c>
      <c r="E18" s="15"/>
      <c r="F18" s="15"/>
      <c r="G18" s="15">
        <f>(C18+D18)*(-SUMIF($B:$B,$B18,$E:$E))/(SUMIF($B:$B,$B18,$C:$C)+SUMIF($B:$B,$B18,$D:$D))</f>
        <v>74047.779216058916</v>
      </c>
      <c r="H18" s="15">
        <f t="shared" si="6"/>
        <v>50706.830783941099</v>
      </c>
      <c r="I18" s="15" t="e">
        <f t="shared" ca="1" si="0"/>
        <v>#REF!</v>
      </c>
      <c r="J18" s="11"/>
      <c r="K18" s="11">
        <v>19200</v>
      </c>
      <c r="L18" s="15" t="e">
        <f t="shared" ca="1" si="1"/>
        <v>#REF!</v>
      </c>
      <c r="M18" s="15" t="e">
        <f t="shared" ca="1" si="7"/>
        <v>#REF!</v>
      </c>
      <c r="N18" s="11"/>
      <c r="O18" s="13">
        <f t="shared" si="2"/>
        <v>34836.010000000009</v>
      </c>
      <c r="P18" s="13">
        <f t="shared" si="2"/>
        <v>89918.6</v>
      </c>
      <c r="Q18" s="13">
        <f t="shared" si="3"/>
        <v>74047.779216058916</v>
      </c>
      <c r="R18" s="13">
        <f t="shared" si="4"/>
        <v>50706.830783941099</v>
      </c>
      <c r="S18" s="13">
        <v>27845.759999999998</v>
      </c>
      <c r="T18" s="13">
        <f t="shared" si="5"/>
        <v>78552.590783941094</v>
      </c>
    </row>
    <row r="19" spans="1:20" x14ac:dyDescent="0.3">
      <c r="A19" s="12" t="s">
        <v>32</v>
      </c>
      <c r="B19" s="12" t="s">
        <v>17</v>
      </c>
      <c r="C19" s="13">
        <v>0</v>
      </c>
      <c r="D19" s="14">
        <v>0</v>
      </c>
      <c r="E19" s="15"/>
      <c r="F19" s="15"/>
      <c r="G19" s="15">
        <f>(C19+D19)*(-SUMIF($B:$B,$B19,$E:$E))/(SUMIF($B:$B,$B19,$C:$C)+SUMIF($B:$B,$B19,$D:$D))</f>
        <v>0</v>
      </c>
      <c r="H19" s="15">
        <f t="shared" si="6"/>
        <v>0</v>
      </c>
      <c r="I19" s="15" t="e">
        <f t="shared" ca="1" si="0"/>
        <v>#REF!</v>
      </c>
      <c r="J19" s="11"/>
      <c r="K19" s="11">
        <v>0</v>
      </c>
      <c r="L19" s="15" t="e">
        <f t="shared" ca="1" si="1"/>
        <v>#REF!</v>
      </c>
      <c r="M19" s="15" t="e">
        <f t="shared" ca="1" si="7"/>
        <v>#REF!</v>
      </c>
      <c r="N19" s="11"/>
      <c r="O19" s="13">
        <f t="shared" si="2"/>
        <v>0</v>
      </c>
      <c r="P19" s="13">
        <f t="shared" si="2"/>
        <v>0</v>
      </c>
      <c r="Q19" s="13">
        <f t="shared" si="3"/>
        <v>0</v>
      </c>
      <c r="R19" s="13">
        <f t="shared" si="4"/>
        <v>0</v>
      </c>
      <c r="S19" s="13">
        <v>0</v>
      </c>
      <c r="T19" s="13">
        <f t="shared" si="5"/>
        <v>0</v>
      </c>
    </row>
    <row r="20" spans="1:20" x14ac:dyDescent="0.3">
      <c r="A20" s="12" t="s">
        <v>33</v>
      </c>
      <c r="B20" s="12" t="s">
        <v>17</v>
      </c>
      <c r="C20" s="13">
        <v>60304.25</v>
      </c>
      <c r="D20" s="14">
        <v>79469.260000000009</v>
      </c>
      <c r="E20" s="15"/>
      <c r="F20" s="15"/>
      <c r="G20" s="15">
        <f>(C20+D20)*(-SUMIF($B:$B,$B20,$E:$E))/(SUMIF($B:$B,$B20,$C:$C)+SUMIF($B:$B,$B20,$D:$D))</f>
        <v>82962.208841289321</v>
      </c>
      <c r="H20" s="15">
        <f t="shared" si="6"/>
        <v>56811.301158710688</v>
      </c>
      <c r="I20" s="15" t="e">
        <f t="shared" ca="1" si="0"/>
        <v>#REF!</v>
      </c>
      <c r="J20" s="11"/>
      <c r="K20" s="11">
        <v>20300</v>
      </c>
      <c r="L20" s="15" t="e">
        <f t="shared" ca="1" si="1"/>
        <v>#REF!</v>
      </c>
      <c r="M20" s="15" t="e">
        <f t="shared" ca="1" si="7"/>
        <v>#REF!</v>
      </c>
      <c r="N20" s="11"/>
      <c r="O20" s="13">
        <f t="shared" si="2"/>
        <v>60304.25</v>
      </c>
      <c r="P20" s="13">
        <f t="shared" si="2"/>
        <v>79469.260000000009</v>
      </c>
      <c r="Q20" s="13">
        <f t="shared" si="3"/>
        <v>82962.208841289321</v>
      </c>
      <c r="R20" s="13">
        <f t="shared" si="4"/>
        <v>56811.301158710688</v>
      </c>
      <c r="S20" s="13">
        <v>57942.144</v>
      </c>
      <c r="T20" s="13">
        <f t="shared" si="5"/>
        <v>114753.44515871069</v>
      </c>
    </row>
    <row r="21" spans="1:20" x14ac:dyDescent="0.3">
      <c r="A21" s="12" t="s">
        <v>34</v>
      </c>
      <c r="B21" s="12" t="s">
        <v>17</v>
      </c>
      <c r="C21" s="13">
        <v>0</v>
      </c>
      <c r="D21" s="14">
        <v>0</v>
      </c>
      <c r="E21" s="15"/>
      <c r="F21" s="15"/>
      <c r="G21" s="15">
        <f>(C21+D21)*(-SUMIF($B:$B,$B21,$E:$E))/(SUMIF($B:$B,$B21,$C:$C)+SUMIF($B:$B,$B21,$D:$D))</f>
        <v>0</v>
      </c>
      <c r="H21" s="15">
        <f t="shared" si="6"/>
        <v>0</v>
      </c>
      <c r="I21" s="15" t="e">
        <f t="shared" ca="1" si="0"/>
        <v>#REF!</v>
      </c>
      <c r="J21" s="11"/>
      <c r="K21" s="11">
        <v>0</v>
      </c>
      <c r="L21" s="15" t="e">
        <f t="shared" ca="1" si="1"/>
        <v>#REF!</v>
      </c>
      <c r="M21" s="15" t="e">
        <f t="shared" ca="1" si="7"/>
        <v>#REF!</v>
      </c>
      <c r="N21" s="11"/>
      <c r="O21" s="13">
        <f t="shared" si="2"/>
        <v>0</v>
      </c>
      <c r="P21" s="13">
        <f t="shared" si="2"/>
        <v>0</v>
      </c>
      <c r="Q21" s="13">
        <f t="shared" si="3"/>
        <v>0</v>
      </c>
      <c r="R21" s="13">
        <f t="shared" si="4"/>
        <v>0</v>
      </c>
      <c r="S21" s="13">
        <v>0</v>
      </c>
      <c r="T21" s="13">
        <f t="shared" si="5"/>
        <v>0</v>
      </c>
    </row>
    <row r="22" spans="1:20" x14ac:dyDescent="0.3">
      <c r="A22" s="12" t="s">
        <v>35</v>
      </c>
      <c r="B22" s="12" t="s">
        <v>17</v>
      </c>
      <c r="C22" s="13">
        <v>79889.47</v>
      </c>
      <c r="D22" s="14">
        <v>193432.80000000002</v>
      </c>
      <c r="E22" s="15"/>
      <c r="F22" s="15"/>
      <c r="G22" s="15">
        <f>(C22+D22)*(-SUMIF($B:$B,$B22,$E:$E))/(SUMIF($B:$B,$B22,$C:$C)+SUMIF($B:$B,$B22,$D:$D))</f>
        <v>162229.73326430214</v>
      </c>
      <c r="H22" s="15">
        <f t="shared" si="6"/>
        <v>111092.53673569788</v>
      </c>
      <c r="I22" s="15" t="e">
        <f t="shared" ca="1" si="0"/>
        <v>#REF!</v>
      </c>
      <c r="J22" s="11"/>
      <c r="K22" s="11">
        <v>43200</v>
      </c>
      <c r="L22" s="15" t="e">
        <f t="shared" ca="1" si="1"/>
        <v>#REF!</v>
      </c>
      <c r="M22" s="15" t="e">
        <f t="shared" ca="1" si="7"/>
        <v>#REF!</v>
      </c>
      <c r="N22" s="11"/>
      <c r="O22" s="13">
        <f t="shared" si="2"/>
        <v>79889.47</v>
      </c>
      <c r="P22" s="13">
        <f t="shared" si="2"/>
        <v>193432.80000000002</v>
      </c>
      <c r="Q22" s="13">
        <f t="shared" si="3"/>
        <v>162229.73326430214</v>
      </c>
      <c r="R22" s="13">
        <f t="shared" si="4"/>
        <v>111092.53673569788</v>
      </c>
      <c r="S22" s="13">
        <v>109232.64000000001</v>
      </c>
      <c r="T22" s="13">
        <f t="shared" si="5"/>
        <v>220325.1767356979</v>
      </c>
    </row>
    <row r="23" spans="1:20" x14ac:dyDescent="0.3">
      <c r="A23" s="12" t="s">
        <v>36</v>
      </c>
      <c r="B23" s="12" t="s">
        <v>17</v>
      </c>
      <c r="C23" s="13">
        <v>32123.809999999998</v>
      </c>
      <c r="D23" s="14">
        <v>73061.5</v>
      </c>
      <c r="E23" s="15"/>
      <c r="F23" s="15"/>
      <c r="G23" s="15">
        <f>(C23+D23)*(-SUMIF($B:$B,$B23,$E:$E))/(SUMIF($B:$B,$B23,$C:$C)+SUMIF($B:$B,$B23,$D:$D))</f>
        <v>62432.471326331841</v>
      </c>
      <c r="H23" s="15">
        <f t="shared" si="6"/>
        <v>42752.838673668157</v>
      </c>
      <c r="I23" s="15" t="e">
        <f t="shared" ca="1" si="0"/>
        <v>#REF!</v>
      </c>
      <c r="J23" s="11"/>
      <c r="K23" s="11">
        <v>37700</v>
      </c>
      <c r="L23" s="15" t="e">
        <f t="shared" ca="1" si="1"/>
        <v>#REF!</v>
      </c>
      <c r="M23" s="15" t="e">
        <f t="shared" ca="1" si="7"/>
        <v>#REF!</v>
      </c>
      <c r="N23" s="11"/>
      <c r="O23" s="13">
        <f t="shared" si="2"/>
        <v>32123.809999999998</v>
      </c>
      <c r="P23" s="13">
        <f t="shared" si="2"/>
        <v>73061.5</v>
      </c>
      <c r="Q23" s="13">
        <f t="shared" si="3"/>
        <v>62432.471326331841</v>
      </c>
      <c r="R23" s="13">
        <f t="shared" si="4"/>
        <v>42752.838673668157</v>
      </c>
      <c r="S23" s="13">
        <v>70139.039999999994</v>
      </c>
      <c r="T23" s="13">
        <f t="shared" si="5"/>
        <v>112891.87867366815</v>
      </c>
    </row>
    <row r="24" spans="1:20" x14ac:dyDescent="0.3">
      <c r="A24" s="12" t="s">
        <v>37</v>
      </c>
      <c r="B24" s="12" t="s">
        <v>17</v>
      </c>
      <c r="C24" s="13">
        <v>42502.69</v>
      </c>
      <c r="D24" s="14">
        <v>168578.81</v>
      </c>
      <c r="E24" s="15"/>
      <c r="F24" s="15"/>
      <c r="G24" s="15">
        <f>(C24+D24)*(-SUMIF($B:$B,$B24,$E:$E))/(SUMIF($B:$B,$B24,$C:$C)+SUMIF($B:$B,$B24,$D:$D))</f>
        <v>125286.88365579867</v>
      </c>
      <c r="H24" s="15">
        <f t="shared" si="6"/>
        <v>85794.616344201335</v>
      </c>
      <c r="I24" s="15" t="e">
        <f t="shared" ca="1" si="0"/>
        <v>#REF!</v>
      </c>
      <c r="J24" s="11"/>
      <c r="K24" s="11">
        <v>41300</v>
      </c>
      <c r="L24" s="15" t="e">
        <f t="shared" ca="1" si="1"/>
        <v>#REF!</v>
      </c>
      <c r="M24" s="15" t="e">
        <f t="shared" ca="1" si="7"/>
        <v>#REF!</v>
      </c>
      <c r="N24" s="11"/>
      <c r="O24" s="13">
        <f t="shared" si="2"/>
        <v>42502.69</v>
      </c>
      <c r="P24" s="13">
        <f t="shared" si="2"/>
        <v>168578.81</v>
      </c>
      <c r="Q24" s="13">
        <f t="shared" si="3"/>
        <v>125286.88365579867</v>
      </c>
      <c r="R24" s="13">
        <f t="shared" si="4"/>
        <v>85794.616344201335</v>
      </c>
      <c r="S24" s="13">
        <v>98580.096000000005</v>
      </c>
      <c r="T24" s="13">
        <f t="shared" si="5"/>
        <v>184374.71234420134</v>
      </c>
    </row>
    <row r="25" spans="1:20" x14ac:dyDescent="0.3">
      <c r="A25" s="12" t="s">
        <v>38</v>
      </c>
      <c r="B25" s="12" t="s">
        <v>17</v>
      </c>
      <c r="C25" s="13">
        <v>0</v>
      </c>
      <c r="D25" s="14">
        <v>0</v>
      </c>
      <c r="E25" s="15"/>
      <c r="F25" s="15"/>
      <c r="G25" s="15">
        <f>(C25+D25)*(-SUMIF($B:$B,$B25,$E:$E))/(SUMIF($B:$B,$B25,$C:$C)+SUMIF($B:$B,$B25,$D:$D))</f>
        <v>0</v>
      </c>
      <c r="H25" s="15">
        <f t="shared" si="6"/>
        <v>0</v>
      </c>
      <c r="I25" s="15" t="e">
        <f t="shared" ca="1" si="0"/>
        <v>#REF!</v>
      </c>
      <c r="J25" s="11"/>
      <c r="K25" s="11">
        <v>0</v>
      </c>
      <c r="L25" s="15" t="e">
        <f t="shared" ca="1" si="1"/>
        <v>#REF!</v>
      </c>
      <c r="M25" s="15" t="e">
        <f t="shared" ca="1" si="7"/>
        <v>#REF!</v>
      </c>
      <c r="N25" s="11"/>
      <c r="O25" s="13">
        <f t="shared" si="2"/>
        <v>0</v>
      </c>
      <c r="P25" s="13">
        <f t="shared" si="2"/>
        <v>0</v>
      </c>
      <c r="Q25" s="13">
        <f t="shared" si="3"/>
        <v>0</v>
      </c>
      <c r="R25" s="13">
        <f t="shared" si="4"/>
        <v>0</v>
      </c>
      <c r="S25" s="13">
        <v>23726.016</v>
      </c>
      <c r="T25" s="13">
        <f t="shared" si="5"/>
        <v>23726.016</v>
      </c>
    </row>
    <row r="26" spans="1:20" x14ac:dyDescent="0.3">
      <c r="A26" s="12" t="s">
        <v>39</v>
      </c>
      <c r="B26" s="12" t="s">
        <v>17</v>
      </c>
      <c r="C26" s="13">
        <v>181995.40999999997</v>
      </c>
      <c r="D26" s="14">
        <v>200470.02356164384</v>
      </c>
      <c r="E26" s="15"/>
      <c r="F26" s="15"/>
      <c r="G26" s="15">
        <f>(C26+D26)*(-SUMIF($B:$B,$B26,$E:$E))/(SUMIF($B:$B,$B26,$C:$C)+SUMIF($B:$B,$B26,$D:$D))</f>
        <v>227011.37843440691</v>
      </c>
      <c r="H26" s="15">
        <f t="shared" si="6"/>
        <v>155454.0551272369</v>
      </c>
      <c r="I26" s="15" t="e">
        <f t="shared" ca="1" si="0"/>
        <v>#REF!</v>
      </c>
      <c r="J26" s="11"/>
      <c r="K26" s="11">
        <v>43500</v>
      </c>
      <c r="L26" s="15" t="e">
        <f t="shared" ca="1" si="1"/>
        <v>#REF!</v>
      </c>
      <c r="M26" s="15" t="e">
        <f t="shared" ca="1" si="7"/>
        <v>#REF!</v>
      </c>
      <c r="N26" s="11"/>
      <c r="O26" s="13">
        <f t="shared" si="2"/>
        <v>181995.40999999997</v>
      </c>
      <c r="P26" s="13">
        <f t="shared" si="2"/>
        <v>200470.02356164384</v>
      </c>
      <c r="Q26" s="13">
        <f t="shared" si="3"/>
        <v>227011.37843440691</v>
      </c>
      <c r="R26" s="13">
        <f t="shared" si="4"/>
        <v>155454.0551272369</v>
      </c>
      <c r="S26" s="13">
        <v>34426.560000000005</v>
      </c>
      <c r="T26" s="13">
        <f t="shared" si="5"/>
        <v>189880.6151272369</v>
      </c>
    </row>
    <row r="27" spans="1:20" ht="15" thickBot="1" x14ac:dyDescent="0.35">
      <c r="A27" s="12" t="s">
        <v>40</v>
      </c>
      <c r="B27" s="12" t="s">
        <v>17</v>
      </c>
      <c r="C27" s="13">
        <v>159544.25</v>
      </c>
      <c r="D27" s="14">
        <v>214353.9564383562</v>
      </c>
      <c r="E27" s="15"/>
      <c r="F27" s="15"/>
      <c r="G27" s="15">
        <f>(C27+D27)*(-SUMIF($B:$B,$B27,$E:$E))/(SUMIF($B:$B,$B27,$C:$C)+SUMIF($B:$B,$B27,$D:$D))</f>
        <v>221926.32271967994</v>
      </c>
      <c r="H27" s="15">
        <f t="shared" si="6"/>
        <v>151971.88371867625</v>
      </c>
      <c r="I27" s="15" t="e">
        <f t="shared" ca="1" si="0"/>
        <v>#REF!</v>
      </c>
      <c r="J27" s="11"/>
      <c r="K27" s="11">
        <v>41200</v>
      </c>
      <c r="L27" s="15" t="e">
        <f t="shared" ca="1" si="1"/>
        <v>#REF!</v>
      </c>
      <c r="M27" s="15" t="e">
        <f t="shared" ca="1" si="7"/>
        <v>#REF!</v>
      </c>
      <c r="N27" s="11"/>
      <c r="O27" s="13">
        <f t="shared" si="2"/>
        <v>159544.25</v>
      </c>
      <c r="P27" s="13">
        <f t="shared" si="2"/>
        <v>214353.9564383562</v>
      </c>
      <c r="Q27" s="13">
        <f t="shared" si="3"/>
        <v>221926.32271967994</v>
      </c>
      <c r="R27" s="13">
        <f t="shared" si="4"/>
        <v>151971.88371867625</v>
      </c>
      <c r="S27" s="13">
        <v>34426.560000000005</v>
      </c>
      <c r="T27" s="13">
        <f t="shared" si="5"/>
        <v>186398.44371867625</v>
      </c>
    </row>
    <row r="28" spans="1:20" ht="15" hidden="1" thickBot="1" x14ac:dyDescent="0.35">
      <c r="A28" s="12" t="s">
        <v>7</v>
      </c>
      <c r="B28" s="12" t="s">
        <v>17</v>
      </c>
      <c r="C28" s="13"/>
      <c r="D28" s="15"/>
      <c r="E28" s="15">
        <v>-1731380.3</v>
      </c>
      <c r="F28" s="15"/>
      <c r="G28" s="15"/>
      <c r="H28" s="15"/>
      <c r="I28" s="15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5" hidden="1" thickBot="1" x14ac:dyDescent="0.35">
      <c r="A29" s="12" t="s">
        <v>7</v>
      </c>
      <c r="B29" s="12" t="s">
        <v>24</v>
      </c>
      <c r="C29" s="13"/>
      <c r="D29" s="15"/>
      <c r="E29" s="15">
        <v>-170999.454</v>
      </c>
      <c r="F29" s="15"/>
      <c r="G29" s="15"/>
      <c r="H29" s="15"/>
      <c r="I29" s="15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5" hidden="1" thickBot="1" x14ac:dyDescent="0.35">
      <c r="A30" s="12" t="s">
        <v>7</v>
      </c>
      <c r="B30" s="12" t="s">
        <v>27</v>
      </c>
      <c r="C30" s="16"/>
      <c r="D30" s="17"/>
      <c r="E30" s="17">
        <v>-175301</v>
      </c>
      <c r="F30" s="17"/>
      <c r="G30" s="17"/>
      <c r="H30" s="17"/>
      <c r="I30" s="18"/>
      <c r="J30" s="17" t="s">
        <v>10</v>
      </c>
      <c r="K30" s="19">
        <v>0.6</v>
      </c>
      <c r="L30" s="18"/>
      <c r="M30" s="18"/>
      <c r="N30" s="18"/>
      <c r="O30" s="18"/>
      <c r="P30" s="18"/>
      <c r="Q30" s="18"/>
      <c r="R30" s="18"/>
      <c r="S30" s="18"/>
      <c r="T30" s="18"/>
    </row>
    <row r="31" spans="1:20" ht="18" x14ac:dyDescent="0.35">
      <c r="A31" s="20" t="s">
        <v>41</v>
      </c>
      <c r="B31" s="21" t="s">
        <v>17</v>
      </c>
      <c r="C31" s="22"/>
      <c r="D31" s="22"/>
      <c r="E31" s="22"/>
      <c r="F31" s="22"/>
      <c r="G31" s="22"/>
      <c r="H31" s="22"/>
      <c r="I31" s="21"/>
      <c r="J31" s="22">
        <f>SUMIF($B:$B,$B31,$H:$H)</f>
        <v>1185623.78</v>
      </c>
      <c r="K31" s="22" t="e">
        <f ca="1">SUMIF($B:$B,$B31,$I:$I)</f>
        <v>#REF!</v>
      </c>
      <c r="L31" s="23" t="e">
        <f ca="1">K31+J31</f>
        <v>#REF!</v>
      </c>
      <c r="M31" s="21"/>
      <c r="N31" s="21"/>
      <c r="O31" s="21"/>
      <c r="P31" s="21"/>
      <c r="Q31" s="21"/>
      <c r="R31" s="22">
        <f ca="1">SUMIF($B:$B,$B31,$R:$R)</f>
        <v>1185623.78</v>
      </c>
      <c r="S31" s="22">
        <f ca="1">SUMIF($B:$B,$B31,$S:$S)</f>
        <v>1084239.4080000001</v>
      </c>
      <c r="T31" s="24">
        <f ca="1">SUMIF($B:$B,$B31,$T:$T)</f>
        <v>2269863.1879999996</v>
      </c>
    </row>
    <row r="32" spans="1:20" ht="18" x14ac:dyDescent="0.35">
      <c r="A32" s="25" t="s">
        <v>41</v>
      </c>
      <c r="B32" s="26" t="s">
        <v>24</v>
      </c>
      <c r="C32" s="27"/>
      <c r="D32" s="27"/>
      <c r="E32" s="27"/>
      <c r="F32" s="27"/>
      <c r="G32" s="27"/>
      <c r="H32" s="27"/>
      <c r="I32" s="26"/>
      <c r="J32" s="27">
        <f>SUMIF($B:$B,$B32,$H:$H)</f>
        <v>108291.61600000001</v>
      </c>
      <c r="K32" s="27" t="e">
        <f ca="1">SUMIF($B:$B,$B32,$I:$I)</f>
        <v>#REF!</v>
      </c>
      <c r="L32" s="28" t="e">
        <f t="shared" ref="L32:L33" ca="1" si="8">K32+J32</f>
        <v>#REF!</v>
      </c>
      <c r="M32" s="26"/>
      <c r="N32" s="26"/>
      <c r="O32" s="26"/>
      <c r="P32" s="26"/>
      <c r="Q32" s="26"/>
      <c r="R32" s="27">
        <f ca="1">SUMIF($B:$B,$B32,$R:$R)</f>
        <v>108291.61600000001</v>
      </c>
      <c r="S32" s="27">
        <f ca="1">SUMIF($B:$B,$B32,$S:$S)</f>
        <v>138921.984</v>
      </c>
      <c r="T32" s="29">
        <f ca="1">SUMIF($B:$B,$B32,$T:$T)</f>
        <v>247213.6</v>
      </c>
    </row>
    <row r="33" spans="1:20" ht="18.600000000000001" thickBot="1" x14ac:dyDescent="0.4">
      <c r="A33" s="30" t="s">
        <v>41</v>
      </c>
      <c r="B33" s="31" t="s">
        <v>27</v>
      </c>
      <c r="C33" s="32"/>
      <c r="D33" s="32"/>
      <c r="E33" s="32"/>
      <c r="F33" s="32"/>
      <c r="G33" s="32"/>
      <c r="H33" s="32"/>
      <c r="I33" s="31"/>
      <c r="J33" s="32">
        <f>SUMIF($B:$B,$B33,$H:$H)</f>
        <v>49750</v>
      </c>
      <c r="K33" s="32" t="e">
        <f ca="1">SUMIF($B:$B,$B33,$I:$I)</f>
        <v>#REF!</v>
      </c>
      <c r="L33" s="33" t="e">
        <f t="shared" ca="1" si="8"/>
        <v>#REF!</v>
      </c>
      <c r="M33" s="31"/>
      <c r="N33" s="31"/>
      <c r="O33" s="31"/>
      <c r="P33" s="31"/>
      <c r="Q33" s="31"/>
      <c r="R33" s="32">
        <f ca="1">SUMIF($B:$B,$B33,$R:$R)</f>
        <v>49750</v>
      </c>
      <c r="S33" s="32">
        <f ca="1">SUMIF($B:$B,$B33,$S:$S)</f>
        <v>144000</v>
      </c>
      <c r="T33" s="34">
        <f ca="1">SUMIF($B:$B,$B33,$T:$T)</f>
        <v>193750</v>
      </c>
    </row>
    <row r="34" spans="1:20" ht="18.600000000000001" thickBot="1" x14ac:dyDescent="0.4">
      <c r="A34" s="35" t="s">
        <v>42</v>
      </c>
      <c r="B34" s="36"/>
      <c r="C34" s="36"/>
      <c r="D34" s="36"/>
      <c r="E34" s="36"/>
      <c r="F34" s="36"/>
      <c r="G34" s="36"/>
      <c r="H34" s="37">
        <f>SUM(H6:H27)</f>
        <v>1343665.3959999999</v>
      </c>
      <c r="I34" s="37" t="e">
        <f ca="1">SUM(I6:I27)</f>
        <v>#REF!</v>
      </c>
      <c r="J34" s="37">
        <f>SUM(J31:J33)</f>
        <v>1343665.3959999999</v>
      </c>
      <c r="K34" s="37" t="e">
        <f ca="1">SUM(K31:K33)</f>
        <v>#REF!</v>
      </c>
      <c r="L34" s="38" t="e">
        <f ca="1">SUM(L31:L33)</f>
        <v>#REF!</v>
      </c>
      <c r="M34" s="36"/>
      <c r="N34" s="36"/>
      <c r="O34" s="39">
        <f>SUBTOTAL(9,O6:O27)</f>
        <v>1055041.0599999998</v>
      </c>
      <c r="P34" s="39">
        <f>SUBTOTAL(9,P6:P27)</f>
        <v>2366305.09</v>
      </c>
      <c r="Q34" s="39">
        <f>SUBTOTAL(9,Q6:Q27)</f>
        <v>2077680.7540000002</v>
      </c>
      <c r="R34" s="39">
        <f>SUBTOTAL(9,R6:R27)</f>
        <v>1343665.3959999999</v>
      </c>
      <c r="S34" s="39">
        <f>SUBTOTAL(9,S6:S27)</f>
        <v>1367161.3920000002</v>
      </c>
      <c r="T34" s="40">
        <f>SUBTOTAL(9,T6:T27)</f>
        <v>2710826.7880000002</v>
      </c>
    </row>
  </sheetData>
  <autoFilter ref="A5:T33" xr:uid="{0B3723EE-9E52-4EE9-BAF0-4B0F49C82578}"/>
  <mergeCells count="1">
    <mergeCell ref="C2:C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44CD0C-38F6-42C0-8394-4F8D511B2F4D}">
          <x14:formula1>
            <xm:f>[Спецтехника_ИЮНЬ_2025.xlsx]Данные!#REF!</xm:f>
          </x14:formula1>
          <xm:sqref>B6:B33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Спецтехника для Бюдж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cfo</cp:lastModifiedBy>
  <dcterms:created xsi:type="dcterms:W3CDTF">2025-07-15T12:43:41Z</dcterms:created>
  <dcterms:modified xsi:type="dcterms:W3CDTF">2025-07-15T12:45:18Z</dcterms:modified>
</cp:coreProperties>
</file>
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Материалы+МШП\"/>
    </mc:Choice>
  </mc:AlternateContent>
  <xr:revisionPtr revIDLastSave="0" documentId="13_ncr:1_{C09BAC5E-2F7C-425A-982B-9BD091E0B670}" xr6:coauthVersionLast="45" xr6:coauthVersionMax="45" xr10:uidLastSave="{00000000-0000-0000-0000-000000000000}"/>
  <bookViews>
    <workbookView xWindow="-108" yWindow="-108" windowWidth="23256" windowHeight="12600" tabRatio="816" xr2:uid="{00000000-000D-0000-FFFF-FFFF00000000}"/>
  </bookViews>
  <sheets>
    <sheet name="СВОД" sheetId="1" r:id="rId1"/>
    <sheet name="АПК" sheetId="2" r:id="rId2"/>
    <sheet name="Глобине-2" sheetId="3" r:id="rId3"/>
    <sheet name="Котельна" sheetId="4" r:id="rId4"/>
    <sheet name="Пожежений резервуар" sheetId="5" r:id="rId5"/>
    <sheet name="в бігбегах" sheetId="6" r:id="rId6"/>
    <sheet name="зберігання розчинника" sheetId="7" r:id="rId7"/>
    <sheet name="парк соєвої меляси" sheetId="8" r:id="rId8"/>
    <sheet name="СПК" sheetId="9" r:id="rId9"/>
    <sheet name="Цех екстракції" sheetId="10" r:id="rId10"/>
  </sheets>
  <definedNames>
    <definedName name="_xlnm._FilterDatabase" localSheetId="1" hidden="1">АПК!$A$1:$L$25</definedName>
    <definedName name="_xlnm._FilterDatabase" localSheetId="5" hidden="1">'в бігбегах'!$A$1:$L$14</definedName>
    <definedName name="_xlnm._FilterDatabase" localSheetId="2" hidden="1">'Глобине-2'!$A$1:$L$250</definedName>
    <definedName name="_xlnm._FilterDatabase" localSheetId="6" hidden="1">'зберігання розчинника'!$A$1:$L$13</definedName>
    <definedName name="_xlnm._FilterDatabase" localSheetId="3" hidden="1">Котельна!$A$1:$L$74</definedName>
    <definedName name="_xlnm._FilterDatabase" localSheetId="7" hidden="1">'парк соєвої меляси'!$A$1:$L$13</definedName>
    <definedName name="_xlnm._FilterDatabase" localSheetId="4" hidden="1">'Пожежений резервуар'!$A$1:$L$24</definedName>
    <definedName name="_xlnm._FilterDatabase" localSheetId="8" hidden="1">СПК!$A$1:$L$101</definedName>
    <definedName name="_xlnm._FilterDatabase" localSheetId="9" hidden="1">'Цех екстракції'!$A$1:$L$43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  <c r="J45" i="10"/>
  <c r="J103" i="9"/>
  <c r="J15" i="8"/>
  <c r="J15" i="7"/>
  <c r="J16" i="6"/>
  <c r="J26" i="5"/>
  <c r="J76" i="4" l="1"/>
  <c r="J252" i="3"/>
  <c r="J27" i="2"/>
</calcChain>
</file>

<file path=xl/sharedStrings.xml><?xml version="1.0" encoding="utf-8"?>
<sst xmlns="http://schemas.openxmlformats.org/spreadsheetml/2006/main" count="4342" uniqueCount="445">
  <si>
    <t>АПК (Глобине)</t>
  </si>
  <si>
    <t>Глобине-2</t>
  </si>
  <si>
    <t>Котельна (Глобине)</t>
  </si>
  <si>
    <t>Пожежений резервуар (Глобине)</t>
  </si>
  <si>
    <t>Пункт фасування та зберігання в бігбегах (Глобине)</t>
  </si>
  <si>
    <t>Резервуар для зберігання розчинника(Глобине)</t>
  </si>
  <si>
    <t>Резервуарний парк соєвої меляси (Глобине)</t>
  </si>
  <si>
    <t>СПК (Глобине)</t>
  </si>
  <si>
    <t>Цех екстракції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</si>
  <si>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</si>
  <si>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</si>
  <si>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</si>
  <si>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</si>
  <si>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</si>
  <si>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</si>
  <si>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</si>
  <si>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</si>
  <si>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</si>
  <si>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01.06.2025</t>
  </si>
  <si>
    <t>Переміщення товарів ІБ00-000501 від 01.06.2025 21:00:00
Перемещение ТМЦ</t>
  </si>
  <si>
    <t>Обл. НДС
VULKAN Рукавички трикотажні чорні TM Vulkan LUX, р.10
Надходження товарів і послуг ІБ00-002700 від 01.06.2025 11:00:00
АПК (Глобине)</t>
  </si>
  <si>
    <t>Обл. НДС
VULKAN Рукавички трикотажні чорні TM Vulkan LUX, р.10
Надходження товарів і послуг ІБ00-002700 від 01.06.2025 11:00:00
Глобине-2</t>
  </si>
  <si>
    <t>221</t>
  </si>
  <si>
    <t xml:space="preserve"> </t>
  </si>
  <si>
    <t>Обл. НДС
Цвяхи 100*4,0
Надходження товарів і послуг ІБ00-002700 від 01.06.2025 11:00:00
АПК (Глобине)</t>
  </si>
  <si>
    <t>Обл. НДС
Цвяхи 100*4,0
Надходження товарів і послуг ІБ00-002700 від 01.06.2025 11:00:00
Глобине-2</t>
  </si>
  <si>
    <t>Обл. НДС
Піна монтажна  850 мл 
Надходження товарів і послуг ІБ00-002700 від 01.06.2025 11:00:00
АПК (Глобине)</t>
  </si>
  <si>
    <t>Обл. НДС
Піна монтажна  850 мл 
Надходження товарів і послуг ІБ00-002700 від 01.06.2025 11:00:00
Глобине-2</t>
  </si>
  <si>
    <t>Обл. НДС
Бур + 32*750/800 plus5 бетон,цегла
Надходження товарів і послуг ІБ00-002700 від 01.06.2025 11:00:00
АПК (Глобине)</t>
  </si>
  <si>
    <t>Обл. НДС
Бур + 32*750/800 plus5 бетон,цегла
Надходження товарів і послуг ІБ00-002700 від 01.06.2025 11:00:00
Глобине-2</t>
  </si>
  <si>
    <t>05.06.2025</t>
  </si>
  <si>
    <t>Переміщення товарів ІБ00-000528 від 05.06.2025 11:10:00
Перемещение ТМЦ</t>
  </si>
  <si>
    <t>Обл. НДС
Щітка торцева з плет.провол. 125 мм, М14
Надходження товарів і послуг ІБ00-002809 від 05.06.2025 11:00:00
АПК (Глобине)</t>
  </si>
  <si>
    <t>Обл. НДС
Щітка торцева з плет.провол. 125 мм, М14
Надходження товарів і послуг ІБ00-002809 від 05.06.2025 11:00:00
Глобине-2</t>
  </si>
  <si>
    <t>11.06.2025</t>
  </si>
  <si>
    <t>Переміщення товарів ІБ00-000545 від 11.06.2025 11:10:00
Перемещение ТМЦ</t>
  </si>
  <si>
    <t>Обл. НДС
Валик  д=8 11*48*250мм під ручку
Надходження товарів і послуг ІБ00-002929 від 11.06.2025 11:00:00
АПК (Глобине)</t>
  </si>
  <si>
    <t>Обл. НДС
Валик  д=8 11*48*250мм під ручку
Надходження товарів і послуг ІБ00-002929 від 11.06.2025 11:00:00
Глобине-2</t>
  </si>
  <si>
    <t>Обл. НДС
Рукавиці трикотажні з ПВХ чорні 7клас розм 10
Надходження товарів і послуг ІБ00-002929 від 11.06.2025 11:00:00
АПК (Глобине)</t>
  </si>
  <si>
    <t>Обл. НДС
Рукавиці трикотажні з ПВХ чорні 7клас розм 10
Надходження товарів і послуг ІБ00-002929 від 11.06.2025 11:00:00
Глобине-2</t>
  </si>
  <si>
    <t>19.06.2025</t>
  </si>
  <si>
    <t>Передача малоцінних активів в експлуатацію ІБ00-000270 від 19.06.2025 10:31:53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</si>
  <si>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</si>
  <si>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231</t>
  </si>
  <si>
    <t>20.06.2025</t>
  </si>
  <si>
    <t>Передача малоцінних активів в експлуатацію ІБ00-000291 від 20.06.2025 10:00:00
Списание стоимости малоценных активов</t>
  </si>
  <si>
    <t>23.06.2025</t>
  </si>
  <si>
    <t>Переміщення товарів ІБ00-000597 від 23.06.2025 11:10:00
Перемещение ТМЦ</t>
  </si>
  <si>
    <t>Обл. НДС
Фреза алмазна торцева 100*22,23-14 по бетону Distar/Baumesser
Надходження товарів і послуг ІБ00-003195 від 23.06.2025 11:00:00
АПК (Глобине)</t>
  </si>
  <si>
    <t>Обл. НДС
Фреза алмазна торцева 100*22,23-14 по бетону Distar/Baumesser
Надходження товарів і послуг ІБ00-003195 від 23.06.2025 11:00:00
Глобине-2</t>
  </si>
  <si>
    <t>Обл. НДС
Круг відрізний 125*1,6*22
Надходження товарів і послуг ІБ00-003195 від 23.06.2025 11:00:00
АПК (Глобине)</t>
  </si>
  <si>
    <t>Обл. НДС
Круг відрізний 125*1,6*22
Надходження товарів і послуг ІБ00-003195 від 23.06.2025 11:00:00
Глобине-2</t>
  </si>
  <si>
    <t>Обл. НДС
Плащ від дощу
Надходження товарів і послуг ІБ00-003195 від 23.06.2025 11:00:00
АПК (Глобине)</t>
  </si>
  <si>
    <t>Обл. НДС
Плащ від дощу
Надходження товарів і послуг ІБ00-003195 від 23.06.2025 11:00:00
Глобине-2</t>
  </si>
  <si>
    <t>Обл. НДС
Рулетка 10 м*25 мм
Надходження товарів і послуг ІБ00-003195 від 23.06.2025 11:00:00
АПК (Глобине)</t>
  </si>
  <si>
    <t>Обл. НДС
Рулетка 10 м*25 мм
Надходження товарів і послуг ІБ00-003195 від 23.06.2025 11:00:00
Глобине-2</t>
  </si>
  <si>
    <t>Обл. НДС
Піна монтажна  850 мл 
Надходження товарів і послуг ІБ00-003195 від 23.06.2025 11:00:00
АПК (Глобине)</t>
  </si>
  <si>
    <t>Обл. НДС
Піна монтажна  850 мл 
Надходження товарів і послуг ІБ00-003195 від 23.06.2025 11:00:00
Глобине-2</t>
  </si>
  <si>
    <t>25.06.2025</t>
  </si>
  <si>
    <t>Передача малоцінних активів в експлуатацію ІБ00-000305 від 25.06.2025 23:12:58
Списание стоимости малоценных активов</t>
  </si>
  <si>
    <t>Обороти за період та сальдо на кінець</t>
  </si>
  <si>
    <t>Надходження товарів і послуг ІБ00-002700 від 01.06.2025 11:00:00
Оприходованы ТМЦ</t>
  </si>
  <si>
    <t>Обл. НДС
Перчатки зварюв.чорні(краги)
Надходження товарів і послуг ІБ00-002700 від 01.06.2025 11:00:00
Глобине-2</t>
  </si>
  <si>
    <t>Лук'ян Михайло Федорович ФОП
22/08-24-1 от 22.08.2024 (РАХУНКИ)_Глобине-2
Рахунок на оплату постачальника ІБ00-002231 від 20.05.2025 21:00:09</t>
  </si>
  <si>
    <t>631</t>
  </si>
  <si>
    <t>Обл. НДС
Окуляри захисні
Надходження товарів і послуг ІБ00-002700 від 01.06.2025 11:00:00
Глобине-2</t>
  </si>
  <si>
    <t>Обл. НДС
Пензель 50мм
Надходження товарів і послуг ІБ00-002700 від 01.06.2025 11:00:00
Глобине-2</t>
  </si>
  <si>
    <t>Обл. НДС
Круг пелюстковий Р40, 125х22.2
Надходження товарів і послуг ІБ00-002700 від 01.06.2025 11:00:00
Глобине-2</t>
  </si>
  <si>
    <t>Обл. НДС
Строп СТП-5,0/6000
Надходження товарів і послуг ІБ00-002700 від 01.06.2025 11:00:00
Глобине-2</t>
  </si>
  <si>
    <t>Обл. НДС
Диск пильний 190*30 48Т
Надходження товарів і послуг ІБ00-002700 від 01.06.2025 11:00:00
Глобине-2</t>
  </si>
  <si>
    <t>Обл. НДС
Електроди "Моноліт РЦ" 4 мм уп. 5,0 кг
Надходження товарів і послуг ІБ00-002700 від 01.06.2025 11:00:00
Глобине-2</t>
  </si>
  <si>
    <t>Обл. НДС
Електроди "Моноліт РЦ" 3 мм 2,5кг
Надходження товарів і послуг ІБ00-002700 від 01.06.2025 11:00:00
Глобине-2</t>
  </si>
  <si>
    <t>Надходження товарів і послуг ІБ00-002821 від 01.06.2025 11:00:00
Оприходованы ТМЦ</t>
  </si>
  <si>
    <t>Обл. НДС
Костюм "Віват" р.104-108/170-176
Надходження товарів і послуг ІБ00-002821 від 01.06.2025 11:00:00
Глобине-2</t>
  </si>
  <si>
    <t>БРАВО-СП ТОВ
РАХУНКИ_Глобине-2
Рахунок на оплату постачальника ІБ00-002362 від 01.06.2025 00:00:00</t>
  </si>
  <si>
    <t>Обл. НДС
Костюм "Віват" р.112-116/182-188
Надходження товарів і послуг ІБ00-002821 від 01.06.2025 11:00:00
Глобине-2</t>
  </si>
  <si>
    <t>Обл. НДС
Костюм "Віват" р. 96-100/182-188
Надходження товарів і послуг ІБ00-002821 від 01.06.2025 11:00:00
Глобине-2</t>
  </si>
  <si>
    <t>Надходження товарів і послуг ІБ00-002822 від 01.06.2025 11:00:00
Оприходованы ТМЦ</t>
  </si>
  <si>
    <t>Обл. НДС
Взуття чоловіче SEVEN SAFETY 111/02" S1  р.45
Надходження товарів і послуг ІБ00-002822 від 01.06.2025 11:00:00
Глобине-2</t>
  </si>
  <si>
    <t>Обл. НДС
Взуття чоловіче SEVEN SAFETY 2107 S1  р.43
Надходження товарів і послуг ІБ00-002822 від 01.06.2025 11:00:00
Глобине-2</t>
  </si>
  <si>
    <t>Надходження товарів і послуг ІБ00-002823 від 01.06.2025 11:00:00
Оприходованы ТМЦ</t>
  </si>
  <si>
    <t>Обл. НДС
Костюм "Віват" р.104-108/182-188
Надходження товарів і послуг ІБ00-002823 від 01.06.2025 11:00:00
Глобине-2</t>
  </si>
  <si>
    <t>БРАВО-СП ТОВ
РАХУНКИ_Глобине-2
Рахунок на оплату постачальника ІБ00-002363 від 01.06.2025 00:00:00</t>
  </si>
  <si>
    <t>Обл. НДС
Костюм "Віват" р.104-108/170-176
Надходження товарів і послуг ІБ00-002823 від 01.06.2025 11:00:00
Глобине-2</t>
  </si>
  <si>
    <t>Обл. НДС
Костюм "Віват" р.112-116/182-188
Надходження товарів і послуг ІБ00-002823 від 01.06.2025 11:00:00
Глобине-2</t>
  </si>
  <si>
    <t>Надходження товарів і послуг ІБ00-002824 від 01.06.2025 11:00:00
Оприходованы ТМЦ</t>
  </si>
  <si>
    <t>Обл. НДС
Костюм "Віват" р.112-116/182-188
Надходження товарів і послуг ІБ00-002824 від 01.06.2025 11:00:00
Глобине-2</t>
  </si>
  <si>
    <t>Надходження товарів і послуг ІБ00-002825 від 01.06.2025 11:00:00
Оприходованы ТМЦ</t>
  </si>
  <si>
    <t>Обл. НДС
Взуття чоловіче SEVEN SAFETY 111/02" S1  р.44
Надходження товарів і послуг ІБ00-002825 від 01.06.2025 11:00:00
Глобине-2</t>
  </si>
  <si>
    <t>Обл. НДС
Взуття чоловіче SEVEN SAFETY S1FUR"  р.42
Надходження товарів і послуг ІБ00-002825 від 01.06.2025 11:00:00
Глобине-2</t>
  </si>
  <si>
    <t>Обл. НДС
Взуття чоловіче SEVEN SAFETY 2107 S1  р.43
Надходження товарів і послуг ІБ00-002825 від 01.06.2025 11:00:00
Глобине-2</t>
  </si>
  <si>
    <t>Обл. НДС
Взуття чоловіче SEVEN SAFETY р.39
Надходження товарів і послуг ІБ00-002825 від 01.06.2025 11:00:00
Глобине-2</t>
  </si>
  <si>
    <t>Надходження товарів і послуг ІБ00-002826 від 01.06.2025 11:00:00
Оприходованы ТМЦ</t>
  </si>
  <si>
    <t>Обл. НДС
Костюм "Віват" р. 96-100/170-176
Надходження товарів і послуг ІБ00-002826 від 01.06.2025 11:00:00
Глобине-2</t>
  </si>
  <si>
    <t>БРАВО-СП ТОВ
РАХУНКИ_Глобине-2
Рахунок на оплату постачальника ІБ00-002364 від 01.06.2025 23:13:34</t>
  </si>
  <si>
    <t>Надходження товарів і послуг ІБ00-002827 від 01.06.2025 11:00:00
Оприходованы ТМЦ</t>
  </si>
  <si>
    <t>Обл. НДС
Взуття чоловіче SEVEN SAFETY S1FUR"  р.42
Надходження товарів і послуг ІБ00-002827 від 01.06.2025 11:00:00
Глобине-2</t>
  </si>
  <si>
    <t>Обл. НДС
Взуття чоловіче SEVEN SAFETY S1FUR"  р.41
Надходження товарів і послуг ІБ00-002827 від 01.06.2025 11:00:00
Глобине-2</t>
  </si>
  <si>
    <t>Надходження товарів і послуг ІБ00-002829 від 01.06.2025 11:00:00
Оприходованы ТМЦ</t>
  </si>
  <si>
    <t>Обл. НДС
Взуття чоловіче SEVEN SAFETY 111/02" S1  р.44
Надходження товарів і послуг ІБ00-002829 від 01.06.2025 11:00:00
Глобине-2</t>
  </si>
  <si>
    <t>БРАВО-СП ТОВ
РАХУНКИ_Глобине-2
Рахунок на оплату постачальника ІБ00-002365 від 01.06.2025 23:13:35</t>
  </si>
  <si>
    <t>Обл. НДС
Взуття чоловіче SEVEN SAFETY S1FUR"  р.40
Надходження товарів і послуг ІБ00-002829 від 01.06.2025 11:00:00
Глобине-2</t>
  </si>
  <si>
    <t>Переміщення товарів ІБ00-000500 від 01.06.2025 20:00:00
Перемещение ТМЦ</t>
  </si>
  <si>
    <t>Обл. НДС
Перчатки зварюв.чорні(краги)
Надходження товарів і послуг ІБ00-002700 від 01.06.2025 11:00:00
СПК (Глобине)</t>
  </si>
  <si>
    <t>Обл. НДС
Окуляри захисні
Надходження товарів і послуг ІБ00-002700 від 01.06.2025 11:00:00
СПК (Глобине)</t>
  </si>
  <si>
    <t>Обл. НДС
Пензель 50мм
Надходження товарів і послуг ІБ00-002700 від 01.06.2025 11:00:00
СПК (Глобине)</t>
  </si>
  <si>
    <t>Обл. НДС
Круг пелюстковий Р40, 125х22.2
Надходження товарів і послуг ІБ00-002700 від 01.06.2025 11:00:00
СПК (Глобине)</t>
  </si>
  <si>
    <t>Обл. НДС
Строп СТП-5,0/6000
Надходження товарів і послуг ІБ00-002700 від 01.06.2025 11:00:00
СПК (Глобине)</t>
  </si>
  <si>
    <t>Обл. НДС
Електроди "Моноліт РЦ" 4 мм уп. 5,0 кг
Надходження товарів і послуг ІБ00-002700 від 01.06.2025 11:00:00
СПК (Глобине)</t>
  </si>
  <si>
    <t>Обл. НДС
Електроди "Моноліт РЦ" 3 мм 2,5кг
Надходження товарів і послуг ІБ00-002700 від 01.06.2025 11:00:00
СПК (Глобине)</t>
  </si>
  <si>
    <t>Переміщення товарів ІБ00-000502 від 01.06.2025 20:00:00
Перемещение ТМЦ</t>
  </si>
  <si>
    <t>Обл. НДС
VULKAN Рукавички трикотажні чорні TM Vulkan LUX, р.10
Надходження товарів і послуг ІБ00-002700 від 01.06.2025 11:00:00
Цех екстракції (Глобине)</t>
  </si>
  <si>
    <t>Переміщення товарів ІБ00-000503 від 01.06.2025 20:00:00
Перемещение ТМЦ</t>
  </si>
  <si>
    <t>Обл. НДС
VULKAN Рукавички трикотажні чорні TM Vulkan LUX, р.10
Надходження товарів і послуг ІБ00-002700 від 01.06.2025 11:00:00
Резервуарний парк соєвої меляси (Глобине)</t>
  </si>
  <si>
    <t>Переміщення товарів ІБ00-000504 від 01.06.2025 20:00:00
Перемещение ТМЦ</t>
  </si>
  <si>
    <t>Обл. НДС
VULKAN Рукавички трикотажні чорні TM Vulkan LUX, р.10
Надходження товарів і послуг ІБ00-002700 від 01.06.2025 11:00:00
Пожежений резервуар (Глобине)</t>
  </si>
  <si>
    <t>Переміщення товарів ІБ00-000505 від 01.06.2025 20:00:00
Перемещение ТМЦ</t>
  </si>
  <si>
    <t>Обл. НДС
VULKAN Рукавички трикотажні чорні TM Vulkan LUX, р.10
Надходження товарів і послуг ІБ00-002700 від 01.06.2025 11:00:00
Резервуар для зберігання розчинника(Глобине)</t>
  </si>
  <si>
    <t>Переміщення товарів ІБ00-000506 від 01.06.2025 20:00:00
Перемещение ТМЦ</t>
  </si>
  <si>
    <t>Обл. НДС
Диск пильний 190*30 48Т
Надходження товарів і послуг ІБ00-002700 від 01.06.2025 11:00:00
Пункт фасування та зберігання в бігбегах (Глобине)</t>
  </si>
  <si>
    <t>Надходження товарів і послуг ІБ00-002828 від 01.06.2025 23:13:36
Оприходованы ТМЦ</t>
  </si>
  <si>
    <t>Обл. НДС
Костюм "Віват" р.104-108/182-188
Надходження товарів і послуг ІБ00-002828 від 01.06.2025 23:13:36
Глобине-2</t>
  </si>
  <si>
    <t>Обл. НДС
Костюм "Віват" р.104-108/170-176
Надходження товарів і послуг ІБ00-002828 від 01.06.2025 23:13:36
Глобине-2</t>
  </si>
  <si>
    <t>Обл. НДС
Костюм "Віват" р. 96-100/182-188
Надходження товарів і послуг ІБ00-002828 від 01.06.2025 23:13:36
Глобине-2</t>
  </si>
  <si>
    <t>03.06.2025</t>
  </si>
  <si>
    <t>Надходження товарів і послуг ІБ00-002816 від 03.06.2025 11:00:00
Оприходованы ТМЦ</t>
  </si>
  <si>
    <t>Обл. НДС
Взуття чоловіче SEVEN SAFETY S1FUR"  р.42
Надходження товарів і послуг ІБ00-002816 від 03.06.2025 11:00:00
Глобине-2</t>
  </si>
  <si>
    <t>БРАВО-СП ТОВ
РАХУНКИ_Глобине-2
Рахунок на оплату постачальника ІБ00-002312 від 03.06.2025 22:22:47</t>
  </si>
  <si>
    <t>Обл. НДС
Взуття чоловіче SEVEN SAFETY S1FUR"  р.43
Надходження товарів і послуг ІБ00-002816 від 03.06.2025 11:00:00
Глобине-2</t>
  </si>
  <si>
    <t>Надходження товарів і послуг ІБ00-003229 від 03.06.2025 11:00:00
Оприходованы ТМЦ</t>
  </si>
  <si>
    <t>Обл. НДС
Елемент ф-ра повітряного 
Надходження товарів і послуг ІБ00-003229 від 03.06.2025 11:00:00
Глобине-2</t>
  </si>
  <si>
    <t>Діброва Віталій Володимирович ФОП
Рахунки_Глобино-2
Рахунок на оплату постачальника ІБ00-002420 від 03.06.2025 22:22:52</t>
  </si>
  <si>
    <t>Надходження товарів і послуг ІБ00-002817 від 03.06.2025 11:22:49
Оприходованы ТМЦ</t>
  </si>
  <si>
    <t>Обл. НДС
Жилет сигнальний 
Надходження товарів і послуг ІБ00-002817 від 03.06.2025 11:22:49
Глобине-2</t>
  </si>
  <si>
    <t>БРАВО-СП ТОВ
РАХУНКИ_Глобине-2
Рахунок на оплату постачальника ІБ00-002313 від 03.06.2025 22:22:48</t>
  </si>
  <si>
    <t>Надходження товарів і послуг ІБ00-002808 від 05.06.2025 11:00:00
Оприходованы ТМЦ</t>
  </si>
  <si>
    <t>Обл. НДС
Стрічка ізоляційна ПВХ 18 мм*20 м чорна
Надходження товарів і послуг ІБ00-002808 від 05.06.2025 11:00:00
Глобине-2</t>
  </si>
  <si>
    <t>Моноліт - Центр" ТОВ
Рахунки_Глобине-2
Рахунок на оплату постачальника ІБ00-002307 від 03.06.2025 22:22:43</t>
  </si>
  <si>
    <t>Обл. НДС
Набір Г-обр.шестигранніків 1,5-10мм 9од.довгих
Надходження товарів і послуг ІБ00-002808 від 05.06.2025 11:00:00
Глобине-2</t>
  </si>
  <si>
    <t>Обл. НДС
Мітла 
Надходження товарів і послуг ІБ00-002808 від 05.06.2025 11:00:00
Глобине-2</t>
  </si>
  <si>
    <t>Обл. НДС
Пензель -макловиця
Надходження товарів і послуг ІБ00-002808 від 05.06.2025 11:00:00
Глобине-2</t>
  </si>
  <si>
    <t>Обл. НДС
Піна монтажна  850 мл 
Надходження товарів і послуг ІБ00-002808 від 05.06.2025 11:00:00
Глобине-2</t>
  </si>
  <si>
    <t>Обл. НДС
Подовжувач 1/2"  125мм
Надходження товарів і послуг ІБ00-002808 від 05.06.2025 11:00:00
Глобине-2</t>
  </si>
  <si>
    <t>Обл. НДС
Гвинт 4,8*38 зі свердлом 3мм
Надходження товарів і послуг ІБ00-002808 від 05.06.2025 11:00:00
Глобине-2</t>
  </si>
  <si>
    <t>Надходження товарів і послуг ІБ00-002809 від 05.06.2025 11:00:00
Оприходованы ТМЦ</t>
  </si>
  <si>
    <t>ФОРТЕЦЯ
Рахунки_Глобине-2
Рахунок на оплату постачальника ІБ00-002308 від 04.06.2025 18:14:54</t>
  </si>
  <si>
    <t>Обл. НДС
Пензель малярний 2"
Надходження товарів і послуг ІБ00-002809 від 05.06.2025 11:00:00
Глобине-2</t>
  </si>
  <si>
    <t>Обл. НДС
Валик 8*48*180 мм
Надходження товарів і послуг ІБ00-002809 від 05.06.2025 11:00:00
Глобине-2</t>
  </si>
  <si>
    <t>Обл. НДС
Ручка для валика
Надходження товарів і послуг ІБ00-002809 від 05.06.2025 11:00:00
Глобине-2</t>
  </si>
  <si>
    <t>Обл. НДС
Круг відрізний  125*1,2*22,23
Надходження товарів і послуг ІБ00-002809 від 05.06.2025 11:00:00
Глобине-2</t>
  </si>
  <si>
    <t>Обл. НДС
Круг відрізний  230*1,9*22,23
Надходження товарів і послуг ІБ00-002809 від 05.06.2025 11:00:00
Глобине-2</t>
  </si>
  <si>
    <t>Обл. НДС
Респіратор 
Надходження товарів і послуг ІБ00-002809 від 05.06.2025 11:00:00
Глобине-2</t>
  </si>
  <si>
    <t>Обл. НДС
Молоток  1000 гр.
Надходження товарів і послуг ІБ00-002809 від 05.06.2025 11:00:00
Глобине-2</t>
  </si>
  <si>
    <t>Обл. НДС
Рулетка  7,5м*25 мм 
Надходження товарів і послуг ІБ00-002809 від 05.06.2025 11:00:00
Глобине-2</t>
  </si>
  <si>
    <t>Обл. НДС
Віник сорго
Надходження товарів і послуг ІБ00-002809 від 05.06.2025 11:00:00
Глобине-2</t>
  </si>
  <si>
    <t>Обл. НДС
Бокорізи нікельовані 160 мм
Надходження товарів і послуг ІБ00-002809 від 05.06.2025 11:00:00
Глобине-2</t>
  </si>
  <si>
    <t>Обл. НДС
Бокорізи шліфовані 160мм
Надходження товарів і послуг ІБ00-002809 від 05.06.2025 11:00:00
Глобине-2</t>
  </si>
  <si>
    <t>Обл. НДС
Плоскогубці 180мм 
Надходження товарів і послуг ІБ00-002809 від 05.06.2025 11:00:00
Глобине-2</t>
  </si>
  <si>
    <t>Обл. НДС
Шуруп г/к по дереву 4,2*75 мм
Надходження товарів і послуг ІБ00-002809 від 05.06.2025 11:00:00
Глобине-2</t>
  </si>
  <si>
    <t>Обл. НДС
Диск пелюстковий 125*22 Р80 Т27
Надходження товарів і послуг ІБ00-002809 від 05.06.2025 11:00:00
Глобине-2</t>
  </si>
  <si>
    <t>Обл. НДС
Диск пелюстковий 125х22,2 зерн. 40
Надходження товарів і послуг ІБ00-002809 від 05.06.2025 11:00:00
Глобине-2</t>
  </si>
  <si>
    <t>Обл. НДС
Кутник 500 мм
Надходження товарів і послуг ІБ00-002809 від 05.06.2025 11:00:00
Глобине-2</t>
  </si>
  <si>
    <t>Переміщення товарів ІБ00-000527 від 05.06.2025 11:10:00
Перемещение ТМЦ</t>
  </si>
  <si>
    <t>Обл. НДС
Піна монтажна  850 мл 
Надходження товарів і послуг ІБ00-002808 від 05.06.2025 11:00:00
СПК (Глобине)</t>
  </si>
  <si>
    <t>Обл. НДС
Гвинт 4,8*38 зі свердлом 3мм
Надходження товарів і послуг ІБ00-002808 від 05.06.2025 11:00:00
СПК (Глобине)</t>
  </si>
  <si>
    <t>Переміщення товарів ІБ00-000529 від 05.06.2025 11:10:00
Перемещение ТМЦ</t>
  </si>
  <si>
    <t>Обл. НДС
Пензель малярний 2"
Надходження товарів і послуг ІБ00-002809 від 05.06.2025 11:00:00
СПК (Глобине)</t>
  </si>
  <si>
    <t>Обл. НДС
Валик 8*48*180 мм
Надходження товарів і послуг ІБ00-002809 від 05.06.2025 11:00:00
СПК (Глобине)</t>
  </si>
  <si>
    <t>Обл. НДС
Ручка для валика
Надходження товарів і послуг ІБ00-002809 від 05.06.2025 11:00:00
СПК (Глобине)</t>
  </si>
  <si>
    <t>Обл. НДС
Круг відрізний  125*1,2*22,23
Надходження товарів і послуг ІБ00-002809 від 05.06.2025 11:00:00
СПК (Глобине)</t>
  </si>
  <si>
    <t>Обл. НДС
Круг відрізний  230*1,9*22,23
Надходження товарів і послуг ІБ00-002809 від 05.06.2025 11:00:00
СПК (Глобине)</t>
  </si>
  <si>
    <t>Обл. НДС
Респіратор 
Надходження товарів і послуг ІБ00-002809 від 05.06.2025 11:00:00
СПК (Глобине)</t>
  </si>
  <si>
    <t>Обл. НДС
Шуруп г/к по дереву 4,2*75 мм
Надходження товарів і послуг ІБ00-002809 від 05.06.2025 11:00:00
СПК (Глобине)</t>
  </si>
  <si>
    <t>Обл. НДС
Диск пелюстковий 125*22 Р80 Т27
Надходження товарів і послуг ІБ00-002809 від 05.06.2025 11:00:00
СПК (Глобине)</t>
  </si>
  <si>
    <t>Обл. НДС
Диск пелюстковий 125х22,2 зерн. 40
Надходження товарів і послуг ІБ00-002809 від 05.06.2025 11:00:00
СПК (Глобине)</t>
  </si>
  <si>
    <t>Переміщення товарів ІБ00-000530 від 05.06.2025 11:10:00
Перемещение ТМЦ</t>
  </si>
  <si>
    <t>Обл. НДС
Кутник 500 мм
Надходження товарів і послуг ІБ00-002809 від 05.06.2025 11:00:00
Котельна (Глобине)</t>
  </si>
  <si>
    <t>06.06.2025</t>
  </si>
  <si>
    <t>Надходження товарів і послуг ІБ00-003508 від 06.06.2025 11:00:00
Оприходованы ТМЦ</t>
  </si>
  <si>
    <t>Обл. НДС
Помпа механічна 
Надходження товарів і послуг ІБ00-003508 від 06.06.2025 11:00:00
Глобине-2</t>
  </si>
  <si>
    <t>Хаджив Дмитро Вікторович ФОП
РАХУНКИ_Глобине-2
Рахунок на оплату постачальника ІБ00-002746 від 06.06.2025 18:23:30</t>
  </si>
  <si>
    <t>Надходження товарів і послуг ІБ00-003013 від 06.06.2025 18:23:15
Оприходованы ТМЦ</t>
  </si>
  <si>
    <t>Обл. НДС
Костюм "Віват" р.112-116/182-188
Надходження товарів і послуг ІБ00-003013 від 06.06.2025 18:23:15
Глобине-2</t>
  </si>
  <si>
    <t>БРАВО-СП ТОВ
РАХУНКИ_Спецтехніка
Рахунок на оплату постачальника ІБ00-002461 від 05.06.2025 20:00:02</t>
  </si>
  <si>
    <t>Надходження товарів і послуг ІБ00-003014 від 06.06.2025 18:23:16
Оприходованы ТМЦ</t>
  </si>
  <si>
    <t>Обл. НДС
Взуття чоловіче SEVEN SAFETY 111/02" S1  р.43
Надходження товарів і послуг ІБ00-003014 від 06.06.2025 18:23:16
Глобине-2</t>
  </si>
  <si>
    <t>10.06.2025</t>
  </si>
  <si>
    <t>Надходження товарів і послуг ІБ00-002820 від 10.06.2025 11:00:00
Оприходованы ТМЦ</t>
  </si>
  <si>
    <t>Обл. НДС
Блок живлення для ноутбука Acer 65W 19V 3.0/1.0
Надходження товарів і послуг ІБ00-002820 від 10.06.2025 11:00:00
Глобине-2</t>
  </si>
  <si>
    <t>СІРОМАХА В.Г. ФОП
Рахунки_офіс
Рахунок на оплату постачальника ІБ00-002318 від 10.06.2025 18:15:13</t>
  </si>
  <si>
    <t>Надходження товарів і послуг ІБ00-002929 від 11.06.2025 11:00:00
Оприходованы ТМЦ</t>
  </si>
  <si>
    <t>Лук'ян Михайло Федорович ФОП
22/08-24-1 от 22.08.2024 (РАХУНКИ)_Глобине-2
Рахунок на оплату постачальника ІБ00-002491 від 09.06.2025 18:01:42</t>
  </si>
  <si>
    <t>Обл. НДС
Валик міні 10 см
Надходження товарів і послуг ІБ00-002929 від 11.06.2025 11:00:00
Глобине-2</t>
  </si>
  <si>
    <t>Обл. НДС
Ручка для валика
Надходження товарів і послуг ІБ00-002929 від 11.06.2025 11:00:00
Глобине-2</t>
  </si>
  <si>
    <t>Обл. НДС
Касета-розетка 3гн., з/к з кришками ОМЕГА ІР44 16А
Надходження товарів і послуг ІБ00-002929 від 11.06.2025 11:00:00
Глобине-2</t>
  </si>
  <si>
    <t>Обл. НДС
Вилка пряма з з/к,ІР44
Надходження товарів і послуг ІБ00-002929 від 11.06.2025 11:00:00
Глобине-2</t>
  </si>
  <si>
    <t>Обл. НДС
Щітка чашкова 85мм для УШМ, М14 плетен дріт
Надходження товарів і послуг ІБ00-002929 від 11.06.2025 11:00:00
Глобине-2</t>
  </si>
  <si>
    <t>Обл. НДС
Окуляри захисні
Надходження товарів і послуг ІБ00-002929 від 11.06.2025 11:00:00
Глобине-2</t>
  </si>
  <si>
    <t>Обл. НДС
Круг відрізний 230*2.5*22 увігнутий
Надходження товарів і послуг ІБ00-002929 від 11.06.2025 11:00:00
Глобине-2</t>
  </si>
  <si>
    <t>Обл. НДС
Круг відрізний 125*1,6*22
Надходження товарів і послуг ІБ00-002929 від 11.06.2025 11:00:00
Глобине-2</t>
  </si>
  <si>
    <t>Обл. НДС
Шнур каменяра 1,3 мм*100 м
Надходження товарів і послуг ІБ00-002929 від 11.06.2025 11:00:00
Глобине-2</t>
  </si>
  <si>
    <t>Обл. НДС
Шуруп г/к по дереву 4,2*75 мм
Надходження товарів і послуг ІБ00-002929 від 11.06.2025 11:00:00
Глобине-2</t>
  </si>
  <si>
    <t>Обл. НДС
Краги зварювальника
Надходження товарів і послуг ІБ00-002929 від 11.06.2025 11:00:00
Глобине-2</t>
  </si>
  <si>
    <t>Обл. НДС
Пензель*50
Надходження товарів і послуг ІБ00-002929 від 11.06.2025 11:00:00
Глобине-2</t>
  </si>
  <si>
    <t>Обл. НДС
Змазка в паливо для 2-х тактних двигунів 1:50  литр
Надходження товарів і послуг ІБ00-002929 від 11.06.2025 11:00:00
Глобине-2</t>
  </si>
  <si>
    <t>Обл. НДС
Кувалда 2 кг з ручкою
Надходження товарів і послуг ІБ00-002929 від 11.06.2025 11:00:00
Глобине-2</t>
  </si>
  <si>
    <t>Обл. НДС
Полотно шабельне 455*50*1,5мм крок 12,7мм
Надходження товарів і послуг ІБ00-002929 від 11.06.2025 11:00:00
Глобине-2</t>
  </si>
  <si>
    <t>Обл. НДС
Окуляри захисні з рег.дужками "BlackStar Safety Line" прозорі
Надходження товарів і послуг ІБ00-002929 від 11.06.2025 11:00:00
Глобине-2</t>
  </si>
  <si>
    <t>Обл. НДС
Рукавички синтетичні чорні з зеленим спіненим латексним покриттям 3/4 69529 "б"
Надходження товарів і послуг ІБ00-002929 від 11.06.2025 11:00:00
Глобине-2</t>
  </si>
  <si>
    <t>Обл. НДС
Фільтр для фарби 190мкм
Надходження товарів і послуг ІБ00-002929 від 11.06.2025 11:00:00
Глобине-2</t>
  </si>
  <si>
    <t>Обл. НДС
Щітка чашкова 75мм для УШМ, М14
Надходження товарів і послуг ІБ00-002929 від 11.06.2025 11:00:00
Глобине-2</t>
  </si>
  <si>
    <t>Переміщення товарів ІБ00-000546 від 11.06.2025 11:10:00
Перемещение ТМЦ</t>
  </si>
  <si>
    <t>Обл. НДС
Валик  д=8 11*48*250мм під ручку
Надходження товарів і послуг ІБ00-002929 від 11.06.2025 11:00:00
Пожежений резервуар (Глобине)</t>
  </si>
  <si>
    <t>Обл. НДС
Касета-розетка 3гн., з/к з кришками ОМЕГА ІР44 16А
Надходження товарів і послуг ІБ00-002929 від 11.06.2025 11:00:00
Пожежений резервуар (Глобине)</t>
  </si>
  <si>
    <t>Обл. НДС
Вилка пряма з з/к,ІР44
Надходження товарів і послуг ІБ00-002929 від 11.06.2025 11:00:00
Пожежений резервуар (Глобине)</t>
  </si>
  <si>
    <t>Обл. НДС
Пензель*50
Надходження товарів і послуг ІБ00-002929 від 11.06.2025 11:00:00
Пожежений резервуар (Глобине)</t>
  </si>
  <si>
    <t>Обл. НДС
Змазка в паливо для 2-х тактних двигунів 1:50  литр
Надходження товарів і послуг ІБ00-002929 від 11.06.2025 11:00:00
Пожежений резервуар (Глобине)</t>
  </si>
  <si>
    <t>Обл. НДС
Кувалда 2 кг з ручкою
Надходження товарів і послуг ІБ00-002929 від 11.06.2025 11:00:00
Пожежений резервуар (Глобине)</t>
  </si>
  <si>
    <t>Переміщення товарів ІБ00-000547 від 11.06.2025 11:10:00
Перемещение ТМЦ</t>
  </si>
  <si>
    <t>Обл. НДС
Валик  д=8 11*48*250мм під ручку
Надходження товарів і послуг ІБ00-002929 від 11.06.2025 11:00:00
Резервуар для зберігання розчинника(Глобине)</t>
  </si>
  <si>
    <t>Обл. НДС
Круг відрізний 230*2.5*22 увігнутий
Надходження товарів і послуг ІБ00-002929 від 11.06.2025 11:00:00
Резервуар для зберігання розчинника(Глобине)</t>
  </si>
  <si>
    <t>Обл. НДС
Шнур каменяра 1,3 мм*100 м
Надходження товарів і послуг ІБ00-002929 від 11.06.2025 11:00:00
Резервуар для зберігання розчинника(Глобине)</t>
  </si>
  <si>
    <t>Обл. НДС
Шуруп г/к по дереву 4,2*75 мм
Надходження товарів і послуг ІБ00-002929 від 11.06.2025 11:00:00
Резервуар для зберігання розчинника(Глобине)</t>
  </si>
  <si>
    <t>Переміщення товарів ІБ00-000548 від 11.06.2025 11:10:00
Перемещение ТМЦ</t>
  </si>
  <si>
    <t>Обл. НДС
Валик  д=8 11*48*250мм під ручку
Надходження товарів і послуг ІБ00-002929 від 11.06.2025 11:00:00
Пункт фасування та зберігання в бігбегах (Глобине)</t>
  </si>
  <si>
    <t>Переміщення товарів ІБ00-000549 від 11.06.2025 11:10:00
Перемещение ТМЦ</t>
  </si>
  <si>
    <t>Обл. НДС
Валик міні 10 см
Надходження товарів і послуг ІБ00-002929 від 11.06.2025 11:00:00
СПК (Глобине)</t>
  </si>
  <si>
    <t>Обл. НДС
Ручка для валика
Надходження товарів і послуг ІБ00-002929 від 11.06.2025 11:00:00
СПК (Глобине)</t>
  </si>
  <si>
    <t>Обл. НДС
Касета-розетка 3гн., з/к з кришками ОМЕГА ІР44 16А
Надходження товарів і послуг ІБ00-002929 від 11.06.2025 11:00:00
СПК (Глобине)</t>
  </si>
  <si>
    <t>Обл. НДС
Вилка пряма з з/к,ІР44
Надходження товарів і послуг ІБ00-002929 від 11.06.2025 11:00:00
СПК (Глобине)</t>
  </si>
  <si>
    <t>Обл. НДС
Окуляри захисні
Надходження товарів і послуг ІБ00-002929 від 11.06.2025 11:00:00
СПК (Глобине)</t>
  </si>
  <si>
    <t>Обл. НДС
Круг відрізний 230*2.5*22 увігнутий
Надходження товарів і послуг ІБ00-002929 від 11.06.2025 11:00:00
СПК (Глобине)</t>
  </si>
  <si>
    <t>Обл. НДС
Круг відрізний 125*1,6*22
Надходження товарів і послуг ІБ00-002929 від 11.06.2025 11:00:00
СПК (Глобине)</t>
  </si>
  <si>
    <t>Обл. НДС
Шнур каменяра 1,3 мм*100 м
Надходження товарів і послуг ІБ00-002929 від 11.06.2025 11:00:00
СПК (Глобине)</t>
  </si>
  <si>
    <t>Обл. НДС
Шуруп г/к по дереву 4,2*75 мм
Надходження товарів і послуг ІБ00-002929 від 11.06.2025 11:00:00
СПК (Глобине)</t>
  </si>
  <si>
    <t>Обл. НДС
Краги зварювальника
Надходження товарів і послуг ІБ00-002929 від 11.06.2025 11:00:00
СПК (Глобине)</t>
  </si>
  <si>
    <t>Обл. НДС
Рукавиці трикотажні з ПВХ чорні 7клас розм 10
Надходження товарів і послуг ІБ00-002929 від 11.06.2025 11:00:00
СПК (Глобине)</t>
  </si>
  <si>
    <t>Обл. НДС
Пензель*50
Надходження товарів і послуг ІБ00-002929 від 11.06.2025 11:00:00
СПК (Глобине)</t>
  </si>
  <si>
    <t>Обл. НДС
Фільтр для фарби 190мкм
Надходження товарів і послуг ІБ00-002929 від 11.06.2025 11:00:00
СПК (Глобине)</t>
  </si>
  <si>
    <t>Переміщення товарів ІБ00-000550 від 11.06.2025 11:10:00
Перемещение ТМЦ</t>
  </si>
  <si>
    <t>Обл. НДС
Валик міні 10 см
Надходження товарів і послуг ІБ00-002929 від 11.06.2025 11:00:00
Котельна (Глобине)</t>
  </si>
  <si>
    <t>Обл. НДС
Ручка для валика
Надходження товарів і послуг ІБ00-002929 від 11.06.2025 11:00:00
Котельна (Глобине)</t>
  </si>
  <si>
    <t>Обл. НДС
Касета-розетка 3гн., з/к з кришками ОМЕГА ІР44 16А
Надходження товарів і послуг ІБ00-002929 від 11.06.2025 11:00:00
Котельна (Глобине)</t>
  </si>
  <si>
    <t>Обл. НДС
Вилка пряма з з/к,ІР44
Надходження товарів і послуг ІБ00-002929 від 11.06.2025 11:00:00
Котельна (Глобине)</t>
  </si>
  <si>
    <t>Обл. НДС
Рукавиці трикотажні з ПВХ чорні 7клас розм 10
Надходження товарів і послуг ІБ00-002929 від 11.06.2025 11:00:00
Котельна (Глобине)</t>
  </si>
  <si>
    <t>Обл. НДС
Пензель*50
Надходження товарів і послуг ІБ00-002929 від 11.06.2025 11:00:00
Котельна (Глобине)</t>
  </si>
  <si>
    <t>Обл. НДС
Полотно шабельне 455*50*1,5мм крок 12,7мм
Надходження товарів і послуг ІБ00-002929 від 11.06.2025 11:00:00
Котельна (Глобине)</t>
  </si>
  <si>
    <t>Обл. НДС
Окуляри захисні з рег.дужками "BlackStar Safety Line" прозорі
Надходження товарів і послуг ІБ00-002929 від 11.06.2025 11:00:00
Котельна (Глобине)</t>
  </si>
  <si>
    <t>Обл. НДС
Рукавички синтетичні чорні з зеленим спіненим латексним покриттям 3/4 69529 "б"
Надходження товарів і послуг ІБ00-002929 від 11.06.2025 11:00:00
Котельна (Глобине)</t>
  </si>
  <si>
    <t>Обл. НДС
Круг відрізний 230*2.5*22 увігнутий
Надходження товарів і послуг ІБ00-002929 від 11.06.2025 11:00:00
Котельна (Глобине)</t>
  </si>
  <si>
    <t>Переміщення товарів ІБ00-000551 від 11.06.2025 11:10:00
Перемещение ТМЦ</t>
  </si>
  <si>
    <t>Обл. НДС
Щітка чашкова 85мм для УШМ, М14 плетен дріт
Надходження товарів і послуг ІБ00-002929 від 11.06.2025 11:00:00
Цех екстракції (Глобине)</t>
  </si>
  <si>
    <t>Обл. НДС
Круг відрізний 230*2.5*22 увігнутий
Надходження товарів і послуг ІБ00-002929 від 11.06.2025 11:00:00
Цех екстракції (Глобине)</t>
  </si>
  <si>
    <t>Обл. НДС
Круг відрізний 125*1,6*22
Надходження товарів і послуг ІБ00-002929 від 11.06.2025 11:00:00
Цех екстракції (Глобине)</t>
  </si>
  <si>
    <t>Обл. НДС
Рукавиці трикотажні з ПВХ чорні 7клас розм 10
Надходження товарів і послуг ІБ00-002929 від 11.06.2025 11:00:00
Цех екстракції (Глобине)</t>
  </si>
  <si>
    <t>Обл. НДС
Щітка чашкова 75мм для УШМ, М14
Надходження товарів і послуг ІБ00-002929 від 11.06.2025 11:00:00
Цех екстракції (Глобине)</t>
  </si>
  <si>
    <t>Переміщення товарів ІБ00-000552 від 11.06.2025 11:10:00
Перемещение ТМЦ</t>
  </si>
  <si>
    <t>Обл. НДС
Окуляри захисні
Надходження товарів і послуг ІБ00-002929 від 11.06.2025 11:00:00
Резервуарний парк соєвої меляси (Глобине)</t>
  </si>
  <si>
    <t>12.06.2025</t>
  </si>
  <si>
    <t>Надходження товарів і послуг ІБ00-003011 від 12.06.2025 23:26:09
Оприходованы ТМЦ</t>
  </si>
  <si>
    <t>Обл. НДС
Сандалі
Надходження товарів і послуг ІБ00-003011 від 12.06.2025 23:26:09
Глобине-2</t>
  </si>
  <si>
    <t>Передача малоцінних активів в експлуатацію ІБ00-000274 від 19.06.2025 16:41:03
Списание стоимости малоценных активов</t>
  </si>
  <si>
    <t>Передача малоцінних активів в експлуатацію ІБ00-000275 від 19.06.2025 17:59:59
Списание стоимости малоценных активов</t>
  </si>
  <si>
    <t>Передача малоцінних активів в експлуатацію ІБ00-000282 від 20.06.2025 18:06:15
Списание стоимости малоценных активов</t>
  </si>
  <si>
    <t>Передача малоцінних активів в експлуатацію ІБ00-000285 від 20.06.2025 18:06:23
Списание стоимости малоценных активов</t>
  </si>
  <si>
    <t>Обл. НДС
Замок навісний
Надходження товарів і послуг ІБ00-002303 від 17.05.2025 11:00:00
Глобине-2</t>
  </si>
  <si>
    <t>Обл. НДС
3М Фільтр 3М 6051 А1 (фарба,орг.гази) 
Надходження товарів і послуг ІБ00-002303 від 17.05.2025 11:00:00
Глобине-2</t>
  </si>
  <si>
    <t>Передача малоцінних активів в експлуатацію ІБ00-000293 від 20.06.2025 18:08:08
Списание стоимости малоценных активов</t>
  </si>
  <si>
    <t>Передача малоцінних активів в експлуатацію ІБ00-000298 від 20.06.2025 21:00:04
Списание стоимости малоценных активов</t>
  </si>
  <si>
    <t>Надходження товарів і послуг ІБ00-003195 від 23.06.2025 11:00:00
Оприходованы ТМЦ</t>
  </si>
  <si>
    <t>Обл. НДС
Окуляри захисні
Надходження товарів і послуг ІБ00-003195 від 23.06.2025 11:00:00
Глобине-2</t>
  </si>
  <si>
    <t>Лук'ян Михайло Федорович ФОП
22/08-24-1 от 22.08.2024 (РАХУНКИ)_Глобине-2
Рахунок на оплату постачальника ІБ00-002676 від 23.06.2025 18:21:52</t>
  </si>
  <si>
    <t>Обл. НДС
Шпатель 100 мм 
Надходження товарів і послуг ІБ00-003195 від 23.06.2025 11:00:00
Глобине-2</t>
  </si>
  <si>
    <t>Обл. НДС
Електроди "Моноліт РЦ" 3мм 2,5кг  кг
Надходження товарів і послуг ІБ00-003195 від 23.06.2025 11:00:00
Глобине-2</t>
  </si>
  <si>
    <t>Обл. НДС
Електроди "Моноліт РЦ" 4 мм 5кг
Надходження товарів і послуг ІБ00-003195 від 23.06.2025 11:00:00
Глобине-2</t>
  </si>
  <si>
    <t>Обл. НДС
Касета-розетка 3гн, з/к з кришками Омега ІР44  16А
Надходження товарів і послуг ІБ00-003195 від 23.06.2025 11:00:00
Глобине-2</t>
  </si>
  <si>
    <t>Обл. НДС
Вилка з з\к пряма Омега ІР44
Надходження товарів і послуг ІБ00-003195 від 23.06.2025 11:00:00
Глобине-2</t>
  </si>
  <si>
    <t>Переміщення товарів ІБ00-000593 від 23.06.2025 11:10:00
Перемещение ТМЦ</t>
  </si>
  <si>
    <t>Обл. НДС
Окуляри захисні
Надходження товарів і послуг ІБ00-003195 від 23.06.2025 11:00:00
Пожежений резервуар (Глобине)</t>
  </si>
  <si>
    <t>Обл. НДС
Шпатель 100 мм 
Надходження товарів і послуг ІБ00-003195 від 23.06.2025 11:00:00
Пожежений резервуар (Глобине)</t>
  </si>
  <si>
    <t>Обл. НДС
Електроди "Моноліт РЦ" 4 мм 5кг
Надходження товарів і послуг ІБ00-003195 від 23.06.2025 11:00:00
Пожежений резервуар (Глобине)</t>
  </si>
  <si>
    <t>Обл. НДС
Піна монтажна  850 мл 
Надходження товарів і послуг ІБ00-003195 від 23.06.2025 11:00:00
Пожежений резервуар (Глобине)</t>
  </si>
  <si>
    <t>Переміщення товарів ІБ00-000594 від 23.06.2025 11:10:00
Перемещение ТМЦ</t>
  </si>
  <si>
    <t>Обл. НДС
Окуляри захисні
Надходження товарів і послуг ІБ00-003195 від 23.06.2025 11:00:00
СПК (Глобине)</t>
  </si>
  <si>
    <t>Обл. НДС
Електроди "Моноліт РЦ" 3мм 2,5кг  кг
Надходження товарів і послуг ІБ00-003195 від 23.06.2025 11:00:00
СПК (Глобине)</t>
  </si>
  <si>
    <t>Обл. НДС
Електроди "Моноліт РЦ" 4 мм 5кг
Надходження товарів і послуг ІБ00-003195 від 23.06.2025 11:00:00
СПК (Глобине)</t>
  </si>
  <si>
    <t>Обл. НДС
Круг відрізний 125*1,6*22
Надходження товарів і послуг ІБ00-003195 від 23.06.2025 11:00:00
СПК (Глобине)</t>
  </si>
  <si>
    <t>Обл. НДС
Касета-розетка 3гн, з/к з кришками Омега ІР44  16А
Надходження товарів і послуг ІБ00-003195 від 23.06.2025 11:00:00
СПК (Глобине)</t>
  </si>
  <si>
    <t>Обл. НДС
Вилка з з\к пряма Омега ІР44
Надходження товарів і послуг ІБ00-003195 від 23.06.2025 11:00:00
СПК (Глобине)</t>
  </si>
  <si>
    <t>Обл. НДС
Плащ від дощу
Надходження товарів і послуг ІБ00-003195 від 23.06.2025 11:00:00
СПК (Глобине)</t>
  </si>
  <si>
    <t>Обл. НДС
Рулетка 10 м*25 мм
Надходження товарів і послуг ІБ00-003195 від 23.06.2025 11:00:00
СПК (Глобине)</t>
  </si>
  <si>
    <t>Обл. НДС
Піна монтажна  850 мл 
Надходження товарів і послуг ІБ00-003195 від 23.06.2025 11:00:00
СПК (Глобине)</t>
  </si>
  <si>
    <t>Переміщення товарів ІБ00-000595 від 23.06.2025 11:10:00
Перемещение ТМЦ</t>
  </si>
  <si>
    <t>Обл. НДС
Окуляри захисні
Надходження товарів і послуг ІБ00-003195 від 23.06.2025 11:00:00
Цех екстракції (Глобине)</t>
  </si>
  <si>
    <t>Обл. НДС
Електроди "Моноліт РЦ" 3мм 2,5кг  кг
Надходження товарів і послуг ІБ00-003195 від 23.06.2025 11:00:00
Цех екстракції (Глобине)</t>
  </si>
  <si>
    <t>Обл. НДС
Електроди "Моноліт РЦ" 4 мм 5кг
Надходження товарів і послуг ІБ00-003195 від 23.06.2025 11:00:00
Цех екстракції (Глобине)</t>
  </si>
  <si>
    <t>Обл. НДС
Круг відрізний 125*1,6*22
Надходження товарів і послуг ІБ00-003195 від 23.06.2025 11:00:00
Цех екстракції (Глобине)</t>
  </si>
  <si>
    <t>Обл. НДС
Плащ від дощу
Надходження товарів і послуг ІБ00-003195 від 23.06.2025 11:00:00
Цех екстракції (Глобине)</t>
  </si>
  <si>
    <t>Переміщення товарів ІБ00-000596 від 23.06.2025 11:10:00
Перемещение ТМЦ</t>
  </si>
  <si>
    <t>Обл. НДС
Окуляри захисні
Надходження товарів і послуг ІБ00-003195 від 23.06.2025 11:00:00
Котельна (Глобине)</t>
  </si>
  <si>
    <t>Обл. НДС
Електроди "Моноліт РЦ" 3мм 2,5кг  кг
Надходження товарів і послуг ІБ00-003195 від 23.06.2025 11:00:00
Котельна (Глобине)</t>
  </si>
  <si>
    <t>Обл. НДС
Круг відрізний 125*1,6*22
Надходження товарів і послуг ІБ00-003195 від 23.06.2025 11:00:00
Котельна (Глобине)</t>
  </si>
  <si>
    <t>Обл. НДС
Плащ від дощу
Надходження товарів і послуг ІБ00-003195 від 23.06.2025 11:00:00
Котельна (Глобине)</t>
  </si>
  <si>
    <t>Надходження товарів і послуг ІБ00-003281 від 25.06.2025 11:00:00
Оприходованы ТМЦ</t>
  </si>
  <si>
    <t>Обл. НДС
Строп СТП-5,0/6000
Надходження товарів і послуг ІБ00-003281 від 25.06.2025 11:00:00
Глобине-2</t>
  </si>
  <si>
    <t>ЛОАД-ТЕХ ТОВ
Договір № 26/03/25 від 26.03.2025 р.Глобине2
Рахунок на оплату постачальника ІБ00-002742 від 25.06.2025 23:12:48</t>
  </si>
  <si>
    <t>Обл. НДС
Строп СТП-3,0/3000
Надходження товарів і послуг ІБ00-003281 від 25.06.2025 11:00:00
Глобине-2</t>
  </si>
  <si>
    <t>Обл. НДС
Строп СТП-2,0/2000
Надходження товарів і послуг ІБ00-003281 від 25.06.2025 11:00:00
Глобине-2</t>
  </si>
  <si>
    <t>Передача малоцінних активів в експлуатацію ІБ00-000308 від 25.06.2025 23:13:06
Списание стоимости малоценных активов</t>
  </si>
  <si>
    <t>30.06.2025</t>
  </si>
  <si>
    <t>Передача малоцінних активів в експлуатацію ІБ00-000318 від 30.06.2025 23:59:00
Списание стоимости малоценных активов</t>
  </si>
  <si>
    <t>Надходження товарів і послуг ІБ00-002703 від 01.06.2025 15:46:13
Оприходованы ТМЦ</t>
  </si>
  <si>
    <t>Обл. НДС
Строп СТП-5,0/4000
Надходження товарів і послуг ІБ00-002703 від 01.06.2025 15:46:13
Котельна (Глобине)</t>
  </si>
  <si>
    <t>ЛОАД-ТЕХ ТОВ
Договір № 26/03/25 від 26.03.2025 р.Глобине2
Рахунок на оплату постачальника ІБ00-002235 від 27.05.2025 18:43:37</t>
  </si>
  <si>
    <t>Обл. НДС
Скоба такелажна G-209 5/8" 3,25т
Надходження товарів і послуг ІБ00-002703 від 01.06.2025 15:46:13
Котельна (Глобине)</t>
  </si>
  <si>
    <t>17.06.2025</t>
  </si>
  <si>
    <t>Надходження товарів і послуг ІБ00-003203 від 17.06.2025 11:00:00
Оприходованы ТМЦ</t>
  </si>
  <si>
    <t>Обл. НДС
Карабін 8,0*80 пожеж.з муфтою цб
Надходження товарів і послуг ІБ00-003203 від 17.06.2025 11:00:00
Котельна (Глобине)</t>
  </si>
  <si>
    <t>Адаменко Юрій Андрійович ФОП
РАХУНКИ_Глобине-2
Рахунок на оплату постачальника ІБ00-002679 від 16.06.2025 17:52:13</t>
  </si>
  <si>
    <t>Обл. НДС
Електрочайник GRUNHELM
Надходження товарів і послуг ІБ00-003203 від 17.06.2025 11:00:00
Котельна (Глобине)</t>
  </si>
  <si>
    <t>Передача малоцінних активів в експлуатацію ІБ00-000267 від 19.06.2025 09:35:57
Списание стоимости малоценных активов</t>
  </si>
  <si>
    <t>Обл. НДС
Бокорізи 180 мм Montero 10202
Надходження товарів і послуг ІБ00-002558 від 28.05.2025 11:00:00
Котельна (Глобине)</t>
  </si>
  <si>
    <t>Обл. НДС
Викрутка діелектрична 1*80мм
Надходження товарів і послуг ІБ00-002558 від 28.05.2025 11:00:00
Котельна (Глобине)</t>
  </si>
  <si>
    <t>Обл. НДС
Викрутка діелектрична 2*100мм
Надходження товарів і послуг ІБ00-002558 від 28.05.2025 11:00:00
Котельна (Глобине)</t>
  </si>
  <si>
    <t>Обл. НДС
Викрутка діелектрична 3*100мм
Надходження товарів і послуг ІБ00-002558 від 28.05.2025 11:00:00
Котельна (Глобине)</t>
  </si>
  <si>
    <t>Обл. НДС
Диск пильний 165*20  40 зуба метал
Надходження товарів і послуг ІБ00-002520 від 20.05.2025 11:00:00
Котельна (Глобине)</t>
  </si>
  <si>
    <t>Обл. НДС
Ножиці по металу ліві 250мм
Надходження товарів і послуг ІБ00-002520 від 20.05.2025 11:00:00
Котельна (Глобине)</t>
  </si>
  <si>
    <t>Передача малоцінних активів в експлуатацію ІБ00-000283 від 20.06.2025 18:06:18
Списание стоимости малоценных активов</t>
  </si>
  <si>
    <t>Обл. НДС
Касета-розетка 3гн, з/к з кришками Омега ІР44  16А
Надходження товарів і послуг ІБ00-002558 від 28.05.2025 11:00:00
Котельна (Глобине)</t>
  </si>
  <si>
    <t>Обл. НДС
Леза 25 мм 5шт
Надходження товарів і послуг ІБ00-002558 від 28.05.2025 11:00:00
Котельна (Глобине)</t>
  </si>
  <si>
    <t>Обл. НДС
Ніж  25мм
Надходження товарів і послуг ІБ00-002303 від 17.05.2025 11:00:00
Котельна (Глобине)</t>
  </si>
  <si>
    <t>Обл. НДС
Ножиці по металу "профі" прямі YATO, l=250мм
Надходження товарів і послуг ІБ00-002520 від 20.05.2025 11:00:00
Котельна (Глобине)</t>
  </si>
  <si>
    <t>Обл. НДС
Ножиці по металу праві 250мм
Надходження товарів і послуг ІБ00-002520 від 20.05.2025 11:00:00
Котельна (Глобине)</t>
  </si>
  <si>
    <t>Обл. НДС
Ножівка 500мм по дереву
Надходження товарів і послуг ІБ00-002520 від 20.05.2025 11:00:00
Котельна (Глобине)</t>
  </si>
  <si>
    <t>Обл. НДС
Окуляри захисні
Надходження товарів і послуг ІБ00-002520 від 20.05.2025 11:00:00
Котельна (Глобине)</t>
  </si>
  <si>
    <t>Обл. НДС
Рукавички скло/камінь черв з рифл гум надол  р.10
Надходження товарів і послуг ІБ00-002520 від 20.05.2025 11:00:00
Котельна (Глобине)</t>
  </si>
  <si>
    <t>Обл. НДС
Рулетка 10 м 
Надходження товарів і послуг ІБ00-002520 від 20.05.2025 11:00:00
Котельна (Глобине)</t>
  </si>
  <si>
    <t>Передача малоцінних активів в експлуатацію ІБ00-000286 від 20.06.2025 18:06:24
Списание стоимости малоценных активов</t>
  </si>
  <si>
    <t>Обл. НДС
Взуття чоловіче SEVEN SAFETY S1FUR"  р.42
Надходження товарів і послуг ІБ00-002510 від 19.05.2025 11:00:00
Котельна (Глобине)</t>
  </si>
  <si>
    <t>Обл. НДС
Костюм "Віват" р.104-108/170-176
Надходження товарів і послуг ІБ00-001609 від 01.04.2025 23:10:30
Котельна (Глобине)</t>
  </si>
  <si>
    <t>Обл. НДС
Краскопульт HVLP 1,3мм пневмо РТ-0102 верхн бачок 600мл
Надходження товарів і послуг ІБ00-002351 від 01.05.2025 11:00:00
Котельна (Глобине)</t>
  </si>
  <si>
    <t>Обл. НДС
Краскопульт HVLP 2,0мм пневмо РТ-0120 верхн бачок 600мл
Надходження товарів і послуг ІБ00-002351 від 01.05.2025 11:00:00
Котельна (Глобине)</t>
  </si>
  <si>
    <t>Обл. НДС
Патрон монтаж. 6,8*11 мм червоні
Надходження товарів і послуг ІБ00-000506 від 04.02.2025 17:50:27
Котельна (Глобине)</t>
  </si>
  <si>
    <t>Обл. НДС
Подовжувач і магнітний для біт М8*65 д/6гр.гл
Надходження товарів і послуг ІБ00-002520 від 20.05.2025 11:00:00
Котельна (Глобине)</t>
  </si>
  <si>
    <t>Обл. НДС
Рулетка 5м*25мм Black edition
Надходження товарів і послуг ІБ00-002520 від 20.05.2025 11:00:00
Котельна (Глобине)</t>
  </si>
  <si>
    <t>Обл. НДС
Свердло 50*200мм подовж
Надходження товарів і послуг ІБ00-002528 від 19.05.2025 11:00:00
Котельна (Глобине)</t>
  </si>
  <si>
    <t>Обл. НДС
Свердло 50*300мм подовж
Надходження товарів і послуг ІБ00-002528 від 19.05.2025 11:00:00
Котельна (Глобине)</t>
  </si>
  <si>
    <t>Передача малоцінних активів в експлуатацію ІБ00-000301 від 20.06.2025 21:00:13
Списание стоимости малоценных активов</t>
  </si>
  <si>
    <t>Обл. НДС
Хомут каб. 300*7,6 нейлон біл
Надходження товарів і послуг ІБ00-002520 від 20.05.2025 11:00:00
Котельна (Глобине)</t>
  </si>
  <si>
    <t>Передача малоцінних активів в експлуатацію ІБ00-000303 від 20.06.2025 21:00:18
Списание стоимости малоценных активов</t>
  </si>
  <si>
    <t>Обл. НДС
Взуття чоловіче SEVEN SAFETY 111/02" S1  р.45
Надходження товарів і послуг ІБ00-002510 від 19.05.2025 11:00:00
Котельна (Глобине)</t>
  </si>
  <si>
    <t>Обл. НДС
Взуття чоловіче SEVEN SAFETY 2107 S1  р.43
Надходження товарів і послуг ІБ00-002510 від 19.05.2025 11:00:00
Котельна (Глобине)</t>
  </si>
  <si>
    <t>Обл. НДС
Фіксатор Стілець 50/8-24
Надходження товарів і послуг ІБ00-001338 від 10.03.2025 20:00:39
Котельна (Глобине)</t>
  </si>
  <si>
    <t>Обл. НДС
Фіксатор Стілець 50/8-24
Надходження товарів і послуг ІБ00-001336 від 13.03.2025 18:55:27
Котельна (Глобине)</t>
  </si>
  <si>
    <t>Обл. НДС
Шнур відбивочний буд.(пластм.корпус) - 30м
Надходження товарів і послуг ІБ00-002558 від 28.05.2025 11:00:00
Котельна (Глобине)</t>
  </si>
  <si>
    <t>Обл. НДС
Шнур каменяра 1,3 мм*100 м
Надходження товарів і послуг ІБ00-001613 від 09.04.2025 11:00:00
Котельна (Глобине)</t>
  </si>
  <si>
    <t>Обл. НДС
Шнур поліамідний 10мм/разрив 2300кг
Надходження товарів і послуг ІБ00-002558 від 28.05.2025 11:00:00
Котельна (Глобине)</t>
  </si>
  <si>
    <t>Обл. НДС
Шуруп 3,5*25 пкр
Надходження товарів і послуг ІБ00-002558 від 28.05.2025 11:00:00
Котельна (Глобине)</t>
  </si>
  <si>
    <t>Передача малоцінних активів в експлуатацію ІБ00-000311 від 25.06.2025 23:13:17
Списание стоимости малоценных активов</t>
  </si>
  <si>
    <t>Обл. НДС
Плівка п/е 150 мк 2с 50м 150кв м
Надходження товарів і послуг ІБ00-002520 від 20.05.2025 11:00:00
Котельна (Глобине)</t>
  </si>
  <si>
    <t>Передача малоцінних активів в експлуатацію ІБ00-000269 від 19.06.2025 10:23:59
Списание стоимости малоценных активов</t>
  </si>
  <si>
    <t>Передача малоцінних активів в експлуатацію ІБ00-000281 від 20.06.2025 18:06:13
Списание стоимости малоценных активов</t>
  </si>
  <si>
    <t>Передача малоцінних активів в експлуатацію ІБ00-000292 від 20.06.2025 18:07:05
Списание стоимости малоценных активов</t>
  </si>
  <si>
    <t>Передача малоцінних активів в експлуатацію ІБ00-000306 від 25.06.2025 23:00:00
Списание стоимости малоценных активов</t>
  </si>
  <si>
    <t>Переміщення товарів ІБ00-000540 від 01.06.2025 23:13:44
Перемещение ТМЦ</t>
  </si>
  <si>
    <t>Обл. НДС
Тент ПВХ 4*6м 475г/м2
Надходження товарів і послуг ІБ00-000812 від 17.02.2025 23:45:13
Цех екстракції (Глобине)</t>
  </si>
  <si>
    <t>Обл. НДС
Тент ПВХ 4*6м 475г/м2
Надходження товарів і послуг ІБ00-000812 від 17.02.2025 23:45:13
Пункт фасування та зберігання в бігбегах (Глобине)</t>
  </si>
  <si>
    <t>205</t>
  </si>
  <si>
    <t>Передача малоцінних активів в експлуатацію ІБ00-000268 від 19.06.2025 10:02:33
Списание стоимости малоценных активов</t>
  </si>
  <si>
    <t>Переміщення товарів ІБ00-000583 від 20.06.2025 10:00:00
Перемещение ТМЦ</t>
  </si>
  <si>
    <t>Обл. НДС
VULKAN Рукавички трикотажні чорні TM Vulkan LUX, р.10
Надходження товарів і послуг ІБ00-002700 від 01.06.2025 11:00:00
Пункт фасування та зберігання в бігбегах (Глобине)</t>
  </si>
  <si>
    <t>Обл. НДС
Шуруп г/к по дереву 4,2*75 мм
Надходження товарів і послуг ІБ00-002929 від 11.06.2025 11:00:00
Пункт фасування та зберігання в бігбегах (Глобине)</t>
  </si>
  <si>
    <t>Обл. НДС
Шнур каменяра 1,3 мм*100 м
Надходження товарів і послуг ІБ00-002929 від 11.06.2025 11:00:00
Пункт фасування та зберігання в бігбегах (Глобине)</t>
  </si>
  <si>
    <t>Передача малоцінних активів в експлуатацію ІБ00-000294 від 20.06.2025 20:00:00
Списание стоимости малоценных активов</t>
  </si>
  <si>
    <t>Передача малоцінних активів в експлуатацію ІБ00-000299 від 20.06.2025 21:00:06
Списание стоимости малоценных активов</t>
  </si>
  <si>
    <t>Передача малоцінних активів в експлуатацію ІБ00-000296 від 20.06.2025 21:00:01
Списание стоимости малоценных активов</t>
  </si>
  <si>
    <t>Обл. НДС
Електроди "Моноліт РЦ" 3 мм 2,5кг
Надходження товарів і послуг ІБ00-002188 від 05.05.2025 11:00:00
Резервуарний парк соєвої меляси (Глобине)</t>
  </si>
  <si>
    <t>Обл. НДС
Затискач маси прищіпка МК-250 А
Надходження товарів і послуг ІБ00-001908 від 30.04.2025 11:00:00
Резервуарний парк соєвої меляси (Глобине)</t>
  </si>
  <si>
    <t>Обл. НДС
Кабель КГ 1*16 зварювальний 160А (м)
Надходження товарів і послуг ІБ00-001908 від 30.04.2025 11:00:00
Резервуарний парк соєвої меляси (Глобине)</t>
  </si>
  <si>
    <t>Обл. НДС
Касета-розетка 3гн, з/к з кришками Омега ІР44  16А
Надходження товарів і послуг ІБ00-001740 від 18.04.2025 11:00:00
Резервуарний парк соєвої меляси (Глобине)</t>
  </si>
  <si>
    <t>Обл. НДС
Пензель*50
Надходження товарів і послуг ІБ00-001908 від 30.04.2025 11:00:00
Резервуарний парк соєвої меляси (Глобине)</t>
  </si>
  <si>
    <t>Обл. НДС
Ручка для валика 10 см
Надходження товарів і послуг ІБ00-001908 від 30.04.2025 11:00:00
Резервуарний парк соєвої меляси (Глобине)</t>
  </si>
  <si>
    <t>Обл. НДС
Тримач електродів DE-2200  200А
Надходження товарів і послуг ІБ00-001908 від 30.04.2025 11:00:00
Резервуарний парк соєвої меляси (Глобине)</t>
  </si>
  <si>
    <t>Надходження товарів і послуг ІБ00-002875 від 01.06.2025 11:00:00
Оприходованы ТМЦ</t>
  </si>
  <si>
    <t>Обл. НДС
Костюм зварювальника брезент. ОП з посиленнями р. 96-100/170-176
Надходження товарів і послуг ІБ00-002875 від 01.06.2025 11:00:00
СПК (Глобине)</t>
  </si>
  <si>
    <t>БРАВО-СП ТОВ
РАХУНКИ_Глобине-2
Рахунок на оплату постачальника ІБ00-002454 від 01.06.2025 23:14:05</t>
  </si>
  <si>
    <t>Обл. НДС
Костюм зварювальника брезент. ОП з посиленнями р.104-108/170-176
Надходження товарів і послуг ІБ00-002875 від 01.06.2025 11:00:00
СПК (Глобине)</t>
  </si>
  <si>
    <t>Передача малоцінних активів в експлуатацію ІБ00-000271 від 19.06.2025 10:57:00
Списание стоимости малоценных активов</t>
  </si>
  <si>
    <t>Обл. НДС
Електрод  УОНІ13/55 д. 4 (5 кг), пак
Надходження товарів і послуг ІБ00-002558 від 28.05.2025 11:00:00
СПК (Глобине)</t>
  </si>
  <si>
    <t>Обл. НДС
Взуття чоловіче SEVEN SAFETY р.45
Надходження товарів і послуг ІБ00-005439 від 04.11.2024 17:12:48
СПК (Глобине)</t>
  </si>
  <si>
    <t>Обл. НДС
Затискач для тросу DIN741 8мм
Надходження товарів і послуг ІБ00-002557 від 28.05.2025 11:00:00
СПК (Глобине)</t>
  </si>
  <si>
    <t>Обл. НДС
Змазка компресорна 1л ISO100
Надходження товарів і послуг ІБ00-001740 від 18.04.2025 11:00:00
СПК (Глобине)</t>
  </si>
  <si>
    <t>Обл. НДС
Зубило + 20*200/250 мм бетон цегла
Надходження товарів і послуг ІБ00-000748 від 25.02.2025 18:19:56
СПК (Глобине)</t>
  </si>
  <si>
    <t>Обл. НДС
Кабель АВВГ 3х16+1*10
Надходження товарів і послуг ІБ00-001847 від 25.04.2025 11:00:00
СПК (Глобине)</t>
  </si>
  <si>
    <t>Обл. НДС
Канат ОЦ DIN3060 8,0 мм
Надходження товарів і послуг ІБ00-002557 від 28.05.2025 11:00:00
СПК (Глобине)</t>
  </si>
  <si>
    <t>Обл. НДС
Колодка 3 гнізда з з/к
Надходження товарів і послуг ІБ00-001845 від 23.04.2025 11:00:00
СПК (Глобине)</t>
  </si>
  <si>
    <t>Передача малоцінних активів в експлуатацію ІБ00-000276 від 19.06.2025 18:00:00
Списание стоимости малоценных активов</t>
  </si>
  <si>
    <t>Переміщення товарів ІБ00-000573 від 20.06.2025 10:00:00
Перемещение ТМЦ</t>
  </si>
  <si>
    <t>Обл. НДС
Електроди "Моноліт РЦ" 4 мм уп. 5,0 кг
Надходження товарів і послуг ІБ00-002700 від 01.06.2025 11:00:00
Цех екстракції (Глобине)</t>
  </si>
  <si>
    <t>Передача малоцінних активів в експлуатацію ІБ00-000289 від 20.06.2025 15:49:59
Списание стоимости малоценных активов</t>
  </si>
  <si>
    <t>Обл. НДС
Кабель звар. КГ 1*25 250А
Надходження товарів і послуг ІБ00-001847 від 25.04.2025 11:00:00
СПК (Глобине)</t>
  </si>
  <si>
    <t>Обл. НДС
Клапан зворотній вогнеперепиняючий КОГ М16*1,5 кисень
Надходження товарів і послуг ІБ00-002558 від 28.05.2025 11:00:00
СПК (Глобине)</t>
  </si>
  <si>
    <t>Обл. НДС
Редуктор  БПО 5 ДМ ф9
Надходження товарів і послуг ІБ00-001715 від 16.04.2025 11:00:00
СПК (Глобине)</t>
  </si>
  <si>
    <t>Обл. НДС
Редуктор БКО-50ДМ 6/9мм кисень
Надходження товарів і послуг ІБ00-001715 від 16.04.2025 11:00:00
СПК (Глобине)</t>
  </si>
  <si>
    <t>Передача малоцінних активів в експлуатацію ІБ00-000295 від 20.06.2025 20:00:07
Списание стоимости малоценных активов</t>
  </si>
  <si>
    <t>Обл. НДС
Провід ПВС 3*2,5 (м)
Надходження товарів і послуг ІБ00-001845 від 23.04.2025 11:00:00
СПК (Глобине)</t>
  </si>
  <si>
    <t>Передача малоцінних активів в експлуатацію ІБ00-000300 від 20.06.2025 21:00:09
Списание стоимости малоценных активов</t>
  </si>
  <si>
    <t>Обл. НДС
Шнур поліамідний 16мм/разрив 6000кг
Надходження товарів і послуг ІБ00-001908 від 30.04.2025 11:00:00
СПК (Глобине)</t>
  </si>
  <si>
    <t>Передача малоцінних активів в експлуатацію ІБ00-000307 від 25.06.2025 23:13:04
Списание стоимости малоценных активов</t>
  </si>
  <si>
    <t>Обл. НДС
Костюм охоронця Класик чорний р.104-108/170-176
Надходження товарів і послуг ІБ00-001999 від 05.05.2025 11:00:00
СПК (Глобине)</t>
  </si>
  <si>
    <t>Передача малоцінних активів в експлуатацію ІБ00-000309 від 25.06.2025 23:13:09
Списание стоимости малоценных активов</t>
  </si>
  <si>
    <t>Надходження товарів і послуг ІБ00-002693 від 01.06.2025 11:00:00
Оприходованы ТМЦ</t>
  </si>
  <si>
    <t>Обл. НДС
Набір шестигранніків 8од 1/2" Н6-Н19
Надходження товарів і послуг ІБ00-002693 від 01.06.2025 11:00:00
Цех екстракції (Глобине)</t>
  </si>
  <si>
    <t>Лук'ян Михайло Федорович ФОП
22/08-24-1 от 22.08.2024 (РАХУНКИ)_Глобине-2
Рахунок на оплату постачальника ІБ00-002229 від 19.05.2025 23:00:18</t>
  </si>
  <si>
    <t>Обл. НДС
Вороток 1/2 з карданом 300мм
Надходження товарів і послуг ІБ00-002693 від 01.06.2025 11:00:00
Цех екстракції (Глобине)</t>
  </si>
  <si>
    <t>Надходження товарів і послуг ІБ00-002927 від 01.06.2025 11:00:00
Оприходованы ТМЦ (Зачет аванса поставщику)</t>
  </si>
  <si>
    <t>Обл. НДС
Свердло 50*300мм подовж
Надходження товарів і послуг ІБ00-002927 від 01.06.2025 11:00:00
Цех екстракції (Глобине)</t>
  </si>
  <si>
    <t>Лук'ян Михайло Федорович ФОП
22/08-24-1 от 22.08.2024 (РАХУНКИ)_Глобине-2
Рахунок на оплату постачальника ІБ00-001834 від 09.05.2025 20:00:24</t>
  </si>
  <si>
    <t>Надходження товарів і послуг ІБ00-002955 від 01.06.2025 11:00:00
Оприходованы ТМЦ</t>
  </si>
  <si>
    <t>Обл. НДС
Розгортка ручна  ф24,0 мм №5 9ХС
Надходження товарів і послуг ІБ00-002955 від 01.06.2025 11:00:00
Цех екстракції (Глобине)</t>
  </si>
  <si>
    <t>Адаменко Юрій Андрійович ФОП
РАХУНКИ_Глобине-2
Рахунок на оплату постачальника ІБ00-002274 від 20.05.2025 21:00:10</t>
  </si>
  <si>
    <t>09.06.2025</t>
  </si>
  <si>
    <t>Надходження товарів і послуг ІБ00-002853 від 09.06.2025 11:00:00
Оприходованы ТМЦ</t>
  </si>
  <si>
    <t>Обл. НДС
Подовжувач 3/4"  250мм ударний
Надходження товарів і послуг ІБ00-002853 від 09.06.2025 11:00:00
Цех екстракції (Глобине)</t>
  </si>
  <si>
    <t>Лук'ян Михайло Федорович ФОП
22/08-24-1 от 22.08.2024 (РАХУНКИ)_Глобине-2
Рахунок на оплату постачальника ІБ00-001904 від 12.05.2025 17:50:39</t>
  </si>
  <si>
    <t>13.06.2025</t>
  </si>
  <si>
    <t>Надходження товарів і послуг ІБ00-002932 від 13.06.2025 11:00:00
Оприходованы ТМЦ</t>
  </si>
  <si>
    <t>Обл. НДС
Строп СТП-5,0/5000
Надходження товарів і послуг ІБ00-002932 від 13.06.2025 11:00:00
Цех екстракції (Глобине)</t>
  </si>
  <si>
    <t>ЛОАД-ТЕХ ТОВ
Договір № 26/03/25 від 26.03.2025 р.Глобине2
Рахунок на оплату постачальника ІБ00-002492 від 13.06.2025 18:33:19</t>
  </si>
  <si>
    <t>Обл. НДС
Строп СТП-3,0/5000
Надходження товарів і послуг ІБ00-002932 від 13.06.2025 11:00:00
Цех екстракції (Глобине)</t>
  </si>
  <si>
    <t>Надходження товарів і послуг ІБ00-003181 від 19.06.2025 11:00:00
Оприходованы ТМЦ</t>
  </si>
  <si>
    <t>Обл. НДС
Домкрат гідравлічний пляшковий 6,0т
Надходження товарів і послуг ІБ00-003181 від 19.06.2025 11:00:00
Цех екстракції (Глобине)</t>
  </si>
  <si>
    <t>ЛОАД-ТЕХ ТОВ
Договір № 26/03/25 від 26.03.2025 р.Глобине2
Рахунок на оплату постачальника ІБ00-002671 від 12.06.2025 23:26:18</t>
  </si>
  <si>
    <t>Передача малоцінних активів в експлуатацію ІБ00-000272 від 19.06.2025 16:33:09
Списание стоимости малоценных активов</t>
  </si>
  <si>
    <t>Передача малоцінних активів в експлуатацію ІБ00-000273 від 19.06.2025 16:40:48
Списание стоимости малоценных активов</t>
  </si>
  <si>
    <t>Передача малоцінних активів в експлуатацію ІБ00-000287 від 20.06.2025 18:06:30
Списание стоимости малоценных активов</t>
  </si>
  <si>
    <t>Передача малоцінних активів в експлуатацію ІБ00-000288 від 20.06.2025 18:06:32
Списание стоимости малоценных активов</t>
  </si>
  <si>
    <t>Передача малоцінних активів в експлуатацію ІБ00-000297 від 20.06.2025 21:00:02
Списание стоимости малоценных активов</t>
  </si>
  <si>
    <t>Обл. НДС
Клапан зворотній вогнеперепиняючий КОГ М16*1,5 кисень
Надходження товарів і послуг ІБ00-002558 від 28.05.2025 11:00:00
Цех екстракції (Глобине)</t>
  </si>
  <si>
    <t>Передача малоцінних активів в експлуатацію ІБ00-000310 від 25.06.2025 23:13:11
Списание стоимости малоценных активов</t>
  </si>
  <si>
    <t>Передача малоцінних активів в експлуатацію ІБ00-000312 від 25.06.2025 23:13:21
Списание стоимости малоценных активов</t>
  </si>
  <si>
    <t>26.06.2025</t>
  </si>
  <si>
    <t>Надходження товарів і послуг ІБ00-003372 від 26.06.2025 11:00:00
Оприходованы ТМЦ</t>
  </si>
  <si>
    <t>Обл. НДС
Сандалі
Надходження товарів і послуг ІБ00-003372 від 26.06.2025 11:00:00
Цех екстракції (Глобине)</t>
  </si>
  <si>
    <t>БРАВО-СП ТОВ
РАХУНКИ_Глобине-2
Рахунок на оплату постачальника ІБ00-002743 від 26.06.2025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</si>
</sst>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65">
    <xf numFmtId="0" fontId="0" fillId="0" borderId="0" xfId="0"/>
    <xf numFmtId="0" fontId="4" fillId="2" borderId="2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horizontal="center" vertical="top"/>
    </xf>
    <xf numFmtId="0" fontId="4" fillId="2" borderId="5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2" fontId="5" fillId="0" borderId="1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right" vertical="top" wrapText="1"/>
    </xf>
    <xf numFmtId="0" fontId="5" fillId="0" borderId="12" xfId="2" applyNumberFormat="1" applyFont="1" applyBorder="1" applyAlignment="1">
      <alignment horizontal="center" vertical="top"/>
    </xf>
    <xf numFmtId="4" fontId="5" fillId="0" borderId="13" xfId="2" applyNumberFormat="1" applyFont="1" applyBorder="1" applyAlignment="1">
      <alignment horizontal="right" vertical="top" wrapText="1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" xfId="2" applyNumberFormat="1" applyFont="1" applyBorder="1" applyAlignment="1">
      <alignment horizontal="right" vertical="top" wrapText="1"/>
    </xf>
    <xf numFmtId="2" fontId="5" fillId="0" borderId="13" xfId="2" applyNumberFormat="1" applyFont="1" applyBorder="1" applyAlignment="1">
      <alignment horizontal="right" vertical="top" wrapText="1"/>
    </xf>
    <xf numFmtId="4" fontId="5" fillId="0" borderId="13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2" xfId="2" applyNumberFormat="1" applyFont="1" applyFill="1" applyBorder="1" applyAlignment="1">
      <alignment horizontal="center" vertical="top"/>
    </xf>
    <xf numFmtId="4" fontId="6" fillId="2" borderId="13" xfId="2" applyNumberFormat="1" applyFont="1" applyFill="1" applyBorder="1" applyAlignment="1">
      <alignment horizontal="right" vertical="top" wrapText="1"/>
    </xf>
    <xf numFmtId="0" fontId="4" fillId="2" borderId="2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horizontal="center" vertical="top"/>
    </xf>
    <xf numFmtId="0" fontId="4" fillId="2" borderId="5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right" vertical="top" wrapText="1"/>
    </xf>
    <xf numFmtId="0" fontId="5" fillId="0" borderId="12" xfId="3" applyNumberFormat="1" applyFont="1" applyBorder="1" applyAlignment="1">
      <alignment horizontal="center" vertical="top"/>
    </xf>
    <xf numFmtId="4" fontId="5" fillId="0" borderId="13" xfId="3" applyNumberFormat="1" applyFont="1" applyBorder="1" applyAlignment="1">
      <alignment horizontal="right" vertical="top" wrapText="1"/>
    </xf>
    <xf numFmtId="2" fontId="5" fillId="0" borderId="1" xfId="3" applyNumberFormat="1" applyFont="1" applyBorder="1" applyAlignment="1">
      <alignment horizontal="right" vertical="top" wrapText="1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3" xfId="3" applyNumberFormat="1" applyFont="1" applyBorder="1" applyAlignment="1">
      <alignment horizontal="right" vertical="top" wrapText="1"/>
    </xf>
    <xf numFmtId="2" fontId="5" fillId="0" borderId="13" xfId="3" applyNumberFormat="1" applyFont="1" applyBorder="1" applyAlignment="1">
      <alignment horizontal="right" vertical="top" wrapText="1"/>
    </xf>
    <xf numFmtId="2" fontId="5" fillId="0" borderId="13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2" xfId="3" applyNumberFormat="1" applyFont="1" applyFill="1" applyBorder="1" applyAlignment="1">
      <alignment horizontal="center" vertical="top"/>
    </xf>
    <xf numFmtId="2" fontId="6" fillId="2" borderId="13" xfId="3" applyNumberFormat="1" applyFont="1" applyFill="1" applyBorder="1" applyAlignment="1">
      <alignment horizontal="right" vertical="top" wrapText="1"/>
    </xf>
    <xf numFmtId="0" fontId="4" fillId="2" borderId="2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horizontal="center" vertical="top"/>
    </xf>
    <xf numFmtId="0" fontId="4" fillId="2" borderId="5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4" fontId="5" fillId="0" borderId="1" xfId="4" applyNumberFormat="1" applyFont="1" applyBorder="1" applyAlignment="1">
      <alignment horizontal="right" vertical="top" wrapText="1"/>
    </xf>
    <xf numFmtId="0" fontId="5" fillId="0" borderId="13" xfId="4" applyNumberFormat="1" applyFont="1" applyBorder="1" applyAlignment="1">
      <alignment horizontal="right" vertical="top" wrapText="1"/>
    </xf>
    <xf numFmtId="0" fontId="5" fillId="0" borderId="12" xfId="4" applyNumberFormat="1" applyFont="1" applyBorder="1" applyAlignment="1">
      <alignment horizontal="center" vertical="top"/>
    </xf>
    <xf numFmtId="4" fontId="5" fillId="0" borderId="13" xfId="4" applyNumberFormat="1" applyFont="1" applyBorder="1" applyAlignment="1">
      <alignment horizontal="right" vertical="top" wrapText="1"/>
    </xf>
    <xf numFmtId="2" fontId="5" fillId="0" borderId="1" xfId="4" applyNumberFormat="1" applyFont="1" applyBorder="1" applyAlignment="1">
      <alignment horizontal="right" vertical="top" wrapText="1"/>
    </xf>
    <xf numFmtId="0" fontId="5" fillId="0" borderId="1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4" fontId="5" fillId="0" borderId="13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4" fontId="6" fillId="2" borderId="1" xfId="4" applyNumberFormat="1" applyFont="1" applyFill="1" applyBorder="1" applyAlignment="1">
      <alignment horizontal="right" vertical="top" wrapText="1"/>
    </xf>
    <xf numFmtId="0" fontId="6" fillId="2" borderId="12" xfId="4" applyNumberFormat="1" applyFont="1" applyFill="1" applyBorder="1" applyAlignment="1">
      <alignment horizontal="center" vertical="top"/>
    </xf>
    <xf numFmtId="4" fontId="6" fillId="2" borderId="13" xfId="4" applyNumberFormat="1" applyFont="1" applyFill="1" applyBorder="1" applyAlignment="1">
      <alignment horizontal="right" vertical="top" wrapText="1"/>
    </xf>
    <xf numFmtId="0" fontId="4" fillId="2" borderId="2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horizontal="center" vertical="top"/>
    </xf>
    <xf numFmtId="0" fontId="4" fillId="2" borderId="5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2" fontId="5" fillId="0" borderId="1" xfId="5" applyNumberFormat="1" applyFont="1" applyBorder="1" applyAlignment="1">
      <alignment horizontal="right" vertical="top" wrapText="1"/>
    </xf>
    <xf numFmtId="0" fontId="5" fillId="0" borderId="13" xfId="5" applyNumberFormat="1" applyFont="1" applyBorder="1" applyAlignment="1">
      <alignment horizontal="right" vertical="top" wrapText="1"/>
    </xf>
    <xf numFmtId="0" fontId="5" fillId="0" borderId="12" xfId="5" applyNumberFormat="1" applyFont="1" applyBorder="1" applyAlignment="1">
      <alignment horizontal="center" vertical="top"/>
    </xf>
    <xf numFmtId="2" fontId="5" fillId="0" borderId="13" xfId="5" applyNumberFormat="1" applyFont="1" applyBorder="1" applyAlignment="1">
      <alignment horizontal="right" vertical="top" wrapText="1"/>
    </xf>
    <xf numFmtId="4" fontId="5" fillId="0" borderId="1" xfId="5" applyNumberFormat="1" applyFont="1" applyBorder="1" applyAlignment="1">
      <alignment horizontal="right" vertical="top" wrapText="1"/>
    </xf>
    <xf numFmtId="4" fontId="5" fillId="0" borderId="13" xfId="5" applyNumberFormat="1" applyFont="1" applyBorder="1" applyAlignment="1">
      <alignment horizontal="right" vertical="top" wrapText="1"/>
    </xf>
    <xf numFmtId="0" fontId="5" fillId="0" borderId="1" xfId="5" applyNumberFormat="1" applyFont="1" applyBorder="1" applyAlignment="1">
      <alignment horizontal="right" vertical="top" wrapText="1"/>
    </xf>
    <xf numFmtId="2" fontId="5" fillId="0" borderId="13" xfId="5" applyNumberFormat="1" applyFont="1" applyBorder="1" applyAlignment="1">
      <alignment horizontal="right" vertical="top" wrapText="1"/>
    </xf>
    <xf numFmtId="4" fontId="5" fillId="0" borderId="13" xfId="5" applyNumberFormat="1" applyFont="1" applyBorder="1" applyAlignment="1">
      <alignment horizontal="right" vertical="top" wrapText="1"/>
    </xf>
    <xf numFmtId="0" fontId="5" fillId="0" borderId="13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2" xfId="5" applyNumberFormat="1" applyFont="1" applyFill="1" applyBorder="1" applyAlignment="1">
      <alignment horizontal="center" vertical="top"/>
    </xf>
    <xf numFmtId="4" fontId="6" fillId="2" borderId="13" xfId="5" applyNumberFormat="1" applyFont="1" applyFill="1" applyBorder="1" applyAlignment="1">
      <alignment horizontal="right" vertical="top" wrapText="1"/>
    </xf>
    <xf numFmtId="0" fontId="4" fillId="2" borderId="2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horizontal="center" vertical="top"/>
    </xf>
    <xf numFmtId="0" fontId="4" fillId="2" borderId="5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4" fontId="5" fillId="0" borderId="1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right" vertical="top" wrapText="1"/>
    </xf>
    <xf numFmtId="0" fontId="5" fillId="0" borderId="12" xfId="6" applyNumberFormat="1" applyFont="1" applyBorder="1" applyAlignment="1">
      <alignment horizontal="center" vertical="top"/>
    </xf>
    <xf numFmtId="4" fontId="5" fillId="0" borderId="13" xfId="6" applyNumberFormat="1" applyFont="1" applyBorder="1" applyAlignment="1">
      <alignment horizontal="right" vertical="top" wrapText="1"/>
    </xf>
    <xf numFmtId="0" fontId="5" fillId="0" borderId="1" xfId="6" applyNumberFormat="1" applyFont="1" applyBorder="1" applyAlignment="1">
      <alignment horizontal="right" vertical="top" wrapText="1"/>
    </xf>
    <xf numFmtId="4" fontId="5" fillId="0" borderId="13" xfId="6" applyNumberFormat="1" applyFont="1" applyBorder="1" applyAlignment="1">
      <alignment horizontal="right" vertical="top" wrapText="1"/>
    </xf>
    <xf numFmtId="2" fontId="5" fillId="0" borderId="1" xfId="6" applyNumberFormat="1" applyFont="1" applyBorder="1" applyAlignment="1">
      <alignment horizontal="right" vertical="top" wrapText="1"/>
    </xf>
    <xf numFmtId="2" fontId="5" fillId="0" borderId="13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right" vertical="top" wrapText="1"/>
    </xf>
    <xf numFmtId="2" fontId="5" fillId="0" borderId="13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2" xfId="6" applyNumberFormat="1" applyFont="1" applyFill="1" applyBorder="1" applyAlignment="1">
      <alignment horizontal="center" vertical="top"/>
    </xf>
    <xf numFmtId="2" fontId="6" fillId="2" borderId="13" xfId="6" applyNumberFormat="1" applyFont="1" applyFill="1" applyBorder="1" applyAlignment="1">
      <alignment horizontal="right" vertical="top" wrapText="1"/>
    </xf>
    <xf numFmtId="0" fontId="4" fillId="2" borderId="2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horizontal="center" vertical="top"/>
    </xf>
    <xf numFmtId="0" fontId="4" fillId="2" borderId="5" xfId="7" applyNumberFormat="1" applyFont="1" applyFill="1" applyBorder="1" applyAlignment="1">
      <alignment horizontal="center" vertical="top"/>
    </xf>
    <xf numFmtId="0" fontId="4" fillId="2" borderId="6" xfId="7" applyNumberFormat="1" applyFont="1" applyFill="1" applyBorder="1" applyAlignment="1">
      <alignment vertical="top"/>
    </xf>
    <xf numFmtId="0" fontId="4" fillId="2" borderId="7" xfId="7" applyNumberFormat="1" applyFont="1" applyFill="1" applyBorder="1" applyAlignment="1">
      <alignment vertical="top"/>
    </xf>
    <xf numFmtId="0" fontId="4" fillId="2" borderId="8" xfId="7" applyNumberFormat="1" applyFont="1" applyFill="1" applyBorder="1" applyAlignment="1">
      <alignment vertical="top"/>
    </xf>
    <xf numFmtId="0" fontId="4" fillId="2" borderId="5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1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2" fontId="5" fillId="0" borderId="1" xfId="7" applyNumberFormat="1" applyFont="1" applyBorder="1" applyAlignment="1">
      <alignment horizontal="right" vertical="top" wrapText="1"/>
    </xf>
    <xf numFmtId="0" fontId="5" fillId="0" borderId="13" xfId="7" applyNumberFormat="1" applyFont="1" applyBorder="1" applyAlignment="1">
      <alignment horizontal="right" vertical="top" wrapText="1"/>
    </xf>
    <xf numFmtId="0" fontId="5" fillId="0" borderId="12" xfId="7" applyNumberFormat="1" applyFont="1" applyBorder="1" applyAlignment="1">
      <alignment horizontal="center" vertical="top"/>
    </xf>
    <xf numFmtId="2" fontId="5" fillId="0" borderId="13" xfId="7" applyNumberFormat="1" applyFont="1" applyBorder="1" applyAlignment="1">
      <alignment horizontal="right" vertical="top" wrapText="1"/>
    </xf>
    <xf numFmtId="4" fontId="5" fillId="0" borderId="1" xfId="7" applyNumberFormat="1" applyFont="1" applyBorder="1" applyAlignment="1">
      <alignment horizontal="right" vertical="top" wrapText="1"/>
    </xf>
    <xf numFmtId="4" fontId="5" fillId="0" borderId="13" xfId="7" applyNumberFormat="1" applyFont="1" applyBorder="1" applyAlignment="1">
      <alignment horizontal="right" vertical="top" wrapText="1"/>
    </xf>
    <xf numFmtId="0" fontId="5" fillId="0" borderId="1" xfId="7" applyNumberFormat="1" applyFont="1" applyBorder="1" applyAlignment="1">
      <alignment horizontal="right" vertical="top" wrapText="1"/>
    </xf>
    <xf numFmtId="2" fontId="5" fillId="0" borderId="13" xfId="7" applyNumberFormat="1" applyFont="1" applyBorder="1" applyAlignment="1">
      <alignment horizontal="right" vertical="top" wrapText="1"/>
    </xf>
    <xf numFmtId="4" fontId="5" fillId="0" borderId="13" xfId="7" applyNumberFormat="1" applyFont="1" applyBorder="1" applyAlignment="1">
      <alignment horizontal="right" vertical="top" wrapText="1"/>
    </xf>
    <xf numFmtId="0" fontId="5" fillId="0" borderId="13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2" xfId="7" applyNumberFormat="1" applyFont="1" applyFill="1" applyBorder="1" applyAlignment="1">
      <alignment horizontal="center" vertical="top"/>
    </xf>
    <xf numFmtId="2" fontId="6" fillId="2" borderId="13" xfId="7" applyNumberFormat="1" applyFont="1" applyFill="1" applyBorder="1" applyAlignment="1">
      <alignment horizontal="right" vertical="top" wrapText="1"/>
    </xf>
    <xf numFmtId="0" fontId="4" fillId="2" borderId="2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horizontal="center" vertical="top"/>
    </xf>
    <xf numFmtId="0" fontId="4" fillId="2" borderId="5" xfId="8" applyNumberFormat="1" applyFont="1" applyFill="1" applyBorder="1" applyAlignment="1">
      <alignment horizontal="center" vertical="top"/>
    </xf>
    <xf numFmtId="0" fontId="4" fillId="2" borderId="6" xfId="8" applyNumberFormat="1" applyFont="1" applyFill="1" applyBorder="1" applyAlignment="1">
      <alignment vertical="top"/>
    </xf>
    <xf numFmtId="0" fontId="4" fillId="2" borderId="7" xfId="8" applyNumberFormat="1" applyFont="1" applyFill="1" applyBorder="1" applyAlignment="1">
      <alignment vertical="top"/>
    </xf>
    <xf numFmtId="0" fontId="4" fillId="2" borderId="8" xfId="8" applyNumberFormat="1" applyFont="1" applyFill="1" applyBorder="1" applyAlignment="1">
      <alignment vertical="top"/>
    </xf>
    <xf numFmtId="0" fontId="4" fillId="2" borderId="5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1" xfId="8" applyNumberFormat="1" applyFont="1" applyFill="1" applyBorder="1" applyAlignment="1">
      <alignment vertical="top"/>
    </xf>
    <xf numFmtId="0" fontId="5" fillId="0" borderId="1" xfId="8" applyNumberFormat="1" applyFont="1" applyBorder="1" applyAlignment="1">
      <alignment vertical="top"/>
    </xf>
    <xf numFmtId="0" fontId="5" fillId="0" borderId="1" xfId="8" applyNumberFormat="1" applyFont="1" applyBorder="1" applyAlignment="1">
      <alignment vertical="top" wrapText="1"/>
    </xf>
    <xf numFmtId="0" fontId="5" fillId="0" borderId="1" xfId="8" applyNumberFormat="1" applyFont="1" applyBorder="1" applyAlignment="1">
      <alignment horizontal="left" vertical="top"/>
    </xf>
    <xf numFmtId="2" fontId="5" fillId="0" borderId="1" xfId="8" applyNumberFormat="1" applyFont="1" applyBorder="1" applyAlignment="1">
      <alignment horizontal="right" vertical="top" wrapText="1"/>
    </xf>
    <xf numFmtId="0" fontId="5" fillId="0" borderId="13" xfId="8" applyNumberFormat="1" applyFont="1" applyBorder="1" applyAlignment="1">
      <alignment horizontal="right" vertical="top" wrapText="1"/>
    </xf>
    <xf numFmtId="0" fontId="5" fillId="0" borderId="12" xfId="8" applyNumberFormat="1" applyFont="1" applyBorder="1" applyAlignment="1">
      <alignment horizontal="center" vertical="top"/>
    </xf>
    <xf numFmtId="4" fontId="5" fillId="0" borderId="13" xfId="8" applyNumberFormat="1" applyFont="1" applyBorder="1" applyAlignment="1">
      <alignment horizontal="right" vertical="top" wrapText="1"/>
    </xf>
    <xf numFmtId="0" fontId="5" fillId="0" borderId="1" xfId="8" applyNumberFormat="1" applyFont="1" applyBorder="1" applyAlignment="1">
      <alignment horizontal="right" vertical="top" wrapText="1"/>
    </xf>
    <xf numFmtId="4" fontId="5" fillId="0" borderId="13" xfId="8" applyNumberFormat="1" applyFont="1" applyBorder="1" applyAlignment="1">
      <alignment horizontal="right" vertical="top" wrapText="1"/>
    </xf>
    <xf numFmtId="2" fontId="5" fillId="0" borderId="13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2" fontId="6" fillId="2" borderId="1" xfId="8" applyNumberFormat="1" applyFont="1" applyFill="1" applyBorder="1" applyAlignment="1">
      <alignment horizontal="right" vertical="top" wrapText="1"/>
    </xf>
    <xf numFmtId="4" fontId="6" fillId="2" borderId="1" xfId="8" applyNumberFormat="1" applyFont="1" applyFill="1" applyBorder="1" applyAlignment="1">
      <alignment horizontal="right" vertical="top" wrapText="1"/>
    </xf>
    <xf numFmtId="0" fontId="6" fillId="2" borderId="12" xfId="8" applyNumberFormat="1" applyFont="1" applyFill="1" applyBorder="1" applyAlignment="1">
      <alignment horizontal="center" vertical="top"/>
    </xf>
    <xf numFmtId="4" fontId="6" fillId="2" borderId="13" xfId="8" applyNumberFormat="1" applyFont="1" applyFill="1" applyBorder="1" applyAlignment="1">
      <alignment horizontal="right" vertical="top" wrapText="1"/>
    </xf>
    <xf numFmtId="0" fontId="4" fillId="2" borderId="2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vertical="top"/>
    </xf>
    <xf numFmtId="0" fontId="4" fillId="2" borderId="4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horizontal="center" vertical="top"/>
    </xf>
    <xf numFmtId="0" fontId="4" fillId="2" borderId="5" xfId="9" applyNumberFormat="1" applyFont="1" applyFill="1" applyBorder="1" applyAlignment="1">
      <alignment horizontal="center" vertical="top"/>
    </xf>
    <xf numFmtId="0" fontId="4" fillId="2" borderId="6" xfId="9" applyNumberFormat="1" applyFont="1" applyFill="1" applyBorder="1" applyAlignment="1">
      <alignment vertical="top"/>
    </xf>
    <xf numFmtId="0" fontId="4" fillId="2" borderId="7" xfId="9" applyNumberFormat="1" applyFont="1" applyFill="1" applyBorder="1" applyAlignment="1">
      <alignment vertical="top"/>
    </xf>
    <xf numFmtId="0" fontId="4" fillId="2" borderId="8" xfId="9" applyNumberFormat="1" applyFont="1" applyFill="1" applyBorder="1" applyAlignment="1">
      <alignment vertical="top"/>
    </xf>
    <xf numFmtId="0" fontId="4" fillId="2" borderId="5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10" xfId="9" applyNumberFormat="1" applyFont="1" applyFill="1" applyBorder="1" applyAlignment="1">
      <alignment vertical="top"/>
    </xf>
    <xf numFmtId="0" fontId="4" fillId="2" borderId="11" xfId="9" applyNumberFormat="1" applyFont="1" applyFill="1" applyBorder="1" applyAlignment="1">
      <alignment vertical="top"/>
    </xf>
    <xf numFmtId="0" fontId="5" fillId="0" borderId="1" xfId="9" applyNumberFormat="1" applyFont="1" applyBorder="1" applyAlignment="1">
      <alignment vertical="top"/>
    </xf>
    <xf numFmtId="0" fontId="5" fillId="0" borderId="1" xfId="9" applyNumberFormat="1" applyFont="1" applyBorder="1" applyAlignment="1">
      <alignment vertical="top" wrapText="1"/>
    </xf>
    <xf numFmtId="0" fontId="5" fillId="0" borderId="1" xfId="9" applyNumberFormat="1" applyFont="1" applyBorder="1" applyAlignment="1">
      <alignment horizontal="left" vertical="top"/>
    </xf>
    <xf numFmtId="4" fontId="5" fillId="0" borderId="1" xfId="9" applyNumberFormat="1" applyFont="1" applyBorder="1" applyAlignment="1">
      <alignment horizontal="right" vertical="top" wrapText="1"/>
    </xf>
    <xf numFmtId="0" fontId="5" fillId="0" borderId="13" xfId="9" applyNumberFormat="1" applyFont="1" applyBorder="1" applyAlignment="1">
      <alignment horizontal="right" vertical="top" wrapText="1"/>
    </xf>
    <xf numFmtId="0" fontId="5" fillId="0" borderId="12" xfId="9" applyNumberFormat="1" applyFont="1" applyBorder="1" applyAlignment="1">
      <alignment horizontal="center" vertical="top"/>
    </xf>
    <xf numFmtId="4" fontId="5" fillId="0" borderId="13" xfId="9" applyNumberFormat="1" applyFont="1" applyBorder="1" applyAlignment="1">
      <alignment horizontal="right" vertical="top" wrapText="1"/>
    </xf>
    <xf numFmtId="2" fontId="5" fillId="0" borderId="1" xfId="9" applyNumberFormat="1" applyFont="1" applyBorder="1" applyAlignment="1">
      <alignment horizontal="right" vertical="top" wrapText="1"/>
    </xf>
    <xf numFmtId="0" fontId="5" fillId="0" borderId="1" xfId="9" applyNumberFormat="1" applyFont="1" applyBorder="1" applyAlignment="1">
      <alignment horizontal="right" vertical="top" wrapText="1"/>
    </xf>
    <xf numFmtId="4" fontId="5" fillId="0" borderId="13" xfId="9" applyNumberFormat="1" applyFont="1" applyBorder="1" applyAlignment="1">
      <alignment horizontal="right" vertical="top" wrapText="1"/>
    </xf>
    <xf numFmtId="2" fontId="5" fillId="0" borderId="13" xfId="9" applyNumberFormat="1" applyFont="1" applyBorder="1" applyAlignment="1">
      <alignment horizontal="right" vertical="top" wrapText="1"/>
    </xf>
    <xf numFmtId="0" fontId="6" fillId="2" borderId="1" xfId="9" applyNumberFormat="1" applyFont="1" applyFill="1" applyBorder="1" applyAlignment="1">
      <alignment vertical="top"/>
    </xf>
    <xf numFmtId="4" fontId="6" fillId="2" borderId="1" xfId="9" applyNumberFormat="1" applyFont="1" applyFill="1" applyBorder="1" applyAlignment="1">
      <alignment horizontal="right" vertical="top" wrapText="1"/>
    </xf>
    <xf numFmtId="0" fontId="6" fillId="2" borderId="12" xfId="9" applyNumberFormat="1" applyFont="1" applyFill="1" applyBorder="1" applyAlignment="1">
      <alignment horizontal="center" vertical="top"/>
    </xf>
    <xf numFmtId="4" fontId="6" fillId="2" borderId="13" xfId="9" applyNumberFormat="1" applyFont="1" applyFill="1" applyBorder="1" applyAlignment="1">
      <alignment horizontal="right" vertical="top" wrapText="1"/>
    </xf>
    <xf numFmtId="0" fontId="4" fillId="2" borderId="2" xfId="10" applyNumberFormat="1" applyFont="1" applyFill="1" applyBorder="1" applyAlignment="1">
      <alignment vertical="top"/>
    </xf>
    <xf numFmtId="0" fontId="4" fillId="2" borderId="3" xfId="10" applyNumberFormat="1" applyFont="1" applyFill="1" applyBorder="1" applyAlignment="1">
      <alignment vertical="top"/>
    </xf>
    <xf numFmtId="0" fontId="4" fillId="2" borderId="4" xfId="10" applyNumberFormat="1" applyFont="1" applyFill="1" applyBorder="1" applyAlignment="1">
      <alignment vertical="top"/>
    </xf>
    <xf numFmtId="0" fontId="4" fillId="2" borderId="3" xfId="10" applyNumberFormat="1" applyFont="1" applyFill="1" applyBorder="1" applyAlignment="1">
      <alignment horizontal="center" vertical="top"/>
    </xf>
    <xf numFmtId="0" fontId="4" fillId="2" borderId="5" xfId="10" applyNumberFormat="1" applyFont="1" applyFill="1" applyBorder="1" applyAlignment="1">
      <alignment horizontal="center" vertical="top"/>
    </xf>
    <xf numFmtId="0" fontId="4" fillId="2" borderId="6" xfId="10" applyNumberFormat="1" applyFont="1" applyFill="1" applyBorder="1" applyAlignment="1">
      <alignment vertical="top"/>
    </xf>
    <xf numFmtId="0" fontId="4" fillId="2" borderId="7" xfId="10" applyNumberFormat="1" applyFont="1" applyFill="1" applyBorder="1" applyAlignment="1">
      <alignment vertical="top"/>
    </xf>
    <xf numFmtId="0" fontId="4" fillId="2" borderId="8" xfId="10" applyNumberFormat="1" applyFont="1" applyFill="1" applyBorder="1" applyAlignment="1">
      <alignment vertical="top"/>
    </xf>
    <xf numFmtId="0" fontId="4" fillId="2" borderId="5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10" xfId="10" applyNumberFormat="1" applyFont="1" applyFill="1" applyBorder="1" applyAlignment="1">
      <alignment vertical="top"/>
    </xf>
    <xf numFmtId="0" fontId="4" fillId="2" borderId="11" xfId="10" applyNumberFormat="1" applyFont="1" applyFill="1" applyBorder="1" applyAlignment="1">
      <alignment vertical="top"/>
    </xf>
    <xf numFmtId="0" fontId="5" fillId="0" borderId="1" xfId="10" applyNumberFormat="1" applyFont="1" applyBorder="1" applyAlignment="1">
      <alignment vertical="top"/>
    </xf>
    <xf numFmtId="0" fontId="5" fillId="0" borderId="1" xfId="10" applyNumberFormat="1" applyFont="1" applyBorder="1" applyAlignment="1">
      <alignment vertical="top" wrapText="1"/>
    </xf>
    <xf numFmtId="0" fontId="5" fillId="0" borderId="1" xfId="10" applyNumberFormat="1" applyFont="1" applyBorder="1" applyAlignment="1">
      <alignment horizontal="left" vertical="top"/>
    </xf>
    <xf numFmtId="4" fontId="5" fillId="0" borderId="1" xfId="10" applyNumberFormat="1" applyFont="1" applyBorder="1" applyAlignment="1">
      <alignment horizontal="right" vertical="top" wrapText="1"/>
    </xf>
    <xf numFmtId="0" fontId="5" fillId="0" borderId="13" xfId="10" applyNumberFormat="1" applyFont="1" applyBorder="1" applyAlignment="1">
      <alignment horizontal="right" vertical="top" wrapText="1"/>
    </xf>
    <xf numFmtId="0" fontId="5" fillId="0" borderId="12" xfId="10" applyNumberFormat="1" applyFont="1" applyBorder="1" applyAlignment="1">
      <alignment horizontal="center" vertical="top"/>
    </xf>
    <xf numFmtId="4" fontId="5" fillId="0" borderId="13" xfId="10" applyNumberFormat="1" applyFont="1" applyBorder="1" applyAlignment="1">
      <alignment horizontal="right" vertical="top" wrapText="1"/>
    </xf>
    <xf numFmtId="2" fontId="5" fillId="0" borderId="1" xfId="10" applyNumberFormat="1" applyFont="1" applyBorder="1" applyAlignment="1">
      <alignment horizontal="right" vertical="top" wrapText="1"/>
    </xf>
    <xf numFmtId="0" fontId="5" fillId="0" borderId="1" xfId="10" applyNumberFormat="1" applyFont="1" applyBorder="1" applyAlignment="1">
      <alignment horizontal="right" vertical="top" wrapText="1"/>
    </xf>
    <xf numFmtId="2" fontId="5" fillId="0" borderId="13" xfId="10" applyNumberFormat="1" applyFont="1" applyBorder="1" applyAlignment="1">
      <alignment horizontal="right" vertical="top" wrapText="1"/>
    </xf>
    <xf numFmtId="4" fontId="5" fillId="0" borderId="13" xfId="10" applyNumberFormat="1" applyFont="1" applyBorder="1" applyAlignment="1">
      <alignment horizontal="right" vertical="top" wrapText="1"/>
    </xf>
    <xf numFmtId="2" fontId="5" fillId="0" borderId="13" xfId="10" applyNumberFormat="1" applyFont="1" applyBorder="1" applyAlignment="1">
      <alignment horizontal="right" vertical="top" wrapText="1"/>
    </xf>
    <xf numFmtId="0" fontId="6" fillId="2" borderId="1" xfId="10" applyNumberFormat="1" applyFont="1" applyFill="1" applyBorder="1" applyAlignment="1">
      <alignment vertical="top"/>
    </xf>
    <xf numFmtId="4" fontId="6" fillId="2" borderId="1" xfId="10" applyNumberFormat="1" applyFont="1" applyFill="1" applyBorder="1" applyAlignment="1">
      <alignment horizontal="right" vertical="top" wrapText="1"/>
    </xf>
    <xf numFmtId="0" fontId="6" fillId="2" borderId="12" xfId="10" applyNumberFormat="1" applyFont="1" applyFill="1" applyBorder="1" applyAlignment="1">
      <alignment horizontal="center" vertical="top"/>
    </xf>
    <xf numFmtId="4" fontId="6" fillId="2" borderId="13" xfId="10" applyNumberFormat="1" applyFont="1" applyFill="1" applyBorder="1" applyAlignment="1">
      <alignment horizontal="right" vertical="top" wrapText="1"/>
    </xf>
    <xf numFmtId="4" fontId="0" fillId="0" borderId="0" xfId="0" applyNumberFormat="1"/>
    <xf numFmtId="4" fontId="1" fillId="0" borderId="0" xfId="0" applyNumberFormat="1" applyFont="1"/>
    <xf numFmtId="0" fontId="3" fillId="2" borderId="14" xfId="1" applyNumberFormat="1" applyFont="1" applyFill="1" applyBorder="1" applyAlignment="1">
      <alignment vertical="top" wrapText="1" indent="1"/>
    </xf>
    <xf numFmtId="4" fontId="0" fillId="0" borderId="14" xfId="0" applyNumberFormat="1" applyBorder="1"/>
  </cellXfs>
  <cellStyles count="11">
    <cellStyle name="Обычный" xfId="0" builtinId="0"/>
    <cellStyle name="Обычный_Sheet1" xfId="1" xr:uid="{54B550FF-ED4A-4609-9BA3-E9670C81EFDD}"/>
    <cellStyle name="Обычный_АПК" xfId="2" xr:uid="{A3DFEF6E-E081-4F98-B238-3F4AF3793ECD}"/>
    <cellStyle name="Обычный_в бігбегах" xfId="6" xr:uid="{09086545-F544-4EC0-9587-5485963949C6}"/>
    <cellStyle name="Обычный_Глобине-2" xfId="3" xr:uid="{EC104579-B200-496E-862A-7CD8869AE362}"/>
    <cellStyle name="Обычный_зберігання розчинника" xfId="7" xr:uid="{118F038F-484D-441D-A8D8-3F02B8FF64FF}"/>
    <cellStyle name="Обычный_Котельна" xfId="4" xr:uid="{E91C7A87-C37B-4681-8A33-F15CE256AA8D}"/>
    <cellStyle name="Обычный_парк соєвої меляси" xfId="8" xr:uid="{9672EB57-D511-445A-80D6-B501B4467076}"/>
    <cellStyle name="Обычный_Пожежений резервуар" xfId="5" xr:uid="{66232F0C-4069-46DC-BE79-B7BBD8908443}"/>
    <cellStyle name="Обычный_СПК" xfId="9" xr:uid="{959100FB-D922-4463-A658-181F8665090E}"/>
    <cellStyle name="Обычный_Цех екстракції" xfId="10" xr:uid="{CB661F43-157A-4E83-A47B-F0698AB3A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tabSelected="1" workbookViewId="0">
      <selection activeCell="C11" sqref="C11"/>
    </sheetView>
  </sheetViews>
  <sheetFormatPr defaultRowHeight="14.4" x14ac:dyDescent="0.3"/>
  <cols>
    <col min="1" max="1" width="3" customWidth="1"/>
    <col min="2" max="2" width="37.21875" bestFit="1" customWidth="1"/>
    <col min="3" max="3" width="9.88671875" bestFit="1" customWidth="1"/>
  </cols>
  <sheetData>
    <row r="2" spans="2:3" x14ac:dyDescent="0.3">
      <c r="B2" s="263" t="s">
        <v>0</v>
      </c>
      <c r="C2" s="264">
        <f>АПК!J27*1.2</f>
        <v>10897.344000000001</v>
      </c>
    </row>
    <row r="3" spans="2:3" x14ac:dyDescent="0.3">
      <c r="B3" s="263" t="s">
        <v>1</v>
      </c>
      <c r="C3" s="264">
        <f>'Глобине-2'!J252*1.2</f>
        <v>79382.495999999985</v>
      </c>
    </row>
    <row r="4" spans="2:3" x14ac:dyDescent="0.3">
      <c r="B4" s="263" t="s">
        <v>2</v>
      </c>
      <c r="C4" s="264">
        <f>Котельна!J76*1.2</f>
        <v>49881.479999999989</v>
      </c>
    </row>
    <row r="5" spans="2:3" x14ac:dyDescent="0.3">
      <c r="B5" s="263" t="s">
        <v>3</v>
      </c>
      <c r="C5" s="264">
        <f>'Пожежений резервуар'!J26*1.2</f>
        <v>5661.5400000000009</v>
      </c>
    </row>
    <row r="6" spans="2:3" x14ac:dyDescent="0.3">
      <c r="B6" s="263" t="s">
        <v>4</v>
      </c>
      <c r="C6" s="264">
        <f>'в бігбегах'!J16*1.2</f>
        <v>2724.24</v>
      </c>
    </row>
    <row r="7" spans="2:3" x14ac:dyDescent="0.3">
      <c r="B7" s="263" t="s">
        <v>5</v>
      </c>
      <c r="C7" s="264">
        <f>'зберігання розчинника'!J15*1.2</f>
        <v>2139</v>
      </c>
    </row>
    <row r="8" spans="2:3" x14ac:dyDescent="0.3">
      <c r="B8" s="263" t="s">
        <v>6</v>
      </c>
      <c r="C8" s="264">
        <f>'парк соєвої меляси'!J15*1.2</f>
        <v>8352.9599999999991</v>
      </c>
    </row>
    <row r="9" spans="2:3" x14ac:dyDescent="0.3">
      <c r="B9" s="263" t="s">
        <v>7</v>
      </c>
      <c r="C9" s="264">
        <f>СПК!J103*1.2</f>
        <v>117045.63599999998</v>
      </c>
    </row>
    <row r="10" spans="2:3" x14ac:dyDescent="0.3">
      <c r="B10" s="263" t="s">
        <v>8</v>
      </c>
      <c r="C10" s="264">
        <f>'Цех екстракції'!J45*1.2</f>
        <v>32001.732</v>
      </c>
    </row>
    <row r="11" spans="2:3" x14ac:dyDescent="0.3">
      <c r="C11" s="262">
        <f>SUM(C2:C10)</f>
        <v>308086.42799999996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81B4-23E5-47F7-88CA-1741575EBC43}">
  <sheetPr filterMode="1"/>
  <dimension ref="A1:L27"/>
  <sheetViews>
    <sheetView topLeftCell="A14" workbookViewId="0">
      <selection activeCell="J27" sqref="J27"/>
    </sheetView>
  </sheetViews>
  <sheetFormatPr defaultRowHeight="14.4" x14ac:dyDescent="0.3"/>
  <cols>
    <col min="2" max="4" width="28.5546875" customWidth="1"/>
  </cols>
  <sheetData>
    <row r="1" spans="1:12" x14ac:dyDescent="0.3">
      <c r="A1" s="1" t="s">
        <v>9</v>
      </c>
      <c r="B1" s="2" t="s">
        <v>10</v>
      </c>
      <c r="C1" s="2" t="s">
        <v>11</v>
      </c>
      <c r="D1" s="3" t="s">
        <v>12</v>
      </c>
      <c r="E1" s="4" t="s">
        <v>13</v>
      </c>
      <c r="F1" s="4"/>
      <c r="G1" s="4"/>
      <c r="H1" s="5" t="s">
        <v>14</v>
      </c>
      <c r="I1" s="5"/>
      <c r="J1" s="5"/>
      <c r="K1" s="2" t="s">
        <v>15</v>
      </c>
      <c r="L1" s="2"/>
    </row>
    <row r="2" spans="1:12" x14ac:dyDescent="0.3">
      <c r="A2" s="6"/>
      <c r="B2" s="7"/>
      <c r="C2" s="7"/>
      <c r="D2" s="8"/>
      <c r="E2" s="9" t="s">
        <v>16</v>
      </c>
      <c r="F2" s="10"/>
      <c r="G2" s="10"/>
      <c r="H2" s="11" t="s">
        <v>16</v>
      </c>
      <c r="I2" s="12"/>
      <c r="J2" s="12"/>
      <c r="K2" s="6"/>
      <c r="L2" s="13"/>
    </row>
    <row r="3" spans="1:12" ht="61.2" hidden="1" x14ac:dyDescent="0.3">
      <c r="A3" s="14" t="s">
        <v>18</v>
      </c>
      <c r="B3" s="15" t="s">
        <v>19</v>
      </c>
      <c r="C3" s="15" t="s">
        <v>20</v>
      </c>
      <c r="D3" s="15" t="s">
        <v>21</v>
      </c>
      <c r="E3" s="16" t="s">
        <v>22</v>
      </c>
      <c r="F3" s="17">
        <v>294</v>
      </c>
      <c r="G3" s="17"/>
      <c r="H3" s="16" t="s">
        <v>22</v>
      </c>
      <c r="I3" s="18" t="s">
        <v>23</v>
      </c>
      <c r="J3" s="18"/>
      <c r="K3" s="19" t="s">
        <v>17</v>
      </c>
      <c r="L3" s="20">
        <v>4464</v>
      </c>
    </row>
    <row r="4" spans="1:12" ht="51" hidden="1" x14ac:dyDescent="0.3">
      <c r="A4" s="14" t="s">
        <v>18</v>
      </c>
      <c r="B4" s="15" t="s">
        <v>19</v>
      </c>
      <c r="C4" s="15" t="s">
        <v>24</v>
      </c>
      <c r="D4" s="15" t="s">
        <v>25</v>
      </c>
      <c r="E4" s="16" t="s">
        <v>22</v>
      </c>
      <c r="F4" s="17">
        <v>100.3</v>
      </c>
      <c r="G4" s="17"/>
      <c r="H4" s="16" t="s">
        <v>22</v>
      </c>
      <c r="I4" s="18" t="s">
        <v>23</v>
      </c>
      <c r="J4" s="18"/>
      <c r="K4" s="19" t="s">
        <v>17</v>
      </c>
      <c r="L4" s="20">
        <v>4564.3</v>
      </c>
    </row>
    <row r="5" spans="1:12" ht="51" hidden="1" x14ac:dyDescent="0.3">
      <c r="A5" s="14" t="s">
        <v>18</v>
      </c>
      <c r="B5" s="15" t="s">
        <v>19</v>
      </c>
      <c r="C5" s="15" t="s">
        <v>26</v>
      </c>
      <c r="D5" s="15" t="s">
        <v>27</v>
      </c>
      <c r="E5" s="16" t="s">
        <v>22</v>
      </c>
      <c r="F5" s="21">
        <v>6876</v>
      </c>
      <c r="G5" s="21"/>
      <c r="H5" s="16" t="s">
        <v>22</v>
      </c>
      <c r="I5" s="18" t="s">
        <v>23</v>
      </c>
      <c r="J5" s="18"/>
      <c r="K5" s="19" t="s">
        <v>17</v>
      </c>
      <c r="L5" s="20">
        <v>11440.3</v>
      </c>
    </row>
    <row r="6" spans="1:12" ht="51" hidden="1" x14ac:dyDescent="0.3">
      <c r="A6" s="14" t="s">
        <v>18</v>
      </c>
      <c r="B6" s="15" t="s">
        <v>19</v>
      </c>
      <c r="C6" s="15" t="s">
        <v>28</v>
      </c>
      <c r="D6" s="15" t="s">
        <v>29</v>
      </c>
      <c r="E6" s="16" t="s">
        <v>22</v>
      </c>
      <c r="F6" s="21">
        <v>1841</v>
      </c>
      <c r="G6" s="21"/>
      <c r="H6" s="16" t="s">
        <v>22</v>
      </c>
      <c r="I6" s="18" t="s">
        <v>23</v>
      </c>
      <c r="J6" s="18"/>
      <c r="K6" s="19" t="s">
        <v>17</v>
      </c>
      <c r="L6" s="20">
        <v>13281.3</v>
      </c>
    </row>
    <row r="7" spans="1:12" ht="61.2" hidden="1" x14ac:dyDescent="0.3">
      <c r="A7" s="14" t="s">
        <v>30</v>
      </c>
      <c r="B7" s="15" t="s">
        <v>31</v>
      </c>
      <c r="C7" s="15" t="s">
        <v>32</v>
      </c>
      <c r="D7" s="15" t="s">
        <v>33</v>
      </c>
      <c r="E7" s="16" t="s">
        <v>22</v>
      </c>
      <c r="F7" s="21">
        <v>1275.98</v>
      </c>
      <c r="G7" s="21"/>
      <c r="H7" s="16" t="s">
        <v>22</v>
      </c>
      <c r="I7" s="18" t="s">
        <v>23</v>
      </c>
      <c r="J7" s="18"/>
      <c r="K7" s="19" t="s">
        <v>17</v>
      </c>
      <c r="L7" s="20">
        <v>14557.28</v>
      </c>
    </row>
    <row r="8" spans="1:12" ht="51" hidden="1" x14ac:dyDescent="0.3">
      <c r="A8" s="14" t="s">
        <v>34</v>
      </c>
      <c r="B8" s="15" t="s">
        <v>35</v>
      </c>
      <c r="C8" s="15" t="s">
        <v>36</v>
      </c>
      <c r="D8" s="15" t="s">
        <v>37</v>
      </c>
      <c r="E8" s="16" t="s">
        <v>22</v>
      </c>
      <c r="F8" s="17">
        <v>186.25</v>
      </c>
      <c r="G8" s="17"/>
      <c r="H8" s="16" t="s">
        <v>22</v>
      </c>
      <c r="I8" s="18" t="s">
        <v>23</v>
      </c>
      <c r="J8" s="18"/>
      <c r="K8" s="19" t="s">
        <v>17</v>
      </c>
      <c r="L8" s="20">
        <v>14743.53</v>
      </c>
    </row>
    <row r="9" spans="1:12" ht="61.2" hidden="1" x14ac:dyDescent="0.3">
      <c r="A9" s="14" t="s">
        <v>34</v>
      </c>
      <c r="B9" s="15" t="s">
        <v>35</v>
      </c>
      <c r="C9" s="15" t="s">
        <v>38</v>
      </c>
      <c r="D9" s="15" t="s">
        <v>39</v>
      </c>
      <c r="E9" s="16" t="s">
        <v>22</v>
      </c>
      <c r="F9" s="17">
        <v>367.5</v>
      </c>
      <c r="G9" s="17"/>
      <c r="H9" s="16" t="s">
        <v>22</v>
      </c>
      <c r="I9" s="18" t="s">
        <v>23</v>
      </c>
      <c r="J9" s="18"/>
      <c r="K9" s="19" t="s">
        <v>17</v>
      </c>
      <c r="L9" s="20">
        <v>15111.03</v>
      </c>
    </row>
    <row r="10" spans="1:12" ht="61.2" x14ac:dyDescent="0.3">
      <c r="A10" s="14" t="s">
        <v>40</v>
      </c>
      <c r="B10" s="15" t="s">
        <v>41</v>
      </c>
      <c r="C10" s="15" t="s">
        <v>42</v>
      </c>
      <c r="D10" s="15" t="s">
        <v>20</v>
      </c>
      <c r="E10" s="16" t="s">
        <v>43</v>
      </c>
      <c r="F10" s="22" t="s">
        <v>23</v>
      </c>
      <c r="G10" s="22"/>
      <c r="H10" s="16" t="s">
        <v>22</v>
      </c>
      <c r="I10" s="23">
        <v>294</v>
      </c>
      <c r="J10" s="23"/>
      <c r="K10" s="19" t="s">
        <v>17</v>
      </c>
      <c r="L10" s="20">
        <v>14817.03</v>
      </c>
    </row>
    <row r="11" spans="1:12" ht="61.2" x14ac:dyDescent="0.3">
      <c r="A11" s="14" t="s">
        <v>40</v>
      </c>
      <c r="B11" s="15" t="s">
        <v>41</v>
      </c>
      <c r="C11" s="15" t="s">
        <v>42</v>
      </c>
      <c r="D11" s="15" t="s">
        <v>38</v>
      </c>
      <c r="E11" s="16" t="s">
        <v>43</v>
      </c>
      <c r="F11" s="22" t="s">
        <v>23</v>
      </c>
      <c r="G11" s="22"/>
      <c r="H11" s="16" t="s">
        <v>22</v>
      </c>
      <c r="I11" s="23">
        <v>367.5</v>
      </c>
      <c r="J11" s="23"/>
      <c r="K11" s="19" t="s">
        <v>17</v>
      </c>
      <c r="L11" s="20">
        <v>14449.53</v>
      </c>
    </row>
    <row r="12" spans="1:12" ht="51" x14ac:dyDescent="0.3">
      <c r="A12" s="14" t="s">
        <v>40</v>
      </c>
      <c r="B12" s="15" t="s">
        <v>41</v>
      </c>
      <c r="C12" s="15" t="s">
        <v>42</v>
      </c>
      <c r="D12" s="15" t="s">
        <v>24</v>
      </c>
      <c r="E12" s="16" t="s">
        <v>43</v>
      </c>
      <c r="F12" s="22" t="s">
        <v>23</v>
      </c>
      <c r="G12" s="22"/>
      <c r="H12" s="16" t="s">
        <v>22</v>
      </c>
      <c r="I12" s="23">
        <v>100.3</v>
      </c>
      <c r="J12" s="23"/>
      <c r="K12" s="19" t="s">
        <v>17</v>
      </c>
      <c r="L12" s="20">
        <v>14349.23</v>
      </c>
    </row>
    <row r="13" spans="1:12" ht="61.2" x14ac:dyDescent="0.3">
      <c r="A13" s="14" t="s">
        <v>40</v>
      </c>
      <c r="B13" s="15" t="s">
        <v>41</v>
      </c>
      <c r="C13" s="15" t="s">
        <v>42</v>
      </c>
      <c r="D13" s="15" t="s">
        <v>32</v>
      </c>
      <c r="E13" s="16" t="s">
        <v>43</v>
      </c>
      <c r="F13" s="22" t="s">
        <v>23</v>
      </c>
      <c r="G13" s="22"/>
      <c r="H13" s="16" t="s">
        <v>22</v>
      </c>
      <c r="I13" s="23">
        <v>364.57</v>
      </c>
      <c r="J13" s="23"/>
      <c r="K13" s="19" t="s">
        <v>17</v>
      </c>
      <c r="L13" s="20">
        <v>13984.66</v>
      </c>
    </row>
    <row r="14" spans="1:12" ht="51" x14ac:dyDescent="0.3">
      <c r="A14" s="14" t="s">
        <v>44</v>
      </c>
      <c r="B14" s="15" t="s">
        <v>45</v>
      </c>
      <c r="C14" s="15" t="s">
        <v>42</v>
      </c>
      <c r="D14" s="15" t="s">
        <v>28</v>
      </c>
      <c r="E14" s="16" t="s">
        <v>43</v>
      </c>
      <c r="F14" s="22" t="s">
        <v>23</v>
      </c>
      <c r="G14" s="22"/>
      <c r="H14" s="16" t="s">
        <v>22</v>
      </c>
      <c r="I14" s="24">
        <v>1841</v>
      </c>
      <c r="J14" s="24"/>
      <c r="K14" s="19" t="s">
        <v>17</v>
      </c>
      <c r="L14" s="20">
        <v>12143.66</v>
      </c>
    </row>
    <row r="15" spans="1:12" ht="51" x14ac:dyDescent="0.3">
      <c r="A15" s="14" t="s">
        <v>44</v>
      </c>
      <c r="B15" s="15" t="s">
        <v>45</v>
      </c>
      <c r="C15" s="15" t="s">
        <v>42</v>
      </c>
      <c r="D15" s="15" t="s">
        <v>36</v>
      </c>
      <c r="E15" s="16" t="s">
        <v>43</v>
      </c>
      <c r="F15" s="22" t="s">
        <v>23</v>
      </c>
      <c r="G15" s="22"/>
      <c r="H15" s="16" t="s">
        <v>22</v>
      </c>
      <c r="I15" s="23">
        <v>186.25</v>
      </c>
      <c r="J15" s="23"/>
      <c r="K15" s="19" t="s">
        <v>17</v>
      </c>
      <c r="L15" s="20">
        <v>11957.41</v>
      </c>
    </row>
    <row r="16" spans="1:12" ht="51" x14ac:dyDescent="0.3">
      <c r="A16" s="14" t="s">
        <v>44</v>
      </c>
      <c r="B16" s="15" t="s">
        <v>45</v>
      </c>
      <c r="C16" s="15" t="s">
        <v>42</v>
      </c>
      <c r="D16" s="15" t="s">
        <v>26</v>
      </c>
      <c r="E16" s="16" t="s">
        <v>43</v>
      </c>
      <c r="F16" s="22" t="s">
        <v>23</v>
      </c>
      <c r="G16" s="22"/>
      <c r="H16" s="16" t="s">
        <v>22</v>
      </c>
      <c r="I16" s="24">
        <v>5271.6</v>
      </c>
      <c r="J16" s="24"/>
      <c r="K16" s="19" t="s">
        <v>17</v>
      </c>
      <c r="L16" s="20">
        <v>6685.81</v>
      </c>
    </row>
    <row r="17" spans="1:12" ht="61.2" hidden="1" x14ac:dyDescent="0.3">
      <c r="A17" s="14" t="s">
        <v>46</v>
      </c>
      <c r="B17" s="15" t="s">
        <v>47</v>
      </c>
      <c r="C17" s="15" t="s">
        <v>48</v>
      </c>
      <c r="D17" s="15" t="s">
        <v>49</v>
      </c>
      <c r="E17" s="16" t="s">
        <v>22</v>
      </c>
      <c r="F17" s="21">
        <v>3483.5</v>
      </c>
      <c r="G17" s="21"/>
      <c r="H17" s="16" t="s">
        <v>22</v>
      </c>
      <c r="I17" s="18" t="s">
        <v>23</v>
      </c>
      <c r="J17" s="18"/>
      <c r="K17" s="19" t="s">
        <v>17</v>
      </c>
      <c r="L17" s="20">
        <v>10169.31</v>
      </c>
    </row>
    <row r="18" spans="1:12" ht="51" hidden="1" x14ac:dyDescent="0.3">
      <c r="A18" s="14" t="s">
        <v>46</v>
      </c>
      <c r="B18" s="15" t="s">
        <v>47</v>
      </c>
      <c r="C18" s="15" t="s">
        <v>50</v>
      </c>
      <c r="D18" s="15" t="s">
        <v>51</v>
      </c>
      <c r="E18" s="16" t="s">
        <v>22</v>
      </c>
      <c r="F18" s="17">
        <v>309</v>
      </c>
      <c r="G18" s="17"/>
      <c r="H18" s="16" t="s">
        <v>22</v>
      </c>
      <c r="I18" s="18" t="s">
        <v>23</v>
      </c>
      <c r="J18" s="18"/>
      <c r="K18" s="19" t="s">
        <v>17</v>
      </c>
      <c r="L18" s="20">
        <v>10478.31</v>
      </c>
    </row>
    <row r="19" spans="1:12" ht="51" hidden="1" x14ac:dyDescent="0.3">
      <c r="A19" s="14" t="s">
        <v>46</v>
      </c>
      <c r="B19" s="15" t="s">
        <v>47</v>
      </c>
      <c r="C19" s="15" t="s">
        <v>52</v>
      </c>
      <c r="D19" s="15" t="s">
        <v>53</v>
      </c>
      <c r="E19" s="16" t="s">
        <v>22</v>
      </c>
      <c r="F19" s="17">
        <v>148.75</v>
      </c>
      <c r="G19" s="17"/>
      <c r="H19" s="16" t="s">
        <v>22</v>
      </c>
      <c r="I19" s="18" t="s">
        <v>23</v>
      </c>
      <c r="J19" s="18"/>
      <c r="K19" s="19" t="s">
        <v>17</v>
      </c>
      <c r="L19" s="20">
        <v>10627.06</v>
      </c>
    </row>
    <row r="20" spans="1:12" ht="51" hidden="1" x14ac:dyDescent="0.3">
      <c r="A20" s="14" t="s">
        <v>46</v>
      </c>
      <c r="B20" s="15" t="s">
        <v>47</v>
      </c>
      <c r="C20" s="15" t="s">
        <v>54</v>
      </c>
      <c r="D20" s="15" t="s">
        <v>55</v>
      </c>
      <c r="E20" s="16" t="s">
        <v>22</v>
      </c>
      <c r="F20" s="17">
        <v>198.15</v>
      </c>
      <c r="G20" s="17"/>
      <c r="H20" s="16" t="s">
        <v>22</v>
      </c>
      <c r="I20" s="18" t="s">
        <v>23</v>
      </c>
      <c r="J20" s="18"/>
      <c r="K20" s="19" t="s">
        <v>17</v>
      </c>
      <c r="L20" s="20">
        <v>10825.21</v>
      </c>
    </row>
    <row r="21" spans="1:12" ht="51" hidden="1" x14ac:dyDescent="0.3">
      <c r="A21" s="14" t="s">
        <v>46</v>
      </c>
      <c r="B21" s="15" t="s">
        <v>47</v>
      </c>
      <c r="C21" s="15" t="s">
        <v>56</v>
      </c>
      <c r="D21" s="15" t="s">
        <v>57</v>
      </c>
      <c r="E21" s="16" t="s">
        <v>22</v>
      </c>
      <c r="F21" s="21">
        <v>1146</v>
      </c>
      <c r="G21" s="21"/>
      <c r="H21" s="16" t="s">
        <v>22</v>
      </c>
      <c r="I21" s="18" t="s">
        <v>23</v>
      </c>
      <c r="J21" s="18"/>
      <c r="K21" s="19" t="s">
        <v>17</v>
      </c>
      <c r="L21" s="20">
        <v>11971.21</v>
      </c>
    </row>
    <row r="22" spans="1:12" ht="51" x14ac:dyDescent="0.3">
      <c r="A22" s="14" t="s">
        <v>58</v>
      </c>
      <c r="B22" s="15" t="s">
        <v>59</v>
      </c>
      <c r="C22" s="15" t="s">
        <v>42</v>
      </c>
      <c r="D22" s="15" t="s">
        <v>50</v>
      </c>
      <c r="E22" s="16" t="s">
        <v>43</v>
      </c>
      <c r="F22" s="22" t="s">
        <v>23</v>
      </c>
      <c r="G22" s="22"/>
      <c r="H22" s="16" t="s">
        <v>22</v>
      </c>
      <c r="I22" s="23">
        <v>309</v>
      </c>
      <c r="J22" s="23"/>
      <c r="K22" s="19" t="s">
        <v>17</v>
      </c>
      <c r="L22" s="20">
        <v>11662.21</v>
      </c>
    </row>
    <row r="23" spans="1:12" ht="51" x14ac:dyDescent="0.3">
      <c r="A23" s="14" t="s">
        <v>58</v>
      </c>
      <c r="B23" s="15" t="s">
        <v>59</v>
      </c>
      <c r="C23" s="15" t="s">
        <v>42</v>
      </c>
      <c r="D23" s="15" t="s">
        <v>52</v>
      </c>
      <c r="E23" s="16" t="s">
        <v>43</v>
      </c>
      <c r="F23" s="22" t="s">
        <v>23</v>
      </c>
      <c r="G23" s="22"/>
      <c r="H23" s="16" t="s">
        <v>22</v>
      </c>
      <c r="I23" s="23">
        <v>148.75</v>
      </c>
      <c r="J23" s="23"/>
      <c r="K23" s="19" t="s">
        <v>17</v>
      </c>
      <c r="L23" s="20">
        <v>11513.46</v>
      </c>
    </row>
    <row r="24" spans="1:12" ht="51" x14ac:dyDescent="0.3">
      <c r="A24" s="14" t="s">
        <v>58</v>
      </c>
      <c r="B24" s="15" t="s">
        <v>59</v>
      </c>
      <c r="C24" s="15" t="s">
        <v>42</v>
      </c>
      <c r="D24" s="15" t="s">
        <v>54</v>
      </c>
      <c r="E24" s="16" t="s">
        <v>43</v>
      </c>
      <c r="F24" s="22" t="s">
        <v>23</v>
      </c>
      <c r="G24" s="22"/>
      <c r="H24" s="16" t="s">
        <v>22</v>
      </c>
      <c r="I24" s="23">
        <v>198.15</v>
      </c>
      <c r="J24" s="23"/>
      <c r="K24" s="19" t="s">
        <v>17</v>
      </c>
      <c r="L24" s="20">
        <v>11315.31</v>
      </c>
    </row>
    <row r="25" spans="1:12" x14ac:dyDescent="0.3">
      <c r="A25" s="25" t="s">
        <v>60</v>
      </c>
      <c r="B25" s="25"/>
      <c r="C25" s="25"/>
      <c r="D25" s="25"/>
      <c r="E25" s="26">
        <v>16226.43</v>
      </c>
      <c r="F25" s="26"/>
      <c r="G25" s="26"/>
      <c r="H25" s="26">
        <v>9081.1200000000008</v>
      </c>
      <c r="I25" s="26"/>
      <c r="J25" s="26"/>
      <c r="K25" s="27" t="s">
        <v>17</v>
      </c>
      <c r="L25" s="28">
        <v>11315.31</v>
      </c>
    </row>
    <row r="27" spans="1:12" x14ac:dyDescent="0.3">
      <c r="J27" s="261">
        <f>SUBTOTAL(9,I10:J24)</f>
        <v>9081.1200000000008</v>
      </c>
    </row>
  </sheetData>
  <autoFilter ref="A1:L25" xr:uid="{77A45BE2-EAFB-4E38-B7BD-0103BB2BBF9C}">
    <filterColumn colId="1">
      <filters blank="1">
        <filter val="Передача малоцінних активів в експлуатацію ІБ00-000270 від 19.06.2025 10:31:53_x000a_Списание стоимости малоценных активов"/>
        <filter val="Передача малоцінних активів в експлуатацію ІБ00-000291 від 20.06.2025 10:00:00_x000a_Списание стоимости малоценных активов"/>
        <filter val="Передача малоцінних активів в експлуатацію ІБ00-000305 від 25.06.2025 23:12:58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6">
    <mergeCell ref="A25:D25"/>
    <mergeCell ref="E25:G25"/>
    <mergeCell ref="H25:J25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5D6C-2F21-4D26-923C-06FBAC0C50CB}">
  <sheetPr filterMode="1"/>
  <dimension ref="A1:L252"/>
  <sheetViews>
    <sheetView topLeftCell="A203" workbookViewId="0">
      <selection activeCell="J252" sqref="J252"/>
    </sheetView>
  </sheetViews>
  <sheetFormatPr defaultRowHeight="14.4" x14ac:dyDescent="0.3"/>
  <cols>
    <col min="2" max="4" width="28.5546875" customWidth="1"/>
  </cols>
  <sheetData>
    <row r="1" spans="1:12" x14ac:dyDescent="0.3">
      <c r="A1" s="29" t="s">
        <v>9</v>
      </c>
      <c r="B1" s="30" t="s">
        <v>10</v>
      </c>
      <c r="C1" s="30" t="s">
        <v>11</v>
      </c>
      <c r="D1" s="31" t="s">
        <v>12</v>
      </c>
      <c r="E1" s="32" t="s">
        <v>13</v>
      </c>
      <c r="F1" s="32"/>
      <c r="G1" s="32"/>
      <c r="H1" s="33" t="s">
        <v>14</v>
      </c>
      <c r="I1" s="33"/>
      <c r="J1" s="33"/>
      <c r="K1" s="30" t="s">
        <v>15</v>
      </c>
      <c r="L1" s="30"/>
    </row>
    <row r="2" spans="1:12" hidden="1" x14ac:dyDescent="0.3">
      <c r="A2" s="34"/>
      <c r="B2" s="35"/>
      <c r="C2" s="35"/>
      <c r="D2" s="36"/>
      <c r="E2" s="37" t="s">
        <v>16</v>
      </c>
      <c r="F2" s="38"/>
      <c r="G2" s="38"/>
      <c r="H2" s="39" t="s">
        <v>16</v>
      </c>
      <c r="I2" s="40"/>
      <c r="J2" s="40"/>
      <c r="K2" s="34"/>
      <c r="L2" s="41"/>
    </row>
    <row r="3" spans="1:12" ht="51" hidden="1" x14ac:dyDescent="0.3">
      <c r="A3" s="42" t="s">
        <v>18</v>
      </c>
      <c r="B3" s="43" t="s">
        <v>61</v>
      </c>
      <c r="C3" s="43" t="s">
        <v>62</v>
      </c>
      <c r="D3" s="43" t="s">
        <v>63</v>
      </c>
      <c r="E3" s="44" t="s">
        <v>22</v>
      </c>
      <c r="F3" s="45">
        <v>1289.5</v>
      </c>
      <c r="G3" s="45"/>
      <c r="H3" s="44" t="s">
        <v>64</v>
      </c>
      <c r="I3" s="46" t="s">
        <v>23</v>
      </c>
      <c r="J3" s="46"/>
      <c r="K3" s="47" t="s">
        <v>17</v>
      </c>
      <c r="L3" s="48">
        <v>3208.5</v>
      </c>
    </row>
    <row r="4" spans="1:12" ht="61.2" hidden="1" x14ac:dyDescent="0.3">
      <c r="A4" s="42" t="s">
        <v>18</v>
      </c>
      <c r="B4" s="43" t="s">
        <v>61</v>
      </c>
      <c r="C4" s="43" t="s">
        <v>21</v>
      </c>
      <c r="D4" s="43" t="s">
        <v>63</v>
      </c>
      <c r="E4" s="44" t="s">
        <v>22</v>
      </c>
      <c r="F4" s="45">
        <v>1470</v>
      </c>
      <c r="G4" s="45"/>
      <c r="H4" s="44" t="s">
        <v>64</v>
      </c>
      <c r="I4" s="46" t="s">
        <v>23</v>
      </c>
      <c r="J4" s="46"/>
      <c r="K4" s="47" t="s">
        <v>17</v>
      </c>
      <c r="L4" s="48">
        <v>4678.5</v>
      </c>
    </row>
    <row r="5" spans="1:12" ht="51" hidden="1" x14ac:dyDescent="0.3">
      <c r="A5" s="42" t="s">
        <v>18</v>
      </c>
      <c r="B5" s="43" t="s">
        <v>61</v>
      </c>
      <c r="C5" s="43" t="s">
        <v>65</v>
      </c>
      <c r="D5" s="43" t="s">
        <v>63</v>
      </c>
      <c r="E5" s="44" t="s">
        <v>22</v>
      </c>
      <c r="F5" s="49">
        <v>191.7</v>
      </c>
      <c r="G5" s="49"/>
      <c r="H5" s="44" t="s">
        <v>64</v>
      </c>
      <c r="I5" s="46" t="s">
        <v>23</v>
      </c>
      <c r="J5" s="46"/>
      <c r="K5" s="47" t="s">
        <v>17</v>
      </c>
      <c r="L5" s="48">
        <v>4870.2</v>
      </c>
    </row>
    <row r="6" spans="1:12" ht="51" hidden="1" x14ac:dyDescent="0.3">
      <c r="A6" s="42" t="s">
        <v>18</v>
      </c>
      <c r="B6" s="43" t="s">
        <v>61</v>
      </c>
      <c r="C6" s="43" t="s">
        <v>25</v>
      </c>
      <c r="D6" s="43" t="s">
        <v>63</v>
      </c>
      <c r="E6" s="44" t="s">
        <v>22</v>
      </c>
      <c r="F6" s="49">
        <v>100.3</v>
      </c>
      <c r="G6" s="49"/>
      <c r="H6" s="44" t="s">
        <v>64</v>
      </c>
      <c r="I6" s="46" t="s">
        <v>23</v>
      </c>
      <c r="J6" s="46"/>
      <c r="K6" s="47" t="s">
        <v>17</v>
      </c>
      <c r="L6" s="48">
        <v>4970.5</v>
      </c>
    </row>
    <row r="7" spans="1:12" ht="51" hidden="1" x14ac:dyDescent="0.3">
      <c r="A7" s="42" t="s">
        <v>18</v>
      </c>
      <c r="B7" s="43" t="s">
        <v>61</v>
      </c>
      <c r="C7" s="43" t="s">
        <v>66</v>
      </c>
      <c r="D7" s="43" t="s">
        <v>63</v>
      </c>
      <c r="E7" s="44" t="s">
        <v>22</v>
      </c>
      <c r="F7" s="49">
        <v>381.5</v>
      </c>
      <c r="G7" s="49"/>
      <c r="H7" s="44" t="s">
        <v>64</v>
      </c>
      <c r="I7" s="46" t="s">
        <v>23</v>
      </c>
      <c r="J7" s="46"/>
      <c r="K7" s="47" t="s">
        <v>17</v>
      </c>
      <c r="L7" s="48">
        <v>5352</v>
      </c>
    </row>
    <row r="8" spans="1:12" ht="51" hidden="1" x14ac:dyDescent="0.3">
      <c r="A8" s="42" t="s">
        <v>18</v>
      </c>
      <c r="B8" s="43" t="s">
        <v>61</v>
      </c>
      <c r="C8" s="43" t="s">
        <v>67</v>
      </c>
      <c r="D8" s="43" t="s">
        <v>63</v>
      </c>
      <c r="E8" s="44" t="s">
        <v>22</v>
      </c>
      <c r="F8" s="49">
        <v>765</v>
      </c>
      <c r="G8" s="49"/>
      <c r="H8" s="44" t="s">
        <v>64</v>
      </c>
      <c r="I8" s="46" t="s">
        <v>23</v>
      </c>
      <c r="J8" s="46"/>
      <c r="K8" s="47" t="s">
        <v>17</v>
      </c>
      <c r="L8" s="48">
        <v>6117</v>
      </c>
    </row>
    <row r="9" spans="1:12" ht="51" hidden="1" x14ac:dyDescent="0.3">
      <c r="A9" s="42" t="s">
        <v>18</v>
      </c>
      <c r="B9" s="43" t="s">
        <v>61</v>
      </c>
      <c r="C9" s="43" t="s">
        <v>68</v>
      </c>
      <c r="D9" s="43" t="s">
        <v>63</v>
      </c>
      <c r="E9" s="44" t="s">
        <v>22</v>
      </c>
      <c r="F9" s="45">
        <v>4783.6000000000004</v>
      </c>
      <c r="G9" s="45"/>
      <c r="H9" s="44" t="s">
        <v>64</v>
      </c>
      <c r="I9" s="46" t="s">
        <v>23</v>
      </c>
      <c r="J9" s="46"/>
      <c r="K9" s="47" t="s">
        <v>17</v>
      </c>
      <c r="L9" s="48">
        <v>10900.6</v>
      </c>
    </row>
    <row r="10" spans="1:12" ht="51" hidden="1" x14ac:dyDescent="0.3">
      <c r="A10" s="42" t="s">
        <v>18</v>
      </c>
      <c r="B10" s="43" t="s">
        <v>61</v>
      </c>
      <c r="C10" s="43" t="s">
        <v>27</v>
      </c>
      <c r="D10" s="43" t="s">
        <v>63</v>
      </c>
      <c r="E10" s="44" t="s">
        <v>22</v>
      </c>
      <c r="F10" s="45">
        <v>6876</v>
      </c>
      <c r="G10" s="45"/>
      <c r="H10" s="44" t="s">
        <v>64</v>
      </c>
      <c r="I10" s="46" t="s">
        <v>23</v>
      </c>
      <c r="J10" s="46"/>
      <c r="K10" s="47" t="s">
        <v>17</v>
      </c>
      <c r="L10" s="48">
        <v>17776.599999999999</v>
      </c>
    </row>
    <row r="11" spans="1:12" ht="51" hidden="1" x14ac:dyDescent="0.3">
      <c r="A11" s="42" t="s">
        <v>18</v>
      </c>
      <c r="B11" s="43" t="s">
        <v>61</v>
      </c>
      <c r="C11" s="43" t="s">
        <v>69</v>
      </c>
      <c r="D11" s="43" t="s">
        <v>63</v>
      </c>
      <c r="E11" s="44" t="s">
        <v>22</v>
      </c>
      <c r="F11" s="45">
        <v>1175.8499999999999</v>
      </c>
      <c r="G11" s="45"/>
      <c r="H11" s="44" t="s">
        <v>64</v>
      </c>
      <c r="I11" s="46" t="s">
        <v>23</v>
      </c>
      <c r="J11" s="46"/>
      <c r="K11" s="47" t="s">
        <v>17</v>
      </c>
      <c r="L11" s="48">
        <v>18952.45</v>
      </c>
    </row>
    <row r="12" spans="1:12" ht="51" hidden="1" x14ac:dyDescent="0.3">
      <c r="A12" s="42" t="s">
        <v>18</v>
      </c>
      <c r="B12" s="43" t="s">
        <v>61</v>
      </c>
      <c r="C12" s="43" t="s">
        <v>29</v>
      </c>
      <c r="D12" s="43" t="s">
        <v>63</v>
      </c>
      <c r="E12" s="44" t="s">
        <v>22</v>
      </c>
      <c r="F12" s="45">
        <v>1841</v>
      </c>
      <c r="G12" s="45"/>
      <c r="H12" s="44" t="s">
        <v>64</v>
      </c>
      <c r="I12" s="46" t="s">
        <v>23</v>
      </c>
      <c r="J12" s="46"/>
      <c r="K12" s="47" t="s">
        <v>17</v>
      </c>
      <c r="L12" s="48">
        <v>20793.45</v>
      </c>
    </row>
    <row r="13" spans="1:12" ht="51" hidden="1" x14ac:dyDescent="0.3">
      <c r="A13" s="42" t="s">
        <v>18</v>
      </c>
      <c r="B13" s="43" t="s">
        <v>61</v>
      </c>
      <c r="C13" s="43" t="s">
        <v>70</v>
      </c>
      <c r="D13" s="43" t="s">
        <v>63</v>
      </c>
      <c r="E13" s="44" t="s">
        <v>22</v>
      </c>
      <c r="F13" s="45">
        <v>8518.2999999999993</v>
      </c>
      <c r="G13" s="45"/>
      <c r="H13" s="44" t="s">
        <v>64</v>
      </c>
      <c r="I13" s="46" t="s">
        <v>23</v>
      </c>
      <c r="J13" s="46"/>
      <c r="K13" s="47" t="s">
        <v>17</v>
      </c>
      <c r="L13" s="48">
        <v>29311.75</v>
      </c>
    </row>
    <row r="14" spans="1:12" ht="51" hidden="1" x14ac:dyDescent="0.3">
      <c r="A14" s="42" t="s">
        <v>18</v>
      </c>
      <c r="B14" s="43" t="s">
        <v>61</v>
      </c>
      <c r="C14" s="43" t="s">
        <v>71</v>
      </c>
      <c r="D14" s="43" t="s">
        <v>63</v>
      </c>
      <c r="E14" s="44" t="s">
        <v>22</v>
      </c>
      <c r="F14" s="45">
        <v>3155</v>
      </c>
      <c r="G14" s="45"/>
      <c r="H14" s="44" t="s">
        <v>64</v>
      </c>
      <c r="I14" s="46" t="s">
        <v>23</v>
      </c>
      <c r="J14" s="46"/>
      <c r="K14" s="47" t="s">
        <v>17</v>
      </c>
      <c r="L14" s="48">
        <v>32466.75</v>
      </c>
    </row>
    <row r="15" spans="1:12" ht="51" hidden="1" x14ac:dyDescent="0.3">
      <c r="A15" s="42" t="s">
        <v>18</v>
      </c>
      <c r="B15" s="43" t="s">
        <v>72</v>
      </c>
      <c r="C15" s="43" t="s">
        <v>73</v>
      </c>
      <c r="D15" s="43" t="s">
        <v>74</v>
      </c>
      <c r="E15" s="44" t="s">
        <v>22</v>
      </c>
      <c r="F15" s="45">
        <v>1483.17</v>
      </c>
      <c r="G15" s="45"/>
      <c r="H15" s="44" t="s">
        <v>64</v>
      </c>
      <c r="I15" s="46" t="s">
        <v>23</v>
      </c>
      <c r="J15" s="46"/>
      <c r="K15" s="47" t="s">
        <v>17</v>
      </c>
      <c r="L15" s="48">
        <v>33949.919999999998</v>
      </c>
    </row>
    <row r="16" spans="1:12" ht="51" hidden="1" x14ac:dyDescent="0.3">
      <c r="A16" s="42" t="s">
        <v>18</v>
      </c>
      <c r="B16" s="43" t="s">
        <v>72</v>
      </c>
      <c r="C16" s="43" t="s">
        <v>75</v>
      </c>
      <c r="D16" s="43" t="s">
        <v>74</v>
      </c>
      <c r="E16" s="44" t="s">
        <v>22</v>
      </c>
      <c r="F16" s="45">
        <v>4449.51</v>
      </c>
      <c r="G16" s="45"/>
      <c r="H16" s="44" t="s">
        <v>64</v>
      </c>
      <c r="I16" s="46" t="s">
        <v>23</v>
      </c>
      <c r="J16" s="46"/>
      <c r="K16" s="47" t="s">
        <v>17</v>
      </c>
      <c r="L16" s="48">
        <v>38399.43</v>
      </c>
    </row>
    <row r="17" spans="1:12" ht="51" hidden="1" x14ac:dyDescent="0.3">
      <c r="A17" s="42" t="s">
        <v>18</v>
      </c>
      <c r="B17" s="43" t="s">
        <v>72</v>
      </c>
      <c r="C17" s="43" t="s">
        <v>76</v>
      </c>
      <c r="D17" s="43" t="s">
        <v>74</v>
      </c>
      <c r="E17" s="44" t="s">
        <v>22</v>
      </c>
      <c r="F17" s="45">
        <v>2966.34</v>
      </c>
      <c r="G17" s="45"/>
      <c r="H17" s="44" t="s">
        <v>64</v>
      </c>
      <c r="I17" s="46" t="s">
        <v>23</v>
      </c>
      <c r="J17" s="46"/>
      <c r="K17" s="47" t="s">
        <v>17</v>
      </c>
      <c r="L17" s="48">
        <v>41365.769999999997</v>
      </c>
    </row>
    <row r="18" spans="1:12" ht="61.2" hidden="1" x14ac:dyDescent="0.3">
      <c r="A18" s="42" t="s">
        <v>18</v>
      </c>
      <c r="B18" s="43" t="s">
        <v>77</v>
      </c>
      <c r="C18" s="43" t="s">
        <v>78</v>
      </c>
      <c r="D18" s="43" t="s">
        <v>74</v>
      </c>
      <c r="E18" s="44" t="s">
        <v>22</v>
      </c>
      <c r="F18" s="45">
        <v>3837.65</v>
      </c>
      <c r="G18" s="45"/>
      <c r="H18" s="44" t="s">
        <v>64</v>
      </c>
      <c r="I18" s="46" t="s">
        <v>23</v>
      </c>
      <c r="J18" s="46"/>
      <c r="K18" s="47" t="s">
        <v>17</v>
      </c>
      <c r="L18" s="48">
        <v>45203.42</v>
      </c>
    </row>
    <row r="19" spans="1:12" ht="61.2" hidden="1" x14ac:dyDescent="0.3">
      <c r="A19" s="42" t="s">
        <v>18</v>
      </c>
      <c r="B19" s="43" t="s">
        <v>77</v>
      </c>
      <c r="C19" s="43" t="s">
        <v>79</v>
      </c>
      <c r="D19" s="43" t="s">
        <v>74</v>
      </c>
      <c r="E19" s="44" t="s">
        <v>22</v>
      </c>
      <c r="F19" s="49">
        <v>767.53</v>
      </c>
      <c r="G19" s="49"/>
      <c r="H19" s="44" t="s">
        <v>64</v>
      </c>
      <c r="I19" s="46" t="s">
        <v>23</v>
      </c>
      <c r="J19" s="46"/>
      <c r="K19" s="47" t="s">
        <v>17</v>
      </c>
      <c r="L19" s="48">
        <v>45970.95</v>
      </c>
    </row>
    <row r="20" spans="1:12" ht="51" hidden="1" x14ac:dyDescent="0.3">
      <c r="A20" s="42" t="s">
        <v>18</v>
      </c>
      <c r="B20" s="43" t="s">
        <v>80</v>
      </c>
      <c r="C20" s="43" t="s">
        <v>81</v>
      </c>
      <c r="D20" s="43" t="s">
        <v>82</v>
      </c>
      <c r="E20" s="44" t="s">
        <v>22</v>
      </c>
      <c r="F20" s="45">
        <v>7415.85</v>
      </c>
      <c r="G20" s="45"/>
      <c r="H20" s="44" t="s">
        <v>64</v>
      </c>
      <c r="I20" s="46" t="s">
        <v>23</v>
      </c>
      <c r="J20" s="46"/>
      <c r="K20" s="47" t="s">
        <v>17</v>
      </c>
      <c r="L20" s="48">
        <v>53386.8</v>
      </c>
    </row>
    <row r="21" spans="1:12" ht="51" hidden="1" x14ac:dyDescent="0.3">
      <c r="A21" s="42" t="s">
        <v>18</v>
      </c>
      <c r="B21" s="43" t="s">
        <v>80</v>
      </c>
      <c r="C21" s="43" t="s">
        <v>83</v>
      </c>
      <c r="D21" s="43" t="s">
        <v>82</v>
      </c>
      <c r="E21" s="44" t="s">
        <v>22</v>
      </c>
      <c r="F21" s="45">
        <v>1483.17</v>
      </c>
      <c r="G21" s="45"/>
      <c r="H21" s="44" t="s">
        <v>64</v>
      </c>
      <c r="I21" s="46" t="s">
        <v>23</v>
      </c>
      <c r="J21" s="46"/>
      <c r="K21" s="47" t="s">
        <v>17</v>
      </c>
      <c r="L21" s="48">
        <v>54869.97</v>
      </c>
    </row>
    <row r="22" spans="1:12" ht="51" hidden="1" x14ac:dyDescent="0.3">
      <c r="A22" s="42" t="s">
        <v>18</v>
      </c>
      <c r="B22" s="43" t="s">
        <v>80</v>
      </c>
      <c r="C22" s="43" t="s">
        <v>84</v>
      </c>
      <c r="D22" s="43" t="s">
        <v>82</v>
      </c>
      <c r="E22" s="44" t="s">
        <v>22</v>
      </c>
      <c r="F22" s="45">
        <v>1483.17</v>
      </c>
      <c r="G22" s="45"/>
      <c r="H22" s="44" t="s">
        <v>64</v>
      </c>
      <c r="I22" s="46" t="s">
        <v>23</v>
      </c>
      <c r="J22" s="46"/>
      <c r="K22" s="47" t="s">
        <v>17</v>
      </c>
      <c r="L22" s="48">
        <v>56353.14</v>
      </c>
    </row>
    <row r="23" spans="1:12" ht="51" hidden="1" x14ac:dyDescent="0.3">
      <c r="A23" s="42" t="s">
        <v>18</v>
      </c>
      <c r="B23" s="43" t="s">
        <v>85</v>
      </c>
      <c r="C23" s="43" t="s">
        <v>86</v>
      </c>
      <c r="D23" s="43" t="s">
        <v>82</v>
      </c>
      <c r="E23" s="44" t="s">
        <v>22</v>
      </c>
      <c r="F23" s="45">
        <v>1763.97</v>
      </c>
      <c r="G23" s="45"/>
      <c r="H23" s="44" t="s">
        <v>64</v>
      </c>
      <c r="I23" s="46" t="s">
        <v>23</v>
      </c>
      <c r="J23" s="46"/>
      <c r="K23" s="47" t="s">
        <v>17</v>
      </c>
      <c r="L23" s="48">
        <v>58117.11</v>
      </c>
    </row>
    <row r="24" spans="1:12" ht="61.2" hidden="1" x14ac:dyDescent="0.3">
      <c r="A24" s="42" t="s">
        <v>18</v>
      </c>
      <c r="B24" s="43" t="s">
        <v>87</v>
      </c>
      <c r="C24" s="43" t="s">
        <v>88</v>
      </c>
      <c r="D24" s="43" t="s">
        <v>82</v>
      </c>
      <c r="E24" s="44" t="s">
        <v>22</v>
      </c>
      <c r="F24" s="49">
        <v>767.53</v>
      </c>
      <c r="G24" s="49"/>
      <c r="H24" s="44" t="s">
        <v>64</v>
      </c>
      <c r="I24" s="46" t="s">
        <v>23</v>
      </c>
      <c r="J24" s="46"/>
      <c r="K24" s="47" t="s">
        <v>17</v>
      </c>
      <c r="L24" s="48">
        <v>58884.639999999999</v>
      </c>
    </row>
    <row r="25" spans="1:12" ht="61.2" hidden="1" x14ac:dyDescent="0.3">
      <c r="A25" s="42" t="s">
        <v>18</v>
      </c>
      <c r="B25" s="43" t="s">
        <v>87</v>
      </c>
      <c r="C25" s="43" t="s">
        <v>89</v>
      </c>
      <c r="D25" s="43" t="s">
        <v>82</v>
      </c>
      <c r="E25" s="44" t="s">
        <v>22</v>
      </c>
      <c r="F25" s="45">
        <v>2302.59</v>
      </c>
      <c r="G25" s="45"/>
      <c r="H25" s="44" t="s">
        <v>64</v>
      </c>
      <c r="I25" s="46" t="s">
        <v>23</v>
      </c>
      <c r="J25" s="46"/>
      <c r="K25" s="47" t="s">
        <v>17</v>
      </c>
      <c r="L25" s="48">
        <v>61187.23</v>
      </c>
    </row>
    <row r="26" spans="1:12" ht="61.2" hidden="1" x14ac:dyDescent="0.3">
      <c r="A26" s="42" t="s">
        <v>18</v>
      </c>
      <c r="B26" s="43" t="s">
        <v>87</v>
      </c>
      <c r="C26" s="43" t="s">
        <v>90</v>
      </c>
      <c r="D26" s="43" t="s">
        <v>82</v>
      </c>
      <c r="E26" s="44" t="s">
        <v>22</v>
      </c>
      <c r="F26" s="45">
        <v>2302.59</v>
      </c>
      <c r="G26" s="45"/>
      <c r="H26" s="44" t="s">
        <v>64</v>
      </c>
      <c r="I26" s="46" t="s">
        <v>23</v>
      </c>
      <c r="J26" s="46"/>
      <c r="K26" s="47" t="s">
        <v>17</v>
      </c>
      <c r="L26" s="48">
        <v>63489.82</v>
      </c>
    </row>
    <row r="27" spans="1:12" ht="51" hidden="1" x14ac:dyDescent="0.3">
      <c r="A27" s="42" t="s">
        <v>18</v>
      </c>
      <c r="B27" s="43" t="s">
        <v>87</v>
      </c>
      <c r="C27" s="43" t="s">
        <v>91</v>
      </c>
      <c r="D27" s="43" t="s">
        <v>82</v>
      </c>
      <c r="E27" s="44" t="s">
        <v>22</v>
      </c>
      <c r="F27" s="49">
        <v>767.53</v>
      </c>
      <c r="G27" s="49"/>
      <c r="H27" s="44" t="s">
        <v>64</v>
      </c>
      <c r="I27" s="46" t="s">
        <v>23</v>
      </c>
      <c r="J27" s="46"/>
      <c r="K27" s="47" t="s">
        <v>17</v>
      </c>
      <c r="L27" s="48">
        <v>64257.35</v>
      </c>
    </row>
    <row r="28" spans="1:12" ht="51" hidden="1" x14ac:dyDescent="0.3">
      <c r="A28" s="42" t="s">
        <v>18</v>
      </c>
      <c r="B28" s="43" t="s">
        <v>92</v>
      </c>
      <c r="C28" s="43" t="s">
        <v>93</v>
      </c>
      <c r="D28" s="43" t="s">
        <v>94</v>
      </c>
      <c r="E28" s="44" t="s">
        <v>22</v>
      </c>
      <c r="F28" s="45">
        <v>2966.34</v>
      </c>
      <c r="G28" s="45"/>
      <c r="H28" s="44" t="s">
        <v>64</v>
      </c>
      <c r="I28" s="46" t="s">
        <v>23</v>
      </c>
      <c r="J28" s="46"/>
      <c r="K28" s="47" t="s">
        <v>17</v>
      </c>
      <c r="L28" s="48">
        <v>67223.69</v>
      </c>
    </row>
    <row r="29" spans="1:12" ht="61.2" hidden="1" x14ac:dyDescent="0.3">
      <c r="A29" s="42" t="s">
        <v>18</v>
      </c>
      <c r="B29" s="43" t="s">
        <v>95</v>
      </c>
      <c r="C29" s="43" t="s">
        <v>96</v>
      </c>
      <c r="D29" s="43" t="s">
        <v>94</v>
      </c>
      <c r="E29" s="44" t="s">
        <v>22</v>
      </c>
      <c r="F29" s="49">
        <v>767.53</v>
      </c>
      <c r="G29" s="49"/>
      <c r="H29" s="44" t="s">
        <v>64</v>
      </c>
      <c r="I29" s="46" t="s">
        <v>23</v>
      </c>
      <c r="J29" s="46"/>
      <c r="K29" s="47" t="s">
        <v>17</v>
      </c>
      <c r="L29" s="48">
        <v>67991.22</v>
      </c>
    </row>
    <row r="30" spans="1:12" ht="61.2" hidden="1" x14ac:dyDescent="0.3">
      <c r="A30" s="42" t="s">
        <v>18</v>
      </c>
      <c r="B30" s="43" t="s">
        <v>95</v>
      </c>
      <c r="C30" s="43" t="s">
        <v>97</v>
      </c>
      <c r="D30" s="43" t="s">
        <v>94</v>
      </c>
      <c r="E30" s="44" t="s">
        <v>22</v>
      </c>
      <c r="F30" s="49">
        <v>767.53</v>
      </c>
      <c r="G30" s="49"/>
      <c r="H30" s="44" t="s">
        <v>64</v>
      </c>
      <c r="I30" s="46" t="s">
        <v>23</v>
      </c>
      <c r="J30" s="46"/>
      <c r="K30" s="47" t="s">
        <v>17</v>
      </c>
      <c r="L30" s="48">
        <v>68758.75</v>
      </c>
    </row>
    <row r="31" spans="1:12" ht="61.2" hidden="1" x14ac:dyDescent="0.3">
      <c r="A31" s="42" t="s">
        <v>18</v>
      </c>
      <c r="B31" s="43" t="s">
        <v>98</v>
      </c>
      <c r="C31" s="43" t="s">
        <v>99</v>
      </c>
      <c r="D31" s="43" t="s">
        <v>100</v>
      </c>
      <c r="E31" s="44" t="s">
        <v>22</v>
      </c>
      <c r="F31" s="45">
        <v>1535.06</v>
      </c>
      <c r="G31" s="45"/>
      <c r="H31" s="44" t="s">
        <v>64</v>
      </c>
      <c r="I31" s="46" t="s">
        <v>23</v>
      </c>
      <c r="J31" s="46"/>
      <c r="K31" s="47" t="s">
        <v>17</v>
      </c>
      <c r="L31" s="48">
        <v>70293.81</v>
      </c>
    </row>
    <row r="32" spans="1:12" ht="61.2" hidden="1" x14ac:dyDescent="0.3">
      <c r="A32" s="42" t="s">
        <v>18</v>
      </c>
      <c r="B32" s="43" t="s">
        <v>98</v>
      </c>
      <c r="C32" s="43" t="s">
        <v>101</v>
      </c>
      <c r="D32" s="43" t="s">
        <v>100</v>
      </c>
      <c r="E32" s="44" t="s">
        <v>22</v>
      </c>
      <c r="F32" s="49">
        <v>746.7</v>
      </c>
      <c r="G32" s="49"/>
      <c r="H32" s="44" t="s">
        <v>64</v>
      </c>
      <c r="I32" s="46" t="s">
        <v>23</v>
      </c>
      <c r="J32" s="46"/>
      <c r="K32" s="47" t="s">
        <v>17</v>
      </c>
      <c r="L32" s="48">
        <v>71040.509999999995</v>
      </c>
    </row>
    <row r="33" spans="1:12" ht="51" hidden="1" x14ac:dyDescent="0.3">
      <c r="A33" s="42" t="s">
        <v>18</v>
      </c>
      <c r="B33" s="43" t="s">
        <v>102</v>
      </c>
      <c r="C33" s="43" t="s">
        <v>103</v>
      </c>
      <c r="D33" s="43" t="s">
        <v>62</v>
      </c>
      <c r="E33" s="44" t="s">
        <v>22</v>
      </c>
      <c r="F33" s="50" t="s">
        <v>23</v>
      </c>
      <c r="G33" s="50"/>
      <c r="H33" s="44" t="s">
        <v>22</v>
      </c>
      <c r="I33" s="51">
        <v>1289.5</v>
      </c>
      <c r="J33" s="51"/>
      <c r="K33" s="47" t="s">
        <v>17</v>
      </c>
      <c r="L33" s="48">
        <v>69751.009999999995</v>
      </c>
    </row>
    <row r="34" spans="1:12" ht="51" hidden="1" x14ac:dyDescent="0.3">
      <c r="A34" s="42" t="s">
        <v>18</v>
      </c>
      <c r="B34" s="43" t="s">
        <v>102</v>
      </c>
      <c r="C34" s="43" t="s">
        <v>104</v>
      </c>
      <c r="D34" s="43" t="s">
        <v>65</v>
      </c>
      <c r="E34" s="44" t="s">
        <v>22</v>
      </c>
      <c r="F34" s="50" t="s">
        <v>23</v>
      </c>
      <c r="G34" s="50"/>
      <c r="H34" s="44" t="s">
        <v>22</v>
      </c>
      <c r="I34" s="52">
        <v>191.7</v>
      </c>
      <c r="J34" s="52"/>
      <c r="K34" s="47" t="s">
        <v>17</v>
      </c>
      <c r="L34" s="48">
        <v>69559.31</v>
      </c>
    </row>
    <row r="35" spans="1:12" ht="51" hidden="1" x14ac:dyDescent="0.3">
      <c r="A35" s="42" t="s">
        <v>18</v>
      </c>
      <c r="B35" s="43" t="s">
        <v>102</v>
      </c>
      <c r="C35" s="43" t="s">
        <v>105</v>
      </c>
      <c r="D35" s="43" t="s">
        <v>66</v>
      </c>
      <c r="E35" s="44" t="s">
        <v>22</v>
      </c>
      <c r="F35" s="50" t="s">
        <v>23</v>
      </c>
      <c r="G35" s="50"/>
      <c r="H35" s="44" t="s">
        <v>22</v>
      </c>
      <c r="I35" s="52">
        <v>381.5</v>
      </c>
      <c r="J35" s="52"/>
      <c r="K35" s="47" t="s">
        <v>17</v>
      </c>
      <c r="L35" s="48">
        <v>69177.81</v>
      </c>
    </row>
    <row r="36" spans="1:12" ht="51" hidden="1" x14ac:dyDescent="0.3">
      <c r="A36" s="42" t="s">
        <v>18</v>
      </c>
      <c r="B36" s="43" t="s">
        <v>102</v>
      </c>
      <c r="C36" s="43" t="s">
        <v>106</v>
      </c>
      <c r="D36" s="43" t="s">
        <v>67</v>
      </c>
      <c r="E36" s="44" t="s">
        <v>22</v>
      </c>
      <c r="F36" s="50" t="s">
        <v>23</v>
      </c>
      <c r="G36" s="50"/>
      <c r="H36" s="44" t="s">
        <v>22</v>
      </c>
      <c r="I36" s="52">
        <v>765</v>
      </c>
      <c r="J36" s="52"/>
      <c r="K36" s="47" t="s">
        <v>17</v>
      </c>
      <c r="L36" s="48">
        <v>68412.81</v>
      </c>
    </row>
    <row r="37" spans="1:12" ht="51" hidden="1" x14ac:dyDescent="0.3">
      <c r="A37" s="42" t="s">
        <v>18</v>
      </c>
      <c r="B37" s="43" t="s">
        <v>102</v>
      </c>
      <c r="C37" s="43" t="s">
        <v>107</v>
      </c>
      <c r="D37" s="43" t="s">
        <v>68</v>
      </c>
      <c r="E37" s="44" t="s">
        <v>22</v>
      </c>
      <c r="F37" s="50" t="s">
        <v>23</v>
      </c>
      <c r="G37" s="50"/>
      <c r="H37" s="44" t="s">
        <v>22</v>
      </c>
      <c r="I37" s="51">
        <v>4783.6000000000004</v>
      </c>
      <c r="J37" s="51"/>
      <c r="K37" s="47" t="s">
        <v>17</v>
      </c>
      <c r="L37" s="48">
        <v>63629.21</v>
      </c>
    </row>
    <row r="38" spans="1:12" ht="51" hidden="1" x14ac:dyDescent="0.3">
      <c r="A38" s="42" t="s">
        <v>18</v>
      </c>
      <c r="B38" s="43" t="s">
        <v>102</v>
      </c>
      <c r="C38" s="43" t="s">
        <v>108</v>
      </c>
      <c r="D38" s="43" t="s">
        <v>70</v>
      </c>
      <c r="E38" s="44" t="s">
        <v>22</v>
      </c>
      <c r="F38" s="50" t="s">
        <v>23</v>
      </c>
      <c r="G38" s="50"/>
      <c r="H38" s="44" t="s">
        <v>22</v>
      </c>
      <c r="I38" s="51">
        <v>8518.2999999999993</v>
      </c>
      <c r="J38" s="51"/>
      <c r="K38" s="47" t="s">
        <v>17</v>
      </c>
      <c r="L38" s="48">
        <v>55110.91</v>
      </c>
    </row>
    <row r="39" spans="1:12" ht="51" hidden="1" x14ac:dyDescent="0.3">
      <c r="A39" s="42" t="s">
        <v>18</v>
      </c>
      <c r="B39" s="43" t="s">
        <v>102</v>
      </c>
      <c r="C39" s="43" t="s">
        <v>109</v>
      </c>
      <c r="D39" s="43" t="s">
        <v>71</v>
      </c>
      <c r="E39" s="44" t="s">
        <v>22</v>
      </c>
      <c r="F39" s="50" t="s">
        <v>23</v>
      </c>
      <c r="G39" s="50"/>
      <c r="H39" s="44" t="s">
        <v>22</v>
      </c>
      <c r="I39" s="51">
        <v>3155</v>
      </c>
      <c r="J39" s="51"/>
      <c r="K39" s="47" t="s">
        <v>17</v>
      </c>
      <c r="L39" s="48">
        <v>51955.91</v>
      </c>
    </row>
    <row r="40" spans="1:12" ht="61.2" hidden="1" x14ac:dyDescent="0.3">
      <c r="A40" s="42" t="s">
        <v>18</v>
      </c>
      <c r="B40" s="43" t="s">
        <v>110</v>
      </c>
      <c r="C40" s="43" t="s">
        <v>111</v>
      </c>
      <c r="D40" s="43" t="s">
        <v>21</v>
      </c>
      <c r="E40" s="44" t="s">
        <v>22</v>
      </c>
      <c r="F40" s="50" t="s">
        <v>23</v>
      </c>
      <c r="G40" s="50"/>
      <c r="H40" s="44" t="s">
        <v>22</v>
      </c>
      <c r="I40" s="52">
        <v>294</v>
      </c>
      <c r="J40" s="52"/>
      <c r="K40" s="47" t="s">
        <v>17</v>
      </c>
      <c r="L40" s="48">
        <v>51661.91</v>
      </c>
    </row>
    <row r="41" spans="1:12" ht="71.400000000000006" hidden="1" x14ac:dyDescent="0.3">
      <c r="A41" s="42" t="s">
        <v>18</v>
      </c>
      <c r="B41" s="43" t="s">
        <v>112</v>
      </c>
      <c r="C41" s="43" t="s">
        <v>113</v>
      </c>
      <c r="D41" s="43" t="s">
        <v>21</v>
      </c>
      <c r="E41" s="44" t="s">
        <v>22</v>
      </c>
      <c r="F41" s="50" t="s">
        <v>23</v>
      </c>
      <c r="G41" s="50"/>
      <c r="H41" s="44" t="s">
        <v>22</v>
      </c>
      <c r="I41" s="52">
        <v>294</v>
      </c>
      <c r="J41" s="52"/>
      <c r="K41" s="47" t="s">
        <v>17</v>
      </c>
      <c r="L41" s="48">
        <v>51367.91</v>
      </c>
    </row>
    <row r="42" spans="1:12" ht="61.2" hidden="1" x14ac:dyDescent="0.3">
      <c r="A42" s="42" t="s">
        <v>18</v>
      </c>
      <c r="B42" s="43" t="s">
        <v>114</v>
      </c>
      <c r="C42" s="43" t="s">
        <v>115</v>
      </c>
      <c r="D42" s="43" t="s">
        <v>21</v>
      </c>
      <c r="E42" s="44" t="s">
        <v>22</v>
      </c>
      <c r="F42" s="50" t="s">
        <v>23</v>
      </c>
      <c r="G42" s="50"/>
      <c r="H42" s="44" t="s">
        <v>22</v>
      </c>
      <c r="I42" s="52">
        <v>294</v>
      </c>
      <c r="J42" s="52"/>
      <c r="K42" s="47" t="s">
        <v>17</v>
      </c>
      <c r="L42" s="48">
        <v>51073.91</v>
      </c>
    </row>
    <row r="43" spans="1:12" ht="71.400000000000006" hidden="1" x14ac:dyDescent="0.3">
      <c r="A43" s="42" t="s">
        <v>18</v>
      </c>
      <c r="B43" s="43" t="s">
        <v>116</v>
      </c>
      <c r="C43" s="43" t="s">
        <v>117</v>
      </c>
      <c r="D43" s="43" t="s">
        <v>21</v>
      </c>
      <c r="E43" s="44" t="s">
        <v>22</v>
      </c>
      <c r="F43" s="50" t="s">
        <v>23</v>
      </c>
      <c r="G43" s="50"/>
      <c r="H43" s="44" t="s">
        <v>22</v>
      </c>
      <c r="I43" s="52">
        <v>294</v>
      </c>
      <c r="J43" s="52"/>
      <c r="K43" s="47" t="s">
        <v>17</v>
      </c>
      <c r="L43" s="48">
        <v>50779.91</v>
      </c>
    </row>
    <row r="44" spans="1:12" ht="61.2" hidden="1" x14ac:dyDescent="0.3">
      <c r="A44" s="42" t="s">
        <v>18</v>
      </c>
      <c r="B44" s="43" t="s">
        <v>118</v>
      </c>
      <c r="C44" s="43" t="s">
        <v>119</v>
      </c>
      <c r="D44" s="43" t="s">
        <v>69</v>
      </c>
      <c r="E44" s="44" t="s">
        <v>22</v>
      </c>
      <c r="F44" s="50" t="s">
        <v>23</v>
      </c>
      <c r="G44" s="50"/>
      <c r="H44" s="44" t="s">
        <v>22</v>
      </c>
      <c r="I44" s="51">
        <v>1175.8499999999999</v>
      </c>
      <c r="J44" s="51"/>
      <c r="K44" s="47" t="s">
        <v>17</v>
      </c>
      <c r="L44" s="48">
        <v>49604.06</v>
      </c>
    </row>
    <row r="45" spans="1:12" ht="61.2" hidden="1" x14ac:dyDescent="0.3">
      <c r="A45" s="42" t="s">
        <v>18</v>
      </c>
      <c r="B45" s="43" t="s">
        <v>19</v>
      </c>
      <c r="C45" s="43" t="s">
        <v>20</v>
      </c>
      <c r="D45" s="43" t="s">
        <v>21</v>
      </c>
      <c r="E45" s="44" t="s">
        <v>22</v>
      </c>
      <c r="F45" s="50" t="s">
        <v>23</v>
      </c>
      <c r="G45" s="50"/>
      <c r="H45" s="44" t="s">
        <v>22</v>
      </c>
      <c r="I45" s="52">
        <v>294</v>
      </c>
      <c r="J45" s="52"/>
      <c r="K45" s="47" t="s">
        <v>17</v>
      </c>
      <c r="L45" s="48">
        <v>49310.06</v>
      </c>
    </row>
    <row r="46" spans="1:12" ht="51" hidden="1" x14ac:dyDescent="0.3">
      <c r="A46" s="42" t="s">
        <v>18</v>
      </c>
      <c r="B46" s="43" t="s">
        <v>19</v>
      </c>
      <c r="C46" s="43" t="s">
        <v>24</v>
      </c>
      <c r="D46" s="43" t="s">
        <v>25</v>
      </c>
      <c r="E46" s="44" t="s">
        <v>22</v>
      </c>
      <c r="F46" s="50" t="s">
        <v>23</v>
      </c>
      <c r="G46" s="50"/>
      <c r="H46" s="44" t="s">
        <v>22</v>
      </c>
      <c r="I46" s="52">
        <v>100.3</v>
      </c>
      <c r="J46" s="52"/>
      <c r="K46" s="47" t="s">
        <v>17</v>
      </c>
      <c r="L46" s="48">
        <v>49209.760000000002</v>
      </c>
    </row>
    <row r="47" spans="1:12" ht="51" hidden="1" x14ac:dyDescent="0.3">
      <c r="A47" s="42" t="s">
        <v>18</v>
      </c>
      <c r="B47" s="43" t="s">
        <v>19</v>
      </c>
      <c r="C47" s="43" t="s">
        <v>26</v>
      </c>
      <c r="D47" s="43" t="s">
        <v>27</v>
      </c>
      <c r="E47" s="44" t="s">
        <v>22</v>
      </c>
      <c r="F47" s="50" t="s">
        <v>23</v>
      </c>
      <c r="G47" s="50"/>
      <c r="H47" s="44" t="s">
        <v>22</v>
      </c>
      <c r="I47" s="51">
        <v>6876</v>
      </c>
      <c r="J47" s="51"/>
      <c r="K47" s="47" t="s">
        <v>17</v>
      </c>
      <c r="L47" s="48">
        <v>42333.760000000002</v>
      </c>
    </row>
    <row r="48" spans="1:12" ht="51" hidden="1" x14ac:dyDescent="0.3">
      <c r="A48" s="42" t="s">
        <v>18</v>
      </c>
      <c r="B48" s="43" t="s">
        <v>19</v>
      </c>
      <c r="C48" s="43" t="s">
        <v>28</v>
      </c>
      <c r="D48" s="43" t="s">
        <v>29</v>
      </c>
      <c r="E48" s="44" t="s">
        <v>22</v>
      </c>
      <c r="F48" s="50" t="s">
        <v>23</v>
      </c>
      <c r="G48" s="50"/>
      <c r="H48" s="44" t="s">
        <v>22</v>
      </c>
      <c r="I48" s="51">
        <v>1841</v>
      </c>
      <c r="J48" s="51"/>
      <c r="K48" s="47" t="s">
        <v>17</v>
      </c>
      <c r="L48" s="48">
        <v>40492.76</v>
      </c>
    </row>
    <row r="49" spans="1:12" ht="51" hidden="1" x14ac:dyDescent="0.3">
      <c r="A49" s="42" t="s">
        <v>18</v>
      </c>
      <c r="B49" s="43" t="s">
        <v>120</v>
      </c>
      <c r="C49" s="43" t="s">
        <v>121</v>
      </c>
      <c r="D49" s="43" t="s">
        <v>100</v>
      </c>
      <c r="E49" s="44" t="s">
        <v>22</v>
      </c>
      <c r="F49" s="45">
        <v>1483.17</v>
      </c>
      <c r="G49" s="45"/>
      <c r="H49" s="44" t="s">
        <v>64</v>
      </c>
      <c r="I49" s="46" t="s">
        <v>23</v>
      </c>
      <c r="J49" s="46"/>
      <c r="K49" s="47" t="s">
        <v>17</v>
      </c>
      <c r="L49" s="48">
        <v>41975.93</v>
      </c>
    </row>
    <row r="50" spans="1:12" ht="51" hidden="1" x14ac:dyDescent="0.3">
      <c r="A50" s="42" t="s">
        <v>18</v>
      </c>
      <c r="B50" s="43" t="s">
        <v>120</v>
      </c>
      <c r="C50" s="43" t="s">
        <v>122</v>
      </c>
      <c r="D50" s="43" t="s">
        <v>100</v>
      </c>
      <c r="E50" s="44" t="s">
        <v>22</v>
      </c>
      <c r="F50" s="45">
        <v>1483.17</v>
      </c>
      <c r="G50" s="45"/>
      <c r="H50" s="44" t="s">
        <v>64</v>
      </c>
      <c r="I50" s="46" t="s">
        <v>23</v>
      </c>
      <c r="J50" s="46"/>
      <c r="K50" s="47" t="s">
        <v>17</v>
      </c>
      <c r="L50" s="48">
        <v>43459.1</v>
      </c>
    </row>
    <row r="51" spans="1:12" ht="51" hidden="1" x14ac:dyDescent="0.3">
      <c r="A51" s="42" t="s">
        <v>18</v>
      </c>
      <c r="B51" s="43" t="s">
        <v>120</v>
      </c>
      <c r="C51" s="43" t="s">
        <v>123</v>
      </c>
      <c r="D51" s="43" t="s">
        <v>100</v>
      </c>
      <c r="E51" s="44" t="s">
        <v>22</v>
      </c>
      <c r="F51" s="45">
        <v>1483.17</v>
      </c>
      <c r="G51" s="45"/>
      <c r="H51" s="44" t="s">
        <v>64</v>
      </c>
      <c r="I51" s="46" t="s">
        <v>23</v>
      </c>
      <c r="J51" s="46"/>
      <c r="K51" s="47" t="s">
        <v>17</v>
      </c>
      <c r="L51" s="48">
        <v>44942.27</v>
      </c>
    </row>
    <row r="52" spans="1:12" ht="61.2" hidden="1" x14ac:dyDescent="0.3">
      <c r="A52" s="42" t="s">
        <v>124</v>
      </c>
      <c r="B52" s="43" t="s">
        <v>125</v>
      </c>
      <c r="C52" s="43" t="s">
        <v>126</v>
      </c>
      <c r="D52" s="43" t="s">
        <v>127</v>
      </c>
      <c r="E52" s="44" t="s">
        <v>22</v>
      </c>
      <c r="F52" s="45">
        <v>1576.74</v>
      </c>
      <c r="G52" s="45"/>
      <c r="H52" s="44" t="s">
        <v>64</v>
      </c>
      <c r="I52" s="46" t="s">
        <v>23</v>
      </c>
      <c r="J52" s="46"/>
      <c r="K52" s="47" t="s">
        <v>17</v>
      </c>
      <c r="L52" s="48">
        <v>46519.01</v>
      </c>
    </row>
    <row r="53" spans="1:12" ht="61.2" hidden="1" x14ac:dyDescent="0.3">
      <c r="A53" s="42" t="s">
        <v>124</v>
      </c>
      <c r="B53" s="43" t="s">
        <v>125</v>
      </c>
      <c r="C53" s="43" t="s">
        <v>128</v>
      </c>
      <c r="D53" s="43" t="s">
        <v>127</v>
      </c>
      <c r="E53" s="44" t="s">
        <v>22</v>
      </c>
      <c r="F53" s="49">
        <v>788.37</v>
      </c>
      <c r="G53" s="49"/>
      <c r="H53" s="44" t="s">
        <v>64</v>
      </c>
      <c r="I53" s="46" t="s">
        <v>23</v>
      </c>
      <c r="J53" s="46"/>
      <c r="K53" s="47" t="s">
        <v>17</v>
      </c>
      <c r="L53" s="48">
        <v>47307.38</v>
      </c>
    </row>
    <row r="54" spans="1:12" ht="51" hidden="1" x14ac:dyDescent="0.3">
      <c r="A54" s="42" t="s">
        <v>124</v>
      </c>
      <c r="B54" s="43" t="s">
        <v>129</v>
      </c>
      <c r="C54" s="43" t="s">
        <v>130</v>
      </c>
      <c r="D54" s="43" t="s">
        <v>131</v>
      </c>
      <c r="E54" s="44" t="s">
        <v>22</v>
      </c>
      <c r="F54" s="49">
        <v>340</v>
      </c>
      <c r="G54" s="49"/>
      <c r="H54" s="44" t="s">
        <v>64</v>
      </c>
      <c r="I54" s="46" t="s">
        <v>23</v>
      </c>
      <c r="J54" s="46"/>
      <c r="K54" s="47" t="s">
        <v>17</v>
      </c>
      <c r="L54" s="48">
        <v>47647.38</v>
      </c>
    </row>
    <row r="55" spans="1:12" ht="51" hidden="1" x14ac:dyDescent="0.3">
      <c r="A55" s="42" t="s">
        <v>124</v>
      </c>
      <c r="B55" s="43" t="s">
        <v>132</v>
      </c>
      <c r="C55" s="43" t="s">
        <v>133</v>
      </c>
      <c r="D55" s="43" t="s">
        <v>134</v>
      </c>
      <c r="E55" s="44" t="s">
        <v>22</v>
      </c>
      <c r="F55" s="45">
        <v>3336.6</v>
      </c>
      <c r="G55" s="45"/>
      <c r="H55" s="44" t="s">
        <v>64</v>
      </c>
      <c r="I55" s="46" t="s">
        <v>23</v>
      </c>
      <c r="J55" s="46"/>
      <c r="K55" s="47" t="s">
        <v>17</v>
      </c>
      <c r="L55" s="48">
        <v>50983.98</v>
      </c>
    </row>
    <row r="56" spans="1:12" ht="61.2" hidden="1" x14ac:dyDescent="0.3">
      <c r="A56" s="42" t="s">
        <v>30</v>
      </c>
      <c r="B56" s="43" t="s">
        <v>135</v>
      </c>
      <c r="C56" s="43" t="s">
        <v>136</v>
      </c>
      <c r="D56" s="43" t="s">
        <v>137</v>
      </c>
      <c r="E56" s="44" t="s">
        <v>22</v>
      </c>
      <c r="F56" s="49">
        <v>87.83</v>
      </c>
      <c r="G56" s="49"/>
      <c r="H56" s="44" t="s">
        <v>64</v>
      </c>
      <c r="I56" s="46" t="s">
        <v>23</v>
      </c>
      <c r="J56" s="46"/>
      <c r="K56" s="47" t="s">
        <v>17</v>
      </c>
      <c r="L56" s="48">
        <v>51071.81</v>
      </c>
    </row>
    <row r="57" spans="1:12" ht="61.2" hidden="1" x14ac:dyDescent="0.3">
      <c r="A57" s="42" t="s">
        <v>30</v>
      </c>
      <c r="B57" s="43" t="s">
        <v>135</v>
      </c>
      <c r="C57" s="43" t="s">
        <v>138</v>
      </c>
      <c r="D57" s="43" t="s">
        <v>137</v>
      </c>
      <c r="E57" s="44" t="s">
        <v>22</v>
      </c>
      <c r="F57" s="49">
        <v>387.45</v>
      </c>
      <c r="G57" s="49"/>
      <c r="H57" s="44" t="s">
        <v>64</v>
      </c>
      <c r="I57" s="46" t="s">
        <v>23</v>
      </c>
      <c r="J57" s="46"/>
      <c r="K57" s="47" t="s">
        <v>17</v>
      </c>
      <c r="L57" s="48">
        <v>51459.26</v>
      </c>
    </row>
    <row r="58" spans="1:12" ht="51" hidden="1" x14ac:dyDescent="0.3">
      <c r="A58" s="42" t="s">
        <v>30</v>
      </c>
      <c r="B58" s="43" t="s">
        <v>135</v>
      </c>
      <c r="C58" s="43" t="s">
        <v>139</v>
      </c>
      <c r="D58" s="43" t="s">
        <v>137</v>
      </c>
      <c r="E58" s="44" t="s">
        <v>22</v>
      </c>
      <c r="F58" s="49">
        <v>385.2</v>
      </c>
      <c r="G58" s="49"/>
      <c r="H58" s="44" t="s">
        <v>64</v>
      </c>
      <c r="I58" s="46" t="s">
        <v>23</v>
      </c>
      <c r="J58" s="46"/>
      <c r="K58" s="47" t="s">
        <v>17</v>
      </c>
      <c r="L58" s="48">
        <v>51844.46</v>
      </c>
    </row>
    <row r="59" spans="1:12" ht="51" hidden="1" x14ac:dyDescent="0.3">
      <c r="A59" s="42" t="s">
        <v>30</v>
      </c>
      <c r="B59" s="43" t="s">
        <v>135</v>
      </c>
      <c r="C59" s="43" t="s">
        <v>140</v>
      </c>
      <c r="D59" s="43" t="s">
        <v>137</v>
      </c>
      <c r="E59" s="44" t="s">
        <v>22</v>
      </c>
      <c r="F59" s="49">
        <v>182.03</v>
      </c>
      <c r="G59" s="49"/>
      <c r="H59" s="44" t="s">
        <v>64</v>
      </c>
      <c r="I59" s="46" t="s">
        <v>23</v>
      </c>
      <c r="J59" s="46"/>
      <c r="K59" s="47" t="s">
        <v>17</v>
      </c>
      <c r="L59" s="48">
        <v>52026.49</v>
      </c>
    </row>
    <row r="60" spans="1:12" ht="51" hidden="1" x14ac:dyDescent="0.3">
      <c r="A60" s="42" t="s">
        <v>30</v>
      </c>
      <c r="B60" s="43" t="s">
        <v>135</v>
      </c>
      <c r="C60" s="43" t="s">
        <v>141</v>
      </c>
      <c r="D60" s="43" t="s">
        <v>137</v>
      </c>
      <c r="E60" s="44" t="s">
        <v>22</v>
      </c>
      <c r="F60" s="45">
        <v>3282.67</v>
      </c>
      <c r="G60" s="45"/>
      <c r="H60" s="44" t="s">
        <v>64</v>
      </c>
      <c r="I60" s="46" t="s">
        <v>23</v>
      </c>
      <c r="J60" s="46"/>
      <c r="K60" s="47" t="s">
        <v>17</v>
      </c>
      <c r="L60" s="48">
        <v>55309.16</v>
      </c>
    </row>
    <row r="61" spans="1:12" ht="51" hidden="1" x14ac:dyDescent="0.3">
      <c r="A61" s="42" t="s">
        <v>30</v>
      </c>
      <c r="B61" s="43" t="s">
        <v>135</v>
      </c>
      <c r="C61" s="43" t="s">
        <v>142</v>
      </c>
      <c r="D61" s="43" t="s">
        <v>137</v>
      </c>
      <c r="E61" s="44" t="s">
        <v>22</v>
      </c>
      <c r="F61" s="49">
        <v>504.53</v>
      </c>
      <c r="G61" s="49"/>
      <c r="H61" s="44" t="s">
        <v>64</v>
      </c>
      <c r="I61" s="46" t="s">
        <v>23</v>
      </c>
      <c r="J61" s="46"/>
      <c r="K61" s="47" t="s">
        <v>17</v>
      </c>
      <c r="L61" s="48">
        <v>55813.69</v>
      </c>
    </row>
    <row r="62" spans="1:12" ht="51" hidden="1" x14ac:dyDescent="0.3">
      <c r="A62" s="42" t="s">
        <v>30</v>
      </c>
      <c r="B62" s="43" t="s">
        <v>135</v>
      </c>
      <c r="C62" s="43" t="s">
        <v>143</v>
      </c>
      <c r="D62" s="43" t="s">
        <v>137</v>
      </c>
      <c r="E62" s="44" t="s">
        <v>22</v>
      </c>
      <c r="F62" s="49">
        <v>354.17</v>
      </c>
      <c r="G62" s="49"/>
      <c r="H62" s="44" t="s">
        <v>64</v>
      </c>
      <c r="I62" s="46" t="s">
        <v>23</v>
      </c>
      <c r="J62" s="46"/>
      <c r="K62" s="47" t="s">
        <v>17</v>
      </c>
      <c r="L62" s="48">
        <v>56167.86</v>
      </c>
    </row>
    <row r="63" spans="1:12" ht="61.2" hidden="1" x14ac:dyDescent="0.3">
      <c r="A63" s="42" t="s">
        <v>30</v>
      </c>
      <c r="B63" s="43" t="s">
        <v>144</v>
      </c>
      <c r="C63" s="43" t="s">
        <v>33</v>
      </c>
      <c r="D63" s="43" t="s">
        <v>145</v>
      </c>
      <c r="E63" s="44" t="s">
        <v>22</v>
      </c>
      <c r="F63" s="45">
        <v>1275.98</v>
      </c>
      <c r="G63" s="45"/>
      <c r="H63" s="44" t="s">
        <v>64</v>
      </c>
      <c r="I63" s="46" t="s">
        <v>23</v>
      </c>
      <c r="J63" s="46"/>
      <c r="K63" s="47" t="s">
        <v>17</v>
      </c>
      <c r="L63" s="48">
        <v>57443.839999999997</v>
      </c>
    </row>
    <row r="64" spans="1:12" ht="51" hidden="1" x14ac:dyDescent="0.3">
      <c r="A64" s="42" t="s">
        <v>30</v>
      </c>
      <c r="B64" s="43" t="s">
        <v>144</v>
      </c>
      <c r="C64" s="43" t="s">
        <v>146</v>
      </c>
      <c r="D64" s="43" t="s">
        <v>145</v>
      </c>
      <c r="E64" s="44" t="s">
        <v>22</v>
      </c>
      <c r="F64" s="49">
        <v>154.33000000000001</v>
      </c>
      <c r="G64" s="49"/>
      <c r="H64" s="44" t="s">
        <v>64</v>
      </c>
      <c r="I64" s="46" t="s">
        <v>23</v>
      </c>
      <c r="J64" s="46"/>
      <c r="K64" s="47" t="s">
        <v>17</v>
      </c>
      <c r="L64" s="48">
        <v>57598.17</v>
      </c>
    </row>
    <row r="65" spans="1:12" ht="51" hidden="1" x14ac:dyDescent="0.3">
      <c r="A65" s="42" t="s">
        <v>30</v>
      </c>
      <c r="B65" s="43" t="s">
        <v>144</v>
      </c>
      <c r="C65" s="43" t="s">
        <v>147</v>
      </c>
      <c r="D65" s="43" t="s">
        <v>145</v>
      </c>
      <c r="E65" s="44" t="s">
        <v>22</v>
      </c>
      <c r="F65" s="49">
        <v>319.58</v>
      </c>
      <c r="G65" s="49"/>
      <c r="H65" s="44" t="s">
        <v>64</v>
      </c>
      <c r="I65" s="46" t="s">
        <v>23</v>
      </c>
      <c r="J65" s="46"/>
      <c r="K65" s="47" t="s">
        <v>17</v>
      </c>
      <c r="L65" s="48">
        <v>57917.75</v>
      </c>
    </row>
    <row r="66" spans="1:12" ht="51" hidden="1" x14ac:dyDescent="0.3">
      <c r="A66" s="42" t="s">
        <v>30</v>
      </c>
      <c r="B66" s="43" t="s">
        <v>144</v>
      </c>
      <c r="C66" s="43" t="s">
        <v>148</v>
      </c>
      <c r="D66" s="43" t="s">
        <v>145</v>
      </c>
      <c r="E66" s="44" t="s">
        <v>22</v>
      </c>
      <c r="F66" s="49">
        <v>280.5</v>
      </c>
      <c r="G66" s="49"/>
      <c r="H66" s="44" t="s">
        <v>64</v>
      </c>
      <c r="I66" s="46" t="s">
        <v>23</v>
      </c>
      <c r="J66" s="46"/>
      <c r="K66" s="47" t="s">
        <v>17</v>
      </c>
      <c r="L66" s="48">
        <v>58198.25</v>
      </c>
    </row>
    <row r="67" spans="1:12" ht="51" hidden="1" x14ac:dyDescent="0.3">
      <c r="A67" s="42" t="s">
        <v>30</v>
      </c>
      <c r="B67" s="43" t="s">
        <v>144</v>
      </c>
      <c r="C67" s="43" t="s">
        <v>149</v>
      </c>
      <c r="D67" s="43" t="s">
        <v>145</v>
      </c>
      <c r="E67" s="44" t="s">
        <v>22</v>
      </c>
      <c r="F67" s="49">
        <v>623.75</v>
      </c>
      <c r="G67" s="49"/>
      <c r="H67" s="44" t="s">
        <v>64</v>
      </c>
      <c r="I67" s="46" t="s">
        <v>23</v>
      </c>
      <c r="J67" s="46"/>
      <c r="K67" s="47" t="s">
        <v>17</v>
      </c>
      <c r="L67" s="48">
        <v>58822</v>
      </c>
    </row>
    <row r="68" spans="1:12" ht="51" hidden="1" x14ac:dyDescent="0.3">
      <c r="A68" s="42" t="s">
        <v>30</v>
      </c>
      <c r="B68" s="43" t="s">
        <v>144</v>
      </c>
      <c r="C68" s="43" t="s">
        <v>150</v>
      </c>
      <c r="D68" s="43" t="s">
        <v>145</v>
      </c>
      <c r="E68" s="44" t="s">
        <v>22</v>
      </c>
      <c r="F68" s="45">
        <v>3314.17</v>
      </c>
      <c r="G68" s="45"/>
      <c r="H68" s="44" t="s">
        <v>64</v>
      </c>
      <c r="I68" s="46" t="s">
        <v>23</v>
      </c>
      <c r="J68" s="46"/>
      <c r="K68" s="47" t="s">
        <v>17</v>
      </c>
      <c r="L68" s="48">
        <v>62136.17</v>
      </c>
    </row>
    <row r="69" spans="1:12" ht="51" hidden="1" x14ac:dyDescent="0.3">
      <c r="A69" s="42" t="s">
        <v>30</v>
      </c>
      <c r="B69" s="43" t="s">
        <v>144</v>
      </c>
      <c r="C69" s="43" t="s">
        <v>151</v>
      </c>
      <c r="D69" s="43" t="s">
        <v>145</v>
      </c>
      <c r="E69" s="44" t="s">
        <v>22</v>
      </c>
      <c r="F69" s="49">
        <v>247.17</v>
      </c>
      <c r="G69" s="49"/>
      <c r="H69" s="44" t="s">
        <v>64</v>
      </c>
      <c r="I69" s="46" t="s">
        <v>23</v>
      </c>
      <c r="J69" s="46"/>
      <c r="K69" s="47" t="s">
        <v>17</v>
      </c>
      <c r="L69" s="48">
        <v>62383.34</v>
      </c>
    </row>
    <row r="70" spans="1:12" ht="51" hidden="1" x14ac:dyDescent="0.3">
      <c r="A70" s="42" t="s">
        <v>30</v>
      </c>
      <c r="B70" s="43" t="s">
        <v>144</v>
      </c>
      <c r="C70" s="43" t="s">
        <v>152</v>
      </c>
      <c r="D70" s="43" t="s">
        <v>145</v>
      </c>
      <c r="E70" s="44" t="s">
        <v>22</v>
      </c>
      <c r="F70" s="49">
        <v>948.79</v>
      </c>
      <c r="G70" s="49"/>
      <c r="H70" s="44" t="s">
        <v>64</v>
      </c>
      <c r="I70" s="46" t="s">
        <v>23</v>
      </c>
      <c r="J70" s="46"/>
      <c r="K70" s="47" t="s">
        <v>17</v>
      </c>
      <c r="L70" s="48">
        <v>63332.13</v>
      </c>
    </row>
    <row r="71" spans="1:12" ht="51" hidden="1" x14ac:dyDescent="0.3">
      <c r="A71" s="42" t="s">
        <v>30</v>
      </c>
      <c r="B71" s="43" t="s">
        <v>144</v>
      </c>
      <c r="C71" s="43" t="s">
        <v>153</v>
      </c>
      <c r="D71" s="43" t="s">
        <v>145</v>
      </c>
      <c r="E71" s="44" t="s">
        <v>22</v>
      </c>
      <c r="F71" s="49">
        <v>262.75</v>
      </c>
      <c r="G71" s="49"/>
      <c r="H71" s="44" t="s">
        <v>64</v>
      </c>
      <c r="I71" s="46" t="s">
        <v>23</v>
      </c>
      <c r="J71" s="46"/>
      <c r="K71" s="47" t="s">
        <v>17</v>
      </c>
      <c r="L71" s="48">
        <v>63594.879999999997</v>
      </c>
    </row>
    <row r="72" spans="1:12" ht="51" hidden="1" x14ac:dyDescent="0.3">
      <c r="A72" s="42" t="s">
        <v>30</v>
      </c>
      <c r="B72" s="43" t="s">
        <v>144</v>
      </c>
      <c r="C72" s="43" t="s">
        <v>154</v>
      </c>
      <c r="D72" s="43" t="s">
        <v>145</v>
      </c>
      <c r="E72" s="44" t="s">
        <v>22</v>
      </c>
      <c r="F72" s="49">
        <v>465.71</v>
      </c>
      <c r="G72" s="49"/>
      <c r="H72" s="44" t="s">
        <v>64</v>
      </c>
      <c r="I72" s="46" t="s">
        <v>23</v>
      </c>
      <c r="J72" s="46"/>
      <c r="K72" s="47" t="s">
        <v>17</v>
      </c>
      <c r="L72" s="48">
        <v>64060.59</v>
      </c>
    </row>
    <row r="73" spans="1:12" ht="51" hidden="1" x14ac:dyDescent="0.3">
      <c r="A73" s="42" t="s">
        <v>30</v>
      </c>
      <c r="B73" s="43" t="s">
        <v>144</v>
      </c>
      <c r="C73" s="43" t="s">
        <v>155</v>
      </c>
      <c r="D73" s="43" t="s">
        <v>145</v>
      </c>
      <c r="E73" s="44" t="s">
        <v>22</v>
      </c>
      <c r="F73" s="49">
        <v>242.15</v>
      </c>
      <c r="G73" s="49"/>
      <c r="H73" s="44" t="s">
        <v>64</v>
      </c>
      <c r="I73" s="46" t="s">
        <v>23</v>
      </c>
      <c r="J73" s="46"/>
      <c r="K73" s="47" t="s">
        <v>17</v>
      </c>
      <c r="L73" s="48">
        <v>64302.74</v>
      </c>
    </row>
    <row r="74" spans="1:12" ht="51" hidden="1" x14ac:dyDescent="0.3">
      <c r="A74" s="42" t="s">
        <v>30</v>
      </c>
      <c r="B74" s="43" t="s">
        <v>144</v>
      </c>
      <c r="C74" s="43" t="s">
        <v>156</v>
      </c>
      <c r="D74" s="43" t="s">
        <v>145</v>
      </c>
      <c r="E74" s="44" t="s">
        <v>22</v>
      </c>
      <c r="F74" s="49">
        <v>195.32</v>
      </c>
      <c r="G74" s="49"/>
      <c r="H74" s="44" t="s">
        <v>64</v>
      </c>
      <c r="I74" s="46" t="s">
        <v>23</v>
      </c>
      <c r="J74" s="46"/>
      <c r="K74" s="47" t="s">
        <v>17</v>
      </c>
      <c r="L74" s="48">
        <v>64498.06</v>
      </c>
    </row>
    <row r="75" spans="1:12" ht="51" hidden="1" x14ac:dyDescent="0.3">
      <c r="A75" s="42" t="s">
        <v>30</v>
      </c>
      <c r="B75" s="43" t="s">
        <v>144</v>
      </c>
      <c r="C75" s="43" t="s">
        <v>157</v>
      </c>
      <c r="D75" s="43" t="s">
        <v>145</v>
      </c>
      <c r="E75" s="44" t="s">
        <v>22</v>
      </c>
      <c r="F75" s="49">
        <v>280.83</v>
      </c>
      <c r="G75" s="49"/>
      <c r="H75" s="44" t="s">
        <v>64</v>
      </c>
      <c r="I75" s="46" t="s">
        <v>23</v>
      </c>
      <c r="J75" s="46"/>
      <c r="K75" s="47" t="s">
        <v>17</v>
      </c>
      <c r="L75" s="48">
        <v>64778.89</v>
      </c>
    </row>
    <row r="76" spans="1:12" ht="51" hidden="1" x14ac:dyDescent="0.3">
      <c r="A76" s="42" t="s">
        <v>30</v>
      </c>
      <c r="B76" s="43" t="s">
        <v>144</v>
      </c>
      <c r="C76" s="43" t="s">
        <v>158</v>
      </c>
      <c r="D76" s="43" t="s">
        <v>145</v>
      </c>
      <c r="E76" s="44" t="s">
        <v>22</v>
      </c>
      <c r="F76" s="49">
        <v>194.85</v>
      </c>
      <c r="G76" s="49"/>
      <c r="H76" s="44" t="s">
        <v>64</v>
      </c>
      <c r="I76" s="46" t="s">
        <v>23</v>
      </c>
      <c r="J76" s="46"/>
      <c r="K76" s="47" t="s">
        <v>17</v>
      </c>
      <c r="L76" s="48">
        <v>64973.74</v>
      </c>
    </row>
    <row r="77" spans="1:12" ht="51" hidden="1" x14ac:dyDescent="0.3">
      <c r="A77" s="42" t="s">
        <v>30</v>
      </c>
      <c r="B77" s="43" t="s">
        <v>144</v>
      </c>
      <c r="C77" s="43" t="s">
        <v>159</v>
      </c>
      <c r="D77" s="43" t="s">
        <v>145</v>
      </c>
      <c r="E77" s="44" t="s">
        <v>22</v>
      </c>
      <c r="F77" s="49">
        <v>277.58</v>
      </c>
      <c r="G77" s="49"/>
      <c r="H77" s="44" t="s">
        <v>64</v>
      </c>
      <c r="I77" s="46" t="s">
        <v>23</v>
      </c>
      <c r="J77" s="46"/>
      <c r="K77" s="47" t="s">
        <v>17</v>
      </c>
      <c r="L77" s="48">
        <v>65251.32</v>
      </c>
    </row>
    <row r="78" spans="1:12" ht="51" hidden="1" x14ac:dyDescent="0.3">
      <c r="A78" s="42" t="s">
        <v>30</v>
      </c>
      <c r="B78" s="43" t="s">
        <v>144</v>
      </c>
      <c r="C78" s="43" t="s">
        <v>160</v>
      </c>
      <c r="D78" s="43" t="s">
        <v>145</v>
      </c>
      <c r="E78" s="44" t="s">
        <v>22</v>
      </c>
      <c r="F78" s="49">
        <v>282.75</v>
      </c>
      <c r="G78" s="49"/>
      <c r="H78" s="44" t="s">
        <v>64</v>
      </c>
      <c r="I78" s="46" t="s">
        <v>23</v>
      </c>
      <c r="J78" s="46"/>
      <c r="K78" s="47" t="s">
        <v>17</v>
      </c>
      <c r="L78" s="48">
        <v>65534.07</v>
      </c>
    </row>
    <row r="79" spans="1:12" ht="51" hidden="1" x14ac:dyDescent="0.3">
      <c r="A79" s="42" t="s">
        <v>30</v>
      </c>
      <c r="B79" s="43" t="s">
        <v>144</v>
      </c>
      <c r="C79" s="43" t="s">
        <v>161</v>
      </c>
      <c r="D79" s="43" t="s">
        <v>145</v>
      </c>
      <c r="E79" s="44" t="s">
        <v>22</v>
      </c>
      <c r="F79" s="49">
        <v>200.54</v>
      </c>
      <c r="G79" s="49"/>
      <c r="H79" s="44" t="s">
        <v>64</v>
      </c>
      <c r="I79" s="46" t="s">
        <v>23</v>
      </c>
      <c r="J79" s="46"/>
      <c r="K79" s="47" t="s">
        <v>17</v>
      </c>
      <c r="L79" s="48">
        <v>65734.61</v>
      </c>
    </row>
    <row r="80" spans="1:12" ht="51" hidden="1" x14ac:dyDescent="0.3">
      <c r="A80" s="42" t="s">
        <v>30</v>
      </c>
      <c r="B80" s="43" t="s">
        <v>162</v>
      </c>
      <c r="C80" s="43" t="s">
        <v>163</v>
      </c>
      <c r="D80" s="43" t="s">
        <v>141</v>
      </c>
      <c r="E80" s="44" t="s">
        <v>22</v>
      </c>
      <c r="F80" s="50" t="s">
        <v>23</v>
      </c>
      <c r="G80" s="50"/>
      <c r="H80" s="44" t="s">
        <v>22</v>
      </c>
      <c r="I80" s="51">
        <v>3282.67</v>
      </c>
      <c r="J80" s="51"/>
      <c r="K80" s="47" t="s">
        <v>17</v>
      </c>
      <c r="L80" s="48">
        <v>62451.94</v>
      </c>
    </row>
    <row r="81" spans="1:12" ht="51" hidden="1" x14ac:dyDescent="0.3">
      <c r="A81" s="42" t="s">
        <v>30</v>
      </c>
      <c r="B81" s="43" t="s">
        <v>162</v>
      </c>
      <c r="C81" s="43" t="s">
        <v>164</v>
      </c>
      <c r="D81" s="43" t="s">
        <v>143</v>
      </c>
      <c r="E81" s="44" t="s">
        <v>22</v>
      </c>
      <c r="F81" s="50" t="s">
        <v>23</v>
      </c>
      <c r="G81" s="50"/>
      <c r="H81" s="44" t="s">
        <v>22</v>
      </c>
      <c r="I81" s="52">
        <v>354.17</v>
      </c>
      <c r="J81" s="52"/>
      <c r="K81" s="47" t="s">
        <v>17</v>
      </c>
      <c r="L81" s="48">
        <v>62097.77</v>
      </c>
    </row>
    <row r="82" spans="1:12" ht="61.2" hidden="1" x14ac:dyDescent="0.3">
      <c r="A82" s="42" t="s">
        <v>30</v>
      </c>
      <c r="B82" s="43" t="s">
        <v>31</v>
      </c>
      <c r="C82" s="43" t="s">
        <v>32</v>
      </c>
      <c r="D82" s="43" t="s">
        <v>33</v>
      </c>
      <c r="E82" s="44" t="s">
        <v>22</v>
      </c>
      <c r="F82" s="50" t="s">
        <v>23</v>
      </c>
      <c r="G82" s="50"/>
      <c r="H82" s="44" t="s">
        <v>22</v>
      </c>
      <c r="I82" s="51">
        <v>1275.98</v>
      </c>
      <c r="J82" s="51"/>
      <c r="K82" s="47" t="s">
        <v>17</v>
      </c>
      <c r="L82" s="48">
        <v>60821.79</v>
      </c>
    </row>
    <row r="83" spans="1:12" ht="51" hidden="1" x14ac:dyDescent="0.3">
      <c r="A83" s="42" t="s">
        <v>30</v>
      </c>
      <c r="B83" s="43" t="s">
        <v>165</v>
      </c>
      <c r="C83" s="43" t="s">
        <v>166</v>
      </c>
      <c r="D83" s="43" t="s">
        <v>146</v>
      </c>
      <c r="E83" s="44" t="s">
        <v>22</v>
      </c>
      <c r="F83" s="50" t="s">
        <v>23</v>
      </c>
      <c r="G83" s="50"/>
      <c r="H83" s="44" t="s">
        <v>22</v>
      </c>
      <c r="I83" s="52">
        <v>154.33000000000001</v>
      </c>
      <c r="J83" s="52"/>
      <c r="K83" s="47" t="s">
        <v>17</v>
      </c>
      <c r="L83" s="48">
        <v>60667.46</v>
      </c>
    </row>
    <row r="84" spans="1:12" ht="51" hidden="1" x14ac:dyDescent="0.3">
      <c r="A84" s="42" t="s">
        <v>30</v>
      </c>
      <c r="B84" s="43" t="s">
        <v>165</v>
      </c>
      <c r="C84" s="43" t="s">
        <v>167</v>
      </c>
      <c r="D84" s="43" t="s">
        <v>147</v>
      </c>
      <c r="E84" s="44" t="s">
        <v>22</v>
      </c>
      <c r="F84" s="50" t="s">
        <v>23</v>
      </c>
      <c r="G84" s="50"/>
      <c r="H84" s="44" t="s">
        <v>22</v>
      </c>
      <c r="I84" s="52">
        <v>319.58</v>
      </c>
      <c r="J84" s="52"/>
      <c r="K84" s="47" t="s">
        <v>17</v>
      </c>
      <c r="L84" s="48">
        <v>60347.88</v>
      </c>
    </row>
    <row r="85" spans="1:12" ht="51" hidden="1" x14ac:dyDescent="0.3">
      <c r="A85" s="42" t="s">
        <v>30</v>
      </c>
      <c r="B85" s="43" t="s">
        <v>165</v>
      </c>
      <c r="C85" s="43" t="s">
        <v>168</v>
      </c>
      <c r="D85" s="43" t="s">
        <v>148</v>
      </c>
      <c r="E85" s="44" t="s">
        <v>22</v>
      </c>
      <c r="F85" s="50" t="s">
        <v>23</v>
      </c>
      <c r="G85" s="50"/>
      <c r="H85" s="44" t="s">
        <v>22</v>
      </c>
      <c r="I85" s="52">
        <v>280.5</v>
      </c>
      <c r="J85" s="52"/>
      <c r="K85" s="47" t="s">
        <v>17</v>
      </c>
      <c r="L85" s="48">
        <v>60067.38</v>
      </c>
    </row>
    <row r="86" spans="1:12" ht="51" hidden="1" x14ac:dyDescent="0.3">
      <c r="A86" s="42" t="s">
        <v>30</v>
      </c>
      <c r="B86" s="43" t="s">
        <v>165</v>
      </c>
      <c r="C86" s="43" t="s">
        <v>169</v>
      </c>
      <c r="D86" s="43" t="s">
        <v>149</v>
      </c>
      <c r="E86" s="44" t="s">
        <v>22</v>
      </c>
      <c r="F86" s="50" t="s">
        <v>23</v>
      </c>
      <c r="G86" s="50"/>
      <c r="H86" s="44" t="s">
        <v>22</v>
      </c>
      <c r="I86" s="52">
        <v>623.75</v>
      </c>
      <c r="J86" s="52"/>
      <c r="K86" s="47" t="s">
        <v>17</v>
      </c>
      <c r="L86" s="48">
        <v>59443.63</v>
      </c>
    </row>
    <row r="87" spans="1:12" ht="51" hidden="1" x14ac:dyDescent="0.3">
      <c r="A87" s="42" t="s">
        <v>30</v>
      </c>
      <c r="B87" s="43" t="s">
        <v>165</v>
      </c>
      <c r="C87" s="43" t="s">
        <v>170</v>
      </c>
      <c r="D87" s="43" t="s">
        <v>150</v>
      </c>
      <c r="E87" s="44" t="s">
        <v>22</v>
      </c>
      <c r="F87" s="50" t="s">
        <v>23</v>
      </c>
      <c r="G87" s="50"/>
      <c r="H87" s="44" t="s">
        <v>22</v>
      </c>
      <c r="I87" s="51">
        <v>3314.17</v>
      </c>
      <c r="J87" s="51"/>
      <c r="K87" s="47" t="s">
        <v>17</v>
      </c>
      <c r="L87" s="48">
        <v>56129.46</v>
      </c>
    </row>
    <row r="88" spans="1:12" ht="51" hidden="1" x14ac:dyDescent="0.3">
      <c r="A88" s="42" t="s">
        <v>30</v>
      </c>
      <c r="B88" s="43" t="s">
        <v>165</v>
      </c>
      <c r="C88" s="43" t="s">
        <v>171</v>
      </c>
      <c r="D88" s="43" t="s">
        <v>151</v>
      </c>
      <c r="E88" s="44" t="s">
        <v>22</v>
      </c>
      <c r="F88" s="50" t="s">
        <v>23</v>
      </c>
      <c r="G88" s="50"/>
      <c r="H88" s="44" t="s">
        <v>22</v>
      </c>
      <c r="I88" s="52">
        <v>247.17</v>
      </c>
      <c r="J88" s="52"/>
      <c r="K88" s="47" t="s">
        <v>17</v>
      </c>
      <c r="L88" s="48">
        <v>55882.29</v>
      </c>
    </row>
    <row r="89" spans="1:12" ht="51" hidden="1" x14ac:dyDescent="0.3">
      <c r="A89" s="42" t="s">
        <v>30</v>
      </c>
      <c r="B89" s="43" t="s">
        <v>165</v>
      </c>
      <c r="C89" s="43" t="s">
        <v>172</v>
      </c>
      <c r="D89" s="43" t="s">
        <v>158</v>
      </c>
      <c r="E89" s="44" t="s">
        <v>22</v>
      </c>
      <c r="F89" s="50" t="s">
        <v>23</v>
      </c>
      <c r="G89" s="50"/>
      <c r="H89" s="44" t="s">
        <v>22</v>
      </c>
      <c r="I89" s="52">
        <v>194.85</v>
      </c>
      <c r="J89" s="52"/>
      <c r="K89" s="47" t="s">
        <v>17</v>
      </c>
      <c r="L89" s="48">
        <v>55687.44</v>
      </c>
    </row>
    <row r="90" spans="1:12" ht="51" hidden="1" x14ac:dyDescent="0.3">
      <c r="A90" s="42" t="s">
        <v>30</v>
      </c>
      <c r="B90" s="43" t="s">
        <v>165</v>
      </c>
      <c r="C90" s="43" t="s">
        <v>173</v>
      </c>
      <c r="D90" s="43" t="s">
        <v>159</v>
      </c>
      <c r="E90" s="44" t="s">
        <v>22</v>
      </c>
      <c r="F90" s="50" t="s">
        <v>23</v>
      </c>
      <c r="G90" s="50"/>
      <c r="H90" s="44" t="s">
        <v>22</v>
      </c>
      <c r="I90" s="52">
        <v>277.58</v>
      </c>
      <c r="J90" s="52"/>
      <c r="K90" s="47" t="s">
        <v>17</v>
      </c>
      <c r="L90" s="48">
        <v>55409.86</v>
      </c>
    </row>
    <row r="91" spans="1:12" ht="51" hidden="1" x14ac:dyDescent="0.3">
      <c r="A91" s="42" t="s">
        <v>30</v>
      </c>
      <c r="B91" s="43" t="s">
        <v>165</v>
      </c>
      <c r="C91" s="43" t="s">
        <v>174</v>
      </c>
      <c r="D91" s="43" t="s">
        <v>160</v>
      </c>
      <c r="E91" s="44" t="s">
        <v>22</v>
      </c>
      <c r="F91" s="50" t="s">
        <v>23</v>
      </c>
      <c r="G91" s="50"/>
      <c r="H91" s="44" t="s">
        <v>22</v>
      </c>
      <c r="I91" s="52">
        <v>282.75</v>
      </c>
      <c r="J91" s="52"/>
      <c r="K91" s="47" t="s">
        <v>17</v>
      </c>
      <c r="L91" s="48">
        <v>55127.11</v>
      </c>
    </row>
    <row r="92" spans="1:12" ht="51" hidden="1" x14ac:dyDescent="0.3">
      <c r="A92" s="42" t="s">
        <v>30</v>
      </c>
      <c r="B92" s="43" t="s">
        <v>175</v>
      </c>
      <c r="C92" s="43" t="s">
        <v>176</v>
      </c>
      <c r="D92" s="43" t="s">
        <v>161</v>
      </c>
      <c r="E92" s="44" t="s">
        <v>22</v>
      </c>
      <c r="F92" s="50" t="s">
        <v>23</v>
      </c>
      <c r="G92" s="50"/>
      <c r="H92" s="44" t="s">
        <v>22</v>
      </c>
      <c r="I92" s="52">
        <v>200.54</v>
      </c>
      <c r="J92" s="52"/>
      <c r="K92" s="47" t="s">
        <v>17</v>
      </c>
      <c r="L92" s="48">
        <v>54926.57</v>
      </c>
    </row>
    <row r="93" spans="1:12" ht="51" hidden="1" x14ac:dyDescent="0.3">
      <c r="A93" s="42" t="s">
        <v>177</v>
      </c>
      <c r="B93" s="43" t="s">
        <v>178</v>
      </c>
      <c r="C93" s="43" t="s">
        <v>179</v>
      </c>
      <c r="D93" s="43" t="s">
        <v>180</v>
      </c>
      <c r="E93" s="44" t="s">
        <v>22</v>
      </c>
      <c r="F93" s="49">
        <v>165</v>
      </c>
      <c r="G93" s="49"/>
      <c r="H93" s="44" t="s">
        <v>64</v>
      </c>
      <c r="I93" s="46" t="s">
        <v>23</v>
      </c>
      <c r="J93" s="46"/>
      <c r="K93" s="47" t="s">
        <v>17</v>
      </c>
      <c r="L93" s="48">
        <v>55091.57</v>
      </c>
    </row>
    <row r="94" spans="1:12" ht="51" hidden="1" x14ac:dyDescent="0.3">
      <c r="A94" s="42" t="s">
        <v>177</v>
      </c>
      <c r="B94" s="43" t="s">
        <v>181</v>
      </c>
      <c r="C94" s="43" t="s">
        <v>182</v>
      </c>
      <c r="D94" s="43" t="s">
        <v>183</v>
      </c>
      <c r="E94" s="44" t="s">
        <v>22</v>
      </c>
      <c r="F94" s="45">
        <v>1483.17</v>
      </c>
      <c r="G94" s="45"/>
      <c r="H94" s="44" t="s">
        <v>64</v>
      </c>
      <c r="I94" s="46" t="s">
        <v>23</v>
      </c>
      <c r="J94" s="46"/>
      <c r="K94" s="47" t="s">
        <v>17</v>
      </c>
      <c r="L94" s="48">
        <v>56574.74</v>
      </c>
    </row>
    <row r="95" spans="1:12" ht="61.2" hidden="1" x14ac:dyDescent="0.3">
      <c r="A95" s="42" t="s">
        <v>177</v>
      </c>
      <c r="B95" s="43" t="s">
        <v>184</v>
      </c>
      <c r="C95" s="43" t="s">
        <v>185</v>
      </c>
      <c r="D95" s="43" t="s">
        <v>183</v>
      </c>
      <c r="E95" s="44" t="s">
        <v>22</v>
      </c>
      <c r="F95" s="45">
        <v>1576.74</v>
      </c>
      <c r="G95" s="45"/>
      <c r="H95" s="44" t="s">
        <v>64</v>
      </c>
      <c r="I95" s="46" t="s">
        <v>23</v>
      </c>
      <c r="J95" s="46"/>
      <c r="K95" s="47" t="s">
        <v>17</v>
      </c>
      <c r="L95" s="48">
        <v>58151.48</v>
      </c>
    </row>
    <row r="96" spans="1:12" ht="61.2" hidden="1" x14ac:dyDescent="0.3">
      <c r="A96" s="42" t="s">
        <v>186</v>
      </c>
      <c r="B96" s="43" t="s">
        <v>187</v>
      </c>
      <c r="C96" s="43" t="s">
        <v>188</v>
      </c>
      <c r="D96" s="43" t="s">
        <v>189</v>
      </c>
      <c r="E96" s="44" t="s">
        <v>22</v>
      </c>
      <c r="F96" s="49">
        <v>499</v>
      </c>
      <c r="G96" s="49"/>
      <c r="H96" s="44" t="s">
        <v>64</v>
      </c>
      <c r="I96" s="46" t="s">
        <v>23</v>
      </c>
      <c r="J96" s="46"/>
      <c r="K96" s="47" t="s">
        <v>17</v>
      </c>
      <c r="L96" s="48">
        <v>58650.48</v>
      </c>
    </row>
    <row r="97" spans="1:12" ht="51" hidden="1" x14ac:dyDescent="0.3">
      <c r="A97" s="42" t="s">
        <v>34</v>
      </c>
      <c r="B97" s="43" t="s">
        <v>190</v>
      </c>
      <c r="C97" s="43" t="s">
        <v>37</v>
      </c>
      <c r="D97" s="43" t="s">
        <v>191</v>
      </c>
      <c r="E97" s="44" t="s">
        <v>22</v>
      </c>
      <c r="F97" s="45">
        <v>1117.5</v>
      </c>
      <c r="G97" s="45"/>
      <c r="H97" s="44" t="s">
        <v>64</v>
      </c>
      <c r="I97" s="46" t="s">
        <v>23</v>
      </c>
      <c r="J97" s="46"/>
      <c r="K97" s="47" t="s">
        <v>17</v>
      </c>
      <c r="L97" s="48">
        <v>59767.98</v>
      </c>
    </row>
    <row r="98" spans="1:12" ht="51" hidden="1" x14ac:dyDescent="0.3">
      <c r="A98" s="42" t="s">
        <v>34</v>
      </c>
      <c r="B98" s="43" t="s">
        <v>190</v>
      </c>
      <c r="C98" s="43" t="s">
        <v>192</v>
      </c>
      <c r="D98" s="43" t="s">
        <v>191</v>
      </c>
      <c r="E98" s="44" t="s">
        <v>22</v>
      </c>
      <c r="F98" s="49">
        <v>812.5</v>
      </c>
      <c r="G98" s="49"/>
      <c r="H98" s="44" t="s">
        <v>64</v>
      </c>
      <c r="I98" s="46" t="s">
        <v>23</v>
      </c>
      <c r="J98" s="46"/>
      <c r="K98" s="47" t="s">
        <v>17</v>
      </c>
      <c r="L98" s="48">
        <v>60580.480000000003</v>
      </c>
    </row>
    <row r="99" spans="1:12" ht="51" hidden="1" x14ac:dyDescent="0.3">
      <c r="A99" s="42" t="s">
        <v>34</v>
      </c>
      <c r="B99" s="43" t="s">
        <v>190</v>
      </c>
      <c r="C99" s="43" t="s">
        <v>193</v>
      </c>
      <c r="D99" s="43" t="s">
        <v>191</v>
      </c>
      <c r="E99" s="44" t="s">
        <v>22</v>
      </c>
      <c r="F99" s="49">
        <v>995</v>
      </c>
      <c r="G99" s="49"/>
      <c r="H99" s="44" t="s">
        <v>64</v>
      </c>
      <c r="I99" s="46" t="s">
        <v>23</v>
      </c>
      <c r="J99" s="46"/>
      <c r="K99" s="47" t="s">
        <v>17</v>
      </c>
      <c r="L99" s="48">
        <v>61575.48</v>
      </c>
    </row>
    <row r="100" spans="1:12" ht="61.2" hidden="1" x14ac:dyDescent="0.3">
      <c r="A100" s="42" t="s">
        <v>34</v>
      </c>
      <c r="B100" s="43" t="s">
        <v>190</v>
      </c>
      <c r="C100" s="43" t="s">
        <v>194</v>
      </c>
      <c r="D100" s="43" t="s">
        <v>191</v>
      </c>
      <c r="E100" s="44" t="s">
        <v>22</v>
      </c>
      <c r="F100" s="45">
        <v>3348</v>
      </c>
      <c r="G100" s="45"/>
      <c r="H100" s="44" t="s">
        <v>64</v>
      </c>
      <c r="I100" s="46" t="s">
        <v>23</v>
      </c>
      <c r="J100" s="46"/>
      <c r="K100" s="47" t="s">
        <v>17</v>
      </c>
      <c r="L100" s="48">
        <v>64923.48</v>
      </c>
    </row>
    <row r="101" spans="1:12" ht="51" hidden="1" x14ac:dyDescent="0.3">
      <c r="A101" s="42" t="s">
        <v>34</v>
      </c>
      <c r="B101" s="43" t="s">
        <v>190</v>
      </c>
      <c r="C101" s="43" t="s">
        <v>195</v>
      </c>
      <c r="D101" s="43" t="s">
        <v>191</v>
      </c>
      <c r="E101" s="44" t="s">
        <v>22</v>
      </c>
      <c r="F101" s="49">
        <v>806.25</v>
      </c>
      <c r="G101" s="49"/>
      <c r="H101" s="44" t="s">
        <v>64</v>
      </c>
      <c r="I101" s="46" t="s">
        <v>23</v>
      </c>
      <c r="J101" s="46"/>
      <c r="K101" s="47" t="s">
        <v>17</v>
      </c>
      <c r="L101" s="48">
        <v>65729.73</v>
      </c>
    </row>
    <row r="102" spans="1:12" ht="61.2" hidden="1" x14ac:dyDescent="0.3">
      <c r="A102" s="42" t="s">
        <v>34</v>
      </c>
      <c r="B102" s="43" t="s">
        <v>190</v>
      </c>
      <c r="C102" s="43" t="s">
        <v>196</v>
      </c>
      <c r="D102" s="43" t="s">
        <v>191</v>
      </c>
      <c r="E102" s="44" t="s">
        <v>22</v>
      </c>
      <c r="F102" s="49">
        <v>175.9</v>
      </c>
      <c r="G102" s="49"/>
      <c r="H102" s="44" t="s">
        <v>64</v>
      </c>
      <c r="I102" s="46" t="s">
        <v>23</v>
      </c>
      <c r="J102" s="46"/>
      <c r="K102" s="47" t="s">
        <v>17</v>
      </c>
      <c r="L102" s="48">
        <v>65905.63</v>
      </c>
    </row>
    <row r="103" spans="1:12" ht="51" hidden="1" x14ac:dyDescent="0.3">
      <c r="A103" s="42" t="s">
        <v>34</v>
      </c>
      <c r="B103" s="43" t="s">
        <v>190</v>
      </c>
      <c r="C103" s="43" t="s">
        <v>197</v>
      </c>
      <c r="D103" s="43" t="s">
        <v>191</v>
      </c>
      <c r="E103" s="44" t="s">
        <v>22</v>
      </c>
      <c r="F103" s="49">
        <v>736.5</v>
      </c>
      <c r="G103" s="49"/>
      <c r="H103" s="44" t="s">
        <v>64</v>
      </c>
      <c r="I103" s="46" t="s">
        <v>23</v>
      </c>
      <c r="J103" s="46"/>
      <c r="K103" s="47" t="s">
        <v>17</v>
      </c>
      <c r="L103" s="48">
        <v>66642.13</v>
      </c>
    </row>
    <row r="104" spans="1:12" ht="51" hidden="1" x14ac:dyDescent="0.3">
      <c r="A104" s="42" t="s">
        <v>34</v>
      </c>
      <c r="B104" s="43" t="s">
        <v>190</v>
      </c>
      <c r="C104" s="43" t="s">
        <v>198</v>
      </c>
      <c r="D104" s="43" t="s">
        <v>191</v>
      </c>
      <c r="E104" s="44" t="s">
        <v>22</v>
      </c>
      <c r="F104" s="45">
        <v>5640</v>
      </c>
      <c r="G104" s="45"/>
      <c r="H104" s="44" t="s">
        <v>64</v>
      </c>
      <c r="I104" s="46" t="s">
        <v>23</v>
      </c>
      <c r="J104" s="46"/>
      <c r="K104" s="47" t="s">
        <v>17</v>
      </c>
      <c r="L104" s="48">
        <v>72282.13</v>
      </c>
    </row>
    <row r="105" spans="1:12" ht="51" hidden="1" x14ac:dyDescent="0.3">
      <c r="A105" s="42" t="s">
        <v>34</v>
      </c>
      <c r="B105" s="43" t="s">
        <v>190</v>
      </c>
      <c r="C105" s="43" t="s">
        <v>199</v>
      </c>
      <c r="D105" s="43" t="s">
        <v>191</v>
      </c>
      <c r="E105" s="44" t="s">
        <v>22</v>
      </c>
      <c r="F105" s="45">
        <v>1545</v>
      </c>
      <c r="G105" s="45"/>
      <c r="H105" s="44" t="s">
        <v>64</v>
      </c>
      <c r="I105" s="46" t="s">
        <v>23</v>
      </c>
      <c r="J105" s="46"/>
      <c r="K105" s="47" t="s">
        <v>17</v>
      </c>
      <c r="L105" s="48">
        <v>73827.13</v>
      </c>
    </row>
    <row r="106" spans="1:12" ht="51" hidden="1" x14ac:dyDescent="0.3">
      <c r="A106" s="42" t="s">
        <v>34</v>
      </c>
      <c r="B106" s="43" t="s">
        <v>190</v>
      </c>
      <c r="C106" s="43" t="s">
        <v>200</v>
      </c>
      <c r="D106" s="43" t="s">
        <v>191</v>
      </c>
      <c r="E106" s="44" t="s">
        <v>22</v>
      </c>
      <c r="F106" s="45">
        <v>1178.0999999999999</v>
      </c>
      <c r="G106" s="45"/>
      <c r="H106" s="44" t="s">
        <v>64</v>
      </c>
      <c r="I106" s="46" t="s">
        <v>23</v>
      </c>
      <c r="J106" s="46"/>
      <c r="K106" s="47" t="s">
        <v>17</v>
      </c>
      <c r="L106" s="48">
        <v>75005.23</v>
      </c>
    </row>
    <row r="107" spans="1:12" ht="51" hidden="1" x14ac:dyDescent="0.3">
      <c r="A107" s="42" t="s">
        <v>34</v>
      </c>
      <c r="B107" s="43" t="s">
        <v>190</v>
      </c>
      <c r="C107" s="43" t="s">
        <v>201</v>
      </c>
      <c r="D107" s="43" t="s">
        <v>191</v>
      </c>
      <c r="E107" s="44" t="s">
        <v>22</v>
      </c>
      <c r="F107" s="49">
        <v>182.5</v>
      </c>
      <c r="G107" s="49"/>
      <c r="H107" s="44" t="s">
        <v>64</v>
      </c>
      <c r="I107" s="46" t="s">
        <v>23</v>
      </c>
      <c r="J107" s="46"/>
      <c r="K107" s="47" t="s">
        <v>17</v>
      </c>
      <c r="L107" s="48">
        <v>75187.73</v>
      </c>
    </row>
    <row r="108" spans="1:12" ht="51" hidden="1" x14ac:dyDescent="0.3">
      <c r="A108" s="42" t="s">
        <v>34</v>
      </c>
      <c r="B108" s="43" t="s">
        <v>190</v>
      </c>
      <c r="C108" s="43" t="s">
        <v>202</v>
      </c>
      <c r="D108" s="43" t="s">
        <v>191</v>
      </c>
      <c r="E108" s="44" t="s">
        <v>22</v>
      </c>
      <c r="F108" s="45">
        <v>1289.5</v>
      </c>
      <c r="G108" s="45"/>
      <c r="H108" s="44" t="s">
        <v>64</v>
      </c>
      <c r="I108" s="46" t="s">
        <v>23</v>
      </c>
      <c r="J108" s="46"/>
      <c r="K108" s="47" t="s">
        <v>17</v>
      </c>
      <c r="L108" s="48">
        <v>76477.23</v>
      </c>
    </row>
    <row r="109" spans="1:12" ht="61.2" hidden="1" x14ac:dyDescent="0.3">
      <c r="A109" s="42" t="s">
        <v>34</v>
      </c>
      <c r="B109" s="43" t="s">
        <v>190</v>
      </c>
      <c r="C109" s="43" t="s">
        <v>39</v>
      </c>
      <c r="D109" s="43" t="s">
        <v>191</v>
      </c>
      <c r="E109" s="44" t="s">
        <v>22</v>
      </c>
      <c r="F109" s="45">
        <v>1470</v>
      </c>
      <c r="G109" s="45"/>
      <c r="H109" s="44" t="s">
        <v>64</v>
      </c>
      <c r="I109" s="46" t="s">
        <v>23</v>
      </c>
      <c r="J109" s="46"/>
      <c r="K109" s="47" t="s">
        <v>17</v>
      </c>
      <c r="L109" s="48">
        <v>77947.23</v>
      </c>
    </row>
    <row r="110" spans="1:12" ht="51" hidden="1" x14ac:dyDescent="0.3">
      <c r="A110" s="42" t="s">
        <v>34</v>
      </c>
      <c r="B110" s="43" t="s">
        <v>190</v>
      </c>
      <c r="C110" s="43" t="s">
        <v>203</v>
      </c>
      <c r="D110" s="43" t="s">
        <v>191</v>
      </c>
      <c r="E110" s="44" t="s">
        <v>22</v>
      </c>
      <c r="F110" s="49">
        <v>572.25</v>
      </c>
      <c r="G110" s="49"/>
      <c r="H110" s="44" t="s">
        <v>64</v>
      </c>
      <c r="I110" s="46" t="s">
        <v>23</v>
      </c>
      <c r="J110" s="46"/>
      <c r="K110" s="47" t="s">
        <v>17</v>
      </c>
      <c r="L110" s="48">
        <v>78519.48</v>
      </c>
    </row>
    <row r="111" spans="1:12" ht="61.2" hidden="1" x14ac:dyDescent="0.3">
      <c r="A111" s="42" t="s">
        <v>34</v>
      </c>
      <c r="B111" s="43" t="s">
        <v>190</v>
      </c>
      <c r="C111" s="43" t="s">
        <v>204</v>
      </c>
      <c r="D111" s="43" t="s">
        <v>191</v>
      </c>
      <c r="E111" s="44" t="s">
        <v>22</v>
      </c>
      <c r="F111" s="49">
        <v>497.55</v>
      </c>
      <c r="G111" s="49"/>
      <c r="H111" s="44" t="s">
        <v>64</v>
      </c>
      <c r="I111" s="46" t="s">
        <v>23</v>
      </c>
      <c r="J111" s="46"/>
      <c r="K111" s="47" t="s">
        <v>17</v>
      </c>
      <c r="L111" s="48">
        <v>79017.03</v>
      </c>
    </row>
    <row r="112" spans="1:12" ht="51" hidden="1" x14ac:dyDescent="0.3">
      <c r="A112" s="42" t="s">
        <v>34</v>
      </c>
      <c r="B112" s="43" t="s">
        <v>190</v>
      </c>
      <c r="C112" s="43" t="s">
        <v>205</v>
      </c>
      <c r="D112" s="43" t="s">
        <v>191</v>
      </c>
      <c r="E112" s="44" t="s">
        <v>22</v>
      </c>
      <c r="F112" s="49">
        <v>368.7</v>
      </c>
      <c r="G112" s="49"/>
      <c r="H112" s="44" t="s">
        <v>64</v>
      </c>
      <c r="I112" s="46" t="s">
        <v>23</v>
      </c>
      <c r="J112" s="46"/>
      <c r="K112" s="47" t="s">
        <v>17</v>
      </c>
      <c r="L112" s="48">
        <v>79385.73</v>
      </c>
    </row>
    <row r="113" spans="1:12" ht="61.2" hidden="1" x14ac:dyDescent="0.3">
      <c r="A113" s="42" t="s">
        <v>34</v>
      </c>
      <c r="B113" s="43" t="s">
        <v>190</v>
      </c>
      <c r="C113" s="43" t="s">
        <v>206</v>
      </c>
      <c r="D113" s="43" t="s">
        <v>191</v>
      </c>
      <c r="E113" s="44" t="s">
        <v>22</v>
      </c>
      <c r="F113" s="45">
        <v>1802.8</v>
      </c>
      <c r="G113" s="45"/>
      <c r="H113" s="44" t="s">
        <v>64</v>
      </c>
      <c r="I113" s="46" t="s">
        <v>23</v>
      </c>
      <c r="J113" s="46"/>
      <c r="K113" s="47" t="s">
        <v>17</v>
      </c>
      <c r="L113" s="48">
        <v>81188.53</v>
      </c>
    </row>
    <row r="114" spans="1:12" ht="61.2" hidden="1" x14ac:dyDescent="0.3">
      <c r="A114" s="42" t="s">
        <v>34</v>
      </c>
      <c r="B114" s="43" t="s">
        <v>190</v>
      </c>
      <c r="C114" s="43" t="s">
        <v>207</v>
      </c>
      <c r="D114" s="43" t="s">
        <v>191</v>
      </c>
      <c r="E114" s="44" t="s">
        <v>22</v>
      </c>
      <c r="F114" s="49">
        <v>373.2</v>
      </c>
      <c r="G114" s="49"/>
      <c r="H114" s="44" t="s">
        <v>64</v>
      </c>
      <c r="I114" s="46" t="s">
        <v>23</v>
      </c>
      <c r="J114" s="46"/>
      <c r="K114" s="47" t="s">
        <v>17</v>
      </c>
      <c r="L114" s="48">
        <v>81561.73</v>
      </c>
    </row>
    <row r="115" spans="1:12" ht="71.400000000000006" hidden="1" x14ac:dyDescent="0.3">
      <c r="A115" s="42" t="s">
        <v>34</v>
      </c>
      <c r="B115" s="43" t="s">
        <v>190</v>
      </c>
      <c r="C115" s="43" t="s">
        <v>208</v>
      </c>
      <c r="D115" s="43" t="s">
        <v>191</v>
      </c>
      <c r="E115" s="44" t="s">
        <v>22</v>
      </c>
      <c r="F115" s="49">
        <v>223.5</v>
      </c>
      <c r="G115" s="49"/>
      <c r="H115" s="44" t="s">
        <v>64</v>
      </c>
      <c r="I115" s="46" t="s">
        <v>23</v>
      </c>
      <c r="J115" s="46"/>
      <c r="K115" s="47" t="s">
        <v>17</v>
      </c>
      <c r="L115" s="48">
        <v>81785.23</v>
      </c>
    </row>
    <row r="116" spans="1:12" ht="51" hidden="1" x14ac:dyDescent="0.3">
      <c r="A116" s="42" t="s">
        <v>34</v>
      </c>
      <c r="B116" s="43" t="s">
        <v>190</v>
      </c>
      <c r="C116" s="43" t="s">
        <v>209</v>
      </c>
      <c r="D116" s="43" t="s">
        <v>191</v>
      </c>
      <c r="E116" s="44" t="s">
        <v>22</v>
      </c>
      <c r="F116" s="49">
        <v>50</v>
      </c>
      <c r="G116" s="49"/>
      <c r="H116" s="44" t="s">
        <v>64</v>
      </c>
      <c r="I116" s="46" t="s">
        <v>23</v>
      </c>
      <c r="J116" s="46"/>
      <c r="K116" s="47" t="s">
        <v>17</v>
      </c>
      <c r="L116" s="48">
        <v>81835.23</v>
      </c>
    </row>
    <row r="117" spans="1:12" ht="51" hidden="1" x14ac:dyDescent="0.3">
      <c r="A117" s="42" t="s">
        <v>34</v>
      </c>
      <c r="B117" s="43" t="s">
        <v>190</v>
      </c>
      <c r="C117" s="43" t="s">
        <v>210</v>
      </c>
      <c r="D117" s="43" t="s">
        <v>191</v>
      </c>
      <c r="E117" s="44" t="s">
        <v>22</v>
      </c>
      <c r="F117" s="49">
        <v>196.05</v>
      </c>
      <c r="G117" s="49"/>
      <c r="H117" s="44" t="s">
        <v>64</v>
      </c>
      <c r="I117" s="46" t="s">
        <v>23</v>
      </c>
      <c r="J117" s="46"/>
      <c r="K117" s="47" t="s">
        <v>17</v>
      </c>
      <c r="L117" s="48">
        <v>82031.28</v>
      </c>
    </row>
    <row r="118" spans="1:12" ht="51" hidden="1" x14ac:dyDescent="0.3">
      <c r="A118" s="42" t="s">
        <v>34</v>
      </c>
      <c r="B118" s="43" t="s">
        <v>35</v>
      </c>
      <c r="C118" s="43" t="s">
        <v>36</v>
      </c>
      <c r="D118" s="43" t="s">
        <v>37</v>
      </c>
      <c r="E118" s="44" t="s">
        <v>22</v>
      </c>
      <c r="F118" s="50" t="s">
        <v>23</v>
      </c>
      <c r="G118" s="50"/>
      <c r="H118" s="44" t="s">
        <v>22</v>
      </c>
      <c r="I118" s="52">
        <v>186.25</v>
      </c>
      <c r="J118" s="52"/>
      <c r="K118" s="47" t="s">
        <v>17</v>
      </c>
      <c r="L118" s="48">
        <v>81845.03</v>
      </c>
    </row>
    <row r="119" spans="1:12" ht="61.2" hidden="1" x14ac:dyDescent="0.3">
      <c r="A119" s="42" t="s">
        <v>34</v>
      </c>
      <c r="B119" s="43" t="s">
        <v>35</v>
      </c>
      <c r="C119" s="43" t="s">
        <v>38</v>
      </c>
      <c r="D119" s="43" t="s">
        <v>39</v>
      </c>
      <c r="E119" s="44" t="s">
        <v>22</v>
      </c>
      <c r="F119" s="50" t="s">
        <v>23</v>
      </c>
      <c r="G119" s="50"/>
      <c r="H119" s="44" t="s">
        <v>22</v>
      </c>
      <c r="I119" s="52">
        <v>367.5</v>
      </c>
      <c r="J119" s="52"/>
      <c r="K119" s="47" t="s">
        <v>17</v>
      </c>
      <c r="L119" s="48">
        <v>81477.53</v>
      </c>
    </row>
    <row r="120" spans="1:12" ht="51" hidden="1" x14ac:dyDescent="0.3">
      <c r="A120" s="42" t="s">
        <v>34</v>
      </c>
      <c r="B120" s="43" t="s">
        <v>211</v>
      </c>
      <c r="C120" s="43" t="s">
        <v>212</v>
      </c>
      <c r="D120" s="43" t="s">
        <v>37</v>
      </c>
      <c r="E120" s="44" t="s">
        <v>22</v>
      </c>
      <c r="F120" s="50" t="s">
        <v>23</v>
      </c>
      <c r="G120" s="50"/>
      <c r="H120" s="44" t="s">
        <v>22</v>
      </c>
      <c r="I120" s="52">
        <v>186.25</v>
      </c>
      <c r="J120" s="52"/>
      <c r="K120" s="47" t="s">
        <v>17</v>
      </c>
      <c r="L120" s="48">
        <v>81291.28</v>
      </c>
    </row>
    <row r="121" spans="1:12" ht="61.2" hidden="1" x14ac:dyDescent="0.3">
      <c r="A121" s="42" t="s">
        <v>34</v>
      </c>
      <c r="B121" s="43" t="s">
        <v>211</v>
      </c>
      <c r="C121" s="43" t="s">
        <v>213</v>
      </c>
      <c r="D121" s="43" t="s">
        <v>194</v>
      </c>
      <c r="E121" s="44" t="s">
        <v>22</v>
      </c>
      <c r="F121" s="50" t="s">
        <v>23</v>
      </c>
      <c r="G121" s="50"/>
      <c r="H121" s="44" t="s">
        <v>22</v>
      </c>
      <c r="I121" s="51">
        <v>1116</v>
      </c>
      <c r="J121" s="51"/>
      <c r="K121" s="47" t="s">
        <v>17</v>
      </c>
      <c r="L121" s="48">
        <v>80175.28</v>
      </c>
    </row>
    <row r="122" spans="1:12" ht="51" hidden="1" x14ac:dyDescent="0.3">
      <c r="A122" s="42" t="s">
        <v>34</v>
      </c>
      <c r="B122" s="43" t="s">
        <v>211</v>
      </c>
      <c r="C122" s="43" t="s">
        <v>214</v>
      </c>
      <c r="D122" s="43" t="s">
        <v>195</v>
      </c>
      <c r="E122" s="44" t="s">
        <v>22</v>
      </c>
      <c r="F122" s="50" t="s">
        <v>23</v>
      </c>
      <c r="G122" s="50"/>
      <c r="H122" s="44" t="s">
        <v>22</v>
      </c>
      <c r="I122" s="52">
        <v>268.75</v>
      </c>
      <c r="J122" s="52"/>
      <c r="K122" s="47" t="s">
        <v>17</v>
      </c>
      <c r="L122" s="48">
        <v>79906.53</v>
      </c>
    </row>
    <row r="123" spans="1:12" ht="51" hidden="1" x14ac:dyDescent="0.3">
      <c r="A123" s="42" t="s">
        <v>34</v>
      </c>
      <c r="B123" s="43" t="s">
        <v>211</v>
      </c>
      <c r="C123" s="43" t="s">
        <v>215</v>
      </c>
      <c r="D123" s="43" t="s">
        <v>203</v>
      </c>
      <c r="E123" s="44" t="s">
        <v>22</v>
      </c>
      <c r="F123" s="50" t="s">
        <v>23</v>
      </c>
      <c r="G123" s="50"/>
      <c r="H123" s="44" t="s">
        <v>22</v>
      </c>
      <c r="I123" s="52">
        <v>190.75</v>
      </c>
      <c r="J123" s="52"/>
      <c r="K123" s="47" t="s">
        <v>17</v>
      </c>
      <c r="L123" s="48">
        <v>79715.78</v>
      </c>
    </row>
    <row r="124" spans="1:12" ht="61.2" hidden="1" x14ac:dyDescent="0.3">
      <c r="A124" s="42" t="s">
        <v>34</v>
      </c>
      <c r="B124" s="43" t="s">
        <v>211</v>
      </c>
      <c r="C124" s="43" t="s">
        <v>216</v>
      </c>
      <c r="D124" s="43" t="s">
        <v>204</v>
      </c>
      <c r="E124" s="44" t="s">
        <v>22</v>
      </c>
      <c r="F124" s="50" t="s">
        <v>23</v>
      </c>
      <c r="G124" s="50"/>
      <c r="H124" s="44" t="s">
        <v>22</v>
      </c>
      <c r="I124" s="52">
        <v>497.55</v>
      </c>
      <c r="J124" s="52"/>
      <c r="K124" s="47" t="s">
        <v>17</v>
      </c>
      <c r="L124" s="48">
        <v>79218.23</v>
      </c>
    </row>
    <row r="125" spans="1:12" ht="51" hidden="1" x14ac:dyDescent="0.3">
      <c r="A125" s="42" t="s">
        <v>34</v>
      </c>
      <c r="B125" s="43" t="s">
        <v>211</v>
      </c>
      <c r="C125" s="43" t="s">
        <v>217</v>
      </c>
      <c r="D125" s="43" t="s">
        <v>205</v>
      </c>
      <c r="E125" s="44" t="s">
        <v>22</v>
      </c>
      <c r="F125" s="50" t="s">
        <v>23</v>
      </c>
      <c r="G125" s="50"/>
      <c r="H125" s="44" t="s">
        <v>22</v>
      </c>
      <c r="I125" s="52">
        <v>368.7</v>
      </c>
      <c r="J125" s="52"/>
      <c r="K125" s="47" t="s">
        <v>17</v>
      </c>
      <c r="L125" s="48">
        <v>78849.53</v>
      </c>
    </row>
    <row r="126" spans="1:12" ht="61.2" hidden="1" x14ac:dyDescent="0.3">
      <c r="A126" s="42" t="s">
        <v>34</v>
      </c>
      <c r="B126" s="43" t="s">
        <v>218</v>
      </c>
      <c r="C126" s="43" t="s">
        <v>219</v>
      </c>
      <c r="D126" s="43" t="s">
        <v>37</v>
      </c>
      <c r="E126" s="44" t="s">
        <v>22</v>
      </c>
      <c r="F126" s="50" t="s">
        <v>23</v>
      </c>
      <c r="G126" s="50"/>
      <c r="H126" s="44" t="s">
        <v>22</v>
      </c>
      <c r="I126" s="52">
        <v>372.5</v>
      </c>
      <c r="J126" s="52"/>
      <c r="K126" s="47" t="s">
        <v>17</v>
      </c>
      <c r="L126" s="48">
        <v>78477.03</v>
      </c>
    </row>
    <row r="127" spans="1:12" ht="61.2" hidden="1" x14ac:dyDescent="0.3">
      <c r="A127" s="42" t="s">
        <v>34</v>
      </c>
      <c r="B127" s="43" t="s">
        <v>218</v>
      </c>
      <c r="C127" s="43" t="s">
        <v>220</v>
      </c>
      <c r="D127" s="43" t="s">
        <v>198</v>
      </c>
      <c r="E127" s="44" t="s">
        <v>22</v>
      </c>
      <c r="F127" s="50" t="s">
        <v>23</v>
      </c>
      <c r="G127" s="50"/>
      <c r="H127" s="44" t="s">
        <v>22</v>
      </c>
      <c r="I127" s="51">
        <v>1410</v>
      </c>
      <c r="J127" s="51"/>
      <c r="K127" s="47" t="s">
        <v>17</v>
      </c>
      <c r="L127" s="48">
        <v>77067.03</v>
      </c>
    </row>
    <row r="128" spans="1:12" ht="61.2" hidden="1" x14ac:dyDescent="0.3">
      <c r="A128" s="42" t="s">
        <v>34</v>
      </c>
      <c r="B128" s="43" t="s">
        <v>218</v>
      </c>
      <c r="C128" s="43" t="s">
        <v>221</v>
      </c>
      <c r="D128" s="43" t="s">
        <v>200</v>
      </c>
      <c r="E128" s="44" t="s">
        <v>22</v>
      </c>
      <c r="F128" s="50" t="s">
        <v>23</v>
      </c>
      <c r="G128" s="50"/>
      <c r="H128" s="44" t="s">
        <v>22</v>
      </c>
      <c r="I128" s="52">
        <v>336.6</v>
      </c>
      <c r="J128" s="52"/>
      <c r="K128" s="47" t="s">
        <v>17</v>
      </c>
      <c r="L128" s="48">
        <v>76730.429999999993</v>
      </c>
    </row>
    <row r="129" spans="1:12" ht="61.2" hidden="1" x14ac:dyDescent="0.3">
      <c r="A129" s="42" t="s">
        <v>34</v>
      </c>
      <c r="B129" s="43" t="s">
        <v>218</v>
      </c>
      <c r="C129" s="43" t="s">
        <v>222</v>
      </c>
      <c r="D129" s="43" t="s">
        <v>201</v>
      </c>
      <c r="E129" s="44" t="s">
        <v>22</v>
      </c>
      <c r="F129" s="50" t="s">
        <v>23</v>
      </c>
      <c r="G129" s="50"/>
      <c r="H129" s="44" t="s">
        <v>22</v>
      </c>
      <c r="I129" s="52">
        <v>91.25</v>
      </c>
      <c r="J129" s="52"/>
      <c r="K129" s="47" t="s">
        <v>17</v>
      </c>
      <c r="L129" s="48">
        <v>76639.179999999993</v>
      </c>
    </row>
    <row r="130" spans="1:12" ht="61.2" hidden="1" x14ac:dyDescent="0.3">
      <c r="A130" s="42" t="s">
        <v>34</v>
      </c>
      <c r="B130" s="43" t="s">
        <v>223</v>
      </c>
      <c r="C130" s="43" t="s">
        <v>224</v>
      </c>
      <c r="D130" s="43" t="s">
        <v>37</v>
      </c>
      <c r="E130" s="44" t="s">
        <v>22</v>
      </c>
      <c r="F130" s="50" t="s">
        <v>23</v>
      </c>
      <c r="G130" s="50"/>
      <c r="H130" s="44" t="s">
        <v>22</v>
      </c>
      <c r="I130" s="52">
        <v>372.5</v>
      </c>
      <c r="J130" s="52"/>
      <c r="K130" s="47" t="s">
        <v>17</v>
      </c>
      <c r="L130" s="48">
        <v>76266.679999999993</v>
      </c>
    </row>
    <row r="131" spans="1:12" ht="51" hidden="1" x14ac:dyDescent="0.3">
      <c r="A131" s="42" t="s">
        <v>34</v>
      </c>
      <c r="B131" s="43" t="s">
        <v>225</v>
      </c>
      <c r="C131" s="43" t="s">
        <v>226</v>
      </c>
      <c r="D131" s="43" t="s">
        <v>192</v>
      </c>
      <c r="E131" s="44" t="s">
        <v>22</v>
      </c>
      <c r="F131" s="50" t="s">
        <v>23</v>
      </c>
      <c r="G131" s="50"/>
      <c r="H131" s="44" t="s">
        <v>22</v>
      </c>
      <c r="I131" s="52">
        <v>487.5</v>
      </c>
      <c r="J131" s="52"/>
      <c r="K131" s="47" t="s">
        <v>17</v>
      </c>
      <c r="L131" s="48">
        <v>75779.179999999993</v>
      </c>
    </row>
    <row r="132" spans="1:12" ht="51" hidden="1" x14ac:dyDescent="0.3">
      <c r="A132" s="42" t="s">
        <v>34</v>
      </c>
      <c r="B132" s="43" t="s">
        <v>225</v>
      </c>
      <c r="C132" s="43" t="s">
        <v>227</v>
      </c>
      <c r="D132" s="43" t="s">
        <v>193</v>
      </c>
      <c r="E132" s="44" t="s">
        <v>22</v>
      </c>
      <c r="F132" s="50" t="s">
        <v>23</v>
      </c>
      <c r="G132" s="50"/>
      <c r="H132" s="44" t="s">
        <v>22</v>
      </c>
      <c r="I132" s="52">
        <v>597</v>
      </c>
      <c r="J132" s="52"/>
      <c r="K132" s="47" t="s">
        <v>17</v>
      </c>
      <c r="L132" s="48">
        <v>75182.179999999993</v>
      </c>
    </row>
    <row r="133" spans="1:12" ht="61.2" hidden="1" x14ac:dyDescent="0.3">
      <c r="A133" s="42" t="s">
        <v>34</v>
      </c>
      <c r="B133" s="43" t="s">
        <v>225</v>
      </c>
      <c r="C133" s="43" t="s">
        <v>228</v>
      </c>
      <c r="D133" s="43" t="s">
        <v>194</v>
      </c>
      <c r="E133" s="44" t="s">
        <v>22</v>
      </c>
      <c r="F133" s="50" t="s">
        <v>23</v>
      </c>
      <c r="G133" s="50"/>
      <c r="H133" s="44" t="s">
        <v>22</v>
      </c>
      <c r="I133" s="51">
        <v>1116</v>
      </c>
      <c r="J133" s="51"/>
      <c r="K133" s="47" t="s">
        <v>17</v>
      </c>
      <c r="L133" s="48">
        <v>74066.179999999993</v>
      </c>
    </row>
    <row r="134" spans="1:12" ht="51" hidden="1" x14ac:dyDescent="0.3">
      <c r="A134" s="42" t="s">
        <v>34</v>
      </c>
      <c r="B134" s="43" t="s">
        <v>225</v>
      </c>
      <c r="C134" s="43" t="s">
        <v>229</v>
      </c>
      <c r="D134" s="43" t="s">
        <v>195</v>
      </c>
      <c r="E134" s="44" t="s">
        <v>22</v>
      </c>
      <c r="F134" s="50" t="s">
        <v>23</v>
      </c>
      <c r="G134" s="50"/>
      <c r="H134" s="44" t="s">
        <v>22</v>
      </c>
      <c r="I134" s="52">
        <v>268.75</v>
      </c>
      <c r="J134" s="52"/>
      <c r="K134" s="47" t="s">
        <v>17</v>
      </c>
      <c r="L134" s="48">
        <v>73797.429999999993</v>
      </c>
    </row>
    <row r="135" spans="1:12" ht="51" hidden="1" x14ac:dyDescent="0.3">
      <c r="A135" s="42" t="s">
        <v>34</v>
      </c>
      <c r="B135" s="43" t="s">
        <v>225</v>
      </c>
      <c r="C135" s="43" t="s">
        <v>230</v>
      </c>
      <c r="D135" s="43" t="s">
        <v>197</v>
      </c>
      <c r="E135" s="44" t="s">
        <v>22</v>
      </c>
      <c r="F135" s="50" t="s">
        <v>23</v>
      </c>
      <c r="G135" s="50"/>
      <c r="H135" s="44" t="s">
        <v>22</v>
      </c>
      <c r="I135" s="52">
        <v>589.20000000000005</v>
      </c>
      <c r="J135" s="52"/>
      <c r="K135" s="47" t="s">
        <v>17</v>
      </c>
      <c r="L135" s="48">
        <v>73208.23</v>
      </c>
    </row>
    <row r="136" spans="1:12" ht="51" hidden="1" x14ac:dyDescent="0.3">
      <c r="A136" s="42" t="s">
        <v>34</v>
      </c>
      <c r="B136" s="43" t="s">
        <v>225</v>
      </c>
      <c r="C136" s="43" t="s">
        <v>231</v>
      </c>
      <c r="D136" s="43" t="s">
        <v>198</v>
      </c>
      <c r="E136" s="44" t="s">
        <v>22</v>
      </c>
      <c r="F136" s="50" t="s">
        <v>23</v>
      </c>
      <c r="G136" s="50"/>
      <c r="H136" s="44" t="s">
        <v>22</v>
      </c>
      <c r="I136" s="51">
        <v>1410</v>
      </c>
      <c r="J136" s="51"/>
      <c r="K136" s="47" t="s">
        <v>17</v>
      </c>
      <c r="L136" s="48">
        <v>71798.23</v>
      </c>
    </row>
    <row r="137" spans="1:12" ht="51" hidden="1" x14ac:dyDescent="0.3">
      <c r="A137" s="42" t="s">
        <v>34</v>
      </c>
      <c r="B137" s="43" t="s">
        <v>225</v>
      </c>
      <c r="C137" s="43" t="s">
        <v>232</v>
      </c>
      <c r="D137" s="43" t="s">
        <v>199</v>
      </c>
      <c r="E137" s="44" t="s">
        <v>22</v>
      </c>
      <c r="F137" s="50" t="s">
        <v>23</v>
      </c>
      <c r="G137" s="50"/>
      <c r="H137" s="44" t="s">
        <v>22</v>
      </c>
      <c r="I137" s="52">
        <v>772.5</v>
      </c>
      <c r="J137" s="52"/>
      <c r="K137" s="47" t="s">
        <v>17</v>
      </c>
      <c r="L137" s="48">
        <v>71025.73</v>
      </c>
    </row>
    <row r="138" spans="1:12" ht="51" hidden="1" x14ac:dyDescent="0.3">
      <c r="A138" s="42" t="s">
        <v>34</v>
      </c>
      <c r="B138" s="43" t="s">
        <v>225</v>
      </c>
      <c r="C138" s="43" t="s">
        <v>233</v>
      </c>
      <c r="D138" s="43" t="s">
        <v>200</v>
      </c>
      <c r="E138" s="44" t="s">
        <v>22</v>
      </c>
      <c r="F138" s="50" t="s">
        <v>23</v>
      </c>
      <c r="G138" s="50"/>
      <c r="H138" s="44" t="s">
        <v>22</v>
      </c>
      <c r="I138" s="52">
        <v>504.9</v>
      </c>
      <c r="J138" s="52"/>
      <c r="K138" s="47" t="s">
        <v>17</v>
      </c>
      <c r="L138" s="48">
        <v>70520.83</v>
      </c>
    </row>
    <row r="139" spans="1:12" ht="51" hidden="1" x14ac:dyDescent="0.3">
      <c r="A139" s="42" t="s">
        <v>34</v>
      </c>
      <c r="B139" s="43" t="s">
        <v>225</v>
      </c>
      <c r="C139" s="43" t="s">
        <v>234</v>
      </c>
      <c r="D139" s="43" t="s">
        <v>201</v>
      </c>
      <c r="E139" s="44" t="s">
        <v>22</v>
      </c>
      <c r="F139" s="50" t="s">
        <v>23</v>
      </c>
      <c r="G139" s="50"/>
      <c r="H139" s="44" t="s">
        <v>22</v>
      </c>
      <c r="I139" s="52">
        <v>91.25</v>
      </c>
      <c r="J139" s="52"/>
      <c r="K139" s="47" t="s">
        <v>17</v>
      </c>
      <c r="L139" s="48">
        <v>70429.58</v>
      </c>
    </row>
    <row r="140" spans="1:12" ht="51" hidden="1" x14ac:dyDescent="0.3">
      <c r="A140" s="42" t="s">
        <v>34</v>
      </c>
      <c r="B140" s="43" t="s">
        <v>225</v>
      </c>
      <c r="C140" s="43" t="s">
        <v>235</v>
      </c>
      <c r="D140" s="43" t="s">
        <v>202</v>
      </c>
      <c r="E140" s="44" t="s">
        <v>22</v>
      </c>
      <c r="F140" s="50" t="s">
        <v>23</v>
      </c>
      <c r="G140" s="50"/>
      <c r="H140" s="44" t="s">
        <v>22</v>
      </c>
      <c r="I140" s="51">
        <v>1289.5</v>
      </c>
      <c r="J140" s="51"/>
      <c r="K140" s="47" t="s">
        <v>17</v>
      </c>
      <c r="L140" s="48">
        <v>69140.08</v>
      </c>
    </row>
    <row r="141" spans="1:12" ht="61.2" hidden="1" x14ac:dyDescent="0.3">
      <c r="A141" s="42" t="s">
        <v>34</v>
      </c>
      <c r="B141" s="43" t="s">
        <v>225</v>
      </c>
      <c r="C141" s="43" t="s">
        <v>236</v>
      </c>
      <c r="D141" s="43" t="s">
        <v>39</v>
      </c>
      <c r="E141" s="44" t="s">
        <v>22</v>
      </c>
      <c r="F141" s="50" t="s">
        <v>23</v>
      </c>
      <c r="G141" s="50"/>
      <c r="H141" s="44" t="s">
        <v>22</v>
      </c>
      <c r="I141" s="52">
        <v>367.5</v>
      </c>
      <c r="J141" s="52"/>
      <c r="K141" s="47" t="s">
        <v>17</v>
      </c>
      <c r="L141" s="48">
        <v>68772.58</v>
      </c>
    </row>
    <row r="142" spans="1:12" ht="51" hidden="1" x14ac:dyDescent="0.3">
      <c r="A142" s="42" t="s">
        <v>34</v>
      </c>
      <c r="B142" s="43" t="s">
        <v>225</v>
      </c>
      <c r="C142" s="43" t="s">
        <v>237</v>
      </c>
      <c r="D142" s="43" t="s">
        <v>203</v>
      </c>
      <c r="E142" s="44" t="s">
        <v>22</v>
      </c>
      <c r="F142" s="50" t="s">
        <v>23</v>
      </c>
      <c r="G142" s="50"/>
      <c r="H142" s="44" t="s">
        <v>22</v>
      </c>
      <c r="I142" s="52">
        <v>190.75</v>
      </c>
      <c r="J142" s="52"/>
      <c r="K142" s="47" t="s">
        <v>17</v>
      </c>
      <c r="L142" s="48">
        <v>68581.83</v>
      </c>
    </row>
    <row r="143" spans="1:12" ht="51" hidden="1" x14ac:dyDescent="0.3">
      <c r="A143" s="42" t="s">
        <v>34</v>
      </c>
      <c r="B143" s="43" t="s">
        <v>225</v>
      </c>
      <c r="C143" s="43" t="s">
        <v>238</v>
      </c>
      <c r="D143" s="43" t="s">
        <v>209</v>
      </c>
      <c r="E143" s="44" t="s">
        <v>22</v>
      </c>
      <c r="F143" s="50" t="s">
        <v>23</v>
      </c>
      <c r="G143" s="50"/>
      <c r="H143" s="44" t="s">
        <v>22</v>
      </c>
      <c r="I143" s="52">
        <v>50</v>
      </c>
      <c r="J143" s="52"/>
      <c r="K143" s="47" t="s">
        <v>17</v>
      </c>
      <c r="L143" s="48">
        <v>68531.83</v>
      </c>
    </row>
    <row r="144" spans="1:12" ht="51" hidden="1" x14ac:dyDescent="0.3">
      <c r="A144" s="42" t="s">
        <v>34</v>
      </c>
      <c r="B144" s="43" t="s">
        <v>239</v>
      </c>
      <c r="C144" s="43" t="s">
        <v>240</v>
      </c>
      <c r="D144" s="43" t="s">
        <v>192</v>
      </c>
      <c r="E144" s="44" t="s">
        <v>22</v>
      </c>
      <c r="F144" s="50" t="s">
        <v>23</v>
      </c>
      <c r="G144" s="50"/>
      <c r="H144" s="44" t="s">
        <v>22</v>
      </c>
      <c r="I144" s="52">
        <v>325</v>
      </c>
      <c r="J144" s="52"/>
      <c r="K144" s="47" t="s">
        <v>17</v>
      </c>
      <c r="L144" s="48">
        <v>68206.83</v>
      </c>
    </row>
    <row r="145" spans="1:12" ht="51" hidden="1" x14ac:dyDescent="0.3">
      <c r="A145" s="42" t="s">
        <v>34</v>
      </c>
      <c r="B145" s="43" t="s">
        <v>239</v>
      </c>
      <c r="C145" s="43" t="s">
        <v>241</v>
      </c>
      <c r="D145" s="43" t="s">
        <v>193</v>
      </c>
      <c r="E145" s="44" t="s">
        <v>22</v>
      </c>
      <c r="F145" s="50" t="s">
        <v>23</v>
      </c>
      <c r="G145" s="50"/>
      <c r="H145" s="44" t="s">
        <v>22</v>
      </c>
      <c r="I145" s="52">
        <v>398</v>
      </c>
      <c r="J145" s="52"/>
      <c r="K145" s="47" t="s">
        <v>17</v>
      </c>
      <c r="L145" s="48">
        <v>67808.83</v>
      </c>
    </row>
    <row r="146" spans="1:12" ht="61.2" hidden="1" x14ac:dyDescent="0.3">
      <c r="A146" s="42" t="s">
        <v>34</v>
      </c>
      <c r="B146" s="43" t="s">
        <v>239</v>
      </c>
      <c r="C146" s="43" t="s">
        <v>242</v>
      </c>
      <c r="D146" s="43" t="s">
        <v>194</v>
      </c>
      <c r="E146" s="44" t="s">
        <v>22</v>
      </c>
      <c r="F146" s="50" t="s">
        <v>23</v>
      </c>
      <c r="G146" s="50"/>
      <c r="H146" s="44" t="s">
        <v>22</v>
      </c>
      <c r="I146" s="51">
        <v>1116</v>
      </c>
      <c r="J146" s="51"/>
      <c r="K146" s="47" t="s">
        <v>17</v>
      </c>
      <c r="L146" s="48">
        <v>66692.83</v>
      </c>
    </row>
    <row r="147" spans="1:12" ht="51" hidden="1" x14ac:dyDescent="0.3">
      <c r="A147" s="42" t="s">
        <v>34</v>
      </c>
      <c r="B147" s="43" t="s">
        <v>239</v>
      </c>
      <c r="C147" s="43" t="s">
        <v>243</v>
      </c>
      <c r="D147" s="43" t="s">
        <v>195</v>
      </c>
      <c r="E147" s="44" t="s">
        <v>22</v>
      </c>
      <c r="F147" s="50" t="s">
        <v>23</v>
      </c>
      <c r="G147" s="50"/>
      <c r="H147" s="44" t="s">
        <v>22</v>
      </c>
      <c r="I147" s="52">
        <v>268.75</v>
      </c>
      <c r="J147" s="52"/>
      <c r="K147" s="47" t="s">
        <v>17</v>
      </c>
      <c r="L147" s="48">
        <v>66424.08</v>
      </c>
    </row>
    <row r="148" spans="1:12" ht="61.2" hidden="1" x14ac:dyDescent="0.3">
      <c r="A148" s="42" t="s">
        <v>34</v>
      </c>
      <c r="B148" s="43" t="s">
        <v>239</v>
      </c>
      <c r="C148" s="43" t="s">
        <v>244</v>
      </c>
      <c r="D148" s="43" t="s">
        <v>39</v>
      </c>
      <c r="E148" s="44" t="s">
        <v>22</v>
      </c>
      <c r="F148" s="50" t="s">
        <v>23</v>
      </c>
      <c r="G148" s="50"/>
      <c r="H148" s="44" t="s">
        <v>22</v>
      </c>
      <c r="I148" s="52">
        <v>367.5</v>
      </c>
      <c r="J148" s="52"/>
      <c r="K148" s="47" t="s">
        <v>17</v>
      </c>
      <c r="L148" s="48">
        <v>66056.58</v>
      </c>
    </row>
    <row r="149" spans="1:12" ht="51" hidden="1" x14ac:dyDescent="0.3">
      <c r="A149" s="42" t="s">
        <v>34</v>
      </c>
      <c r="B149" s="43" t="s">
        <v>239</v>
      </c>
      <c r="C149" s="43" t="s">
        <v>245</v>
      </c>
      <c r="D149" s="43" t="s">
        <v>203</v>
      </c>
      <c r="E149" s="44" t="s">
        <v>22</v>
      </c>
      <c r="F149" s="50" t="s">
        <v>23</v>
      </c>
      <c r="G149" s="50"/>
      <c r="H149" s="44" t="s">
        <v>22</v>
      </c>
      <c r="I149" s="52">
        <v>190.75</v>
      </c>
      <c r="J149" s="52"/>
      <c r="K149" s="47" t="s">
        <v>17</v>
      </c>
      <c r="L149" s="48">
        <v>65865.83</v>
      </c>
    </row>
    <row r="150" spans="1:12" ht="61.2" hidden="1" x14ac:dyDescent="0.3">
      <c r="A150" s="42" t="s">
        <v>34</v>
      </c>
      <c r="B150" s="43" t="s">
        <v>239</v>
      </c>
      <c r="C150" s="43" t="s">
        <v>246</v>
      </c>
      <c r="D150" s="43" t="s">
        <v>206</v>
      </c>
      <c r="E150" s="44" t="s">
        <v>22</v>
      </c>
      <c r="F150" s="50" t="s">
        <v>23</v>
      </c>
      <c r="G150" s="50"/>
      <c r="H150" s="44" t="s">
        <v>22</v>
      </c>
      <c r="I150" s="51">
        <v>1802.8</v>
      </c>
      <c r="J150" s="51"/>
      <c r="K150" s="47" t="s">
        <v>17</v>
      </c>
      <c r="L150" s="48">
        <v>64063.03</v>
      </c>
    </row>
    <row r="151" spans="1:12" ht="61.2" hidden="1" x14ac:dyDescent="0.3">
      <c r="A151" s="42" t="s">
        <v>34</v>
      </c>
      <c r="B151" s="43" t="s">
        <v>239</v>
      </c>
      <c r="C151" s="43" t="s">
        <v>247</v>
      </c>
      <c r="D151" s="43" t="s">
        <v>207</v>
      </c>
      <c r="E151" s="44" t="s">
        <v>22</v>
      </c>
      <c r="F151" s="50" t="s">
        <v>23</v>
      </c>
      <c r="G151" s="50"/>
      <c r="H151" s="44" t="s">
        <v>22</v>
      </c>
      <c r="I151" s="52">
        <v>373.2</v>
      </c>
      <c r="J151" s="52"/>
      <c r="K151" s="47" t="s">
        <v>17</v>
      </c>
      <c r="L151" s="48">
        <v>63689.83</v>
      </c>
    </row>
    <row r="152" spans="1:12" ht="71.400000000000006" hidden="1" x14ac:dyDescent="0.3">
      <c r="A152" s="42" t="s">
        <v>34</v>
      </c>
      <c r="B152" s="43" t="s">
        <v>239</v>
      </c>
      <c r="C152" s="43" t="s">
        <v>248</v>
      </c>
      <c r="D152" s="43" t="s">
        <v>208</v>
      </c>
      <c r="E152" s="44" t="s">
        <v>22</v>
      </c>
      <c r="F152" s="50" t="s">
        <v>23</v>
      </c>
      <c r="G152" s="50"/>
      <c r="H152" s="44" t="s">
        <v>22</v>
      </c>
      <c r="I152" s="52">
        <v>223.5</v>
      </c>
      <c r="J152" s="52"/>
      <c r="K152" s="47" t="s">
        <v>17</v>
      </c>
      <c r="L152" s="48">
        <v>63466.33</v>
      </c>
    </row>
    <row r="153" spans="1:12" ht="51" hidden="1" x14ac:dyDescent="0.3">
      <c r="A153" s="42" t="s">
        <v>34</v>
      </c>
      <c r="B153" s="43" t="s">
        <v>239</v>
      </c>
      <c r="C153" s="43" t="s">
        <v>249</v>
      </c>
      <c r="D153" s="43" t="s">
        <v>198</v>
      </c>
      <c r="E153" s="44" t="s">
        <v>22</v>
      </c>
      <c r="F153" s="50" t="s">
        <v>23</v>
      </c>
      <c r="G153" s="50"/>
      <c r="H153" s="44" t="s">
        <v>22</v>
      </c>
      <c r="I153" s="51">
        <v>1410</v>
      </c>
      <c r="J153" s="51"/>
      <c r="K153" s="47" t="s">
        <v>17</v>
      </c>
      <c r="L153" s="48">
        <v>62056.33</v>
      </c>
    </row>
    <row r="154" spans="1:12" ht="61.2" hidden="1" x14ac:dyDescent="0.3">
      <c r="A154" s="42" t="s">
        <v>34</v>
      </c>
      <c r="B154" s="43" t="s">
        <v>250</v>
      </c>
      <c r="C154" s="43" t="s">
        <v>251</v>
      </c>
      <c r="D154" s="43" t="s">
        <v>196</v>
      </c>
      <c r="E154" s="44" t="s">
        <v>22</v>
      </c>
      <c r="F154" s="50" t="s">
        <v>23</v>
      </c>
      <c r="G154" s="50"/>
      <c r="H154" s="44" t="s">
        <v>22</v>
      </c>
      <c r="I154" s="52">
        <v>175.9</v>
      </c>
      <c r="J154" s="52"/>
      <c r="K154" s="47" t="s">
        <v>17</v>
      </c>
      <c r="L154" s="48">
        <v>61880.43</v>
      </c>
    </row>
    <row r="155" spans="1:12" ht="51" hidden="1" x14ac:dyDescent="0.3">
      <c r="A155" s="42" t="s">
        <v>34</v>
      </c>
      <c r="B155" s="43" t="s">
        <v>250</v>
      </c>
      <c r="C155" s="43" t="s">
        <v>252</v>
      </c>
      <c r="D155" s="43" t="s">
        <v>198</v>
      </c>
      <c r="E155" s="44" t="s">
        <v>22</v>
      </c>
      <c r="F155" s="50" t="s">
        <v>23</v>
      </c>
      <c r="G155" s="50"/>
      <c r="H155" s="44" t="s">
        <v>22</v>
      </c>
      <c r="I155" s="51">
        <v>1410</v>
      </c>
      <c r="J155" s="51"/>
      <c r="K155" s="47" t="s">
        <v>17</v>
      </c>
      <c r="L155" s="48">
        <v>60470.43</v>
      </c>
    </row>
    <row r="156" spans="1:12" ht="51" hidden="1" x14ac:dyDescent="0.3">
      <c r="A156" s="42" t="s">
        <v>34</v>
      </c>
      <c r="B156" s="43" t="s">
        <v>250</v>
      </c>
      <c r="C156" s="43" t="s">
        <v>253</v>
      </c>
      <c r="D156" s="43" t="s">
        <v>199</v>
      </c>
      <c r="E156" s="44" t="s">
        <v>22</v>
      </c>
      <c r="F156" s="50" t="s">
        <v>23</v>
      </c>
      <c r="G156" s="50"/>
      <c r="H156" s="44" t="s">
        <v>22</v>
      </c>
      <c r="I156" s="52">
        <v>772.5</v>
      </c>
      <c r="J156" s="52"/>
      <c r="K156" s="47" t="s">
        <v>17</v>
      </c>
      <c r="L156" s="48">
        <v>59697.93</v>
      </c>
    </row>
    <row r="157" spans="1:12" ht="61.2" hidden="1" x14ac:dyDescent="0.3">
      <c r="A157" s="42" t="s">
        <v>34</v>
      </c>
      <c r="B157" s="43" t="s">
        <v>250</v>
      </c>
      <c r="C157" s="43" t="s">
        <v>254</v>
      </c>
      <c r="D157" s="43" t="s">
        <v>39</v>
      </c>
      <c r="E157" s="44" t="s">
        <v>22</v>
      </c>
      <c r="F157" s="50" t="s">
        <v>23</v>
      </c>
      <c r="G157" s="50"/>
      <c r="H157" s="44" t="s">
        <v>22</v>
      </c>
      <c r="I157" s="52">
        <v>367.5</v>
      </c>
      <c r="J157" s="52"/>
      <c r="K157" s="47" t="s">
        <v>17</v>
      </c>
      <c r="L157" s="48">
        <v>59330.43</v>
      </c>
    </row>
    <row r="158" spans="1:12" ht="51" hidden="1" x14ac:dyDescent="0.3">
      <c r="A158" s="42" t="s">
        <v>34</v>
      </c>
      <c r="B158" s="43" t="s">
        <v>250</v>
      </c>
      <c r="C158" s="43" t="s">
        <v>255</v>
      </c>
      <c r="D158" s="43" t="s">
        <v>210</v>
      </c>
      <c r="E158" s="44" t="s">
        <v>22</v>
      </c>
      <c r="F158" s="50" t="s">
        <v>23</v>
      </c>
      <c r="G158" s="50"/>
      <c r="H158" s="44" t="s">
        <v>22</v>
      </c>
      <c r="I158" s="52">
        <v>196.05</v>
      </c>
      <c r="J158" s="52"/>
      <c r="K158" s="47" t="s">
        <v>17</v>
      </c>
      <c r="L158" s="48">
        <v>59134.38</v>
      </c>
    </row>
    <row r="159" spans="1:12" ht="61.2" hidden="1" x14ac:dyDescent="0.3">
      <c r="A159" s="42" t="s">
        <v>34</v>
      </c>
      <c r="B159" s="43" t="s">
        <v>256</v>
      </c>
      <c r="C159" s="43" t="s">
        <v>257</v>
      </c>
      <c r="D159" s="43" t="s">
        <v>197</v>
      </c>
      <c r="E159" s="44" t="s">
        <v>22</v>
      </c>
      <c r="F159" s="50" t="s">
        <v>23</v>
      </c>
      <c r="G159" s="50"/>
      <c r="H159" s="44" t="s">
        <v>22</v>
      </c>
      <c r="I159" s="52">
        <v>147.30000000000001</v>
      </c>
      <c r="J159" s="52"/>
      <c r="K159" s="47" t="s">
        <v>17</v>
      </c>
      <c r="L159" s="48">
        <v>58987.08</v>
      </c>
    </row>
    <row r="160" spans="1:12" ht="51" hidden="1" x14ac:dyDescent="0.3">
      <c r="A160" s="42" t="s">
        <v>258</v>
      </c>
      <c r="B160" s="43" t="s">
        <v>259</v>
      </c>
      <c r="C160" s="43" t="s">
        <v>260</v>
      </c>
      <c r="D160" s="43" t="s">
        <v>183</v>
      </c>
      <c r="E160" s="44" t="s">
        <v>22</v>
      </c>
      <c r="F160" s="49">
        <v>960</v>
      </c>
      <c r="G160" s="49"/>
      <c r="H160" s="44" t="s">
        <v>64</v>
      </c>
      <c r="I160" s="46" t="s">
        <v>23</v>
      </c>
      <c r="J160" s="46"/>
      <c r="K160" s="47" t="s">
        <v>17</v>
      </c>
      <c r="L160" s="48">
        <v>59947.08</v>
      </c>
    </row>
    <row r="161" spans="1:12" ht="51" x14ac:dyDescent="0.3">
      <c r="A161" s="42" t="s">
        <v>40</v>
      </c>
      <c r="B161" s="43" t="s">
        <v>261</v>
      </c>
      <c r="C161" s="43" t="s">
        <v>42</v>
      </c>
      <c r="D161" s="43" t="s">
        <v>93</v>
      </c>
      <c r="E161" s="44" t="s">
        <v>43</v>
      </c>
      <c r="F161" s="50" t="s">
        <v>23</v>
      </c>
      <c r="G161" s="50"/>
      <c r="H161" s="44" t="s">
        <v>22</v>
      </c>
      <c r="I161" s="51">
        <v>2966.34</v>
      </c>
      <c r="J161" s="51"/>
      <c r="K161" s="47" t="s">
        <v>17</v>
      </c>
      <c r="L161" s="48">
        <v>56980.74</v>
      </c>
    </row>
    <row r="162" spans="1:12" ht="51" x14ac:dyDescent="0.3">
      <c r="A162" s="42" t="s">
        <v>40</v>
      </c>
      <c r="B162" s="43" t="s">
        <v>261</v>
      </c>
      <c r="C162" s="43" t="s">
        <v>42</v>
      </c>
      <c r="D162" s="43" t="s">
        <v>76</v>
      </c>
      <c r="E162" s="44" t="s">
        <v>43</v>
      </c>
      <c r="F162" s="50" t="s">
        <v>23</v>
      </c>
      <c r="G162" s="50"/>
      <c r="H162" s="44" t="s">
        <v>22</v>
      </c>
      <c r="I162" s="51">
        <v>2966.34</v>
      </c>
      <c r="J162" s="51"/>
      <c r="K162" s="47" t="s">
        <v>17</v>
      </c>
      <c r="L162" s="48">
        <v>54014.400000000001</v>
      </c>
    </row>
    <row r="163" spans="1:12" ht="51" x14ac:dyDescent="0.3">
      <c r="A163" s="42" t="s">
        <v>40</v>
      </c>
      <c r="B163" s="43" t="s">
        <v>262</v>
      </c>
      <c r="C163" s="43" t="s">
        <v>42</v>
      </c>
      <c r="D163" s="43" t="s">
        <v>139</v>
      </c>
      <c r="E163" s="44" t="s">
        <v>43</v>
      </c>
      <c r="F163" s="50" t="s">
        <v>23</v>
      </c>
      <c r="G163" s="50"/>
      <c r="H163" s="44" t="s">
        <v>22</v>
      </c>
      <c r="I163" s="52">
        <v>385.2</v>
      </c>
      <c r="J163" s="52"/>
      <c r="K163" s="47" t="s">
        <v>17</v>
      </c>
      <c r="L163" s="48">
        <v>53629.2</v>
      </c>
    </row>
    <row r="164" spans="1:12" ht="51" x14ac:dyDescent="0.3">
      <c r="A164" s="42" t="s">
        <v>40</v>
      </c>
      <c r="B164" s="43" t="s">
        <v>262</v>
      </c>
      <c r="C164" s="43" t="s">
        <v>42</v>
      </c>
      <c r="D164" s="43" t="s">
        <v>152</v>
      </c>
      <c r="E164" s="44" t="s">
        <v>43</v>
      </c>
      <c r="F164" s="50" t="s">
        <v>23</v>
      </c>
      <c r="G164" s="50"/>
      <c r="H164" s="44" t="s">
        <v>22</v>
      </c>
      <c r="I164" s="52">
        <v>948.79</v>
      </c>
      <c r="J164" s="52"/>
      <c r="K164" s="47" t="s">
        <v>17</v>
      </c>
      <c r="L164" s="48">
        <v>52680.41</v>
      </c>
    </row>
    <row r="165" spans="1:12" ht="61.2" x14ac:dyDescent="0.3">
      <c r="A165" s="42" t="s">
        <v>40</v>
      </c>
      <c r="B165" s="43" t="s">
        <v>262</v>
      </c>
      <c r="C165" s="43" t="s">
        <v>42</v>
      </c>
      <c r="D165" s="43" t="s">
        <v>138</v>
      </c>
      <c r="E165" s="44" t="s">
        <v>43</v>
      </c>
      <c r="F165" s="50" t="s">
        <v>23</v>
      </c>
      <c r="G165" s="50"/>
      <c r="H165" s="44" t="s">
        <v>22</v>
      </c>
      <c r="I165" s="52">
        <v>387.45</v>
      </c>
      <c r="J165" s="52"/>
      <c r="K165" s="47" t="s">
        <v>17</v>
      </c>
      <c r="L165" s="48">
        <v>52292.959999999999</v>
      </c>
    </row>
    <row r="166" spans="1:12" ht="51" x14ac:dyDescent="0.3">
      <c r="A166" s="42" t="s">
        <v>40</v>
      </c>
      <c r="B166" s="43" t="s">
        <v>262</v>
      </c>
      <c r="C166" s="43" t="s">
        <v>42</v>
      </c>
      <c r="D166" s="43" t="s">
        <v>140</v>
      </c>
      <c r="E166" s="44" t="s">
        <v>43</v>
      </c>
      <c r="F166" s="50" t="s">
        <v>23</v>
      </c>
      <c r="G166" s="50"/>
      <c r="H166" s="44" t="s">
        <v>22</v>
      </c>
      <c r="I166" s="52">
        <v>182.03</v>
      </c>
      <c r="J166" s="52"/>
      <c r="K166" s="47" t="s">
        <v>17</v>
      </c>
      <c r="L166" s="48">
        <v>52110.93</v>
      </c>
    </row>
    <row r="167" spans="1:12" ht="51" x14ac:dyDescent="0.3">
      <c r="A167" s="42" t="s">
        <v>40</v>
      </c>
      <c r="B167" s="43" t="s">
        <v>262</v>
      </c>
      <c r="C167" s="43" t="s">
        <v>42</v>
      </c>
      <c r="D167" s="43" t="s">
        <v>157</v>
      </c>
      <c r="E167" s="44" t="s">
        <v>43</v>
      </c>
      <c r="F167" s="50" t="s">
        <v>23</v>
      </c>
      <c r="G167" s="50"/>
      <c r="H167" s="44" t="s">
        <v>22</v>
      </c>
      <c r="I167" s="52">
        <v>280.83</v>
      </c>
      <c r="J167" s="52"/>
      <c r="K167" s="47" t="s">
        <v>17</v>
      </c>
      <c r="L167" s="48">
        <v>51830.1</v>
      </c>
    </row>
    <row r="168" spans="1:12" ht="51" x14ac:dyDescent="0.3">
      <c r="A168" s="42" t="s">
        <v>40</v>
      </c>
      <c r="B168" s="43" t="s">
        <v>262</v>
      </c>
      <c r="C168" s="43" t="s">
        <v>42</v>
      </c>
      <c r="D168" s="43" t="s">
        <v>142</v>
      </c>
      <c r="E168" s="44" t="s">
        <v>43</v>
      </c>
      <c r="F168" s="50" t="s">
        <v>23</v>
      </c>
      <c r="G168" s="50"/>
      <c r="H168" s="44" t="s">
        <v>22</v>
      </c>
      <c r="I168" s="52">
        <v>504.53</v>
      </c>
      <c r="J168" s="52"/>
      <c r="K168" s="47" t="s">
        <v>17</v>
      </c>
      <c r="L168" s="48">
        <v>51325.57</v>
      </c>
    </row>
    <row r="169" spans="1:12" ht="51" x14ac:dyDescent="0.3">
      <c r="A169" s="42" t="s">
        <v>40</v>
      </c>
      <c r="B169" s="43" t="s">
        <v>262</v>
      </c>
      <c r="C169" s="43" t="s">
        <v>42</v>
      </c>
      <c r="D169" s="43" t="s">
        <v>153</v>
      </c>
      <c r="E169" s="44" t="s">
        <v>43</v>
      </c>
      <c r="F169" s="50" t="s">
        <v>23</v>
      </c>
      <c r="G169" s="50"/>
      <c r="H169" s="44" t="s">
        <v>22</v>
      </c>
      <c r="I169" s="52">
        <v>262.75</v>
      </c>
      <c r="J169" s="52"/>
      <c r="K169" s="47" t="s">
        <v>17</v>
      </c>
      <c r="L169" s="48">
        <v>51062.82</v>
      </c>
    </row>
    <row r="170" spans="1:12" ht="61.2" x14ac:dyDescent="0.3">
      <c r="A170" s="42" t="s">
        <v>40</v>
      </c>
      <c r="B170" s="43" t="s">
        <v>262</v>
      </c>
      <c r="C170" s="43" t="s">
        <v>42</v>
      </c>
      <c r="D170" s="43" t="s">
        <v>136</v>
      </c>
      <c r="E170" s="44" t="s">
        <v>43</v>
      </c>
      <c r="F170" s="50" t="s">
        <v>23</v>
      </c>
      <c r="G170" s="50"/>
      <c r="H170" s="44" t="s">
        <v>22</v>
      </c>
      <c r="I170" s="52">
        <v>87.83</v>
      </c>
      <c r="J170" s="52"/>
      <c r="K170" s="47" t="s">
        <v>17</v>
      </c>
      <c r="L170" s="48">
        <v>50974.99</v>
      </c>
    </row>
    <row r="171" spans="1:12" ht="51" x14ac:dyDescent="0.3">
      <c r="A171" s="42" t="s">
        <v>40</v>
      </c>
      <c r="B171" s="43" t="s">
        <v>262</v>
      </c>
      <c r="C171" s="43" t="s">
        <v>42</v>
      </c>
      <c r="D171" s="43" t="s">
        <v>200</v>
      </c>
      <c r="E171" s="44" t="s">
        <v>43</v>
      </c>
      <c r="F171" s="50" t="s">
        <v>23</v>
      </c>
      <c r="G171" s="50"/>
      <c r="H171" s="44" t="s">
        <v>22</v>
      </c>
      <c r="I171" s="52">
        <v>336.6</v>
      </c>
      <c r="J171" s="52"/>
      <c r="K171" s="47" t="s">
        <v>17</v>
      </c>
      <c r="L171" s="48">
        <v>50638.39</v>
      </c>
    </row>
    <row r="172" spans="1:12" ht="61.2" x14ac:dyDescent="0.3">
      <c r="A172" s="42" t="s">
        <v>44</v>
      </c>
      <c r="B172" s="43" t="s">
        <v>263</v>
      </c>
      <c r="C172" s="43" t="s">
        <v>42</v>
      </c>
      <c r="D172" s="43" t="s">
        <v>101</v>
      </c>
      <c r="E172" s="44" t="s">
        <v>43</v>
      </c>
      <c r="F172" s="50" t="s">
        <v>23</v>
      </c>
      <c r="G172" s="50"/>
      <c r="H172" s="44" t="s">
        <v>22</v>
      </c>
      <c r="I172" s="52">
        <v>746.7</v>
      </c>
      <c r="J172" s="52"/>
      <c r="K172" s="47" t="s">
        <v>17</v>
      </c>
      <c r="L172" s="48">
        <v>49891.69</v>
      </c>
    </row>
    <row r="173" spans="1:12" ht="61.2" x14ac:dyDescent="0.3">
      <c r="A173" s="42" t="s">
        <v>44</v>
      </c>
      <c r="B173" s="43" t="s">
        <v>263</v>
      </c>
      <c r="C173" s="43" t="s">
        <v>42</v>
      </c>
      <c r="D173" s="43" t="s">
        <v>97</v>
      </c>
      <c r="E173" s="44" t="s">
        <v>43</v>
      </c>
      <c r="F173" s="50" t="s">
        <v>23</v>
      </c>
      <c r="G173" s="50"/>
      <c r="H173" s="44" t="s">
        <v>22</v>
      </c>
      <c r="I173" s="52">
        <v>767.53</v>
      </c>
      <c r="J173" s="52"/>
      <c r="K173" s="47" t="s">
        <v>17</v>
      </c>
      <c r="L173" s="48">
        <v>49124.160000000003</v>
      </c>
    </row>
    <row r="174" spans="1:12" ht="61.2" x14ac:dyDescent="0.3">
      <c r="A174" s="42" t="s">
        <v>44</v>
      </c>
      <c r="B174" s="43" t="s">
        <v>264</v>
      </c>
      <c r="C174" s="43" t="s">
        <v>42</v>
      </c>
      <c r="D174" s="43" t="s">
        <v>78</v>
      </c>
      <c r="E174" s="44" t="s">
        <v>43</v>
      </c>
      <c r="F174" s="50" t="s">
        <v>23</v>
      </c>
      <c r="G174" s="50"/>
      <c r="H174" s="44" t="s">
        <v>22</v>
      </c>
      <c r="I174" s="52">
        <v>767.53</v>
      </c>
      <c r="J174" s="52"/>
      <c r="K174" s="47" t="s">
        <v>17</v>
      </c>
      <c r="L174" s="48">
        <v>48356.63</v>
      </c>
    </row>
    <row r="175" spans="1:12" ht="61.2" x14ac:dyDescent="0.3">
      <c r="A175" s="42" t="s">
        <v>44</v>
      </c>
      <c r="B175" s="43" t="s">
        <v>264</v>
      </c>
      <c r="C175" s="43" t="s">
        <v>42</v>
      </c>
      <c r="D175" s="43" t="s">
        <v>79</v>
      </c>
      <c r="E175" s="44" t="s">
        <v>43</v>
      </c>
      <c r="F175" s="50" t="s">
        <v>23</v>
      </c>
      <c r="G175" s="50"/>
      <c r="H175" s="44" t="s">
        <v>22</v>
      </c>
      <c r="I175" s="52">
        <v>767.53</v>
      </c>
      <c r="J175" s="52"/>
      <c r="K175" s="47" t="s">
        <v>17</v>
      </c>
      <c r="L175" s="48">
        <v>47589.1</v>
      </c>
    </row>
    <row r="176" spans="1:12" ht="61.2" x14ac:dyDescent="0.3">
      <c r="A176" s="42" t="s">
        <v>44</v>
      </c>
      <c r="B176" s="43" t="s">
        <v>264</v>
      </c>
      <c r="C176" s="43" t="s">
        <v>42</v>
      </c>
      <c r="D176" s="43" t="s">
        <v>89</v>
      </c>
      <c r="E176" s="44" t="s">
        <v>43</v>
      </c>
      <c r="F176" s="50" t="s">
        <v>23</v>
      </c>
      <c r="G176" s="50"/>
      <c r="H176" s="44" t="s">
        <v>22</v>
      </c>
      <c r="I176" s="51">
        <v>2302.59</v>
      </c>
      <c r="J176" s="51"/>
      <c r="K176" s="47" t="s">
        <v>17</v>
      </c>
      <c r="L176" s="48">
        <v>45286.51</v>
      </c>
    </row>
    <row r="177" spans="1:12" ht="61.2" x14ac:dyDescent="0.3">
      <c r="A177" s="42" t="s">
        <v>44</v>
      </c>
      <c r="B177" s="43" t="s">
        <v>264</v>
      </c>
      <c r="C177" s="43" t="s">
        <v>42</v>
      </c>
      <c r="D177" s="43" t="s">
        <v>96</v>
      </c>
      <c r="E177" s="44" t="s">
        <v>43</v>
      </c>
      <c r="F177" s="50" t="s">
        <v>23</v>
      </c>
      <c r="G177" s="50"/>
      <c r="H177" s="44" t="s">
        <v>22</v>
      </c>
      <c r="I177" s="52">
        <v>767.53</v>
      </c>
      <c r="J177" s="52"/>
      <c r="K177" s="47" t="s">
        <v>17</v>
      </c>
      <c r="L177" s="48">
        <v>44518.98</v>
      </c>
    </row>
    <row r="178" spans="1:12" ht="61.2" x14ac:dyDescent="0.3">
      <c r="A178" s="42" t="s">
        <v>44</v>
      </c>
      <c r="B178" s="43" t="s">
        <v>264</v>
      </c>
      <c r="C178" s="43" t="s">
        <v>42</v>
      </c>
      <c r="D178" s="43" t="s">
        <v>126</v>
      </c>
      <c r="E178" s="44" t="s">
        <v>43</v>
      </c>
      <c r="F178" s="50" t="s">
        <v>23</v>
      </c>
      <c r="G178" s="50"/>
      <c r="H178" s="44" t="s">
        <v>22</v>
      </c>
      <c r="I178" s="51">
        <v>1576.74</v>
      </c>
      <c r="J178" s="51"/>
      <c r="K178" s="47" t="s">
        <v>17</v>
      </c>
      <c r="L178" s="48">
        <v>42942.239999999998</v>
      </c>
    </row>
    <row r="179" spans="1:12" ht="51" x14ac:dyDescent="0.3">
      <c r="A179" s="42" t="s">
        <v>44</v>
      </c>
      <c r="B179" s="43" t="s">
        <v>264</v>
      </c>
      <c r="C179" s="43" t="s">
        <v>42</v>
      </c>
      <c r="D179" s="43" t="s">
        <v>133</v>
      </c>
      <c r="E179" s="44" t="s">
        <v>43</v>
      </c>
      <c r="F179" s="50" t="s">
        <v>23</v>
      </c>
      <c r="G179" s="50"/>
      <c r="H179" s="44" t="s">
        <v>22</v>
      </c>
      <c r="I179" s="51">
        <v>3336.6</v>
      </c>
      <c r="J179" s="51"/>
      <c r="K179" s="47" t="s">
        <v>17</v>
      </c>
      <c r="L179" s="48">
        <v>39605.64</v>
      </c>
    </row>
    <row r="180" spans="1:12" ht="51" x14ac:dyDescent="0.3">
      <c r="A180" s="42" t="s">
        <v>44</v>
      </c>
      <c r="B180" s="43" t="s">
        <v>264</v>
      </c>
      <c r="C180" s="43" t="s">
        <v>42</v>
      </c>
      <c r="D180" s="43" t="s">
        <v>265</v>
      </c>
      <c r="E180" s="44" t="s">
        <v>43</v>
      </c>
      <c r="F180" s="50" t="s">
        <v>23</v>
      </c>
      <c r="G180" s="50"/>
      <c r="H180" s="44" t="s">
        <v>22</v>
      </c>
      <c r="I180" s="52">
        <v>627.29999999999995</v>
      </c>
      <c r="J180" s="52"/>
      <c r="K180" s="47" t="s">
        <v>17</v>
      </c>
      <c r="L180" s="48">
        <v>38978.339999999997</v>
      </c>
    </row>
    <row r="181" spans="1:12" ht="51" x14ac:dyDescent="0.3">
      <c r="A181" s="42" t="s">
        <v>44</v>
      </c>
      <c r="B181" s="43" t="s">
        <v>264</v>
      </c>
      <c r="C181" s="43" t="s">
        <v>42</v>
      </c>
      <c r="D181" s="43" t="s">
        <v>123</v>
      </c>
      <c r="E181" s="44" t="s">
        <v>43</v>
      </c>
      <c r="F181" s="50" t="s">
        <v>23</v>
      </c>
      <c r="G181" s="50"/>
      <c r="H181" s="44" t="s">
        <v>22</v>
      </c>
      <c r="I181" s="51">
        <v>1483.17</v>
      </c>
      <c r="J181" s="51"/>
      <c r="K181" s="47" t="s">
        <v>17</v>
      </c>
      <c r="L181" s="48">
        <v>37495.17</v>
      </c>
    </row>
    <row r="182" spans="1:12" ht="51" x14ac:dyDescent="0.3">
      <c r="A182" s="42" t="s">
        <v>44</v>
      </c>
      <c r="B182" s="43" t="s">
        <v>264</v>
      </c>
      <c r="C182" s="43" t="s">
        <v>42</v>
      </c>
      <c r="D182" s="43" t="s">
        <v>73</v>
      </c>
      <c r="E182" s="44" t="s">
        <v>43</v>
      </c>
      <c r="F182" s="50" t="s">
        <v>23</v>
      </c>
      <c r="G182" s="50"/>
      <c r="H182" s="44" t="s">
        <v>22</v>
      </c>
      <c r="I182" s="51">
        <v>1483.17</v>
      </c>
      <c r="J182" s="51"/>
      <c r="K182" s="47" t="s">
        <v>17</v>
      </c>
      <c r="L182" s="48">
        <v>36012</v>
      </c>
    </row>
    <row r="183" spans="1:12" ht="51" x14ac:dyDescent="0.3">
      <c r="A183" s="42" t="s">
        <v>44</v>
      </c>
      <c r="B183" s="43" t="s">
        <v>264</v>
      </c>
      <c r="C183" s="43" t="s">
        <v>42</v>
      </c>
      <c r="D183" s="43" t="s">
        <v>83</v>
      </c>
      <c r="E183" s="44" t="s">
        <v>43</v>
      </c>
      <c r="F183" s="50" t="s">
        <v>23</v>
      </c>
      <c r="G183" s="50"/>
      <c r="H183" s="44" t="s">
        <v>22</v>
      </c>
      <c r="I183" s="51">
        <v>1483.17</v>
      </c>
      <c r="J183" s="51"/>
      <c r="K183" s="47" t="s">
        <v>17</v>
      </c>
      <c r="L183" s="48">
        <v>34528.83</v>
      </c>
    </row>
    <row r="184" spans="1:12" ht="51" x14ac:dyDescent="0.3">
      <c r="A184" s="42" t="s">
        <v>44</v>
      </c>
      <c r="B184" s="43" t="s">
        <v>264</v>
      </c>
      <c r="C184" s="43" t="s">
        <v>42</v>
      </c>
      <c r="D184" s="43" t="s">
        <v>122</v>
      </c>
      <c r="E184" s="44" t="s">
        <v>43</v>
      </c>
      <c r="F184" s="50" t="s">
        <v>23</v>
      </c>
      <c r="G184" s="50"/>
      <c r="H184" s="44" t="s">
        <v>22</v>
      </c>
      <c r="I184" s="51">
        <v>1483.17</v>
      </c>
      <c r="J184" s="51"/>
      <c r="K184" s="47" t="s">
        <v>17</v>
      </c>
      <c r="L184" s="48">
        <v>33045.660000000003</v>
      </c>
    </row>
    <row r="185" spans="1:12" ht="51" x14ac:dyDescent="0.3">
      <c r="A185" s="42" t="s">
        <v>44</v>
      </c>
      <c r="B185" s="43" t="s">
        <v>264</v>
      </c>
      <c r="C185" s="43" t="s">
        <v>42</v>
      </c>
      <c r="D185" s="43" t="s">
        <v>81</v>
      </c>
      <c r="E185" s="44" t="s">
        <v>43</v>
      </c>
      <c r="F185" s="50" t="s">
        <v>23</v>
      </c>
      <c r="G185" s="50"/>
      <c r="H185" s="44" t="s">
        <v>22</v>
      </c>
      <c r="I185" s="51">
        <v>7415.85</v>
      </c>
      <c r="J185" s="51"/>
      <c r="K185" s="47" t="s">
        <v>17</v>
      </c>
      <c r="L185" s="48">
        <v>25629.81</v>
      </c>
    </row>
    <row r="186" spans="1:12" ht="51" x14ac:dyDescent="0.3">
      <c r="A186" s="42" t="s">
        <v>44</v>
      </c>
      <c r="B186" s="43" t="s">
        <v>264</v>
      </c>
      <c r="C186" s="43" t="s">
        <v>42</v>
      </c>
      <c r="D186" s="43" t="s">
        <v>121</v>
      </c>
      <c r="E186" s="44" t="s">
        <v>43</v>
      </c>
      <c r="F186" s="50" t="s">
        <v>23</v>
      </c>
      <c r="G186" s="50"/>
      <c r="H186" s="44" t="s">
        <v>22</v>
      </c>
      <c r="I186" s="51">
        <v>1483.17</v>
      </c>
      <c r="J186" s="51"/>
      <c r="K186" s="47" t="s">
        <v>17</v>
      </c>
      <c r="L186" s="48">
        <v>24146.639999999999</v>
      </c>
    </row>
    <row r="187" spans="1:12" ht="51" x14ac:dyDescent="0.3">
      <c r="A187" s="42" t="s">
        <v>44</v>
      </c>
      <c r="B187" s="43" t="s">
        <v>264</v>
      </c>
      <c r="C187" s="43" t="s">
        <v>42</v>
      </c>
      <c r="D187" s="43" t="s">
        <v>75</v>
      </c>
      <c r="E187" s="44" t="s">
        <v>43</v>
      </c>
      <c r="F187" s="50" t="s">
        <v>23</v>
      </c>
      <c r="G187" s="50"/>
      <c r="H187" s="44" t="s">
        <v>22</v>
      </c>
      <c r="I187" s="51">
        <v>4449.51</v>
      </c>
      <c r="J187" s="51"/>
      <c r="K187" s="47" t="s">
        <v>17</v>
      </c>
      <c r="L187" s="48">
        <v>19697.13</v>
      </c>
    </row>
    <row r="188" spans="1:12" ht="51" x14ac:dyDescent="0.3">
      <c r="A188" s="42" t="s">
        <v>44</v>
      </c>
      <c r="B188" s="43" t="s">
        <v>264</v>
      </c>
      <c r="C188" s="43" t="s">
        <v>42</v>
      </c>
      <c r="D188" s="43" t="s">
        <v>84</v>
      </c>
      <c r="E188" s="44" t="s">
        <v>43</v>
      </c>
      <c r="F188" s="50" t="s">
        <v>23</v>
      </c>
      <c r="G188" s="50"/>
      <c r="H188" s="44" t="s">
        <v>22</v>
      </c>
      <c r="I188" s="51">
        <v>1483.17</v>
      </c>
      <c r="J188" s="51"/>
      <c r="K188" s="47" t="s">
        <v>17</v>
      </c>
      <c r="L188" s="48">
        <v>18213.96</v>
      </c>
    </row>
    <row r="189" spans="1:12" ht="51" x14ac:dyDescent="0.3">
      <c r="A189" s="42" t="s">
        <v>44</v>
      </c>
      <c r="B189" s="43" t="s">
        <v>264</v>
      </c>
      <c r="C189" s="43" t="s">
        <v>42</v>
      </c>
      <c r="D189" s="43" t="s">
        <v>86</v>
      </c>
      <c r="E189" s="44" t="s">
        <v>43</v>
      </c>
      <c r="F189" s="50" t="s">
        <v>23</v>
      </c>
      <c r="G189" s="50"/>
      <c r="H189" s="44" t="s">
        <v>22</v>
      </c>
      <c r="I189" s="51">
        <v>1763.97</v>
      </c>
      <c r="J189" s="51"/>
      <c r="K189" s="47" t="s">
        <v>17</v>
      </c>
      <c r="L189" s="48">
        <v>16449.990000000002</v>
      </c>
    </row>
    <row r="190" spans="1:12" ht="51" x14ac:dyDescent="0.3">
      <c r="A190" s="42" t="s">
        <v>44</v>
      </c>
      <c r="B190" s="43" t="s">
        <v>264</v>
      </c>
      <c r="C190" s="43" t="s">
        <v>42</v>
      </c>
      <c r="D190" s="43" t="s">
        <v>182</v>
      </c>
      <c r="E190" s="44" t="s">
        <v>43</v>
      </c>
      <c r="F190" s="50" t="s">
        <v>23</v>
      </c>
      <c r="G190" s="50"/>
      <c r="H190" s="44" t="s">
        <v>22</v>
      </c>
      <c r="I190" s="51">
        <v>1483.17</v>
      </c>
      <c r="J190" s="51"/>
      <c r="K190" s="47" t="s">
        <v>17</v>
      </c>
      <c r="L190" s="48">
        <v>14966.82</v>
      </c>
    </row>
    <row r="191" spans="1:12" ht="51" x14ac:dyDescent="0.3">
      <c r="A191" s="42" t="s">
        <v>44</v>
      </c>
      <c r="B191" s="43" t="s">
        <v>264</v>
      </c>
      <c r="C191" s="43" t="s">
        <v>42</v>
      </c>
      <c r="D191" s="43" t="s">
        <v>154</v>
      </c>
      <c r="E191" s="44" t="s">
        <v>43</v>
      </c>
      <c r="F191" s="50" t="s">
        <v>23</v>
      </c>
      <c r="G191" s="50"/>
      <c r="H191" s="44" t="s">
        <v>22</v>
      </c>
      <c r="I191" s="52">
        <v>465.71</v>
      </c>
      <c r="J191" s="52"/>
      <c r="K191" s="47" t="s">
        <v>17</v>
      </c>
      <c r="L191" s="48">
        <v>14501.11</v>
      </c>
    </row>
    <row r="192" spans="1:12" ht="51" x14ac:dyDescent="0.3">
      <c r="A192" s="42" t="s">
        <v>44</v>
      </c>
      <c r="B192" s="43" t="s">
        <v>264</v>
      </c>
      <c r="C192" s="43" t="s">
        <v>42</v>
      </c>
      <c r="D192" s="43" t="s">
        <v>266</v>
      </c>
      <c r="E192" s="44" t="s">
        <v>43</v>
      </c>
      <c r="F192" s="50" t="s">
        <v>23</v>
      </c>
      <c r="G192" s="50"/>
      <c r="H192" s="44" t="s">
        <v>22</v>
      </c>
      <c r="I192" s="51">
        <v>1291.7</v>
      </c>
      <c r="J192" s="51"/>
      <c r="K192" s="47" t="s">
        <v>17</v>
      </c>
      <c r="L192" s="48">
        <v>13209.41</v>
      </c>
    </row>
    <row r="193" spans="1:12" ht="61.2" x14ac:dyDescent="0.3">
      <c r="A193" s="42" t="s">
        <v>44</v>
      </c>
      <c r="B193" s="43" t="s">
        <v>264</v>
      </c>
      <c r="C193" s="43" t="s">
        <v>42</v>
      </c>
      <c r="D193" s="43" t="s">
        <v>188</v>
      </c>
      <c r="E193" s="44" t="s">
        <v>43</v>
      </c>
      <c r="F193" s="50" t="s">
        <v>23</v>
      </c>
      <c r="G193" s="50"/>
      <c r="H193" s="44" t="s">
        <v>22</v>
      </c>
      <c r="I193" s="52">
        <v>499</v>
      </c>
      <c r="J193" s="52"/>
      <c r="K193" s="47" t="s">
        <v>17</v>
      </c>
      <c r="L193" s="48">
        <v>12710.41</v>
      </c>
    </row>
    <row r="194" spans="1:12" ht="51" x14ac:dyDescent="0.3">
      <c r="A194" s="42" t="s">
        <v>44</v>
      </c>
      <c r="B194" s="43" t="s">
        <v>264</v>
      </c>
      <c r="C194" s="43" t="s">
        <v>42</v>
      </c>
      <c r="D194" s="43" t="s">
        <v>155</v>
      </c>
      <c r="E194" s="44" t="s">
        <v>43</v>
      </c>
      <c r="F194" s="50" t="s">
        <v>23</v>
      </c>
      <c r="G194" s="50"/>
      <c r="H194" s="44" t="s">
        <v>22</v>
      </c>
      <c r="I194" s="52">
        <v>242.15</v>
      </c>
      <c r="J194" s="52"/>
      <c r="K194" s="47" t="s">
        <v>17</v>
      </c>
      <c r="L194" s="48">
        <v>12468.26</v>
      </c>
    </row>
    <row r="195" spans="1:12" ht="51" x14ac:dyDescent="0.3">
      <c r="A195" s="42" t="s">
        <v>44</v>
      </c>
      <c r="B195" s="43" t="s">
        <v>264</v>
      </c>
      <c r="C195" s="43" t="s">
        <v>42</v>
      </c>
      <c r="D195" s="43" t="s">
        <v>156</v>
      </c>
      <c r="E195" s="44" t="s">
        <v>43</v>
      </c>
      <c r="F195" s="50" t="s">
        <v>23</v>
      </c>
      <c r="G195" s="50"/>
      <c r="H195" s="44" t="s">
        <v>22</v>
      </c>
      <c r="I195" s="52">
        <v>195.32</v>
      </c>
      <c r="J195" s="52"/>
      <c r="K195" s="47" t="s">
        <v>17</v>
      </c>
      <c r="L195" s="48">
        <v>12272.94</v>
      </c>
    </row>
    <row r="196" spans="1:12" ht="61.2" x14ac:dyDescent="0.3">
      <c r="A196" s="42" t="s">
        <v>44</v>
      </c>
      <c r="B196" s="43" t="s">
        <v>264</v>
      </c>
      <c r="C196" s="43" t="s">
        <v>42</v>
      </c>
      <c r="D196" s="43" t="s">
        <v>128</v>
      </c>
      <c r="E196" s="44" t="s">
        <v>43</v>
      </c>
      <c r="F196" s="50" t="s">
        <v>23</v>
      </c>
      <c r="G196" s="50"/>
      <c r="H196" s="44" t="s">
        <v>22</v>
      </c>
      <c r="I196" s="52">
        <v>788.37</v>
      </c>
      <c r="J196" s="52"/>
      <c r="K196" s="47" t="s">
        <v>17</v>
      </c>
      <c r="L196" s="48">
        <v>11484.57</v>
      </c>
    </row>
    <row r="197" spans="1:12" ht="51" x14ac:dyDescent="0.3">
      <c r="A197" s="42" t="s">
        <v>44</v>
      </c>
      <c r="B197" s="43" t="s">
        <v>264</v>
      </c>
      <c r="C197" s="43" t="s">
        <v>42</v>
      </c>
      <c r="D197" s="43" t="s">
        <v>91</v>
      </c>
      <c r="E197" s="44" t="s">
        <v>43</v>
      </c>
      <c r="F197" s="50" t="s">
        <v>23</v>
      </c>
      <c r="G197" s="50"/>
      <c r="H197" s="44" t="s">
        <v>22</v>
      </c>
      <c r="I197" s="52">
        <v>767.53</v>
      </c>
      <c r="J197" s="52"/>
      <c r="K197" s="47" t="s">
        <v>17</v>
      </c>
      <c r="L197" s="48">
        <v>10717.04</v>
      </c>
    </row>
    <row r="198" spans="1:12" ht="61.2" x14ac:dyDescent="0.3">
      <c r="A198" s="42" t="s">
        <v>44</v>
      </c>
      <c r="B198" s="43" t="s">
        <v>267</v>
      </c>
      <c r="C198" s="43" t="s">
        <v>42</v>
      </c>
      <c r="D198" s="43" t="s">
        <v>88</v>
      </c>
      <c r="E198" s="44" t="s">
        <v>43</v>
      </c>
      <c r="F198" s="50" t="s">
        <v>23</v>
      </c>
      <c r="G198" s="50"/>
      <c r="H198" s="44" t="s">
        <v>22</v>
      </c>
      <c r="I198" s="52">
        <v>767.53</v>
      </c>
      <c r="J198" s="52"/>
      <c r="K198" s="47" t="s">
        <v>17</v>
      </c>
      <c r="L198" s="48">
        <v>9949.51</v>
      </c>
    </row>
    <row r="199" spans="1:12" ht="61.2" x14ac:dyDescent="0.3">
      <c r="A199" s="42" t="s">
        <v>44</v>
      </c>
      <c r="B199" s="43" t="s">
        <v>267</v>
      </c>
      <c r="C199" s="43" t="s">
        <v>42</v>
      </c>
      <c r="D199" s="43" t="s">
        <v>99</v>
      </c>
      <c r="E199" s="44" t="s">
        <v>43</v>
      </c>
      <c r="F199" s="50" t="s">
        <v>23</v>
      </c>
      <c r="G199" s="50"/>
      <c r="H199" s="44" t="s">
        <v>22</v>
      </c>
      <c r="I199" s="52">
        <v>767.53</v>
      </c>
      <c r="J199" s="52"/>
      <c r="K199" s="47" t="s">
        <v>17</v>
      </c>
      <c r="L199" s="48">
        <v>9181.98</v>
      </c>
    </row>
    <row r="200" spans="1:12" ht="61.2" x14ac:dyDescent="0.3">
      <c r="A200" s="42" t="s">
        <v>44</v>
      </c>
      <c r="B200" s="43" t="s">
        <v>268</v>
      </c>
      <c r="C200" s="43" t="s">
        <v>42</v>
      </c>
      <c r="D200" s="43" t="s">
        <v>185</v>
      </c>
      <c r="E200" s="44" t="s">
        <v>43</v>
      </c>
      <c r="F200" s="50" t="s">
        <v>23</v>
      </c>
      <c r="G200" s="50"/>
      <c r="H200" s="44" t="s">
        <v>22</v>
      </c>
      <c r="I200" s="51">
        <v>1576.74</v>
      </c>
      <c r="J200" s="51"/>
      <c r="K200" s="47" t="s">
        <v>17</v>
      </c>
      <c r="L200" s="48">
        <v>7605.24</v>
      </c>
    </row>
    <row r="201" spans="1:12" ht="61.2" x14ac:dyDescent="0.3">
      <c r="A201" s="42" t="s">
        <v>44</v>
      </c>
      <c r="B201" s="43" t="s">
        <v>268</v>
      </c>
      <c r="C201" s="43" t="s">
        <v>42</v>
      </c>
      <c r="D201" s="43" t="s">
        <v>99</v>
      </c>
      <c r="E201" s="44" t="s">
        <v>43</v>
      </c>
      <c r="F201" s="50" t="s">
        <v>23</v>
      </c>
      <c r="G201" s="50"/>
      <c r="H201" s="44" t="s">
        <v>22</v>
      </c>
      <c r="I201" s="52">
        <v>767.53</v>
      </c>
      <c r="J201" s="52"/>
      <c r="K201" s="47" t="s">
        <v>17</v>
      </c>
      <c r="L201" s="48">
        <v>6837.71</v>
      </c>
    </row>
    <row r="202" spans="1:12" ht="61.2" x14ac:dyDescent="0.3">
      <c r="A202" s="42" t="s">
        <v>44</v>
      </c>
      <c r="B202" s="43" t="s">
        <v>268</v>
      </c>
      <c r="C202" s="43" t="s">
        <v>42</v>
      </c>
      <c r="D202" s="43" t="s">
        <v>78</v>
      </c>
      <c r="E202" s="44" t="s">
        <v>43</v>
      </c>
      <c r="F202" s="50" t="s">
        <v>23</v>
      </c>
      <c r="G202" s="50"/>
      <c r="H202" s="44" t="s">
        <v>22</v>
      </c>
      <c r="I202" s="51">
        <v>3070.12</v>
      </c>
      <c r="J202" s="51"/>
      <c r="K202" s="47" t="s">
        <v>17</v>
      </c>
      <c r="L202" s="48">
        <v>3767.59</v>
      </c>
    </row>
    <row r="203" spans="1:12" ht="61.2" x14ac:dyDescent="0.3">
      <c r="A203" s="42" t="s">
        <v>44</v>
      </c>
      <c r="B203" s="43" t="s">
        <v>268</v>
      </c>
      <c r="C203" s="43" t="s">
        <v>42</v>
      </c>
      <c r="D203" s="43" t="s">
        <v>90</v>
      </c>
      <c r="E203" s="44" t="s">
        <v>43</v>
      </c>
      <c r="F203" s="50" t="s">
        <v>23</v>
      </c>
      <c r="G203" s="50"/>
      <c r="H203" s="44" t="s">
        <v>22</v>
      </c>
      <c r="I203" s="51">
        <v>2302.59</v>
      </c>
      <c r="J203" s="51"/>
      <c r="K203" s="47" t="s">
        <v>17</v>
      </c>
      <c r="L203" s="48">
        <v>1465</v>
      </c>
    </row>
    <row r="204" spans="1:12" ht="51" x14ac:dyDescent="0.3">
      <c r="A204" s="42" t="s">
        <v>44</v>
      </c>
      <c r="B204" s="43" t="s">
        <v>268</v>
      </c>
      <c r="C204" s="43" t="s">
        <v>42</v>
      </c>
      <c r="D204" s="43" t="s">
        <v>260</v>
      </c>
      <c r="E204" s="44" t="s">
        <v>43</v>
      </c>
      <c r="F204" s="50" t="s">
        <v>23</v>
      </c>
      <c r="G204" s="50"/>
      <c r="H204" s="44" t="s">
        <v>22</v>
      </c>
      <c r="I204" s="52">
        <v>960</v>
      </c>
      <c r="J204" s="52"/>
      <c r="K204" s="47" t="s">
        <v>17</v>
      </c>
      <c r="L204" s="53">
        <v>505</v>
      </c>
    </row>
    <row r="205" spans="1:12" ht="51" hidden="1" x14ac:dyDescent="0.3">
      <c r="A205" s="42" t="s">
        <v>46</v>
      </c>
      <c r="B205" s="43" t="s">
        <v>269</v>
      </c>
      <c r="C205" s="43" t="s">
        <v>270</v>
      </c>
      <c r="D205" s="43" t="s">
        <v>271</v>
      </c>
      <c r="E205" s="44" t="s">
        <v>22</v>
      </c>
      <c r="F205" s="45">
        <v>1917</v>
      </c>
      <c r="G205" s="45"/>
      <c r="H205" s="44" t="s">
        <v>64</v>
      </c>
      <c r="I205" s="46" t="s">
        <v>23</v>
      </c>
      <c r="J205" s="46"/>
      <c r="K205" s="47" t="s">
        <v>17</v>
      </c>
      <c r="L205" s="48">
        <v>2422</v>
      </c>
    </row>
    <row r="206" spans="1:12" ht="51" hidden="1" x14ac:dyDescent="0.3">
      <c r="A206" s="42" t="s">
        <v>46</v>
      </c>
      <c r="B206" s="43" t="s">
        <v>269</v>
      </c>
      <c r="C206" s="43" t="s">
        <v>272</v>
      </c>
      <c r="D206" s="43" t="s">
        <v>271</v>
      </c>
      <c r="E206" s="44" t="s">
        <v>22</v>
      </c>
      <c r="F206" s="49">
        <v>99.8</v>
      </c>
      <c r="G206" s="49"/>
      <c r="H206" s="44" t="s">
        <v>64</v>
      </c>
      <c r="I206" s="46" t="s">
        <v>23</v>
      </c>
      <c r="J206" s="46"/>
      <c r="K206" s="47" t="s">
        <v>17</v>
      </c>
      <c r="L206" s="48">
        <v>2521.8000000000002</v>
      </c>
    </row>
    <row r="207" spans="1:12" ht="51" hidden="1" x14ac:dyDescent="0.3">
      <c r="A207" s="42" t="s">
        <v>46</v>
      </c>
      <c r="B207" s="43" t="s">
        <v>269</v>
      </c>
      <c r="C207" s="43" t="s">
        <v>273</v>
      </c>
      <c r="D207" s="43" t="s">
        <v>271</v>
      </c>
      <c r="E207" s="44" t="s">
        <v>22</v>
      </c>
      <c r="F207" s="45">
        <v>6310</v>
      </c>
      <c r="G207" s="45"/>
      <c r="H207" s="44" t="s">
        <v>64</v>
      </c>
      <c r="I207" s="46" t="s">
        <v>23</v>
      </c>
      <c r="J207" s="46"/>
      <c r="K207" s="47" t="s">
        <v>17</v>
      </c>
      <c r="L207" s="48">
        <v>8831.7999999999993</v>
      </c>
    </row>
    <row r="208" spans="1:12" ht="51" hidden="1" x14ac:dyDescent="0.3">
      <c r="A208" s="42" t="s">
        <v>46</v>
      </c>
      <c r="B208" s="43" t="s">
        <v>269</v>
      </c>
      <c r="C208" s="43" t="s">
        <v>274</v>
      </c>
      <c r="D208" s="43" t="s">
        <v>271</v>
      </c>
      <c r="E208" s="44" t="s">
        <v>22</v>
      </c>
      <c r="F208" s="45">
        <v>12169</v>
      </c>
      <c r="G208" s="45"/>
      <c r="H208" s="44" t="s">
        <v>64</v>
      </c>
      <c r="I208" s="46" t="s">
        <v>23</v>
      </c>
      <c r="J208" s="46"/>
      <c r="K208" s="47" t="s">
        <v>17</v>
      </c>
      <c r="L208" s="48">
        <v>21000.799999999999</v>
      </c>
    </row>
    <row r="209" spans="1:12" ht="61.2" hidden="1" x14ac:dyDescent="0.3">
      <c r="A209" s="42" t="s">
        <v>46</v>
      </c>
      <c r="B209" s="43" t="s">
        <v>269</v>
      </c>
      <c r="C209" s="43" t="s">
        <v>49</v>
      </c>
      <c r="D209" s="43" t="s">
        <v>271</v>
      </c>
      <c r="E209" s="44" t="s">
        <v>22</v>
      </c>
      <c r="F209" s="45">
        <v>3483.5</v>
      </c>
      <c r="G209" s="45"/>
      <c r="H209" s="44" t="s">
        <v>64</v>
      </c>
      <c r="I209" s="46" t="s">
        <v>23</v>
      </c>
      <c r="J209" s="46"/>
      <c r="K209" s="47" t="s">
        <v>17</v>
      </c>
      <c r="L209" s="48">
        <v>24484.3</v>
      </c>
    </row>
    <row r="210" spans="1:12" ht="51" hidden="1" x14ac:dyDescent="0.3">
      <c r="A210" s="42" t="s">
        <v>46</v>
      </c>
      <c r="B210" s="43" t="s">
        <v>269</v>
      </c>
      <c r="C210" s="43" t="s">
        <v>51</v>
      </c>
      <c r="D210" s="43" t="s">
        <v>271</v>
      </c>
      <c r="E210" s="44" t="s">
        <v>22</v>
      </c>
      <c r="F210" s="45">
        <v>1545</v>
      </c>
      <c r="G210" s="45"/>
      <c r="H210" s="44" t="s">
        <v>64</v>
      </c>
      <c r="I210" s="46" t="s">
        <v>23</v>
      </c>
      <c r="J210" s="46"/>
      <c r="K210" s="47" t="s">
        <v>17</v>
      </c>
      <c r="L210" s="48">
        <v>26029.3</v>
      </c>
    </row>
    <row r="211" spans="1:12" ht="61.2" hidden="1" x14ac:dyDescent="0.3">
      <c r="A211" s="42" t="s">
        <v>46</v>
      </c>
      <c r="B211" s="43" t="s">
        <v>269</v>
      </c>
      <c r="C211" s="43" t="s">
        <v>275</v>
      </c>
      <c r="D211" s="43" t="s">
        <v>271</v>
      </c>
      <c r="E211" s="44" t="s">
        <v>22</v>
      </c>
      <c r="F211" s="45">
        <v>1116</v>
      </c>
      <c r="G211" s="45"/>
      <c r="H211" s="44" t="s">
        <v>64</v>
      </c>
      <c r="I211" s="46" t="s">
        <v>23</v>
      </c>
      <c r="J211" s="46"/>
      <c r="K211" s="47" t="s">
        <v>17</v>
      </c>
      <c r="L211" s="48">
        <v>27145.3</v>
      </c>
    </row>
    <row r="212" spans="1:12" ht="51" hidden="1" x14ac:dyDescent="0.3">
      <c r="A212" s="42" t="s">
        <v>46</v>
      </c>
      <c r="B212" s="43" t="s">
        <v>269</v>
      </c>
      <c r="C212" s="43" t="s">
        <v>276</v>
      </c>
      <c r="D212" s="43" t="s">
        <v>271</v>
      </c>
      <c r="E212" s="44" t="s">
        <v>22</v>
      </c>
      <c r="F212" s="49">
        <v>268.75</v>
      </c>
      <c r="G212" s="49"/>
      <c r="H212" s="44" t="s">
        <v>64</v>
      </c>
      <c r="I212" s="46" t="s">
        <v>23</v>
      </c>
      <c r="J212" s="46"/>
      <c r="K212" s="47" t="s">
        <v>17</v>
      </c>
      <c r="L212" s="48">
        <v>27414.05</v>
      </c>
    </row>
    <row r="213" spans="1:12" ht="51" hidden="1" x14ac:dyDescent="0.3">
      <c r="A213" s="42" t="s">
        <v>46</v>
      </c>
      <c r="B213" s="43" t="s">
        <v>269</v>
      </c>
      <c r="C213" s="43" t="s">
        <v>53</v>
      </c>
      <c r="D213" s="43" t="s">
        <v>271</v>
      </c>
      <c r="E213" s="44" t="s">
        <v>22</v>
      </c>
      <c r="F213" s="49">
        <v>595</v>
      </c>
      <c r="G213" s="49"/>
      <c r="H213" s="44" t="s">
        <v>64</v>
      </c>
      <c r="I213" s="46" t="s">
        <v>23</v>
      </c>
      <c r="J213" s="46"/>
      <c r="K213" s="47" t="s">
        <v>17</v>
      </c>
      <c r="L213" s="48">
        <v>28009.05</v>
      </c>
    </row>
    <row r="214" spans="1:12" ht="51" hidden="1" x14ac:dyDescent="0.3">
      <c r="A214" s="42" t="s">
        <v>46</v>
      </c>
      <c r="B214" s="43" t="s">
        <v>269</v>
      </c>
      <c r="C214" s="43" t="s">
        <v>55</v>
      </c>
      <c r="D214" s="43" t="s">
        <v>271</v>
      </c>
      <c r="E214" s="44" t="s">
        <v>22</v>
      </c>
      <c r="F214" s="49">
        <v>396.3</v>
      </c>
      <c r="G214" s="49"/>
      <c r="H214" s="44" t="s">
        <v>64</v>
      </c>
      <c r="I214" s="46" t="s">
        <v>23</v>
      </c>
      <c r="J214" s="46"/>
      <c r="K214" s="47" t="s">
        <v>17</v>
      </c>
      <c r="L214" s="48">
        <v>28405.35</v>
      </c>
    </row>
    <row r="215" spans="1:12" ht="51" hidden="1" x14ac:dyDescent="0.3">
      <c r="A215" s="42" t="s">
        <v>46</v>
      </c>
      <c r="B215" s="43" t="s">
        <v>269</v>
      </c>
      <c r="C215" s="43" t="s">
        <v>57</v>
      </c>
      <c r="D215" s="43" t="s">
        <v>271</v>
      </c>
      <c r="E215" s="44" t="s">
        <v>22</v>
      </c>
      <c r="F215" s="45">
        <v>11460</v>
      </c>
      <c r="G215" s="45"/>
      <c r="H215" s="44" t="s">
        <v>64</v>
      </c>
      <c r="I215" s="46" t="s">
        <v>23</v>
      </c>
      <c r="J215" s="46"/>
      <c r="K215" s="47" t="s">
        <v>17</v>
      </c>
      <c r="L215" s="48">
        <v>39865.35</v>
      </c>
    </row>
    <row r="216" spans="1:12" ht="51" hidden="1" x14ac:dyDescent="0.3">
      <c r="A216" s="42" t="s">
        <v>46</v>
      </c>
      <c r="B216" s="43" t="s">
        <v>277</v>
      </c>
      <c r="C216" s="43" t="s">
        <v>278</v>
      </c>
      <c r="D216" s="43" t="s">
        <v>270</v>
      </c>
      <c r="E216" s="44" t="s">
        <v>22</v>
      </c>
      <c r="F216" s="50" t="s">
        <v>23</v>
      </c>
      <c r="G216" s="50"/>
      <c r="H216" s="44" t="s">
        <v>22</v>
      </c>
      <c r="I216" s="52">
        <v>479.25</v>
      </c>
      <c r="J216" s="52"/>
      <c r="K216" s="47" t="s">
        <v>17</v>
      </c>
      <c r="L216" s="48">
        <v>39386.1</v>
      </c>
    </row>
    <row r="217" spans="1:12" ht="51" hidden="1" x14ac:dyDescent="0.3">
      <c r="A217" s="42" t="s">
        <v>46</v>
      </c>
      <c r="B217" s="43" t="s">
        <v>277</v>
      </c>
      <c r="C217" s="43" t="s">
        <v>279</v>
      </c>
      <c r="D217" s="43" t="s">
        <v>272</v>
      </c>
      <c r="E217" s="44" t="s">
        <v>22</v>
      </c>
      <c r="F217" s="50" t="s">
        <v>23</v>
      </c>
      <c r="G217" s="50"/>
      <c r="H217" s="44" t="s">
        <v>22</v>
      </c>
      <c r="I217" s="52">
        <v>99.8</v>
      </c>
      <c r="J217" s="52"/>
      <c r="K217" s="47" t="s">
        <v>17</v>
      </c>
      <c r="L217" s="48">
        <v>39286.300000000003</v>
      </c>
    </row>
    <row r="218" spans="1:12" ht="51" hidden="1" x14ac:dyDescent="0.3">
      <c r="A218" s="42" t="s">
        <v>46</v>
      </c>
      <c r="B218" s="43" t="s">
        <v>277</v>
      </c>
      <c r="C218" s="43" t="s">
        <v>280</v>
      </c>
      <c r="D218" s="43" t="s">
        <v>274</v>
      </c>
      <c r="E218" s="44" t="s">
        <v>22</v>
      </c>
      <c r="F218" s="50" t="s">
        <v>23</v>
      </c>
      <c r="G218" s="50"/>
      <c r="H218" s="44" t="s">
        <v>22</v>
      </c>
      <c r="I218" s="51">
        <v>4867.6000000000004</v>
      </c>
      <c r="J218" s="51"/>
      <c r="K218" s="47" t="s">
        <v>17</v>
      </c>
      <c r="L218" s="48">
        <v>34418.699999999997</v>
      </c>
    </row>
    <row r="219" spans="1:12" ht="51" hidden="1" x14ac:dyDescent="0.3">
      <c r="A219" s="42" t="s">
        <v>46</v>
      </c>
      <c r="B219" s="43" t="s">
        <v>277</v>
      </c>
      <c r="C219" s="43" t="s">
        <v>281</v>
      </c>
      <c r="D219" s="43" t="s">
        <v>57</v>
      </c>
      <c r="E219" s="44" t="s">
        <v>22</v>
      </c>
      <c r="F219" s="50" t="s">
        <v>23</v>
      </c>
      <c r="G219" s="50"/>
      <c r="H219" s="44" t="s">
        <v>22</v>
      </c>
      <c r="I219" s="51">
        <v>1146</v>
      </c>
      <c r="J219" s="51"/>
      <c r="K219" s="47" t="s">
        <v>17</v>
      </c>
      <c r="L219" s="48">
        <v>33272.699999999997</v>
      </c>
    </row>
    <row r="220" spans="1:12" ht="51" hidden="1" x14ac:dyDescent="0.3">
      <c r="A220" s="42" t="s">
        <v>46</v>
      </c>
      <c r="B220" s="43" t="s">
        <v>282</v>
      </c>
      <c r="C220" s="43" t="s">
        <v>283</v>
      </c>
      <c r="D220" s="43" t="s">
        <v>270</v>
      </c>
      <c r="E220" s="44" t="s">
        <v>22</v>
      </c>
      <c r="F220" s="50" t="s">
        <v>23</v>
      </c>
      <c r="G220" s="50"/>
      <c r="H220" s="44" t="s">
        <v>22</v>
      </c>
      <c r="I220" s="52">
        <v>479.25</v>
      </c>
      <c r="J220" s="52"/>
      <c r="K220" s="47" t="s">
        <v>17</v>
      </c>
      <c r="L220" s="48">
        <v>32793.449999999997</v>
      </c>
    </row>
    <row r="221" spans="1:12" ht="51" hidden="1" x14ac:dyDescent="0.3">
      <c r="A221" s="42" t="s">
        <v>46</v>
      </c>
      <c r="B221" s="43" t="s">
        <v>282</v>
      </c>
      <c r="C221" s="43" t="s">
        <v>284</v>
      </c>
      <c r="D221" s="43" t="s">
        <v>273</v>
      </c>
      <c r="E221" s="44" t="s">
        <v>22</v>
      </c>
      <c r="F221" s="50" t="s">
        <v>23</v>
      </c>
      <c r="G221" s="50"/>
      <c r="H221" s="44" t="s">
        <v>22</v>
      </c>
      <c r="I221" s="51">
        <v>1893</v>
      </c>
      <c r="J221" s="51"/>
      <c r="K221" s="47" t="s">
        <v>17</v>
      </c>
      <c r="L221" s="48">
        <v>30900.45</v>
      </c>
    </row>
    <row r="222" spans="1:12" ht="51" hidden="1" x14ac:dyDescent="0.3">
      <c r="A222" s="42" t="s">
        <v>46</v>
      </c>
      <c r="B222" s="43" t="s">
        <v>282</v>
      </c>
      <c r="C222" s="43" t="s">
        <v>285</v>
      </c>
      <c r="D222" s="43" t="s">
        <v>274</v>
      </c>
      <c r="E222" s="44" t="s">
        <v>22</v>
      </c>
      <c r="F222" s="50" t="s">
        <v>23</v>
      </c>
      <c r="G222" s="50"/>
      <c r="H222" s="44" t="s">
        <v>22</v>
      </c>
      <c r="I222" s="51">
        <v>3650.7</v>
      </c>
      <c r="J222" s="51"/>
      <c r="K222" s="47" t="s">
        <v>17</v>
      </c>
      <c r="L222" s="48">
        <v>27249.75</v>
      </c>
    </row>
    <row r="223" spans="1:12" ht="51" hidden="1" x14ac:dyDescent="0.3">
      <c r="A223" s="42" t="s">
        <v>46</v>
      </c>
      <c r="B223" s="43" t="s">
        <v>282</v>
      </c>
      <c r="C223" s="43" t="s">
        <v>286</v>
      </c>
      <c r="D223" s="43" t="s">
        <v>51</v>
      </c>
      <c r="E223" s="44" t="s">
        <v>22</v>
      </c>
      <c r="F223" s="50" t="s">
        <v>23</v>
      </c>
      <c r="G223" s="50"/>
      <c r="H223" s="44" t="s">
        <v>22</v>
      </c>
      <c r="I223" s="52">
        <v>618</v>
      </c>
      <c r="J223" s="52"/>
      <c r="K223" s="47" t="s">
        <v>17</v>
      </c>
      <c r="L223" s="48">
        <v>26631.75</v>
      </c>
    </row>
    <row r="224" spans="1:12" ht="61.2" hidden="1" x14ac:dyDescent="0.3">
      <c r="A224" s="42" t="s">
        <v>46</v>
      </c>
      <c r="B224" s="43" t="s">
        <v>282</v>
      </c>
      <c r="C224" s="43" t="s">
        <v>287</v>
      </c>
      <c r="D224" s="43" t="s">
        <v>275</v>
      </c>
      <c r="E224" s="44" t="s">
        <v>22</v>
      </c>
      <c r="F224" s="50" t="s">
        <v>23</v>
      </c>
      <c r="G224" s="50"/>
      <c r="H224" s="44" t="s">
        <v>22</v>
      </c>
      <c r="I224" s="51">
        <v>1116</v>
      </c>
      <c r="J224" s="51"/>
      <c r="K224" s="47" t="s">
        <v>17</v>
      </c>
      <c r="L224" s="48">
        <v>25515.75</v>
      </c>
    </row>
    <row r="225" spans="1:12" ht="51" hidden="1" x14ac:dyDescent="0.3">
      <c r="A225" s="42" t="s">
        <v>46</v>
      </c>
      <c r="B225" s="43" t="s">
        <v>282</v>
      </c>
      <c r="C225" s="43" t="s">
        <v>288</v>
      </c>
      <c r="D225" s="43" t="s">
        <v>276</v>
      </c>
      <c r="E225" s="44" t="s">
        <v>22</v>
      </c>
      <c r="F225" s="50" t="s">
        <v>23</v>
      </c>
      <c r="G225" s="50"/>
      <c r="H225" s="44" t="s">
        <v>22</v>
      </c>
      <c r="I225" s="52">
        <v>268.75</v>
      </c>
      <c r="J225" s="52"/>
      <c r="K225" s="47" t="s">
        <v>17</v>
      </c>
      <c r="L225" s="48">
        <v>25247</v>
      </c>
    </row>
    <row r="226" spans="1:12" ht="51" hidden="1" x14ac:dyDescent="0.3">
      <c r="A226" s="42" t="s">
        <v>46</v>
      </c>
      <c r="B226" s="43" t="s">
        <v>282</v>
      </c>
      <c r="C226" s="43" t="s">
        <v>289</v>
      </c>
      <c r="D226" s="43" t="s">
        <v>53</v>
      </c>
      <c r="E226" s="44" t="s">
        <v>22</v>
      </c>
      <c r="F226" s="50" t="s">
        <v>23</v>
      </c>
      <c r="G226" s="50"/>
      <c r="H226" s="44" t="s">
        <v>22</v>
      </c>
      <c r="I226" s="52">
        <v>148.75</v>
      </c>
      <c r="J226" s="52"/>
      <c r="K226" s="47" t="s">
        <v>17</v>
      </c>
      <c r="L226" s="48">
        <v>25098.25</v>
      </c>
    </row>
    <row r="227" spans="1:12" ht="51" hidden="1" x14ac:dyDescent="0.3">
      <c r="A227" s="42" t="s">
        <v>46</v>
      </c>
      <c r="B227" s="43" t="s">
        <v>282</v>
      </c>
      <c r="C227" s="43" t="s">
        <v>290</v>
      </c>
      <c r="D227" s="43" t="s">
        <v>55</v>
      </c>
      <c r="E227" s="44" t="s">
        <v>22</v>
      </c>
      <c r="F227" s="50" t="s">
        <v>23</v>
      </c>
      <c r="G227" s="50"/>
      <c r="H227" s="44" t="s">
        <v>22</v>
      </c>
      <c r="I227" s="52">
        <v>198.15</v>
      </c>
      <c r="J227" s="52"/>
      <c r="K227" s="47" t="s">
        <v>17</v>
      </c>
      <c r="L227" s="48">
        <v>24900.1</v>
      </c>
    </row>
    <row r="228" spans="1:12" ht="51" hidden="1" x14ac:dyDescent="0.3">
      <c r="A228" s="42" t="s">
        <v>46</v>
      </c>
      <c r="B228" s="43" t="s">
        <v>282</v>
      </c>
      <c r="C228" s="43" t="s">
        <v>291</v>
      </c>
      <c r="D228" s="43" t="s">
        <v>57</v>
      </c>
      <c r="E228" s="44" t="s">
        <v>22</v>
      </c>
      <c r="F228" s="50" t="s">
        <v>23</v>
      </c>
      <c r="G228" s="50"/>
      <c r="H228" s="44" t="s">
        <v>22</v>
      </c>
      <c r="I228" s="51">
        <v>9168</v>
      </c>
      <c r="J228" s="51"/>
      <c r="K228" s="47" t="s">
        <v>17</v>
      </c>
      <c r="L228" s="48">
        <v>15732.1</v>
      </c>
    </row>
    <row r="229" spans="1:12" ht="51" hidden="1" x14ac:dyDescent="0.3">
      <c r="A229" s="42" t="s">
        <v>46</v>
      </c>
      <c r="B229" s="43" t="s">
        <v>292</v>
      </c>
      <c r="C229" s="43" t="s">
        <v>293</v>
      </c>
      <c r="D229" s="43" t="s">
        <v>270</v>
      </c>
      <c r="E229" s="44" t="s">
        <v>22</v>
      </c>
      <c r="F229" s="50" t="s">
        <v>23</v>
      </c>
      <c r="G229" s="50"/>
      <c r="H229" s="44" t="s">
        <v>22</v>
      </c>
      <c r="I229" s="52">
        <v>479.25</v>
      </c>
      <c r="J229" s="52"/>
      <c r="K229" s="47" t="s">
        <v>17</v>
      </c>
      <c r="L229" s="48">
        <v>15252.85</v>
      </c>
    </row>
    <row r="230" spans="1:12" ht="51" hidden="1" x14ac:dyDescent="0.3">
      <c r="A230" s="42" t="s">
        <v>46</v>
      </c>
      <c r="B230" s="43" t="s">
        <v>292</v>
      </c>
      <c r="C230" s="43" t="s">
        <v>294</v>
      </c>
      <c r="D230" s="43" t="s">
        <v>273</v>
      </c>
      <c r="E230" s="44" t="s">
        <v>22</v>
      </c>
      <c r="F230" s="50" t="s">
        <v>23</v>
      </c>
      <c r="G230" s="50"/>
      <c r="H230" s="44" t="s">
        <v>22</v>
      </c>
      <c r="I230" s="51">
        <v>2524</v>
      </c>
      <c r="J230" s="51"/>
      <c r="K230" s="47" t="s">
        <v>17</v>
      </c>
      <c r="L230" s="48">
        <v>12728.85</v>
      </c>
    </row>
    <row r="231" spans="1:12" ht="51" hidden="1" x14ac:dyDescent="0.3">
      <c r="A231" s="42" t="s">
        <v>46</v>
      </c>
      <c r="B231" s="43" t="s">
        <v>292</v>
      </c>
      <c r="C231" s="43" t="s">
        <v>295</v>
      </c>
      <c r="D231" s="43" t="s">
        <v>274</v>
      </c>
      <c r="E231" s="44" t="s">
        <v>22</v>
      </c>
      <c r="F231" s="50" t="s">
        <v>23</v>
      </c>
      <c r="G231" s="50"/>
      <c r="H231" s="44" t="s">
        <v>22</v>
      </c>
      <c r="I231" s="51">
        <v>3650.7</v>
      </c>
      <c r="J231" s="51"/>
      <c r="K231" s="47" t="s">
        <v>17</v>
      </c>
      <c r="L231" s="48">
        <v>9078.15</v>
      </c>
    </row>
    <row r="232" spans="1:12" ht="51" hidden="1" x14ac:dyDescent="0.3">
      <c r="A232" s="42" t="s">
        <v>46</v>
      </c>
      <c r="B232" s="43" t="s">
        <v>292</v>
      </c>
      <c r="C232" s="43" t="s">
        <v>296</v>
      </c>
      <c r="D232" s="43" t="s">
        <v>51</v>
      </c>
      <c r="E232" s="44" t="s">
        <v>22</v>
      </c>
      <c r="F232" s="50" t="s">
        <v>23</v>
      </c>
      <c r="G232" s="50"/>
      <c r="H232" s="44" t="s">
        <v>22</v>
      </c>
      <c r="I232" s="52">
        <v>309</v>
      </c>
      <c r="J232" s="52"/>
      <c r="K232" s="47" t="s">
        <v>17</v>
      </c>
      <c r="L232" s="48">
        <v>8769.15</v>
      </c>
    </row>
    <row r="233" spans="1:12" ht="51" hidden="1" x14ac:dyDescent="0.3">
      <c r="A233" s="42" t="s">
        <v>46</v>
      </c>
      <c r="B233" s="43" t="s">
        <v>292</v>
      </c>
      <c r="C233" s="43" t="s">
        <v>297</v>
      </c>
      <c r="D233" s="43" t="s">
        <v>53</v>
      </c>
      <c r="E233" s="44" t="s">
        <v>22</v>
      </c>
      <c r="F233" s="50" t="s">
        <v>23</v>
      </c>
      <c r="G233" s="50"/>
      <c r="H233" s="44" t="s">
        <v>22</v>
      </c>
      <c r="I233" s="52">
        <v>148.75</v>
      </c>
      <c r="J233" s="52"/>
      <c r="K233" s="47" t="s">
        <v>17</v>
      </c>
      <c r="L233" s="48">
        <v>8620.4</v>
      </c>
    </row>
    <row r="234" spans="1:12" ht="51" hidden="1" x14ac:dyDescent="0.3">
      <c r="A234" s="42" t="s">
        <v>46</v>
      </c>
      <c r="B234" s="43" t="s">
        <v>298</v>
      </c>
      <c r="C234" s="43" t="s">
        <v>299</v>
      </c>
      <c r="D234" s="43" t="s">
        <v>270</v>
      </c>
      <c r="E234" s="44" t="s">
        <v>22</v>
      </c>
      <c r="F234" s="50" t="s">
        <v>23</v>
      </c>
      <c r="G234" s="50"/>
      <c r="H234" s="44" t="s">
        <v>22</v>
      </c>
      <c r="I234" s="52">
        <v>479.25</v>
      </c>
      <c r="J234" s="52"/>
      <c r="K234" s="47" t="s">
        <v>17</v>
      </c>
      <c r="L234" s="48">
        <v>8141.15</v>
      </c>
    </row>
    <row r="235" spans="1:12" ht="51" hidden="1" x14ac:dyDescent="0.3">
      <c r="A235" s="42" t="s">
        <v>46</v>
      </c>
      <c r="B235" s="43" t="s">
        <v>298</v>
      </c>
      <c r="C235" s="43" t="s">
        <v>300</v>
      </c>
      <c r="D235" s="43" t="s">
        <v>273</v>
      </c>
      <c r="E235" s="44" t="s">
        <v>22</v>
      </c>
      <c r="F235" s="50" t="s">
        <v>23</v>
      </c>
      <c r="G235" s="50"/>
      <c r="H235" s="44" t="s">
        <v>22</v>
      </c>
      <c r="I235" s="51">
        <v>1893</v>
      </c>
      <c r="J235" s="51"/>
      <c r="K235" s="47" t="s">
        <v>17</v>
      </c>
      <c r="L235" s="48">
        <v>6248.15</v>
      </c>
    </row>
    <row r="236" spans="1:12" ht="51" hidden="1" x14ac:dyDescent="0.3">
      <c r="A236" s="42" t="s">
        <v>46</v>
      </c>
      <c r="B236" s="43" t="s">
        <v>298</v>
      </c>
      <c r="C236" s="43" t="s">
        <v>301</v>
      </c>
      <c r="D236" s="43" t="s">
        <v>51</v>
      </c>
      <c r="E236" s="44" t="s">
        <v>22</v>
      </c>
      <c r="F236" s="50" t="s">
        <v>23</v>
      </c>
      <c r="G236" s="50"/>
      <c r="H236" s="44" t="s">
        <v>22</v>
      </c>
      <c r="I236" s="52">
        <v>309</v>
      </c>
      <c r="J236" s="52"/>
      <c r="K236" s="47" t="s">
        <v>17</v>
      </c>
      <c r="L236" s="48">
        <v>5939.15</v>
      </c>
    </row>
    <row r="237" spans="1:12" ht="51" hidden="1" x14ac:dyDescent="0.3">
      <c r="A237" s="42" t="s">
        <v>46</v>
      </c>
      <c r="B237" s="43" t="s">
        <v>298</v>
      </c>
      <c r="C237" s="43" t="s">
        <v>302</v>
      </c>
      <c r="D237" s="43" t="s">
        <v>53</v>
      </c>
      <c r="E237" s="44" t="s">
        <v>22</v>
      </c>
      <c r="F237" s="50" t="s">
        <v>23</v>
      </c>
      <c r="G237" s="50"/>
      <c r="H237" s="44" t="s">
        <v>22</v>
      </c>
      <c r="I237" s="52">
        <v>148.75</v>
      </c>
      <c r="J237" s="52"/>
      <c r="K237" s="47" t="s">
        <v>17</v>
      </c>
      <c r="L237" s="48">
        <v>5790.4</v>
      </c>
    </row>
    <row r="238" spans="1:12" ht="61.2" hidden="1" x14ac:dyDescent="0.3">
      <c r="A238" s="42" t="s">
        <v>46</v>
      </c>
      <c r="B238" s="43" t="s">
        <v>47</v>
      </c>
      <c r="C238" s="43" t="s">
        <v>48</v>
      </c>
      <c r="D238" s="43" t="s">
        <v>49</v>
      </c>
      <c r="E238" s="44" t="s">
        <v>22</v>
      </c>
      <c r="F238" s="50" t="s">
        <v>23</v>
      </c>
      <c r="G238" s="50"/>
      <c r="H238" s="44" t="s">
        <v>22</v>
      </c>
      <c r="I238" s="51">
        <v>3483.5</v>
      </c>
      <c r="J238" s="51"/>
      <c r="K238" s="47" t="s">
        <v>17</v>
      </c>
      <c r="L238" s="48">
        <v>2306.9</v>
      </c>
    </row>
    <row r="239" spans="1:12" ht="51" hidden="1" x14ac:dyDescent="0.3">
      <c r="A239" s="42" t="s">
        <v>46</v>
      </c>
      <c r="B239" s="43" t="s">
        <v>47</v>
      </c>
      <c r="C239" s="43" t="s">
        <v>50</v>
      </c>
      <c r="D239" s="43" t="s">
        <v>51</v>
      </c>
      <c r="E239" s="44" t="s">
        <v>22</v>
      </c>
      <c r="F239" s="50" t="s">
        <v>23</v>
      </c>
      <c r="G239" s="50"/>
      <c r="H239" s="44" t="s">
        <v>22</v>
      </c>
      <c r="I239" s="52">
        <v>309</v>
      </c>
      <c r="J239" s="52"/>
      <c r="K239" s="47" t="s">
        <v>17</v>
      </c>
      <c r="L239" s="48">
        <v>1997.9</v>
      </c>
    </row>
    <row r="240" spans="1:12" ht="51" hidden="1" x14ac:dyDescent="0.3">
      <c r="A240" s="42" t="s">
        <v>46</v>
      </c>
      <c r="B240" s="43" t="s">
        <v>47</v>
      </c>
      <c r="C240" s="43" t="s">
        <v>52</v>
      </c>
      <c r="D240" s="43" t="s">
        <v>53</v>
      </c>
      <c r="E240" s="44" t="s">
        <v>22</v>
      </c>
      <c r="F240" s="50" t="s">
        <v>23</v>
      </c>
      <c r="G240" s="50"/>
      <c r="H240" s="44" t="s">
        <v>22</v>
      </c>
      <c r="I240" s="52">
        <v>148.75</v>
      </c>
      <c r="J240" s="52"/>
      <c r="K240" s="47" t="s">
        <v>17</v>
      </c>
      <c r="L240" s="48">
        <v>1849.15</v>
      </c>
    </row>
    <row r="241" spans="1:12" ht="51" hidden="1" x14ac:dyDescent="0.3">
      <c r="A241" s="42" t="s">
        <v>46</v>
      </c>
      <c r="B241" s="43" t="s">
        <v>47</v>
      </c>
      <c r="C241" s="43" t="s">
        <v>54</v>
      </c>
      <c r="D241" s="43" t="s">
        <v>55</v>
      </c>
      <c r="E241" s="44" t="s">
        <v>22</v>
      </c>
      <c r="F241" s="50" t="s">
        <v>23</v>
      </c>
      <c r="G241" s="50"/>
      <c r="H241" s="44" t="s">
        <v>22</v>
      </c>
      <c r="I241" s="52">
        <v>198.15</v>
      </c>
      <c r="J241" s="52"/>
      <c r="K241" s="47" t="s">
        <v>17</v>
      </c>
      <c r="L241" s="48">
        <v>1651</v>
      </c>
    </row>
    <row r="242" spans="1:12" ht="51" hidden="1" x14ac:dyDescent="0.3">
      <c r="A242" s="42" t="s">
        <v>46</v>
      </c>
      <c r="B242" s="43" t="s">
        <v>47</v>
      </c>
      <c r="C242" s="43" t="s">
        <v>56</v>
      </c>
      <c r="D242" s="43" t="s">
        <v>57</v>
      </c>
      <c r="E242" s="44" t="s">
        <v>22</v>
      </c>
      <c r="F242" s="50" t="s">
        <v>23</v>
      </c>
      <c r="G242" s="50"/>
      <c r="H242" s="44" t="s">
        <v>22</v>
      </c>
      <c r="I242" s="51">
        <v>1146</v>
      </c>
      <c r="J242" s="51"/>
      <c r="K242" s="47" t="s">
        <v>17</v>
      </c>
      <c r="L242" s="53">
        <v>505</v>
      </c>
    </row>
    <row r="243" spans="1:12" ht="51" hidden="1" x14ac:dyDescent="0.3">
      <c r="A243" s="42" t="s">
        <v>58</v>
      </c>
      <c r="B243" s="43" t="s">
        <v>303</v>
      </c>
      <c r="C243" s="43" t="s">
        <v>304</v>
      </c>
      <c r="D243" s="43" t="s">
        <v>305</v>
      </c>
      <c r="E243" s="44" t="s">
        <v>22</v>
      </c>
      <c r="F243" s="45">
        <v>3416.68</v>
      </c>
      <c r="G243" s="45"/>
      <c r="H243" s="44" t="s">
        <v>64</v>
      </c>
      <c r="I243" s="46" t="s">
        <v>23</v>
      </c>
      <c r="J243" s="46"/>
      <c r="K243" s="47" t="s">
        <v>17</v>
      </c>
      <c r="L243" s="48">
        <v>3921.68</v>
      </c>
    </row>
    <row r="244" spans="1:12" ht="51" hidden="1" x14ac:dyDescent="0.3">
      <c r="A244" s="42" t="s">
        <v>58</v>
      </c>
      <c r="B244" s="43" t="s">
        <v>303</v>
      </c>
      <c r="C244" s="43" t="s">
        <v>306</v>
      </c>
      <c r="D244" s="43" t="s">
        <v>305</v>
      </c>
      <c r="E244" s="44" t="s">
        <v>22</v>
      </c>
      <c r="F244" s="45">
        <v>2366.64</v>
      </c>
      <c r="G244" s="45"/>
      <c r="H244" s="44" t="s">
        <v>64</v>
      </c>
      <c r="I244" s="46" t="s">
        <v>23</v>
      </c>
      <c r="J244" s="46"/>
      <c r="K244" s="47" t="s">
        <v>17</v>
      </c>
      <c r="L244" s="48">
        <v>6288.32</v>
      </c>
    </row>
    <row r="245" spans="1:12" ht="51" hidden="1" x14ac:dyDescent="0.3">
      <c r="A245" s="42" t="s">
        <v>58</v>
      </c>
      <c r="B245" s="43" t="s">
        <v>303</v>
      </c>
      <c r="C245" s="43" t="s">
        <v>307</v>
      </c>
      <c r="D245" s="43" t="s">
        <v>305</v>
      </c>
      <c r="E245" s="44" t="s">
        <v>22</v>
      </c>
      <c r="F245" s="49">
        <v>586.67999999999995</v>
      </c>
      <c r="G245" s="49"/>
      <c r="H245" s="44" t="s">
        <v>64</v>
      </c>
      <c r="I245" s="46" t="s">
        <v>23</v>
      </c>
      <c r="J245" s="46"/>
      <c r="K245" s="47" t="s">
        <v>17</v>
      </c>
      <c r="L245" s="48">
        <v>6875</v>
      </c>
    </row>
    <row r="246" spans="1:12" ht="51" x14ac:dyDescent="0.3">
      <c r="A246" s="42" t="s">
        <v>58</v>
      </c>
      <c r="B246" s="43" t="s">
        <v>308</v>
      </c>
      <c r="C246" s="43" t="s">
        <v>42</v>
      </c>
      <c r="D246" s="43" t="s">
        <v>130</v>
      </c>
      <c r="E246" s="44" t="s">
        <v>43</v>
      </c>
      <c r="F246" s="50" t="s">
        <v>23</v>
      </c>
      <c r="G246" s="50"/>
      <c r="H246" s="44" t="s">
        <v>22</v>
      </c>
      <c r="I246" s="52">
        <v>340</v>
      </c>
      <c r="J246" s="52"/>
      <c r="K246" s="47" t="s">
        <v>17</v>
      </c>
      <c r="L246" s="48">
        <v>6535</v>
      </c>
    </row>
    <row r="247" spans="1:12" ht="51" x14ac:dyDescent="0.3">
      <c r="A247" s="42" t="s">
        <v>309</v>
      </c>
      <c r="B247" s="43" t="s">
        <v>310</v>
      </c>
      <c r="C247" s="43" t="s">
        <v>42</v>
      </c>
      <c r="D247" s="43" t="s">
        <v>307</v>
      </c>
      <c r="E247" s="44" t="s">
        <v>43</v>
      </c>
      <c r="F247" s="50" t="s">
        <v>23</v>
      </c>
      <c r="G247" s="50"/>
      <c r="H247" s="44" t="s">
        <v>22</v>
      </c>
      <c r="I247" s="52">
        <v>586.67999999999995</v>
      </c>
      <c r="J247" s="52"/>
      <c r="K247" s="47" t="s">
        <v>17</v>
      </c>
      <c r="L247" s="48">
        <v>5948.32</v>
      </c>
    </row>
    <row r="248" spans="1:12" ht="51" x14ac:dyDescent="0.3">
      <c r="A248" s="42" t="s">
        <v>309</v>
      </c>
      <c r="B248" s="43" t="s">
        <v>310</v>
      </c>
      <c r="C248" s="43" t="s">
        <v>42</v>
      </c>
      <c r="D248" s="43" t="s">
        <v>306</v>
      </c>
      <c r="E248" s="44" t="s">
        <v>43</v>
      </c>
      <c r="F248" s="50" t="s">
        <v>23</v>
      </c>
      <c r="G248" s="50"/>
      <c r="H248" s="44" t="s">
        <v>22</v>
      </c>
      <c r="I248" s="51">
        <v>2366.64</v>
      </c>
      <c r="J248" s="51"/>
      <c r="K248" s="47" t="s">
        <v>17</v>
      </c>
      <c r="L248" s="48">
        <v>3581.68</v>
      </c>
    </row>
    <row r="249" spans="1:12" ht="51" x14ac:dyDescent="0.3">
      <c r="A249" s="42" t="s">
        <v>309</v>
      </c>
      <c r="B249" s="43" t="s">
        <v>310</v>
      </c>
      <c r="C249" s="43" t="s">
        <v>42</v>
      </c>
      <c r="D249" s="43" t="s">
        <v>304</v>
      </c>
      <c r="E249" s="44" t="s">
        <v>43</v>
      </c>
      <c r="F249" s="50" t="s">
        <v>23</v>
      </c>
      <c r="G249" s="50"/>
      <c r="H249" s="44" t="s">
        <v>22</v>
      </c>
      <c r="I249" s="51">
        <v>3416.68</v>
      </c>
      <c r="J249" s="51"/>
      <c r="K249" s="47" t="s">
        <v>17</v>
      </c>
      <c r="L249" s="53">
        <v>165</v>
      </c>
    </row>
    <row r="250" spans="1:12" hidden="1" x14ac:dyDescent="0.3">
      <c r="A250" s="54" t="s">
        <v>60</v>
      </c>
      <c r="B250" s="54"/>
      <c r="C250" s="54"/>
      <c r="D250" s="54"/>
      <c r="E250" s="55">
        <v>168158.42</v>
      </c>
      <c r="F250" s="55"/>
      <c r="G250" s="55"/>
      <c r="H250" s="55">
        <v>169912.42</v>
      </c>
      <c r="I250" s="55"/>
      <c r="J250" s="55"/>
      <c r="K250" s="56" t="s">
        <v>17</v>
      </c>
      <c r="L250" s="57">
        <v>165</v>
      </c>
    </row>
    <row r="252" spans="1:12" x14ac:dyDescent="0.3">
      <c r="J252" s="261">
        <f>SUBTOTAL(9,I161:J249)</f>
        <v>66152.079999999987</v>
      </c>
    </row>
  </sheetData>
  <autoFilter ref="A1:L250" xr:uid="{E1FC5589-2842-46D2-A0F5-54AD721CDF97}">
    <filterColumn colId="1">
      <filters>
        <filter val="Передача малоцінних активів в експлуатацію ІБ00-000274 від 19.06.2025 16:41:03_x000a_Списание стоимости малоценных активов"/>
        <filter val="Передача малоцінних активів в експлуатацію ІБ00-000275 від 19.06.2025 17:59:59_x000a_Списание стоимости малоценных активов"/>
        <filter val="Передача малоцінних активів в експлуатацію ІБ00-000282 від 20.06.2025 18:06:15_x000a_Списание стоимости малоценных активов"/>
        <filter val="Передача малоцінних активів в експлуатацію ІБ00-000285 від 20.06.2025 18:06:23_x000a_Списание стоимости малоценных активов"/>
        <filter val="Передача малоцінних активів в експлуатацію ІБ00-000293 від 20.06.2025 18:08:08_x000a_Списание стоимости малоценных активов"/>
        <filter val="Передача малоцінних активів в експлуатацію ІБ00-000298 від 20.06.2025 21:00:04_x000a_Списание стоимости малоценных активов"/>
        <filter val="Передача малоцінних активів в експлуатацію ІБ00-000308 від 25.06.2025 23:13:06_x000a_Списание стоимости малоценных активов"/>
        <filter val="Передача малоцінних активів в експлуатацію ІБ00-000318 від 30.06.2025 23:59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06">
    <mergeCell ref="A250:D250"/>
    <mergeCell ref="E250:G250"/>
    <mergeCell ref="H250:J250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A9D8-0F0D-4225-94EF-4A0DF312997E}">
  <sheetPr filterMode="1"/>
  <dimension ref="A1:L76"/>
  <sheetViews>
    <sheetView topLeftCell="A68" workbookViewId="0">
      <selection activeCell="J76" sqref="J76"/>
    </sheetView>
  </sheetViews>
  <sheetFormatPr defaultRowHeight="14.4" x14ac:dyDescent="0.3"/>
  <cols>
    <col min="2" max="4" width="28.5546875" customWidth="1"/>
  </cols>
  <sheetData>
    <row r="1" spans="1:12" x14ac:dyDescent="0.3">
      <c r="A1" s="58" t="s">
        <v>9</v>
      </c>
      <c r="B1" s="59" t="s">
        <v>10</v>
      </c>
      <c r="C1" s="59" t="s">
        <v>11</v>
      </c>
      <c r="D1" s="60" t="s">
        <v>12</v>
      </c>
      <c r="E1" s="61" t="s">
        <v>13</v>
      </c>
      <c r="F1" s="61"/>
      <c r="G1" s="61"/>
      <c r="H1" s="62" t="s">
        <v>14</v>
      </c>
      <c r="I1" s="62"/>
      <c r="J1" s="62"/>
      <c r="K1" s="59" t="s">
        <v>15</v>
      </c>
      <c r="L1" s="59"/>
    </row>
    <row r="2" spans="1:12" hidden="1" x14ac:dyDescent="0.3">
      <c r="A2" s="63"/>
      <c r="B2" s="64"/>
      <c r="C2" s="64"/>
      <c r="D2" s="65"/>
      <c r="E2" s="66" t="s">
        <v>16</v>
      </c>
      <c r="F2" s="67"/>
      <c r="G2" s="67"/>
      <c r="H2" s="68" t="s">
        <v>16</v>
      </c>
      <c r="I2" s="69"/>
      <c r="J2" s="69"/>
      <c r="K2" s="63"/>
      <c r="L2" s="70"/>
    </row>
    <row r="3" spans="1:12" ht="51" hidden="1" x14ac:dyDescent="0.3">
      <c r="A3" s="71" t="s">
        <v>18</v>
      </c>
      <c r="B3" s="72" t="s">
        <v>311</v>
      </c>
      <c r="C3" s="72" t="s">
        <v>312</v>
      </c>
      <c r="D3" s="72" t="s">
        <v>313</v>
      </c>
      <c r="E3" s="73" t="s">
        <v>22</v>
      </c>
      <c r="F3" s="74">
        <v>1220</v>
      </c>
      <c r="G3" s="74"/>
      <c r="H3" s="73" t="s">
        <v>64</v>
      </c>
      <c r="I3" s="75" t="s">
        <v>23</v>
      </c>
      <c r="J3" s="75"/>
      <c r="K3" s="76" t="s">
        <v>17</v>
      </c>
      <c r="L3" s="77">
        <v>33257.269999999997</v>
      </c>
    </row>
    <row r="4" spans="1:12" ht="51" hidden="1" x14ac:dyDescent="0.3">
      <c r="A4" s="71" t="s">
        <v>18</v>
      </c>
      <c r="B4" s="72" t="s">
        <v>311</v>
      </c>
      <c r="C4" s="72" t="s">
        <v>314</v>
      </c>
      <c r="D4" s="72" t="s">
        <v>313</v>
      </c>
      <c r="E4" s="73" t="s">
        <v>22</v>
      </c>
      <c r="F4" s="78">
        <v>186.34</v>
      </c>
      <c r="G4" s="78"/>
      <c r="H4" s="73" t="s">
        <v>64</v>
      </c>
      <c r="I4" s="75" t="s">
        <v>23</v>
      </c>
      <c r="J4" s="75"/>
      <c r="K4" s="76" t="s">
        <v>17</v>
      </c>
      <c r="L4" s="77">
        <v>33443.61</v>
      </c>
    </row>
    <row r="5" spans="1:12" ht="51" hidden="1" x14ac:dyDescent="0.3">
      <c r="A5" s="71" t="s">
        <v>30</v>
      </c>
      <c r="B5" s="72" t="s">
        <v>175</v>
      </c>
      <c r="C5" s="72" t="s">
        <v>176</v>
      </c>
      <c r="D5" s="72" t="s">
        <v>161</v>
      </c>
      <c r="E5" s="73" t="s">
        <v>22</v>
      </c>
      <c r="F5" s="78">
        <v>200.54</v>
      </c>
      <c r="G5" s="78"/>
      <c r="H5" s="73" t="s">
        <v>22</v>
      </c>
      <c r="I5" s="75" t="s">
        <v>23</v>
      </c>
      <c r="J5" s="75"/>
      <c r="K5" s="76" t="s">
        <v>17</v>
      </c>
      <c r="L5" s="77">
        <v>33644.15</v>
      </c>
    </row>
    <row r="6" spans="1:12" ht="51" hidden="1" x14ac:dyDescent="0.3">
      <c r="A6" s="71" t="s">
        <v>34</v>
      </c>
      <c r="B6" s="72" t="s">
        <v>239</v>
      </c>
      <c r="C6" s="72" t="s">
        <v>240</v>
      </c>
      <c r="D6" s="72" t="s">
        <v>192</v>
      </c>
      <c r="E6" s="73" t="s">
        <v>22</v>
      </c>
      <c r="F6" s="78">
        <v>325</v>
      </c>
      <c r="G6" s="78"/>
      <c r="H6" s="73" t="s">
        <v>22</v>
      </c>
      <c r="I6" s="75" t="s">
        <v>23</v>
      </c>
      <c r="J6" s="75"/>
      <c r="K6" s="76" t="s">
        <v>17</v>
      </c>
      <c r="L6" s="77">
        <v>33969.15</v>
      </c>
    </row>
    <row r="7" spans="1:12" ht="51" hidden="1" x14ac:dyDescent="0.3">
      <c r="A7" s="71" t="s">
        <v>34</v>
      </c>
      <c r="B7" s="72" t="s">
        <v>239</v>
      </c>
      <c r="C7" s="72" t="s">
        <v>241</v>
      </c>
      <c r="D7" s="72" t="s">
        <v>193</v>
      </c>
      <c r="E7" s="73" t="s">
        <v>22</v>
      </c>
      <c r="F7" s="78">
        <v>398</v>
      </c>
      <c r="G7" s="78"/>
      <c r="H7" s="73" t="s">
        <v>22</v>
      </c>
      <c r="I7" s="75" t="s">
        <v>23</v>
      </c>
      <c r="J7" s="75"/>
      <c r="K7" s="76" t="s">
        <v>17</v>
      </c>
      <c r="L7" s="77">
        <v>34367.15</v>
      </c>
    </row>
    <row r="8" spans="1:12" ht="61.2" hidden="1" x14ac:dyDescent="0.3">
      <c r="A8" s="71" t="s">
        <v>34</v>
      </c>
      <c r="B8" s="72" t="s">
        <v>239</v>
      </c>
      <c r="C8" s="72" t="s">
        <v>242</v>
      </c>
      <c r="D8" s="72" t="s">
        <v>194</v>
      </c>
      <c r="E8" s="73" t="s">
        <v>22</v>
      </c>
      <c r="F8" s="74">
        <v>1116</v>
      </c>
      <c r="G8" s="74"/>
      <c r="H8" s="73" t="s">
        <v>22</v>
      </c>
      <c r="I8" s="75" t="s">
        <v>23</v>
      </c>
      <c r="J8" s="75"/>
      <c r="K8" s="76" t="s">
        <v>17</v>
      </c>
      <c r="L8" s="77">
        <v>35483.15</v>
      </c>
    </row>
    <row r="9" spans="1:12" ht="51" hidden="1" x14ac:dyDescent="0.3">
      <c r="A9" s="71" t="s">
        <v>34</v>
      </c>
      <c r="B9" s="72" t="s">
        <v>239</v>
      </c>
      <c r="C9" s="72" t="s">
        <v>243</v>
      </c>
      <c r="D9" s="72" t="s">
        <v>195</v>
      </c>
      <c r="E9" s="73" t="s">
        <v>22</v>
      </c>
      <c r="F9" s="78">
        <v>268.75</v>
      </c>
      <c r="G9" s="78"/>
      <c r="H9" s="73" t="s">
        <v>22</v>
      </c>
      <c r="I9" s="75" t="s">
        <v>23</v>
      </c>
      <c r="J9" s="75"/>
      <c r="K9" s="76" t="s">
        <v>17</v>
      </c>
      <c r="L9" s="77">
        <v>35751.9</v>
      </c>
    </row>
    <row r="10" spans="1:12" ht="61.2" hidden="1" x14ac:dyDescent="0.3">
      <c r="A10" s="71" t="s">
        <v>34</v>
      </c>
      <c r="B10" s="72" t="s">
        <v>239</v>
      </c>
      <c r="C10" s="72" t="s">
        <v>244</v>
      </c>
      <c r="D10" s="72" t="s">
        <v>39</v>
      </c>
      <c r="E10" s="73" t="s">
        <v>22</v>
      </c>
      <c r="F10" s="78">
        <v>367.5</v>
      </c>
      <c r="G10" s="78"/>
      <c r="H10" s="73" t="s">
        <v>22</v>
      </c>
      <c r="I10" s="75" t="s">
        <v>23</v>
      </c>
      <c r="J10" s="75"/>
      <c r="K10" s="76" t="s">
        <v>17</v>
      </c>
      <c r="L10" s="77">
        <v>36119.4</v>
      </c>
    </row>
    <row r="11" spans="1:12" ht="51" hidden="1" x14ac:dyDescent="0.3">
      <c r="A11" s="71" t="s">
        <v>34</v>
      </c>
      <c r="B11" s="72" t="s">
        <v>239</v>
      </c>
      <c r="C11" s="72" t="s">
        <v>245</v>
      </c>
      <c r="D11" s="72" t="s">
        <v>203</v>
      </c>
      <c r="E11" s="73" t="s">
        <v>22</v>
      </c>
      <c r="F11" s="78">
        <v>190.75</v>
      </c>
      <c r="G11" s="78"/>
      <c r="H11" s="73" t="s">
        <v>22</v>
      </c>
      <c r="I11" s="75" t="s">
        <v>23</v>
      </c>
      <c r="J11" s="75"/>
      <c r="K11" s="76" t="s">
        <v>17</v>
      </c>
      <c r="L11" s="77">
        <v>36310.15</v>
      </c>
    </row>
    <row r="12" spans="1:12" ht="61.2" hidden="1" x14ac:dyDescent="0.3">
      <c r="A12" s="71" t="s">
        <v>34</v>
      </c>
      <c r="B12" s="72" t="s">
        <v>239</v>
      </c>
      <c r="C12" s="72" t="s">
        <v>246</v>
      </c>
      <c r="D12" s="72" t="s">
        <v>206</v>
      </c>
      <c r="E12" s="73" t="s">
        <v>22</v>
      </c>
      <c r="F12" s="74">
        <v>1802.8</v>
      </c>
      <c r="G12" s="74"/>
      <c r="H12" s="73" t="s">
        <v>22</v>
      </c>
      <c r="I12" s="75" t="s">
        <v>23</v>
      </c>
      <c r="J12" s="75"/>
      <c r="K12" s="76" t="s">
        <v>17</v>
      </c>
      <c r="L12" s="77">
        <v>38112.949999999997</v>
      </c>
    </row>
    <row r="13" spans="1:12" ht="61.2" hidden="1" x14ac:dyDescent="0.3">
      <c r="A13" s="71" t="s">
        <v>34</v>
      </c>
      <c r="B13" s="72" t="s">
        <v>239</v>
      </c>
      <c r="C13" s="72" t="s">
        <v>247</v>
      </c>
      <c r="D13" s="72" t="s">
        <v>207</v>
      </c>
      <c r="E13" s="73" t="s">
        <v>22</v>
      </c>
      <c r="F13" s="78">
        <v>373.2</v>
      </c>
      <c r="G13" s="78"/>
      <c r="H13" s="73" t="s">
        <v>22</v>
      </c>
      <c r="I13" s="75" t="s">
        <v>23</v>
      </c>
      <c r="J13" s="75"/>
      <c r="K13" s="76" t="s">
        <v>17</v>
      </c>
      <c r="L13" s="77">
        <v>38486.15</v>
      </c>
    </row>
    <row r="14" spans="1:12" ht="71.400000000000006" hidden="1" x14ac:dyDescent="0.3">
      <c r="A14" s="71" t="s">
        <v>34</v>
      </c>
      <c r="B14" s="72" t="s">
        <v>239</v>
      </c>
      <c r="C14" s="72" t="s">
        <v>248</v>
      </c>
      <c r="D14" s="72" t="s">
        <v>208</v>
      </c>
      <c r="E14" s="73" t="s">
        <v>22</v>
      </c>
      <c r="F14" s="78">
        <v>223.5</v>
      </c>
      <c r="G14" s="78"/>
      <c r="H14" s="73" t="s">
        <v>22</v>
      </c>
      <c r="I14" s="75" t="s">
        <v>23</v>
      </c>
      <c r="J14" s="75"/>
      <c r="K14" s="76" t="s">
        <v>17</v>
      </c>
      <c r="L14" s="77">
        <v>38709.65</v>
      </c>
    </row>
    <row r="15" spans="1:12" ht="51" hidden="1" x14ac:dyDescent="0.3">
      <c r="A15" s="71" t="s">
        <v>34</v>
      </c>
      <c r="B15" s="72" t="s">
        <v>239</v>
      </c>
      <c r="C15" s="72" t="s">
        <v>249</v>
      </c>
      <c r="D15" s="72" t="s">
        <v>198</v>
      </c>
      <c r="E15" s="73" t="s">
        <v>22</v>
      </c>
      <c r="F15" s="74">
        <v>1410</v>
      </c>
      <c r="G15" s="74"/>
      <c r="H15" s="73" t="s">
        <v>22</v>
      </c>
      <c r="I15" s="75" t="s">
        <v>23</v>
      </c>
      <c r="J15" s="75"/>
      <c r="K15" s="76" t="s">
        <v>17</v>
      </c>
      <c r="L15" s="77">
        <v>40119.65</v>
      </c>
    </row>
    <row r="16" spans="1:12" ht="51" hidden="1" x14ac:dyDescent="0.3">
      <c r="A16" s="71" t="s">
        <v>315</v>
      </c>
      <c r="B16" s="72" t="s">
        <v>316</v>
      </c>
      <c r="C16" s="72" t="s">
        <v>317</v>
      </c>
      <c r="D16" s="72" t="s">
        <v>318</v>
      </c>
      <c r="E16" s="73" t="s">
        <v>22</v>
      </c>
      <c r="F16" s="78">
        <v>120</v>
      </c>
      <c r="G16" s="78"/>
      <c r="H16" s="73" t="s">
        <v>64</v>
      </c>
      <c r="I16" s="75" t="s">
        <v>23</v>
      </c>
      <c r="J16" s="75"/>
      <c r="K16" s="76" t="s">
        <v>17</v>
      </c>
      <c r="L16" s="77">
        <v>40239.65</v>
      </c>
    </row>
    <row r="17" spans="1:12" ht="51" hidden="1" x14ac:dyDescent="0.3">
      <c r="A17" s="71" t="s">
        <v>315</v>
      </c>
      <c r="B17" s="72" t="s">
        <v>316</v>
      </c>
      <c r="C17" s="72" t="s">
        <v>319</v>
      </c>
      <c r="D17" s="72" t="s">
        <v>318</v>
      </c>
      <c r="E17" s="73" t="s">
        <v>22</v>
      </c>
      <c r="F17" s="78">
        <v>540</v>
      </c>
      <c r="G17" s="78"/>
      <c r="H17" s="73" t="s">
        <v>64</v>
      </c>
      <c r="I17" s="75" t="s">
        <v>23</v>
      </c>
      <c r="J17" s="75"/>
      <c r="K17" s="76" t="s">
        <v>17</v>
      </c>
      <c r="L17" s="77">
        <v>40779.65</v>
      </c>
    </row>
    <row r="18" spans="1:12" ht="51" x14ac:dyDescent="0.3">
      <c r="A18" s="71" t="s">
        <v>40</v>
      </c>
      <c r="B18" s="72" t="s">
        <v>320</v>
      </c>
      <c r="C18" s="72" t="s">
        <v>42</v>
      </c>
      <c r="D18" s="72" t="s">
        <v>321</v>
      </c>
      <c r="E18" s="73" t="s">
        <v>43</v>
      </c>
      <c r="F18" s="79" t="s">
        <v>23</v>
      </c>
      <c r="G18" s="79"/>
      <c r="H18" s="73" t="s">
        <v>22</v>
      </c>
      <c r="I18" s="80">
        <v>193.5</v>
      </c>
      <c r="J18" s="80"/>
      <c r="K18" s="76" t="s">
        <v>17</v>
      </c>
      <c r="L18" s="77">
        <v>40586.15</v>
      </c>
    </row>
    <row r="19" spans="1:12" ht="51" x14ac:dyDescent="0.3">
      <c r="A19" s="71" t="s">
        <v>40</v>
      </c>
      <c r="B19" s="72" t="s">
        <v>320</v>
      </c>
      <c r="C19" s="72" t="s">
        <v>42</v>
      </c>
      <c r="D19" s="72" t="s">
        <v>240</v>
      </c>
      <c r="E19" s="73" t="s">
        <v>43</v>
      </c>
      <c r="F19" s="79" t="s">
        <v>23</v>
      </c>
      <c r="G19" s="79"/>
      <c r="H19" s="73" t="s">
        <v>22</v>
      </c>
      <c r="I19" s="80">
        <v>325</v>
      </c>
      <c r="J19" s="80"/>
      <c r="K19" s="76" t="s">
        <v>17</v>
      </c>
      <c r="L19" s="77">
        <v>40261.15</v>
      </c>
    </row>
    <row r="20" spans="1:12" ht="51" x14ac:dyDescent="0.3">
      <c r="A20" s="71" t="s">
        <v>40</v>
      </c>
      <c r="B20" s="72" t="s">
        <v>320</v>
      </c>
      <c r="C20" s="72" t="s">
        <v>42</v>
      </c>
      <c r="D20" s="72" t="s">
        <v>322</v>
      </c>
      <c r="E20" s="73" t="s">
        <v>43</v>
      </c>
      <c r="F20" s="79" t="s">
        <v>23</v>
      </c>
      <c r="G20" s="79"/>
      <c r="H20" s="73" t="s">
        <v>22</v>
      </c>
      <c r="I20" s="80">
        <v>94.75</v>
      </c>
      <c r="J20" s="80"/>
      <c r="K20" s="76" t="s">
        <v>17</v>
      </c>
      <c r="L20" s="77">
        <v>40166.400000000001</v>
      </c>
    </row>
    <row r="21" spans="1:12" ht="51" x14ac:dyDescent="0.3">
      <c r="A21" s="71" t="s">
        <v>40</v>
      </c>
      <c r="B21" s="72" t="s">
        <v>320</v>
      </c>
      <c r="C21" s="72" t="s">
        <v>42</v>
      </c>
      <c r="D21" s="72" t="s">
        <v>323</v>
      </c>
      <c r="E21" s="73" t="s">
        <v>43</v>
      </c>
      <c r="F21" s="79" t="s">
        <v>23</v>
      </c>
      <c r="G21" s="79"/>
      <c r="H21" s="73" t="s">
        <v>22</v>
      </c>
      <c r="I21" s="80">
        <v>110.9</v>
      </c>
      <c r="J21" s="80"/>
      <c r="K21" s="76" t="s">
        <v>17</v>
      </c>
      <c r="L21" s="77">
        <v>40055.5</v>
      </c>
    </row>
    <row r="22" spans="1:12" ht="51" x14ac:dyDescent="0.3">
      <c r="A22" s="71" t="s">
        <v>40</v>
      </c>
      <c r="B22" s="72" t="s">
        <v>320</v>
      </c>
      <c r="C22" s="72" t="s">
        <v>42</v>
      </c>
      <c r="D22" s="72" t="s">
        <v>324</v>
      </c>
      <c r="E22" s="73" t="s">
        <v>43</v>
      </c>
      <c r="F22" s="79" t="s">
        <v>23</v>
      </c>
      <c r="G22" s="79"/>
      <c r="H22" s="73" t="s">
        <v>22</v>
      </c>
      <c r="I22" s="80">
        <v>88.45</v>
      </c>
      <c r="J22" s="80"/>
      <c r="K22" s="76" t="s">
        <v>17</v>
      </c>
      <c r="L22" s="77">
        <v>39967.050000000003</v>
      </c>
    </row>
    <row r="23" spans="1:12" ht="51" x14ac:dyDescent="0.3">
      <c r="A23" s="71" t="s">
        <v>40</v>
      </c>
      <c r="B23" s="72" t="s">
        <v>320</v>
      </c>
      <c r="C23" s="72" t="s">
        <v>42</v>
      </c>
      <c r="D23" s="72" t="s">
        <v>243</v>
      </c>
      <c r="E23" s="73" t="s">
        <v>43</v>
      </c>
      <c r="F23" s="79" t="s">
        <v>23</v>
      </c>
      <c r="G23" s="79"/>
      <c r="H23" s="73" t="s">
        <v>22</v>
      </c>
      <c r="I23" s="80">
        <v>268.75</v>
      </c>
      <c r="J23" s="80"/>
      <c r="K23" s="76" t="s">
        <v>17</v>
      </c>
      <c r="L23" s="77">
        <v>39698.300000000003</v>
      </c>
    </row>
    <row r="24" spans="1:12" ht="51" x14ac:dyDescent="0.3">
      <c r="A24" s="71" t="s">
        <v>40</v>
      </c>
      <c r="B24" s="72" t="s">
        <v>320</v>
      </c>
      <c r="C24" s="72" t="s">
        <v>42</v>
      </c>
      <c r="D24" s="72" t="s">
        <v>325</v>
      </c>
      <c r="E24" s="73" t="s">
        <v>43</v>
      </c>
      <c r="F24" s="79" t="s">
        <v>23</v>
      </c>
      <c r="G24" s="79"/>
      <c r="H24" s="73" t="s">
        <v>22</v>
      </c>
      <c r="I24" s="81">
        <v>1728.9</v>
      </c>
      <c r="J24" s="81"/>
      <c r="K24" s="76" t="s">
        <v>17</v>
      </c>
      <c r="L24" s="77">
        <v>37969.4</v>
      </c>
    </row>
    <row r="25" spans="1:12" ht="51" x14ac:dyDescent="0.3">
      <c r="A25" s="71" t="s">
        <v>40</v>
      </c>
      <c r="B25" s="72" t="s">
        <v>320</v>
      </c>
      <c r="C25" s="72" t="s">
        <v>42</v>
      </c>
      <c r="D25" s="72" t="s">
        <v>326</v>
      </c>
      <c r="E25" s="73" t="s">
        <v>43</v>
      </c>
      <c r="F25" s="79" t="s">
        <v>23</v>
      </c>
      <c r="G25" s="79"/>
      <c r="H25" s="73" t="s">
        <v>22</v>
      </c>
      <c r="I25" s="80">
        <v>819.25</v>
      </c>
      <c r="J25" s="80"/>
      <c r="K25" s="76" t="s">
        <v>17</v>
      </c>
      <c r="L25" s="77">
        <v>37150.15</v>
      </c>
    </row>
    <row r="26" spans="1:12" ht="61.2" x14ac:dyDescent="0.3">
      <c r="A26" s="71" t="s">
        <v>44</v>
      </c>
      <c r="B26" s="72" t="s">
        <v>327</v>
      </c>
      <c r="C26" s="72" t="s">
        <v>42</v>
      </c>
      <c r="D26" s="72" t="s">
        <v>328</v>
      </c>
      <c r="E26" s="73" t="s">
        <v>43</v>
      </c>
      <c r="F26" s="79" t="s">
        <v>23</v>
      </c>
      <c r="G26" s="79"/>
      <c r="H26" s="73" t="s">
        <v>22</v>
      </c>
      <c r="I26" s="80">
        <v>446.4</v>
      </c>
      <c r="J26" s="80"/>
      <c r="K26" s="76" t="s">
        <v>17</v>
      </c>
      <c r="L26" s="77">
        <v>36703.75</v>
      </c>
    </row>
    <row r="27" spans="1:12" ht="61.2" x14ac:dyDescent="0.3">
      <c r="A27" s="71" t="s">
        <v>44</v>
      </c>
      <c r="B27" s="72" t="s">
        <v>327</v>
      </c>
      <c r="C27" s="72" t="s">
        <v>42</v>
      </c>
      <c r="D27" s="72" t="s">
        <v>242</v>
      </c>
      <c r="E27" s="73" t="s">
        <v>43</v>
      </c>
      <c r="F27" s="79" t="s">
        <v>23</v>
      </c>
      <c r="G27" s="79"/>
      <c r="H27" s="73" t="s">
        <v>22</v>
      </c>
      <c r="I27" s="81">
        <v>1116</v>
      </c>
      <c r="J27" s="81"/>
      <c r="K27" s="76" t="s">
        <v>17</v>
      </c>
      <c r="L27" s="77">
        <v>35587.75</v>
      </c>
    </row>
    <row r="28" spans="1:12" ht="51" x14ac:dyDescent="0.3">
      <c r="A28" s="71" t="s">
        <v>44</v>
      </c>
      <c r="B28" s="72" t="s">
        <v>327</v>
      </c>
      <c r="C28" s="72" t="s">
        <v>42</v>
      </c>
      <c r="D28" s="72" t="s">
        <v>329</v>
      </c>
      <c r="E28" s="73" t="s">
        <v>43</v>
      </c>
      <c r="F28" s="79" t="s">
        <v>23</v>
      </c>
      <c r="G28" s="79"/>
      <c r="H28" s="73" t="s">
        <v>22</v>
      </c>
      <c r="I28" s="80">
        <v>164.8</v>
      </c>
      <c r="J28" s="80"/>
      <c r="K28" s="76" t="s">
        <v>17</v>
      </c>
      <c r="L28" s="77">
        <v>35422.949999999997</v>
      </c>
    </row>
    <row r="29" spans="1:12" ht="51" x14ac:dyDescent="0.3">
      <c r="A29" s="71" t="s">
        <v>44</v>
      </c>
      <c r="B29" s="72" t="s">
        <v>327</v>
      </c>
      <c r="C29" s="72" t="s">
        <v>42</v>
      </c>
      <c r="D29" s="72" t="s">
        <v>330</v>
      </c>
      <c r="E29" s="73" t="s">
        <v>43</v>
      </c>
      <c r="F29" s="79" t="s">
        <v>23</v>
      </c>
      <c r="G29" s="79"/>
      <c r="H29" s="73" t="s">
        <v>22</v>
      </c>
      <c r="I29" s="80">
        <v>182.9</v>
      </c>
      <c r="J29" s="80"/>
      <c r="K29" s="76" t="s">
        <v>17</v>
      </c>
      <c r="L29" s="77">
        <v>35240.050000000003</v>
      </c>
    </row>
    <row r="30" spans="1:12" ht="61.2" x14ac:dyDescent="0.3">
      <c r="A30" s="71" t="s">
        <v>44</v>
      </c>
      <c r="B30" s="72" t="s">
        <v>327</v>
      </c>
      <c r="C30" s="72" t="s">
        <v>42</v>
      </c>
      <c r="D30" s="72" t="s">
        <v>331</v>
      </c>
      <c r="E30" s="73" t="s">
        <v>43</v>
      </c>
      <c r="F30" s="79" t="s">
        <v>23</v>
      </c>
      <c r="G30" s="79"/>
      <c r="H30" s="73" t="s">
        <v>22</v>
      </c>
      <c r="I30" s="80">
        <v>589.95000000000005</v>
      </c>
      <c r="J30" s="80"/>
      <c r="K30" s="76" t="s">
        <v>17</v>
      </c>
      <c r="L30" s="77">
        <v>34650.1</v>
      </c>
    </row>
    <row r="31" spans="1:12" ht="51" x14ac:dyDescent="0.3">
      <c r="A31" s="71" t="s">
        <v>44</v>
      </c>
      <c r="B31" s="72" t="s">
        <v>327</v>
      </c>
      <c r="C31" s="72" t="s">
        <v>42</v>
      </c>
      <c r="D31" s="72" t="s">
        <v>332</v>
      </c>
      <c r="E31" s="73" t="s">
        <v>43</v>
      </c>
      <c r="F31" s="79" t="s">
        <v>23</v>
      </c>
      <c r="G31" s="79"/>
      <c r="H31" s="73" t="s">
        <v>22</v>
      </c>
      <c r="I31" s="80">
        <v>791.2</v>
      </c>
      <c r="J31" s="80"/>
      <c r="K31" s="76" t="s">
        <v>17</v>
      </c>
      <c r="L31" s="77">
        <v>33858.9</v>
      </c>
    </row>
    <row r="32" spans="1:12" ht="51" x14ac:dyDescent="0.3">
      <c r="A32" s="71" t="s">
        <v>44</v>
      </c>
      <c r="B32" s="72" t="s">
        <v>327</v>
      </c>
      <c r="C32" s="72" t="s">
        <v>42</v>
      </c>
      <c r="D32" s="72" t="s">
        <v>333</v>
      </c>
      <c r="E32" s="73" t="s">
        <v>43</v>
      </c>
      <c r="F32" s="79" t="s">
        <v>23</v>
      </c>
      <c r="G32" s="79"/>
      <c r="H32" s="73" t="s">
        <v>22</v>
      </c>
      <c r="I32" s="80">
        <v>341.05</v>
      </c>
      <c r="J32" s="80"/>
      <c r="K32" s="76" t="s">
        <v>17</v>
      </c>
      <c r="L32" s="77">
        <v>33517.85</v>
      </c>
    </row>
    <row r="33" spans="1:12" ht="51" x14ac:dyDescent="0.3">
      <c r="A33" s="71" t="s">
        <v>44</v>
      </c>
      <c r="B33" s="72" t="s">
        <v>327</v>
      </c>
      <c r="C33" s="72" t="s">
        <v>42</v>
      </c>
      <c r="D33" s="72" t="s">
        <v>334</v>
      </c>
      <c r="E33" s="73" t="s">
        <v>43</v>
      </c>
      <c r="F33" s="79" t="s">
        <v>23</v>
      </c>
      <c r="G33" s="79"/>
      <c r="H33" s="73" t="s">
        <v>22</v>
      </c>
      <c r="I33" s="80">
        <v>383.4</v>
      </c>
      <c r="J33" s="80"/>
      <c r="K33" s="76" t="s">
        <v>17</v>
      </c>
      <c r="L33" s="77">
        <v>33134.449999999997</v>
      </c>
    </row>
    <row r="34" spans="1:12" ht="61.2" x14ac:dyDescent="0.3">
      <c r="A34" s="71" t="s">
        <v>44</v>
      </c>
      <c r="B34" s="72" t="s">
        <v>327</v>
      </c>
      <c r="C34" s="72" t="s">
        <v>42</v>
      </c>
      <c r="D34" s="72" t="s">
        <v>247</v>
      </c>
      <c r="E34" s="73" t="s">
        <v>43</v>
      </c>
      <c r="F34" s="79" t="s">
        <v>23</v>
      </c>
      <c r="G34" s="79"/>
      <c r="H34" s="73" t="s">
        <v>22</v>
      </c>
      <c r="I34" s="80">
        <v>373.2</v>
      </c>
      <c r="J34" s="80"/>
      <c r="K34" s="76" t="s">
        <v>17</v>
      </c>
      <c r="L34" s="77">
        <v>32761.25</v>
      </c>
    </row>
    <row r="35" spans="1:12" ht="61.2" x14ac:dyDescent="0.3">
      <c r="A35" s="71" t="s">
        <v>44</v>
      </c>
      <c r="B35" s="72" t="s">
        <v>327</v>
      </c>
      <c r="C35" s="72" t="s">
        <v>42</v>
      </c>
      <c r="D35" s="72" t="s">
        <v>244</v>
      </c>
      <c r="E35" s="73" t="s">
        <v>43</v>
      </c>
      <c r="F35" s="79" t="s">
        <v>23</v>
      </c>
      <c r="G35" s="79"/>
      <c r="H35" s="73" t="s">
        <v>22</v>
      </c>
      <c r="I35" s="80">
        <v>367.5</v>
      </c>
      <c r="J35" s="80"/>
      <c r="K35" s="76" t="s">
        <v>17</v>
      </c>
      <c r="L35" s="77">
        <v>32393.75</v>
      </c>
    </row>
    <row r="36" spans="1:12" ht="71.400000000000006" x14ac:dyDescent="0.3">
      <c r="A36" s="71" t="s">
        <v>44</v>
      </c>
      <c r="B36" s="72" t="s">
        <v>327</v>
      </c>
      <c r="C36" s="72" t="s">
        <v>42</v>
      </c>
      <c r="D36" s="72" t="s">
        <v>248</v>
      </c>
      <c r="E36" s="73" t="s">
        <v>43</v>
      </c>
      <c r="F36" s="79" t="s">
        <v>23</v>
      </c>
      <c r="G36" s="79"/>
      <c r="H36" s="73" t="s">
        <v>22</v>
      </c>
      <c r="I36" s="80">
        <v>223.5</v>
      </c>
      <c r="J36" s="80"/>
      <c r="K36" s="76" t="s">
        <v>17</v>
      </c>
      <c r="L36" s="77">
        <v>32170.25</v>
      </c>
    </row>
    <row r="37" spans="1:12" ht="61.2" x14ac:dyDescent="0.3">
      <c r="A37" s="71" t="s">
        <v>44</v>
      </c>
      <c r="B37" s="72" t="s">
        <v>327</v>
      </c>
      <c r="C37" s="72" t="s">
        <v>42</v>
      </c>
      <c r="D37" s="72" t="s">
        <v>335</v>
      </c>
      <c r="E37" s="73" t="s">
        <v>43</v>
      </c>
      <c r="F37" s="79" t="s">
        <v>23</v>
      </c>
      <c r="G37" s="79"/>
      <c r="H37" s="73" t="s">
        <v>22</v>
      </c>
      <c r="I37" s="81">
        <v>1887.5</v>
      </c>
      <c r="J37" s="81"/>
      <c r="K37" s="76" t="s">
        <v>17</v>
      </c>
      <c r="L37" s="77">
        <v>30282.75</v>
      </c>
    </row>
    <row r="38" spans="1:12" ht="51" x14ac:dyDescent="0.3">
      <c r="A38" s="71" t="s">
        <v>44</v>
      </c>
      <c r="B38" s="72" t="s">
        <v>327</v>
      </c>
      <c r="C38" s="72" t="s">
        <v>42</v>
      </c>
      <c r="D38" s="72" t="s">
        <v>336</v>
      </c>
      <c r="E38" s="73" t="s">
        <v>43</v>
      </c>
      <c r="F38" s="79" t="s">
        <v>23</v>
      </c>
      <c r="G38" s="79"/>
      <c r="H38" s="73" t="s">
        <v>22</v>
      </c>
      <c r="I38" s="80">
        <v>465</v>
      </c>
      <c r="J38" s="80"/>
      <c r="K38" s="76" t="s">
        <v>17</v>
      </c>
      <c r="L38" s="77">
        <v>29817.75</v>
      </c>
    </row>
    <row r="39" spans="1:12" ht="61.2" x14ac:dyDescent="0.3">
      <c r="A39" s="71" t="s">
        <v>44</v>
      </c>
      <c r="B39" s="72" t="s">
        <v>337</v>
      </c>
      <c r="C39" s="72" t="s">
        <v>42</v>
      </c>
      <c r="D39" s="72" t="s">
        <v>338</v>
      </c>
      <c r="E39" s="73" t="s">
        <v>43</v>
      </c>
      <c r="F39" s="79" t="s">
        <v>23</v>
      </c>
      <c r="G39" s="79"/>
      <c r="H39" s="73" t="s">
        <v>22</v>
      </c>
      <c r="I39" s="81">
        <v>2490.09</v>
      </c>
      <c r="J39" s="81"/>
      <c r="K39" s="76" t="s">
        <v>17</v>
      </c>
      <c r="L39" s="77">
        <v>27327.66</v>
      </c>
    </row>
    <row r="40" spans="1:12" ht="51" x14ac:dyDescent="0.3">
      <c r="A40" s="71" t="s">
        <v>44</v>
      </c>
      <c r="B40" s="72" t="s">
        <v>337</v>
      </c>
      <c r="C40" s="72" t="s">
        <v>42</v>
      </c>
      <c r="D40" s="72" t="s">
        <v>339</v>
      </c>
      <c r="E40" s="73" t="s">
        <v>43</v>
      </c>
      <c r="F40" s="79" t="s">
        <v>23</v>
      </c>
      <c r="G40" s="79"/>
      <c r="H40" s="73" t="s">
        <v>22</v>
      </c>
      <c r="I40" s="81">
        <v>3045</v>
      </c>
      <c r="J40" s="81"/>
      <c r="K40" s="76" t="s">
        <v>17</v>
      </c>
      <c r="L40" s="77">
        <v>24282.66</v>
      </c>
    </row>
    <row r="41" spans="1:12" ht="61.2" x14ac:dyDescent="0.3">
      <c r="A41" s="71" t="s">
        <v>44</v>
      </c>
      <c r="B41" s="72" t="s">
        <v>337</v>
      </c>
      <c r="C41" s="72" t="s">
        <v>42</v>
      </c>
      <c r="D41" s="72" t="s">
        <v>340</v>
      </c>
      <c r="E41" s="73" t="s">
        <v>43</v>
      </c>
      <c r="F41" s="79" t="s">
        <v>23</v>
      </c>
      <c r="G41" s="79"/>
      <c r="H41" s="73" t="s">
        <v>22</v>
      </c>
      <c r="I41" s="80">
        <v>995</v>
      </c>
      <c r="J41" s="80"/>
      <c r="K41" s="76" t="s">
        <v>17</v>
      </c>
      <c r="L41" s="77">
        <v>23287.66</v>
      </c>
    </row>
    <row r="42" spans="1:12" ht="61.2" x14ac:dyDescent="0.3">
      <c r="A42" s="71" t="s">
        <v>44</v>
      </c>
      <c r="B42" s="72" t="s">
        <v>337</v>
      </c>
      <c r="C42" s="72" t="s">
        <v>42</v>
      </c>
      <c r="D42" s="72" t="s">
        <v>341</v>
      </c>
      <c r="E42" s="73" t="s">
        <v>43</v>
      </c>
      <c r="F42" s="79" t="s">
        <v>23</v>
      </c>
      <c r="G42" s="79"/>
      <c r="H42" s="73" t="s">
        <v>22</v>
      </c>
      <c r="I42" s="80">
        <v>975</v>
      </c>
      <c r="J42" s="80"/>
      <c r="K42" s="76" t="s">
        <v>17</v>
      </c>
      <c r="L42" s="77">
        <v>22312.66</v>
      </c>
    </row>
    <row r="43" spans="1:12" ht="51" x14ac:dyDescent="0.3">
      <c r="A43" s="71" t="s">
        <v>44</v>
      </c>
      <c r="B43" s="72" t="s">
        <v>337</v>
      </c>
      <c r="C43" s="72" t="s">
        <v>42</v>
      </c>
      <c r="D43" s="72" t="s">
        <v>249</v>
      </c>
      <c r="E43" s="73" t="s">
        <v>43</v>
      </c>
      <c r="F43" s="79" t="s">
        <v>23</v>
      </c>
      <c r="G43" s="79"/>
      <c r="H43" s="73" t="s">
        <v>22</v>
      </c>
      <c r="I43" s="81">
        <v>1410</v>
      </c>
      <c r="J43" s="81"/>
      <c r="K43" s="76" t="s">
        <v>17</v>
      </c>
      <c r="L43" s="77">
        <v>20902.66</v>
      </c>
    </row>
    <row r="44" spans="1:12" ht="51" x14ac:dyDescent="0.3">
      <c r="A44" s="71" t="s">
        <v>44</v>
      </c>
      <c r="B44" s="72" t="s">
        <v>337</v>
      </c>
      <c r="C44" s="72" t="s">
        <v>42</v>
      </c>
      <c r="D44" s="72" t="s">
        <v>176</v>
      </c>
      <c r="E44" s="73" t="s">
        <v>43</v>
      </c>
      <c r="F44" s="79" t="s">
        <v>23</v>
      </c>
      <c r="G44" s="79"/>
      <c r="H44" s="73" t="s">
        <v>22</v>
      </c>
      <c r="I44" s="80">
        <v>200.54</v>
      </c>
      <c r="J44" s="80"/>
      <c r="K44" s="76" t="s">
        <v>17</v>
      </c>
      <c r="L44" s="77">
        <v>20702.12</v>
      </c>
    </row>
    <row r="45" spans="1:12" ht="51" x14ac:dyDescent="0.3">
      <c r="A45" s="71" t="s">
        <v>44</v>
      </c>
      <c r="B45" s="72" t="s">
        <v>337</v>
      </c>
      <c r="C45" s="72" t="s">
        <v>42</v>
      </c>
      <c r="D45" s="72" t="s">
        <v>342</v>
      </c>
      <c r="E45" s="73" t="s">
        <v>43</v>
      </c>
      <c r="F45" s="79" t="s">
        <v>23</v>
      </c>
      <c r="G45" s="79"/>
      <c r="H45" s="73" t="s">
        <v>22</v>
      </c>
      <c r="I45" s="81">
        <v>2746.57</v>
      </c>
      <c r="J45" s="81"/>
      <c r="K45" s="76" t="s">
        <v>17</v>
      </c>
      <c r="L45" s="77">
        <v>17955.55</v>
      </c>
    </row>
    <row r="46" spans="1:12" ht="51" x14ac:dyDescent="0.3">
      <c r="A46" s="71" t="s">
        <v>44</v>
      </c>
      <c r="B46" s="72" t="s">
        <v>337</v>
      </c>
      <c r="C46" s="72" t="s">
        <v>42</v>
      </c>
      <c r="D46" s="72" t="s">
        <v>245</v>
      </c>
      <c r="E46" s="73" t="s">
        <v>43</v>
      </c>
      <c r="F46" s="79" t="s">
        <v>23</v>
      </c>
      <c r="G46" s="79"/>
      <c r="H46" s="73" t="s">
        <v>22</v>
      </c>
      <c r="I46" s="80">
        <v>190.75</v>
      </c>
      <c r="J46" s="80"/>
      <c r="K46" s="76" t="s">
        <v>17</v>
      </c>
      <c r="L46" s="77">
        <v>17764.8</v>
      </c>
    </row>
    <row r="47" spans="1:12" ht="61.2" x14ac:dyDescent="0.3">
      <c r="A47" s="71" t="s">
        <v>44</v>
      </c>
      <c r="B47" s="72" t="s">
        <v>337</v>
      </c>
      <c r="C47" s="72" t="s">
        <v>42</v>
      </c>
      <c r="D47" s="72" t="s">
        <v>343</v>
      </c>
      <c r="E47" s="73" t="s">
        <v>43</v>
      </c>
      <c r="F47" s="79" t="s">
        <v>23</v>
      </c>
      <c r="G47" s="79"/>
      <c r="H47" s="73" t="s">
        <v>22</v>
      </c>
      <c r="I47" s="80">
        <v>612.75</v>
      </c>
      <c r="J47" s="80"/>
      <c r="K47" s="76" t="s">
        <v>17</v>
      </c>
      <c r="L47" s="77">
        <v>17152.05</v>
      </c>
    </row>
    <row r="48" spans="1:12" ht="61.2" x14ac:dyDescent="0.3">
      <c r="A48" s="71" t="s">
        <v>44</v>
      </c>
      <c r="B48" s="72" t="s">
        <v>337</v>
      </c>
      <c r="C48" s="72" t="s">
        <v>42</v>
      </c>
      <c r="D48" s="72" t="s">
        <v>246</v>
      </c>
      <c r="E48" s="73" t="s">
        <v>43</v>
      </c>
      <c r="F48" s="79" t="s">
        <v>23</v>
      </c>
      <c r="G48" s="79"/>
      <c r="H48" s="73" t="s">
        <v>22</v>
      </c>
      <c r="I48" s="81">
        <v>1802.8</v>
      </c>
      <c r="J48" s="81"/>
      <c r="K48" s="76" t="s">
        <v>17</v>
      </c>
      <c r="L48" s="77">
        <v>15349.25</v>
      </c>
    </row>
    <row r="49" spans="1:12" ht="51" x14ac:dyDescent="0.3">
      <c r="A49" s="71" t="s">
        <v>44</v>
      </c>
      <c r="B49" s="72" t="s">
        <v>337</v>
      </c>
      <c r="C49" s="72" t="s">
        <v>42</v>
      </c>
      <c r="D49" s="72" t="s">
        <v>336</v>
      </c>
      <c r="E49" s="73" t="s">
        <v>43</v>
      </c>
      <c r="F49" s="79" t="s">
        <v>23</v>
      </c>
      <c r="G49" s="79"/>
      <c r="H49" s="73" t="s">
        <v>22</v>
      </c>
      <c r="I49" s="80">
        <v>930</v>
      </c>
      <c r="J49" s="80"/>
      <c r="K49" s="76" t="s">
        <v>17</v>
      </c>
      <c r="L49" s="77">
        <v>14419.25</v>
      </c>
    </row>
    <row r="50" spans="1:12" ht="51" x14ac:dyDescent="0.3">
      <c r="A50" s="71" t="s">
        <v>44</v>
      </c>
      <c r="B50" s="72" t="s">
        <v>337</v>
      </c>
      <c r="C50" s="72" t="s">
        <v>42</v>
      </c>
      <c r="D50" s="72" t="s">
        <v>344</v>
      </c>
      <c r="E50" s="73" t="s">
        <v>43</v>
      </c>
      <c r="F50" s="79" t="s">
        <v>23</v>
      </c>
      <c r="G50" s="79"/>
      <c r="H50" s="73" t="s">
        <v>22</v>
      </c>
      <c r="I50" s="81">
        <v>1053</v>
      </c>
      <c r="J50" s="81"/>
      <c r="K50" s="76" t="s">
        <v>17</v>
      </c>
      <c r="L50" s="77">
        <v>13366.25</v>
      </c>
    </row>
    <row r="51" spans="1:12" ht="51" x14ac:dyDescent="0.3">
      <c r="A51" s="71" t="s">
        <v>44</v>
      </c>
      <c r="B51" s="72" t="s">
        <v>337</v>
      </c>
      <c r="C51" s="72" t="s">
        <v>42</v>
      </c>
      <c r="D51" s="72" t="s">
        <v>241</v>
      </c>
      <c r="E51" s="73" t="s">
        <v>43</v>
      </c>
      <c r="F51" s="79" t="s">
        <v>23</v>
      </c>
      <c r="G51" s="79"/>
      <c r="H51" s="73" t="s">
        <v>22</v>
      </c>
      <c r="I51" s="80">
        <v>398</v>
      </c>
      <c r="J51" s="80"/>
      <c r="K51" s="76" t="s">
        <v>17</v>
      </c>
      <c r="L51" s="77">
        <v>12968.25</v>
      </c>
    </row>
    <row r="52" spans="1:12" ht="51" x14ac:dyDescent="0.3">
      <c r="A52" s="71" t="s">
        <v>44</v>
      </c>
      <c r="B52" s="72" t="s">
        <v>337</v>
      </c>
      <c r="C52" s="72" t="s">
        <v>42</v>
      </c>
      <c r="D52" s="72" t="s">
        <v>345</v>
      </c>
      <c r="E52" s="73" t="s">
        <v>43</v>
      </c>
      <c r="F52" s="79" t="s">
        <v>23</v>
      </c>
      <c r="G52" s="79"/>
      <c r="H52" s="73" t="s">
        <v>22</v>
      </c>
      <c r="I52" s="80">
        <v>937.5</v>
      </c>
      <c r="J52" s="80"/>
      <c r="K52" s="76" t="s">
        <v>17</v>
      </c>
      <c r="L52" s="77">
        <v>12030.75</v>
      </c>
    </row>
    <row r="53" spans="1:12" ht="51" x14ac:dyDescent="0.3">
      <c r="A53" s="71" t="s">
        <v>44</v>
      </c>
      <c r="B53" s="72" t="s">
        <v>337</v>
      </c>
      <c r="C53" s="72" t="s">
        <v>42</v>
      </c>
      <c r="D53" s="72" t="s">
        <v>346</v>
      </c>
      <c r="E53" s="73" t="s">
        <v>43</v>
      </c>
      <c r="F53" s="79" t="s">
        <v>23</v>
      </c>
      <c r="G53" s="79"/>
      <c r="H53" s="73" t="s">
        <v>22</v>
      </c>
      <c r="I53" s="80">
        <v>479.4</v>
      </c>
      <c r="J53" s="80"/>
      <c r="K53" s="76" t="s">
        <v>17</v>
      </c>
      <c r="L53" s="77">
        <v>11551.35</v>
      </c>
    </row>
    <row r="54" spans="1:12" ht="51" x14ac:dyDescent="0.3">
      <c r="A54" s="71" t="s">
        <v>44</v>
      </c>
      <c r="B54" s="72" t="s">
        <v>347</v>
      </c>
      <c r="C54" s="72" t="s">
        <v>42</v>
      </c>
      <c r="D54" s="72" t="s">
        <v>348</v>
      </c>
      <c r="E54" s="73" t="s">
        <v>43</v>
      </c>
      <c r="F54" s="79" t="s">
        <v>23</v>
      </c>
      <c r="G54" s="79"/>
      <c r="H54" s="73" t="s">
        <v>22</v>
      </c>
      <c r="I54" s="80">
        <v>542</v>
      </c>
      <c r="J54" s="80"/>
      <c r="K54" s="76" t="s">
        <v>17</v>
      </c>
      <c r="L54" s="77">
        <v>11009.35</v>
      </c>
    </row>
    <row r="55" spans="1:12" ht="61.2" x14ac:dyDescent="0.3">
      <c r="A55" s="71" t="s">
        <v>44</v>
      </c>
      <c r="B55" s="72" t="s">
        <v>349</v>
      </c>
      <c r="C55" s="72" t="s">
        <v>42</v>
      </c>
      <c r="D55" s="72" t="s">
        <v>350</v>
      </c>
      <c r="E55" s="73" t="s">
        <v>43</v>
      </c>
      <c r="F55" s="79" t="s">
        <v>23</v>
      </c>
      <c r="G55" s="79"/>
      <c r="H55" s="73" t="s">
        <v>22</v>
      </c>
      <c r="I55" s="80">
        <v>830.03</v>
      </c>
      <c r="J55" s="80"/>
      <c r="K55" s="76" t="s">
        <v>17</v>
      </c>
      <c r="L55" s="77">
        <v>10179.32</v>
      </c>
    </row>
    <row r="56" spans="1:12" ht="61.2" x14ac:dyDescent="0.3">
      <c r="A56" s="71" t="s">
        <v>44</v>
      </c>
      <c r="B56" s="72" t="s">
        <v>349</v>
      </c>
      <c r="C56" s="72" t="s">
        <v>42</v>
      </c>
      <c r="D56" s="72" t="s">
        <v>351</v>
      </c>
      <c r="E56" s="73" t="s">
        <v>43</v>
      </c>
      <c r="F56" s="79" t="s">
        <v>23</v>
      </c>
      <c r="G56" s="79"/>
      <c r="H56" s="73" t="s">
        <v>22</v>
      </c>
      <c r="I56" s="80">
        <v>830.03</v>
      </c>
      <c r="J56" s="80"/>
      <c r="K56" s="76" t="s">
        <v>17</v>
      </c>
      <c r="L56" s="77">
        <v>9349.2900000000009</v>
      </c>
    </row>
    <row r="57" spans="1:12" ht="51" x14ac:dyDescent="0.3">
      <c r="A57" s="71" t="s">
        <v>44</v>
      </c>
      <c r="B57" s="72" t="s">
        <v>349</v>
      </c>
      <c r="C57" s="72" t="s">
        <v>42</v>
      </c>
      <c r="D57" s="72" t="s">
        <v>314</v>
      </c>
      <c r="E57" s="73" t="s">
        <v>43</v>
      </c>
      <c r="F57" s="79" t="s">
        <v>23</v>
      </c>
      <c r="G57" s="79"/>
      <c r="H57" s="73" t="s">
        <v>22</v>
      </c>
      <c r="I57" s="80">
        <v>186.34</v>
      </c>
      <c r="J57" s="80"/>
      <c r="K57" s="76" t="s">
        <v>17</v>
      </c>
      <c r="L57" s="77">
        <v>9162.9500000000007</v>
      </c>
    </row>
    <row r="58" spans="1:12" ht="51" x14ac:dyDescent="0.3">
      <c r="A58" s="71" t="s">
        <v>44</v>
      </c>
      <c r="B58" s="72" t="s">
        <v>349</v>
      </c>
      <c r="C58" s="72" t="s">
        <v>42</v>
      </c>
      <c r="D58" s="72" t="s">
        <v>352</v>
      </c>
      <c r="E58" s="73" t="s">
        <v>43</v>
      </c>
      <c r="F58" s="79" t="s">
        <v>23</v>
      </c>
      <c r="G58" s="79"/>
      <c r="H58" s="73" t="s">
        <v>22</v>
      </c>
      <c r="I58" s="81">
        <v>1025</v>
      </c>
      <c r="J58" s="81"/>
      <c r="K58" s="76" t="s">
        <v>17</v>
      </c>
      <c r="L58" s="77">
        <v>8137.95</v>
      </c>
    </row>
    <row r="59" spans="1:12" ht="51" x14ac:dyDescent="0.3">
      <c r="A59" s="71" t="s">
        <v>44</v>
      </c>
      <c r="B59" s="72" t="s">
        <v>349</v>
      </c>
      <c r="C59" s="72" t="s">
        <v>42</v>
      </c>
      <c r="D59" s="72" t="s">
        <v>353</v>
      </c>
      <c r="E59" s="73" t="s">
        <v>43</v>
      </c>
      <c r="F59" s="79" t="s">
        <v>23</v>
      </c>
      <c r="G59" s="79"/>
      <c r="H59" s="73" t="s">
        <v>22</v>
      </c>
      <c r="I59" s="81">
        <v>2050</v>
      </c>
      <c r="J59" s="81"/>
      <c r="K59" s="76" t="s">
        <v>17</v>
      </c>
      <c r="L59" s="77">
        <v>6087.95</v>
      </c>
    </row>
    <row r="60" spans="1:12" ht="61.2" x14ac:dyDescent="0.3">
      <c r="A60" s="71" t="s">
        <v>44</v>
      </c>
      <c r="B60" s="72" t="s">
        <v>349</v>
      </c>
      <c r="C60" s="72" t="s">
        <v>42</v>
      </c>
      <c r="D60" s="72" t="s">
        <v>354</v>
      </c>
      <c r="E60" s="73" t="s">
        <v>43</v>
      </c>
      <c r="F60" s="79" t="s">
        <v>23</v>
      </c>
      <c r="G60" s="79"/>
      <c r="H60" s="73" t="s">
        <v>22</v>
      </c>
      <c r="I60" s="80">
        <v>301.55</v>
      </c>
      <c r="J60" s="80"/>
      <c r="K60" s="76" t="s">
        <v>17</v>
      </c>
      <c r="L60" s="77">
        <v>5786.4</v>
      </c>
    </row>
    <row r="61" spans="1:12" ht="51" x14ac:dyDescent="0.3">
      <c r="A61" s="71" t="s">
        <v>44</v>
      </c>
      <c r="B61" s="72" t="s">
        <v>349</v>
      </c>
      <c r="C61" s="72" t="s">
        <v>42</v>
      </c>
      <c r="D61" s="72" t="s">
        <v>355</v>
      </c>
      <c r="E61" s="73" t="s">
        <v>43</v>
      </c>
      <c r="F61" s="79" t="s">
        <v>23</v>
      </c>
      <c r="G61" s="79"/>
      <c r="H61" s="73" t="s">
        <v>22</v>
      </c>
      <c r="I61" s="81">
        <v>1178.0999999999999</v>
      </c>
      <c r="J61" s="81"/>
      <c r="K61" s="76" t="s">
        <v>17</v>
      </c>
      <c r="L61" s="77">
        <v>4608.3</v>
      </c>
    </row>
    <row r="62" spans="1:12" ht="51" x14ac:dyDescent="0.3">
      <c r="A62" s="71" t="s">
        <v>44</v>
      </c>
      <c r="B62" s="72" t="s">
        <v>349</v>
      </c>
      <c r="C62" s="72" t="s">
        <v>42</v>
      </c>
      <c r="D62" s="72" t="s">
        <v>356</v>
      </c>
      <c r="E62" s="73" t="s">
        <v>43</v>
      </c>
      <c r="F62" s="79" t="s">
        <v>23</v>
      </c>
      <c r="G62" s="79"/>
      <c r="H62" s="73" t="s">
        <v>22</v>
      </c>
      <c r="I62" s="81">
        <v>1135</v>
      </c>
      <c r="J62" s="81"/>
      <c r="K62" s="76" t="s">
        <v>17</v>
      </c>
      <c r="L62" s="77">
        <v>3473.3</v>
      </c>
    </row>
    <row r="63" spans="1:12" ht="51" x14ac:dyDescent="0.3">
      <c r="A63" s="71" t="s">
        <v>44</v>
      </c>
      <c r="B63" s="72" t="s">
        <v>349</v>
      </c>
      <c r="C63" s="72" t="s">
        <v>42</v>
      </c>
      <c r="D63" s="72" t="s">
        <v>357</v>
      </c>
      <c r="E63" s="73" t="s">
        <v>43</v>
      </c>
      <c r="F63" s="79" t="s">
        <v>23</v>
      </c>
      <c r="G63" s="79"/>
      <c r="H63" s="73" t="s">
        <v>22</v>
      </c>
      <c r="I63" s="80">
        <v>159.94999999999999</v>
      </c>
      <c r="J63" s="80"/>
      <c r="K63" s="76" t="s">
        <v>17</v>
      </c>
      <c r="L63" s="77">
        <v>3313.35</v>
      </c>
    </row>
    <row r="64" spans="1:12" ht="51" hidden="1" x14ac:dyDescent="0.3">
      <c r="A64" s="71" t="s">
        <v>46</v>
      </c>
      <c r="B64" s="72" t="s">
        <v>298</v>
      </c>
      <c r="C64" s="72" t="s">
        <v>299</v>
      </c>
      <c r="D64" s="72" t="s">
        <v>270</v>
      </c>
      <c r="E64" s="73" t="s">
        <v>22</v>
      </c>
      <c r="F64" s="78">
        <v>479.25</v>
      </c>
      <c r="G64" s="78"/>
      <c r="H64" s="73" t="s">
        <v>22</v>
      </c>
      <c r="I64" s="75" t="s">
        <v>23</v>
      </c>
      <c r="J64" s="75"/>
      <c r="K64" s="76" t="s">
        <v>17</v>
      </c>
      <c r="L64" s="77">
        <v>3792.6</v>
      </c>
    </row>
    <row r="65" spans="1:12" ht="51" hidden="1" x14ac:dyDescent="0.3">
      <c r="A65" s="71" t="s">
        <v>46</v>
      </c>
      <c r="B65" s="72" t="s">
        <v>298</v>
      </c>
      <c r="C65" s="72" t="s">
        <v>300</v>
      </c>
      <c r="D65" s="72" t="s">
        <v>273</v>
      </c>
      <c r="E65" s="73" t="s">
        <v>22</v>
      </c>
      <c r="F65" s="74">
        <v>1893</v>
      </c>
      <c r="G65" s="74"/>
      <c r="H65" s="73" t="s">
        <v>22</v>
      </c>
      <c r="I65" s="75" t="s">
        <v>23</v>
      </c>
      <c r="J65" s="75"/>
      <c r="K65" s="76" t="s">
        <v>17</v>
      </c>
      <c r="L65" s="77">
        <v>5685.6</v>
      </c>
    </row>
    <row r="66" spans="1:12" ht="51" hidden="1" x14ac:dyDescent="0.3">
      <c r="A66" s="71" t="s">
        <v>46</v>
      </c>
      <c r="B66" s="72" t="s">
        <v>298</v>
      </c>
      <c r="C66" s="72" t="s">
        <v>301</v>
      </c>
      <c r="D66" s="72" t="s">
        <v>51</v>
      </c>
      <c r="E66" s="73" t="s">
        <v>22</v>
      </c>
      <c r="F66" s="78">
        <v>309</v>
      </c>
      <c r="G66" s="78"/>
      <c r="H66" s="73" t="s">
        <v>22</v>
      </c>
      <c r="I66" s="75" t="s">
        <v>23</v>
      </c>
      <c r="J66" s="75"/>
      <c r="K66" s="76" t="s">
        <v>17</v>
      </c>
      <c r="L66" s="77">
        <v>5994.6</v>
      </c>
    </row>
    <row r="67" spans="1:12" ht="51" hidden="1" x14ac:dyDescent="0.3">
      <c r="A67" s="71" t="s">
        <v>46</v>
      </c>
      <c r="B67" s="72" t="s">
        <v>298</v>
      </c>
      <c r="C67" s="72" t="s">
        <v>302</v>
      </c>
      <c r="D67" s="72" t="s">
        <v>53</v>
      </c>
      <c r="E67" s="73" t="s">
        <v>22</v>
      </c>
      <c r="F67" s="78">
        <v>148.75</v>
      </c>
      <c r="G67" s="78"/>
      <c r="H67" s="73" t="s">
        <v>22</v>
      </c>
      <c r="I67" s="75" t="s">
        <v>23</v>
      </c>
      <c r="J67" s="75"/>
      <c r="K67" s="76" t="s">
        <v>17</v>
      </c>
      <c r="L67" s="77">
        <v>6143.35</v>
      </c>
    </row>
    <row r="68" spans="1:12" ht="51" x14ac:dyDescent="0.3">
      <c r="A68" s="71" t="s">
        <v>58</v>
      </c>
      <c r="B68" s="72" t="s">
        <v>358</v>
      </c>
      <c r="C68" s="72" t="s">
        <v>42</v>
      </c>
      <c r="D68" s="72" t="s">
        <v>319</v>
      </c>
      <c r="E68" s="73" t="s">
        <v>43</v>
      </c>
      <c r="F68" s="79" t="s">
        <v>23</v>
      </c>
      <c r="G68" s="79"/>
      <c r="H68" s="73" t="s">
        <v>22</v>
      </c>
      <c r="I68" s="80">
        <v>540</v>
      </c>
      <c r="J68" s="80"/>
      <c r="K68" s="76" t="s">
        <v>17</v>
      </c>
      <c r="L68" s="77">
        <v>5603.35</v>
      </c>
    </row>
    <row r="69" spans="1:12" ht="51" x14ac:dyDescent="0.3">
      <c r="A69" s="71" t="s">
        <v>58</v>
      </c>
      <c r="B69" s="72" t="s">
        <v>358</v>
      </c>
      <c r="C69" s="72" t="s">
        <v>42</v>
      </c>
      <c r="D69" s="72" t="s">
        <v>317</v>
      </c>
      <c r="E69" s="73" t="s">
        <v>43</v>
      </c>
      <c r="F69" s="79" t="s">
        <v>23</v>
      </c>
      <c r="G69" s="79"/>
      <c r="H69" s="73" t="s">
        <v>22</v>
      </c>
      <c r="I69" s="80">
        <v>120</v>
      </c>
      <c r="J69" s="80"/>
      <c r="K69" s="76" t="s">
        <v>17</v>
      </c>
      <c r="L69" s="77">
        <v>5483.35</v>
      </c>
    </row>
    <row r="70" spans="1:12" ht="51" x14ac:dyDescent="0.3">
      <c r="A70" s="71" t="s">
        <v>58</v>
      </c>
      <c r="B70" s="72" t="s">
        <v>358</v>
      </c>
      <c r="C70" s="72" t="s">
        <v>42</v>
      </c>
      <c r="D70" s="72" t="s">
        <v>301</v>
      </c>
      <c r="E70" s="73" t="s">
        <v>43</v>
      </c>
      <c r="F70" s="79" t="s">
        <v>23</v>
      </c>
      <c r="G70" s="79"/>
      <c r="H70" s="73" t="s">
        <v>22</v>
      </c>
      <c r="I70" s="80">
        <v>309</v>
      </c>
      <c r="J70" s="80"/>
      <c r="K70" s="76" t="s">
        <v>17</v>
      </c>
      <c r="L70" s="77">
        <v>5174.3500000000004</v>
      </c>
    </row>
    <row r="71" spans="1:12" ht="51" x14ac:dyDescent="0.3">
      <c r="A71" s="71" t="s">
        <v>58</v>
      </c>
      <c r="B71" s="72" t="s">
        <v>358</v>
      </c>
      <c r="C71" s="72" t="s">
        <v>42</v>
      </c>
      <c r="D71" s="72" t="s">
        <v>299</v>
      </c>
      <c r="E71" s="73" t="s">
        <v>43</v>
      </c>
      <c r="F71" s="79" t="s">
        <v>23</v>
      </c>
      <c r="G71" s="79"/>
      <c r="H71" s="73" t="s">
        <v>22</v>
      </c>
      <c r="I71" s="80">
        <v>479.25</v>
      </c>
      <c r="J71" s="80"/>
      <c r="K71" s="76" t="s">
        <v>17</v>
      </c>
      <c r="L71" s="77">
        <v>4695.1000000000004</v>
      </c>
    </row>
    <row r="72" spans="1:12" ht="51" x14ac:dyDescent="0.3">
      <c r="A72" s="71" t="s">
        <v>58</v>
      </c>
      <c r="B72" s="72" t="s">
        <v>358</v>
      </c>
      <c r="C72" s="72" t="s">
        <v>42</v>
      </c>
      <c r="D72" s="72" t="s">
        <v>359</v>
      </c>
      <c r="E72" s="73" t="s">
        <v>43</v>
      </c>
      <c r="F72" s="79" t="s">
        <v>23</v>
      </c>
      <c r="G72" s="79"/>
      <c r="H72" s="73" t="s">
        <v>22</v>
      </c>
      <c r="I72" s="81">
        <v>1433.35</v>
      </c>
      <c r="J72" s="81"/>
      <c r="K72" s="76" t="s">
        <v>17</v>
      </c>
      <c r="L72" s="77">
        <v>3261.75</v>
      </c>
    </row>
    <row r="73" spans="1:12" ht="51" x14ac:dyDescent="0.3">
      <c r="A73" s="71" t="s">
        <v>58</v>
      </c>
      <c r="B73" s="72" t="s">
        <v>358</v>
      </c>
      <c r="C73" s="72" t="s">
        <v>42</v>
      </c>
      <c r="D73" s="72" t="s">
        <v>312</v>
      </c>
      <c r="E73" s="73" t="s">
        <v>43</v>
      </c>
      <c r="F73" s="79" t="s">
        <v>23</v>
      </c>
      <c r="G73" s="79"/>
      <c r="H73" s="73" t="s">
        <v>22</v>
      </c>
      <c r="I73" s="81">
        <v>1220</v>
      </c>
      <c r="J73" s="81"/>
      <c r="K73" s="76" t="s">
        <v>17</v>
      </c>
      <c r="L73" s="77">
        <v>2041.75</v>
      </c>
    </row>
    <row r="74" spans="1:12" hidden="1" x14ac:dyDescent="0.3">
      <c r="A74" s="82" t="s">
        <v>60</v>
      </c>
      <c r="B74" s="82"/>
      <c r="C74" s="82"/>
      <c r="D74" s="82"/>
      <c r="E74" s="83">
        <v>11572.38</v>
      </c>
      <c r="F74" s="83"/>
      <c r="G74" s="83"/>
      <c r="H74" s="83">
        <v>41567.9</v>
      </c>
      <c r="I74" s="83"/>
      <c r="J74" s="83"/>
      <c r="K74" s="84" t="s">
        <v>17</v>
      </c>
      <c r="L74" s="85">
        <v>2041.75</v>
      </c>
    </row>
    <row r="76" spans="1:12" x14ac:dyDescent="0.3">
      <c r="J76" s="261">
        <f>SUBTOTAL(9,I18:J73)</f>
        <v>41567.899999999994</v>
      </c>
    </row>
  </sheetData>
  <autoFilter ref="A1:L74" xr:uid="{888741EE-F24F-4D9E-BE0E-F97D22FEA91D}">
    <filterColumn colId="1">
      <filters>
        <filter val="Передача малоцінних активів в експлуатацію ІБ00-000267 від 19.06.2025 09:35:57_x000a_Списание стоимости малоценных активов"/>
        <filter val="Передача малоцінних активів в експлуатацію ІБ00-000283 від 20.06.2025 18:06:18_x000a_Списание стоимости малоценных активов"/>
        <filter val="Передача малоцінних активів в експлуатацію ІБ00-000286 від 20.06.2025 18:06:24_x000a_Списание стоимости малоценных активов"/>
        <filter val="Передача малоцінних активів в експлуатацію ІБ00-000301 від 20.06.2025 21:00:13_x000a_Списание стоимости малоценных активов"/>
        <filter val="Передача малоцінних активів в експлуатацію ІБ00-000303 від 20.06.2025 21:00:18_x000a_Списание стоимости малоценных активов"/>
        <filter val="Передача малоцінних активів в експлуатацію ІБ00-000311 від 25.06.2025 23:13:17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54">
    <mergeCell ref="F73:G73"/>
    <mergeCell ref="I73:J73"/>
    <mergeCell ref="A74:D74"/>
    <mergeCell ref="E74:G74"/>
    <mergeCell ref="H74:J74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3B4C-5FC0-4875-AD71-3346667A78A8}">
  <sheetPr filterMode="1"/>
  <dimension ref="A1:L26"/>
  <sheetViews>
    <sheetView topLeftCell="A14" workbookViewId="0">
      <selection activeCell="J26" sqref="J26"/>
    </sheetView>
  </sheetViews>
  <sheetFormatPr defaultRowHeight="14.4" x14ac:dyDescent="0.3"/>
  <cols>
    <col min="2" max="4" width="28.5546875" customWidth="1"/>
  </cols>
  <sheetData>
    <row r="1" spans="1:12" x14ac:dyDescent="0.3">
      <c r="A1" s="86" t="s">
        <v>9</v>
      </c>
      <c r="B1" s="87" t="s">
        <v>10</v>
      </c>
      <c r="C1" s="87" t="s">
        <v>11</v>
      </c>
      <c r="D1" s="88" t="s">
        <v>12</v>
      </c>
      <c r="E1" s="89" t="s">
        <v>13</v>
      </c>
      <c r="F1" s="89"/>
      <c r="G1" s="89"/>
      <c r="H1" s="90" t="s">
        <v>14</v>
      </c>
      <c r="I1" s="90"/>
      <c r="J1" s="90"/>
      <c r="K1" s="87" t="s">
        <v>15</v>
      </c>
      <c r="L1" s="87"/>
    </row>
    <row r="2" spans="1:12" hidden="1" x14ac:dyDescent="0.3">
      <c r="A2" s="91"/>
      <c r="B2" s="92"/>
      <c r="C2" s="92"/>
      <c r="D2" s="93"/>
      <c r="E2" s="94" t="s">
        <v>16</v>
      </c>
      <c r="F2" s="95"/>
      <c r="G2" s="95"/>
      <c r="H2" s="96" t="s">
        <v>16</v>
      </c>
      <c r="I2" s="97"/>
      <c r="J2" s="97"/>
      <c r="K2" s="91"/>
      <c r="L2" s="98"/>
    </row>
    <row r="3" spans="1:12" ht="61.2" hidden="1" x14ac:dyDescent="0.3">
      <c r="A3" s="99" t="s">
        <v>18</v>
      </c>
      <c r="B3" s="100" t="s">
        <v>114</v>
      </c>
      <c r="C3" s="100" t="s">
        <v>115</v>
      </c>
      <c r="D3" s="100" t="s">
        <v>21</v>
      </c>
      <c r="E3" s="101" t="s">
        <v>22</v>
      </c>
      <c r="F3" s="102">
        <v>294</v>
      </c>
      <c r="G3" s="102"/>
      <c r="H3" s="101" t="s">
        <v>22</v>
      </c>
      <c r="I3" s="103" t="s">
        <v>23</v>
      </c>
      <c r="J3" s="103"/>
      <c r="K3" s="104" t="s">
        <v>17</v>
      </c>
      <c r="L3" s="105">
        <v>294</v>
      </c>
    </row>
    <row r="4" spans="1:12" ht="51" hidden="1" x14ac:dyDescent="0.3">
      <c r="A4" s="99" t="s">
        <v>34</v>
      </c>
      <c r="B4" s="100" t="s">
        <v>211</v>
      </c>
      <c r="C4" s="100" t="s">
        <v>212</v>
      </c>
      <c r="D4" s="100" t="s">
        <v>37</v>
      </c>
      <c r="E4" s="101" t="s">
        <v>22</v>
      </c>
      <c r="F4" s="102">
        <v>186.25</v>
      </c>
      <c r="G4" s="102"/>
      <c r="H4" s="101" t="s">
        <v>22</v>
      </c>
      <c r="I4" s="103" t="s">
        <v>23</v>
      </c>
      <c r="J4" s="103"/>
      <c r="K4" s="104" t="s">
        <v>17</v>
      </c>
      <c r="L4" s="105">
        <v>480.25</v>
      </c>
    </row>
    <row r="5" spans="1:12" ht="61.2" hidden="1" x14ac:dyDescent="0.3">
      <c r="A5" s="99" t="s">
        <v>34</v>
      </c>
      <c r="B5" s="100" t="s">
        <v>211</v>
      </c>
      <c r="C5" s="100" t="s">
        <v>213</v>
      </c>
      <c r="D5" s="100" t="s">
        <v>194</v>
      </c>
      <c r="E5" s="101" t="s">
        <v>22</v>
      </c>
      <c r="F5" s="106">
        <v>1116</v>
      </c>
      <c r="G5" s="106"/>
      <c r="H5" s="101" t="s">
        <v>22</v>
      </c>
      <c r="I5" s="103" t="s">
        <v>23</v>
      </c>
      <c r="J5" s="103"/>
      <c r="K5" s="104" t="s">
        <v>17</v>
      </c>
      <c r="L5" s="107">
        <v>1596.25</v>
      </c>
    </row>
    <row r="6" spans="1:12" ht="51" hidden="1" x14ac:dyDescent="0.3">
      <c r="A6" s="99" t="s">
        <v>34</v>
      </c>
      <c r="B6" s="100" t="s">
        <v>211</v>
      </c>
      <c r="C6" s="100" t="s">
        <v>214</v>
      </c>
      <c r="D6" s="100" t="s">
        <v>195</v>
      </c>
      <c r="E6" s="101" t="s">
        <v>22</v>
      </c>
      <c r="F6" s="102">
        <v>268.75</v>
      </c>
      <c r="G6" s="102"/>
      <c r="H6" s="101" t="s">
        <v>22</v>
      </c>
      <c r="I6" s="103" t="s">
        <v>23</v>
      </c>
      <c r="J6" s="103"/>
      <c r="K6" s="104" t="s">
        <v>17</v>
      </c>
      <c r="L6" s="107">
        <v>1865</v>
      </c>
    </row>
    <row r="7" spans="1:12" ht="51" hidden="1" x14ac:dyDescent="0.3">
      <c r="A7" s="99" t="s">
        <v>34</v>
      </c>
      <c r="B7" s="100" t="s">
        <v>211</v>
      </c>
      <c r="C7" s="100" t="s">
        <v>215</v>
      </c>
      <c r="D7" s="100" t="s">
        <v>203</v>
      </c>
      <c r="E7" s="101" t="s">
        <v>22</v>
      </c>
      <c r="F7" s="102">
        <v>190.75</v>
      </c>
      <c r="G7" s="102"/>
      <c r="H7" s="101" t="s">
        <v>22</v>
      </c>
      <c r="I7" s="103" t="s">
        <v>23</v>
      </c>
      <c r="J7" s="103"/>
      <c r="K7" s="104" t="s">
        <v>17</v>
      </c>
      <c r="L7" s="107">
        <v>2055.75</v>
      </c>
    </row>
    <row r="8" spans="1:12" ht="61.2" hidden="1" x14ac:dyDescent="0.3">
      <c r="A8" s="99" t="s">
        <v>34</v>
      </c>
      <c r="B8" s="100" t="s">
        <v>211</v>
      </c>
      <c r="C8" s="100" t="s">
        <v>216</v>
      </c>
      <c r="D8" s="100" t="s">
        <v>204</v>
      </c>
      <c r="E8" s="101" t="s">
        <v>22</v>
      </c>
      <c r="F8" s="102">
        <v>497.55</v>
      </c>
      <c r="G8" s="102"/>
      <c r="H8" s="101" t="s">
        <v>22</v>
      </c>
      <c r="I8" s="103" t="s">
        <v>23</v>
      </c>
      <c r="J8" s="103"/>
      <c r="K8" s="104" t="s">
        <v>17</v>
      </c>
      <c r="L8" s="107">
        <v>2553.3000000000002</v>
      </c>
    </row>
    <row r="9" spans="1:12" ht="51" hidden="1" x14ac:dyDescent="0.3">
      <c r="A9" s="99" t="s">
        <v>34</v>
      </c>
      <c r="B9" s="100" t="s">
        <v>211</v>
      </c>
      <c r="C9" s="100" t="s">
        <v>217</v>
      </c>
      <c r="D9" s="100" t="s">
        <v>205</v>
      </c>
      <c r="E9" s="101" t="s">
        <v>22</v>
      </c>
      <c r="F9" s="102">
        <v>368.7</v>
      </c>
      <c r="G9" s="102"/>
      <c r="H9" s="101" t="s">
        <v>22</v>
      </c>
      <c r="I9" s="103" t="s">
        <v>23</v>
      </c>
      <c r="J9" s="103"/>
      <c r="K9" s="104" t="s">
        <v>17</v>
      </c>
      <c r="L9" s="107">
        <v>2922</v>
      </c>
    </row>
    <row r="10" spans="1:12" ht="61.2" x14ac:dyDescent="0.3">
      <c r="A10" s="99" t="s">
        <v>40</v>
      </c>
      <c r="B10" s="100" t="s">
        <v>360</v>
      </c>
      <c r="C10" s="100" t="s">
        <v>42</v>
      </c>
      <c r="D10" s="100" t="s">
        <v>115</v>
      </c>
      <c r="E10" s="101" t="s">
        <v>43</v>
      </c>
      <c r="F10" s="108" t="s">
        <v>23</v>
      </c>
      <c r="G10" s="108"/>
      <c r="H10" s="101" t="s">
        <v>22</v>
      </c>
      <c r="I10" s="109">
        <v>294</v>
      </c>
      <c r="J10" s="109"/>
      <c r="K10" s="104" t="s">
        <v>17</v>
      </c>
      <c r="L10" s="107">
        <v>2628</v>
      </c>
    </row>
    <row r="11" spans="1:12" ht="51" x14ac:dyDescent="0.3">
      <c r="A11" s="99" t="s">
        <v>40</v>
      </c>
      <c r="B11" s="100" t="s">
        <v>360</v>
      </c>
      <c r="C11" s="100" t="s">
        <v>42</v>
      </c>
      <c r="D11" s="100" t="s">
        <v>212</v>
      </c>
      <c r="E11" s="101" t="s">
        <v>43</v>
      </c>
      <c r="F11" s="108" t="s">
        <v>23</v>
      </c>
      <c r="G11" s="108"/>
      <c r="H11" s="101" t="s">
        <v>22</v>
      </c>
      <c r="I11" s="109">
        <v>186.25</v>
      </c>
      <c r="J11" s="109"/>
      <c r="K11" s="104" t="s">
        <v>17</v>
      </c>
      <c r="L11" s="107">
        <v>2441.75</v>
      </c>
    </row>
    <row r="12" spans="1:12" ht="51" x14ac:dyDescent="0.3">
      <c r="A12" s="99" t="s">
        <v>40</v>
      </c>
      <c r="B12" s="100" t="s">
        <v>360</v>
      </c>
      <c r="C12" s="100" t="s">
        <v>42</v>
      </c>
      <c r="D12" s="100" t="s">
        <v>214</v>
      </c>
      <c r="E12" s="101" t="s">
        <v>43</v>
      </c>
      <c r="F12" s="108" t="s">
        <v>23</v>
      </c>
      <c r="G12" s="108"/>
      <c r="H12" s="101" t="s">
        <v>22</v>
      </c>
      <c r="I12" s="109">
        <v>268.75</v>
      </c>
      <c r="J12" s="109"/>
      <c r="K12" s="104" t="s">
        <v>17</v>
      </c>
      <c r="L12" s="107">
        <v>2173</v>
      </c>
    </row>
    <row r="13" spans="1:12" ht="51" x14ac:dyDescent="0.3">
      <c r="A13" s="99" t="s">
        <v>40</v>
      </c>
      <c r="B13" s="100" t="s">
        <v>360</v>
      </c>
      <c r="C13" s="100" t="s">
        <v>42</v>
      </c>
      <c r="D13" s="100" t="s">
        <v>217</v>
      </c>
      <c r="E13" s="101" t="s">
        <v>43</v>
      </c>
      <c r="F13" s="108" t="s">
        <v>23</v>
      </c>
      <c r="G13" s="108"/>
      <c r="H13" s="101" t="s">
        <v>22</v>
      </c>
      <c r="I13" s="109">
        <v>368.7</v>
      </c>
      <c r="J13" s="109"/>
      <c r="K13" s="104" t="s">
        <v>17</v>
      </c>
      <c r="L13" s="107">
        <v>1804.3</v>
      </c>
    </row>
    <row r="14" spans="1:12" ht="61.2" x14ac:dyDescent="0.3">
      <c r="A14" s="99" t="s">
        <v>44</v>
      </c>
      <c r="B14" s="100" t="s">
        <v>361</v>
      </c>
      <c r="C14" s="100" t="s">
        <v>42</v>
      </c>
      <c r="D14" s="100" t="s">
        <v>216</v>
      </c>
      <c r="E14" s="101" t="s">
        <v>43</v>
      </c>
      <c r="F14" s="108" t="s">
        <v>23</v>
      </c>
      <c r="G14" s="108"/>
      <c r="H14" s="101" t="s">
        <v>22</v>
      </c>
      <c r="I14" s="109">
        <v>497.55</v>
      </c>
      <c r="J14" s="109"/>
      <c r="K14" s="104" t="s">
        <v>17</v>
      </c>
      <c r="L14" s="107">
        <v>1306.75</v>
      </c>
    </row>
    <row r="15" spans="1:12" ht="61.2" x14ac:dyDescent="0.3">
      <c r="A15" s="99" t="s">
        <v>44</v>
      </c>
      <c r="B15" s="100" t="s">
        <v>361</v>
      </c>
      <c r="C15" s="100" t="s">
        <v>42</v>
      </c>
      <c r="D15" s="100" t="s">
        <v>213</v>
      </c>
      <c r="E15" s="101" t="s">
        <v>43</v>
      </c>
      <c r="F15" s="108" t="s">
        <v>23</v>
      </c>
      <c r="G15" s="108"/>
      <c r="H15" s="101" t="s">
        <v>22</v>
      </c>
      <c r="I15" s="110">
        <v>1116</v>
      </c>
      <c r="J15" s="110"/>
      <c r="K15" s="104" t="s">
        <v>17</v>
      </c>
      <c r="L15" s="105">
        <v>190.75</v>
      </c>
    </row>
    <row r="16" spans="1:12" ht="51" x14ac:dyDescent="0.3">
      <c r="A16" s="99" t="s">
        <v>44</v>
      </c>
      <c r="B16" s="100" t="s">
        <v>362</v>
      </c>
      <c r="C16" s="100" t="s">
        <v>42</v>
      </c>
      <c r="D16" s="100" t="s">
        <v>215</v>
      </c>
      <c r="E16" s="101" t="s">
        <v>43</v>
      </c>
      <c r="F16" s="108" t="s">
        <v>23</v>
      </c>
      <c r="G16" s="108"/>
      <c r="H16" s="101" t="s">
        <v>22</v>
      </c>
      <c r="I16" s="109">
        <v>190.75</v>
      </c>
      <c r="J16" s="109"/>
      <c r="K16" s="104"/>
      <c r="L16" s="111"/>
    </row>
    <row r="17" spans="1:12" ht="51" hidden="1" x14ac:dyDescent="0.3">
      <c r="A17" s="99" t="s">
        <v>46</v>
      </c>
      <c r="B17" s="100" t="s">
        <v>277</v>
      </c>
      <c r="C17" s="100" t="s">
        <v>278</v>
      </c>
      <c r="D17" s="100" t="s">
        <v>270</v>
      </c>
      <c r="E17" s="101" t="s">
        <v>22</v>
      </c>
      <c r="F17" s="102">
        <v>479.25</v>
      </c>
      <c r="G17" s="102"/>
      <c r="H17" s="101" t="s">
        <v>22</v>
      </c>
      <c r="I17" s="103" t="s">
        <v>23</v>
      </c>
      <c r="J17" s="103"/>
      <c r="K17" s="104" t="s">
        <v>17</v>
      </c>
      <c r="L17" s="105">
        <v>479.25</v>
      </c>
    </row>
    <row r="18" spans="1:12" ht="51" hidden="1" x14ac:dyDescent="0.3">
      <c r="A18" s="99" t="s">
        <v>46</v>
      </c>
      <c r="B18" s="100" t="s">
        <v>277</v>
      </c>
      <c r="C18" s="100" t="s">
        <v>279</v>
      </c>
      <c r="D18" s="100" t="s">
        <v>272</v>
      </c>
      <c r="E18" s="101" t="s">
        <v>22</v>
      </c>
      <c r="F18" s="102">
        <v>99.8</v>
      </c>
      <c r="G18" s="102"/>
      <c r="H18" s="101" t="s">
        <v>22</v>
      </c>
      <c r="I18" s="103" t="s">
        <v>23</v>
      </c>
      <c r="J18" s="103"/>
      <c r="K18" s="104" t="s">
        <v>17</v>
      </c>
      <c r="L18" s="105">
        <v>579.04999999999995</v>
      </c>
    </row>
    <row r="19" spans="1:12" ht="51" hidden="1" x14ac:dyDescent="0.3">
      <c r="A19" s="99" t="s">
        <v>46</v>
      </c>
      <c r="B19" s="100" t="s">
        <v>277</v>
      </c>
      <c r="C19" s="100" t="s">
        <v>280</v>
      </c>
      <c r="D19" s="100" t="s">
        <v>274</v>
      </c>
      <c r="E19" s="101" t="s">
        <v>22</v>
      </c>
      <c r="F19" s="106">
        <v>4867.6000000000004</v>
      </c>
      <c r="G19" s="106"/>
      <c r="H19" s="101" t="s">
        <v>22</v>
      </c>
      <c r="I19" s="103" t="s">
        <v>23</v>
      </c>
      <c r="J19" s="103"/>
      <c r="K19" s="104" t="s">
        <v>17</v>
      </c>
      <c r="L19" s="107">
        <v>5446.65</v>
      </c>
    </row>
    <row r="20" spans="1:12" ht="51" hidden="1" x14ac:dyDescent="0.3">
      <c r="A20" s="99" t="s">
        <v>46</v>
      </c>
      <c r="B20" s="100" t="s">
        <v>277</v>
      </c>
      <c r="C20" s="100" t="s">
        <v>281</v>
      </c>
      <c r="D20" s="100" t="s">
        <v>57</v>
      </c>
      <c r="E20" s="101" t="s">
        <v>22</v>
      </c>
      <c r="F20" s="106">
        <v>1146</v>
      </c>
      <c r="G20" s="106"/>
      <c r="H20" s="101" t="s">
        <v>22</v>
      </c>
      <c r="I20" s="103" t="s">
        <v>23</v>
      </c>
      <c r="J20" s="103"/>
      <c r="K20" s="104" t="s">
        <v>17</v>
      </c>
      <c r="L20" s="107">
        <v>6592.65</v>
      </c>
    </row>
    <row r="21" spans="1:12" ht="51" x14ac:dyDescent="0.3">
      <c r="A21" s="99" t="s">
        <v>58</v>
      </c>
      <c r="B21" s="100" t="s">
        <v>363</v>
      </c>
      <c r="C21" s="100" t="s">
        <v>42</v>
      </c>
      <c r="D21" s="100" t="s">
        <v>278</v>
      </c>
      <c r="E21" s="101" t="s">
        <v>43</v>
      </c>
      <c r="F21" s="108" t="s">
        <v>23</v>
      </c>
      <c r="G21" s="108"/>
      <c r="H21" s="101" t="s">
        <v>22</v>
      </c>
      <c r="I21" s="109">
        <v>479.25</v>
      </c>
      <c r="J21" s="109"/>
      <c r="K21" s="104" t="s">
        <v>17</v>
      </c>
      <c r="L21" s="107">
        <v>6113.4</v>
      </c>
    </row>
    <row r="22" spans="1:12" ht="51" x14ac:dyDescent="0.3">
      <c r="A22" s="99" t="s">
        <v>58</v>
      </c>
      <c r="B22" s="100" t="s">
        <v>363</v>
      </c>
      <c r="C22" s="100" t="s">
        <v>42</v>
      </c>
      <c r="D22" s="100" t="s">
        <v>279</v>
      </c>
      <c r="E22" s="101" t="s">
        <v>43</v>
      </c>
      <c r="F22" s="108" t="s">
        <v>23</v>
      </c>
      <c r="G22" s="108"/>
      <c r="H22" s="101" t="s">
        <v>22</v>
      </c>
      <c r="I22" s="109">
        <v>99.8</v>
      </c>
      <c r="J22" s="109"/>
      <c r="K22" s="104" t="s">
        <v>17</v>
      </c>
      <c r="L22" s="107">
        <v>6013.6</v>
      </c>
    </row>
    <row r="23" spans="1:12" ht="51" x14ac:dyDescent="0.3">
      <c r="A23" s="99" t="s">
        <v>58</v>
      </c>
      <c r="B23" s="100" t="s">
        <v>363</v>
      </c>
      <c r="C23" s="100" t="s">
        <v>42</v>
      </c>
      <c r="D23" s="100" t="s">
        <v>280</v>
      </c>
      <c r="E23" s="101" t="s">
        <v>43</v>
      </c>
      <c r="F23" s="108" t="s">
        <v>23</v>
      </c>
      <c r="G23" s="108"/>
      <c r="H23" s="101" t="s">
        <v>22</v>
      </c>
      <c r="I23" s="110">
        <v>1216.9000000000001</v>
      </c>
      <c r="J23" s="110"/>
      <c r="K23" s="104" t="s">
        <v>17</v>
      </c>
      <c r="L23" s="107">
        <v>4796.7</v>
      </c>
    </row>
    <row r="24" spans="1:12" hidden="1" x14ac:dyDescent="0.3">
      <c r="A24" s="112" t="s">
        <v>60</v>
      </c>
      <c r="B24" s="112"/>
      <c r="C24" s="112"/>
      <c r="D24" s="112"/>
      <c r="E24" s="113">
        <v>9514.65</v>
      </c>
      <c r="F24" s="113"/>
      <c r="G24" s="113"/>
      <c r="H24" s="113">
        <v>4717.95</v>
      </c>
      <c r="I24" s="113"/>
      <c r="J24" s="113"/>
      <c r="K24" s="114" t="s">
        <v>17</v>
      </c>
      <c r="L24" s="115">
        <v>4796.7</v>
      </c>
    </row>
    <row r="26" spans="1:12" x14ac:dyDescent="0.3">
      <c r="J26" s="261">
        <f>SUBTOTAL(9,I10:J23)</f>
        <v>4717.9500000000007</v>
      </c>
    </row>
  </sheetData>
  <autoFilter ref="A1:L24" xr:uid="{37FECAB5-6352-4550-9A00-245C3C849A42}">
    <filterColumn colId="1">
      <filters>
        <filter val="Передача малоцінних активів в експлуатацію ІБ00-000269 від 19.06.2025 10:23:59_x000a_Списание стоимости малоценных активов"/>
        <filter val="Передача малоцінних активів в експлуатацію ІБ00-000281 від 20.06.2025 18:06:13_x000a_Списание стоимости малоценных активов"/>
        <filter val="Передача малоцінних активів в експлуатацію ІБ00-000292 від 20.06.2025 18:07:05_x000a_Списание стоимости малоценных активов"/>
        <filter val="Передача малоцінних активів в експлуатацію ІБ00-000306 від 25.06.2025 23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4">
    <mergeCell ref="F22:G22"/>
    <mergeCell ref="I22:J22"/>
    <mergeCell ref="F23:G23"/>
    <mergeCell ref="I23:J23"/>
    <mergeCell ref="A24:D24"/>
    <mergeCell ref="E24:G24"/>
    <mergeCell ref="H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885F-C3F5-4DB2-8C76-E23FDDA45C0F}">
  <sheetPr filterMode="1"/>
  <dimension ref="A1:L16"/>
  <sheetViews>
    <sheetView workbookViewId="0">
      <selection activeCell="C17" sqref="C17"/>
    </sheetView>
  </sheetViews>
  <sheetFormatPr defaultRowHeight="14.4" x14ac:dyDescent="0.3"/>
  <cols>
    <col min="2" max="4" width="28.5546875" customWidth="1"/>
  </cols>
  <sheetData>
    <row r="1" spans="1:12" x14ac:dyDescent="0.3">
      <c r="A1" s="116" t="s">
        <v>9</v>
      </c>
      <c r="B1" s="117" t="s">
        <v>10</v>
      </c>
      <c r="C1" s="117" t="s">
        <v>11</v>
      </c>
      <c r="D1" s="118" t="s">
        <v>12</v>
      </c>
      <c r="E1" s="119" t="s">
        <v>13</v>
      </c>
      <c r="F1" s="119"/>
      <c r="G1" s="119"/>
      <c r="H1" s="120" t="s">
        <v>14</v>
      </c>
      <c r="I1" s="120"/>
      <c r="J1" s="120"/>
      <c r="K1" s="117" t="s">
        <v>15</v>
      </c>
      <c r="L1" s="117"/>
    </row>
    <row r="2" spans="1:12" hidden="1" x14ac:dyDescent="0.3">
      <c r="A2" s="121"/>
      <c r="B2" s="122"/>
      <c r="C2" s="122"/>
      <c r="D2" s="123"/>
      <c r="E2" s="124" t="s">
        <v>16</v>
      </c>
      <c r="F2" s="125"/>
      <c r="G2" s="125"/>
      <c r="H2" s="126" t="s">
        <v>16</v>
      </c>
      <c r="I2" s="127"/>
      <c r="J2" s="127"/>
      <c r="K2" s="121"/>
      <c r="L2" s="128"/>
    </row>
    <row r="3" spans="1:12" ht="61.2" hidden="1" x14ac:dyDescent="0.3">
      <c r="A3" s="129" t="s">
        <v>18</v>
      </c>
      <c r="B3" s="130" t="s">
        <v>118</v>
      </c>
      <c r="C3" s="130" t="s">
        <v>119</v>
      </c>
      <c r="D3" s="130" t="s">
        <v>69</v>
      </c>
      <c r="E3" s="131" t="s">
        <v>22</v>
      </c>
      <c r="F3" s="132">
        <v>1175.8499999999999</v>
      </c>
      <c r="G3" s="132"/>
      <c r="H3" s="131" t="s">
        <v>22</v>
      </c>
      <c r="I3" s="133" t="s">
        <v>23</v>
      </c>
      <c r="J3" s="133"/>
      <c r="K3" s="134" t="s">
        <v>17</v>
      </c>
      <c r="L3" s="135">
        <v>42023.85</v>
      </c>
    </row>
    <row r="4" spans="1:12" ht="61.2" hidden="1" x14ac:dyDescent="0.3">
      <c r="A4" s="129" t="s">
        <v>18</v>
      </c>
      <c r="B4" s="130" t="s">
        <v>364</v>
      </c>
      <c r="C4" s="130" t="s">
        <v>365</v>
      </c>
      <c r="D4" s="130" t="s">
        <v>366</v>
      </c>
      <c r="E4" s="131" t="s">
        <v>367</v>
      </c>
      <c r="F4" s="136" t="s">
        <v>23</v>
      </c>
      <c r="G4" s="136"/>
      <c r="H4" s="131" t="s">
        <v>22</v>
      </c>
      <c r="I4" s="137">
        <v>40848</v>
      </c>
      <c r="J4" s="137"/>
      <c r="K4" s="134" t="s">
        <v>17</v>
      </c>
      <c r="L4" s="135">
        <v>1175.8499999999999</v>
      </c>
    </row>
    <row r="5" spans="1:12" ht="61.2" hidden="1" x14ac:dyDescent="0.3">
      <c r="A5" s="129" t="s">
        <v>34</v>
      </c>
      <c r="B5" s="130" t="s">
        <v>223</v>
      </c>
      <c r="C5" s="130" t="s">
        <v>224</v>
      </c>
      <c r="D5" s="130" t="s">
        <v>37</v>
      </c>
      <c r="E5" s="131" t="s">
        <v>22</v>
      </c>
      <c r="F5" s="138">
        <v>372.5</v>
      </c>
      <c r="G5" s="138"/>
      <c r="H5" s="131" t="s">
        <v>22</v>
      </c>
      <c r="I5" s="133" t="s">
        <v>23</v>
      </c>
      <c r="J5" s="133"/>
      <c r="K5" s="134" t="s">
        <v>17</v>
      </c>
      <c r="L5" s="135">
        <v>1548.35</v>
      </c>
    </row>
    <row r="6" spans="1:12" ht="61.2" x14ac:dyDescent="0.3">
      <c r="A6" s="129" t="s">
        <v>40</v>
      </c>
      <c r="B6" s="130" t="s">
        <v>368</v>
      </c>
      <c r="C6" s="130" t="s">
        <v>42</v>
      </c>
      <c r="D6" s="130" t="s">
        <v>224</v>
      </c>
      <c r="E6" s="131" t="s">
        <v>43</v>
      </c>
      <c r="F6" s="136" t="s">
        <v>23</v>
      </c>
      <c r="G6" s="136"/>
      <c r="H6" s="131" t="s">
        <v>22</v>
      </c>
      <c r="I6" s="139">
        <v>372.5</v>
      </c>
      <c r="J6" s="139"/>
      <c r="K6" s="134" t="s">
        <v>17</v>
      </c>
      <c r="L6" s="135">
        <v>1175.8499999999999</v>
      </c>
    </row>
    <row r="7" spans="1:12" ht="61.2" x14ac:dyDescent="0.3">
      <c r="A7" s="129" t="s">
        <v>40</v>
      </c>
      <c r="B7" s="130" t="s">
        <v>368</v>
      </c>
      <c r="C7" s="130" t="s">
        <v>42</v>
      </c>
      <c r="D7" s="130" t="s">
        <v>119</v>
      </c>
      <c r="E7" s="131" t="s">
        <v>43</v>
      </c>
      <c r="F7" s="136" t="s">
        <v>23</v>
      </c>
      <c r="G7" s="136"/>
      <c r="H7" s="131" t="s">
        <v>22</v>
      </c>
      <c r="I7" s="137">
        <v>1175.8499999999999</v>
      </c>
      <c r="J7" s="137"/>
      <c r="K7" s="134"/>
      <c r="L7" s="140"/>
    </row>
    <row r="8" spans="1:12" ht="71.400000000000006" hidden="1" x14ac:dyDescent="0.3">
      <c r="A8" s="129" t="s">
        <v>44</v>
      </c>
      <c r="B8" s="130" t="s">
        <v>369</v>
      </c>
      <c r="C8" s="130" t="s">
        <v>370</v>
      </c>
      <c r="D8" s="130" t="s">
        <v>117</v>
      </c>
      <c r="E8" s="131" t="s">
        <v>22</v>
      </c>
      <c r="F8" s="138">
        <v>294</v>
      </c>
      <c r="G8" s="138"/>
      <c r="H8" s="131" t="s">
        <v>22</v>
      </c>
      <c r="I8" s="133" t="s">
        <v>23</v>
      </c>
      <c r="J8" s="133"/>
      <c r="K8" s="134" t="s">
        <v>17</v>
      </c>
      <c r="L8" s="141">
        <v>294</v>
      </c>
    </row>
    <row r="9" spans="1:12" ht="61.2" hidden="1" x14ac:dyDescent="0.3">
      <c r="A9" s="129" t="s">
        <v>44</v>
      </c>
      <c r="B9" s="130" t="s">
        <v>369</v>
      </c>
      <c r="C9" s="130" t="s">
        <v>371</v>
      </c>
      <c r="D9" s="130" t="s">
        <v>222</v>
      </c>
      <c r="E9" s="131" t="s">
        <v>22</v>
      </c>
      <c r="F9" s="138">
        <v>91.25</v>
      </c>
      <c r="G9" s="138"/>
      <c r="H9" s="131" t="s">
        <v>22</v>
      </c>
      <c r="I9" s="133" t="s">
        <v>23</v>
      </c>
      <c r="J9" s="133"/>
      <c r="K9" s="134" t="s">
        <v>17</v>
      </c>
      <c r="L9" s="141">
        <v>385.25</v>
      </c>
    </row>
    <row r="10" spans="1:12" ht="61.2" hidden="1" x14ac:dyDescent="0.3">
      <c r="A10" s="129" t="s">
        <v>44</v>
      </c>
      <c r="B10" s="130" t="s">
        <v>369</v>
      </c>
      <c r="C10" s="130" t="s">
        <v>372</v>
      </c>
      <c r="D10" s="130" t="s">
        <v>221</v>
      </c>
      <c r="E10" s="131" t="s">
        <v>22</v>
      </c>
      <c r="F10" s="138">
        <v>336.6</v>
      </c>
      <c r="G10" s="138"/>
      <c r="H10" s="131" t="s">
        <v>22</v>
      </c>
      <c r="I10" s="133" t="s">
        <v>23</v>
      </c>
      <c r="J10" s="133"/>
      <c r="K10" s="134" t="s">
        <v>17</v>
      </c>
      <c r="L10" s="141">
        <v>721.85</v>
      </c>
    </row>
    <row r="11" spans="1:12" ht="71.400000000000006" x14ac:dyDescent="0.3">
      <c r="A11" s="129" t="s">
        <v>44</v>
      </c>
      <c r="B11" s="130" t="s">
        <v>373</v>
      </c>
      <c r="C11" s="130" t="s">
        <v>42</v>
      </c>
      <c r="D11" s="130" t="s">
        <v>370</v>
      </c>
      <c r="E11" s="131" t="s">
        <v>43</v>
      </c>
      <c r="F11" s="136" t="s">
        <v>23</v>
      </c>
      <c r="G11" s="136"/>
      <c r="H11" s="131" t="s">
        <v>22</v>
      </c>
      <c r="I11" s="139">
        <v>294</v>
      </c>
      <c r="J11" s="139"/>
      <c r="K11" s="134" t="s">
        <v>17</v>
      </c>
      <c r="L11" s="141">
        <v>427.85</v>
      </c>
    </row>
    <row r="12" spans="1:12" ht="61.2" x14ac:dyDescent="0.3">
      <c r="A12" s="129" t="s">
        <v>44</v>
      </c>
      <c r="B12" s="130" t="s">
        <v>373</v>
      </c>
      <c r="C12" s="130" t="s">
        <v>42</v>
      </c>
      <c r="D12" s="130" t="s">
        <v>371</v>
      </c>
      <c r="E12" s="131" t="s">
        <v>43</v>
      </c>
      <c r="F12" s="136" t="s">
        <v>23</v>
      </c>
      <c r="G12" s="136"/>
      <c r="H12" s="131" t="s">
        <v>22</v>
      </c>
      <c r="I12" s="139">
        <v>91.25</v>
      </c>
      <c r="J12" s="139"/>
      <c r="K12" s="134" t="s">
        <v>17</v>
      </c>
      <c r="L12" s="141">
        <v>336.6</v>
      </c>
    </row>
    <row r="13" spans="1:12" ht="61.2" x14ac:dyDescent="0.3">
      <c r="A13" s="129" t="s">
        <v>44</v>
      </c>
      <c r="B13" s="130" t="s">
        <v>373</v>
      </c>
      <c r="C13" s="130" t="s">
        <v>42</v>
      </c>
      <c r="D13" s="130" t="s">
        <v>372</v>
      </c>
      <c r="E13" s="131" t="s">
        <v>43</v>
      </c>
      <c r="F13" s="136" t="s">
        <v>23</v>
      </c>
      <c r="G13" s="136"/>
      <c r="H13" s="131" t="s">
        <v>22</v>
      </c>
      <c r="I13" s="139">
        <v>336.6</v>
      </c>
      <c r="J13" s="139"/>
      <c r="K13" s="134"/>
      <c r="L13" s="140"/>
    </row>
    <row r="14" spans="1:12" hidden="1" x14ac:dyDescent="0.3">
      <c r="A14" s="142" t="s">
        <v>60</v>
      </c>
      <c r="B14" s="142"/>
      <c r="C14" s="142"/>
      <c r="D14" s="142"/>
      <c r="E14" s="143">
        <v>2270.1999999999998</v>
      </c>
      <c r="F14" s="143"/>
      <c r="G14" s="143"/>
      <c r="H14" s="143">
        <v>43118.2</v>
      </c>
      <c r="I14" s="143"/>
      <c r="J14" s="143"/>
      <c r="K14" s="144"/>
      <c r="L14" s="145">
        <v>0</v>
      </c>
    </row>
    <row r="16" spans="1:12" x14ac:dyDescent="0.3">
      <c r="J16" s="261">
        <f>SUBTOTAL(9,I6:J13)</f>
        <v>2270.1999999999998</v>
      </c>
    </row>
  </sheetData>
  <autoFilter ref="A1:L14" xr:uid="{F20AC4BF-C996-439B-81B7-485352B14309}">
    <filterColumn colId="1">
      <filters>
        <filter val="Передача малоцінних активів в експлуатацію ІБ00-000268 від 19.06.2025 10:02:33_x000a_Списание стоимости малоценных активов"/>
        <filter val="Передача малоцінних активів в експлуатацію ІБ00-000294 від 20.06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4">
    <mergeCell ref="F13:G13"/>
    <mergeCell ref="I13:J13"/>
    <mergeCell ref="A14:D14"/>
    <mergeCell ref="E14:G14"/>
    <mergeCell ref="H14:J14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D655-7D49-4A4E-86DE-B795C13B8A64}">
  <sheetPr filterMode="1"/>
  <dimension ref="A1:L15"/>
  <sheetViews>
    <sheetView workbookViewId="0">
      <selection activeCell="J15" sqref="J15"/>
    </sheetView>
  </sheetViews>
  <sheetFormatPr defaultRowHeight="14.4" x14ac:dyDescent="0.3"/>
  <cols>
    <col min="2" max="4" width="28.5546875" customWidth="1"/>
  </cols>
  <sheetData>
    <row r="1" spans="1:12" x14ac:dyDescent="0.3">
      <c r="A1" s="146" t="s">
        <v>9</v>
      </c>
      <c r="B1" s="147" t="s">
        <v>10</v>
      </c>
      <c r="C1" s="147" t="s">
        <v>11</v>
      </c>
      <c r="D1" s="148" t="s">
        <v>12</v>
      </c>
      <c r="E1" s="149" t="s">
        <v>13</v>
      </c>
      <c r="F1" s="149"/>
      <c r="G1" s="149"/>
      <c r="H1" s="150" t="s">
        <v>14</v>
      </c>
      <c r="I1" s="150"/>
      <c r="J1" s="150"/>
      <c r="K1" s="147" t="s">
        <v>15</v>
      </c>
      <c r="L1" s="147"/>
    </row>
    <row r="2" spans="1:12" hidden="1" x14ac:dyDescent="0.3">
      <c r="A2" s="151"/>
      <c r="B2" s="152"/>
      <c r="C2" s="152"/>
      <c r="D2" s="153"/>
      <c r="E2" s="154" t="s">
        <v>16</v>
      </c>
      <c r="F2" s="155"/>
      <c r="G2" s="155"/>
      <c r="H2" s="156" t="s">
        <v>16</v>
      </c>
      <c r="I2" s="157"/>
      <c r="J2" s="157"/>
      <c r="K2" s="151"/>
      <c r="L2" s="158"/>
    </row>
    <row r="3" spans="1:12" ht="71.400000000000006" hidden="1" x14ac:dyDescent="0.3">
      <c r="A3" s="159" t="s">
        <v>18</v>
      </c>
      <c r="B3" s="160" t="s">
        <v>116</v>
      </c>
      <c r="C3" s="160" t="s">
        <v>117</v>
      </c>
      <c r="D3" s="160" t="s">
        <v>21</v>
      </c>
      <c r="E3" s="161" t="s">
        <v>22</v>
      </c>
      <c r="F3" s="162">
        <v>294</v>
      </c>
      <c r="G3" s="162"/>
      <c r="H3" s="161" t="s">
        <v>22</v>
      </c>
      <c r="I3" s="163" t="s">
        <v>23</v>
      </c>
      <c r="J3" s="163"/>
      <c r="K3" s="164" t="s">
        <v>17</v>
      </c>
      <c r="L3" s="165">
        <v>294</v>
      </c>
    </row>
    <row r="4" spans="1:12" ht="61.2" hidden="1" x14ac:dyDescent="0.3">
      <c r="A4" s="159" t="s">
        <v>34</v>
      </c>
      <c r="B4" s="160" t="s">
        <v>218</v>
      </c>
      <c r="C4" s="160" t="s">
        <v>219</v>
      </c>
      <c r="D4" s="160" t="s">
        <v>37</v>
      </c>
      <c r="E4" s="161" t="s">
        <v>22</v>
      </c>
      <c r="F4" s="162">
        <v>372.5</v>
      </c>
      <c r="G4" s="162"/>
      <c r="H4" s="161" t="s">
        <v>22</v>
      </c>
      <c r="I4" s="163" t="s">
        <v>23</v>
      </c>
      <c r="J4" s="163"/>
      <c r="K4" s="164" t="s">
        <v>17</v>
      </c>
      <c r="L4" s="165">
        <v>666.5</v>
      </c>
    </row>
    <row r="5" spans="1:12" ht="61.2" hidden="1" x14ac:dyDescent="0.3">
      <c r="A5" s="159" t="s">
        <v>34</v>
      </c>
      <c r="B5" s="160" t="s">
        <v>218</v>
      </c>
      <c r="C5" s="160" t="s">
        <v>220</v>
      </c>
      <c r="D5" s="160" t="s">
        <v>198</v>
      </c>
      <c r="E5" s="161" t="s">
        <v>22</v>
      </c>
      <c r="F5" s="166">
        <v>1410</v>
      </c>
      <c r="G5" s="166"/>
      <c r="H5" s="161" t="s">
        <v>22</v>
      </c>
      <c r="I5" s="163" t="s">
        <v>23</v>
      </c>
      <c r="J5" s="163"/>
      <c r="K5" s="164" t="s">
        <v>17</v>
      </c>
      <c r="L5" s="167">
        <v>2076.5</v>
      </c>
    </row>
    <row r="6" spans="1:12" ht="61.2" hidden="1" x14ac:dyDescent="0.3">
      <c r="A6" s="159" t="s">
        <v>34</v>
      </c>
      <c r="B6" s="160" t="s">
        <v>218</v>
      </c>
      <c r="C6" s="160" t="s">
        <v>221</v>
      </c>
      <c r="D6" s="160" t="s">
        <v>200</v>
      </c>
      <c r="E6" s="161" t="s">
        <v>22</v>
      </c>
      <c r="F6" s="162">
        <v>336.6</v>
      </c>
      <c r="G6" s="162"/>
      <c r="H6" s="161" t="s">
        <v>22</v>
      </c>
      <c r="I6" s="163" t="s">
        <v>23</v>
      </c>
      <c r="J6" s="163"/>
      <c r="K6" s="164" t="s">
        <v>17</v>
      </c>
      <c r="L6" s="167">
        <v>2413.1</v>
      </c>
    </row>
    <row r="7" spans="1:12" ht="61.2" hidden="1" x14ac:dyDescent="0.3">
      <c r="A7" s="159" t="s">
        <v>34</v>
      </c>
      <c r="B7" s="160" t="s">
        <v>218</v>
      </c>
      <c r="C7" s="160" t="s">
        <v>222</v>
      </c>
      <c r="D7" s="160" t="s">
        <v>201</v>
      </c>
      <c r="E7" s="161" t="s">
        <v>22</v>
      </c>
      <c r="F7" s="162">
        <v>91.25</v>
      </c>
      <c r="G7" s="162"/>
      <c r="H7" s="161" t="s">
        <v>22</v>
      </c>
      <c r="I7" s="163" t="s">
        <v>23</v>
      </c>
      <c r="J7" s="163"/>
      <c r="K7" s="164" t="s">
        <v>17</v>
      </c>
      <c r="L7" s="167">
        <v>2504.35</v>
      </c>
    </row>
    <row r="8" spans="1:12" ht="71.400000000000006" hidden="1" x14ac:dyDescent="0.3">
      <c r="A8" s="159" t="s">
        <v>44</v>
      </c>
      <c r="B8" s="160" t="s">
        <v>369</v>
      </c>
      <c r="C8" s="160" t="s">
        <v>370</v>
      </c>
      <c r="D8" s="160" t="s">
        <v>117</v>
      </c>
      <c r="E8" s="161" t="s">
        <v>22</v>
      </c>
      <c r="F8" s="168" t="s">
        <v>23</v>
      </c>
      <c r="G8" s="168"/>
      <c r="H8" s="161" t="s">
        <v>22</v>
      </c>
      <c r="I8" s="169">
        <v>294</v>
      </c>
      <c r="J8" s="169"/>
      <c r="K8" s="164" t="s">
        <v>17</v>
      </c>
      <c r="L8" s="167">
        <v>2210.35</v>
      </c>
    </row>
    <row r="9" spans="1:12" ht="61.2" hidden="1" x14ac:dyDescent="0.3">
      <c r="A9" s="159" t="s">
        <v>44</v>
      </c>
      <c r="B9" s="160" t="s">
        <v>369</v>
      </c>
      <c r="C9" s="160" t="s">
        <v>371</v>
      </c>
      <c r="D9" s="160" t="s">
        <v>222</v>
      </c>
      <c r="E9" s="161" t="s">
        <v>22</v>
      </c>
      <c r="F9" s="168" t="s">
        <v>23</v>
      </c>
      <c r="G9" s="168"/>
      <c r="H9" s="161" t="s">
        <v>22</v>
      </c>
      <c r="I9" s="169">
        <v>91.25</v>
      </c>
      <c r="J9" s="169"/>
      <c r="K9" s="164" t="s">
        <v>17</v>
      </c>
      <c r="L9" s="167">
        <v>2119.1</v>
      </c>
    </row>
    <row r="10" spans="1:12" ht="61.2" hidden="1" x14ac:dyDescent="0.3">
      <c r="A10" s="159" t="s">
        <v>44</v>
      </c>
      <c r="B10" s="160" t="s">
        <v>369</v>
      </c>
      <c r="C10" s="160" t="s">
        <v>372</v>
      </c>
      <c r="D10" s="160" t="s">
        <v>221</v>
      </c>
      <c r="E10" s="161" t="s">
        <v>22</v>
      </c>
      <c r="F10" s="168" t="s">
        <v>23</v>
      </c>
      <c r="G10" s="168"/>
      <c r="H10" s="161" t="s">
        <v>22</v>
      </c>
      <c r="I10" s="169">
        <v>336.6</v>
      </c>
      <c r="J10" s="169"/>
      <c r="K10" s="164" t="s">
        <v>17</v>
      </c>
      <c r="L10" s="167">
        <v>1782.5</v>
      </c>
    </row>
    <row r="11" spans="1:12" ht="61.2" x14ac:dyDescent="0.3">
      <c r="A11" s="159" t="s">
        <v>44</v>
      </c>
      <c r="B11" s="160" t="s">
        <v>374</v>
      </c>
      <c r="C11" s="160" t="s">
        <v>42</v>
      </c>
      <c r="D11" s="160" t="s">
        <v>219</v>
      </c>
      <c r="E11" s="161" t="s">
        <v>43</v>
      </c>
      <c r="F11" s="168" t="s">
        <v>23</v>
      </c>
      <c r="G11" s="168"/>
      <c r="H11" s="161" t="s">
        <v>22</v>
      </c>
      <c r="I11" s="169">
        <v>372.5</v>
      </c>
      <c r="J11" s="169"/>
      <c r="K11" s="164" t="s">
        <v>17</v>
      </c>
      <c r="L11" s="167">
        <v>1410</v>
      </c>
    </row>
    <row r="12" spans="1:12" ht="61.2" x14ac:dyDescent="0.3">
      <c r="A12" s="159" t="s">
        <v>44</v>
      </c>
      <c r="B12" s="160" t="s">
        <v>374</v>
      </c>
      <c r="C12" s="160" t="s">
        <v>42</v>
      </c>
      <c r="D12" s="160" t="s">
        <v>220</v>
      </c>
      <c r="E12" s="161" t="s">
        <v>43</v>
      </c>
      <c r="F12" s="168" t="s">
        <v>23</v>
      </c>
      <c r="G12" s="168"/>
      <c r="H12" s="161" t="s">
        <v>22</v>
      </c>
      <c r="I12" s="170">
        <v>1410</v>
      </c>
      <c r="J12" s="170"/>
      <c r="K12" s="164"/>
      <c r="L12" s="171"/>
    </row>
    <row r="13" spans="1:12" hidden="1" x14ac:dyDescent="0.3">
      <c r="A13" s="172" t="s">
        <v>60</v>
      </c>
      <c r="B13" s="172"/>
      <c r="C13" s="172"/>
      <c r="D13" s="172"/>
      <c r="E13" s="173">
        <v>2504.35</v>
      </c>
      <c r="F13" s="173"/>
      <c r="G13" s="173"/>
      <c r="H13" s="173">
        <v>2504.35</v>
      </c>
      <c r="I13" s="173"/>
      <c r="J13" s="173"/>
      <c r="K13" s="174"/>
      <c r="L13" s="175">
        <v>0</v>
      </c>
    </row>
    <row r="15" spans="1:12" x14ac:dyDescent="0.3">
      <c r="J15" s="261">
        <f>SUBTOTAL(9,I11:J12)</f>
        <v>1782.5</v>
      </c>
    </row>
  </sheetData>
  <autoFilter ref="A1:L13" xr:uid="{8FBA8ECB-D81A-40C7-B6BE-460F2EF2D603}">
    <filterColumn colId="1">
      <filters>
        <filter val="Передача малоцінних активів в експлуатацію ІБ00-000299 від 20.06.2025 21:00:06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2">
    <mergeCell ref="A13:D13"/>
    <mergeCell ref="E13:G13"/>
    <mergeCell ref="H13:J1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18A8-963D-4B0A-A716-CDFEEBD7FAFC}">
  <sheetPr filterMode="1"/>
  <dimension ref="A1:L15"/>
  <sheetViews>
    <sheetView topLeftCell="A8" workbookViewId="0">
      <selection activeCell="J15" sqref="J15"/>
    </sheetView>
  </sheetViews>
  <sheetFormatPr defaultRowHeight="14.4" x14ac:dyDescent="0.3"/>
  <cols>
    <col min="2" max="4" width="28.5546875" customWidth="1"/>
  </cols>
  <sheetData>
    <row r="1" spans="1:12" x14ac:dyDescent="0.3">
      <c r="A1" s="176" t="s">
        <v>9</v>
      </c>
      <c r="B1" s="177" t="s">
        <v>10</v>
      </c>
      <c r="C1" s="177" t="s">
        <v>11</v>
      </c>
      <c r="D1" s="178" t="s">
        <v>12</v>
      </c>
      <c r="E1" s="179" t="s">
        <v>13</v>
      </c>
      <c r="F1" s="179"/>
      <c r="G1" s="179"/>
      <c r="H1" s="180" t="s">
        <v>14</v>
      </c>
      <c r="I1" s="180"/>
      <c r="J1" s="180"/>
      <c r="K1" s="177" t="s">
        <v>15</v>
      </c>
      <c r="L1" s="177"/>
    </row>
    <row r="2" spans="1:12" hidden="1" x14ac:dyDescent="0.3">
      <c r="A2" s="181"/>
      <c r="B2" s="182"/>
      <c r="C2" s="182"/>
      <c r="D2" s="183"/>
      <c r="E2" s="184" t="s">
        <v>16</v>
      </c>
      <c r="F2" s="185"/>
      <c r="G2" s="185"/>
      <c r="H2" s="186" t="s">
        <v>16</v>
      </c>
      <c r="I2" s="187"/>
      <c r="J2" s="187"/>
      <c r="K2" s="181"/>
      <c r="L2" s="188"/>
    </row>
    <row r="3" spans="1:12" ht="71.400000000000006" hidden="1" x14ac:dyDescent="0.3">
      <c r="A3" s="189" t="s">
        <v>18</v>
      </c>
      <c r="B3" s="190" t="s">
        <v>112</v>
      </c>
      <c r="C3" s="190" t="s">
        <v>113</v>
      </c>
      <c r="D3" s="190" t="s">
        <v>21</v>
      </c>
      <c r="E3" s="191" t="s">
        <v>22</v>
      </c>
      <c r="F3" s="192">
        <v>294</v>
      </c>
      <c r="G3" s="192"/>
      <c r="H3" s="191" t="s">
        <v>22</v>
      </c>
      <c r="I3" s="193" t="s">
        <v>23</v>
      </c>
      <c r="J3" s="193"/>
      <c r="K3" s="194" t="s">
        <v>17</v>
      </c>
      <c r="L3" s="195">
        <v>30502.240000000002</v>
      </c>
    </row>
    <row r="4" spans="1:12" ht="61.2" hidden="1" x14ac:dyDescent="0.3">
      <c r="A4" s="189" t="s">
        <v>34</v>
      </c>
      <c r="B4" s="190" t="s">
        <v>256</v>
      </c>
      <c r="C4" s="190" t="s">
        <v>257</v>
      </c>
      <c r="D4" s="190" t="s">
        <v>197</v>
      </c>
      <c r="E4" s="191" t="s">
        <v>22</v>
      </c>
      <c r="F4" s="192">
        <v>147.30000000000001</v>
      </c>
      <c r="G4" s="192"/>
      <c r="H4" s="191" t="s">
        <v>22</v>
      </c>
      <c r="I4" s="193" t="s">
        <v>23</v>
      </c>
      <c r="J4" s="193"/>
      <c r="K4" s="194" t="s">
        <v>17</v>
      </c>
      <c r="L4" s="195">
        <v>30649.54</v>
      </c>
    </row>
    <row r="5" spans="1:12" ht="61.2" x14ac:dyDescent="0.3">
      <c r="A5" s="189" t="s">
        <v>44</v>
      </c>
      <c r="B5" s="190" t="s">
        <v>375</v>
      </c>
      <c r="C5" s="190" t="s">
        <v>42</v>
      </c>
      <c r="D5" s="190" t="s">
        <v>376</v>
      </c>
      <c r="E5" s="191" t="s">
        <v>43</v>
      </c>
      <c r="F5" s="196" t="s">
        <v>23</v>
      </c>
      <c r="G5" s="196"/>
      <c r="H5" s="191" t="s">
        <v>22</v>
      </c>
      <c r="I5" s="197">
        <v>2524</v>
      </c>
      <c r="J5" s="197"/>
      <c r="K5" s="194" t="s">
        <v>17</v>
      </c>
      <c r="L5" s="195">
        <v>28125.54</v>
      </c>
    </row>
    <row r="6" spans="1:12" ht="61.2" x14ac:dyDescent="0.3">
      <c r="A6" s="189" t="s">
        <v>44</v>
      </c>
      <c r="B6" s="190" t="s">
        <v>375</v>
      </c>
      <c r="C6" s="190" t="s">
        <v>42</v>
      </c>
      <c r="D6" s="190" t="s">
        <v>377</v>
      </c>
      <c r="E6" s="191" t="s">
        <v>43</v>
      </c>
      <c r="F6" s="196" t="s">
        <v>23</v>
      </c>
      <c r="G6" s="196"/>
      <c r="H6" s="191" t="s">
        <v>22</v>
      </c>
      <c r="I6" s="198">
        <v>299.2</v>
      </c>
      <c r="J6" s="198"/>
      <c r="K6" s="194" t="s">
        <v>17</v>
      </c>
      <c r="L6" s="195">
        <v>27826.34</v>
      </c>
    </row>
    <row r="7" spans="1:12" ht="61.2" x14ac:dyDescent="0.3">
      <c r="A7" s="189" t="s">
        <v>44</v>
      </c>
      <c r="B7" s="190" t="s">
        <v>375</v>
      </c>
      <c r="C7" s="190" t="s">
        <v>42</v>
      </c>
      <c r="D7" s="190" t="s">
        <v>378</v>
      </c>
      <c r="E7" s="191" t="s">
        <v>43</v>
      </c>
      <c r="F7" s="196" t="s">
        <v>23</v>
      </c>
      <c r="G7" s="196"/>
      <c r="H7" s="191" t="s">
        <v>22</v>
      </c>
      <c r="I7" s="197">
        <v>1892.25</v>
      </c>
      <c r="J7" s="197"/>
      <c r="K7" s="194" t="s">
        <v>17</v>
      </c>
      <c r="L7" s="195">
        <v>25934.09</v>
      </c>
    </row>
    <row r="8" spans="1:12" ht="71.400000000000006" x14ac:dyDescent="0.3">
      <c r="A8" s="189" t="s">
        <v>44</v>
      </c>
      <c r="B8" s="190" t="s">
        <v>375</v>
      </c>
      <c r="C8" s="190" t="s">
        <v>42</v>
      </c>
      <c r="D8" s="190" t="s">
        <v>379</v>
      </c>
      <c r="E8" s="191" t="s">
        <v>43</v>
      </c>
      <c r="F8" s="196" t="s">
        <v>23</v>
      </c>
      <c r="G8" s="196"/>
      <c r="H8" s="191" t="s">
        <v>22</v>
      </c>
      <c r="I8" s="197">
        <v>1116</v>
      </c>
      <c r="J8" s="197"/>
      <c r="K8" s="194" t="s">
        <v>17</v>
      </c>
      <c r="L8" s="195">
        <v>24818.09</v>
      </c>
    </row>
    <row r="9" spans="1:12" ht="61.2" x14ac:dyDescent="0.3">
      <c r="A9" s="189" t="s">
        <v>44</v>
      </c>
      <c r="B9" s="190" t="s">
        <v>375</v>
      </c>
      <c r="C9" s="190" t="s">
        <v>42</v>
      </c>
      <c r="D9" s="190" t="s">
        <v>257</v>
      </c>
      <c r="E9" s="191" t="s">
        <v>43</v>
      </c>
      <c r="F9" s="196" t="s">
        <v>23</v>
      </c>
      <c r="G9" s="196"/>
      <c r="H9" s="191" t="s">
        <v>22</v>
      </c>
      <c r="I9" s="198">
        <v>147.30000000000001</v>
      </c>
      <c r="J9" s="198"/>
      <c r="K9" s="194" t="s">
        <v>17</v>
      </c>
      <c r="L9" s="195">
        <v>24670.79</v>
      </c>
    </row>
    <row r="10" spans="1:12" ht="61.2" x14ac:dyDescent="0.3">
      <c r="A10" s="189" t="s">
        <v>44</v>
      </c>
      <c r="B10" s="190" t="s">
        <v>375</v>
      </c>
      <c r="C10" s="190" t="s">
        <v>42</v>
      </c>
      <c r="D10" s="190" t="s">
        <v>380</v>
      </c>
      <c r="E10" s="191" t="s">
        <v>43</v>
      </c>
      <c r="F10" s="196" t="s">
        <v>23</v>
      </c>
      <c r="G10" s="196"/>
      <c r="H10" s="191" t="s">
        <v>22</v>
      </c>
      <c r="I10" s="198">
        <v>228.9</v>
      </c>
      <c r="J10" s="198"/>
      <c r="K10" s="194" t="s">
        <v>17</v>
      </c>
      <c r="L10" s="195">
        <v>24441.89</v>
      </c>
    </row>
    <row r="11" spans="1:12" ht="61.2" x14ac:dyDescent="0.3">
      <c r="A11" s="189" t="s">
        <v>44</v>
      </c>
      <c r="B11" s="190" t="s">
        <v>375</v>
      </c>
      <c r="C11" s="190" t="s">
        <v>42</v>
      </c>
      <c r="D11" s="190" t="s">
        <v>381</v>
      </c>
      <c r="E11" s="191" t="s">
        <v>43</v>
      </c>
      <c r="F11" s="196" t="s">
        <v>23</v>
      </c>
      <c r="G11" s="196"/>
      <c r="H11" s="191" t="s">
        <v>22</v>
      </c>
      <c r="I11" s="198">
        <v>238.8</v>
      </c>
      <c r="J11" s="198"/>
      <c r="K11" s="194" t="s">
        <v>17</v>
      </c>
      <c r="L11" s="195">
        <v>24203.09</v>
      </c>
    </row>
    <row r="12" spans="1:12" ht="61.2" x14ac:dyDescent="0.3">
      <c r="A12" s="189" t="s">
        <v>44</v>
      </c>
      <c r="B12" s="190" t="s">
        <v>375</v>
      </c>
      <c r="C12" s="190" t="s">
        <v>42</v>
      </c>
      <c r="D12" s="190" t="s">
        <v>382</v>
      </c>
      <c r="E12" s="191" t="s">
        <v>43</v>
      </c>
      <c r="F12" s="196" t="s">
        <v>23</v>
      </c>
      <c r="G12" s="196"/>
      <c r="H12" s="191" t="s">
        <v>22</v>
      </c>
      <c r="I12" s="198">
        <v>514.35</v>
      </c>
      <c r="J12" s="198"/>
      <c r="K12" s="194" t="s">
        <v>17</v>
      </c>
      <c r="L12" s="195">
        <v>23688.74</v>
      </c>
    </row>
    <row r="13" spans="1:12" hidden="1" x14ac:dyDescent="0.3">
      <c r="A13" s="199" t="s">
        <v>60</v>
      </c>
      <c r="B13" s="199"/>
      <c r="C13" s="199"/>
      <c r="D13" s="199"/>
      <c r="E13" s="200">
        <v>441.3</v>
      </c>
      <c r="F13" s="200"/>
      <c r="G13" s="200"/>
      <c r="H13" s="201">
        <v>6960.8</v>
      </c>
      <c r="I13" s="201"/>
      <c r="J13" s="201"/>
      <c r="K13" s="202" t="s">
        <v>17</v>
      </c>
      <c r="L13" s="203">
        <v>23688.74</v>
      </c>
    </row>
    <row r="15" spans="1:12" x14ac:dyDescent="0.3">
      <c r="J15" s="261">
        <f>SUBTOTAL(9,I5:J12)</f>
        <v>6960.8</v>
      </c>
    </row>
  </sheetData>
  <autoFilter ref="A1:L13" xr:uid="{A46BE4DB-96BA-481B-8BD3-9A5740055BBD}">
    <filterColumn colId="1">
      <filters>
        <filter val="Передача малоцінних активів в експлуатацію ІБ00-000296 від 20.06.2025 21:00:01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2">
    <mergeCell ref="A13:D13"/>
    <mergeCell ref="E13:G13"/>
    <mergeCell ref="H13:J1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8A0-1B36-4F5B-BBE1-09667006C0BA}">
  <sheetPr filterMode="1"/>
  <dimension ref="A1:L103"/>
  <sheetViews>
    <sheetView topLeftCell="A98" workbookViewId="0">
      <selection activeCell="J103" sqref="J103"/>
    </sheetView>
  </sheetViews>
  <sheetFormatPr defaultRowHeight="14.4" x14ac:dyDescent="0.3"/>
  <cols>
    <col min="2" max="4" width="28.5546875" customWidth="1"/>
  </cols>
  <sheetData>
    <row r="1" spans="1:12" x14ac:dyDescent="0.3">
      <c r="A1" s="204" t="s">
        <v>9</v>
      </c>
      <c r="B1" s="205" t="s">
        <v>10</v>
      </c>
      <c r="C1" s="205" t="s">
        <v>11</v>
      </c>
      <c r="D1" s="206" t="s">
        <v>12</v>
      </c>
      <c r="E1" s="207" t="s">
        <v>13</v>
      </c>
      <c r="F1" s="207"/>
      <c r="G1" s="207"/>
      <c r="H1" s="208" t="s">
        <v>14</v>
      </c>
      <c r="I1" s="208"/>
      <c r="J1" s="208"/>
      <c r="K1" s="205" t="s">
        <v>15</v>
      </c>
      <c r="L1" s="205"/>
    </row>
    <row r="2" spans="1:12" hidden="1" x14ac:dyDescent="0.3">
      <c r="A2" s="209"/>
      <c r="B2" s="210"/>
      <c r="C2" s="210"/>
      <c r="D2" s="211"/>
      <c r="E2" s="212" t="s">
        <v>16</v>
      </c>
      <c r="F2" s="213"/>
      <c r="G2" s="213"/>
      <c r="H2" s="214" t="s">
        <v>16</v>
      </c>
      <c r="I2" s="215"/>
      <c r="J2" s="215"/>
      <c r="K2" s="209"/>
      <c r="L2" s="216"/>
    </row>
    <row r="3" spans="1:12" ht="61.2" hidden="1" x14ac:dyDescent="0.3">
      <c r="A3" s="217" t="s">
        <v>18</v>
      </c>
      <c r="B3" s="218" t="s">
        <v>383</v>
      </c>
      <c r="C3" s="218" t="s">
        <v>384</v>
      </c>
      <c r="D3" s="218" t="s">
        <v>385</v>
      </c>
      <c r="E3" s="219" t="s">
        <v>22</v>
      </c>
      <c r="F3" s="220">
        <v>5281.66</v>
      </c>
      <c r="G3" s="220"/>
      <c r="H3" s="219" t="s">
        <v>64</v>
      </c>
      <c r="I3" s="221" t="s">
        <v>23</v>
      </c>
      <c r="J3" s="221"/>
      <c r="K3" s="222" t="s">
        <v>17</v>
      </c>
      <c r="L3" s="223">
        <v>51929.54</v>
      </c>
    </row>
    <row r="4" spans="1:12" ht="61.2" hidden="1" x14ac:dyDescent="0.3">
      <c r="A4" s="217" t="s">
        <v>18</v>
      </c>
      <c r="B4" s="218" t="s">
        <v>383</v>
      </c>
      <c r="C4" s="218" t="s">
        <v>386</v>
      </c>
      <c r="D4" s="218" t="s">
        <v>385</v>
      </c>
      <c r="E4" s="219" t="s">
        <v>22</v>
      </c>
      <c r="F4" s="220">
        <v>10563.32</v>
      </c>
      <c r="G4" s="220"/>
      <c r="H4" s="219" t="s">
        <v>64</v>
      </c>
      <c r="I4" s="221" t="s">
        <v>23</v>
      </c>
      <c r="J4" s="221"/>
      <c r="K4" s="222" t="s">
        <v>17</v>
      </c>
      <c r="L4" s="223">
        <v>62492.86</v>
      </c>
    </row>
    <row r="5" spans="1:12" ht="51" hidden="1" x14ac:dyDescent="0.3">
      <c r="A5" s="217" t="s">
        <v>18</v>
      </c>
      <c r="B5" s="218" t="s">
        <v>102</v>
      </c>
      <c r="C5" s="218" t="s">
        <v>103</v>
      </c>
      <c r="D5" s="218" t="s">
        <v>62</v>
      </c>
      <c r="E5" s="219" t="s">
        <v>22</v>
      </c>
      <c r="F5" s="220">
        <v>1289.5</v>
      </c>
      <c r="G5" s="220"/>
      <c r="H5" s="219" t="s">
        <v>22</v>
      </c>
      <c r="I5" s="221" t="s">
        <v>23</v>
      </c>
      <c r="J5" s="221"/>
      <c r="K5" s="222" t="s">
        <v>17</v>
      </c>
      <c r="L5" s="223">
        <v>63782.36</v>
      </c>
    </row>
    <row r="6" spans="1:12" ht="51" hidden="1" x14ac:dyDescent="0.3">
      <c r="A6" s="217" t="s">
        <v>18</v>
      </c>
      <c r="B6" s="218" t="s">
        <v>102</v>
      </c>
      <c r="C6" s="218" t="s">
        <v>104</v>
      </c>
      <c r="D6" s="218" t="s">
        <v>65</v>
      </c>
      <c r="E6" s="219" t="s">
        <v>22</v>
      </c>
      <c r="F6" s="224">
        <v>191.7</v>
      </c>
      <c r="G6" s="224"/>
      <c r="H6" s="219" t="s">
        <v>22</v>
      </c>
      <c r="I6" s="221" t="s">
        <v>23</v>
      </c>
      <c r="J6" s="221"/>
      <c r="K6" s="222" t="s">
        <v>17</v>
      </c>
      <c r="L6" s="223">
        <v>63974.06</v>
      </c>
    </row>
    <row r="7" spans="1:12" ht="51" hidden="1" x14ac:dyDescent="0.3">
      <c r="A7" s="217" t="s">
        <v>18</v>
      </c>
      <c r="B7" s="218" t="s">
        <v>102</v>
      </c>
      <c r="C7" s="218" t="s">
        <v>105</v>
      </c>
      <c r="D7" s="218" t="s">
        <v>66</v>
      </c>
      <c r="E7" s="219" t="s">
        <v>22</v>
      </c>
      <c r="F7" s="224">
        <v>381.5</v>
      </c>
      <c r="G7" s="224"/>
      <c r="H7" s="219" t="s">
        <v>22</v>
      </c>
      <c r="I7" s="221" t="s">
        <v>23</v>
      </c>
      <c r="J7" s="221"/>
      <c r="K7" s="222" t="s">
        <v>17</v>
      </c>
      <c r="L7" s="223">
        <v>64355.56</v>
      </c>
    </row>
    <row r="8" spans="1:12" ht="51" hidden="1" x14ac:dyDescent="0.3">
      <c r="A8" s="217" t="s">
        <v>18</v>
      </c>
      <c r="B8" s="218" t="s">
        <v>102</v>
      </c>
      <c r="C8" s="218" t="s">
        <v>106</v>
      </c>
      <c r="D8" s="218" t="s">
        <v>67</v>
      </c>
      <c r="E8" s="219" t="s">
        <v>22</v>
      </c>
      <c r="F8" s="224">
        <v>765</v>
      </c>
      <c r="G8" s="224"/>
      <c r="H8" s="219" t="s">
        <v>22</v>
      </c>
      <c r="I8" s="221" t="s">
        <v>23</v>
      </c>
      <c r="J8" s="221"/>
      <c r="K8" s="222" t="s">
        <v>17</v>
      </c>
      <c r="L8" s="223">
        <v>65120.56</v>
      </c>
    </row>
    <row r="9" spans="1:12" ht="51" hidden="1" x14ac:dyDescent="0.3">
      <c r="A9" s="217" t="s">
        <v>18</v>
      </c>
      <c r="B9" s="218" t="s">
        <v>102</v>
      </c>
      <c r="C9" s="218" t="s">
        <v>107</v>
      </c>
      <c r="D9" s="218" t="s">
        <v>68</v>
      </c>
      <c r="E9" s="219" t="s">
        <v>22</v>
      </c>
      <c r="F9" s="220">
        <v>4783.6000000000004</v>
      </c>
      <c r="G9" s="220"/>
      <c r="H9" s="219" t="s">
        <v>22</v>
      </c>
      <c r="I9" s="221" t="s">
        <v>23</v>
      </c>
      <c r="J9" s="221"/>
      <c r="K9" s="222" t="s">
        <v>17</v>
      </c>
      <c r="L9" s="223">
        <v>69904.160000000003</v>
      </c>
    </row>
    <row r="10" spans="1:12" ht="51" hidden="1" x14ac:dyDescent="0.3">
      <c r="A10" s="217" t="s">
        <v>18</v>
      </c>
      <c r="B10" s="218" t="s">
        <v>102</v>
      </c>
      <c r="C10" s="218" t="s">
        <v>108</v>
      </c>
      <c r="D10" s="218" t="s">
        <v>70</v>
      </c>
      <c r="E10" s="219" t="s">
        <v>22</v>
      </c>
      <c r="F10" s="220">
        <v>8518.2999999999993</v>
      </c>
      <c r="G10" s="220"/>
      <c r="H10" s="219" t="s">
        <v>22</v>
      </c>
      <c r="I10" s="221" t="s">
        <v>23</v>
      </c>
      <c r="J10" s="221"/>
      <c r="K10" s="222" t="s">
        <v>17</v>
      </c>
      <c r="L10" s="223">
        <v>78422.460000000006</v>
      </c>
    </row>
    <row r="11" spans="1:12" ht="51" hidden="1" x14ac:dyDescent="0.3">
      <c r="A11" s="217" t="s">
        <v>18</v>
      </c>
      <c r="B11" s="218" t="s">
        <v>102</v>
      </c>
      <c r="C11" s="218" t="s">
        <v>109</v>
      </c>
      <c r="D11" s="218" t="s">
        <v>71</v>
      </c>
      <c r="E11" s="219" t="s">
        <v>22</v>
      </c>
      <c r="F11" s="220">
        <v>3155</v>
      </c>
      <c r="G11" s="220"/>
      <c r="H11" s="219" t="s">
        <v>22</v>
      </c>
      <c r="I11" s="221" t="s">
        <v>23</v>
      </c>
      <c r="J11" s="221"/>
      <c r="K11" s="222" t="s">
        <v>17</v>
      </c>
      <c r="L11" s="223">
        <v>81577.460000000006</v>
      </c>
    </row>
    <row r="12" spans="1:12" ht="51" hidden="1" x14ac:dyDescent="0.3">
      <c r="A12" s="217" t="s">
        <v>30</v>
      </c>
      <c r="B12" s="218" t="s">
        <v>162</v>
      </c>
      <c r="C12" s="218" t="s">
        <v>163</v>
      </c>
      <c r="D12" s="218" t="s">
        <v>141</v>
      </c>
      <c r="E12" s="219" t="s">
        <v>22</v>
      </c>
      <c r="F12" s="220">
        <v>3282.67</v>
      </c>
      <c r="G12" s="220"/>
      <c r="H12" s="219" t="s">
        <v>22</v>
      </c>
      <c r="I12" s="221" t="s">
        <v>23</v>
      </c>
      <c r="J12" s="221"/>
      <c r="K12" s="222" t="s">
        <v>17</v>
      </c>
      <c r="L12" s="223">
        <v>84860.13</v>
      </c>
    </row>
    <row r="13" spans="1:12" ht="51" hidden="1" x14ac:dyDescent="0.3">
      <c r="A13" s="217" t="s">
        <v>30</v>
      </c>
      <c r="B13" s="218" t="s">
        <v>162</v>
      </c>
      <c r="C13" s="218" t="s">
        <v>164</v>
      </c>
      <c r="D13" s="218" t="s">
        <v>143</v>
      </c>
      <c r="E13" s="219" t="s">
        <v>22</v>
      </c>
      <c r="F13" s="224">
        <v>354.17</v>
      </c>
      <c r="G13" s="224"/>
      <c r="H13" s="219" t="s">
        <v>22</v>
      </c>
      <c r="I13" s="221" t="s">
        <v>23</v>
      </c>
      <c r="J13" s="221"/>
      <c r="K13" s="222" t="s">
        <v>17</v>
      </c>
      <c r="L13" s="223">
        <v>85214.3</v>
      </c>
    </row>
    <row r="14" spans="1:12" ht="51" hidden="1" x14ac:dyDescent="0.3">
      <c r="A14" s="217" t="s">
        <v>30</v>
      </c>
      <c r="B14" s="218" t="s">
        <v>165</v>
      </c>
      <c r="C14" s="218" t="s">
        <v>166</v>
      </c>
      <c r="D14" s="218" t="s">
        <v>146</v>
      </c>
      <c r="E14" s="219" t="s">
        <v>22</v>
      </c>
      <c r="F14" s="224">
        <v>154.33000000000001</v>
      </c>
      <c r="G14" s="224"/>
      <c r="H14" s="219" t="s">
        <v>22</v>
      </c>
      <c r="I14" s="221" t="s">
        <v>23</v>
      </c>
      <c r="J14" s="221"/>
      <c r="K14" s="222" t="s">
        <v>17</v>
      </c>
      <c r="L14" s="223">
        <v>85368.63</v>
      </c>
    </row>
    <row r="15" spans="1:12" ht="51" hidden="1" x14ac:dyDescent="0.3">
      <c r="A15" s="217" t="s">
        <v>30</v>
      </c>
      <c r="B15" s="218" t="s">
        <v>165</v>
      </c>
      <c r="C15" s="218" t="s">
        <v>167</v>
      </c>
      <c r="D15" s="218" t="s">
        <v>147</v>
      </c>
      <c r="E15" s="219" t="s">
        <v>22</v>
      </c>
      <c r="F15" s="224">
        <v>319.58</v>
      </c>
      <c r="G15" s="224"/>
      <c r="H15" s="219" t="s">
        <v>22</v>
      </c>
      <c r="I15" s="221" t="s">
        <v>23</v>
      </c>
      <c r="J15" s="221"/>
      <c r="K15" s="222" t="s">
        <v>17</v>
      </c>
      <c r="L15" s="223">
        <v>85688.21</v>
      </c>
    </row>
    <row r="16" spans="1:12" ht="51" hidden="1" x14ac:dyDescent="0.3">
      <c r="A16" s="217" t="s">
        <v>30</v>
      </c>
      <c r="B16" s="218" t="s">
        <v>165</v>
      </c>
      <c r="C16" s="218" t="s">
        <v>168</v>
      </c>
      <c r="D16" s="218" t="s">
        <v>148</v>
      </c>
      <c r="E16" s="219" t="s">
        <v>22</v>
      </c>
      <c r="F16" s="224">
        <v>280.5</v>
      </c>
      <c r="G16" s="224"/>
      <c r="H16" s="219" t="s">
        <v>22</v>
      </c>
      <c r="I16" s="221" t="s">
        <v>23</v>
      </c>
      <c r="J16" s="221"/>
      <c r="K16" s="222" t="s">
        <v>17</v>
      </c>
      <c r="L16" s="223">
        <v>85968.71</v>
      </c>
    </row>
    <row r="17" spans="1:12" ht="51" hidden="1" x14ac:dyDescent="0.3">
      <c r="A17" s="217" t="s">
        <v>30</v>
      </c>
      <c r="B17" s="218" t="s">
        <v>165</v>
      </c>
      <c r="C17" s="218" t="s">
        <v>169</v>
      </c>
      <c r="D17" s="218" t="s">
        <v>149</v>
      </c>
      <c r="E17" s="219" t="s">
        <v>22</v>
      </c>
      <c r="F17" s="224">
        <v>623.75</v>
      </c>
      <c r="G17" s="224"/>
      <c r="H17" s="219" t="s">
        <v>22</v>
      </c>
      <c r="I17" s="221" t="s">
        <v>23</v>
      </c>
      <c r="J17" s="221"/>
      <c r="K17" s="222" t="s">
        <v>17</v>
      </c>
      <c r="L17" s="223">
        <v>86592.46</v>
      </c>
    </row>
    <row r="18" spans="1:12" ht="51" hidden="1" x14ac:dyDescent="0.3">
      <c r="A18" s="217" t="s">
        <v>30</v>
      </c>
      <c r="B18" s="218" t="s">
        <v>165</v>
      </c>
      <c r="C18" s="218" t="s">
        <v>170</v>
      </c>
      <c r="D18" s="218" t="s">
        <v>150</v>
      </c>
      <c r="E18" s="219" t="s">
        <v>22</v>
      </c>
      <c r="F18" s="220">
        <v>3314.17</v>
      </c>
      <c r="G18" s="220"/>
      <c r="H18" s="219" t="s">
        <v>22</v>
      </c>
      <c r="I18" s="221" t="s">
        <v>23</v>
      </c>
      <c r="J18" s="221"/>
      <c r="K18" s="222" t="s">
        <v>17</v>
      </c>
      <c r="L18" s="223">
        <v>89906.63</v>
      </c>
    </row>
    <row r="19" spans="1:12" ht="51" hidden="1" x14ac:dyDescent="0.3">
      <c r="A19" s="217" t="s">
        <v>30</v>
      </c>
      <c r="B19" s="218" t="s">
        <v>165</v>
      </c>
      <c r="C19" s="218" t="s">
        <v>171</v>
      </c>
      <c r="D19" s="218" t="s">
        <v>151</v>
      </c>
      <c r="E19" s="219" t="s">
        <v>22</v>
      </c>
      <c r="F19" s="224">
        <v>247.17</v>
      </c>
      <c r="G19" s="224"/>
      <c r="H19" s="219" t="s">
        <v>22</v>
      </c>
      <c r="I19" s="221" t="s">
        <v>23</v>
      </c>
      <c r="J19" s="221"/>
      <c r="K19" s="222" t="s">
        <v>17</v>
      </c>
      <c r="L19" s="223">
        <v>90153.8</v>
      </c>
    </row>
    <row r="20" spans="1:12" ht="51" hidden="1" x14ac:dyDescent="0.3">
      <c r="A20" s="217" t="s">
        <v>30</v>
      </c>
      <c r="B20" s="218" t="s">
        <v>165</v>
      </c>
      <c r="C20" s="218" t="s">
        <v>172</v>
      </c>
      <c r="D20" s="218" t="s">
        <v>158</v>
      </c>
      <c r="E20" s="219" t="s">
        <v>22</v>
      </c>
      <c r="F20" s="224">
        <v>194.85</v>
      </c>
      <c r="G20" s="224"/>
      <c r="H20" s="219" t="s">
        <v>22</v>
      </c>
      <c r="I20" s="221" t="s">
        <v>23</v>
      </c>
      <c r="J20" s="221"/>
      <c r="K20" s="222" t="s">
        <v>17</v>
      </c>
      <c r="L20" s="223">
        <v>90348.65</v>
      </c>
    </row>
    <row r="21" spans="1:12" ht="51" hidden="1" x14ac:dyDescent="0.3">
      <c r="A21" s="217" t="s">
        <v>30</v>
      </c>
      <c r="B21" s="218" t="s">
        <v>165</v>
      </c>
      <c r="C21" s="218" t="s">
        <v>173</v>
      </c>
      <c r="D21" s="218" t="s">
        <v>159</v>
      </c>
      <c r="E21" s="219" t="s">
        <v>22</v>
      </c>
      <c r="F21" s="224">
        <v>277.58</v>
      </c>
      <c r="G21" s="224"/>
      <c r="H21" s="219" t="s">
        <v>22</v>
      </c>
      <c r="I21" s="221" t="s">
        <v>23</v>
      </c>
      <c r="J21" s="221"/>
      <c r="K21" s="222" t="s">
        <v>17</v>
      </c>
      <c r="L21" s="223">
        <v>90626.23</v>
      </c>
    </row>
    <row r="22" spans="1:12" ht="51" hidden="1" x14ac:dyDescent="0.3">
      <c r="A22" s="217" t="s">
        <v>30</v>
      </c>
      <c r="B22" s="218" t="s">
        <v>165</v>
      </c>
      <c r="C22" s="218" t="s">
        <v>174</v>
      </c>
      <c r="D22" s="218" t="s">
        <v>160</v>
      </c>
      <c r="E22" s="219" t="s">
        <v>22</v>
      </c>
      <c r="F22" s="224">
        <v>282.75</v>
      </c>
      <c r="G22" s="224"/>
      <c r="H22" s="219" t="s">
        <v>22</v>
      </c>
      <c r="I22" s="221" t="s">
        <v>23</v>
      </c>
      <c r="J22" s="221"/>
      <c r="K22" s="222" t="s">
        <v>17</v>
      </c>
      <c r="L22" s="223">
        <v>90908.98</v>
      </c>
    </row>
    <row r="23" spans="1:12" ht="51" hidden="1" x14ac:dyDescent="0.3">
      <c r="A23" s="217" t="s">
        <v>34</v>
      </c>
      <c r="B23" s="218" t="s">
        <v>225</v>
      </c>
      <c r="C23" s="218" t="s">
        <v>226</v>
      </c>
      <c r="D23" s="218" t="s">
        <v>192</v>
      </c>
      <c r="E23" s="219" t="s">
        <v>22</v>
      </c>
      <c r="F23" s="224">
        <v>487.5</v>
      </c>
      <c r="G23" s="224"/>
      <c r="H23" s="219" t="s">
        <v>22</v>
      </c>
      <c r="I23" s="221" t="s">
        <v>23</v>
      </c>
      <c r="J23" s="221"/>
      <c r="K23" s="222" t="s">
        <v>17</v>
      </c>
      <c r="L23" s="223">
        <v>91396.479999999996</v>
      </c>
    </row>
    <row r="24" spans="1:12" ht="51" hidden="1" x14ac:dyDescent="0.3">
      <c r="A24" s="217" t="s">
        <v>34</v>
      </c>
      <c r="B24" s="218" t="s">
        <v>225</v>
      </c>
      <c r="C24" s="218" t="s">
        <v>227</v>
      </c>
      <c r="D24" s="218" t="s">
        <v>193</v>
      </c>
      <c r="E24" s="219" t="s">
        <v>22</v>
      </c>
      <c r="F24" s="224">
        <v>597</v>
      </c>
      <c r="G24" s="224"/>
      <c r="H24" s="219" t="s">
        <v>22</v>
      </c>
      <c r="I24" s="221" t="s">
        <v>23</v>
      </c>
      <c r="J24" s="221"/>
      <c r="K24" s="222" t="s">
        <v>17</v>
      </c>
      <c r="L24" s="223">
        <v>91993.48</v>
      </c>
    </row>
    <row r="25" spans="1:12" ht="61.2" hidden="1" x14ac:dyDescent="0.3">
      <c r="A25" s="217" t="s">
        <v>34</v>
      </c>
      <c r="B25" s="218" t="s">
        <v>225</v>
      </c>
      <c r="C25" s="218" t="s">
        <v>228</v>
      </c>
      <c r="D25" s="218" t="s">
        <v>194</v>
      </c>
      <c r="E25" s="219" t="s">
        <v>22</v>
      </c>
      <c r="F25" s="220">
        <v>1116</v>
      </c>
      <c r="G25" s="220"/>
      <c r="H25" s="219" t="s">
        <v>22</v>
      </c>
      <c r="I25" s="221" t="s">
        <v>23</v>
      </c>
      <c r="J25" s="221"/>
      <c r="K25" s="222" t="s">
        <v>17</v>
      </c>
      <c r="L25" s="223">
        <v>93109.48</v>
      </c>
    </row>
    <row r="26" spans="1:12" ht="51" hidden="1" x14ac:dyDescent="0.3">
      <c r="A26" s="217" t="s">
        <v>34</v>
      </c>
      <c r="B26" s="218" t="s">
        <v>225</v>
      </c>
      <c r="C26" s="218" t="s">
        <v>229</v>
      </c>
      <c r="D26" s="218" t="s">
        <v>195</v>
      </c>
      <c r="E26" s="219" t="s">
        <v>22</v>
      </c>
      <c r="F26" s="224">
        <v>268.75</v>
      </c>
      <c r="G26" s="224"/>
      <c r="H26" s="219" t="s">
        <v>22</v>
      </c>
      <c r="I26" s="221" t="s">
        <v>23</v>
      </c>
      <c r="J26" s="221"/>
      <c r="K26" s="222" t="s">
        <v>17</v>
      </c>
      <c r="L26" s="223">
        <v>93378.23</v>
      </c>
    </row>
    <row r="27" spans="1:12" ht="51" hidden="1" x14ac:dyDescent="0.3">
      <c r="A27" s="217" t="s">
        <v>34</v>
      </c>
      <c r="B27" s="218" t="s">
        <v>225</v>
      </c>
      <c r="C27" s="218" t="s">
        <v>230</v>
      </c>
      <c r="D27" s="218" t="s">
        <v>197</v>
      </c>
      <c r="E27" s="219" t="s">
        <v>22</v>
      </c>
      <c r="F27" s="224">
        <v>589.20000000000005</v>
      </c>
      <c r="G27" s="224"/>
      <c r="H27" s="219" t="s">
        <v>22</v>
      </c>
      <c r="I27" s="221" t="s">
        <v>23</v>
      </c>
      <c r="J27" s="221"/>
      <c r="K27" s="222" t="s">
        <v>17</v>
      </c>
      <c r="L27" s="223">
        <v>93967.43</v>
      </c>
    </row>
    <row r="28" spans="1:12" ht="51" hidden="1" x14ac:dyDescent="0.3">
      <c r="A28" s="217" t="s">
        <v>34</v>
      </c>
      <c r="B28" s="218" t="s">
        <v>225</v>
      </c>
      <c r="C28" s="218" t="s">
        <v>231</v>
      </c>
      <c r="D28" s="218" t="s">
        <v>198</v>
      </c>
      <c r="E28" s="219" t="s">
        <v>22</v>
      </c>
      <c r="F28" s="220">
        <v>1410</v>
      </c>
      <c r="G28" s="220"/>
      <c r="H28" s="219" t="s">
        <v>22</v>
      </c>
      <c r="I28" s="221" t="s">
        <v>23</v>
      </c>
      <c r="J28" s="221"/>
      <c r="K28" s="222" t="s">
        <v>17</v>
      </c>
      <c r="L28" s="223">
        <v>95377.43</v>
      </c>
    </row>
    <row r="29" spans="1:12" ht="51" hidden="1" x14ac:dyDescent="0.3">
      <c r="A29" s="217" t="s">
        <v>34</v>
      </c>
      <c r="B29" s="218" t="s">
        <v>225</v>
      </c>
      <c r="C29" s="218" t="s">
        <v>232</v>
      </c>
      <c r="D29" s="218" t="s">
        <v>199</v>
      </c>
      <c r="E29" s="219" t="s">
        <v>22</v>
      </c>
      <c r="F29" s="224">
        <v>772.5</v>
      </c>
      <c r="G29" s="224"/>
      <c r="H29" s="219" t="s">
        <v>22</v>
      </c>
      <c r="I29" s="221" t="s">
        <v>23</v>
      </c>
      <c r="J29" s="221"/>
      <c r="K29" s="222" t="s">
        <v>17</v>
      </c>
      <c r="L29" s="223">
        <v>96149.93</v>
      </c>
    </row>
    <row r="30" spans="1:12" ht="51" hidden="1" x14ac:dyDescent="0.3">
      <c r="A30" s="217" t="s">
        <v>34</v>
      </c>
      <c r="B30" s="218" t="s">
        <v>225</v>
      </c>
      <c r="C30" s="218" t="s">
        <v>233</v>
      </c>
      <c r="D30" s="218" t="s">
        <v>200</v>
      </c>
      <c r="E30" s="219" t="s">
        <v>22</v>
      </c>
      <c r="F30" s="224">
        <v>504.9</v>
      </c>
      <c r="G30" s="224"/>
      <c r="H30" s="219" t="s">
        <v>22</v>
      </c>
      <c r="I30" s="221" t="s">
        <v>23</v>
      </c>
      <c r="J30" s="221"/>
      <c r="K30" s="222" t="s">
        <v>17</v>
      </c>
      <c r="L30" s="223">
        <v>96654.83</v>
      </c>
    </row>
    <row r="31" spans="1:12" ht="51" hidden="1" x14ac:dyDescent="0.3">
      <c r="A31" s="217" t="s">
        <v>34</v>
      </c>
      <c r="B31" s="218" t="s">
        <v>225</v>
      </c>
      <c r="C31" s="218" t="s">
        <v>234</v>
      </c>
      <c r="D31" s="218" t="s">
        <v>201</v>
      </c>
      <c r="E31" s="219" t="s">
        <v>22</v>
      </c>
      <c r="F31" s="224">
        <v>91.25</v>
      </c>
      <c r="G31" s="224"/>
      <c r="H31" s="219" t="s">
        <v>22</v>
      </c>
      <c r="I31" s="221" t="s">
        <v>23</v>
      </c>
      <c r="J31" s="221"/>
      <c r="K31" s="222" t="s">
        <v>17</v>
      </c>
      <c r="L31" s="223">
        <v>96746.08</v>
      </c>
    </row>
    <row r="32" spans="1:12" ht="51" hidden="1" x14ac:dyDescent="0.3">
      <c r="A32" s="217" t="s">
        <v>34</v>
      </c>
      <c r="B32" s="218" t="s">
        <v>225</v>
      </c>
      <c r="C32" s="218" t="s">
        <v>235</v>
      </c>
      <c r="D32" s="218" t="s">
        <v>202</v>
      </c>
      <c r="E32" s="219" t="s">
        <v>22</v>
      </c>
      <c r="F32" s="220">
        <v>1289.5</v>
      </c>
      <c r="G32" s="220"/>
      <c r="H32" s="219" t="s">
        <v>22</v>
      </c>
      <c r="I32" s="221" t="s">
        <v>23</v>
      </c>
      <c r="J32" s="221"/>
      <c r="K32" s="222" t="s">
        <v>17</v>
      </c>
      <c r="L32" s="223">
        <v>98035.58</v>
      </c>
    </row>
    <row r="33" spans="1:12" ht="61.2" hidden="1" x14ac:dyDescent="0.3">
      <c r="A33" s="217" t="s">
        <v>34</v>
      </c>
      <c r="B33" s="218" t="s">
        <v>225</v>
      </c>
      <c r="C33" s="218" t="s">
        <v>236</v>
      </c>
      <c r="D33" s="218" t="s">
        <v>39</v>
      </c>
      <c r="E33" s="219" t="s">
        <v>22</v>
      </c>
      <c r="F33" s="224">
        <v>367.5</v>
      </c>
      <c r="G33" s="224"/>
      <c r="H33" s="219" t="s">
        <v>22</v>
      </c>
      <c r="I33" s="221" t="s">
        <v>23</v>
      </c>
      <c r="J33" s="221"/>
      <c r="K33" s="222" t="s">
        <v>17</v>
      </c>
      <c r="L33" s="223">
        <v>98403.08</v>
      </c>
    </row>
    <row r="34" spans="1:12" ht="51" hidden="1" x14ac:dyDescent="0.3">
      <c r="A34" s="217" t="s">
        <v>34</v>
      </c>
      <c r="B34" s="218" t="s">
        <v>225</v>
      </c>
      <c r="C34" s="218" t="s">
        <v>237</v>
      </c>
      <c r="D34" s="218" t="s">
        <v>203</v>
      </c>
      <c r="E34" s="219" t="s">
        <v>22</v>
      </c>
      <c r="F34" s="224">
        <v>190.75</v>
      </c>
      <c r="G34" s="224"/>
      <c r="H34" s="219" t="s">
        <v>22</v>
      </c>
      <c r="I34" s="221" t="s">
        <v>23</v>
      </c>
      <c r="J34" s="221"/>
      <c r="K34" s="222" t="s">
        <v>17</v>
      </c>
      <c r="L34" s="223">
        <v>98593.83</v>
      </c>
    </row>
    <row r="35" spans="1:12" ht="51" hidden="1" x14ac:dyDescent="0.3">
      <c r="A35" s="217" t="s">
        <v>34</v>
      </c>
      <c r="B35" s="218" t="s">
        <v>225</v>
      </c>
      <c r="C35" s="218" t="s">
        <v>238</v>
      </c>
      <c r="D35" s="218" t="s">
        <v>209</v>
      </c>
      <c r="E35" s="219" t="s">
        <v>22</v>
      </c>
      <c r="F35" s="224">
        <v>50</v>
      </c>
      <c r="G35" s="224"/>
      <c r="H35" s="219" t="s">
        <v>22</v>
      </c>
      <c r="I35" s="221" t="s">
        <v>23</v>
      </c>
      <c r="J35" s="221"/>
      <c r="K35" s="222" t="s">
        <v>17</v>
      </c>
      <c r="L35" s="223">
        <v>98643.83</v>
      </c>
    </row>
    <row r="36" spans="1:12" ht="51" x14ac:dyDescent="0.3">
      <c r="A36" s="217" t="s">
        <v>40</v>
      </c>
      <c r="B36" s="218" t="s">
        <v>387</v>
      </c>
      <c r="C36" s="218" t="s">
        <v>42</v>
      </c>
      <c r="D36" s="218" t="s">
        <v>388</v>
      </c>
      <c r="E36" s="219" t="s">
        <v>43</v>
      </c>
      <c r="F36" s="225" t="s">
        <v>23</v>
      </c>
      <c r="G36" s="225"/>
      <c r="H36" s="219" t="s">
        <v>22</v>
      </c>
      <c r="I36" s="226">
        <v>10937.5</v>
      </c>
      <c r="J36" s="226"/>
      <c r="K36" s="222" t="s">
        <v>17</v>
      </c>
      <c r="L36" s="223">
        <v>87706.33</v>
      </c>
    </row>
    <row r="37" spans="1:12" ht="51" x14ac:dyDescent="0.3">
      <c r="A37" s="217" t="s">
        <v>40</v>
      </c>
      <c r="B37" s="218" t="s">
        <v>387</v>
      </c>
      <c r="C37" s="218" t="s">
        <v>42</v>
      </c>
      <c r="D37" s="218" t="s">
        <v>173</v>
      </c>
      <c r="E37" s="219" t="s">
        <v>43</v>
      </c>
      <c r="F37" s="225" t="s">
        <v>23</v>
      </c>
      <c r="G37" s="225"/>
      <c r="H37" s="219" t="s">
        <v>22</v>
      </c>
      <c r="I37" s="227">
        <v>277.58</v>
      </c>
      <c r="J37" s="227"/>
      <c r="K37" s="222" t="s">
        <v>17</v>
      </c>
      <c r="L37" s="223">
        <v>87428.75</v>
      </c>
    </row>
    <row r="38" spans="1:12" ht="51" x14ac:dyDescent="0.3">
      <c r="A38" s="217" t="s">
        <v>40</v>
      </c>
      <c r="B38" s="218" t="s">
        <v>387</v>
      </c>
      <c r="C38" s="218" t="s">
        <v>42</v>
      </c>
      <c r="D38" s="218" t="s">
        <v>174</v>
      </c>
      <c r="E38" s="219" t="s">
        <v>43</v>
      </c>
      <c r="F38" s="225" t="s">
        <v>23</v>
      </c>
      <c r="G38" s="225"/>
      <c r="H38" s="219" t="s">
        <v>22</v>
      </c>
      <c r="I38" s="227">
        <v>282.75</v>
      </c>
      <c r="J38" s="227"/>
      <c r="K38" s="222" t="s">
        <v>17</v>
      </c>
      <c r="L38" s="223">
        <v>87146</v>
      </c>
    </row>
    <row r="39" spans="1:12" ht="51" x14ac:dyDescent="0.3">
      <c r="A39" s="217" t="s">
        <v>40</v>
      </c>
      <c r="B39" s="218" t="s">
        <v>387</v>
      </c>
      <c r="C39" s="218" t="s">
        <v>42</v>
      </c>
      <c r="D39" s="218" t="s">
        <v>167</v>
      </c>
      <c r="E39" s="219" t="s">
        <v>43</v>
      </c>
      <c r="F39" s="225" t="s">
        <v>23</v>
      </c>
      <c r="G39" s="225"/>
      <c r="H39" s="219" t="s">
        <v>22</v>
      </c>
      <c r="I39" s="227">
        <v>319.58</v>
      </c>
      <c r="J39" s="227"/>
      <c r="K39" s="222" t="s">
        <v>17</v>
      </c>
      <c r="L39" s="223">
        <v>86826.42</v>
      </c>
    </row>
    <row r="40" spans="1:12" ht="51" x14ac:dyDescent="0.3">
      <c r="A40" s="217" t="s">
        <v>40</v>
      </c>
      <c r="B40" s="218" t="s">
        <v>387</v>
      </c>
      <c r="C40" s="218" t="s">
        <v>42</v>
      </c>
      <c r="D40" s="218" t="s">
        <v>226</v>
      </c>
      <c r="E40" s="219" t="s">
        <v>43</v>
      </c>
      <c r="F40" s="225" t="s">
        <v>23</v>
      </c>
      <c r="G40" s="225"/>
      <c r="H40" s="219" t="s">
        <v>22</v>
      </c>
      <c r="I40" s="227">
        <v>487.5</v>
      </c>
      <c r="J40" s="227"/>
      <c r="K40" s="222" t="s">
        <v>17</v>
      </c>
      <c r="L40" s="223">
        <v>86338.92</v>
      </c>
    </row>
    <row r="41" spans="1:12" ht="51" x14ac:dyDescent="0.3">
      <c r="A41" s="217" t="s">
        <v>40</v>
      </c>
      <c r="B41" s="218" t="s">
        <v>387</v>
      </c>
      <c r="C41" s="218" t="s">
        <v>42</v>
      </c>
      <c r="D41" s="218" t="s">
        <v>389</v>
      </c>
      <c r="E41" s="219" t="s">
        <v>43</v>
      </c>
      <c r="F41" s="225" t="s">
        <v>23</v>
      </c>
      <c r="G41" s="225"/>
      <c r="H41" s="219" t="s">
        <v>22</v>
      </c>
      <c r="I41" s="227">
        <v>776.68</v>
      </c>
      <c r="J41" s="227"/>
      <c r="K41" s="222" t="s">
        <v>17</v>
      </c>
      <c r="L41" s="223">
        <v>85562.240000000005</v>
      </c>
    </row>
    <row r="42" spans="1:12" ht="51" x14ac:dyDescent="0.3">
      <c r="A42" s="217" t="s">
        <v>40</v>
      </c>
      <c r="B42" s="218" t="s">
        <v>387</v>
      </c>
      <c r="C42" s="218" t="s">
        <v>42</v>
      </c>
      <c r="D42" s="218" t="s">
        <v>229</v>
      </c>
      <c r="E42" s="219" t="s">
        <v>43</v>
      </c>
      <c r="F42" s="225" t="s">
        <v>23</v>
      </c>
      <c r="G42" s="225"/>
      <c r="H42" s="219" t="s">
        <v>22</v>
      </c>
      <c r="I42" s="227">
        <v>268.75</v>
      </c>
      <c r="J42" s="227"/>
      <c r="K42" s="222" t="s">
        <v>17</v>
      </c>
      <c r="L42" s="223">
        <v>85293.49</v>
      </c>
    </row>
    <row r="43" spans="1:12" ht="51" x14ac:dyDescent="0.3">
      <c r="A43" s="217" t="s">
        <v>40</v>
      </c>
      <c r="B43" s="218" t="s">
        <v>387</v>
      </c>
      <c r="C43" s="218" t="s">
        <v>42</v>
      </c>
      <c r="D43" s="218" t="s">
        <v>164</v>
      </c>
      <c r="E43" s="219" t="s">
        <v>43</v>
      </c>
      <c r="F43" s="225" t="s">
        <v>23</v>
      </c>
      <c r="G43" s="225"/>
      <c r="H43" s="219" t="s">
        <v>22</v>
      </c>
      <c r="I43" s="227">
        <v>354.17</v>
      </c>
      <c r="J43" s="227"/>
      <c r="K43" s="222" t="s">
        <v>17</v>
      </c>
      <c r="L43" s="223">
        <v>84939.32</v>
      </c>
    </row>
    <row r="44" spans="1:12" ht="51" x14ac:dyDescent="0.3">
      <c r="A44" s="217" t="s">
        <v>40</v>
      </c>
      <c r="B44" s="218" t="s">
        <v>387</v>
      </c>
      <c r="C44" s="218" t="s">
        <v>42</v>
      </c>
      <c r="D44" s="218" t="s">
        <v>390</v>
      </c>
      <c r="E44" s="219" t="s">
        <v>43</v>
      </c>
      <c r="F44" s="225" t="s">
        <v>23</v>
      </c>
      <c r="G44" s="225"/>
      <c r="H44" s="219" t="s">
        <v>22</v>
      </c>
      <c r="I44" s="227">
        <v>87</v>
      </c>
      <c r="J44" s="227"/>
      <c r="K44" s="222" t="s">
        <v>17</v>
      </c>
      <c r="L44" s="223">
        <v>84852.32</v>
      </c>
    </row>
    <row r="45" spans="1:12" ht="51" x14ac:dyDescent="0.3">
      <c r="A45" s="217" t="s">
        <v>40</v>
      </c>
      <c r="B45" s="218" t="s">
        <v>387</v>
      </c>
      <c r="C45" s="218" t="s">
        <v>42</v>
      </c>
      <c r="D45" s="218" t="s">
        <v>391</v>
      </c>
      <c r="E45" s="219" t="s">
        <v>43</v>
      </c>
      <c r="F45" s="225" t="s">
        <v>23</v>
      </c>
      <c r="G45" s="225"/>
      <c r="H45" s="219" t="s">
        <v>22</v>
      </c>
      <c r="I45" s="227">
        <v>328.5</v>
      </c>
      <c r="J45" s="227"/>
      <c r="K45" s="222" t="s">
        <v>17</v>
      </c>
      <c r="L45" s="223">
        <v>84523.82</v>
      </c>
    </row>
    <row r="46" spans="1:12" ht="51" x14ac:dyDescent="0.3">
      <c r="A46" s="217" t="s">
        <v>40</v>
      </c>
      <c r="B46" s="218" t="s">
        <v>387</v>
      </c>
      <c r="C46" s="218" t="s">
        <v>42</v>
      </c>
      <c r="D46" s="218" t="s">
        <v>392</v>
      </c>
      <c r="E46" s="219" t="s">
        <v>43</v>
      </c>
      <c r="F46" s="225" t="s">
        <v>23</v>
      </c>
      <c r="G46" s="225"/>
      <c r="H46" s="219" t="s">
        <v>22</v>
      </c>
      <c r="I46" s="227">
        <v>343.5</v>
      </c>
      <c r="J46" s="227"/>
      <c r="K46" s="222" t="s">
        <v>17</v>
      </c>
      <c r="L46" s="223">
        <v>84180.32</v>
      </c>
    </row>
    <row r="47" spans="1:12" ht="51" x14ac:dyDescent="0.3">
      <c r="A47" s="217" t="s">
        <v>40</v>
      </c>
      <c r="B47" s="218" t="s">
        <v>387</v>
      </c>
      <c r="C47" s="218" t="s">
        <v>42</v>
      </c>
      <c r="D47" s="218" t="s">
        <v>393</v>
      </c>
      <c r="E47" s="219" t="s">
        <v>43</v>
      </c>
      <c r="F47" s="225" t="s">
        <v>23</v>
      </c>
      <c r="G47" s="225"/>
      <c r="H47" s="219" t="s">
        <v>22</v>
      </c>
      <c r="I47" s="226">
        <v>2580</v>
      </c>
      <c r="J47" s="226"/>
      <c r="K47" s="222" t="s">
        <v>17</v>
      </c>
      <c r="L47" s="223">
        <v>81600.320000000007</v>
      </c>
    </row>
    <row r="48" spans="1:12" ht="51" x14ac:dyDescent="0.3">
      <c r="A48" s="217" t="s">
        <v>40</v>
      </c>
      <c r="B48" s="218" t="s">
        <v>387</v>
      </c>
      <c r="C48" s="218" t="s">
        <v>42</v>
      </c>
      <c r="D48" s="218" t="s">
        <v>394</v>
      </c>
      <c r="E48" s="219" t="s">
        <v>43</v>
      </c>
      <c r="F48" s="225" t="s">
        <v>23</v>
      </c>
      <c r="G48" s="225"/>
      <c r="H48" s="219" t="s">
        <v>22</v>
      </c>
      <c r="I48" s="226">
        <v>3018</v>
      </c>
      <c r="J48" s="226"/>
      <c r="K48" s="222" t="s">
        <v>17</v>
      </c>
      <c r="L48" s="223">
        <v>78582.320000000007</v>
      </c>
    </row>
    <row r="49" spans="1:12" ht="61.2" x14ac:dyDescent="0.3">
      <c r="A49" s="217" t="s">
        <v>40</v>
      </c>
      <c r="B49" s="218" t="s">
        <v>387</v>
      </c>
      <c r="C49" s="218" t="s">
        <v>42</v>
      </c>
      <c r="D49" s="218" t="s">
        <v>228</v>
      </c>
      <c r="E49" s="219" t="s">
        <v>43</v>
      </c>
      <c r="F49" s="225" t="s">
        <v>23</v>
      </c>
      <c r="G49" s="225"/>
      <c r="H49" s="219" t="s">
        <v>22</v>
      </c>
      <c r="I49" s="226">
        <v>1116</v>
      </c>
      <c r="J49" s="226"/>
      <c r="K49" s="222" t="s">
        <v>17</v>
      </c>
      <c r="L49" s="223">
        <v>77466.320000000007</v>
      </c>
    </row>
    <row r="50" spans="1:12" ht="51" x14ac:dyDescent="0.3">
      <c r="A50" s="217" t="s">
        <v>40</v>
      </c>
      <c r="B50" s="218" t="s">
        <v>387</v>
      </c>
      <c r="C50" s="218" t="s">
        <v>42</v>
      </c>
      <c r="D50" s="218" t="s">
        <v>395</v>
      </c>
      <c r="E50" s="219" t="s">
        <v>43</v>
      </c>
      <c r="F50" s="225" t="s">
        <v>23</v>
      </c>
      <c r="G50" s="225"/>
      <c r="H50" s="219" t="s">
        <v>22</v>
      </c>
      <c r="I50" s="227">
        <v>448</v>
      </c>
      <c r="J50" s="227"/>
      <c r="K50" s="222" t="s">
        <v>17</v>
      </c>
      <c r="L50" s="223">
        <v>77018.320000000007</v>
      </c>
    </row>
    <row r="51" spans="1:12" ht="51" x14ac:dyDescent="0.3">
      <c r="A51" s="217" t="s">
        <v>40</v>
      </c>
      <c r="B51" s="218" t="s">
        <v>396</v>
      </c>
      <c r="C51" s="218" t="s">
        <v>42</v>
      </c>
      <c r="D51" s="218" t="s">
        <v>109</v>
      </c>
      <c r="E51" s="219" t="s">
        <v>43</v>
      </c>
      <c r="F51" s="225" t="s">
        <v>23</v>
      </c>
      <c r="G51" s="225"/>
      <c r="H51" s="219" t="s">
        <v>22</v>
      </c>
      <c r="I51" s="226">
        <v>3155</v>
      </c>
      <c r="J51" s="226"/>
      <c r="K51" s="222" t="s">
        <v>17</v>
      </c>
      <c r="L51" s="223">
        <v>73863.320000000007</v>
      </c>
    </row>
    <row r="52" spans="1:12" ht="51" hidden="1" x14ac:dyDescent="0.3">
      <c r="A52" s="217" t="s">
        <v>44</v>
      </c>
      <c r="B52" s="218" t="s">
        <v>397</v>
      </c>
      <c r="C52" s="218" t="s">
        <v>398</v>
      </c>
      <c r="D52" s="218" t="s">
        <v>108</v>
      </c>
      <c r="E52" s="219" t="s">
        <v>22</v>
      </c>
      <c r="F52" s="225" t="s">
        <v>23</v>
      </c>
      <c r="G52" s="225"/>
      <c r="H52" s="219" t="s">
        <v>22</v>
      </c>
      <c r="I52" s="226">
        <v>6084.5</v>
      </c>
      <c r="J52" s="226"/>
      <c r="K52" s="222" t="s">
        <v>17</v>
      </c>
      <c r="L52" s="223">
        <v>67778.820000000007</v>
      </c>
    </row>
    <row r="53" spans="1:12" ht="51" x14ac:dyDescent="0.3">
      <c r="A53" s="217" t="s">
        <v>44</v>
      </c>
      <c r="B53" s="218" t="s">
        <v>399</v>
      </c>
      <c r="C53" s="218" t="s">
        <v>42</v>
      </c>
      <c r="D53" s="218" t="s">
        <v>108</v>
      </c>
      <c r="E53" s="219" t="s">
        <v>43</v>
      </c>
      <c r="F53" s="225" t="s">
        <v>23</v>
      </c>
      <c r="G53" s="225"/>
      <c r="H53" s="219" t="s">
        <v>22</v>
      </c>
      <c r="I53" s="226">
        <v>2433.8000000000002</v>
      </c>
      <c r="J53" s="226"/>
      <c r="K53" s="222" t="s">
        <v>17</v>
      </c>
      <c r="L53" s="223">
        <v>65345.02</v>
      </c>
    </row>
    <row r="54" spans="1:12" ht="51" x14ac:dyDescent="0.3">
      <c r="A54" s="217" t="s">
        <v>44</v>
      </c>
      <c r="B54" s="218" t="s">
        <v>399</v>
      </c>
      <c r="C54" s="218" t="s">
        <v>42</v>
      </c>
      <c r="D54" s="218" t="s">
        <v>400</v>
      </c>
      <c r="E54" s="219" t="s">
        <v>43</v>
      </c>
      <c r="F54" s="225" t="s">
        <v>23</v>
      </c>
      <c r="G54" s="225"/>
      <c r="H54" s="219" t="s">
        <v>22</v>
      </c>
      <c r="I54" s="226">
        <v>7980</v>
      </c>
      <c r="J54" s="226"/>
      <c r="K54" s="222" t="s">
        <v>17</v>
      </c>
      <c r="L54" s="223">
        <v>57365.02</v>
      </c>
    </row>
    <row r="55" spans="1:12" ht="61.2" x14ac:dyDescent="0.3">
      <c r="A55" s="217" t="s">
        <v>44</v>
      </c>
      <c r="B55" s="218" t="s">
        <v>399</v>
      </c>
      <c r="C55" s="218" t="s">
        <v>42</v>
      </c>
      <c r="D55" s="218" t="s">
        <v>401</v>
      </c>
      <c r="E55" s="219" t="s">
        <v>43</v>
      </c>
      <c r="F55" s="225" t="s">
        <v>23</v>
      </c>
      <c r="G55" s="225"/>
      <c r="H55" s="219" t="s">
        <v>22</v>
      </c>
      <c r="I55" s="226">
        <v>1293.5999999999999</v>
      </c>
      <c r="J55" s="226"/>
      <c r="K55" s="222" t="s">
        <v>17</v>
      </c>
      <c r="L55" s="223">
        <v>56071.42</v>
      </c>
    </row>
    <row r="56" spans="1:12" ht="51" x14ac:dyDescent="0.3">
      <c r="A56" s="217" t="s">
        <v>44</v>
      </c>
      <c r="B56" s="218" t="s">
        <v>399</v>
      </c>
      <c r="C56" s="218" t="s">
        <v>42</v>
      </c>
      <c r="D56" s="218" t="s">
        <v>235</v>
      </c>
      <c r="E56" s="219" t="s">
        <v>43</v>
      </c>
      <c r="F56" s="225" t="s">
        <v>23</v>
      </c>
      <c r="G56" s="225"/>
      <c r="H56" s="219" t="s">
        <v>22</v>
      </c>
      <c r="I56" s="226">
        <v>1289.5</v>
      </c>
      <c r="J56" s="226"/>
      <c r="K56" s="222" t="s">
        <v>17</v>
      </c>
      <c r="L56" s="223">
        <v>54781.919999999998</v>
      </c>
    </row>
    <row r="57" spans="1:12" ht="51" x14ac:dyDescent="0.3">
      <c r="A57" s="217" t="s">
        <v>44</v>
      </c>
      <c r="B57" s="218" t="s">
        <v>399</v>
      </c>
      <c r="C57" s="218" t="s">
        <v>42</v>
      </c>
      <c r="D57" s="218" t="s">
        <v>169</v>
      </c>
      <c r="E57" s="219" t="s">
        <v>43</v>
      </c>
      <c r="F57" s="225" t="s">
        <v>23</v>
      </c>
      <c r="G57" s="225"/>
      <c r="H57" s="219" t="s">
        <v>22</v>
      </c>
      <c r="I57" s="227">
        <v>623.75</v>
      </c>
      <c r="J57" s="227"/>
      <c r="K57" s="222" t="s">
        <v>17</v>
      </c>
      <c r="L57" s="223">
        <v>54158.17</v>
      </c>
    </row>
    <row r="58" spans="1:12" ht="51" x14ac:dyDescent="0.3">
      <c r="A58" s="217" t="s">
        <v>44</v>
      </c>
      <c r="B58" s="218" t="s">
        <v>399</v>
      </c>
      <c r="C58" s="218" t="s">
        <v>42</v>
      </c>
      <c r="D58" s="218" t="s">
        <v>170</v>
      </c>
      <c r="E58" s="219" t="s">
        <v>43</v>
      </c>
      <c r="F58" s="225" t="s">
        <v>23</v>
      </c>
      <c r="G58" s="225"/>
      <c r="H58" s="219" t="s">
        <v>22</v>
      </c>
      <c r="I58" s="226">
        <v>3314.17</v>
      </c>
      <c r="J58" s="226"/>
      <c r="K58" s="222" t="s">
        <v>17</v>
      </c>
      <c r="L58" s="223">
        <v>50844</v>
      </c>
    </row>
    <row r="59" spans="1:12" ht="51" x14ac:dyDescent="0.3">
      <c r="A59" s="217" t="s">
        <v>44</v>
      </c>
      <c r="B59" s="218" t="s">
        <v>399</v>
      </c>
      <c r="C59" s="218" t="s">
        <v>42</v>
      </c>
      <c r="D59" s="218" t="s">
        <v>232</v>
      </c>
      <c r="E59" s="219" t="s">
        <v>43</v>
      </c>
      <c r="F59" s="225" t="s">
        <v>23</v>
      </c>
      <c r="G59" s="225"/>
      <c r="H59" s="219" t="s">
        <v>22</v>
      </c>
      <c r="I59" s="227">
        <v>772.5</v>
      </c>
      <c r="J59" s="227"/>
      <c r="K59" s="222" t="s">
        <v>17</v>
      </c>
      <c r="L59" s="223">
        <v>50071.5</v>
      </c>
    </row>
    <row r="60" spans="1:12" ht="51" x14ac:dyDescent="0.3">
      <c r="A60" s="217" t="s">
        <v>44</v>
      </c>
      <c r="B60" s="218" t="s">
        <v>399</v>
      </c>
      <c r="C60" s="218" t="s">
        <v>42</v>
      </c>
      <c r="D60" s="218" t="s">
        <v>231</v>
      </c>
      <c r="E60" s="219" t="s">
        <v>43</v>
      </c>
      <c r="F60" s="225" t="s">
        <v>23</v>
      </c>
      <c r="G60" s="225"/>
      <c r="H60" s="219" t="s">
        <v>22</v>
      </c>
      <c r="I60" s="226">
        <v>1410</v>
      </c>
      <c r="J60" s="226"/>
      <c r="K60" s="222" t="s">
        <v>17</v>
      </c>
      <c r="L60" s="223">
        <v>48661.5</v>
      </c>
    </row>
    <row r="61" spans="1:12" ht="51" x14ac:dyDescent="0.3">
      <c r="A61" s="217" t="s">
        <v>44</v>
      </c>
      <c r="B61" s="218" t="s">
        <v>399</v>
      </c>
      <c r="C61" s="218" t="s">
        <v>42</v>
      </c>
      <c r="D61" s="218" t="s">
        <v>106</v>
      </c>
      <c r="E61" s="219" t="s">
        <v>43</v>
      </c>
      <c r="F61" s="225" t="s">
        <v>23</v>
      </c>
      <c r="G61" s="225"/>
      <c r="H61" s="219" t="s">
        <v>22</v>
      </c>
      <c r="I61" s="227">
        <v>765</v>
      </c>
      <c r="J61" s="227"/>
      <c r="K61" s="222" t="s">
        <v>17</v>
      </c>
      <c r="L61" s="223">
        <v>47896.5</v>
      </c>
    </row>
    <row r="62" spans="1:12" ht="51" x14ac:dyDescent="0.3">
      <c r="A62" s="217" t="s">
        <v>44</v>
      </c>
      <c r="B62" s="218" t="s">
        <v>399</v>
      </c>
      <c r="C62" s="218" t="s">
        <v>42</v>
      </c>
      <c r="D62" s="218" t="s">
        <v>104</v>
      </c>
      <c r="E62" s="219" t="s">
        <v>43</v>
      </c>
      <c r="F62" s="225" t="s">
        <v>23</v>
      </c>
      <c r="G62" s="225"/>
      <c r="H62" s="219" t="s">
        <v>22</v>
      </c>
      <c r="I62" s="227">
        <v>191.7</v>
      </c>
      <c r="J62" s="227"/>
      <c r="K62" s="222" t="s">
        <v>17</v>
      </c>
      <c r="L62" s="223">
        <v>47704.800000000003</v>
      </c>
    </row>
    <row r="63" spans="1:12" ht="51" x14ac:dyDescent="0.3">
      <c r="A63" s="217" t="s">
        <v>44</v>
      </c>
      <c r="B63" s="218" t="s">
        <v>399</v>
      </c>
      <c r="C63" s="218" t="s">
        <v>42</v>
      </c>
      <c r="D63" s="218" t="s">
        <v>230</v>
      </c>
      <c r="E63" s="219" t="s">
        <v>43</v>
      </c>
      <c r="F63" s="225" t="s">
        <v>23</v>
      </c>
      <c r="G63" s="225"/>
      <c r="H63" s="219" t="s">
        <v>22</v>
      </c>
      <c r="I63" s="227">
        <v>589.20000000000005</v>
      </c>
      <c r="J63" s="227"/>
      <c r="K63" s="222" t="s">
        <v>17</v>
      </c>
      <c r="L63" s="223">
        <v>47115.6</v>
      </c>
    </row>
    <row r="64" spans="1:12" ht="51" x14ac:dyDescent="0.3">
      <c r="A64" s="217" t="s">
        <v>44</v>
      </c>
      <c r="B64" s="218" t="s">
        <v>399</v>
      </c>
      <c r="C64" s="218" t="s">
        <v>42</v>
      </c>
      <c r="D64" s="218" t="s">
        <v>105</v>
      </c>
      <c r="E64" s="219" t="s">
        <v>43</v>
      </c>
      <c r="F64" s="225" t="s">
        <v>23</v>
      </c>
      <c r="G64" s="225"/>
      <c r="H64" s="219" t="s">
        <v>22</v>
      </c>
      <c r="I64" s="227">
        <v>381.5</v>
      </c>
      <c r="J64" s="227"/>
      <c r="K64" s="222" t="s">
        <v>17</v>
      </c>
      <c r="L64" s="223">
        <v>46734.1</v>
      </c>
    </row>
    <row r="65" spans="1:12" ht="51" x14ac:dyDescent="0.3">
      <c r="A65" s="217" t="s">
        <v>44</v>
      </c>
      <c r="B65" s="218" t="s">
        <v>399</v>
      </c>
      <c r="C65" s="218" t="s">
        <v>42</v>
      </c>
      <c r="D65" s="218" t="s">
        <v>166</v>
      </c>
      <c r="E65" s="219" t="s">
        <v>43</v>
      </c>
      <c r="F65" s="225" t="s">
        <v>23</v>
      </c>
      <c r="G65" s="225"/>
      <c r="H65" s="219" t="s">
        <v>22</v>
      </c>
      <c r="I65" s="227">
        <v>154.33000000000001</v>
      </c>
      <c r="J65" s="227"/>
      <c r="K65" s="222" t="s">
        <v>17</v>
      </c>
      <c r="L65" s="223">
        <v>46579.77</v>
      </c>
    </row>
    <row r="66" spans="1:12" ht="51" x14ac:dyDescent="0.3">
      <c r="A66" s="217" t="s">
        <v>44</v>
      </c>
      <c r="B66" s="218" t="s">
        <v>399</v>
      </c>
      <c r="C66" s="218" t="s">
        <v>42</v>
      </c>
      <c r="D66" s="218" t="s">
        <v>237</v>
      </c>
      <c r="E66" s="219" t="s">
        <v>43</v>
      </c>
      <c r="F66" s="225" t="s">
        <v>23</v>
      </c>
      <c r="G66" s="225"/>
      <c r="H66" s="219" t="s">
        <v>22</v>
      </c>
      <c r="I66" s="227">
        <v>190.75</v>
      </c>
      <c r="J66" s="227"/>
      <c r="K66" s="222" t="s">
        <v>17</v>
      </c>
      <c r="L66" s="223">
        <v>46389.02</v>
      </c>
    </row>
    <row r="67" spans="1:12" ht="51" x14ac:dyDescent="0.3">
      <c r="A67" s="217" t="s">
        <v>44</v>
      </c>
      <c r="B67" s="218" t="s">
        <v>399</v>
      </c>
      <c r="C67" s="218" t="s">
        <v>42</v>
      </c>
      <c r="D67" s="218" t="s">
        <v>103</v>
      </c>
      <c r="E67" s="219" t="s">
        <v>43</v>
      </c>
      <c r="F67" s="225" t="s">
        <v>23</v>
      </c>
      <c r="G67" s="225"/>
      <c r="H67" s="219" t="s">
        <v>22</v>
      </c>
      <c r="I67" s="226">
        <v>1289.5</v>
      </c>
      <c r="J67" s="226"/>
      <c r="K67" s="222" t="s">
        <v>17</v>
      </c>
      <c r="L67" s="223">
        <v>45099.519999999997</v>
      </c>
    </row>
    <row r="68" spans="1:12" ht="51" x14ac:dyDescent="0.3">
      <c r="A68" s="217" t="s">
        <v>44</v>
      </c>
      <c r="B68" s="218" t="s">
        <v>399</v>
      </c>
      <c r="C68" s="218" t="s">
        <v>42</v>
      </c>
      <c r="D68" s="218" t="s">
        <v>163</v>
      </c>
      <c r="E68" s="219" t="s">
        <v>43</v>
      </c>
      <c r="F68" s="225" t="s">
        <v>23</v>
      </c>
      <c r="G68" s="225"/>
      <c r="H68" s="219" t="s">
        <v>22</v>
      </c>
      <c r="I68" s="226">
        <v>3282.67</v>
      </c>
      <c r="J68" s="226"/>
      <c r="K68" s="222" t="s">
        <v>17</v>
      </c>
      <c r="L68" s="223">
        <v>41816.85</v>
      </c>
    </row>
    <row r="69" spans="1:12" ht="51" x14ac:dyDescent="0.3">
      <c r="A69" s="217" t="s">
        <v>44</v>
      </c>
      <c r="B69" s="218" t="s">
        <v>399</v>
      </c>
      <c r="C69" s="218" t="s">
        <v>42</v>
      </c>
      <c r="D69" s="218" t="s">
        <v>402</v>
      </c>
      <c r="E69" s="219" t="s">
        <v>43</v>
      </c>
      <c r="F69" s="225" t="s">
        <v>23</v>
      </c>
      <c r="G69" s="225"/>
      <c r="H69" s="219" t="s">
        <v>22</v>
      </c>
      <c r="I69" s="226">
        <v>1458.9</v>
      </c>
      <c r="J69" s="226"/>
      <c r="K69" s="222" t="s">
        <v>17</v>
      </c>
      <c r="L69" s="223">
        <v>40357.949999999997</v>
      </c>
    </row>
    <row r="70" spans="1:12" ht="51" x14ac:dyDescent="0.3">
      <c r="A70" s="217" t="s">
        <v>44</v>
      </c>
      <c r="B70" s="218" t="s">
        <v>399</v>
      </c>
      <c r="C70" s="218" t="s">
        <v>42</v>
      </c>
      <c r="D70" s="218" t="s">
        <v>403</v>
      </c>
      <c r="E70" s="219" t="s">
        <v>43</v>
      </c>
      <c r="F70" s="225" t="s">
        <v>23</v>
      </c>
      <c r="G70" s="225"/>
      <c r="H70" s="219" t="s">
        <v>22</v>
      </c>
      <c r="I70" s="226">
        <v>2391.6999999999998</v>
      </c>
      <c r="J70" s="226"/>
      <c r="K70" s="222" t="s">
        <v>17</v>
      </c>
      <c r="L70" s="223">
        <v>37966.25</v>
      </c>
    </row>
    <row r="71" spans="1:12" ht="51" x14ac:dyDescent="0.3">
      <c r="A71" s="217" t="s">
        <v>44</v>
      </c>
      <c r="B71" s="218" t="s">
        <v>399</v>
      </c>
      <c r="C71" s="218" t="s">
        <v>42</v>
      </c>
      <c r="D71" s="218" t="s">
        <v>171</v>
      </c>
      <c r="E71" s="219" t="s">
        <v>43</v>
      </c>
      <c r="F71" s="225" t="s">
        <v>23</v>
      </c>
      <c r="G71" s="225"/>
      <c r="H71" s="219" t="s">
        <v>22</v>
      </c>
      <c r="I71" s="227">
        <v>247.17</v>
      </c>
      <c r="J71" s="227"/>
      <c r="K71" s="222" t="s">
        <v>17</v>
      </c>
      <c r="L71" s="223">
        <v>37719.08</v>
      </c>
    </row>
    <row r="72" spans="1:12" ht="61.2" x14ac:dyDescent="0.3">
      <c r="A72" s="217" t="s">
        <v>44</v>
      </c>
      <c r="B72" s="218" t="s">
        <v>399</v>
      </c>
      <c r="C72" s="218" t="s">
        <v>42</v>
      </c>
      <c r="D72" s="218" t="s">
        <v>236</v>
      </c>
      <c r="E72" s="219" t="s">
        <v>43</v>
      </c>
      <c r="F72" s="225" t="s">
        <v>23</v>
      </c>
      <c r="G72" s="225"/>
      <c r="H72" s="219" t="s">
        <v>22</v>
      </c>
      <c r="I72" s="227">
        <v>367.5</v>
      </c>
      <c r="J72" s="227"/>
      <c r="K72" s="222" t="s">
        <v>17</v>
      </c>
      <c r="L72" s="223">
        <v>37351.58</v>
      </c>
    </row>
    <row r="73" spans="1:12" ht="51" x14ac:dyDescent="0.3">
      <c r="A73" s="217" t="s">
        <v>44</v>
      </c>
      <c r="B73" s="218" t="s">
        <v>399</v>
      </c>
      <c r="C73" s="218" t="s">
        <v>42</v>
      </c>
      <c r="D73" s="218" t="s">
        <v>168</v>
      </c>
      <c r="E73" s="219" t="s">
        <v>43</v>
      </c>
      <c r="F73" s="225" t="s">
        <v>23</v>
      </c>
      <c r="G73" s="225"/>
      <c r="H73" s="219" t="s">
        <v>22</v>
      </c>
      <c r="I73" s="227">
        <v>280.5</v>
      </c>
      <c r="J73" s="227"/>
      <c r="K73" s="222" t="s">
        <v>17</v>
      </c>
      <c r="L73" s="223">
        <v>37071.08</v>
      </c>
    </row>
    <row r="74" spans="1:12" ht="51" x14ac:dyDescent="0.3">
      <c r="A74" s="217" t="s">
        <v>44</v>
      </c>
      <c r="B74" s="218" t="s">
        <v>399</v>
      </c>
      <c r="C74" s="218" t="s">
        <v>42</v>
      </c>
      <c r="D74" s="218" t="s">
        <v>227</v>
      </c>
      <c r="E74" s="219" t="s">
        <v>43</v>
      </c>
      <c r="F74" s="225" t="s">
        <v>23</v>
      </c>
      <c r="G74" s="225"/>
      <c r="H74" s="219" t="s">
        <v>22</v>
      </c>
      <c r="I74" s="227">
        <v>597</v>
      </c>
      <c r="J74" s="227"/>
      <c r="K74" s="222" t="s">
        <v>17</v>
      </c>
      <c r="L74" s="223">
        <v>36474.080000000002</v>
      </c>
    </row>
    <row r="75" spans="1:12" ht="51" x14ac:dyDescent="0.3">
      <c r="A75" s="217" t="s">
        <v>44</v>
      </c>
      <c r="B75" s="218" t="s">
        <v>399</v>
      </c>
      <c r="C75" s="218" t="s">
        <v>42</v>
      </c>
      <c r="D75" s="218" t="s">
        <v>238</v>
      </c>
      <c r="E75" s="219" t="s">
        <v>43</v>
      </c>
      <c r="F75" s="225" t="s">
        <v>23</v>
      </c>
      <c r="G75" s="225"/>
      <c r="H75" s="219" t="s">
        <v>22</v>
      </c>
      <c r="I75" s="227">
        <v>50</v>
      </c>
      <c r="J75" s="227"/>
      <c r="K75" s="222" t="s">
        <v>17</v>
      </c>
      <c r="L75" s="223">
        <v>36424.080000000002</v>
      </c>
    </row>
    <row r="76" spans="1:12" ht="51" x14ac:dyDescent="0.3">
      <c r="A76" s="217" t="s">
        <v>44</v>
      </c>
      <c r="B76" s="218" t="s">
        <v>404</v>
      </c>
      <c r="C76" s="218" t="s">
        <v>42</v>
      </c>
      <c r="D76" s="218" t="s">
        <v>400</v>
      </c>
      <c r="E76" s="219" t="s">
        <v>43</v>
      </c>
      <c r="F76" s="225" t="s">
        <v>23</v>
      </c>
      <c r="G76" s="225"/>
      <c r="H76" s="219" t="s">
        <v>22</v>
      </c>
      <c r="I76" s="226">
        <v>3990</v>
      </c>
      <c r="J76" s="226"/>
      <c r="K76" s="222" t="s">
        <v>17</v>
      </c>
      <c r="L76" s="223">
        <v>32434.080000000002</v>
      </c>
    </row>
    <row r="77" spans="1:12" ht="61.2" x14ac:dyDescent="0.3">
      <c r="A77" s="217" t="s">
        <v>44</v>
      </c>
      <c r="B77" s="218" t="s">
        <v>404</v>
      </c>
      <c r="C77" s="218" t="s">
        <v>42</v>
      </c>
      <c r="D77" s="218" t="s">
        <v>384</v>
      </c>
      <c r="E77" s="219" t="s">
        <v>43</v>
      </c>
      <c r="F77" s="225" t="s">
        <v>23</v>
      </c>
      <c r="G77" s="225"/>
      <c r="H77" s="219" t="s">
        <v>22</v>
      </c>
      <c r="I77" s="226">
        <v>5281.66</v>
      </c>
      <c r="J77" s="226"/>
      <c r="K77" s="222" t="s">
        <v>17</v>
      </c>
      <c r="L77" s="223">
        <v>27152.42</v>
      </c>
    </row>
    <row r="78" spans="1:12" ht="61.2" x14ac:dyDescent="0.3">
      <c r="A78" s="217" t="s">
        <v>44</v>
      </c>
      <c r="B78" s="218" t="s">
        <v>404</v>
      </c>
      <c r="C78" s="218" t="s">
        <v>42</v>
      </c>
      <c r="D78" s="218" t="s">
        <v>386</v>
      </c>
      <c r="E78" s="219" t="s">
        <v>43</v>
      </c>
      <c r="F78" s="225" t="s">
        <v>23</v>
      </c>
      <c r="G78" s="225"/>
      <c r="H78" s="219" t="s">
        <v>22</v>
      </c>
      <c r="I78" s="226">
        <v>10563.32</v>
      </c>
      <c r="J78" s="226"/>
      <c r="K78" s="222" t="s">
        <v>17</v>
      </c>
      <c r="L78" s="223">
        <v>16589.099999999999</v>
      </c>
    </row>
    <row r="79" spans="1:12" ht="51" x14ac:dyDescent="0.3">
      <c r="A79" s="217" t="s">
        <v>44</v>
      </c>
      <c r="B79" s="218" t="s">
        <v>404</v>
      </c>
      <c r="C79" s="218" t="s">
        <v>42</v>
      </c>
      <c r="D79" s="218" t="s">
        <v>405</v>
      </c>
      <c r="E79" s="219" t="s">
        <v>43</v>
      </c>
      <c r="F79" s="225" t="s">
        <v>23</v>
      </c>
      <c r="G79" s="225"/>
      <c r="H79" s="219" t="s">
        <v>22</v>
      </c>
      <c r="I79" s="226">
        <v>3212</v>
      </c>
      <c r="J79" s="226"/>
      <c r="K79" s="222" t="s">
        <v>17</v>
      </c>
      <c r="L79" s="223">
        <v>13377.1</v>
      </c>
    </row>
    <row r="80" spans="1:12" ht="51" x14ac:dyDescent="0.3">
      <c r="A80" s="217" t="s">
        <v>44</v>
      </c>
      <c r="B80" s="218" t="s">
        <v>404</v>
      </c>
      <c r="C80" s="218" t="s">
        <v>42</v>
      </c>
      <c r="D80" s="218" t="s">
        <v>107</v>
      </c>
      <c r="E80" s="219" t="s">
        <v>43</v>
      </c>
      <c r="F80" s="225" t="s">
        <v>23</v>
      </c>
      <c r="G80" s="225"/>
      <c r="H80" s="219" t="s">
        <v>22</v>
      </c>
      <c r="I80" s="226">
        <v>4783.6000000000004</v>
      </c>
      <c r="J80" s="226"/>
      <c r="K80" s="222" t="s">
        <v>17</v>
      </c>
      <c r="L80" s="223">
        <v>8593.5</v>
      </c>
    </row>
    <row r="81" spans="1:12" ht="51" x14ac:dyDescent="0.3">
      <c r="A81" s="217" t="s">
        <v>44</v>
      </c>
      <c r="B81" s="218" t="s">
        <v>406</v>
      </c>
      <c r="C81" s="218" t="s">
        <v>42</v>
      </c>
      <c r="D81" s="218" t="s">
        <v>172</v>
      </c>
      <c r="E81" s="219" t="s">
        <v>43</v>
      </c>
      <c r="F81" s="225" t="s">
        <v>23</v>
      </c>
      <c r="G81" s="225"/>
      <c r="H81" s="219" t="s">
        <v>22</v>
      </c>
      <c r="I81" s="227">
        <v>194.85</v>
      </c>
      <c r="J81" s="227"/>
      <c r="K81" s="222" t="s">
        <v>17</v>
      </c>
      <c r="L81" s="223">
        <v>8398.65</v>
      </c>
    </row>
    <row r="82" spans="1:12" ht="51" x14ac:dyDescent="0.3">
      <c r="A82" s="217" t="s">
        <v>44</v>
      </c>
      <c r="B82" s="218" t="s">
        <v>406</v>
      </c>
      <c r="C82" s="218" t="s">
        <v>42</v>
      </c>
      <c r="D82" s="218" t="s">
        <v>234</v>
      </c>
      <c r="E82" s="219" t="s">
        <v>43</v>
      </c>
      <c r="F82" s="225" t="s">
        <v>23</v>
      </c>
      <c r="G82" s="225"/>
      <c r="H82" s="219" t="s">
        <v>22</v>
      </c>
      <c r="I82" s="227">
        <v>91.25</v>
      </c>
      <c r="J82" s="227"/>
      <c r="K82" s="222" t="s">
        <v>17</v>
      </c>
      <c r="L82" s="223">
        <v>8307.4</v>
      </c>
    </row>
    <row r="83" spans="1:12" ht="51" x14ac:dyDescent="0.3">
      <c r="A83" s="217" t="s">
        <v>44</v>
      </c>
      <c r="B83" s="218" t="s">
        <v>406</v>
      </c>
      <c r="C83" s="218" t="s">
        <v>42</v>
      </c>
      <c r="D83" s="218" t="s">
        <v>233</v>
      </c>
      <c r="E83" s="219" t="s">
        <v>43</v>
      </c>
      <c r="F83" s="225" t="s">
        <v>23</v>
      </c>
      <c r="G83" s="225"/>
      <c r="H83" s="219" t="s">
        <v>22</v>
      </c>
      <c r="I83" s="227">
        <v>504.9</v>
      </c>
      <c r="J83" s="227"/>
      <c r="K83" s="222" t="s">
        <v>17</v>
      </c>
      <c r="L83" s="223">
        <v>7802.5</v>
      </c>
    </row>
    <row r="84" spans="1:12" ht="51" x14ac:dyDescent="0.3">
      <c r="A84" s="217" t="s">
        <v>44</v>
      </c>
      <c r="B84" s="218" t="s">
        <v>406</v>
      </c>
      <c r="C84" s="218" t="s">
        <v>42</v>
      </c>
      <c r="D84" s="218" t="s">
        <v>407</v>
      </c>
      <c r="E84" s="219" t="s">
        <v>43</v>
      </c>
      <c r="F84" s="225" t="s">
        <v>23</v>
      </c>
      <c r="G84" s="225"/>
      <c r="H84" s="219" t="s">
        <v>22</v>
      </c>
      <c r="I84" s="226">
        <v>2825</v>
      </c>
      <c r="J84" s="226"/>
      <c r="K84" s="222" t="s">
        <v>17</v>
      </c>
      <c r="L84" s="223">
        <v>4977.5</v>
      </c>
    </row>
    <row r="85" spans="1:12" ht="51" hidden="1" x14ac:dyDescent="0.3">
      <c r="A85" s="217" t="s">
        <v>46</v>
      </c>
      <c r="B85" s="218" t="s">
        <v>282</v>
      </c>
      <c r="C85" s="218" t="s">
        <v>283</v>
      </c>
      <c r="D85" s="218" t="s">
        <v>270</v>
      </c>
      <c r="E85" s="219" t="s">
        <v>22</v>
      </c>
      <c r="F85" s="224">
        <v>479.25</v>
      </c>
      <c r="G85" s="224"/>
      <c r="H85" s="219" t="s">
        <v>22</v>
      </c>
      <c r="I85" s="221" t="s">
        <v>23</v>
      </c>
      <c r="J85" s="221"/>
      <c r="K85" s="222" t="s">
        <v>17</v>
      </c>
      <c r="L85" s="223">
        <v>5456.75</v>
      </c>
    </row>
    <row r="86" spans="1:12" ht="51" hidden="1" x14ac:dyDescent="0.3">
      <c r="A86" s="217" t="s">
        <v>46</v>
      </c>
      <c r="B86" s="218" t="s">
        <v>282</v>
      </c>
      <c r="C86" s="218" t="s">
        <v>284</v>
      </c>
      <c r="D86" s="218" t="s">
        <v>273</v>
      </c>
      <c r="E86" s="219" t="s">
        <v>22</v>
      </c>
      <c r="F86" s="220">
        <v>1893</v>
      </c>
      <c r="G86" s="220"/>
      <c r="H86" s="219" t="s">
        <v>22</v>
      </c>
      <c r="I86" s="221" t="s">
        <v>23</v>
      </c>
      <c r="J86" s="221"/>
      <c r="K86" s="222" t="s">
        <v>17</v>
      </c>
      <c r="L86" s="223">
        <v>7349.75</v>
      </c>
    </row>
    <row r="87" spans="1:12" ht="51" hidden="1" x14ac:dyDescent="0.3">
      <c r="A87" s="217" t="s">
        <v>46</v>
      </c>
      <c r="B87" s="218" t="s">
        <v>282</v>
      </c>
      <c r="C87" s="218" t="s">
        <v>285</v>
      </c>
      <c r="D87" s="218" t="s">
        <v>274</v>
      </c>
      <c r="E87" s="219" t="s">
        <v>22</v>
      </c>
      <c r="F87" s="220">
        <v>3650.7</v>
      </c>
      <c r="G87" s="220"/>
      <c r="H87" s="219" t="s">
        <v>22</v>
      </c>
      <c r="I87" s="221" t="s">
        <v>23</v>
      </c>
      <c r="J87" s="221"/>
      <c r="K87" s="222" t="s">
        <v>17</v>
      </c>
      <c r="L87" s="223">
        <v>11000.45</v>
      </c>
    </row>
    <row r="88" spans="1:12" ht="51" hidden="1" x14ac:dyDescent="0.3">
      <c r="A88" s="217" t="s">
        <v>46</v>
      </c>
      <c r="B88" s="218" t="s">
        <v>282</v>
      </c>
      <c r="C88" s="218" t="s">
        <v>286</v>
      </c>
      <c r="D88" s="218" t="s">
        <v>51</v>
      </c>
      <c r="E88" s="219" t="s">
        <v>22</v>
      </c>
      <c r="F88" s="224">
        <v>618</v>
      </c>
      <c r="G88" s="224"/>
      <c r="H88" s="219" t="s">
        <v>22</v>
      </c>
      <c r="I88" s="221" t="s">
        <v>23</v>
      </c>
      <c r="J88" s="221"/>
      <c r="K88" s="222" t="s">
        <v>17</v>
      </c>
      <c r="L88" s="223">
        <v>11618.45</v>
      </c>
    </row>
    <row r="89" spans="1:12" ht="61.2" hidden="1" x14ac:dyDescent="0.3">
      <c r="A89" s="217" t="s">
        <v>46</v>
      </c>
      <c r="B89" s="218" t="s">
        <v>282</v>
      </c>
      <c r="C89" s="218" t="s">
        <v>287</v>
      </c>
      <c r="D89" s="218" t="s">
        <v>275</v>
      </c>
      <c r="E89" s="219" t="s">
        <v>22</v>
      </c>
      <c r="F89" s="220">
        <v>1116</v>
      </c>
      <c r="G89" s="220"/>
      <c r="H89" s="219" t="s">
        <v>22</v>
      </c>
      <c r="I89" s="221" t="s">
        <v>23</v>
      </c>
      <c r="J89" s="221"/>
      <c r="K89" s="222" t="s">
        <v>17</v>
      </c>
      <c r="L89" s="223">
        <v>12734.45</v>
      </c>
    </row>
    <row r="90" spans="1:12" ht="51" hidden="1" x14ac:dyDescent="0.3">
      <c r="A90" s="217" t="s">
        <v>46</v>
      </c>
      <c r="B90" s="218" t="s">
        <v>282</v>
      </c>
      <c r="C90" s="218" t="s">
        <v>288</v>
      </c>
      <c r="D90" s="218" t="s">
        <v>276</v>
      </c>
      <c r="E90" s="219" t="s">
        <v>22</v>
      </c>
      <c r="F90" s="224">
        <v>268.75</v>
      </c>
      <c r="G90" s="224"/>
      <c r="H90" s="219" t="s">
        <v>22</v>
      </c>
      <c r="I90" s="221" t="s">
        <v>23</v>
      </c>
      <c r="J90" s="221"/>
      <c r="K90" s="222" t="s">
        <v>17</v>
      </c>
      <c r="L90" s="223">
        <v>13003.2</v>
      </c>
    </row>
    <row r="91" spans="1:12" ht="51" hidden="1" x14ac:dyDescent="0.3">
      <c r="A91" s="217" t="s">
        <v>46</v>
      </c>
      <c r="B91" s="218" t="s">
        <v>282</v>
      </c>
      <c r="C91" s="218" t="s">
        <v>289</v>
      </c>
      <c r="D91" s="218" t="s">
        <v>53</v>
      </c>
      <c r="E91" s="219" t="s">
        <v>22</v>
      </c>
      <c r="F91" s="224">
        <v>148.75</v>
      </c>
      <c r="G91" s="224"/>
      <c r="H91" s="219" t="s">
        <v>22</v>
      </c>
      <c r="I91" s="221" t="s">
        <v>23</v>
      </c>
      <c r="J91" s="221"/>
      <c r="K91" s="222" t="s">
        <v>17</v>
      </c>
      <c r="L91" s="223">
        <v>13151.95</v>
      </c>
    </row>
    <row r="92" spans="1:12" ht="51" hidden="1" x14ac:dyDescent="0.3">
      <c r="A92" s="217" t="s">
        <v>46</v>
      </c>
      <c r="B92" s="218" t="s">
        <v>282</v>
      </c>
      <c r="C92" s="218" t="s">
        <v>290</v>
      </c>
      <c r="D92" s="218" t="s">
        <v>55</v>
      </c>
      <c r="E92" s="219" t="s">
        <v>22</v>
      </c>
      <c r="F92" s="224">
        <v>198.15</v>
      </c>
      <c r="G92" s="224"/>
      <c r="H92" s="219" t="s">
        <v>22</v>
      </c>
      <c r="I92" s="221" t="s">
        <v>23</v>
      </c>
      <c r="J92" s="221"/>
      <c r="K92" s="222" t="s">
        <v>17</v>
      </c>
      <c r="L92" s="223">
        <v>13350.1</v>
      </c>
    </row>
    <row r="93" spans="1:12" ht="51" hidden="1" x14ac:dyDescent="0.3">
      <c r="A93" s="217" t="s">
        <v>46</v>
      </c>
      <c r="B93" s="218" t="s">
        <v>282</v>
      </c>
      <c r="C93" s="218" t="s">
        <v>291</v>
      </c>
      <c r="D93" s="218" t="s">
        <v>57</v>
      </c>
      <c r="E93" s="219" t="s">
        <v>22</v>
      </c>
      <c r="F93" s="220">
        <v>9168</v>
      </c>
      <c r="G93" s="220"/>
      <c r="H93" s="219" t="s">
        <v>22</v>
      </c>
      <c r="I93" s="221" t="s">
        <v>23</v>
      </c>
      <c r="J93" s="221"/>
      <c r="K93" s="222" t="s">
        <v>17</v>
      </c>
      <c r="L93" s="223">
        <v>22518.1</v>
      </c>
    </row>
    <row r="94" spans="1:12" ht="51" x14ac:dyDescent="0.3">
      <c r="A94" s="217" t="s">
        <v>58</v>
      </c>
      <c r="B94" s="218" t="s">
        <v>408</v>
      </c>
      <c r="C94" s="218" t="s">
        <v>42</v>
      </c>
      <c r="D94" s="218" t="s">
        <v>284</v>
      </c>
      <c r="E94" s="219" t="s">
        <v>43</v>
      </c>
      <c r="F94" s="225" t="s">
        <v>23</v>
      </c>
      <c r="G94" s="225"/>
      <c r="H94" s="219" t="s">
        <v>22</v>
      </c>
      <c r="I94" s="226">
        <v>1893</v>
      </c>
      <c r="J94" s="226"/>
      <c r="K94" s="222" t="s">
        <v>17</v>
      </c>
      <c r="L94" s="223">
        <v>20625.099999999999</v>
      </c>
    </row>
    <row r="95" spans="1:12" ht="51" x14ac:dyDescent="0.3">
      <c r="A95" s="217" t="s">
        <v>58</v>
      </c>
      <c r="B95" s="218" t="s">
        <v>408</v>
      </c>
      <c r="C95" s="218" t="s">
        <v>42</v>
      </c>
      <c r="D95" s="218" t="s">
        <v>285</v>
      </c>
      <c r="E95" s="219" t="s">
        <v>43</v>
      </c>
      <c r="F95" s="225" t="s">
        <v>23</v>
      </c>
      <c r="G95" s="225"/>
      <c r="H95" s="219" t="s">
        <v>22</v>
      </c>
      <c r="I95" s="226">
        <v>3650.7</v>
      </c>
      <c r="J95" s="226"/>
      <c r="K95" s="222" t="s">
        <v>17</v>
      </c>
      <c r="L95" s="223">
        <v>16974.400000000001</v>
      </c>
    </row>
    <row r="96" spans="1:12" ht="61.2" x14ac:dyDescent="0.3">
      <c r="A96" s="217" t="s">
        <v>58</v>
      </c>
      <c r="B96" s="218" t="s">
        <v>408</v>
      </c>
      <c r="C96" s="218" t="s">
        <v>42</v>
      </c>
      <c r="D96" s="218" t="s">
        <v>287</v>
      </c>
      <c r="E96" s="219" t="s">
        <v>43</v>
      </c>
      <c r="F96" s="225" t="s">
        <v>23</v>
      </c>
      <c r="G96" s="225"/>
      <c r="H96" s="219" t="s">
        <v>22</v>
      </c>
      <c r="I96" s="226">
        <v>1116</v>
      </c>
      <c r="J96" s="226"/>
      <c r="K96" s="222" t="s">
        <v>17</v>
      </c>
      <c r="L96" s="223">
        <v>15858.4</v>
      </c>
    </row>
    <row r="97" spans="1:12" ht="61.2" x14ac:dyDescent="0.3">
      <c r="A97" s="217" t="s">
        <v>58</v>
      </c>
      <c r="B97" s="218" t="s">
        <v>408</v>
      </c>
      <c r="C97" s="218" t="s">
        <v>42</v>
      </c>
      <c r="D97" s="218" t="s">
        <v>409</v>
      </c>
      <c r="E97" s="219" t="s">
        <v>43</v>
      </c>
      <c r="F97" s="225" t="s">
        <v>23</v>
      </c>
      <c r="G97" s="225"/>
      <c r="H97" s="219" t="s">
        <v>22</v>
      </c>
      <c r="I97" s="226">
        <v>1930.5</v>
      </c>
      <c r="J97" s="226"/>
      <c r="K97" s="222" t="s">
        <v>17</v>
      </c>
      <c r="L97" s="223">
        <v>13927.9</v>
      </c>
    </row>
    <row r="98" spans="1:12" ht="51" x14ac:dyDescent="0.3">
      <c r="A98" s="217" t="s">
        <v>58</v>
      </c>
      <c r="B98" s="218" t="s">
        <v>408</v>
      </c>
      <c r="C98" s="218" t="s">
        <v>42</v>
      </c>
      <c r="D98" s="218" t="s">
        <v>283</v>
      </c>
      <c r="E98" s="219" t="s">
        <v>43</v>
      </c>
      <c r="F98" s="225" t="s">
        <v>23</v>
      </c>
      <c r="G98" s="225"/>
      <c r="H98" s="219" t="s">
        <v>22</v>
      </c>
      <c r="I98" s="227">
        <v>479.25</v>
      </c>
      <c r="J98" s="227"/>
      <c r="K98" s="222" t="s">
        <v>17</v>
      </c>
      <c r="L98" s="223">
        <v>13448.65</v>
      </c>
    </row>
    <row r="99" spans="1:12" ht="51" x14ac:dyDescent="0.3">
      <c r="A99" s="217" t="s">
        <v>58</v>
      </c>
      <c r="B99" s="218" t="s">
        <v>410</v>
      </c>
      <c r="C99" s="218" t="s">
        <v>42</v>
      </c>
      <c r="D99" s="218" t="s">
        <v>288</v>
      </c>
      <c r="E99" s="219" t="s">
        <v>43</v>
      </c>
      <c r="F99" s="225" t="s">
        <v>23</v>
      </c>
      <c r="G99" s="225"/>
      <c r="H99" s="219" t="s">
        <v>22</v>
      </c>
      <c r="I99" s="227">
        <v>268.75</v>
      </c>
      <c r="J99" s="227"/>
      <c r="K99" s="222" t="s">
        <v>17</v>
      </c>
      <c r="L99" s="223">
        <v>13179.9</v>
      </c>
    </row>
    <row r="100" spans="1:12" ht="51" x14ac:dyDescent="0.3">
      <c r="A100" s="217" t="s">
        <v>58</v>
      </c>
      <c r="B100" s="218" t="s">
        <v>410</v>
      </c>
      <c r="C100" s="218" t="s">
        <v>42</v>
      </c>
      <c r="D100" s="218" t="s">
        <v>286</v>
      </c>
      <c r="E100" s="219" t="s">
        <v>43</v>
      </c>
      <c r="F100" s="225" t="s">
        <v>23</v>
      </c>
      <c r="G100" s="225"/>
      <c r="H100" s="219" t="s">
        <v>22</v>
      </c>
      <c r="I100" s="227">
        <v>618</v>
      </c>
      <c r="J100" s="227"/>
      <c r="K100" s="222" t="s">
        <v>17</v>
      </c>
      <c r="L100" s="223">
        <v>12561.9</v>
      </c>
    </row>
    <row r="101" spans="1:12" hidden="1" x14ac:dyDescent="0.3">
      <c r="A101" s="228" t="s">
        <v>60</v>
      </c>
      <c r="B101" s="228"/>
      <c r="C101" s="228"/>
      <c r="D101" s="228"/>
      <c r="E101" s="229">
        <v>69536.55</v>
      </c>
      <c r="F101" s="229"/>
      <c r="G101" s="229"/>
      <c r="H101" s="229">
        <v>103622.53</v>
      </c>
      <c r="I101" s="229"/>
      <c r="J101" s="229"/>
      <c r="K101" s="230" t="s">
        <v>17</v>
      </c>
      <c r="L101" s="231">
        <v>12561.9</v>
      </c>
    </row>
    <row r="103" spans="1:12" x14ac:dyDescent="0.3">
      <c r="J103" s="261">
        <f>SUBTOTAL(9,I36:J100)</f>
        <v>97538.029999999984</v>
      </c>
    </row>
  </sheetData>
  <autoFilter ref="A1:L101" xr:uid="{5217C301-C406-4F25-89B3-7891A5DCA1D0}">
    <filterColumn colId="1">
      <filters>
        <filter val="Передача малоцінних активів в експлуатацію ІБ00-000271 від 19.06.2025 10:57:00_x000a_Списание стоимости малоценных активов"/>
        <filter val="Передача малоцінних активів в експлуатацію ІБ00-000276 від 19.06.2025 18:00:00_x000a_Списание стоимости малоценных активов"/>
        <filter val="Передача малоцінних активів в експлуатацію ІБ00-000289 від 20.06.2025 15:49:59_x000a_Списание стоимости малоценных активов"/>
        <filter val="Передача малоцінних активів в експлуатацію ІБ00-000295 від 20.06.2025 20:00:07_x000a_Списание стоимости малоценных активов"/>
        <filter val="Передача малоцінних активів в експлуатацію ІБ00-000300 від 20.06.2025 21:00:09_x000a_Списание стоимости малоценных активов"/>
        <filter val="Передача малоцінних активів в експлуатацію ІБ00-000307 від 25.06.2025 23:13:04_x000a_Списание стоимости малоценных активов"/>
        <filter val="Передача малоцінних активів в експлуатацію ІБ00-000309 від 25.06.2025 23:13:09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08">
    <mergeCell ref="F100:G100"/>
    <mergeCell ref="I100:J100"/>
    <mergeCell ref="A101:D101"/>
    <mergeCell ref="E101:G101"/>
    <mergeCell ref="H101:J101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A7CD-F819-4D74-B668-435741D90C5B}">
  <sheetPr filterMode="1"/>
  <dimension ref="A1:L45"/>
  <sheetViews>
    <sheetView topLeftCell="A31" workbookViewId="0">
      <selection activeCell="J45" sqref="J45"/>
    </sheetView>
  </sheetViews>
  <sheetFormatPr defaultRowHeight="14.4" x14ac:dyDescent="0.3"/>
  <cols>
    <col min="2" max="4" width="28.5546875" customWidth="1"/>
  </cols>
  <sheetData>
    <row r="1" spans="1:12" x14ac:dyDescent="0.3">
      <c r="A1" s="232" t="s">
        <v>9</v>
      </c>
      <c r="B1" s="233" t="s">
        <v>10</v>
      </c>
      <c r="C1" s="233" t="s">
        <v>11</v>
      </c>
      <c r="D1" s="234" t="s">
        <v>12</v>
      </c>
      <c r="E1" s="235" t="s">
        <v>13</v>
      </c>
      <c r="F1" s="235"/>
      <c r="G1" s="235"/>
      <c r="H1" s="236" t="s">
        <v>14</v>
      </c>
      <c r="I1" s="236"/>
      <c r="J1" s="236"/>
      <c r="K1" s="233" t="s">
        <v>15</v>
      </c>
      <c r="L1" s="233"/>
    </row>
    <row r="2" spans="1:12" hidden="1" x14ac:dyDescent="0.3">
      <c r="A2" s="237"/>
      <c r="B2" s="238"/>
      <c r="C2" s="238"/>
      <c r="D2" s="239"/>
      <c r="E2" s="240" t="s">
        <v>16</v>
      </c>
      <c r="F2" s="241"/>
      <c r="G2" s="241"/>
      <c r="H2" s="242" t="s">
        <v>16</v>
      </c>
      <c r="I2" s="243"/>
      <c r="J2" s="243"/>
      <c r="K2" s="237"/>
      <c r="L2" s="244"/>
    </row>
    <row r="3" spans="1:12" ht="51" hidden="1" x14ac:dyDescent="0.3">
      <c r="A3" s="245" t="s">
        <v>18</v>
      </c>
      <c r="B3" s="246" t="s">
        <v>411</v>
      </c>
      <c r="C3" s="246" t="s">
        <v>412</v>
      </c>
      <c r="D3" s="246" t="s">
        <v>413</v>
      </c>
      <c r="E3" s="247" t="s">
        <v>22</v>
      </c>
      <c r="F3" s="248">
        <v>1865.85</v>
      </c>
      <c r="G3" s="248"/>
      <c r="H3" s="247" t="s">
        <v>64</v>
      </c>
      <c r="I3" s="249" t="s">
        <v>23</v>
      </c>
      <c r="J3" s="249"/>
      <c r="K3" s="250" t="s">
        <v>17</v>
      </c>
      <c r="L3" s="251">
        <v>3159.45</v>
      </c>
    </row>
    <row r="4" spans="1:12" ht="51" hidden="1" x14ac:dyDescent="0.3">
      <c r="A4" s="245" t="s">
        <v>18</v>
      </c>
      <c r="B4" s="246" t="s">
        <v>411</v>
      </c>
      <c r="C4" s="246" t="s">
        <v>414</v>
      </c>
      <c r="D4" s="246" t="s">
        <v>413</v>
      </c>
      <c r="E4" s="247" t="s">
        <v>22</v>
      </c>
      <c r="F4" s="252">
        <v>333.4</v>
      </c>
      <c r="G4" s="252"/>
      <c r="H4" s="247" t="s">
        <v>64</v>
      </c>
      <c r="I4" s="249" t="s">
        <v>23</v>
      </c>
      <c r="J4" s="249"/>
      <c r="K4" s="250" t="s">
        <v>17</v>
      </c>
      <c r="L4" s="251">
        <v>3492.85</v>
      </c>
    </row>
    <row r="5" spans="1:12" ht="51" hidden="1" x14ac:dyDescent="0.3">
      <c r="A5" s="245" t="s">
        <v>18</v>
      </c>
      <c r="B5" s="246" t="s">
        <v>415</v>
      </c>
      <c r="C5" s="246" t="s">
        <v>416</v>
      </c>
      <c r="D5" s="246" t="s">
        <v>417</v>
      </c>
      <c r="E5" s="247" t="s">
        <v>22</v>
      </c>
      <c r="F5" s="248">
        <v>1118.5999999999999</v>
      </c>
      <c r="G5" s="248"/>
      <c r="H5" s="247" t="s">
        <v>64</v>
      </c>
      <c r="I5" s="249" t="s">
        <v>23</v>
      </c>
      <c r="J5" s="249"/>
      <c r="K5" s="250" t="s">
        <v>17</v>
      </c>
      <c r="L5" s="251">
        <v>4611.45</v>
      </c>
    </row>
    <row r="6" spans="1:12" ht="51" hidden="1" x14ac:dyDescent="0.3">
      <c r="A6" s="245" t="s">
        <v>18</v>
      </c>
      <c r="B6" s="246" t="s">
        <v>418</v>
      </c>
      <c r="C6" s="246" t="s">
        <v>419</v>
      </c>
      <c r="D6" s="246" t="s">
        <v>420</v>
      </c>
      <c r="E6" s="247" t="s">
        <v>22</v>
      </c>
      <c r="F6" s="252">
        <v>800</v>
      </c>
      <c r="G6" s="252"/>
      <c r="H6" s="247" t="s">
        <v>64</v>
      </c>
      <c r="I6" s="249" t="s">
        <v>23</v>
      </c>
      <c r="J6" s="249"/>
      <c r="K6" s="250" t="s">
        <v>17</v>
      </c>
      <c r="L6" s="251">
        <v>5411.45</v>
      </c>
    </row>
    <row r="7" spans="1:12" ht="61.2" hidden="1" x14ac:dyDescent="0.3">
      <c r="A7" s="245" t="s">
        <v>18</v>
      </c>
      <c r="B7" s="246" t="s">
        <v>110</v>
      </c>
      <c r="C7" s="246" t="s">
        <v>111</v>
      </c>
      <c r="D7" s="246" t="s">
        <v>21</v>
      </c>
      <c r="E7" s="247" t="s">
        <v>22</v>
      </c>
      <c r="F7" s="252">
        <v>294</v>
      </c>
      <c r="G7" s="252"/>
      <c r="H7" s="247" t="s">
        <v>22</v>
      </c>
      <c r="I7" s="249" t="s">
        <v>23</v>
      </c>
      <c r="J7" s="249"/>
      <c r="K7" s="250" t="s">
        <v>17</v>
      </c>
      <c r="L7" s="251">
        <v>5705.45</v>
      </c>
    </row>
    <row r="8" spans="1:12" ht="51" hidden="1" x14ac:dyDescent="0.3">
      <c r="A8" s="245" t="s">
        <v>421</v>
      </c>
      <c r="B8" s="246" t="s">
        <v>422</v>
      </c>
      <c r="C8" s="246" t="s">
        <v>423</v>
      </c>
      <c r="D8" s="246" t="s">
        <v>424</v>
      </c>
      <c r="E8" s="247" t="s">
        <v>22</v>
      </c>
      <c r="F8" s="252">
        <v>705.85</v>
      </c>
      <c r="G8" s="252"/>
      <c r="H8" s="247" t="s">
        <v>64</v>
      </c>
      <c r="I8" s="249" t="s">
        <v>23</v>
      </c>
      <c r="J8" s="249"/>
      <c r="K8" s="250" t="s">
        <v>17</v>
      </c>
      <c r="L8" s="251">
        <v>6411.3</v>
      </c>
    </row>
    <row r="9" spans="1:12" ht="61.2" hidden="1" x14ac:dyDescent="0.3">
      <c r="A9" s="245" t="s">
        <v>34</v>
      </c>
      <c r="B9" s="246" t="s">
        <v>250</v>
      </c>
      <c r="C9" s="246" t="s">
        <v>251</v>
      </c>
      <c r="D9" s="246" t="s">
        <v>196</v>
      </c>
      <c r="E9" s="247" t="s">
        <v>22</v>
      </c>
      <c r="F9" s="252">
        <v>175.9</v>
      </c>
      <c r="G9" s="252"/>
      <c r="H9" s="247" t="s">
        <v>22</v>
      </c>
      <c r="I9" s="249" t="s">
        <v>23</v>
      </c>
      <c r="J9" s="249"/>
      <c r="K9" s="250" t="s">
        <v>17</v>
      </c>
      <c r="L9" s="251">
        <v>6587.2</v>
      </c>
    </row>
    <row r="10" spans="1:12" ht="51" hidden="1" x14ac:dyDescent="0.3">
      <c r="A10" s="245" t="s">
        <v>34</v>
      </c>
      <c r="B10" s="246" t="s">
        <v>250</v>
      </c>
      <c r="C10" s="246" t="s">
        <v>252</v>
      </c>
      <c r="D10" s="246" t="s">
        <v>198</v>
      </c>
      <c r="E10" s="247" t="s">
        <v>22</v>
      </c>
      <c r="F10" s="248">
        <v>1410</v>
      </c>
      <c r="G10" s="248"/>
      <c r="H10" s="247" t="s">
        <v>22</v>
      </c>
      <c r="I10" s="249" t="s">
        <v>23</v>
      </c>
      <c r="J10" s="249"/>
      <c r="K10" s="250" t="s">
        <v>17</v>
      </c>
      <c r="L10" s="251">
        <v>7997.2</v>
      </c>
    </row>
    <row r="11" spans="1:12" ht="51" hidden="1" x14ac:dyDescent="0.3">
      <c r="A11" s="245" t="s">
        <v>34</v>
      </c>
      <c r="B11" s="246" t="s">
        <v>250</v>
      </c>
      <c r="C11" s="246" t="s">
        <v>253</v>
      </c>
      <c r="D11" s="246" t="s">
        <v>199</v>
      </c>
      <c r="E11" s="247" t="s">
        <v>22</v>
      </c>
      <c r="F11" s="252">
        <v>772.5</v>
      </c>
      <c r="G11" s="252"/>
      <c r="H11" s="247" t="s">
        <v>22</v>
      </c>
      <c r="I11" s="249" t="s">
        <v>23</v>
      </c>
      <c r="J11" s="249"/>
      <c r="K11" s="250" t="s">
        <v>17</v>
      </c>
      <c r="L11" s="251">
        <v>8769.7000000000007</v>
      </c>
    </row>
    <row r="12" spans="1:12" ht="61.2" hidden="1" x14ac:dyDescent="0.3">
      <c r="A12" s="245" t="s">
        <v>34</v>
      </c>
      <c r="B12" s="246" t="s">
        <v>250</v>
      </c>
      <c r="C12" s="246" t="s">
        <v>254</v>
      </c>
      <c r="D12" s="246" t="s">
        <v>39</v>
      </c>
      <c r="E12" s="247" t="s">
        <v>22</v>
      </c>
      <c r="F12" s="252">
        <v>367.5</v>
      </c>
      <c r="G12" s="252"/>
      <c r="H12" s="247" t="s">
        <v>22</v>
      </c>
      <c r="I12" s="249" t="s">
        <v>23</v>
      </c>
      <c r="J12" s="249"/>
      <c r="K12" s="250" t="s">
        <v>17</v>
      </c>
      <c r="L12" s="251">
        <v>9137.2000000000007</v>
      </c>
    </row>
    <row r="13" spans="1:12" ht="51" hidden="1" x14ac:dyDescent="0.3">
      <c r="A13" s="245" t="s">
        <v>34</v>
      </c>
      <c r="B13" s="246" t="s">
        <v>250</v>
      </c>
      <c r="C13" s="246" t="s">
        <v>255</v>
      </c>
      <c r="D13" s="246" t="s">
        <v>210</v>
      </c>
      <c r="E13" s="247" t="s">
        <v>22</v>
      </c>
      <c r="F13" s="252">
        <v>196.05</v>
      </c>
      <c r="G13" s="252"/>
      <c r="H13" s="247" t="s">
        <v>22</v>
      </c>
      <c r="I13" s="249" t="s">
        <v>23</v>
      </c>
      <c r="J13" s="249"/>
      <c r="K13" s="250" t="s">
        <v>17</v>
      </c>
      <c r="L13" s="251">
        <v>9333.25</v>
      </c>
    </row>
    <row r="14" spans="1:12" ht="51" hidden="1" x14ac:dyDescent="0.3">
      <c r="A14" s="245" t="s">
        <v>425</v>
      </c>
      <c r="B14" s="246" t="s">
        <v>426</v>
      </c>
      <c r="C14" s="246" t="s">
        <v>427</v>
      </c>
      <c r="D14" s="246" t="s">
        <v>428</v>
      </c>
      <c r="E14" s="247" t="s">
        <v>22</v>
      </c>
      <c r="F14" s="248">
        <v>2182.5</v>
      </c>
      <c r="G14" s="248"/>
      <c r="H14" s="247" t="s">
        <v>64</v>
      </c>
      <c r="I14" s="249" t="s">
        <v>23</v>
      </c>
      <c r="J14" s="249"/>
      <c r="K14" s="250" t="s">
        <v>17</v>
      </c>
      <c r="L14" s="251">
        <v>11515.75</v>
      </c>
    </row>
    <row r="15" spans="1:12" ht="51" hidden="1" x14ac:dyDescent="0.3">
      <c r="A15" s="245" t="s">
        <v>425</v>
      </c>
      <c r="B15" s="246" t="s">
        <v>426</v>
      </c>
      <c r="C15" s="246" t="s">
        <v>429</v>
      </c>
      <c r="D15" s="246" t="s">
        <v>428</v>
      </c>
      <c r="E15" s="247" t="s">
        <v>22</v>
      </c>
      <c r="F15" s="248">
        <v>1357.5</v>
      </c>
      <c r="G15" s="248"/>
      <c r="H15" s="247" t="s">
        <v>64</v>
      </c>
      <c r="I15" s="249" t="s">
        <v>23</v>
      </c>
      <c r="J15" s="249"/>
      <c r="K15" s="250" t="s">
        <v>17</v>
      </c>
      <c r="L15" s="251">
        <v>12873.25</v>
      </c>
    </row>
    <row r="16" spans="1:12" ht="51" hidden="1" x14ac:dyDescent="0.3">
      <c r="A16" s="245" t="s">
        <v>40</v>
      </c>
      <c r="B16" s="246" t="s">
        <v>430</v>
      </c>
      <c r="C16" s="246" t="s">
        <v>431</v>
      </c>
      <c r="D16" s="246" t="s">
        <v>432</v>
      </c>
      <c r="E16" s="247" t="s">
        <v>22</v>
      </c>
      <c r="F16" s="248">
        <v>1226.6600000000001</v>
      </c>
      <c r="G16" s="248"/>
      <c r="H16" s="247" t="s">
        <v>64</v>
      </c>
      <c r="I16" s="249" t="s">
        <v>23</v>
      </c>
      <c r="J16" s="249"/>
      <c r="K16" s="250" t="s">
        <v>17</v>
      </c>
      <c r="L16" s="251">
        <v>14099.91</v>
      </c>
    </row>
    <row r="17" spans="1:12" ht="61.2" x14ac:dyDescent="0.3">
      <c r="A17" s="245" t="s">
        <v>40</v>
      </c>
      <c r="B17" s="246" t="s">
        <v>433</v>
      </c>
      <c r="C17" s="246" t="s">
        <v>42</v>
      </c>
      <c r="D17" s="246" t="s">
        <v>111</v>
      </c>
      <c r="E17" s="247" t="s">
        <v>43</v>
      </c>
      <c r="F17" s="253" t="s">
        <v>23</v>
      </c>
      <c r="G17" s="253"/>
      <c r="H17" s="247" t="s">
        <v>22</v>
      </c>
      <c r="I17" s="254">
        <v>294</v>
      </c>
      <c r="J17" s="254"/>
      <c r="K17" s="250" t="s">
        <v>17</v>
      </c>
      <c r="L17" s="251">
        <v>13805.91</v>
      </c>
    </row>
    <row r="18" spans="1:12" ht="51" x14ac:dyDescent="0.3">
      <c r="A18" s="245" t="s">
        <v>40</v>
      </c>
      <c r="B18" s="246" t="s">
        <v>433</v>
      </c>
      <c r="C18" s="246" t="s">
        <v>42</v>
      </c>
      <c r="D18" s="246" t="s">
        <v>412</v>
      </c>
      <c r="E18" s="247" t="s">
        <v>43</v>
      </c>
      <c r="F18" s="253" t="s">
        <v>23</v>
      </c>
      <c r="G18" s="253"/>
      <c r="H18" s="247" t="s">
        <v>22</v>
      </c>
      <c r="I18" s="255">
        <v>1865.85</v>
      </c>
      <c r="J18" s="255"/>
      <c r="K18" s="250" t="s">
        <v>17</v>
      </c>
      <c r="L18" s="251">
        <v>11940.06</v>
      </c>
    </row>
    <row r="19" spans="1:12" ht="51" x14ac:dyDescent="0.3">
      <c r="A19" s="245" t="s">
        <v>40</v>
      </c>
      <c r="B19" s="246" t="s">
        <v>433</v>
      </c>
      <c r="C19" s="246" t="s">
        <v>42</v>
      </c>
      <c r="D19" s="246" t="s">
        <v>429</v>
      </c>
      <c r="E19" s="247" t="s">
        <v>43</v>
      </c>
      <c r="F19" s="253" t="s">
        <v>23</v>
      </c>
      <c r="G19" s="253"/>
      <c r="H19" s="247" t="s">
        <v>22</v>
      </c>
      <c r="I19" s="255">
        <v>1357.5</v>
      </c>
      <c r="J19" s="255"/>
      <c r="K19" s="250" t="s">
        <v>17</v>
      </c>
      <c r="L19" s="251">
        <v>10582.56</v>
      </c>
    </row>
    <row r="20" spans="1:12" ht="51" x14ac:dyDescent="0.3">
      <c r="A20" s="245" t="s">
        <v>40</v>
      </c>
      <c r="B20" s="246" t="s">
        <v>434</v>
      </c>
      <c r="C20" s="246" t="s">
        <v>42</v>
      </c>
      <c r="D20" s="246" t="s">
        <v>414</v>
      </c>
      <c r="E20" s="247" t="s">
        <v>43</v>
      </c>
      <c r="F20" s="253" t="s">
        <v>23</v>
      </c>
      <c r="G20" s="253"/>
      <c r="H20" s="247" t="s">
        <v>22</v>
      </c>
      <c r="I20" s="254">
        <v>333.4</v>
      </c>
      <c r="J20" s="254"/>
      <c r="K20" s="250" t="s">
        <v>17</v>
      </c>
      <c r="L20" s="251">
        <v>10249.16</v>
      </c>
    </row>
    <row r="21" spans="1:12" ht="51" x14ac:dyDescent="0.3">
      <c r="A21" s="245" t="s">
        <v>40</v>
      </c>
      <c r="B21" s="246" t="s">
        <v>434</v>
      </c>
      <c r="C21" s="246" t="s">
        <v>42</v>
      </c>
      <c r="D21" s="246" t="s">
        <v>253</v>
      </c>
      <c r="E21" s="247" t="s">
        <v>43</v>
      </c>
      <c r="F21" s="253" t="s">
        <v>23</v>
      </c>
      <c r="G21" s="253"/>
      <c r="H21" s="247" t="s">
        <v>22</v>
      </c>
      <c r="I21" s="254">
        <v>772.5</v>
      </c>
      <c r="J21" s="254"/>
      <c r="K21" s="250" t="s">
        <v>17</v>
      </c>
      <c r="L21" s="251">
        <v>9476.66</v>
      </c>
    </row>
    <row r="22" spans="1:12" ht="51" x14ac:dyDescent="0.3">
      <c r="A22" s="245" t="s">
        <v>40</v>
      </c>
      <c r="B22" s="246" t="s">
        <v>434</v>
      </c>
      <c r="C22" s="246" t="s">
        <v>42</v>
      </c>
      <c r="D22" s="246" t="s">
        <v>252</v>
      </c>
      <c r="E22" s="247" t="s">
        <v>43</v>
      </c>
      <c r="F22" s="253" t="s">
        <v>23</v>
      </c>
      <c r="G22" s="253"/>
      <c r="H22" s="247" t="s">
        <v>22</v>
      </c>
      <c r="I22" s="255">
        <v>1410</v>
      </c>
      <c r="J22" s="255"/>
      <c r="K22" s="250" t="s">
        <v>17</v>
      </c>
      <c r="L22" s="251">
        <v>8066.66</v>
      </c>
    </row>
    <row r="23" spans="1:12" ht="51" x14ac:dyDescent="0.3">
      <c r="A23" s="245" t="s">
        <v>40</v>
      </c>
      <c r="B23" s="246" t="s">
        <v>434</v>
      </c>
      <c r="C23" s="246" t="s">
        <v>42</v>
      </c>
      <c r="D23" s="246" t="s">
        <v>423</v>
      </c>
      <c r="E23" s="247" t="s">
        <v>43</v>
      </c>
      <c r="F23" s="253" t="s">
        <v>23</v>
      </c>
      <c r="G23" s="253"/>
      <c r="H23" s="247" t="s">
        <v>22</v>
      </c>
      <c r="I23" s="254">
        <v>705.85</v>
      </c>
      <c r="J23" s="254"/>
      <c r="K23" s="250" t="s">
        <v>17</v>
      </c>
      <c r="L23" s="251">
        <v>7360.81</v>
      </c>
    </row>
    <row r="24" spans="1:12" ht="51" x14ac:dyDescent="0.3">
      <c r="A24" s="245" t="s">
        <v>40</v>
      </c>
      <c r="B24" s="246" t="s">
        <v>434</v>
      </c>
      <c r="C24" s="246" t="s">
        <v>42</v>
      </c>
      <c r="D24" s="246" t="s">
        <v>419</v>
      </c>
      <c r="E24" s="247" t="s">
        <v>43</v>
      </c>
      <c r="F24" s="253" t="s">
        <v>23</v>
      </c>
      <c r="G24" s="253"/>
      <c r="H24" s="247" t="s">
        <v>22</v>
      </c>
      <c r="I24" s="254">
        <v>800</v>
      </c>
      <c r="J24" s="254"/>
      <c r="K24" s="250" t="s">
        <v>17</v>
      </c>
      <c r="L24" s="251">
        <v>6560.81</v>
      </c>
    </row>
    <row r="25" spans="1:12" ht="61.2" x14ac:dyDescent="0.3">
      <c r="A25" s="245" t="s">
        <v>40</v>
      </c>
      <c r="B25" s="246" t="s">
        <v>434</v>
      </c>
      <c r="C25" s="246" t="s">
        <v>42</v>
      </c>
      <c r="D25" s="246" t="s">
        <v>254</v>
      </c>
      <c r="E25" s="247" t="s">
        <v>43</v>
      </c>
      <c r="F25" s="253" t="s">
        <v>23</v>
      </c>
      <c r="G25" s="253"/>
      <c r="H25" s="247" t="s">
        <v>22</v>
      </c>
      <c r="I25" s="254">
        <v>367.5</v>
      </c>
      <c r="J25" s="254"/>
      <c r="K25" s="250" t="s">
        <v>17</v>
      </c>
      <c r="L25" s="251">
        <v>6193.31</v>
      </c>
    </row>
    <row r="26" spans="1:12" ht="51" x14ac:dyDescent="0.3">
      <c r="A26" s="245" t="s">
        <v>40</v>
      </c>
      <c r="B26" s="246" t="s">
        <v>434</v>
      </c>
      <c r="C26" s="246" t="s">
        <v>42</v>
      </c>
      <c r="D26" s="246" t="s">
        <v>416</v>
      </c>
      <c r="E26" s="247" t="s">
        <v>43</v>
      </c>
      <c r="F26" s="253" t="s">
        <v>23</v>
      </c>
      <c r="G26" s="253"/>
      <c r="H26" s="247" t="s">
        <v>22</v>
      </c>
      <c r="I26" s="255">
        <v>1118.5999999999999</v>
      </c>
      <c r="J26" s="255"/>
      <c r="K26" s="250" t="s">
        <v>17</v>
      </c>
      <c r="L26" s="251">
        <v>5074.71</v>
      </c>
    </row>
    <row r="27" spans="1:12" ht="51" x14ac:dyDescent="0.3">
      <c r="A27" s="245" t="s">
        <v>40</v>
      </c>
      <c r="B27" s="246" t="s">
        <v>434</v>
      </c>
      <c r="C27" s="246" t="s">
        <v>42</v>
      </c>
      <c r="D27" s="246" t="s">
        <v>255</v>
      </c>
      <c r="E27" s="247" t="s">
        <v>43</v>
      </c>
      <c r="F27" s="253" t="s">
        <v>23</v>
      </c>
      <c r="G27" s="253"/>
      <c r="H27" s="247" t="s">
        <v>22</v>
      </c>
      <c r="I27" s="254">
        <v>196.05</v>
      </c>
      <c r="J27" s="254"/>
      <c r="K27" s="250" t="s">
        <v>17</v>
      </c>
      <c r="L27" s="251">
        <v>4878.66</v>
      </c>
    </row>
    <row r="28" spans="1:12" ht="61.2" x14ac:dyDescent="0.3">
      <c r="A28" s="245" t="s">
        <v>40</v>
      </c>
      <c r="B28" s="246" t="s">
        <v>434</v>
      </c>
      <c r="C28" s="246" t="s">
        <v>42</v>
      </c>
      <c r="D28" s="246" t="s">
        <v>251</v>
      </c>
      <c r="E28" s="247" t="s">
        <v>43</v>
      </c>
      <c r="F28" s="253" t="s">
        <v>23</v>
      </c>
      <c r="G28" s="253"/>
      <c r="H28" s="247" t="s">
        <v>22</v>
      </c>
      <c r="I28" s="254">
        <v>175.9</v>
      </c>
      <c r="J28" s="254"/>
      <c r="K28" s="250" t="s">
        <v>17</v>
      </c>
      <c r="L28" s="251">
        <v>4702.76</v>
      </c>
    </row>
    <row r="29" spans="1:12" ht="51" hidden="1" x14ac:dyDescent="0.3">
      <c r="A29" s="245" t="s">
        <v>44</v>
      </c>
      <c r="B29" s="246" t="s">
        <v>397</v>
      </c>
      <c r="C29" s="246" t="s">
        <v>398</v>
      </c>
      <c r="D29" s="246" t="s">
        <v>108</v>
      </c>
      <c r="E29" s="247" t="s">
        <v>22</v>
      </c>
      <c r="F29" s="248">
        <v>6084.5</v>
      </c>
      <c r="G29" s="248"/>
      <c r="H29" s="247" t="s">
        <v>22</v>
      </c>
      <c r="I29" s="249" t="s">
        <v>23</v>
      </c>
      <c r="J29" s="249"/>
      <c r="K29" s="250" t="s">
        <v>17</v>
      </c>
      <c r="L29" s="251">
        <v>10787.26</v>
      </c>
    </row>
    <row r="30" spans="1:12" ht="51" x14ac:dyDescent="0.3">
      <c r="A30" s="245" t="s">
        <v>44</v>
      </c>
      <c r="B30" s="246" t="s">
        <v>435</v>
      </c>
      <c r="C30" s="246" t="s">
        <v>42</v>
      </c>
      <c r="D30" s="246" t="s">
        <v>427</v>
      </c>
      <c r="E30" s="247" t="s">
        <v>43</v>
      </c>
      <c r="F30" s="253" t="s">
        <v>23</v>
      </c>
      <c r="G30" s="253"/>
      <c r="H30" s="247" t="s">
        <v>22</v>
      </c>
      <c r="I30" s="255">
        <v>2182.5</v>
      </c>
      <c r="J30" s="255"/>
      <c r="K30" s="250" t="s">
        <v>17</v>
      </c>
      <c r="L30" s="251">
        <v>8604.76</v>
      </c>
    </row>
    <row r="31" spans="1:12" ht="51" x14ac:dyDescent="0.3">
      <c r="A31" s="245" t="s">
        <v>44</v>
      </c>
      <c r="B31" s="246" t="s">
        <v>436</v>
      </c>
      <c r="C31" s="246" t="s">
        <v>42</v>
      </c>
      <c r="D31" s="246" t="s">
        <v>398</v>
      </c>
      <c r="E31" s="247" t="s">
        <v>43</v>
      </c>
      <c r="F31" s="253" t="s">
        <v>23</v>
      </c>
      <c r="G31" s="253"/>
      <c r="H31" s="247" t="s">
        <v>22</v>
      </c>
      <c r="I31" s="255">
        <v>6084.5</v>
      </c>
      <c r="J31" s="255"/>
      <c r="K31" s="250" t="s">
        <v>17</v>
      </c>
      <c r="L31" s="251">
        <v>2520.2600000000002</v>
      </c>
    </row>
    <row r="32" spans="1:12" ht="61.2" x14ac:dyDescent="0.3">
      <c r="A32" s="245" t="s">
        <v>44</v>
      </c>
      <c r="B32" s="246" t="s">
        <v>437</v>
      </c>
      <c r="C32" s="246" t="s">
        <v>42</v>
      </c>
      <c r="D32" s="246" t="s">
        <v>438</v>
      </c>
      <c r="E32" s="247" t="s">
        <v>43</v>
      </c>
      <c r="F32" s="253" t="s">
        <v>23</v>
      </c>
      <c r="G32" s="253"/>
      <c r="H32" s="247" t="s">
        <v>22</v>
      </c>
      <c r="I32" s="255">
        <v>1293.5999999999999</v>
      </c>
      <c r="J32" s="255"/>
      <c r="K32" s="250" t="s">
        <v>17</v>
      </c>
      <c r="L32" s="251">
        <v>1226.6600000000001</v>
      </c>
    </row>
    <row r="33" spans="1:12" ht="51" hidden="1" x14ac:dyDescent="0.3">
      <c r="A33" s="245" t="s">
        <v>46</v>
      </c>
      <c r="B33" s="246" t="s">
        <v>292</v>
      </c>
      <c r="C33" s="246" t="s">
        <v>293</v>
      </c>
      <c r="D33" s="246" t="s">
        <v>270</v>
      </c>
      <c r="E33" s="247" t="s">
        <v>22</v>
      </c>
      <c r="F33" s="252">
        <v>479.25</v>
      </c>
      <c r="G33" s="252"/>
      <c r="H33" s="247" t="s">
        <v>22</v>
      </c>
      <c r="I33" s="249" t="s">
        <v>23</v>
      </c>
      <c r="J33" s="249"/>
      <c r="K33" s="250" t="s">
        <v>17</v>
      </c>
      <c r="L33" s="251">
        <v>1705.91</v>
      </c>
    </row>
    <row r="34" spans="1:12" ht="51" hidden="1" x14ac:dyDescent="0.3">
      <c r="A34" s="245" t="s">
        <v>46</v>
      </c>
      <c r="B34" s="246" t="s">
        <v>292</v>
      </c>
      <c r="C34" s="246" t="s">
        <v>294</v>
      </c>
      <c r="D34" s="246" t="s">
        <v>273</v>
      </c>
      <c r="E34" s="247" t="s">
        <v>22</v>
      </c>
      <c r="F34" s="248">
        <v>2524</v>
      </c>
      <c r="G34" s="248"/>
      <c r="H34" s="247" t="s">
        <v>22</v>
      </c>
      <c r="I34" s="249" t="s">
        <v>23</v>
      </c>
      <c r="J34" s="249"/>
      <c r="K34" s="250" t="s">
        <v>17</v>
      </c>
      <c r="L34" s="251">
        <v>4229.91</v>
      </c>
    </row>
    <row r="35" spans="1:12" ht="51" hidden="1" x14ac:dyDescent="0.3">
      <c r="A35" s="245" t="s">
        <v>46</v>
      </c>
      <c r="B35" s="246" t="s">
        <v>292</v>
      </c>
      <c r="C35" s="246" t="s">
        <v>295</v>
      </c>
      <c r="D35" s="246" t="s">
        <v>274</v>
      </c>
      <c r="E35" s="247" t="s">
        <v>22</v>
      </c>
      <c r="F35" s="248">
        <v>3650.7</v>
      </c>
      <c r="G35" s="248"/>
      <c r="H35" s="247" t="s">
        <v>22</v>
      </c>
      <c r="I35" s="249" t="s">
        <v>23</v>
      </c>
      <c r="J35" s="249"/>
      <c r="K35" s="250" t="s">
        <v>17</v>
      </c>
      <c r="L35" s="251">
        <v>7880.61</v>
      </c>
    </row>
    <row r="36" spans="1:12" ht="51" hidden="1" x14ac:dyDescent="0.3">
      <c r="A36" s="245" t="s">
        <v>46</v>
      </c>
      <c r="B36" s="246" t="s">
        <v>292</v>
      </c>
      <c r="C36" s="246" t="s">
        <v>296</v>
      </c>
      <c r="D36" s="246" t="s">
        <v>51</v>
      </c>
      <c r="E36" s="247" t="s">
        <v>22</v>
      </c>
      <c r="F36" s="252">
        <v>309</v>
      </c>
      <c r="G36" s="252"/>
      <c r="H36" s="247" t="s">
        <v>22</v>
      </c>
      <c r="I36" s="249" t="s">
        <v>23</v>
      </c>
      <c r="J36" s="249"/>
      <c r="K36" s="250" t="s">
        <v>17</v>
      </c>
      <c r="L36" s="251">
        <v>8189.61</v>
      </c>
    </row>
    <row r="37" spans="1:12" ht="51" hidden="1" x14ac:dyDescent="0.3">
      <c r="A37" s="245" t="s">
        <v>46</v>
      </c>
      <c r="B37" s="246" t="s">
        <v>292</v>
      </c>
      <c r="C37" s="246" t="s">
        <v>297</v>
      </c>
      <c r="D37" s="246" t="s">
        <v>53</v>
      </c>
      <c r="E37" s="247" t="s">
        <v>22</v>
      </c>
      <c r="F37" s="252">
        <v>148.75</v>
      </c>
      <c r="G37" s="252"/>
      <c r="H37" s="247" t="s">
        <v>22</v>
      </c>
      <c r="I37" s="249" t="s">
        <v>23</v>
      </c>
      <c r="J37" s="249"/>
      <c r="K37" s="250" t="s">
        <v>17</v>
      </c>
      <c r="L37" s="251">
        <v>8338.36</v>
      </c>
    </row>
    <row r="38" spans="1:12" ht="51" x14ac:dyDescent="0.3">
      <c r="A38" s="245" t="s">
        <v>58</v>
      </c>
      <c r="B38" s="246" t="s">
        <v>439</v>
      </c>
      <c r="C38" s="246" t="s">
        <v>42</v>
      </c>
      <c r="D38" s="246" t="s">
        <v>294</v>
      </c>
      <c r="E38" s="247" t="s">
        <v>43</v>
      </c>
      <c r="F38" s="253" t="s">
        <v>23</v>
      </c>
      <c r="G38" s="253"/>
      <c r="H38" s="247" t="s">
        <v>22</v>
      </c>
      <c r="I38" s="255">
        <v>2524</v>
      </c>
      <c r="J38" s="255"/>
      <c r="K38" s="250" t="s">
        <v>17</v>
      </c>
      <c r="L38" s="251">
        <v>5814.36</v>
      </c>
    </row>
    <row r="39" spans="1:12" ht="51" x14ac:dyDescent="0.3">
      <c r="A39" s="245" t="s">
        <v>58</v>
      </c>
      <c r="B39" s="246" t="s">
        <v>440</v>
      </c>
      <c r="C39" s="246" t="s">
        <v>42</v>
      </c>
      <c r="D39" s="246" t="s">
        <v>431</v>
      </c>
      <c r="E39" s="247" t="s">
        <v>43</v>
      </c>
      <c r="F39" s="253" t="s">
        <v>23</v>
      </c>
      <c r="G39" s="253"/>
      <c r="H39" s="247" t="s">
        <v>22</v>
      </c>
      <c r="I39" s="255">
        <v>1226.6600000000001</v>
      </c>
      <c r="J39" s="255"/>
      <c r="K39" s="250" t="s">
        <v>17</v>
      </c>
      <c r="L39" s="251">
        <v>4587.7</v>
      </c>
    </row>
    <row r="40" spans="1:12" ht="51" x14ac:dyDescent="0.3">
      <c r="A40" s="245" t="s">
        <v>58</v>
      </c>
      <c r="B40" s="246" t="s">
        <v>440</v>
      </c>
      <c r="C40" s="246" t="s">
        <v>42</v>
      </c>
      <c r="D40" s="246" t="s">
        <v>295</v>
      </c>
      <c r="E40" s="247" t="s">
        <v>43</v>
      </c>
      <c r="F40" s="253" t="s">
        <v>23</v>
      </c>
      <c r="G40" s="253"/>
      <c r="H40" s="247" t="s">
        <v>22</v>
      </c>
      <c r="I40" s="255">
        <v>3650.7</v>
      </c>
      <c r="J40" s="255"/>
      <c r="K40" s="250" t="s">
        <v>17</v>
      </c>
      <c r="L40" s="256">
        <v>937</v>
      </c>
    </row>
    <row r="41" spans="1:12" ht="51" x14ac:dyDescent="0.3">
      <c r="A41" s="245" t="s">
        <v>58</v>
      </c>
      <c r="B41" s="246" t="s">
        <v>440</v>
      </c>
      <c r="C41" s="246" t="s">
        <v>42</v>
      </c>
      <c r="D41" s="246" t="s">
        <v>296</v>
      </c>
      <c r="E41" s="247" t="s">
        <v>43</v>
      </c>
      <c r="F41" s="253" t="s">
        <v>23</v>
      </c>
      <c r="G41" s="253"/>
      <c r="H41" s="247" t="s">
        <v>22</v>
      </c>
      <c r="I41" s="254">
        <v>309</v>
      </c>
      <c r="J41" s="254"/>
      <c r="K41" s="250" t="s">
        <v>17</v>
      </c>
      <c r="L41" s="256">
        <v>628</v>
      </c>
    </row>
    <row r="42" spans="1:12" ht="51" hidden="1" x14ac:dyDescent="0.3">
      <c r="A42" s="245" t="s">
        <v>441</v>
      </c>
      <c r="B42" s="246" t="s">
        <v>442</v>
      </c>
      <c r="C42" s="246" t="s">
        <v>443</v>
      </c>
      <c r="D42" s="246" t="s">
        <v>444</v>
      </c>
      <c r="E42" s="247" t="s">
        <v>22</v>
      </c>
      <c r="F42" s="248">
        <v>1126.67</v>
      </c>
      <c r="G42" s="248"/>
      <c r="H42" s="247" t="s">
        <v>64</v>
      </c>
      <c r="I42" s="249" t="s">
        <v>23</v>
      </c>
      <c r="J42" s="249"/>
      <c r="K42" s="250" t="s">
        <v>17</v>
      </c>
      <c r="L42" s="251">
        <v>1754.67</v>
      </c>
    </row>
    <row r="43" spans="1:12" hidden="1" x14ac:dyDescent="0.3">
      <c r="A43" s="257" t="s">
        <v>60</v>
      </c>
      <c r="B43" s="257"/>
      <c r="C43" s="257"/>
      <c r="D43" s="257"/>
      <c r="E43" s="258">
        <v>27129.18</v>
      </c>
      <c r="F43" s="258"/>
      <c r="G43" s="258"/>
      <c r="H43" s="258">
        <v>26668.11</v>
      </c>
      <c r="I43" s="258"/>
      <c r="J43" s="258"/>
      <c r="K43" s="259" t="s">
        <v>17</v>
      </c>
      <c r="L43" s="260">
        <v>1754.67</v>
      </c>
    </row>
    <row r="45" spans="1:12" x14ac:dyDescent="0.3">
      <c r="J45" s="261">
        <f>SUBTOTAL(9,I17:J41)</f>
        <v>26668.11</v>
      </c>
    </row>
  </sheetData>
  <autoFilter ref="A1:L43" xr:uid="{A54AE78C-0B00-496E-8152-74E0A7B088BD}">
    <filterColumn colId="1">
      <filters>
        <filter val="Передача малоцінних активів в експлуатацію ІБ00-000272 від 19.06.2025 16:33:09_x000a_Списание стоимости малоценных активов"/>
        <filter val="Передача малоцінних активів в експлуатацію ІБ00-000273 від 19.06.2025 16:40:48_x000a_Списание стоимости малоценных активов"/>
        <filter val="Передача малоцінних активів в експлуатацію ІБ00-000287 від 20.06.2025 18:06:30_x000a_Списание стоимости малоценных активов"/>
        <filter val="Передача малоцінних активів в експлуатацію ІБ00-000288 від 20.06.2025 18:06:32_x000a_Списание стоимости малоценных активов"/>
        <filter val="Передача малоцінних активів в експлуатацію ІБ00-000297 від 20.06.2025 21:00:02_x000a_Списание стоимости малоценных активов"/>
        <filter val="Передача малоцінних активів в експлуатацію ІБ00-000310 від 25.06.2025 23:13:11_x000a_Списание стоимости малоценных активов"/>
        <filter val="Передача малоцінних активів в експлуатацію ІБ00-000312 від 25.06.2025 23:13:21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2">
    <mergeCell ref="A43:D43"/>
    <mergeCell ref="E43:G43"/>
    <mergeCell ref="H43:J4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</vt:lpstr>
      <vt:lpstr>АПК</vt:lpstr>
      <vt:lpstr>Глобине-2</vt:lpstr>
      <vt:lpstr>Котельна</vt:lpstr>
      <vt:lpstr>Пожежений резервуар</vt:lpstr>
      <vt:lpstr>в бігбегах</vt:lpstr>
      <vt:lpstr>зберігання розчинника</vt:lpstr>
      <vt:lpstr>парк соєвої меляси</vt:lpstr>
      <vt:lpstr>СПК</vt:lpstr>
      <vt:lpstr>Цех екстракції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2025-07-22T06:38:36Z</dcterms:modified>
</cp:coreProperties>
</file>
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Июнь_25\Данные\Строительство\Материалы+МШП\"/>
    </mc:Choice>
  </mc:AlternateContent>
  <xr:revisionPtr revIDLastSave="0" documentId="13_ncr:1_{C742CF66-9384-40CE-9F06-88CA2EBF806D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Sheet1!$A$1:$L$92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94" i="1" l="1"/>
</calcChain>
</file>

<file path=xl/sharedStrings.xml><?xml version="1.0" encoding="utf-8"?>
<sst xmlns="http://schemas.openxmlformats.org/spreadsheetml/2006/main" count="723" uniqueCount="97">
  <si>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</si>
  <si>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</si>
  <si>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</si>
  <si>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</si>
  <si>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</si>
  <si>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</si>
  <si>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</si>
  <si>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</si>
  <si>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</si>
  <si>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19.06.2025</t>
  </si>
  <si>
    <t>Вимога-накладна ІБ00-000459 від 19.06.2025 16:45:44
Списаны ТМЦ</t>
  </si>
  <si>
    <t>Обл. НДС
Виробничий (Глобине-2)
Глобине-2
Прямі материальні виробничі витрати крім зворотніх відходів</t>
  </si>
  <si>
    <t>Обл. НДС
Балка 20 ст3 пс 5 L=12,04 м
Надходження товарів і послуг ІБ00-000920 від 01.03.2025 18:15:08
Цех екстракції (Глобине)</t>
  </si>
  <si>
    <t>231</t>
  </si>
  <si>
    <t xml:space="preserve"> </t>
  </si>
  <si>
    <t>2051</t>
  </si>
  <si>
    <t>Обл. НДС
Труба профільна 40*40*3,0  L=6000 мм ст1-3 сп/пс
Надходження товарів і послуг ІБ00-000532 від 13.02.2025 18:04:54
Цех екстракції (Глобине)</t>
  </si>
  <si>
    <t>Обл. НДС
Труба 40*20*2  L=6 м стS235JRH
Надходження товарів і послуг ІБ00-000716 від 19.02.2025 18:22:45
Цех екстракції (Глобине)</t>
  </si>
  <si>
    <t>Обл. НДС
Труба 40*20*2  L=6 м стS235JRH
Надходження товарів і послуг ІБ00-000724 від 19.02.2025 18:22:51
Цех екстракції (Глобине)</t>
  </si>
  <si>
    <t>Обл. НДС
Швелер 16П міра  12,00 м
Надходження товарів і послуг ІБ00-000537 від 13.02.2025 18:05:04
Цех екстракції (Глобине)</t>
  </si>
  <si>
    <t>Обл. НДС
Швелер 20П L= 12м
Надходження товарів і послуг ІБ00-000717 від 19.02.2025 18:22:46
Цех екстракції (Глобине)</t>
  </si>
  <si>
    <t>Обл. НДС
Лист г/к  4*1500*6000 мм
Надходження товарів і послуг ІБ00-000537 від 13.02.2025 18:05:04
Цех екстракції (Глобине)</t>
  </si>
  <si>
    <t>Обл. НДС
Швелер 16П  S275JR,12 м
Надходження товарів і послуг ІБ00-000983 від 12.03.2025 10:00:00
Цех екстракції (Глобине)</t>
  </si>
  <si>
    <t>Обл. НДС
Лист г/к  6*1500*6000 1-3 сп/пс
Надходження товарів і послуг ІБ00-000721 від 18.02.2025 20:00:47
Цех екстракції (Глобине)</t>
  </si>
  <si>
    <t>Обл. НДС
Лист г/к  8*1500*6000 1-3 сп/пс
Надходження товарів і послуг ІБ00-000721 від 18.02.2025 20:00:47
Цех екстракції (Глобине)</t>
  </si>
  <si>
    <t>Обл. НДС
Лист г/к 10*1500*6000 1-3 сп/пс
Надходження товарів і послуг ІБ00-000713 від 20.02.2025 18:11:45
Цех екстракції (Глобине)</t>
  </si>
  <si>
    <t>20.06.2025</t>
  </si>
  <si>
    <t>Надходження товарів і послуг ІБ00-003275 від 20.06.2025 11:00:00
Оприходованы ТМЦ</t>
  </si>
  <si>
    <t>Обл. НДС
Лист г/к 16*1500*6000, S235 JR
Надходження товарів і послуг ІБ00-003275 від 20.06.2025 11:00:00
Цех екстракції (Глобине)</t>
  </si>
  <si>
    <t>МЕТІНВЕСТ-СМЦ ТОВ
№1778403/01/2023-С от 11.01.2023 РАХУНКИ_Глобино-2
Рахунок на оплату постачальника ІБ00-002806 від 23.06.2025 18:22:01</t>
  </si>
  <si>
    <t>631</t>
  </si>
  <si>
    <t>Обл. НДС
Лист г/к 20*2000*6000, S355J2 обр кромка
Надходження товарів і послуг ІБ00-003275 від 20.06.2025 11:00:00
Цех екстракції (Глобине)</t>
  </si>
  <si>
    <t>Надходження товарів і послуг ІБ00-003276 від 20.06.2025 11:00:00
Оприходованы ТМЦ</t>
  </si>
  <si>
    <t>Обл. НДС
Лист г/к 10 мм, 1500*6000, S355 J2
Надходження товарів і послуг ІБ00-003276 від 20.06.2025 11:00:00
Цех екстракції (Глобине)</t>
  </si>
  <si>
    <t>Обл. НДС
Лист г/к 10,0 мм 1500*6000, S235 JR
Надходження товарів і послуг ІБ00-003276 від 20.06.2025 11:00:00
Цех екстракції (Глобине)</t>
  </si>
  <si>
    <t>Обл. НДС
Лист г/к 12,0 мм 1500*6000, S235 JR
Надходження товарів і послуг ІБ00-003276 від 20.06.2025 11:00:00
Цех екстракції (Глобине)</t>
  </si>
  <si>
    <t>Надходження товарів і послуг ІБ00-003277 від 20.06.2025 11:00:00
Оприходованы ТМЦ</t>
  </si>
  <si>
    <t>Обл. НДС
Лист г/к  4,0*1500*6000 мм; ст.3 сп/пс 5 кат.необ.кр.
Надходження товарів і послуг ІБ00-003277 від 20.06.2025 11:00:00
Цех екстракції (Глобине)</t>
  </si>
  <si>
    <t>Обл. НДС
Лист г/к  6*1500*6000 мм; 1-3 сп/пс, 5 кат.необр.кром
Надходження товарів і послуг ІБ00-003277 від 20.06.2025 11:00:00
Цех екстракції (Глобине)</t>
  </si>
  <si>
    <t>Обл. НДС
Лист г/к  8*1500*6000 мм; ст.3 сп/пс 5 кат.необр.кромка
Надходження товарів і послуг ІБ00-003277 від 20.06.2025 11:00:00
Цех екстракції (Глобине)</t>
  </si>
  <si>
    <t>Обл. НДС
Лист г/к 20*1500*6000, S235 JR
Надходження товарів і послуг ІБ00-003277 від 20.06.2025 11:00:00
Цех екстракції (Глобине)</t>
  </si>
  <si>
    <t>Обл. НДС
Кутик 75*75*6мм ст.3ПС МІРА 12 м
Надходження товарів і послуг ІБ00-003277 від 20.06.2025 11:00:00
Цех екстракції (Глобине)</t>
  </si>
  <si>
    <t>Обл. НДС
Кутик 100х100х7 мм С275 12 м S275JR
Надходження товарів і послуг ІБ00-003277 від 20.06.2025 11:00:00
Цех екстракції (Глобине)</t>
  </si>
  <si>
    <t>Надходження товарів і послуг ІБ00-003278 від 20.06.2025 11:00:00
Оприходованы ТМЦ</t>
  </si>
  <si>
    <t>Обл. НДС
Лист г/к 20,0 мм 2000*6000, S235 JR
Надходження товарів і послуг ІБ00-003278 від 20.06.2025 11:00:00
Цех екстракції (Глобине)</t>
  </si>
  <si>
    <t>Надходження товарів і послуг ІБ00-003279 від 20.06.2025 11:00:00
Оприходованы ТМЦ</t>
  </si>
  <si>
    <t>Обл. НДС
Лист г/к 14,0 мм 1500х6000, S235 JR
Надходження товарів і послуг ІБ00-003279 від 20.06.2025 11:00:00
Цех екстракції (Глобине)</t>
  </si>
  <si>
    <t>АВ МЕТАЛ ГРУП ТОВ
Дог 2420/Р от 05.10.2023від 05.10.2023_Глобино-2
Рахунок на оплату постачальника ІБ00-002808 від 20.06.2025 20:00:06</t>
  </si>
  <si>
    <t>Обл. НДС
Швелер 24П міра 12,00 м 
Надходження товарів і послуг ІБ00-003279 від 20.06.2025 11:00:00
Цех екстракції (Глобине)</t>
  </si>
  <si>
    <t>Надходження товарів і послуг ІБ00-003280 від 20.06.2025 11:00:00
Оприходованы ТМЦ</t>
  </si>
  <si>
    <t>Обл. НДС
Швелер 24П міра 12,00 м 
Надходження товарів і послуг ІБ00-003280 від 20.06.2025 11:00:00
Цех екстракції (Глобине)</t>
  </si>
  <si>
    <t>23.06.2025</t>
  </si>
  <si>
    <t>Надходження товарів і послуг ІБ00-003269 від 23.06.2025 11:00:00
Оприходованы ТМЦ</t>
  </si>
  <si>
    <t>Обл. НДС
Балка ІРЕ 300 міра L=12 S275JR
Надходження товарів і послуг ІБ00-003269 від 23.06.2025 11:00:00
Цех екстракції (Глобине)</t>
  </si>
  <si>
    <t>Обл. НДС
Балка ІРЕ 360 міра L=12 S275JR
Надходження товарів і послуг ІБ00-003269 від 23.06.2025 11:00:00
Цех екстракції (Глобине)</t>
  </si>
  <si>
    <t>Обл. НДС
Балка ІРЕ 200 міра L=12 S235JR
Надходження товарів і послуг ІБ00-003269 від 23.06.2025 11:00:00
Цех екстракції (Глобине)</t>
  </si>
  <si>
    <t>Надходження товарів і послуг ІБ00-003270 від 23.06.2025 11:00:00
Оприходованы ТМЦ</t>
  </si>
  <si>
    <t>Обл. НДС
Швелер 20П міра L=12000.00мм 1-3 сп/пс 5 категорія
Надходження товарів і послуг ІБ00-003270 від 23.06.2025 11:00:00
Цех екстракції (Глобине)</t>
  </si>
  <si>
    <t>Надходження товарів і послуг ІБ00-003271 від 23.06.2025 11:00:00
Оприходованы ТМЦ</t>
  </si>
  <si>
    <t>Обл. НДС
Балка ІРЕ 160 міра L=12 S275JR
Надходження товарів і послуг ІБ00-003271 від 23.06.2025 11:00:00
Цех екстракції (Глобине)</t>
  </si>
  <si>
    <t>Надходження товарів і послуг ІБ00-003272 від 23.06.2025 11:00:00
Оприходованы ТМЦ</t>
  </si>
  <si>
    <t>Обл. НДС
Швелер 22П ст.1-3сп/пс 5, L= 12м
Надходження товарів і послуг ІБ00-003272 від 23.06.2025 11:00:00
Цех екстракції (Глобине)</t>
  </si>
  <si>
    <t>Обл. НДС
Швелер 30П міра 12,00 м 
Надходження товарів і послуг ІБ00-003272 від 23.06.2025 11:00:00
Цех екстракції (Глобине)</t>
  </si>
  <si>
    <t>Надходження товарів і послуг ІБ00-003273 від 23.06.2025 11:00:00
Оприходованы ТМЦ</t>
  </si>
  <si>
    <t>Обл. НДС
Балка ІРЕ 300 міра L=12 S275JR
Надходження товарів і послуг ІБ00-003273 від 23.06.2025 11:00:00
Цех екстракції (Глобине)</t>
  </si>
  <si>
    <t>Обл. НДС
Швелер 22П ст.1-3сп/пс 5, L= 12м
Надходження товарів і послуг ІБ00-003273 від 23.06.2025 11:00:00
Цех екстракції (Глобине)</t>
  </si>
  <si>
    <t>25.06.2025</t>
  </si>
  <si>
    <t>Вимога-накладна ІБ00-000514 від 25.06.2025 23:13:12
Списаны ТМЦ</t>
  </si>
  <si>
    <t>Обл. НДС
Труба  40*40*3 мм  08кп/1-3 пс, L=6 м
Надходження товарів і послуг ІБ00-000716 від 19.02.2025 18:22:45
Цех екстракції (Глобине)</t>
  </si>
  <si>
    <t>Обл. НДС
Круг 18 мм 6,05-S235/S272
Надходження товарів і послуг ІБ00-001444 від 27.03.2025 19:10:03
Цех екстракції (Глобине)</t>
  </si>
  <si>
    <t>Обл. НДС
Труба 100х100х5 мм; ст. 3пс5; 12 м
Надходження товарів і послуг ІБ00-000718 від 18.02.2025 20:00:45
Цех екстракції (Глобине)</t>
  </si>
  <si>
    <t>Обл. НДС
Труба 160х160x5 (12,05-8940:2019 08кп/1-3пс)
Надходження товарів і послуг ІБ00-000718 від 18.02.2025 20:00:45
Цех екстракції (Глобине)</t>
  </si>
  <si>
    <t>Обл. НДС
Лист  4*1500*6000 мм, ст.3пс5
Надходження товарів і послуг ІБ00-000721 від 18.02.2025 20:00:47
Цех екстракції (Глобине)</t>
  </si>
  <si>
    <t>Обл. НДС
Лист г/к 16*1500*6000, S235 JR
Надходження товарів і послуг ІБ00-005332 від 29.10.2024 22:00:06
Цех екстракції (Глобине)</t>
  </si>
  <si>
    <t>Обл. НДС
Лист г/к 20*1500*6000, S355J2
Надходження товарів і послуг ІБ00-000180 від 17.01.2025 19:00:05
Цех екстракції (Глобине)</t>
  </si>
  <si>
    <t>Вимога-накладна ІБ00-000515 від 25.06.2025 23:13:13
Списаны ТМЦ</t>
  </si>
  <si>
    <t>Обл. НДС
Кутики 100х100х7 мм; ст. 3пс5; 12 м
Надходження товарів і послуг ІБ00-000720 від 18.02.2025 20:00:46
Цех екстракції (Глобине)</t>
  </si>
  <si>
    <t>Обл. НДС
Труба 100х100х5 мм; ст. 3пс5; 12 м
Надходження товарів і послуг ІБ00-000719 від 19.02.2025 18:22:47
Цех екстракції (Глобине)</t>
  </si>
  <si>
    <t>Обл. НДС
Лист г/к 16,0 мм 1500*6000, S235 JR
Надходження товарів і послуг ІБ00-000983 від 12.03.2025 10:00:00
Цех екстракції (Глобине)</t>
  </si>
  <si>
    <t>27.06.2025</t>
  </si>
  <si>
    <t>Надходження товарів і послуг ІБ00-003274 від 27.06.2025 11:00:00
Оприходованы ТМЦ</t>
  </si>
  <si>
    <t>Обл. НДС
Лист г/к 16*1500*6000, S235 JR
Надходження товарів і послуг ІБ00-003274 від 27.06.2025 11:00:00
Цех екстракції (Глобине)</t>
  </si>
  <si>
    <t>МЕТІНВЕСТ-СМЦ ТОВ
№1778403/01/2023-С от 11.01.2023 РАХУНКИ_Глобино-2
Рахунок на оплату постачальника ІБ00-002807 від 27.06.2025 18:12:52</t>
  </si>
  <si>
    <t>Обл. НДС
Балка ІРЕ 200 міра L=12 S275JR
Надходження товарів і послуг ІБ00-003274 від 27.06.2025 11:00:00
Цех екстракції (Глобине)</t>
  </si>
  <si>
    <t>30.06.2025</t>
  </si>
  <si>
    <t>Вимога-накладна ІБ00-000541 від 30.06.2025 20:00:00
Списаны ТМЦ</t>
  </si>
  <si>
    <t>Вимога-накладна ІБ00-000543 від 30.06.2025 20:00:00
Списаны ТМЦ</t>
  </si>
  <si>
    <t>Обл. НДС
Швелер 16 ст.3 пс 5, 12м
Надходження товарів і послуг ІБ00-000713 від 20.02.2025 18:11:45
Цех екстракції (Глобине)</t>
  </si>
  <si>
    <t>Вимога-накладна ІБ00-000534 від 30.06.2025 23:00:00
Списаны ТМЦ</t>
  </si>
  <si>
    <t>Вимога-накладна ІБ00-000535 від 30.06.2025 23:00:00
Списаны ТМЦ</t>
  </si>
  <si>
    <t>Вимога-накладна ІБ00-000536 від 30.06.2025 23:00:00
Списаны ТМЦ</t>
  </si>
  <si>
    <t>Вимога-накладна ІБ00-000537 від 30.06.2025 23:00:00
Списаны ТМЦ</t>
  </si>
  <si>
    <t>Вимога-накладна ІБ00-000538 від 30.06.2025 23:00:00
Списаны ТМЦ</t>
  </si>
  <si>
    <t>Вимога-накладна ІБ00-000539 від 30.06.2025 23:00:00
Списаны ТМЦ</t>
  </si>
  <si>
    <t>Вимога-накладна ІБ00-000540 від 30.06.2025 23:00:00
Списаны ТМЦ</t>
  </si>
  <si>
    <t>Вимога-накладна ІБ00-000542 від 30.06.2025 23:00:00
Списаны ТМЦ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</si>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</sst>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4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</cellXfs>
  <cellStyles count="2">
    <cellStyle name="Обычный" xfId="0" builtinId="0"/>
    <cellStyle name="Обычный_Sheet1" xfId="1" xr:uid="{8ADA1F70-9B02-4BD8-A399-99E16E4BA9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4"/>
  <sheetViews>
    <sheetView tabSelected="1" topLeftCell="A91" workbookViewId="0">
      <selection activeCell="J98" sqref="J98"/>
    </sheetView>
  </sheetViews>
  <sheetFormatPr defaultRowHeight="14.4" x14ac:dyDescent="0.3"/>
  <cols>
    <col min="2" max="4" width="22.21875" customWidth="1"/>
    <col min="10" max="10" width="11.33203125" bestFit="1" customWidth="1"/>
  </cols>
  <sheetData>
    <row r="1" spans="1:12" x14ac:dyDescent="0.3">
      <c r="A1" s="11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4"/>
      <c r="G1" s="14"/>
      <c r="H1" s="15" t="s">
        <v>5</v>
      </c>
      <c r="I1" s="15"/>
      <c r="J1" s="15"/>
      <c r="K1" s="12" t="s">
        <v>6</v>
      </c>
      <c r="L1" s="12"/>
    </row>
    <row r="2" spans="1:12" hidden="1" x14ac:dyDescent="0.3">
      <c r="A2" s="16"/>
      <c r="B2" s="17"/>
      <c r="C2" s="17"/>
      <c r="D2" s="18"/>
      <c r="E2" s="1" t="s">
        <v>7</v>
      </c>
      <c r="F2" s="2"/>
      <c r="G2" s="2"/>
      <c r="H2" s="2" t="s">
        <v>7</v>
      </c>
      <c r="I2" s="19"/>
      <c r="J2" s="19"/>
      <c r="K2" s="16"/>
      <c r="L2" s="20"/>
    </row>
    <row r="3" spans="1:12" ht="61.2" x14ac:dyDescent="0.3">
      <c r="A3" s="3" t="s">
        <v>9</v>
      </c>
      <c r="B3" s="4" t="s">
        <v>10</v>
      </c>
      <c r="C3" s="4" t="s">
        <v>11</v>
      </c>
      <c r="D3" s="4" t="s">
        <v>12</v>
      </c>
      <c r="E3" s="5" t="s">
        <v>13</v>
      </c>
      <c r="F3" s="21" t="s">
        <v>14</v>
      </c>
      <c r="G3" s="21"/>
      <c r="H3" s="5" t="s">
        <v>15</v>
      </c>
      <c r="I3" s="7">
        <v>5298.55</v>
      </c>
      <c r="J3" s="7"/>
      <c r="K3" s="6" t="s">
        <v>8</v>
      </c>
      <c r="L3" s="7">
        <v>3789172.37</v>
      </c>
    </row>
    <row r="4" spans="1:12" ht="71.400000000000006" x14ac:dyDescent="0.3">
      <c r="A4" s="3" t="s">
        <v>9</v>
      </c>
      <c r="B4" s="4" t="s">
        <v>10</v>
      </c>
      <c r="C4" s="4" t="s">
        <v>11</v>
      </c>
      <c r="D4" s="4" t="s">
        <v>16</v>
      </c>
      <c r="E4" s="5" t="s">
        <v>13</v>
      </c>
      <c r="F4" s="21" t="s">
        <v>14</v>
      </c>
      <c r="G4" s="21"/>
      <c r="H4" s="5" t="s">
        <v>15</v>
      </c>
      <c r="I4" s="7">
        <v>60167.91</v>
      </c>
      <c r="J4" s="7"/>
      <c r="K4" s="6" t="s">
        <v>8</v>
      </c>
      <c r="L4" s="7">
        <v>3729004.46</v>
      </c>
    </row>
    <row r="5" spans="1:12" ht="71.400000000000006" x14ac:dyDescent="0.3">
      <c r="A5" s="3" t="s">
        <v>9</v>
      </c>
      <c r="B5" s="4" t="s">
        <v>10</v>
      </c>
      <c r="C5" s="4" t="s">
        <v>11</v>
      </c>
      <c r="D5" s="4" t="s">
        <v>17</v>
      </c>
      <c r="E5" s="5" t="s">
        <v>13</v>
      </c>
      <c r="F5" s="21" t="s">
        <v>14</v>
      </c>
      <c r="G5" s="21"/>
      <c r="H5" s="5" t="s">
        <v>15</v>
      </c>
      <c r="I5" s="7">
        <v>7774.66</v>
      </c>
      <c r="J5" s="7"/>
      <c r="K5" s="6" t="s">
        <v>8</v>
      </c>
      <c r="L5" s="7">
        <v>3721229.8</v>
      </c>
    </row>
    <row r="6" spans="1:12" ht="71.400000000000006" x14ac:dyDescent="0.3">
      <c r="A6" s="3" t="s">
        <v>9</v>
      </c>
      <c r="B6" s="4" t="s">
        <v>10</v>
      </c>
      <c r="C6" s="4" t="s">
        <v>11</v>
      </c>
      <c r="D6" s="4" t="s">
        <v>18</v>
      </c>
      <c r="E6" s="5" t="s">
        <v>13</v>
      </c>
      <c r="F6" s="21" t="s">
        <v>14</v>
      </c>
      <c r="G6" s="21"/>
      <c r="H6" s="5" t="s">
        <v>15</v>
      </c>
      <c r="I6" s="7">
        <v>3858.75</v>
      </c>
      <c r="J6" s="7"/>
      <c r="K6" s="6" t="s">
        <v>8</v>
      </c>
      <c r="L6" s="7">
        <v>3717371.05</v>
      </c>
    </row>
    <row r="7" spans="1:12" ht="61.2" x14ac:dyDescent="0.3">
      <c r="A7" s="3" t="s">
        <v>9</v>
      </c>
      <c r="B7" s="4" t="s">
        <v>10</v>
      </c>
      <c r="C7" s="4" t="s">
        <v>11</v>
      </c>
      <c r="D7" s="4" t="s">
        <v>19</v>
      </c>
      <c r="E7" s="5" t="s">
        <v>13</v>
      </c>
      <c r="F7" s="21" t="s">
        <v>14</v>
      </c>
      <c r="G7" s="21"/>
      <c r="H7" s="5" t="s">
        <v>15</v>
      </c>
      <c r="I7" s="7">
        <v>36454.65</v>
      </c>
      <c r="J7" s="7"/>
      <c r="K7" s="6" t="s">
        <v>8</v>
      </c>
      <c r="L7" s="7">
        <v>3680916.4</v>
      </c>
    </row>
    <row r="8" spans="1:12" ht="61.2" x14ac:dyDescent="0.3">
      <c r="A8" s="3" t="s">
        <v>9</v>
      </c>
      <c r="B8" s="4" t="s">
        <v>10</v>
      </c>
      <c r="C8" s="4" t="s">
        <v>11</v>
      </c>
      <c r="D8" s="4" t="s">
        <v>19</v>
      </c>
      <c r="E8" s="5" t="s">
        <v>13</v>
      </c>
      <c r="F8" s="21" t="s">
        <v>14</v>
      </c>
      <c r="G8" s="21"/>
      <c r="H8" s="5" t="s">
        <v>15</v>
      </c>
      <c r="I8" s="7">
        <v>57584.92</v>
      </c>
      <c r="J8" s="7"/>
      <c r="K8" s="6" t="s">
        <v>8</v>
      </c>
      <c r="L8" s="7">
        <v>3623331.48</v>
      </c>
    </row>
    <row r="9" spans="1:12" ht="61.2" x14ac:dyDescent="0.3">
      <c r="A9" s="3" t="s">
        <v>9</v>
      </c>
      <c r="B9" s="4" t="s">
        <v>10</v>
      </c>
      <c r="C9" s="4" t="s">
        <v>11</v>
      </c>
      <c r="D9" s="4" t="s">
        <v>20</v>
      </c>
      <c r="E9" s="5" t="s">
        <v>13</v>
      </c>
      <c r="F9" s="21" t="s">
        <v>14</v>
      </c>
      <c r="G9" s="21"/>
      <c r="H9" s="5" t="s">
        <v>15</v>
      </c>
      <c r="I9" s="7">
        <v>10150.43</v>
      </c>
      <c r="J9" s="7"/>
      <c r="K9" s="6" t="s">
        <v>8</v>
      </c>
      <c r="L9" s="7">
        <v>3613181.05</v>
      </c>
    </row>
    <row r="10" spans="1:12" ht="61.2" x14ac:dyDescent="0.3">
      <c r="A10" s="3" t="s">
        <v>9</v>
      </c>
      <c r="B10" s="4" t="s">
        <v>10</v>
      </c>
      <c r="C10" s="4" t="s">
        <v>11</v>
      </c>
      <c r="D10" s="4" t="s">
        <v>21</v>
      </c>
      <c r="E10" s="5" t="s">
        <v>13</v>
      </c>
      <c r="F10" s="21" t="s">
        <v>14</v>
      </c>
      <c r="G10" s="21"/>
      <c r="H10" s="5" t="s">
        <v>15</v>
      </c>
      <c r="I10" s="7">
        <v>26582.5</v>
      </c>
      <c r="J10" s="7"/>
      <c r="K10" s="6" t="s">
        <v>8</v>
      </c>
      <c r="L10" s="7">
        <v>3586598.55</v>
      </c>
    </row>
    <row r="11" spans="1:12" ht="61.2" x14ac:dyDescent="0.3">
      <c r="A11" s="3" t="s">
        <v>9</v>
      </c>
      <c r="B11" s="4" t="s">
        <v>10</v>
      </c>
      <c r="C11" s="4" t="s">
        <v>11</v>
      </c>
      <c r="D11" s="4" t="s">
        <v>22</v>
      </c>
      <c r="E11" s="5" t="s">
        <v>13</v>
      </c>
      <c r="F11" s="21" t="s">
        <v>14</v>
      </c>
      <c r="G11" s="21"/>
      <c r="H11" s="5" t="s">
        <v>15</v>
      </c>
      <c r="I11" s="7">
        <v>13520.26</v>
      </c>
      <c r="J11" s="7"/>
      <c r="K11" s="6" t="s">
        <v>8</v>
      </c>
      <c r="L11" s="7">
        <v>3573078.29</v>
      </c>
    </row>
    <row r="12" spans="1:12" ht="61.2" x14ac:dyDescent="0.3">
      <c r="A12" s="3" t="s">
        <v>9</v>
      </c>
      <c r="B12" s="4" t="s">
        <v>10</v>
      </c>
      <c r="C12" s="4" t="s">
        <v>11</v>
      </c>
      <c r="D12" s="4" t="s">
        <v>23</v>
      </c>
      <c r="E12" s="5" t="s">
        <v>13</v>
      </c>
      <c r="F12" s="21" t="s">
        <v>14</v>
      </c>
      <c r="G12" s="21"/>
      <c r="H12" s="5" t="s">
        <v>15</v>
      </c>
      <c r="I12" s="7">
        <v>3010.87</v>
      </c>
      <c r="J12" s="7"/>
      <c r="K12" s="6" t="s">
        <v>8</v>
      </c>
      <c r="L12" s="7">
        <v>3570067.42</v>
      </c>
    </row>
    <row r="13" spans="1:12" ht="61.2" x14ac:dyDescent="0.3">
      <c r="A13" s="3" t="s">
        <v>9</v>
      </c>
      <c r="B13" s="4" t="s">
        <v>10</v>
      </c>
      <c r="C13" s="4" t="s">
        <v>11</v>
      </c>
      <c r="D13" s="4" t="s">
        <v>24</v>
      </c>
      <c r="E13" s="5" t="s">
        <v>13</v>
      </c>
      <c r="F13" s="21" t="s">
        <v>14</v>
      </c>
      <c r="G13" s="21"/>
      <c r="H13" s="5" t="s">
        <v>15</v>
      </c>
      <c r="I13" s="22">
        <v>434</v>
      </c>
      <c r="J13" s="22"/>
      <c r="K13" s="6" t="s">
        <v>8</v>
      </c>
      <c r="L13" s="7">
        <v>3569633.42</v>
      </c>
    </row>
    <row r="14" spans="1:12" ht="61.2" x14ac:dyDescent="0.3">
      <c r="A14" s="3" t="s">
        <v>9</v>
      </c>
      <c r="B14" s="4" t="s">
        <v>10</v>
      </c>
      <c r="C14" s="4" t="s">
        <v>11</v>
      </c>
      <c r="D14" s="4" t="s">
        <v>25</v>
      </c>
      <c r="E14" s="5" t="s">
        <v>13</v>
      </c>
      <c r="F14" s="21" t="s">
        <v>14</v>
      </c>
      <c r="G14" s="21"/>
      <c r="H14" s="5" t="s">
        <v>15</v>
      </c>
      <c r="I14" s="7">
        <v>1459.47</v>
      </c>
      <c r="J14" s="7"/>
      <c r="K14" s="6" t="s">
        <v>8</v>
      </c>
      <c r="L14" s="7">
        <v>3568173.95</v>
      </c>
    </row>
    <row r="15" spans="1:12" ht="71.400000000000006" hidden="1" x14ac:dyDescent="0.3">
      <c r="A15" s="3" t="s">
        <v>26</v>
      </c>
      <c r="B15" s="4" t="s">
        <v>27</v>
      </c>
      <c r="C15" s="4" t="s">
        <v>28</v>
      </c>
      <c r="D15" s="4" t="s">
        <v>29</v>
      </c>
      <c r="E15" s="5" t="s">
        <v>15</v>
      </c>
      <c r="F15" s="23">
        <v>33877</v>
      </c>
      <c r="G15" s="23"/>
      <c r="H15" s="5" t="s">
        <v>30</v>
      </c>
      <c r="I15" s="24" t="s">
        <v>14</v>
      </c>
      <c r="J15" s="24"/>
      <c r="K15" s="6" t="s">
        <v>8</v>
      </c>
      <c r="L15" s="7">
        <v>3602050.95</v>
      </c>
    </row>
    <row r="16" spans="1:12" ht="71.400000000000006" hidden="1" x14ac:dyDescent="0.3">
      <c r="A16" s="3" t="s">
        <v>26</v>
      </c>
      <c r="B16" s="4" t="s">
        <v>27</v>
      </c>
      <c r="C16" s="4" t="s">
        <v>31</v>
      </c>
      <c r="D16" s="4" t="s">
        <v>29</v>
      </c>
      <c r="E16" s="5" t="s">
        <v>15</v>
      </c>
      <c r="F16" s="23">
        <v>167958.62</v>
      </c>
      <c r="G16" s="23"/>
      <c r="H16" s="5" t="s">
        <v>30</v>
      </c>
      <c r="I16" s="24" t="s">
        <v>14</v>
      </c>
      <c r="J16" s="24"/>
      <c r="K16" s="6" t="s">
        <v>8</v>
      </c>
      <c r="L16" s="7">
        <v>3770009.57</v>
      </c>
    </row>
    <row r="17" spans="1:12" ht="71.400000000000006" hidden="1" x14ac:dyDescent="0.3">
      <c r="A17" s="3" t="s">
        <v>26</v>
      </c>
      <c r="B17" s="4" t="s">
        <v>32</v>
      </c>
      <c r="C17" s="4" t="s">
        <v>33</v>
      </c>
      <c r="D17" s="4" t="s">
        <v>29</v>
      </c>
      <c r="E17" s="5" t="s">
        <v>15</v>
      </c>
      <c r="F17" s="23">
        <v>21693.17</v>
      </c>
      <c r="G17" s="23"/>
      <c r="H17" s="5" t="s">
        <v>30</v>
      </c>
      <c r="I17" s="24" t="s">
        <v>14</v>
      </c>
      <c r="J17" s="24"/>
      <c r="K17" s="6" t="s">
        <v>8</v>
      </c>
      <c r="L17" s="7">
        <v>3791702.74</v>
      </c>
    </row>
    <row r="18" spans="1:12" ht="71.400000000000006" hidden="1" x14ac:dyDescent="0.3">
      <c r="A18" s="3" t="s">
        <v>26</v>
      </c>
      <c r="B18" s="4" t="s">
        <v>32</v>
      </c>
      <c r="C18" s="4" t="s">
        <v>34</v>
      </c>
      <c r="D18" s="4" t="s">
        <v>29</v>
      </c>
      <c r="E18" s="5" t="s">
        <v>15</v>
      </c>
      <c r="F18" s="23">
        <v>159185.25</v>
      </c>
      <c r="G18" s="23"/>
      <c r="H18" s="5" t="s">
        <v>30</v>
      </c>
      <c r="I18" s="24" t="s">
        <v>14</v>
      </c>
      <c r="J18" s="24"/>
      <c r="K18" s="6" t="s">
        <v>8</v>
      </c>
      <c r="L18" s="7">
        <v>3950887.99</v>
      </c>
    </row>
    <row r="19" spans="1:12" ht="71.400000000000006" hidden="1" x14ac:dyDescent="0.3">
      <c r="A19" s="3" t="s">
        <v>26</v>
      </c>
      <c r="B19" s="4" t="s">
        <v>32</v>
      </c>
      <c r="C19" s="4" t="s">
        <v>35</v>
      </c>
      <c r="D19" s="4" t="s">
        <v>29</v>
      </c>
      <c r="E19" s="5" t="s">
        <v>15</v>
      </c>
      <c r="F19" s="23">
        <v>261883.6</v>
      </c>
      <c r="G19" s="23"/>
      <c r="H19" s="5" t="s">
        <v>30</v>
      </c>
      <c r="I19" s="24" t="s">
        <v>14</v>
      </c>
      <c r="J19" s="24"/>
      <c r="K19" s="6" t="s">
        <v>8</v>
      </c>
      <c r="L19" s="7">
        <v>4212771.59</v>
      </c>
    </row>
    <row r="20" spans="1:12" ht="71.400000000000006" hidden="1" x14ac:dyDescent="0.3">
      <c r="A20" s="3" t="s">
        <v>26</v>
      </c>
      <c r="B20" s="4" t="s">
        <v>36</v>
      </c>
      <c r="C20" s="4" t="s">
        <v>37</v>
      </c>
      <c r="D20" s="4" t="s">
        <v>29</v>
      </c>
      <c r="E20" s="5" t="s">
        <v>15</v>
      </c>
      <c r="F20" s="23">
        <v>15498</v>
      </c>
      <c r="G20" s="23"/>
      <c r="H20" s="5" t="s">
        <v>30</v>
      </c>
      <c r="I20" s="24" t="s">
        <v>14</v>
      </c>
      <c r="J20" s="24"/>
      <c r="K20" s="6" t="s">
        <v>8</v>
      </c>
      <c r="L20" s="7">
        <v>4228269.59</v>
      </c>
    </row>
    <row r="21" spans="1:12" ht="71.400000000000006" hidden="1" x14ac:dyDescent="0.3">
      <c r="A21" s="3" t="s">
        <v>26</v>
      </c>
      <c r="B21" s="4" t="s">
        <v>36</v>
      </c>
      <c r="C21" s="4" t="s">
        <v>38</v>
      </c>
      <c r="D21" s="4" t="s">
        <v>29</v>
      </c>
      <c r="E21" s="5" t="s">
        <v>15</v>
      </c>
      <c r="F21" s="23">
        <v>11900.25</v>
      </c>
      <c r="G21" s="23"/>
      <c r="H21" s="5" t="s">
        <v>30</v>
      </c>
      <c r="I21" s="24" t="s">
        <v>14</v>
      </c>
      <c r="J21" s="24"/>
      <c r="K21" s="6" t="s">
        <v>8</v>
      </c>
      <c r="L21" s="7">
        <v>4240169.84</v>
      </c>
    </row>
    <row r="22" spans="1:12" ht="71.400000000000006" hidden="1" x14ac:dyDescent="0.3">
      <c r="A22" s="3" t="s">
        <v>26</v>
      </c>
      <c r="B22" s="4" t="s">
        <v>36</v>
      </c>
      <c r="C22" s="4" t="s">
        <v>39</v>
      </c>
      <c r="D22" s="4" t="s">
        <v>29</v>
      </c>
      <c r="E22" s="5" t="s">
        <v>15</v>
      </c>
      <c r="F22" s="23">
        <v>171585</v>
      </c>
      <c r="G22" s="23"/>
      <c r="H22" s="5" t="s">
        <v>30</v>
      </c>
      <c r="I22" s="24" t="s">
        <v>14</v>
      </c>
      <c r="J22" s="24"/>
      <c r="K22" s="6" t="s">
        <v>8</v>
      </c>
      <c r="L22" s="7">
        <v>4411754.84</v>
      </c>
    </row>
    <row r="23" spans="1:12" ht="71.400000000000006" hidden="1" x14ac:dyDescent="0.3">
      <c r="A23" s="3" t="s">
        <v>26</v>
      </c>
      <c r="B23" s="4" t="s">
        <v>36</v>
      </c>
      <c r="C23" s="4" t="s">
        <v>40</v>
      </c>
      <c r="D23" s="4" t="s">
        <v>29</v>
      </c>
      <c r="E23" s="5" t="s">
        <v>15</v>
      </c>
      <c r="F23" s="23">
        <v>264466.5</v>
      </c>
      <c r="G23" s="23"/>
      <c r="H23" s="5" t="s">
        <v>30</v>
      </c>
      <c r="I23" s="24" t="s">
        <v>14</v>
      </c>
      <c r="J23" s="24"/>
      <c r="K23" s="6" t="s">
        <v>8</v>
      </c>
      <c r="L23" s="7">
        <v>4676221.34</v>
      </c>
    </row>
    <row r="24" spans="1:12" ht="71.400000000000006" hidden="1" x14ac:dyDescent="0.3">
      <c r="A24" s="3" t="s">
        <v>26</v>
      </c>
      <c r="B24" s="4" t="s">
        <v>36</v>
      </c>
      <c r="C24" s="4" t="s">
        <v>41</v>
      </c>
      <c r="D24" s="4" t="s">
        <v>29</v>
      </c>
      <c r="E24" s="5" t="s">
        <v>15</v>
      </c>
      <c r="F24" s="23">
        <v>114123</v>
      </c>
      <c r="G24" s="23"/>
      <c r="H24" s="5" t="s">
        <v>30</v>
      </c>
      <c r="I24" s="24" t="s">
        <v>14</v>
      </c>
      <c r="J24" s="24"/>
      <c r="K24" s="6" t="s">
        <v>8</v>
      </c>
      <c r="L24" s="7">
        <v>4790344.34</v>
      </c>
    </row>
    <row r="25" spans="1:12" ht="71.400000000000006" hidden="1" x14ac:dyDescent="0.3">
      <c r="A25" s="3" t="s">
        <v>26</v>
      </c>
      <c r="B25" s="4" t="s">
        <v>36</v>
      </c>
      <c r="C25" s="4" t="s">
        <v>42</v>
      </c>
      <c r="D25" s="4" t="s">
        <v>29</v>
      </c>
      <c r="E25" s="5" t="s">
        <v>15</v>
      </c>
      <c r="F25" s="23">
        <v>10389.83</v>
      </c>
      <c r="G25" s="23"/>
      <c r="H25" s="5" t="s">
        <v>30</v>
      </c>
      <c r="I25" s="24" t="s">
        <v>14</v>
      </c>
      <c r="J25" s="24"/>
      <c r="K25" s="6" t="s">
        <v>8</v>
      </c>
      <c r="L25" s="7">
        <v>4800734.17</v>
      </c>
    </row>
    <row r="26" spans="1:12" ht="71.400000000000006" hidden="1" x14ac:dyDescent="0.3">
      <c r="A26" s="3" t="s">
        <v>26</v>
      </c>
      <c r="B26" s="4" t="s">
        <v>43</v>
      </c>
      <c r="C26" s="4" t="s">
        <v>44</v>
      </c>
      <c r="D26" s="4" t="s">
        <v>29</v>
      </c>
      <c r="E26" s="5" t="s">
        <v>15</v>
      </c>
      <c r="F26" s="23">
        <v>581826.30000000005</v>
      </c>
      <c r="G26" s="23"/>
      <c r="H26" s="5" t="s">
        <v>30</v>
      </c>
      <c r="I26" s="24" t="s">
        <v>14</v>
      </c>
      <c r="J26" s="24"/>
      <c r="K26" s="6" t="s">
        <v>8</v>
      </c>
      <c r="L26" s="7">
        <v>5382560.4699999997</v>
      </c>
    </row>
    <row r="27" spans="1:12" ht="71.400000000000006" hidden="1" x14ac:dyDescent="0.3">
      <c r="A27" s="3" t="s">
        <v>26</v>
      </c>
      <c r="B27" s="4" t="s">
        <v>45</v>
      </c>
      <c r="C27" s="4" t="s">
        <v>46</v>
      </c>
      <c r="D27" s="4" t="s">
        <v>47</v>
      </c>
      <c r="E27" s="5" t="s">
        <v>15</v>
      </c>
      <c r="F27" s="23">
        <v>240180.39</v>
      </c>
      <c r="G27" s="23"/>
      <c r="H27" s="5" t="s">
        <v>30</v>
      </c>
      <c r="I27" s="24" t="s">
        <v>14</v>
      </c>
      <c r="J27" s="24"/>
      <c r="K27" s="6" t="s">
        <v>8</v>
      </c>
      <c r="L27" s="7">
        <v>5622740.8600000003</v>
      </c>
    </row>
    <row r="28" spans="1:12" ht="61.2" hidden="1" x14ac:dyDescent="0.3">
      <c r="A28" s="3" t="s">
        <v>26</v>
      </c>
      <c r="B28" s="4" t="s">
        <v>45</v>
      </c>
      <c r="C28" s="4" t="s">
        <v>48</v>
      </c>
      <c r="D28" s="4" t="s">
        <v>47</v>
      </c>
      <c r="E28" s="5" t="s">
        <v>15</v>
      </c>
      <c r="F28" s="23">
        <v>475680</v>
      </c>
      <c r="G28" s="23"/>
      <c r="H28" s="5" t="s">
        <v>30</v>
      </c>
      <c r="I28" s="24" t="s">
        <v>14</v>
      </c>
      <c r="J28" s="24"/>
      <c r="K28" s="6" t="s">
        <v>8</v>
      </c>
      <c r="L28" s="7">
        <v>6098420.8600000003</v>
      </c>
    </row>
    <row r="29" spans="1:12" ht="61.2" hidden="1" x14ac:dyDescent="0.3">
      <c r="A29" s="3" t="s">
        <v>26</v>
      </c>
      <c r="B29" s="4" t="s">
        <v>49</v>
      </c>
      <c r="C29" s="4" t="s">
        <v>50</v>
      </c>
      <c r="D29" s="4" t="s">
        <v>47</v>
      </c>
      <c r="E29" s="5" t="s">
        <v>15</v>
      </c>
      <c r="F29" s="23">
        <v>946080</v>
      </c>
      <c r="G29" s="23"/>
      <c r="H29" s="5" t="s">
        <v>30</v>
      </c>
      <c r="I29" s="24" t="s">
        <v>14</v>
      </c>
      <c r="J29" s="24"/>
      <c r="K29" s="6" t="s">
        <v>8</v>
      </c>
      <c r="L29" s="7">
        <v>7044500.8600000003</v>
      </c>
    </row>
    <row r="30" spans="1:12" ht="71.400000000000006" hidden="1" x14ac:dyDescent="0.3">
      <c r="A30" s="3" t="s">
        <v>51</v>
      </c>
      <c r="B30" s="4" t="s">
        <v>52</v>
      </c>
      <c r="C30" s="4" t="s">
        <v>53</v>
      </c>
      <c r="D30" s="4" t="s">
        <v>29</v>
      </c>
      <c r="E30" s="5" t="s">
        <v>15</v>
      </c>
      <c r="F30" s="23">
        <v>108293.34</v>
      </c>
      <c r="G30" s="23"/>
      <c r="H30" s="5" t="s">
        <v>30</v>
      </c>
      <c r="I30" s="24" t="s">
        <v>14</v>
      </c>
      <c r="J30" s="24"/>
      <c r="K30" s="6" t="s">
        <v>8</v>
      </c>
      <c r="L30" s="7">
        <v>7152794.2000000002</v>
      </c>
    </row>
    <row r="31" spans="1:12" ht="71.400000000000006" hidden="1" x14ac:dyDescent="0.3">
      <c r="A31" s="3" t="s">
        <v>51</v>
      </c>
      <c r="B31" s="4" t="s">
        <v>52</v>
      </c>
      <c r="C31" s="4" t="s">
        <v>54</v>
      </c>
      <c r="D31" s="4" t="s">
        <v>29</v>
      </c>
      <c r="E31" s="5" t="s">
        <v>15</v>
      </c>
      <c r="F31" s="23">
        <v>50225</v>
      </c>
      <c r="G31" s="23"/>
      <c r="H31" s="5" t="s">
        <v>30</v>
      </c>
      <c r="I31" s="24" t="s">
        <v>14</v>
      </c>
      <c r="J31" s="24"/>
      <c r="K31" s="6" t="s">
        <v>8</v>
      </c>
      <c r="L31" s="7">
        <v>7203019.2000000002</v>
      </c>
    </row>
    <row r="32" spans="1:12" ht="71.400000000000006" hidden="1" x14ac:dyDescent="0.3">
      <c r="A32" s="3" t="s">
        <v>51</v>
      </c>
      <c r="B32" s="4" t="s">
        <v>52</v>
      </c>
      <c r="C32" s="4" t="s">
        <v>55</v>
      </c>
      <c r="D32" s="4" t="s">
        <v>29</v>
      </c>
      <c r="E32" s="5" t="s">
        <v>15</v>
      </c>
      <c r="F32" s="23">
        <v>314951.62</v>
      </c>
      <c r="G32" s="23"/>
      <c r="H32" s="5" t="s">
        <v>30</v>
      </c>
      <c r="I32" s="24" t="s">
        <v>14</v>
      </c>
      <c r="J32" s="24"/>
      <c r="K32" s="6" t="s">
        <v>8</v>
      </c>
      <c r="L32" s="7">
        <v>7517970.8200000003</v>
      </c>
    </row>
    <row r="33" spans="1:12" ht="81.599999999999994" hidden="1" x14ac:dyDescent="0.3">
      <c r="A33" s="3" t="s">
        <v>51</v>
      </c>
      <c r="B33" s="4" t="s">
        <v>56</v>
      </c>
      <c r="C33" s="4" t="s">
        <v>57</v>
      </c>
      <c r="D33" s="4" t="s">
        <v>29</v>
      </c>
      <c r="E33" s="5" t="s">
        <v>15</v>
      </c>
      <c r="F33" s="23">
        <v>51667.95</v>
      </c>
      <c r="G33" s="23"/>
      <c r="H33" s="5" t="s">
        <v>30</v>
      </c>
      <c r="I33" s="24" t="s">
        <v>14</v>
      </c>
      <c r="J33" s="24"/>
      <c r="K33" s="6" t="s">
        <v>8</v>
      </c>
      <c r="L33" s="7">
        <v>7569638.7699999996</v>
      </c>
    </row>
    <row r="34" spans="1:12" ht="71.400000000000006" hidden="1" x14ac:dyDescent="0.3">
      <c r="A34" s="3" t="s">
        <v>51</v>
      </c>
      <c r="B34" s="4" t="s">
        <v>58</v>
      </c>
      <c r="C34" s="4" t="s">
        <v>59</v>
      </c>
      <c r="D34" s="4" t="s">
        <v>29</v>
      </c>
      <c r="E34" s="5" t="s">
        <v>15</v>
      </c>
      <c r="F34" s="23">
        <v>175937.65</v>
      </c>
      <c r="G34" s="23"/>
      <c r="H34" s="5" t="s">
        <v>30</v>
      </c>
      <c r="I34" s="24" t="s">
        <v>14</v>
      </c>
      <c r="J34" s="24"/>
      <c r="K34" s="6" t="s">
        <v>8</v>
      </c>
      <c r="L34" s="7">
        <v>7745576.4199999999</v>
      </c>
    </row>
    <row r="35" spans="1:12" ht="71.400000000000006" hidden="1" x14ac:dyDescent="0.3">
      <c r="A35" s="3" t="s">
        <v>51</v>
      </c>
      <c r="B35" s="4" t="s">
        <v>60</v>
      </c>
      <c r="C35" s="4" t="s">
        <v>61</v>
      </c>
      <c r="D35" s="4" t="s">
        <v>29</v>
      </c>
      <c r="E35" s="5" t="s">
        <v>15</v>
      </c>
      <c r="F35" s="23">
        <v>288405.52</v>
      </c>
      <c r="G35" s="23"/>
      <c r="H35" s="5" t="s">
        <v>30</v>
      </c>
      <c r="I35" s="24" t="s">
        <v>14</v>
      </c>
      <c r="J35" s="24"/>
      <c r="K35" s="6" t="s">
        <v>8</v>
      </c>
      <c r="L35" s="7">
        <v>8033981.9400000004</v>
      </c>
    </row>
    <row r="36" spans="1:12" ht="71.400000000000006" hidden="1" x14ac:dyDescent="0.3">
      <c r="A36" s="3" t="s">
        <v>51</v>
      </c>
      <c r="B36" s="4" t="s">
        <v>60</v>
      </c>
      <c r="C36" s="4" t="s">
        <v>62</v>
      </c>
      <c r="D36" s="4" t="s">
        <v>29</v>
      </c>
      <c r="E36" s="5" t="s">
        <v>15</v>
      </c>
      <c r="F36" s="23">
        <v>317416.73</v>
      </c>
      <c r="G36" s="23"/>
      <c r="H36" s="5" t="s">
        <v>30</v>
      </c>
      <c r="I36" s="24" t="s">
        <v>14</v>
      </c>
      <c r="J36" s="24"/>
      <c r="K36" s="6" t="s">
        <v>8</v>
      </c>
      <c r="L36" s="7">
        <v>8351398.6699999999</v>
      </c>
    </row>
    <row r="37" spans="1:12" ht="71.400000000000006" hidden="1" x14ac:dyDescent="0.3">
      <c r="A37" s="3" t="s">
        <v>51</v>
      </c>
      <c r="B37" s="4" t="s">
        <v>63</v>
      </c>
      <c r="C37" s="4" t="s">
        <v>64</v>
      </c>
      <c r="D37" s="4" t="s">
        <v>29</v>
      </c>
      <c r="E37" s="5" t="s">
        <v>15</v>
      </c>
      <c r="F37" s="23">
        <v>142304.22</v>
      </c>
      <c r="G37" s="23"/>
      <c r="H37" s="5" t="s">
        <v>30</v>
      </c>
      <c r="I37" s="24" t="s">
        <v>14</v>
      </c>
      <c r="J37" s="24"/>
      <c r="K37" s="6" t="s">
        <v>8</v>
      </c>
      <c r="L37" s="7">
        <v>8493702.8900000006</v>
      </c>
    </row>
    <row r="38" spans="1:12" ht="71.400000000000006" hidden="1" x14ac:dyDescent="0.3">
      <c r="A38" s="3" t="s">
        <v>51</v>
      </c>
      <c r="B38" s="4" t="s">
        <v>63</v>
      </c>
      <c r="C38" s="4" t="s">
        <v>65</v>
      </c>
      <c r="D38" s="4" t="s">
        <v>29</v>
      </c>
      <c r="E38" s="5" t="s">
        <v>15</v>
      </c>
      <c r="F38" s="23">
        <v>241353.73</v>
      </c>
      <c r="G38" s="23"/>
      <c r="H38" s="5" t="s">
        <v>30</v>
      </c>
      <c r="I38" s="24" t="s">
        <v>14</v>
      </c>
      <c r="J38" s="24"/>
      <c r="K38" s="6" t="s">
        <v>8</v>
      </c>
      <c r="L38" s="7">
        <v>8735056.6199999992</v>
      </c>
    </row>
    <row r="39" spans="1:12" ht="71.400000000000006" x14ac:dyDescent="0.3">
      <c r="A39" s="3" t="s">
        <v>66</v>
      </c>
      <c r="B39" s="4" t="s">
        <v>67</v>
      </c>
      <c r="C39" s="4" t="s">
        <v>11</v>
      </c>
      <c r="D39" s="4" t="s">
        <v>68</v>
      </c>
      <c r="E39" s="5" t="s">
        <v>13</v>
      </c>
      <c r="F39" s="21" t="s">
        <v>14</v>
      </c>
      <c r="G39" s="21"/>
      <c r="H39" s="5" t="s">
        <v>15</v>
      </c>
      <c r="I39" s="7">
        <v>47905.66</v>
      </c>
      <c r="J39" s="7"/>
      <c r="K39" s="6" t="s">
        <v>8</v>
      </c>
      <c r="L39" s="7">
        <v>8687150.9600000009</v>
      </c>
    </row>
    <row r="40" spans="1:12" ht="71.400000000000006" x14ac:dyDescent="0.3">
      <c r="A40" s="3" t="s">
        <v>66</v>
      </c>
      <c r="B40" s="4" t="s">
        <v>67</v>
      </c>
      <c r="C40" s="4" t="s">
        <v>11</v>
      </c>
      <c r="D40" s="4" t="s">
        <v>16</v>
      </c>
      <c r="E40" s="5" t="s">
        <v>13</v>
      </c>
      <c r="F40" s="21" t="s">
        <v>14</v>
      </c>
      <c r="G40" s="21"/>
      <c r="H40" s="5" t="s">
        <v>15</v>
      </c>
      <c r="I40" s="7">
        <v>12576.67</v>
      </c>
      <c r="J40" s="7"/>
      <c r="K40" s="6" t="s">
        <v>8</v>
      </c>
      <c r="L40" s="7">
        <v>8674574.2899999991</v>
      </c>
    </row>
    <row r="41" spans="1:12" ht="71.400000000000006" x14ac:dyDescent="0.3">
      <c r="A41" s="3" t="s">
        <v>66</v>
      </c>
      <c r="B41" s="4" t="s">
        <v>67</v>
      </c>
      <c r="C41" s="4" t="s">
        <v>11</v>
      </c>
      <c r="D41" s="4" t="s">
        <v>59</v>
      </c>
      <c r="E41" s="5" t="s">
        <v>13</v>
      </c>
      <c r="F41" s="21" t="s">
        <v>14</v>
      </c>
      <c r="G41" s="21"/>
      <c r="H41" s="5" t="s">
        <v>15</v>
      </c>
      <c r="I41" s="7">
        <v>1630.19</v>
      </c>
      <c r="J41" s="7"/>
      <c r="K41" s="6" t="s">
        <v>8</v>
      </c>
      <c r="L41" s="7">
        <v>8672944.0999999996</v>
      </c>
    </row>
    <row r="42" spans="1:12" ht="61.2" x14ac:dyDescent="0.3">
      <c r="A42" s="3" t="s">
        <v>66</v>
      </c>
      <c r="B42" s="4" t="s">
        <v>67</v>
      </c>
      <c r="C42" s="4" t="s">
        <v>11</v>
      </c>
      <c r="D42" s="4" t="s">
        <v>69</v>
      </c>
      <c r="E42" s="5" t="s">
        <v>13</v>
      </c>
      <c r="F42" s="21" t="s">
        <v>14</v>
      </c>
      <c r="G42" s="21"/>
      <c r="H42" s="5" t="s">
        <v>15</v>
      </c>
      <c r="I42" s="7">
        <v>2227.8000000000002</v>
      </c>
      <c r="J42" s="7"/>
      <c r="K42" s="6" t="s">
        <v>8</v>
      </c>
      <c r="L42" s="7">
        <v>8670716.3000000007</v>
      </c>
    </row>
    <row r="43" spans="1:12" ht="71.400000000000006" x14ac:dyDescent="0.3">
      <c r="A43" s="3" t="s">
        <v>66</v>
      </c>
      <c r="B43" s="4" t="s">
        <v>67</v>
      </c>
      <c r="C43" s="4" t="s">
        <v>11</v>
      </c>
      <c r="D43" s="4" t="s">
        <v>16</v>
      </c>
      <c r="E43" s="5" t="s">
        <v>13</v>
      </c>
      <c r="F43" s="21" t="s">
        <v>14</v>
      </c>
      <c r="G43" s="21"/>
      <c r="H43" s="5" t="s">
        <v>15</v>
      </c>
      <c r="I43" s="7">
        <v>14406</v>
      </c>
      <c r="J43" s="7"/>
      <c r="K43" s="6" t="s">
        <v>8</v>
      </c>
      <c r="L43" s="7">
        <v>8656310.3000000007</v>
      </c>
    </row>
    <row r="44" spans="1:12" ht="71.400000000000006" x14ac:dyDescent="0.3">
      <c r="A44" s="3" t="s">
        <v>66</v>
      </c>
      <c r="B44" s="4" t="s">
        <v>67</v>
      </c>
      <c r="C44" s="4" t="s">
        <v>11</v>
      </c>
      <c r="D44" s="4" t="s">
        <v>70</v>
      </c>
      <c r="E44" s="5" t="s">
        <v>13</v>
      </c>
      <c r="F44" s="21" t="s">
        <v>14</v>
      </c>
      <c r="G44" s="21"/>
      <c r="H44" s="5" t="s">
        <v>15</v>
      </c>
      <c r="I44" s="7">
        <v>14790</v>
      </c>
      <c r="J44" s="7"/>
      <c r="K44" s="6" t="s">
        <v>8</v>
      </c>
      <c r="L44" s="7">
        <v>8641520.3000000007</v>
      </c>
    </row>
    <row r="45" spans="1:12" ht="71.400000000000006" x14ac:dyDescent="0.3">
      <c r="A45" s="3" t="s">
        <v>66</v>
      </c>
      <c r="B45" s="4" t="s">
        <v>67</v>
      </c>
      <c r="C45" s="4" t="s">
        <v>11</v>
      </c>
      <c r="D45" s="4" t="s">
        <v>71</v>
      </c>
      <c r="E45" s="5" t="s">
        <v>13</v>
      </c>
      <c r="F45" s="21" t="s">
        <v>14</v>
      </c>
      <c r="G45" s="21"/>
      <c r="H45" s="5" t="s">
        <v>15</v>
      </c>
      <c r="I45" s="22">
        <v>503.62</v>
      </c>
      <c r="J45" s="22"/>
      <c r="K45" s="6" t="s">
        <v>8</v>
      </c>
      <c r="L45" s="7">
        <v>8641016.6799999997</v>
      </c>
    </row>
    <row r="46" spans="1:12" ht="71.400000000000006" x14ac:dyDescent="0.3">
      <c r="A46" s="3" t="s">
        <v>66</v>
      </c>
      <c r="B46" s="4" t="s">
        <v>67</v>
      </c>
      <c r="C46" s="4" t="s">
        <v>11</v>
      </c>
      <c r="D46" s="4" t="s">
        <v>41</v>
      </c>
      <c r="E46" s="5" t="s">
        <v>13</v>
      </c>
      <c r="F46" s="21" t="s">
        <v>14</v>
      </c>
      <c r="G46" s="21"/>
      <c r="H46" s="5" t="s">
        <v>15</v>
      </c>
      <c r="I46" s="7">
        <v>6412.87</v>
      </c>
      <c r="J46" s="7"/>
      <c r="K46" s="6" t="s">
        <v>8</v>
      </c>
      <c r="L46" s="7">
        <v>8634603.8100000005</v>
      </c>
    </row>
    <row r="47" spans="1:12" ht="71.400000000000006" x14ac:dyDescent="0.3">
      <c r="A47" s="3" t="s">
        <v>66</v>
      </c>
      <c r="B47" s="4" t="s">
        <v>67</v>
      </c>
      <c r="C47" s="4" t="s">
        <v>11</v>
      </c>
      <c r="D47" s="4" t="s">
        <v>42</v>
      </c>
      <c r="E47" s="5" t="s">
        <v>13</v>
      </c>
      <c r="F47" s="21" t="s">
        <v>14</v>
      </c>
      <c r="G47" s="21"/>
      <c r="H47" s="5" t="s">
        <v>15</v>
      </c>
      <c r="I47" s="22">
        <v>191.39</v>
      </c>
      <c r="J47" s="22"/>
      <c r="K47" s="6" t="s">
        <v>8</v>
      </c>
      <c r="L47" s="7">
        <v>8634412.4199999999</v>
      </c>
    </row>
    <row r="48" spans="1:12" ht="61.2" x14ac:dyDescent="0.3">
      <c r="A48" s="3" t="s">
        <v>66</v>
      </c>
      <c r="B48" s="4" t="s">
        <v>67</v>
      </c>
      <c r="C48" s="4" t="s">
        <v>11</v>
      </c>
      <c r="D48" s="4" t="s">
        <v>19</v>
      </c>
      <c r="E48" s="5" t="s">
        <v>13</v>
      </c>
      <c r="F48" s="21" t="s">
        <v>14</v>
      </c>
      <c r="G48" s="21"/>
      <c r="H48" s="5" t="s">
        <v>15</v>
      </c>
      <c r="I48" s="7">
        <v>11848.75</v>
      </c>
      <c r="J48" s="7"/>
      <c r="K48" s="6" t="s">
        <v>8</v>
      </c>
      <c r="L48" s="7">
        <v>8622563.6699999999</v>
      </c>
    </row>
    <row r="49" spans="1:12" ht="61.2" x14ac:dyDescent="0.3">
      <c r="A49" s="3" t="s">
        <v>66</v>
      </c>
      <c r="B49" s="4" t="s">
        <v>67</v>
      </c>
      <c r="C49" s="4" t="s">
        <v>11</v>
      </c>
      <c r="D49" s="4" t="s">
        <v>22</v>
      </c>
      <c r="E49" s="5" t="s">
        <v>13</v>
      </c>
      <c r="F49" s="21" t="s">
        <v>14</v>
      </c>
      <c r="G49" s="21"/>
      <c r="H49" s="5" t="s">
        <v>15</v>
      </c>
      <c r="I49" s="7">
        <v>3687.34</v>
      </c>
      <c r="J49" s="7"/>
      <c r="K49" s="6" t="s">
        <v>8</v>
      </c>
      <c r="L49" s="7">
        <v>8618876.3300000001</v>
      </c>
    </row>
    <row r="50" spans="1:12" ht="61.2" x14ac:dyDescent="0.3">
      <c r="A50" s="3" t="s">
        <v>66</v>
      </c>
      <c r="B50" s="4" t="s">
        <v>67</v>
      </c>
      <c r="C50" s="4" t="s">
        <v>11</v>
      </c>
      <c r="D50" s="4" t="s">
        <v>48</v>
      </c>
      <c r="E50" s="5" t="s">
        <v>13</v>
      </c>
      <c r="F50" s="21" t="s">
        <v>14</v>
      </c>
      <c r="G50" s="21"/>
      <c r="H50" s="5" t="s">
        <v>15</v>
      </c>
      <c r="I50" s="7">
        <v>7104</v>
      </c>
      <c r="J50" s="7"/>
      <c r="K50" s="6" t="s">
        <v>8</v>
      </c>
      <c r="L50" s="7">
        <v>8611772.3300000001</v>
      </c>
    </row>
    <row r="51" spans="1:12" ht="61.2" x14ac:dyDescent="0.3">
      <c r="A51" s="3" t="s">
        <v>66</v>
      </c>
      <c r="B51" s="4" t="s">
        <v>67</v>
      </c>
      <c r="C51" s="4" t="s">
        <v>11</v>
      </c>
      <c r="D51" s="4" t="s">
        <v>72</v>
      </c>
      <c r="E51" s="5" t="s">
        <v>13</v>
      </c>
      <c r="F51" s="21" t="s">
        <v>14</v>
      </c>
      <c r="G51" s="21"/>
      <c r="H51" s="5" t="s">
        <v>15</v>
      </c>
      <c r="I51" s="7">
        <v>19557.12</v>
      </c>
      <c r="J51" s="7"/>
      <c r="K51" s="6" t="s">
        <v>8</v>
      </c>
      <c r="L51" s="7">
        <v>8592215.2100000009</v>
      </c>
    </row>
    <row r="52" spans="1:12" ht="71.400000000000006" x14ac:dyDescent="0.3">
      <c r="A52" s="3" t="s">
        <v>66</v>
      </c>
      <c r="B52" s="4" t="s">
        <v>67</v>
      </c>
      <c r="C52" s="4" t="s">
        <v>11</v>
      </c>
      <c r="D52" s="4" t="s">
        <v>38</v>
      </c>
      <c r="E52" s="5" t="s">
        <v>13</v>
      </c>
      <c r="F52" s="21" t="s">
        <v>14</v>
      </c>
      <c r="G52" s="21"/>
      <c r="H52" s="5" t="s">
        <v>15</v>
      </c>
      <c r="I52" s="7">
        <v>4870.8</v>
      </c>
      <c r="J52" s="7"/>
      <c r="K52" s="6" t="s">
        <v>8</v>
      </c>
      <c r="L52" s="7">
        <v>8587344.4100000001</v>
      </c>
    </row>
    <row r="53" spans="1:12" ht="61.2" x14ac:dyDescent="0.3">
      <c r="A53" s="3" t="s">
        <v>66</v>
      </c>
      <c r="B53" s="4" t="s">
        <v>67</v>
      </c>
      <c r="C53" s="4" t="s">
        <v>11</v>
      </c>
      <c r="D53" s="4" t="s">
        <v>24</v>
      </c>
      <c r="E53" s="5" t="s">
        <v>13</v>
      </c>
      <c r="F53" s="21" t="s">
        <v>14</v>
      </c>
      <c r="G53" s="21"/>
      <c r="H53" s="5" t="s">
        <v>15</v>
      </c>
      <c r="I53" s="22">
        <v>515.38</v>
      </c>
      <c r="J53" s="22"/>
      <c r="K53" s="6" t="s">
        <v>8</v>
      </c>
      <c r="L53" s="7">
        <v>8586829.0299999993</v>
      </c>
    </row>
    <row r="54" spans="1:12" ht="61.2" x14ac:dyDescent="0.3">
      <c r="A54" s="3" t="s">
        <v>66</v>
      </c>
      <c r="B54" s="4" t="s">
        <v>67</v>
      </c>
      <c r="C54" s="4" t="s">
        <v>11</v>
      </c>
      <c r="D54" s="4" t="s">
        <v>25</v>
      </c>
      <c r="E54" s="5" t="s">
        <v>13</v>
      </c>
      <c r="F54" s="21" t="s">
        <v>14</v>
      </c>
      <c r="G54" s="21"/>
      <c r="H54" s="5" t="s">
        <v>15</v>
      </c>
      <c r="I54" s="7">
        <v>1712.07</v>
      </c>
      <c r="J54" s="7"/>
      <c r="K54" s="6" t="s">
        <v>8</v>
      </c>
      <c r="L54" s="7">
        <v>8585116.9600000009</v>
      </c>
    </row>
    <row r="55" spans="1:12" ht="71.400000000000006" x14ac:dyDescent="0.3">
      <c r="A55" s="3" t="s">
        <v>66</v>
      </c>
      <c r="B55" s="4" t="s">
        <v>67</v>
      </c>
      <c r="C55" s="4" t="s">
        <v>11</v>
      </c>
      <c r="D55" s="4" t="s">
        <v>35</v>
      </c>
      <c r="E55" s="5" t="s">
        <v>13</v>
      </c>
      <c r="F55" s="21" t="s">
        <v>14</v>
      </c>
      <c r="G55" s="21"/>
      <c r="H55" s="5" t="s">
        <v>15</v>
      </c>
      <c r="I55" s="22">
        <v>28.07</v>
      </c>
      <c r="J55" s="22"/>
      <c r="K55" s="6" t="s">
        <v>8</v>
      </c>
      <c r="L55" s="7">
        <v>8585088.8900000006</v>
      </c>
    </row>
    <row r="56" spans="1:12" ht="61.2" x14ac:dyDescent="0.3">
      <c r="A56" s="3" t="s">
        <v>66</v>
      </c>
      <c r="B56" s="4" t="s">
        <v>67</v>
      </c>
      <c r="C56" s="4" t="s">
        <v>11</v>
      </c>
      <c r="D56" s="4" t="s">
        <v>73</v>
      </c>
      <c r="E56" s="5" t="s">
        <v>13</v>
      </c>
      <c r="F56" s="21" t="s">
        <v>14</v>
      </c>
      <c r="G56" s="21"/>
      <c r="H56" s="5" t="s">
        <v>15</v>
      </c>
      <c r="I56" s="22">
        <v>88.55</v>
      </c>
      <c r="J56" s="22"/>
      <c r="K56" s="6" t="s">
        <v>8</v>
      </c>
      <c r="L56" s="7">
        <v>8585000.3399999999</v>
      </c>
    </row>
    <row r="57" spans="1:12" ht="61.2" x14ac:dyDescent="0.3">
      <c r="A57" s="3" t="s">
        <v>66</v>
      </c>
      <c r="B57" s="4" t="s">
        <v>67</v>
      </c>
      <c r="C57" s="4" t="s">
        <v>11</v>
      </c>
      <c r="D57" s="4" t="s">
        <v>74</v>
      </c>
      <c r="E57" s="5" t="s">
        <v>13</v>
      </c>
      <c r="F57" s="21" t="s">
        <v>14</v>
      </c>
      <c r="G57" s="21"/>
      <c r="H57" s="5" t="s">
        <v>15</v>
      </c>
      <c r="I57" s="7">
        <v>3637.29</v>
      </c>
      <c r="J57" s="7"/>
      <c r="K57" s="6" t="s">
        <v>8</v>
      </c>
      <c r="L57" s="7">
        <v>8581363.0500000007</v>
      </c>
    </row>
    <row r="58" spans="1:12" ht="71.400000000000006" x14ac:dyDescent="0.3">
      <c r="A58" s="3" t="s">
        <v>66</v>
      </c>
      <c r="B58" s="4" t="s">
        <v>75</v>
      </c>
      <c r="C58" s="4" t="s">
        <v>11</v>
      </c>
      <c r="D58" s="4" t="s">
        <v>16</v>
      </c>
      <c r="E58" s="5" t="s">
        <v>13</v>
      </c>
      <c r="F58" s="21" t="s">
        <v>14</v>
      </c>
      <c r="G58" s="21"/>
      <c r="H58" s="5" t="s">
        <v>15</v>
      </c>
      <c r="I58" s="7">
        <v>65541.570000000007</v>
      </c>
      <c r="J58" s="7"/>
      <c r="K58" s="6" t="s">
        <v>8</v>
      </c>
      <c r="L58" s="7">
        <v>8515821.4800000004</v>
      </c>
    </row>
    <row r="59" spans="1:12" ht="71.400000000000006" x14ac:dyDescent="0.3">
      <c r="A59" s="3" t="s">
        <v>66</v>
      </c>
      <c r="B59" s="4" t="s">
        <v>75</v>
      </c>
      <c r="C59" s="4" t="s">
        <v>11</v>
      </c>
      <c r="D59" s="4" t="s">
        <v>41</v>
      </c>
      <c r="E59" s="5" t="s">
        <v>13</v>
      </c>
      <c r="F59" s="21" t="s">
        <v>14</v>
      </c>
      <c r="G59" s="21"/>
      <c r="H59" s="5" t="s">
        <v>15</v>
      </c>
      <c r="I59" s="7">
        <v>2015.48</v>
      </c>
      <c r="J59" s="7"/>
      <c r="K59" s="6" t="s">
        <v>8</v>
      </c>
      <c r="L59" s="7">
        <v>8513806</v>
      </c>
    </row>
    <row r="60" spans="1:12" ht="61.2" x14ac:dyDescent="0.3">
      <c r="A60" s="3" t="s">
        <v>66</v>
      </c>
      <c r="B60" s="4" t="s">
        <v>75</v>
      </c>
      <c r="C60" s="4" t="s">
        <v>11</v>
      </c>
      <c r="D60" s="4" t="s">
        <v>21</v>
      </c>
      <c r="E60" s="5" t="s">
        <v>13</v>
      </c>
      <c r="F60" s="21" t="s">
        <v>14</v>
      </c>
      <c r="G60" s="21"/>
      <c r="H60" s="5" t="s">
        <v>15</v>
      </c>
      <c r="I60" s="7">
        <v>30759.75</v>
      </c>
      <c r="J60" s="7"/>
      <c r="K60" s="6" t="s">
        <v>8</v>
      </c>
      <c r="L60" s="7">
        <v>8483046.25</v>
      </c>
    </row>
    <row r="61" spans="1:12" ht="71.400000000000006" x14ac:dyDescent="0.3">
      <c r="A61" s="3" t="s">
        <v>66</v>
      </c>
      <c r="B61" s="4" t="s">
        <v>75</v>
      </c>
      <c r="C61" s="4" t="s">
        <v>11</v>
      </c>
      <c r="D61" s="4" t="s">
        <v>76</v>
      </c>
      <c r="E61" s="5" t="s">
        <v>13</v>
      </c>
      <c r="F61" s="21" t="s">
        <v>14</v>
      </c>
      <c r="G61" s="21"/>
      <c r="H61" s="5" t="s">
        <v>15</v>
      </c>
      <c r="I61" s="22">
        <v>56.92</v>
      </c>
      <c r="J61" s="22"/>
      <c r="K61" s="6" t="s">
        <v>8</v>
      </c>
      <c r="L61" s="7">
        <v>8482989.3300000001</v>
      </c>
    </row>
    <row r="62" spans="1:12" ht="61.2" x14ac:dyDescent="0.3">
      <c r="A62" s="3" t="s">
        <v>66</v>
      </c>
      <c r="B62" s="4" t="s">
        <v>75</v>
      </c>
      <c r="C62" s="4" t="s">
        <v>11</v>
      </c>
      <c r="D62" s="4" t="s">
        <v>69</v>
      </c>
      <c r="E62" s="5" t="s">
        <v>13</v>
      </c>
      <c r="F62" s="21" t="s">
        <v>14</v>
      </c>
      <c r="G62" s="21"/>
      <c r="H62" s="5" t="s">
        <v>15</v>
      </c>
      <c r="I62" s="22">
        <v>169.2</v>
      </c>
      <c r="J62" s="22"/>
      <c r="K62" s="6" t="s">
        <v>8</v>
      </c>
      <c r="L62" s="7">
        <v>8482820.1300000008</v>
      </c>
    </row>
    <row r="63" spans="1:12" ht="71.400000000000006" x14ac:dyDescent="0.3">
      <c r="A63" s="3" t="s">
        <v>66</v>
      </c>
      <c r="B63" s="4" t="s">
        <v>75</v>
      </c>
      <c r="C63" s="4" t="s">
        <v>11</v>
      </c>
      <c r="D63" s="4" t="s">
        <v>70</v>
      </c>
      <c r="E63" s="5" t="s">
        <v>13</v>
      </c>
      <c r="F63" s="21" t="s">
        <v>14</v>
      </c>
      <c r="G63" s="21"/>
      <c r="H63" s="5" t="s">
        <v>15</v>
      </c>
      <c r="I63" s="7">
        <v>102312</v>
      </c>
      <c r="J63" s="7"/>
      <c r="K63" s="6" t="s">
        <v>8</v>
      </c>
      <c r="L63" s="7">
        <v>8380508.1299999999</v>
      </c>
    </row>
    <row r="64" spans="1:12" ht="71.400000000000006" x14ac:dyDescent="0.3">
      <c r="A64" s="3" t="s">
        <v>66</v>
      </c>
      <c r="B64" s="4" t="s">
        <v>75</v>
      </c>
      <c r="C64" s="4" t="s">
        <v>11</v>
      </c>
      <c r="D64" s="4" t="s">
        <v>77</v>
      </c>
      <c r="E64" s="5" t="s">
        <v>13</v>
      </c>
      <c r="F64" s="21" t="s">
        <v>14</v>
      </c>
      <c r="G64" s="21"/>
      <c r="H64" s="5" t="s">
        <v>15</v>
      </c>
      <c r="I64" s="7">
        <v>35235</v>
      </c>
      <c r="J64" s="7"/>
      <c r="K64" s="6" t="s">
        <v>8</v>
      </c>
      <c r="L64" s="7">
        <v>8345273.1299999999</v>
      </c>
    </row>
    <row r="65" spans="1:12" ht="61.2" x14ac:dyDescent="0.3">
      <c r="A65" s="3" t="s">
        <v>66</v>
      </c>
      <c r="B65" s="4" t="s">
        <v>75</v>
      </c>
      <c r="C65" s="4" t="s">
        <v>11</v>
      </c>
      <c r="D65" s="4" t="s">
        <v>48</v>
      </c>
      <c r="E65" s="5" t="s">
        <v>13</v>
      </c>
      <c r="F65" s="21" t="s">
        <v>14</v>
      </c>
      <c r="G65" s="21"/>
      <c r="H65" s="5" t="s">
        <v>15</v>
      </c>
      <c r="I65" s="7">
        <v>15888</v>
      </c>
      <c r="J65" s="7"/>
      <c r="K65" s="6" t="s">
        <v>8</v>
      </c>
      <c r="L65" s="7">
        <v>8329385.1299999999</v>
      </c>
    </row>
    <row r="66" spans="1:12" ht="61.2" x14ac:dyDescent="0.3">
      <c r="A66" s="3" t="s">
        <v>66</v>
      </c>
      <c r="B66" s="4" t="s">
        <v>75</v>
      </c>
      <c r="C66" s="4" t="s">
        <v>11</v>
      </c>
      <c r="D66" s="4" t="s">
        <v>23</v>
      </c>
      <c r="E66" s="5" t="s">
        <v>13</v>
      </c>
      <c r="F66" s="21" t="s">
        <v>14</v>
      </c>
      <c r="G66" s="21"/>
      <c r="H66" s="5" t="s">
        <v>15</v>
      </c>
      <c r="I66" s="7">
        <v>3092.25</v>
      </c>
      <c r="J66" s="7"/>
      <c r="K66" s="6" t="s">
        <v>8</v>
      </c>
      <c r="L66" s="7">
        <v>8326292.8799999999</v>
      </c>
    </row>
    <row r="67" spans="1:12" ht="61.2" x14ac:dyDescent="0.3">
      <c r="A67" s="3" t="s">
        <v>66</v>
      </c>
      <c r="B67" s="4" t="s">
        <v>75</v>
      </c>
      <c r="C67" s="4" t="s">
        <v>11</v>
      </c>
      <c r="D67" s="4" t="s">
        <v>24</v>
      </c>
      <c r="E67" s="5" t="s">
        <v>13</v>
      </c>
      <c r="F67" s="21" t="s">
        <v>14</v>
      </c>
      <c r="G67" s="21"/>
      <c r="H67" s="5" t="s">
        <v>15</v>
      </c>
      <c r="I67" s="22">
        <v>108.5</v>
      </c>
      <c r="J67" s="22"/>
      <c r="K67" s="6" t="s">
        <v>8</v>
      </c>
      <c r="L67" s="7">
        <v>8326184.3799999999</v>
      </c>
    </row>
    <row r="68" spans="1:12" ht="61.2" x14ac:dyDescent="0.3">
      <c r="A68" s="3" t="s">
        <v>66</v>
      </c>
      <c r="B68" s="4" t="s">
        <v>75</v>
      </c>
      <c r="C68" s="4" t="s">
        <v>11</v>
      </c>
      <c r="D68" s="4" t="s">
        <v>25</v>
      </c>
      <c r="E68" s="5" t="s">
        <v>13</v>
      </c>
      <c r="F68" s="21" t="s">
        <v>14</v>
      </c>
      <c r="G68" s="21"/>
      <c r="H68" s="5" t="s">
        <v>15</v>
      </c>
      <c r="I68" s="22">
        <v>926.2</v>
      </c>
      <c r="J68" s="22"/>
      <c r="K68" s="6" t="s">
        <v>8</v>
      </c>
      <c r="L68" s="7">
        <v>8325258.1799999997</v>
      </c>
    </row>
    <row r="69" spans="1:12" ht="71.400000000000006" x14ac:dyDescent="0.3">
      <c r="A69" s="3" t="s">
        <v>66</v>
      </c>
      <c r="B69" s="4" t="s">
        <v>75</v>
      </c>
      <c r="C69" s="4" t="s">
        <v>11</v>
      </c>
      <c r="D69" s="4" t="s">
        <v>78</v>
      </c>
      <c r="E69" s="5" t="s">
        <v>13</v>
      </c>
      <c r="F69" s="21" t="s">
        <v>14</v>
      </c>
      <c r="G69" s="21"/>
      <c r="H69" s="5" t="s">
        <v>15</v>
      </c>
      <c r="I69" s="22">
        <v>27.99</v>
      </c>
      <c r="J69" s="22"/>
      <c r="K69" s="6" t="s">
        <v>8</v>
      </c>
      <c r="L69" s="7">
        <v>8325230.1900000004</v>
      </c>
    </row>
    <row r="70" spans="1:12" ht="61.2" x14ac:dyDescent="0.3">
      <c r="A70" s="3" t="s">
        <v>66</v>
      </c>
      <c r="B70" s="4" t="s">
        <v>75</v>
      </c>
      <c r="C70" s="4" t="s">
        <v>11</v>
      </c>
      <c r="D70" s="4" t="s">
        <v>74</v>
      </c>
      <c r="E70" s="5" t="s">
        <v>13</v>
      </c>
      <c r="F70" s="21" t="s">
        <v>14</v>
      </c>
      <c r="G70" s="21"/>
      <c r="H70" s="5" t="s">
        <v>15</v>
      </c>
      <c r="I70" s="22">
        <v>643.52</v>
      </c>
      <c r="J70" s="22"/>
      <c r="K70" s="6" t="s">
        <v>8</v>
      </c>
      <c r="L70" s="7">
        <v>8324586.6699999999</v>
      </c>
    </row>
    <row r="71" spans="1:12" ht="71.400000000000006" hidden="1" x14ac:dyDescent="0.3">
      <c r="A71" s="3" t="s">
        <v>79</v>
      </c>
      <c r="B71" s="4" t="s">
        <v>80</v>
      </c>
      <c r="C71" s="4" t="s">
        <v>81</v>
      </c>
      <c r="D71" s="4" t="s">
        <v>82</v>
      </c>
      <c r="E71" s="5" t="s">
        <v>15</v>
      </c>
      <c r="F71" s="23">
        <v>507596</v>
      </c>
      <c r="G71" s="23"/>
      <c r="H71" s="5" t="s">
        <v>30</v>
      </c>
      <c r="I71" s="24" t="s">
        <v>14</v>
      </c>
      <c r="J71" s="24"/>
      <c r="K71" s="6" t="s">
        <v>8</v>
      </c>
      <c r="L71" s="7">
        <v>8832182.6699999999</v>
      </c>
    </row>
    <row r="72" spans="1:12" ht="71.400000000000006" hidden="1" x14ac:dyDescent="0.3">
      <c r="A72" s="3" t="s">
        <v>79</v>
      </c>
      <c r="B72" s="4" t="s">
        <v>80</v>
      </c>
      <c r="C72" s="4" t="s">
        <v>83</v>
      </c>
      <c r="D72" s="4" t="s">
        <v>82</v>
      </c>
      <c r="E72" s="5" t="s">
        <v>15</v>
      </c>
      <c r="F72" s="23">
        <v>129560.39</v>
      </c>
      <c r="G72" s="23"/>
      <c r="H72" s="5" t="s">
        <v>30</v>
      </c>
      <c r="I72" s="24" t="s">
        <v>14</v>
      </c>
      <c r="J72" s="24"/>
      <c r="K72" s="6" t="s">
        <v>8</v>
      </c>
      <c r="L72" s="7">
        <v>8961743.0600000005</v>
      </c>
    </row>
    <row r="73" spans="1:12" ht="71.400000000000006" x14ac:dyDescent="0.3">
      <c r="A73" s="3" t="s">
        <v>84</v>
      </c>
      <c r="B73" s="4" t="s">
        <v>85</v>
      </c>
      <c r="C73" s="4" t="s">
        <v>11</v>
      </c>
      <c r="D73" s="4" t="s">
        <v>61</v>
      </c>
      <c r="E73" s="5" t="s">
        <v>13</v>
      </c>
      <c r="F73" s="21" t="s">
        <v>14</v>
      </c>
      <c r="G73" s="21"/>
      <c r="H73" s="5" t="s">
        <v>15</v>
      </c>
      <c r="I73" s="7">
        <v>7606.3</v>
      </c>
      <c r="J73" s="7"/>
      <c r="K73" s="6" t="s">
        <v>8</v>
      </c>
      <c r="L73" s="7">
        <v>8954136.7599999998</v>
      </c>
    </row>
    <row r="74" spans="1:12" ht="61.2" x14ac:dyDescent="0.3">
      <c r="A74" s="3" t="s">
        <v>84</v>
      </c>
      <c r="B74" s="4" t="s">
        <v>85</v>
      </c>
      <c r="C74" s="4" t="s">
        <v>11</v>
      </c>
      <c r="D74" s="4" t="s">
        <v>48</v>
      </c>
      <c r="E74" s="5" t="s">
        <v>13</v>
      </c>
      <c r="F74" s="21" t="s">
        <v>14</v>
      </c>
      <c r="G74" s="21"/>
      <c r="H74" s="5" t="s">
        <v>15</v>
      </c>
      <c r="I74" s="7">
        <v>8400</v>
      </c>
      <c r="J74" s="7"/>
      <c r="K74" s="6" t="s">
        <v>8</v>
      </c>
      <c r="L74" s="7">
        <v>8945736.7599999998</v>
      </c>
    </row>
    <row r="75" spans="1:12" ht="61.2" x14ac:dyDescent="0.3">
      <c r="A75" s="3" t="s">
        <v>84</v>
      </c>
      <c r="B75" s="4" t="s">
        <v>86</v>
      </c>
      <c r="C75" s="4" t="s">
        <v>11</v>
      </c>
      <c r="D75" s="4" t="s">
        <v>87</v>
      </c>
      <c r="E75" s="5" t="s">
        <v>13</v>
      </c>
      <c r="F75" s="21" t="s">
        <v>14</v>
      </c>
      <c r="G75" s="21"/>
      <c r="H75" s="5" t="s">
        <v>15</v>
      </c>
      <c r="I75" s="7">
        <v>7464.71</v>
      </c>
      <c r="J75" s="7"/>
      <c r="K75" s="6" t="s">
        <v>8</v>
      </c>
      <c r="L75" s="7">
        <v>8938272.0500000007</v>
      </c>
    </row>
    <row r="76" spans="1:12" ht="71.400000000000006" x14ac:dyDescent="0.3">
      <c r="A76" s="3" t="s">
        <v>84</v>
      </c>
      <c r="B76" s="4" t="s">
        <v>88</v>
      </c>
      <c r="C76" s="4" t="s">
        <v>11</v>
      </c>
      <c r="D76" s="4" t="s">
        <v>53</v>
      </c>
      <c r="E76" s="5" t="s">
        <v>13</v>
      </c>
      <c r="F76" s="21" t="s">
        <v>14</v>
      </c>
      <c r="G76" s="21"/>
      <c r="H76" s="5" t="s">
        <v>15</v>
      </c>
      <c r="I76" s="7">
        <v>16920.830000000002</v>
      </c>
      <c r="J76" s="7"/>
      <c r="K76" s="6" t="s">
        <v>8</v>
      </c>
      <c r="L76" s="7">
        <v>8921351.2200000007</v>
      </c>
    </row>
    <row r="77" spans="1:12" ht="71.400000000000006" x14ac:dyDescent="0.3">
      <c r="A77" s="3" t="s">
        <v>84</v>
      </c>
      <c r="B77" s="4" t="s">
        <v>88</v>
      </c>
      <c r="C77" s="4" t="s">
        <v>11</v>
      </c>
      <c r="D77" s="4" t="s">
        <v>53</v>
      </c>
      <c r="E77" s="5" t="s">
        <v>13</v>
      </c>
      <c r="F77" s="21" t="s">
        <v>14</v>
      </c>
      <c r="G77" s="21"/>
      <c r="H77" s="5" t="s">
        <v>15</v>
      </c>
      <c r="I77" s="7">
        <v>35872.17</v>
      </c>
      <c r="J77" s="7"/>
      <c r="K77" s="6" t="s">
        <v>8</v>
      </c>
      <c r="L77" s="7">
        <v>8885479.0500000007</v>
      </c>
    </row>
    <row r="78" spans="1:12" ht="61.2" x14ac:dyDescent="0.3">
      <c r="A78" s="3" t="s">
        <v>84</v>
      </c>
      <c r="B78" s="4" t="s">
        <v>89</v>
      </c>
      <c r="C78" s="4" t="s">
        <v>11</v>
      </c>
      <c r="D78" s="4" t="s">
        <v>20</v>
      </c>
      <c r="E78" s="5" t="s">
        <v>13</v>
      </c>
      <c r="F78" s="21" t="s">
        <v>14</v>
      </c>
      <c r="G78" s="21"/>
      <c r="H78" s="5" t="s">
        <v>15</v>
      </c>
      <c r="I78" s="7">
        <v>15205.9</v>
      </c>
      <c r="J78" s="7"/>
      <c r="K78" s="6" t="s">
        <v>8</v>
      </c>
      <c r="L78" s="7">
        <v>8870273.1500000004</v>
      </c>
    </row>
    <row r="79" spans="1:12" ht="71.400000000000006" x14ac:dyDescent="0.3">
      <c r="A79" s="3" t="s">
        <v>84</v>
      </c>
      <c r="B79" s="4" t="s">
        <v>89</v>
      </c>
      <c r="C79" s="4" t="s">
        <v>11</v>
      </c>
      <c r="D79" s="4" t="s">
        <v>61</v>
      </c>
      <c r="E79" s="5" t="s">
        <v>13</v>
      </c>
      <c r="F79" s="21" t="s">
        <v>14</v>
      </c>
      <c r="G79" s="21"/>
      <c r="H79" s="5" t="s">
        <v>15</v>
      </c>
      <c r="I79" s="7">
        <v>29888.86</v>
      </c>
      <c r="J79" s="7"/>
      <c r="K79" s="6" t="s">
        <v>8</v>
      </c>
      <c r="L79" s="7">
        <v>8840384.2899999991</v>
      </c>
    </row>
    <row r="80" spans="1:12" ht="71.400000000000006" x14ac:dyDescent="0.3">
      <c r="A80" s="3" t="s">
        <v>84</v>
      </c>
      <c r="B80" s="4" t="s">
        <v>90</v>
      </c>
      <c r="C80" s="4" t="s">
        <v>11</v>
      </c>
      <c r="D80" s="4" t="s">
        <v>41</v>
      </c>
      <c r="E80" s="5" t="s">
        <v>13</v>
      </c>
      <c r="F80" s="21" t="s">
        <v>14</v>
      </c>
      <c r="G80" s="21"/>
      <c r="H80" s="5" t="s">
        <v>15</v>
      </c>
      <c r="I80" s="22">
        <v>444.98</v>
      </c>
      <c r="J80" s="22"/>
      <c r="K80" s="6" t="s">
        <v>8</v>
      </c>
      <c r="L80" s="7">
        <v>8839939.3100000005</v>
      </c>
    </row>
    <row r="81" spans="1:12" ht="71.400000000000006" x14ac:dyDescent="0.3">
      <c r="A81" s="3" t="s">
        <v>84</v>
      </c>
      <c r="B81" s="4" t="s">
        <v>91</v>
      </c>
      <c r="C81" s="4" t="s">
        <v>11</v>
      </c>
      <c r="D81" s="4" t="s">
        <v>53</v>
      </c>
      <c r="E81" s="5" t="s">
        <v>13</v>
      </c>
      <c r="F81" s="21" t="s">
        <v>14</v>
      </c>
      <c r="G81" s="21"/>
      <c r="H81" s="5" t="s">
        <v>15</v>
      </c>
      <c r="I81" s="7">
        <v>55500.34</v>
      </c>
      <c r="J81" s="7"/>
      <c r="K81" s="6" t="s">
        <v>8</v>
      </c>
      <c r="L81" s="7">
        <v>8784438.9700000007</v>
      </c>
    </row>
    <row r="82" spans="1:12" ht="71.400000000000006" x14ac:dyDescent="0.3">
      <c r="A82" s="3" t="s">
        <v>84</v>
      </c>
      <c r="B82" s="4" t="s">
        <v>91</v>
      </c>
      <c r="C82" s="4" t="s">
        <v>11</v>
      </c>
      <c r="D82" s="4" t="s">
        <v>64</v>
      </c>
      <c r="E82" s="5" t="s">
        <v>13</v>
      </c>
      <c r="F82" s="21" t="s">
        <v>14</v>
      </c>
      <c r="G82" s="21"/>
      <c r="H82" s="5" t="s">
        <v>15</v>
      </c>
      <c r="I82" s="7">
        <v>20981.84</v>
      </c>
      <c r="J82" s="7"/>
      <c r="K82" s="6" t="s">
        <v>8</v>
      </c>
      <c r="L82" s="7">
        <v>8763457.1300000008</v>
      </c>
    </row>
    <row r="83" spans="1:12" ht="61.2" x14ac:dyDescent="0.3">
      <c r="A83" s="3" t="s">
        <v>84</v>
      </c>
      <c r="B83" s="4" t="s">
        <v>91</v>
      </c>
      <c r="C83" s="4" t="s">
        <v>11</v>
      </c>
      <c r="D83" s="4" t="s">
        <v>48</v>
      </c>
      <c r="E83" s="5" t="s">
        <v>13</v>
      </c>
      <c r="F83" s="21" t="s">
        <v>14</v>
      </c>
      <c r="G83" s="21"/>
      <c r="H83" s="5" t="s">
        <v>15</v>
      </c>
      <c r="I83" s="7">
        <v>56160</v>
      </c>
      <c r="J83" s="7"/>
      <c r="K83" s="6" t="s">
        <v>8</v>
      </c>
      <c r="L83" s="7">
        <v>8707297.1300000008</v>
      </c>
    </row>
    <row r="84" spans="1:12" ht="61.2" x14ac:dyDescent="0.3">
      <c r="A84" s="3" t="s">
        <v>84</v>
      </c>
      <c r="B84" s="4" t="s">
        <v>92</v>
      </c>
      <c r="C84" s="4" t="s">
        <v>11</v>
      </c>
      <c r="D84" s="4" t="s">
        <v>48</v>
      </c>
      <c r="E84" s="5" t="s">
        <v>13</v>
      </c>
      <c r="F84" s="21" t="s">
        <v>14</v>
      </c>
      <c r="G84" s="21"/>
      <c r="H84" s="5" t="s">
        <v>15</v>
      </c>
      <c r="I84" s="7">
        <v>388128</v>
      </c>
      <c r="J84" s="7"/>
      <c r="K84" s="6" t="s">
        <v>8</v>
      </c>
      <c r="L84" s="7">
        <v>8319169.1299999999</v>
      </c>
    </row>
    <row r="85" spans="1:12" ht="61.2" x14ac:dyDescent="0.3">
      <c r="A85" s="3" t="s">
        <v>84</v>
      </c>
      <c r="B85" s="4" t="s">
        <v>92</v>
      </c>
      <c r="C85" s="4" t="s">
        <v>11</v>
      </c>
      <c r="D85" s="4" t="s">
        <v>50</v>
      </c>
      <c r="E85" s="5" t="s">
        <v>13</v>
      </c>
      <c r="F85" s="21" t="s">
        <v>14</v>
      </c>
      <c r="G85" s="21"/>
      <c r="H85" s="5" t="s">
        <v>15</v>
      </c>
      <c r="I85" s="7">
        <v>126432</v>
      </c>
      <c r="J85" s="7"/>
      <c r="K85" s="6" t="s">
        <v>8</v>
      </c>
      <c r="L85" s="7">
        <v>8192737.1299999999</v>
      </c>
    </row>
    <row r="86" spans="1:12" ht="71.400000000000006" x14ac:dyDescent="0.3">
      <c r="A86" s="3" t="s">
        <v>84</v>
      </c>
      <c r="B86" s="4" t="s">
        <v>93</v>
      </c>
      <c r="C86" s="4" t="s">
        <v>11</v>
      </c>
      <c r="D86" s="4" t="s">
        <v>64</v>
      </c>
      <c r="E86" s="5" t="s">
        <v>13</v>
      </c>
      <c r="F86" s="21" t="s">
        <v>14</v>
      </c>
      <c r="G86" s="21"/>
      <c r="H86" s="5" t="s">
        <v>15</v>
      </c>
      <c r="I86" s="7">
        <v>114554.05</v>
      </c>
      <c r="J86" s="7"/>
      <c r="K86" s="6" t="s">
        <v>8</v>
      </c>
      <c r="L86" s="7">
        <v>8078183.0800000001</v>
      </c>
    </row>
    <row r="87" spans="1:12" ht="71.400000000000006" x14ac:dyDescent="0.3">
      <c r="A87" s="3" t="s">
        <v>84</v>
      </c>
      <c r="B87" s="4" t="s">
        <v>93</v>
      </c>
      <c r="C87" s="4" t="s">
        <v>11</v>
      </c>
      <c r="D87" s="4" t="s">
        <v>61</v>
      </c>
      <c r="E87" s="5" t="s">
        <v>13</v>
      </c>
      <c r="F87" s="21" t="s">
        <v>14</v>
      </c>
      <c r="G87" s="21"/>
      <c r="H87" s="5" t="s">
        <v>15</v>
      </c>
      <c r="I87" s="7">
        <v>180893.4</v>
      </c>
      <c r="J87" s="7"/>
      <c r="K87" s="6" t="s">
        <v>8</v>
      </c>
      <c r="L87" s="7">
        <v>7897289.6799999997</v>
      </c>
    </row>
    <row r="88" spans="1:12" ht="61.2" x14ac:dyDescent="0.3">
      <c r="A88" s="3" t="s">
        <v>84</v>
      </c>
      <c r="B88" s="4" t="s">
        <v>93</v>
      </c>
      <c r="C88" s="4" t="s">
        <v>11</v>
      </c>
      <c r="D88" s="4" t="s">
        <v>50</v>
      </c>
      <c r="E88" s="5" t="s">
        <v>13</v>
      </c>
      <c r="F88" s="21" t="s">
        <v>14</v>
      </c>
      <c r="G88" s="21"/>
      <c r="H88" s="5" t="s">
        <v>15</v>
      </c>
      <c r="I88" s="7">
        <v>228144</v>
      </c>
      <c r="J88" s="7"/>
      <c r="K88" s="6" t="s">
        <v>8</v>
      </c>
      <c r="L88" s="7">
        <v>7669145.6799999997</v>
      </c>
    </row>
    <row r="89" spans="1:12" ht="71.400000000000006" x14ac:dyDescent="0.3">
      <c r="A89" s="3" t="s">
        <v>84</v>
      </c>
      <c r="B89" s="4" t="s">
        <v>94</v>
      </c>
      <c r="C89" s="4" t="s">
        <v>11</v>
      </c>
      <c r="D89" s="4" t="s">
        <v>61</v>
      </c>
      <c r="E89" s="5" t="s">
        <v>13</v>
      </c>
      <c r="F89" s="21" t="s">
        <v>14</v>
      </c>
      <c r="G89" s="21"/>
      <c r="H89" s="5" t="s">
        <v>15</v>
      </c>
      <c r="I89" s="7">
        <v>70016.960000000006</v>
      </c>
      <c r="J89" s="7"/>
      <c r="K89" s="6" t="s">
        <v>8</v>
      </c>
      <c r="L89" s="7">
        <v>7599128.7199999997</v>
      </c>
    </row>
    <row r="90" spans="1:12" ht="71.400000000000006" x14ac:dyDescent="0.3">
      <c r="A90" s="3" t="s">
        <v>84</v>
      </c>
      <c r="B90" s="4" t="s">
        <v>94</v>
      </c>
      <c r="C90" s="4" t="s">
        <v>11</v>
      </c>
      <c r="D90" s="4" t="s">
        <v>65</v>
      </c>
      <c r="E90" s="5" t="s">
        <v>13</v>
      </c>
      <c r="F90" s="21" t="s">
        <v>14</v>
      </c>
      <c r="G90" s="21"/>
      <c r="H90" s="5" t="s">
        <v>15</v>
      </c>
      <c r="I90" s="7">
        <v>171288.01</v>
      </c>
      <c r="J90" s="7"/>
      <c r="K90" s="6" t="s">
        <v>8</v>
      </c>
      <c r="L90" s="7">
        <v>7427840.71</v>
      </c>
    </row>
    <row r="91" spans="1:12" ht="71.400000000000006" x14ac:dyDescent="0.3">
      <c r="A91" s="3" t="s">
        <v>84</v>
      </c>
      <c r="B91" s="4" t="s">
        <v>95</v>
      </c>
      <c r="C91" s="4" t="s">
        <v>11</v>
      </c>
      <c r="D91" s="4" t="s">
        <v>65</v>
      </c>
      <c r="E91" s="5" t="s">
        <v>13</v>
      </c>
      <c r="F91" s="21" t="s">
        <v>14</v>
      </c>
      <c r="G91" s="21"/>
      <c r="H91" s="5" t="s">
        <v>15</v>
      </c>
      <c r="I91" s="7">
        <v>70065.72</v>
      </c>
      <c r="J91" s="7"/>
      <c r="K91" s="6" t="s">
        <v>8</v>
      </c>
      <c r="L91" s="7">
        <v>7357774.9900000002</v>
      </c>
    </row>
    <row r="92" spans="1:12" hidden="1" x14ac:dyDescent="0.3">
      <c r="A92" s="25" t="s">
        <v>96</v>
      </c>
      <c r="B92" s="25"/>
      <c r="C92" s="25"/>
      <c r="D92" s="25"/>
      <c r="E92" s="26">
        <v>5804039.0599999996</v>
      </c>
      <c r="F92" s="26"/>
      <c r="G92" s="26"/>
      <c r="H92" s="26">
        <v>2240734.9900000002</v>
      </c>
      <c r="I92" s="26"/>
      <c r="J92" s="26"/>
      <c r="K92" s="8" t="s">
        <v>8</v>
      </c>
      <c r="L92" s="9">
        <v>7357774.9900000002</v>
      </c>
    </row>
    <row r="94" spans="1:12" x14ac:dyDescent="0.3">
      <c r="J94" s="10">
        <f>SUBTOTAL(9,I3:J91)*1.2</f>
        <v>2688881.9879999994</v>
      </c>
    </row>
  </sheetData>
  <autoFilter ref="A1:L92" xr:uid="{A31EE8A5-B86C-4C5D-B54C-E3D09A2599F8}">
    <filterColumn colId="1">
      <filters>
        <filter val="Вимога-накладна ІБ00-000459 від 19.06.2025 16:45:44_x000a_Списаны ТМЦ"/>
        <filter val="Вимога-накладна ІБ00-000514 від 25.06.2025 23:13:12_x000a_Списаны ТМЦ"/>
        <filter val="Вимога-накладна ІБ00-000515 від 25.06.2025 23:13:13_x000a_Списаны ТМЦ"/>
        <filter val="Вимога-накладна ІБ00-000534 від 30.06.2025 23:00:00_x000a_Списаны ТМЦ"/>
        <filter val="Вимога-накладна ІБ00-000535 від 30.06.2025 23:00:00_x000a_Списаны ТМЦ"/>
        <filter val="Вимога-накладна ІБ00-000536 від 30.06.2025 23:00:00_x000a_Списаны ТМЦ"/>
        <filter val="Вимога-накладна ІБ00-000537 від 30.06.2025 23:00:00_x000a_Списаны ТМЦ"/>
        <filter val="Вимога-накладна ІБ00-000538 від 30.06.2025 23:00:00_x000a_Списаны ТМЦ"/>
        <filter val="Вимога-накладна ІБ00-000539 від 30.06.2025 23:00:00_x000a_Списаны ТМЦ"/>
        <filter val="Вимога-накладна ІБ00-000540 від 30.06.2025 23:00:00_x000a_Списаны ТМЦ"/>
        <filter val="Вимога-накладна ІБ00-000541 від 30.06.2025 20:00:00_x000a_Списаны ТМЦ"/>
        <filter val="Вимога-накладна ІБ00-000542 від 30.06.2025 23:00:00_x000a_Списаны ТМЦ"/>
        <filter val="Вимога-накладна ІБ00-000543 від 30.06.2025 2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2025-07-22T07:09:31Z</dcterms:modified>
</cp:coreProperties>
</file>
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Материалы+МШП\"/>
    </mc:Choice>
  </mc:AlternateContent>
  <xr:revisionPtr revIDLastSave="0" documentId="13_ncr:1_{97131062-A6FB-4D17-9708-BEDD8D49526B}" xr6:coauthVersionLast="45" xr6:coauthVersionMax="45" xr10:uidLastSave="{00000000-0000-0000-0000-000000000000}"/>
  <bookViews>
    <workbookView xWindow="-108" yWindow="-108" windowWidth="23256" windowHeight="12600" tabRatio="910" xr2:uid="{00000000-000D-0000-FFFF-FFFF00000000}"/>
  </bookViews>
  <sheets>
    <sheet name="СВОД" sheetId="1" r:id="rId1"/>
    <sheet name="Катеринопіль МХП" sheetId="2" r:id="rId2"/>
    <sheet name="Цех_Катеринопіль МХП" sheetId="3" r:id="rId3"/>
    <sheet name="ДУ-1 Пункт відв" sheetId="4" r:id="rId4"/>
    <sheet name="ДУ-4 Охолодж макухи" sheetId="7" r:id="rId5"/>
    <sheet name="ДУ-5 Охолодж шроту" sheetId="5" r:id="rId6"/>
    <sheet name="ДУ-6 Транспортгалерея" sheetId="6" r:id="rId7"/>
    <sheet name="ДУ-7 Градирня" sheetId="8" r:id="rId8"/>
    <sheet name="олійно екстракційний" sheetId="9" r:id="rId9"/>
  </sheets>
  <definedNames>
    <definedName name="_xlnm._FilterDatabase" localSheetId="3" hidden="1">'ДУ-1 Пункт відв'!$A$1:$L$4</definedName>
    <definedName name="_xlnm._FilterDatabase" localSheetId="4" hidden="1">'ДУ-4 Охолодж макухи'!$A$1:$L$6</definedName>
    <definedName name="_xlnm._FilterDatabase" localSheetId="5" hidden="1">'ДУ-5 Охолодж шроту'!$A$1:$L$4</definedName>
    <definedName name="_xlnm._FilterDatabase" localSheetId="6" hidden="1">'ДУ-6 Транспортгалерея'!$A$1:$L$6</definedName>
    <definedName name="_xlnm._FilterDatabase" localSheetId="7" hidden="1">'ДУ-7 Градирня'!$A$1:$L$42</definedName>
    <definedName name="_xlnm._FilterDatabase" localSheetId="1" hidden="1">'Катеринопіль МХП'!$A$1:$L$63</definedName>
    <definedName name="_xlnm._FilterDatabase" localSheetId="8" hidden="1">'олійно екстракційний'!$A$1:$L$9</definedName>
    <definedName name="_xlnm._FilterDatabase" localSheetId="2" hidden="1">'Цех_Катеринопіль МХП'!$A$1:$L$4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  <c r="C2" i="1"/>
  <c r="C10" i="1"/>
  <c r="J44" i="8"/>
  <c r="J8" i="7"/>
  <c r="J65" i="2"/>
</calcChain>
</file>

<file path=xl/sharedStrings.xml><?xml version="1.0" encoding="utf-8"?>
<sst xmlns="http://schemas.openxmlformats.org/spreadsheetml/2006/main" count="1008" uniqueCount="152">
  <si>
    <t>Катеринопіль МХП</t>
  </si>
  <si>
    <t>Цех_Катеринопіль МХП</t>
  </si>
  <si>
    <t>Цех_Катеринопіль МХП(ДУ-1 Пункт відв)</t>
  </si>
  <si>
    <t>Цех_Катеринопіль МХП(ДУ-4 Охолодж макухи)</t>
  </si>
  <si>
    <t>Цех_Катеринопіль МХП(ДУ-5 Охолодж шроту)</t>
  </si>
  <si>
    <t>Цех_Катеринопіль МХП(ДУ-6 Транспортгалерея)</t>
  </si>
  <si>
    <t>Цех_Катеринопіль МХП(ДУ-7 Градирня)</t>
  </si>
  <si>
    <t>Цех_Катеринопіль МХП(олійно екстракційний)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</si>
  <si>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</si>
  <si>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</si>
  <si>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</si>
  <si>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</si>
  <si>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</si>
  <si>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</si>
  <si>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</si>
  <si>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</si>
  <si>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</si>
  <si>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01.06.2025</t>
  </si>
  <si>
    <t>Вимога-накладна ІБ00-000462 від 01.06.2025 12:01:05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</si>
  <si>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</si>
  <si>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Емаль ПФ-115 RAL 7012 (50кг) сірий
Надходження товарів і послуг ІБ00-002646 від 28.05.2025 11:00:00
Катеринопіль МХП</t>
  </si>
  <si>
    <t>231</t>
  </si>
  <si>
    <t xml:space="preserve"> </t>
  </si>
  <si>
    <t>205</t>
  </si>
  <si>
    <t>Обл. НДС
Розчинник УС Нефрас 0,94 л/ 0,70 кг
Надходження товарів і послуг ІБ00-001080 від 12.03.2025 18:45:30
Катеринопіль МХП</t>
  </si>
  <si>
    <t>Вимога-накладна ІБ00-000461 від 01.06.2025 23:15:05
Списаны ТМЦ</t>
  </si>
  <si>
    <t>Обл. НДС
Болт М16*100  DIN 933 з шест.голівкою цб
Надходження товарів і послуг ІБ00-002524 від 20.05.2025 11:00:00
Катеринопіль МХП</t>
  </si>
  <si>
    <t>Обл. НДС
Болт М16*50  DIN 931
Надходження товарів і послуг ІБ00-001607 від 02.04.2025 18:11:21
Катеринопіль МХП</t>
  </si>
  <si>
    <t>Обл. НДС
Болт М16*50  DIN 933 оц. 5,8
Надходження товарів і послуг ІБ00-002421 від 22.05.2025 11:00:00
Катеринопіль МХП</t>
  </si>
  <si>
    <t>Обл. НДС
Болт М16*60  DIN 933 оц. 8.8цб
Надходження товарів і послуг ІБ00-002524 від 20.05.2025 11:00:00
Катеринопіль МХП</t>
  </si>
  <si>
    <t>Обл. НДС
Болт М16*60  DIN 933 оц. 8.8цб
Надходження товарів і послуг ІБ00-002423 від 22.05.2025 11:00:00
Катеринопіль МХП</t>
  </si>
  <si>
    <t>Обл. НДС
Болт М16*60  DIN 933 цб
Надходження товарів і послуг ІБ00-001607 від 02.04.2025 18:11:21
Катеринопіль МХП</t>
  </si>
  <si>
    <t>Обл. НДС
Болт М16*65  DIN 933 цб
Надходження товарів і послуг ІБ00-002524 від 20.05.2025 11:00:00
Катеринопіль МХП</t>
  </si>
  <si>
    <t>Обл. НДС
Болт М16*65  DIN 933 цб
Надходження товарів і послуг ІБ00-002421 від 22.05.2025 11:00:00
Катеринопіль МХП</t>
  </si>
  <si>
    <t>Обл. НДС
Болт М16*65  DIN 933 цб
Надходження товарів і послуг ІБ00-002423 від 22.05.2025 11:00:00
Катеринопіль МХП</t>
  </si>
  <si>
    <t>Обл. НДС
Болт М16*65 8,8 цб ЧР 
Надходження товарів і послуг ІБ00-002329 від 20.05.2025 11:00:00
Катеринопіль МХП</t>
  </si>
  <si>
    <t>Обл. НДС
Гайка М16 8 цб  ISO4032
Надходження товарів і послуг ІБ00-001607 від 02.04.2025 18:11:21
Катеринопіль МХП</t>
  </si>
  <si>
    <t>Обл. НДС
Гайка М16 8 цб  ISO4032
Надходження товарів і послуг ІБ00-002523 від 20.05.2025 11:00:00
Катеринопіль МХП</t>
  </si>
  <si>
    <t>Обл. НДС
Шайба 16  DIN125-1
Надходження товарів і послуг ІБ00-001607 від 02.04.2025 18:11:21
Катеринопіль МХП</t>
  </si>
  <si>
    <t>Обл. НДС
Шайба М16  DIN 125-1 до кл м 4,6-8,8
Надходження товарів і послуг ІБ00-002523 від 20.05.2025 11:00:00
Катеринопіль МХП</t>
  </si>
  <si>
    <t>Обл. НДС
Шайба М16 DIN 125 плоска 140 HV цб
Надходження товарів і послуг ІБ00-002423 від 22.05.2025 11:00:00
Катеринопіль МХП</t>
  </si>
  <si>
    <t>Списання товарів ІБ00-000324 від 01.06.2025 23:15:06
Списаны ТМЦ</t>
  </si>
  <si>
    <t>Обл. НДС
Провід ПВС 4*6,0 м
Надходження товарів і послуг ІБ00-000618 від 12.02.2025 18:03:08
Катеринопіль МХП</t>
  </si>
  <si>
    <t>10.06.2025</t>
  </si>
  <si>
    <t>Надходження товарів і послуг ІБ00-002950 від 10.06.2025 11:00:00
Оприходованы ТМЦ</t>
  </si>
  <si>
    <t>Обл. НДС
Лист ПВЛс 506х1250х2500
Надходження товарів і послуг ІБ00-002950 від 10.06.2025 11:00:00
Катеринопіль МХП</t>
  </si>
  <si>
    <t>ВІКАНТ фірма ТОВ
10/04-1 від 10.04.2022_МХП Катеринопіль
Рахунок на оплату постачальника ІБ00-002499 від 05.06.2025 20:00:04</t>
  </si>
  <si>
    <t>631</t>
  </si>
  <si>
    <t>Надходження дод. витрат ІБ00-000384 від 10.06.2025 11:10:00
Доп. расходы при поступлении товаров</t>
  </si>
  <si>
    <t>Списання товарів ІБ00-000325 від 10.06.2025 12:02:52
Списаны ТМЦ</t>
  </si>
  <si>
    <t>Обл. НДС
Брус 50*100мм 6 м обрізний
Надходження товарів і послуг ІБ00-004548 від 30.09.2024 18:07:32
Катеринопіль МХП</t>
  </si>
  <si>
    <t>13.06.2025</t>
  </si>
  <si>
    <t>Надходження товарів і послуг ІБ00-003092 від 13.06.2025 11:00:00
Оприходованы ТМЦ</t>
  </si>
  <si>
    <t>Обл. НДС
Анкер М 10/12х120 однорозпірний з кожухом та гайкою
Надходження товарів і послуг ІБ00-003092 від 13.06.2025 11:00:00
Катеринопіль МХП</t>
  </si>
  <si>
    <t>ФОРТЕЦЯ
Рахунки_МХП Катеринополь
Рахунок на оплату постачальника ІБ00-002459 від 09.06.2025 18:01:39</t>
  </si>
  <si>
    <t>18.06.2025</t>
  </si>
  <si>
    <t>Надходження товарів і послуг ІБ00-003124 від 18.06.2025 11:00:00
Оприходованы ТМЦ</t>
  </si>
  <si>
    <t>Обл. НДС
Емаль ПФ-115 світло-сіра 
Надходження товарів і послуг ІБ00-003124 від 18.06.2025 11:00:00
Катеринопіль МХП</t>
  </si>
  <si>
    <t>Синтез ЛКМ
Рахунки_МХП Катеринополь
Рахунок на оплату постачальника ІБ00-002593 від 18.06.2025 19:00:01</t>
  </si>
  <si>
    <t>Обл. НДС
Грунт ГФ-021 сірий
Надходження товарів і послуг ІБ00-003124 від 18.06.2025 11:00:00
Катеринопіль МХП</t>
  </si>
  <si>
    <t>Обл. НДС
Розчинник "White Spirit"
Надходження товарів і послуг ІБ00-003124 від 18.06.2025 11:00:00
Катеринопіль МХП</t>
  </si>
  <si>
    <t>19.06.2025</t>
  </si>
  <si>
    <t>Надходження товарів і послуг ІБ00-003122 від 19.06.2025 11:00:00
Оприходованы ТМЦ</t>
  </si>
  <si>
    <t>Обл. НДС
аксесуар поліестер 0,5мм (б.п.1003 жовтий НС3-2/0,432/0,021)
Надходження товарів і послуг ІБ00-003122 від 19.06.2025 11:00:00
Катеринопіль МХП</t>
  </si>
  <si>
    <t>ТПК-ЦЕНТР ТОВ
Договір 13/20/П/011від 21.07.2020_МХП Катеринопіль
Рахунок на оплату постачальника ІБ00-002592 від 13.06.2025 18:33:39</t>
  </si>
  <si>
    <t>Обл. НДС
аксесуар поліестер 0,5мм (б.п.1003 жовтий НС3-2/0,432/0,068)
Надходження товарів і послуг ІБ00-003122 від 19.06.2025 11:00:00
Катеринопіль МХП</t>
  </si>
  <si>
    <t>Обл. НДС
аксесуар поліестер 0,5мм (б.п.1003 жовтий НС4-2/0,512/0,068)
Надходження товарів і послуг ІБ00-003122 від 19.06.2025 11:00:00
Катеринопіль МХП</t>
  </si>
  <si>
    <t>Обл. НДС
аксесуар поліестер 0,5мм (б.п.1003 жовтий НС3-2/0,632/0,165)
Надходження товарів і послуг ІБ00-003122 від 19.06.2025 11:00:00
Катеринопіль МХП</t>
  </si>
  <si>
    <t>Обл. НДС
аксесуар поліестер 0,5мм (б.п.6005 зелений НС3-2/0,632/0,512)
Надходження товарів і послуг ІБ00-003122 від 19.06.2025 11:00:00
Катеринопіль МХП</t>
  </si>
  <si>
    <t>Обл. НДС
аксесуар поліестер 0,5мм (б.п.6005 зелений НС2-2/0,212/0,013)
Надходження товарів і послуг ІБ00-003122 від 19.06.2025 11:00:00
Катеринопіль МХП</t>
  </si>
  <si>
    <t>Обл. НДС
Саморіз  4,8*19 RAL 6005
Надходження товарів і послуг ІБ00-003122 від 19.06.2025 11:00:00
Катеринопіль МХП</t>
  </si>
  <si>
    <t>Надходження товарів і послуг ІБ00-003123 від 19.06.2025 11:00:00
Оприходованы ТМЦ (Зачет аванса поставщику)</t>
  </si>
  <si>
    <t>Обл. НДС
Металопрофіль ТП-60  0,7мм матполіестер (6020) т.-зелений 7,220м
Надходження товарів і послуг ІБ00-003123 від 19.06.2025 11:00:00
Катеринопіль МХП</t>
  </si>
  <si>
    <t>ТПК-ЦЕНТР ТОВ
Договір 13/20/П/011від 21.07.2020_МХП Катеринопіль
Рахунок на оплату постачальника ІБ00-002285 від 02.06.2025 17:51:06</t>
  </si>
  <si>
    <t>Надходження товарів і послуг ІБ00-003123 від 19.06.2025 11:00:00
Оприходованы ТМЦ</t>
  </si>
  <si>
    <t>Обл. НДС
Саморіз  5,5*32 RAL 6020 зелений до 12мм
Надходження товарів і послуг ІБ00-003123 від 19.06.2025 11:00:00
Катеринопіль МХП</t>
  </si>
  <si>
    <t>24.06.2025</t>
  </si>
  <si>
    <t>Надходження товарів і послуг ІБ00-003411 від 24.06.2025 11:00:00
Оприходованы ТМЦ</t>
  </si>
  <si>
    <t>Обл. НДС
Гайка М24  DIN 6915 високоміц
Надходження товарів і послуг ІБ00-003411 від 24.06.2025 11:00:00
Катеринопіль МХП</t>
  </si>
  <si>
    <t>ЄВРОБОЛТ УКРАЇНА ТОВ
Рахунки_МХП Катеринополь
Рахунок на оплату постачальника ІБ00-002854 від 19.06.2025 18:00:53</t>
  </si>
  <si>
    <t>Обл. НДС
Шайба М24 DIN6916 конструкц
Надходження товарів і послуг ІБ00-003411 від 24.06.2025 11:00:00
Катеринопіль МХП</t>
  </si>
  <si>
    <t>Обл. НДС
Болт М24*75  DIN 6914/14399-4 10,9БП
Надходження товарів і послуг ІБ00-003411 від 24.06.2025 11:00:00
Катеринопіль МХП</t>
  </si>
  <si>
    <t>Обл. НДС
Болт М24*100  ЕN 14399/4
Надходження товарів і послуг ІБ00-003411 від 24.06.2025 11:00:00
Катеринопіль МХП</t>
  </si>
  <si>
    <t>Надходження товарів і послуг ІБ00-003412 від 24.06.2025 11:00:00
Оприходованы ТМЦ</t>
  </si>
  <si>
    <t>Обл. НДС
Саморіз  5,5*50 з посилен.св., до 12 мм б/ц DIN7504К
Надходження товарів і послуг ІБ00-003412 від 24.06.2025 11:00:00
Катеринопіль МХП</t>
  </si>
  <si>
    <t>ЄВРОБОЛТ УКРАЇНА ТОВ
Рахунки_МХП Катеринополь
Рахунок на оплату постачальника ІБ00-002855 від 23.06.2025 18:22:17</t>
  </si>
  <si>
    <t>Надходження товарів і послуг ІБ00-003579 від 24.06.2025 11:00:00
Оприходованы ТМЦ</t>
  </si>
  <si>
    <t>Обл. НДС
Саморіз  4,8*19 для скріплення листів 250шт жовтий 1003
Надходження товарів і послуг ІБ00-003579 від 24.06.2025 11:00:00
Катеринопіль МХП</t>
  </si>
  <si>
    <t>25.06.2025</t>
  </si>
  <si>
    <t>Вимога-накладна ІБ00-000519 від 25.06.2025 00:00:00
Списаны ТМЦ</t>
  </si>
  <si>
    <t>Обл. НДС
Гайка М16 DIN 934 ЦБ
Надходження товарів і послуг ІБ00-001612 від 01.04.2025 23:10:32
Катеринопіль МХП</t>
  </si>
  <si>
    <t>Обл. НДС
Гайка М16 DIN 934 ЦБ
Надходження товарів і послуг ІБ00-002421 від 22.05.2025 11:00:00
Катеринопіль МХП</t>
  </si>
  <si>
    <t>Обл. НДС
Гайка М16 DIN 934 ЦБ
Надходження товарів і послуг ІБ00-002423 від 22.05.2025 11:00:00
Катеринопіль МХП</t>
  </si>
  <si>
    <t>Списання товарів ІБ00-000343 від 25.06.2025 20:00:00
Списаны ТМЦ</t>
  </si>
  <si>
    <t>Вимога-накладна ІБ00-000521 від 25.06.2025 20:00:00
Списаны ТМЦ</t>
  </si>
  <si>
    <t>Обл. НДС
Емаль алкідна ПФ-115 П сіра 0,9 кг
Надходження товарів і послуг ІБ00-002522 від 01.05.2025 11:00:00
Катеринопіль МХП</t>
  </si>
  <si>
    <t>Обл. НДС
Емаль алкідна ПФ-115 П сіра 2,8 кг
Надходження товарів і послуг ІБ00-002522 від 01.05.2025 11:00:00
Катеринопіль МХП</t>
  </si>
  <si>
    <t>Обл. НДС
Розчинник для фарби і лаку РДФ 4,5 л/3,10 кг
Надходження товарів і послуг ІБ00-000343 від 17.01.2025 19:00:17
Катеринопіль МХП</t>
  </si>
  <si>
    <t>Обл. НДС
Розчинник Уайт-спіріт 5 л (шт) 
Надходження товарів і послуг ІБ00-002179 від 01.05.2025 11:00:00
Катеринопіль МХП</t>
  </si>
  <si>
    <t>Вимога-накладна ІБ00-000523 від 25.06.2025 23:13:28
Списаны ТМЦ</t>
  </si>
  <si>
    <t>Обл. НДС
Гайка М24  ЕN 14399/4Мо
Надходження товарів і послуг ІБ00-002523 від 20.05.2025 11:00:00
Катеринопіль МХП</t>
  </si>
  <si>
    <t>Обл. НДС
Гайка М20  ЕN 14399/4Мо
Надходження товарів і послуг ІБ00-002523 від 20.05.2025 11:00:00
Катеринопіль МХП</t>
  </si>
  <si>
    <t>Обороти за період та сальдо на кінець</t>
  </si>
  <si>
    <t>Переміщення товарів ІБ00-000600 від 01.06.2025 23:16:09
Перемещение ТМЦ</t>
  </si>
  <si>
    <t>Обл. НДС
Труба 40х40х3 (6,05-S235/S275)
Надходження товарів і послуг ІБ00-002212 від 15.05.2025 18:45:41
Цех_Катеринопіль МХП(ДУ-7 Градирня)</t>
  </si>
  <si>
    <t>Обл. НДС
Труба 40х40х3 (6,05-S235/S275)
Надходження товарів і послуг ІБ00-002212 від 15.05.2025 18:45:41
Цех_Катеринопіль МХП</t>
  </si>
  <si>
    <t>Переміщення товарів ІБ00-000601 від 01.06.2025 23:16:10
Перемещение ТМЦ</t>
  </si>
  <si>
    <t>Обл. НДС
Балка 20 ст3 сп/пс L=12 м
Надходження товарів і послуг ІБ00-001140 від 20.03.2025 23:15:29
Цех_Катеринопіль МХП(ДУ-7 Градирня)</t>
  </si>
  <si>
    <t>Обл. НДС
Балка 20 ст3 сп/пс L=12 м
Надходження товарів і послуг ІБ00-001140 від 20.03.2025 23:15:29
Цех_Катеринопіль МХП(ДУ-1 Пункт відв)</t>
  </si>
  <si>
    <t>02.06.2025</t>
  </si>
  <si>
    <t>Вимога-накладна ІБ00-000418 від 02.06.2025 00:00:00
Списаны ТМЦ</t>
  </si>
  <si>
    <t>Обл. НДС
Виробничий (Катеринопіль МХП)
Цех МХП
Прямі материальні виробничі витрати крім зворотніх відходів</t>
  </si>
  <si>
    <t>Обл. НДС
Лист 10*1500*6000 3 сп/пс5  7208
Надходження товарів і послуг ІБ00-001671 від 03.04.2025 17:42:11
Цех_Катеринопіль МХП(ДУ-4 Охолодж макухи)</t>
  </si>
  <si>
    <t>Обл. НДС
Лист 10*1500*6000 3 сп/пс5  7208
Надходження товарів і послуг ІБ00-001632 від 15.04.2025 18:30:28
Цех_Катеринопіль МХП(ДУ-4 Охолодж макухи)</t>
  </si>
  <si>
    <t>Обл. НДС
Балка 30 ІРЕ (12.15 EN 10024 S235/ S275)
Надходження товарів і послуг ІБ00-001513 від 08.04.2025 18:11:06
Цех_Катеринопіль МХП(ДУ-4 Охолодж макухи)</t>
  </si>
  <si>
    <t>Переміщення товарів ІБ00-000602 від 01.06.2025 23:16:11
Перемещение ТМЦ</t>
  </si>
  <si>
    <t>Обл. НДС
Труба 80х80х4 (12,05- 8940:2019 08кп/1-3пс)
Надходження товарів і послуг ІБ00-001470 від 07.04.2025 19:59:50
Цех_Катеринопіль МХП(ДУ-7 Градирня)</t>
  </si>
  <si>
    <t>Обл. НДС
Труба 80х80х4 (12,05- 8940:2019 08кп/1-3пс)
Надходження товарів і послуг ІБ00-001470 від 07.04.2025 19:59:50
Цех_Катеринопіль МХП(ДУ-5 Охолодж шроту)</t>
  </si>
  <si>
    <t>Переміщення товарів ІБ00-000598 від 01.06.2025 00:00:00
Перемещение ТМЦ</t>
  </si>
  <si>
    <t>Обл. НДС
Лист 10 (г.к.) (1,5х6) imp ((1,5*6,0) S235)
Надходження товарів і послуг ІБ00-001539 від 10.04.2025 22:56:09
Цех_Катеринопіль МХП(ДУ-7 Градирня)</t>
  </si>
  <si>
    <t>Обл. НДС
Лист 10 (г.к.) (1,5х6) imp ((1,5*6,0) S235)
Надходження товарів і послуг ІБ00-001539 від 10.04.2025 22:56:09
Цех_Катеринопіль МХП(ДУ-6 Транспортгалерея)</t>
  </si>
  <si>
    <t>Обл. НДС
Швелер 14П  (140 12,05 8240 3пс)
Надходження товарів і послуг AS000002077 від 11.11.2022 16:41:05
Цех_Катеринопіль МХП(ДУ-7 Градирня)</t>
  </si>
  <si>
    <t>Обл. НДС
Швелер 14П  (140 12,05 8240 3пс)
Надходження товарів і послуг AS000002077 від 11.11.2022 16:41:05
Цех_Катеринопіль МХП(ДУ-6 Транспортгалерея)</t>
  </si>
  <si>
    <t>Обл. НДС
Швелер 14П  (140 12,05 8240 3пс)
Надходження товарів і послуг ІБ00-001671 від 03.04.2025 17:42:11
Цех_Катеринопіль МХП(ДУ-7 Градирня)</t>
  </si>
  <si>
    <t>Обл. НДС
Швелер 14П  (140 12,05 8240 3пс)
Надходження товарів і послуг ІБ00-001671 від 03.04.2025 17:42:11
Цех_Катеринопіль МХП(ДУ-6 Транспортгалерея)</t>
  </si>
  <si>
    <t>Переміщення товарів ІБ00-000599 від 01.06.2025 23:16:08
Перемещение ТМЦ</t>
  </si>
  <si>
    <t>Обл. НДС
Швелер 18 П ст.3пс
Надходження товарів і послуг ІБ00-000090 від 16.01.2025 15:48:34
Цех_Катеринопіль МХП(ДУ-7 Градирня)</t>
  </si>
  <si>
    <t>Обл. НДС
Швелер 18 П ст.3пс
Надходження товарів і послуг ІБ00-000090 від 16.01.2025 15:48:34
Цех_Катеринопіль МХП(олійно екстракційний)</t>
  </si>
  <si>
    <t>Обл. НДС
Труба 80х80х4 (12,05- 8940:2019 08кп/1-3пс)
Надходження товарів і послуг ІБ00-000245 від 22.01.2025 19:00:20
Цех_Катеринопіль МХП(ДУ-7 Градирня)</t>
  </si>
  <si>
    <t>Обл. НДС
Труба 80х80х4 (12,05- 8940:2019 08кп/1-3пс)
Надходження товарів і послуг ІБ00-000245 від 22.01.2025 19:00:20
Цех_Катеринопіль МХП(олійно екстракційний)</t>
  </si>
  <si>
    <t>Обл. НДС
Труба  40*20*2 мм  S235JRH, L=6 м
Надходження товарів і послуг ІБ00-000167 від 20.01.2025 18:00:20
Цех_Катеринопіль МХП(ДУ-7 Градирня)</t>
  </si>
  <si>
    <t>Обл. НДС
Труба  40*20*2 мм  S235JRH, L=6 м
Надходження товарів і послуг ІБ00-000167 від 20.01.2025 18:00:20
Цех_Катеринопіль МХП(олійно екстракційний)</t>
  </si>
  <si>
    <t>Обл. НДС
Швелер 16П  S275JR,12 м
Надходження товарів і послуг ІБ00-000189 від 22.01.2025 18:18:27
Цех_Катеринопіль МХП(ДУ-7 Градирня)</t>
  </si>
  <si>
    <t>Обл. НДС
Швелер 16П  S275JR,12 м
Надходження товарів і послуг ІБ00-000189 від 22.01.2025 18:18:27
Цех_Катеринопіль МХП(олійно екстракційний)</t>
  </si>
  <si>
    <t>Обл. НДС
Швелер 16П  S275JR,12 м
Надходження товарів і послуг ІБ00-001842 від 25.04.2025 19:45:33
Цех_Катеринопіль МХП(ДУ-7 Градирня)</t>
  </si>
  <si>
    <t>Обл. НДС
Швелер 16П  S275JR,12 м
Надходження товарів і послуг ІБ00-001842 від 25.04.2025 19:45:33
Цех_Катеринопіль МХП(олійно екстракційний)</t>
  </si>
  <si>
    <t>Обл. НДС
Лист 20 (г.к)  (1,5х6) imp ((1,5*6,0) S235JR)
Надходження товарів і послуг ІБ00-000167 від 20.01.2025 18:00:20
Цех_Катеринопіль МХП(ДУ-7 Градирня)</t>
  </si>
  <si>
    <t>Обл. НДС
Лист 20 (г.к)  (1,5х6) imp ((1,5*6,0) S235JR)
Надходження товарів і послуг ІБ00-000167 від 20.01.2025 18:00:20
Цех_Катеринопіль МХП(олійно екстракційний)</t>
  </si>
  <si>
    <t>Переміщення товарів ІБ00-000605 від 01.06.2025 23:16:12
Перемещение ТМЦ</t>
  </si>
  <si>
    <t>Обл. НДС
Кутник 75х75х6 3СП5, 12 м (пог.м)
Надходження товарів і послуг ІБ00-002108 від 09.05.2025 18:08:40
Цех_Катеринопіль МХП(ДУ-7 Градирня)</t>
  </si>
  <si>
    <t>Обл. НДС
Кутник 75х75х6 3СП5, 12 м (пог.м)
Надходження товарів і послуг ІБ00-002108 від 09.05.2025 18:08:40
Цех_ВООЗ (ЕМС)</t>
  </si>
  <si>
    <t>Вимога-накладна ІБ00-000501 від 02.06.2025 00:00:00
Списаны ТМЦ</t>
  </si>
  <si>
    <t>Обл. НДС
Виробничий (Катеринопіль МХП)
Цех МХП Катеринопіль
Прямі материальні виробничі витрати крім зворотніх відходів</t>
  </si>
  <si>
    <t>Обл. НДС
Балка 20 IPE (12,15 IPE200)
Надходження товарів і послуг ІБ00-001513 від 08.04.2025 18:11:06
Цех_Катеринопіль МХП(ДУ-7 Градирня)</t>
  </si>
  <si>
    <t>Обл. НДС
Балка ІРN 240
Надходження товарів і послуг ІБ00-001632 від 15.04.2025 18:30:28
Цех_Катеринопіль МХП(ДУ-7 Градирня)</t>
  </si>
  <si>
    <t>Обл. НДС
Труба 100х100х4 (12,05- 8940:2019 08кп/1-3пс)
Надходження товарів і послуг ІБ00-001539 від 10.04.2025 22:56:09
Цех_Катеринопіль МХП(ДУ-7 Градирня)</t>
  </si>
  <si>
    <t>Обл. НДС
Труба 100х100х4 (12,05- 8940:2019 08кп/1-3пс)
Надходження товарів і послуг ІБ00-001677 від 17.04.2025 18:05:55
Цех_Катеринопіль МХП(ДУ-7 Градирня)</t>
  </si>
  <si>
    <t>Обл. НДС
Лист 20 (г.к)  (1,5х6) imp ((1,5*6,0) S235JR)
Надходження товарів і послуг ІБ00-001677 від 17.04.2025 18:05:55
Цех_Катеринопіль МХП(ДУ-7 Градирня)</t>
  </si>
  <si>
    <t>Вимога-накладна ІБ00-000500 від 02.06.2025 23:00:00
Списаны ТМЦ</t>
  </si>
  <si>
    <t>Обл. НДС
Швелер 14 (UREAA 140) S275 JR, 12 м
Надходження товарів і послуг ІБ00-001470 від 07.04.2025 19:59:50
Цех_Катеринопіль МХП(ДУ-7 Градирня)</t>
  </si>
  <si>
    <t>Обл. НДС
Лист 4 (г.к)  (1,5х6) ((1,5*6,0) 14637 3сп5)
Надходження товарів і послуг ІБ00-001671 від 03.04.2025 17:42:11
Цех_Катеринопіль МХП(ДУ-7 Градирня)</t>
  </si>
  <si>
    <t>Обл. НДС
труба 140х140х4 мм; ст. 3пс5; 12 м
Надходження товарів і послуг ІБ00-001539 від 10.04.2025 22:56:09
Цех_Катеринопіль МХП(ДУ-7 Градирня)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</si>
</sst>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1">
    <xf numFmtId="0" fontId="0" fillId="0" borderId="0" xfId="0"/>
    <xf numFmtId="0" fontId="4" fillId="2" borderId="2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horizontal="center" vertical="top"/>
    </xf>
    <xf numFmtId="0" fontId="4" fillId="2" borderId="5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3" xfId="2" applyNumberFormat="1" applyFont="1" applyBorder="1" applyAlignment="1">
      <alignment horizontal="right" vertical="top" wrapText="1"/>
    </xf>
    <xf numFmtId="0" fontId="5" fillId="0" borderId="12" xfId="2" applyNumberFormat="1" applyFont="1" applyBorder="1" applyAlignment="1">
      <alignment horizontal="center" vertical="top"/>
    </xf>
    <xf numFmtId="4" fontId="5" fillId="0" borderId="13" xfId="2" applyNumberFormat="1" applyFont="1" applyBorder="1" applyAlignment="1">
      <alignment horizontal="right" vertical="top" wrapText="1"/>
    </xf>
    <xf numFmtId="2" fontId="5" fillId="0" borderId="13" xfId="2" applyNumberFormat="1" applyFont="1" applyBorder="1" applyAlignment="1">
      <alignment horizontal="right" vertical="top" wrapText="1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right" vertical="top" wrapText="1"/>
    </xf>
    <xf numFmtId="2" fontId="5" fillId="0" borderId="1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2" xfId="2" applyNumberFormat="1" applyFont="1" applyFill="1" applyBorder="1" applyAlignment="1">
      <alignment horizontal="center" vertical="top"/>
    </xf>
    <xf numFmtId="4" fontId="6" fillId="2" borderId="13" xfId="2" applyNumberFormat="1" applyFont="1" applyFill="1" applyBorder="1" applyAlignment="1">
      <alignment horizontal="right" vertical="top" wrapText="1"/>
    </xf>
    <xf numFmtId="0" fontId="4" fillId="2" borderId="2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horizontal="center" vertical="top"/>
    </xf>
    <xf numFmtId="0" fontId="4" fillId="2" borderId="5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3" xfId="3" applyNumberFormat="1" applyFont="1" applyBorder="1" applyAlignment="1">
      <alignment horizontal="right" vertical="top" wrapText="1"/>
    </xf>
    <xf numFmtId="0" fontId="5" fillId="0" borderId="12" xfId="3" applyNumberFormat="1" applyFont="1" applyBorder="1" applyAlignment="1">
      <alignment horizontal="center" vertical="top"/>
    </xf>
    <xf numFmtId="4" fontId="5" fillId="0" borderId="13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2" fontId="6" fillId="2" borderId="1" xfId="3" applyNumberFormat="1" applyFont="1" applyFill="1" applyBorder="1" applyAlignment="1">
      <alignment horizontal="right" vertical="top" wrapText="1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2" xfId="3" applyNumberFormat="1" applyFont="1" applyFill="1" applyBorder="1" applyAlignment="1">
      <alignment horizontal="center" vertical="top"/>
    </xf>
    <xf numFmtId="4" fontId="6" fillId="2" borderId="13" xfId="3" applyNumberFormat="1" applyFont="1" applyFill="1" applyBorder="1" applyAlignment="1">
      <alignment horizontal="right" vertical="top" wrapText="1"/>
    </xf>
    <xf numFmtId="0" fontId="4" fillId="2" borderId="2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horizontal="center" vertical="top"/>
    </xf>
    <xf numFmtId="0" fontId="4" fillId="2" borderId="5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0" fontId="5" fillId="0" borderId="1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0" fontId="5" fillId="0" borderId="12" xfId="4" applyNumberFormat="1" applyFont="1" applyBorder="1" applyAlignment="1">
      <alignment horizontal="center" vertical="top"/>
    </xf>
    <xf numFmtId="4" fontId="5" fillId="0" borderId="13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2" fontId="6" fillId="2" borderId="1" xfId="4" applyNumberFormat="1" applyFont="1" applyFill="1" applyBorder="1" applyAlignment="1">
      <alignment horizontal="right" vertical="top" wrapText="1"/>
    </xf>
    <xf numFmtId="0" fontId="6" fillId="2" borderId="12" xfId="4" applyNumberFormat="1" applyFont="1" applyFill="1" applyBorder="1" applyAlignment="1">
      <alignment horizontal="center" vertical="top"/>
    </xf>
    <xf numFmtId="4" fontId="6" fillId="2" borderId="13" xfId="4" applyNumberFormat="1" applyFont="1" applyFill="1" applyBorder="1" applyAlignment="1">
      <alignment horizontal="right" vertical="top" wrapText="1"/>
    </xf>
    <xf numFmtId="0" fontId="4" fillId="2" borderId="2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horizontal="center" vertical="top"/>
    </xf>
    <xf numFmtId="0" fontId="4" fillId="2" borderId="5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3" xfId="5" applyNumberFormat="1" applyFont="1" applyBorder="1" applyAlignment="1">
      <alignment horizontal="right" vertical="top" wrapText="1"/>
    </xf>
    <xf numFmtId="0" fontId="5" fillId="0" borderId="12" xfId="5" applyNumberFormat="1" applyFont="1" applyBorder="1" applyAlignment="1">
      <alignment horizontal="center" vertical="top"/>
    </xf>
    <xf numFmtId="4" fontId="5" fillId="0" borderId="13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2" fontId="6" fillId="2" borderId="1" xfId="5" applyNumberFormat="1" applyFont="1" applyFill="1" applyBorder="1" applyAlignment="1">
      <alignment horizontal="right" vertical="top" wrapText="1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2" xfId="5" applyNumberFormat="1" applyFont="1" applyFill="1" applyBorder="1" applyAlignment="1">
      <alignment horizontal="center" vertical="top"/>
    </xf>
    <xf numFmtId="4" fontId="6" fillId="2" borderId="13" xfId="5" applyNumberFormat="1" applyFont="1" applyFill="1" applyBorder="1" applyAlignment="1">
      <alignment horizontal="right" vertical="top" wrapText="1"/>
    </xf>
    <xf numFmtId="0" fontId="4" fillId="2" borderId="2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horizontal="center" vertical="top"/>
    </xf>
    <xf numFmtId="0" fontId="4" fillId="2" borderId="5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0" fontId="5" fillId="0" borderId="1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0" fontId="5" fillId="0" borderId="12" xfId="6" applyNumberFormat="1" applyFont="1" applyBorder="1" applyAlignment="1">
      <alignment horizontal="center" vertical="top"/>
    </xf>
    <xf numFmtId="4" fontId="5" fillId="0" borderId="13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2" fontId="6" fillId="2" borderId="1" xfId="6" applyNumberFormat="1" applyFont="1" applyFill="1" applyBorder="1" applyAlignment="1">
      <alignment horizontal="right" vertical="top" wrapText="1"/>
    </xf>
    <xf numFmtId="0" fontId="6" fillId="2" borderId="12" xfId="6" applyNumberFormat="1" applyFont="1" applyFill="1" applyBorder="1" applyAlignment="1">
      <alignment horizontal="center" vertical="top"/>
    </xf>
    <xf numFmtId="4" fontId="6" fillId="2" borderId="13" xfId="6" applyNumberFormat="1" applyFont="1" applyFill="1" applyBorder="1" applyAlignment="1">
      <alignment horizontal="right" vertical="top" wrapText="1"/>
    </xf>
    <xf numFmtId="0" fontId="4" fillId="2" borderId="2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horizontal="center" vertical="top"/>
    </xf>
    <xf numFmtId="0" fontId="4" fillId="2" borderId="5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0" fontId="5" fillId="0" borderId="1" xfId="7" applyNumberFormat="1" applyFont="1" applyBorder="1" applyAlignment="1">
      <alignment horizontal="right" vertical="top" wrapText="1"/>
    </xf>
    <xf numFmtId="4" fontId="5" fillId="0" borderId="13" xfId="7" applyNumberFormat="1" applyFont="1" applyBorder="1" applyAlignment="1">
      <alignment horizontal="right" vertical="top" wrapText="1"/>
    </xf>
    <xf numFmtId="0" fontId="5" fillId="0" borderId="12" xfId="7" applyNumberFormat="1" applyFont="1" applyBorder="1" applyAlignment="1">
      <alignment horizontal="center" vertical="top"/>
    </xf>
    <xf numFmtId="4" fontId="5" fillId="0" borderId="13" xfId="7" applyNumberFormat="1" applyFont="1" applyBorder="1" applyAlignment="1">
      <alignment horizontal="right" vertical="top" wrapText="1"/>
    </xf>
    <xf numFmtId="2" fontId="5" fillId="0" borderId="13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2" fontId="6" fillId="2" borderId="1" xfId="7" applyNumberFormat="1" applyFont="1" applyFill="1" applyBorder="1" applyAlignment="1">
      <alignment horizontal="right" vertical="top" wrapText="1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2" xfId="7" applyNumberFormat="1" applyFont="1" applyFill="1" applyBorder="1" applyAlignment="1">
      <alignment horizontal="center" vertical="top"/>
    </xf>
    <xf numFmtId="4" fontId="6" fillId="2" borderId="13" xfId="7" applyNumberFormat="1" applyFont="1" applyFill="1" applyBorder="1" applyAlignment="1">
      <alignment horizontal="right" vertical="top" wrapText="1"/>
    </xf>
    <xf numFmtId="0" fontId="4" fillId="2" borderId="2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horizontal="center" vertical="top"/>
    </xf>
    <xf numFmtId="0" fontId="4" fillId="2" borderId="5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4" fontId="5" fillId="0" borderId="1" xfId="8" applyNumberFormat="1" applyFont="1" applyBorder="1" applyAlignment="1">
      <alignment horizontal="right" vertical="top" wrapText="1"/>
    </xf>
    <xf numFmtId="0" fontId="5" fillId="0" borderId="13" xfId="8" applyNumberFormat="1" applyFont="1" applyBorder="1" applyAlignment="1">
      <alignment horizontal="right" vertical="top" wrapText="1"/>
    </xf>
    <xf numFmtId="0" fontId="5" fillId="0" borderId="12" xfId="8" applyNumberFormat="1" applyFont="1" applyBorder="1" applyAlignment="1">
      <alignment horizontal="center" vertical="top"/>
    </xf>
    <xf numFmtId="4" fontId="5" fillId="0" borderId="13" xfId="8" applyNumberFormat="1" applyFont="1" applyBorder="1" applyAlignment="1">
      <alignment horizontal="right" vertical="top" wrapText="1"/>
    </xf>
    <xf numFmtId="2" fontId="5" fillId="0" borderId="1" xfId="8" applyNumberFormat="1" applyFont="1" applyBorder="1" applyAlignment="1">
      <alignment horizontal="right" vertical="top" wrapText="1"/>
    </xf>
    <xf numFmtId="0" fontId="5" fillId="0" borderId="1" xfId="8" applyNumberFormat="1" applyFont="1" applyBorder="1" applyAlignment="1">
      <alignment horizontal="right" vertical="top" wrapText="1"/>
    </xf>
    <xf numFmtId="4" fontId="5" fillId="0" borderId="13" xfId="8" applyNumberFormat="1" applyFont="1" applyBorder="1" applyAlignment="1">
      <alignment horizontal="right" vertical="top" wrapText="1"/>
    </xf>
    <xf numFmtId="2" fontId="5" fillId="0" borderId="13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2" xfId="8" applyNumberFormat="1" applyFont="1" applyFill="1" applyBorder="1" applyAlignment="1">
      <alignment horizontal="center" vertical="top"/>
    </xf>
    <xf numFmtId="4" fontId="6" fillId="2" borderId="13" xfId="8" applyNumberFormat="1" applyFont="1" applyFill="1" applyBorder="1" applyAlignment="1">
      <alignment horizontal="right" vertical="top" wrapText="1"/>
    </xf>
    <xf numFmtId="0" fontId="4" fillId="2" borderId="2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horizontal="center" vertical="top"/>
    </xf>
    <xf numFmtId="0" fontId="4" fillId="2" borderId="5" xfId="9" applyNumberFormat="1" applyFont="1" applyFill="1" applyBorder="1" applyAlignment="1">
      <alignment horizontal="center" vertical="top"/>
    </xf>
    <xf numFmtId="0" fontId="4" fillId="2" borderId="6" xfId="9" applyNumberFormat="1" applyFont="1" applyFill="1" applyBorder="1" applyAlignment="1">
      <alignment vertical="top"/>
    </xf>
    <xf numFmtId="0" fontId="4" fillId="2" borderId="7" xfId="9" applyNumberFormat="1" applyFont="1" applyFill="1" applyBorder="1" applyAlignment="1">
      <alignment vertical="top"/>
    </xf>
    <xf numFmtId="0" fontId="4" fillId="2" borderId="8" xfId="9" applyNumberFormat="1" applyFont="1" applyFill="1" applyBorder="1" applyAlignment="1">
      <alignment vertical="top"/>
    </xf>
    <xf numFmtId="0" fontId="4" fillId="2" borderId="5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1" xfId="9" applyNumberFormat="1" applyFont="1" applyFill="1" applyBorder="1" applyAlignment="1">
      <alignment vertical="top"/>
    </xf>
    <xf numFmtId="0" fontId="5" fillId="0" borderId="1" xfId="9" applyNumberFormat="1" applyFont="1" applyBorder="1" applyAlignment="1">
      <alignment vertical="top"/>
    </xf>
    <xf numFmtId="0" fontId="5" fillId="0" borderId="1" xfId="9" applyNumberFormat="1" applyFont="1" applyBorder="1" applyAlignment="1">
      <alignment vertical="top" wrapText="1"/>
    </xf>
    <xf numFmtId="0" fontId="5" fillId="0" borderId="1" xfId="9" applyNumberFormat="1" applyFont="1" applyBorder="1" applyAlignment="1">
      <alignment horizontal="left" vertical="top"/>
    </xf>
    <xf numFmtId="0" fontId="5" fillId="0" borderId="1" xfId="9" applyNumberFormat="1" applyFont="1" applyBorder="1" applyAlignment="1">
      <alignment horizontal="right" vertical="top" wrapText="1"/>
    </xf>
    <xf numFmtId="4" fontId="5" fillId="0" borderId="13" xfId="9" applyNumberFormat="1" applyFont="1" applyBorder="1" applyAlignment="1">
      <alignment horizontal="right" vertical="top" wrapText="1"/>
    </xf>
    <xf numFmtId="0" fontId="5" fillId="0" borderId="12" xfId="9" applyNumberFormat="1" applyFont="1" applyBorder="1" applyAlignment="1">
      <alignment horizontal="center" vertical="top"/>
    </xf>
    <xf numFmtId="4" fontId="5" fillId="0" borderId="13" xfId="9" applyNumberFormat="1" applyFont="1" applyBorder="1" applyAlignment="1">
      <alignment horizontal="right" vertical="top" wrapText="1"/>
    </xf>
    <xf numFmtId="2" fontId="5" fillId="0" borderId="13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2" fontId="6" fillId="2" borderId="1" xfId="9" applyNumberFormat="1" applyFont="1" applyFill="1" applyBorder="1" applyAlignment="1">
      <alignment horizontal="right" vertical="top" wrapText="1"/>
    </xf>
    <xf numFmtId="4" fontId="6" fillId="2" borderId="1" xfId="9" applyNumberFormat="1" applyFont="1" applyFill="1" applyBorder="1" applyAlignment="1">
      <alignment horizontal="right" vertical="top" wrapText="1"/>
    </xf>
    <xf numFmtId="0" fontId="6" fillId="2" borderId="12" xfId="9" applyNumberFormat="1" applyFont="1" applyFill="1" applyBorder="1" applyAlignment="1">
      <alignment horizontal="center" vertical="top"/>
    </xf>
    <xf numFmtId="4" fontId="6" fillId="2" borderId="13" xfId="9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2" borderId="14" xfId="1" applyNumberFormat="1" applyFont="1" applyFill="1" applyBorder="1" applyAlignment="1">
      <alignment vertical="top" wrapText="1" indent="1"/>
    </xf>
    <xf numFmtId="4" fontId="0" fillId="0" borderId="14" xfId="0" applyNumberForma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</cellXfs>
  <cellStyles count="10">
    <cellStyle name="Обычный" xfId="0" builtinId="0"/>
    <cellStyle name="Обычный_Sheet1" xfId="1" xr:uid="{58A48FA9-92D7-427B-9805-5B6E9493578E}"/>
    <cellStyle name="Обычный_ДУ-1 Пункт відв" xfId="4" xr:uid="{12BA8E86-F0FA-4543-B2D7-4CEC4099B46C}"/>
    <cellStyle name="Обычный_ДУ-4 Охолодж макухи" xfId="5" xr:uid="{53EFE776-D279-47BD-A6E1-E26D719E4A0A}"/>
    <cellStyle name="Обычный_ДУ-5 Охолодж шроту" xfId="6" xr:uid="{664669E4-2522-4358-A5E1-D75465105F5B}"/>
    <cellStyle name="Обычный_ДУ-6 Транспортгалерея" xfId="7" xr:uid="{3F26730E-6D08-40BC-A1D5-BF3C0248A4EC}"/>
    <cellStyle name="Обычный_ДУ-7 Градирня" xfId="8" xr:uid="{CCFDC3C7-68DD-44B6-A111-C5386128E3AF}"/>
    <cellStyle name="Обычный_Катеринопіль МХП" xfId="2" xr:uid="{B8A092F9-893D-4811-964B-21A1AA298B8F}"/>
    <cellStyle name="Обычный_олійно екстракційний" xfId="9" xr:uid="{2DD84217-83F4-4133-B26A-B0C0A1CCFF53}"/>
    <cellStyle name="Обычный_Цех_Катеринопіль МХП" xfId="3" xr:uid="{B3C12A5B-72EF-4805-BA9F-E08A94049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tabSelected="1" workbookViewId="0">
      <selection activeCell="C13" sqref="C13"/>
    </sheetView>
  </sheetViews>
  <sheetFormatPr defaultRowHeight="14.4" x14ac:dyDescent="0.3"/>
  <cols>
    <col min="1" max="1" width="3.5546875" customWidth="1"/>
    <col min="2" max="2" width="34.88671875" bestFit="1" customWidth="1"/>
    <col min="3" max="3" width="20.5546875" customWidth="1"/>
  </cols>
  <sheetData>
    <row r="2" spans="2:3" x14ac:dyDescent="0.3">
      <c r="B2" s="208" t="s">
        <v>0</v>
      </c>
      <c r="C2" s="209">
        <f>'Катеринопіль МХП'!J65*1.2</f>
        <v>81051.588000000003</v>
      </c>
    </row>
    <row r="3" spans="2:3" x14ac:dyDescent="0.3">
      <c r="B3" s="208" t="s">
        <v>1</v>
      </c>
      <c r="C3" s="209">
        <f>'Цех_Катеринопіль МХП'!J6*1.2</f>
        <v>0</v>
      </c>
    </row>
    <row r="4" spans="2:3" x14ac:dyDescent="0.3">
      <c r="B4" s="208" t="s">
        <v>2</v>
      </c>
      <c r="C4" s="209">
        <f>'ДУ-1 Пункт відв'!J7*1.2</f>
        <v>0</v>
      </c>
    </row>
    <row r="5" spans="2:3" x14ac:dyDescent="0.3">
      <c r="B5" s="208" t="s">
        <v>3</v>
      </c>
      <c r="C5" s="209">
        <f>'ДУ-4 Охолодж макухи'!J8*1.2</f>
        <v>80628.623999999996</v>
      </c>
    </row>
    <row r="6" spans="2:3" x14ac:dyDescent="0.3">
      <c r="B6" s="208" t="s">
        <v>4</v>
      </c>
      <c r="C6" s="209">
        <f>'ДУ-5 Охолодж шроту'!J6*1.2</f>
        <v>0</v>
      </c>
    </row>
    <row r="7" spans="2:3" x14ac:dyDescent="0.3">
      <c r="B7" s="208" t="s">
        <v>5</v>
      </c>
      <c r="C7" s="209">
        <f>'ДУ-6 Транспортгалерея'!J9*1.2</f>
        <v>0</v>
      </c>
    </row>
    <row r="8" spans="2:3" x14ac:dyDescent="0.3">
      <c r="B8" s="208" t="s">
        <v>6</v>
      </c>
      <c r="C8" s="209">
        <f>'ДУ-7 Градирня'!J44*1.2</f>
        <v>259774.91999999993</v>
      </c>
    </row>
    <row r="9" spans="2:3" x14ac:dyDescent="0.3">
      <c r="B9" s="208" t="s">
        <v>7</v>
      </c>
      <c r="C9" s="209">
        <f>'олійно екстракційний'!J11*1.2</f>
        <v>0</v>
      </c>
    </row>
    <row r="10" spans="2:3" x14ac:dyDescent="0.3">
      <c r="C10" s="210">
        <f>SUM(C2:C9)</f>
        <v>421455.13199999993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BA4-3225-425C-911D-65BD5F1CDB33}">
  <sheetPr filterMode="1"/>
  <dimension ref="A1:L65"/>
  <sheetViews>
    <sheetView topLeftCell="A57" workbookViewId="0">
      <selection activeCell="J65" sqref="J65"/>
    </sheetView>
  </sheetViews>
  <sheetFormatPr defaultRowHeight="14.4" x14ac:dyDescent="0.3"/>
  <cols>
    <col min="2" max="4" width="33" customWidth="1"/>
  </cols>
  <sheetData>
    <row r="1" spans="1:12" x14ac:dyDescent="0.3">
      <c r="A1" s="1" t="s">
        <v>8</v>
      </c>
      <c r="B1" s="2" t="s">
        <v>9</v>
      </c>
      <c r="C1" s="2" t="s">
        <v>10</v>
      </c>
      <c r="D1" s="3" t="s">
        <v>11</v>
      </c>
      <c r="E1" s="4" t="s">
        <v>12</v>
      </c>
      <c r="F1" s="4"/>
      <c r="G1" s="4"/>
      <c r="H1" s="5" t="s">
        <v>13</v>
      </c>
      <c r="I1" s="5"/>
      <c r="J1" s="5"/>
      <c r="K1" s="2" t="s">
        <v>14</v>
      </c>
      <c r="L1" s="2"/>
    </row>
    <row r="2" spans="1:12" hidden="1" x14ac:dyDescent="0.3">
      <c r="A2" s="6"/>
      <c r="B2" s="7"/>
      <c r="C2" s="7"/>
      <c r="D2" s="8"/>
      <c r="E2" s="9" t="s">
        <v>15</v>
      </c>
      <c r="F2" s="10"/>
      <c r="G2" s="10"/>
      <c r="H2" s="11" t="s">
        <v>15</v>
      </c>
      <c r="I2" s="12"/>
      <c r="J2" s="12"/>
      <c r="K2" s="6"/>
      <c r="L2" s="13"/>
    </row>
    <row r="3" spans="1:12" ht="51" x14ac:dyDescent="0.3">
      <c r="A3" s="14" t="s">
        <v>17</v>
      </c>
      <c r="B3" s="15" t="s">
        <v>18</v>
      </c>
      <c r="C3" s="15" t="s">
        <v>19</v>
      </c>
      <c r="D3" s="15" t="s">
        <v>20</v>
      </c>
      <c r="E3" s="16" t="s">
        <v>21</v>
      </c>
      <c r="F3" s="17" t="s">
        <v>22</v>
      </c>
      <c r="G3" s="17"/>
      <c r="H3" s="16" t="s">
        <v>23</v>
      </c>
      <c r="I3" s="18">
        <v>9424</v>
      </c>
      <c r="J3" s="18"/>
      <c r="K3" s="19" t="s">
        <v>16</v>
      </c>
      <c r="L3" s="20">
        <v>377008.17</v>
      </c>
    </row>
    <row r="4" spans="1:12" ht="51" x14ac:dyDescent="0.3">
      <c r="A4" s="14" t="s">
        <v>17</v>
      </c>
      <c r="B4" s="15" t="s">
        <v>18</v>
      </c>
      <c r="C4" s="15" t="s">
        <v>19</v>
      </c>
      <c r="D4" s="15" t="s">
        <v>24</v>
      </c>
      <c r="E4" s="16" t="s">
        <v>21</v>
      </c>
      <c r="F4" s="17" t="s">
        <v>22</v>
      </c>
      <c r="G4" s="17"/>
      <c r="H4" s="16" t="s">
        <v>23</v>
      </c>
      <c r="I4" s="21">
        <v>736.66</v>
      </c>
      <c r="J4" s="21"/>
      <c r="K4" s="19" t="s">
        <v>16</v>
      </c>
      <c r="L4" s="20">
        <v>376271.51</v>
      </c>
    </row>
    <row r="5" spans="1:12" ht="51" x14ac:dyDescent="0.3">
      <c r="A5" s="14" t="s">
        <v>17</v>
      </c>
      <c r="B5" s="15" t="s">
        <v>25</v>
      </c>
      <c r="C5" s="15" t="s">
        <v>19</v>
      </c>
      <c r="D5" s="15" t="s">
        <v>20</v>
      </c>
      <c r="E5" s="16" t="s">
        <v>21</v>
      </c>
      <c r="F5" s="17" t="s">
        <v>22</v>
      </c>
      <c r="G5" s="17"/>
      <c r="H5" s="16" t="s">
        <v>23</v>
      </c>
      <c r="I5" s="18">
        <v>1915.2</v>
      </c>
      <c r="J5" s="18"/>
      <c r="K5" s="19" t="s">
        <v>16</v>
      </c>
      <c r="L5" s="20">
        <v>374356.31</v>
      </c>
    </row>
    <row r="6" spans="1:12" ht="51" x14ac:dyDescent="0.3">
      <c r="A6" s="14" t="s">
        <v>17</v>
      </c>
      <c r="B6" s="15" t="s">
        <v>25</v>
      </c>
      <c r="C6" s="15" t="s">
        <v>19</v>
      </c>
      <c r="D6" s="15" t="s">
        <v>26</v>
      </c>
      <c r="E6" s="16" t="s">
        <v>21</v>
      </c>
      <c r="F6" s="17" t="s">
        <v>22</v>
      </c>
      <c r="G6" s="17"/>
      <c r="H6" s="16" t="s">
        <v>23</v>
      </c>
      <c r="I6" s="21">
        <v>41.87</v>
      </c>
      <c r="J6" s="21"/>
      <c r="K6" s="19" t="s">
        <v>16</v>
      </c>
      <c r="L6" s="20">
        <v>374314.44</v>
      </c>
    </row>
    <row r="7" spans="1:12" ht="51" x14ac:dyDescent="0.3">
      <c r="A7" s="14" t="s">
        <v>17</v>
      </c>
      <c r="B7" s="15" t="s">
        <v>25</v>
      </c>
      <c r="C7" s="15" t="s">
        <v>19</v>
      </c>
      <c r="D7" s="15" t="s">
        <v>27</v>
      </c>
      <c r="E7" s="16" t="s">
        <v>21</v>
      </c>
      <c r="F7" s="17" t="s">
        <v>22</v>
      </c>
      <c r="G7" s="17"/>
      <c r="H7" s="16" t="s">
        <v>23</v>
      </c>
      <c r="I7" s="21">
        <v>117.34</v>
      </c>
      <c r="J7" s="21"/>
      <c r="K7" s="19" t="s">
        <v>16</v>
      </c>
      <c r="L7" s="20">
        <v>374197.1</v>
      </c>
    </row>
    <row r="8" spans="1:12" ht="51" x14ac:dyDescent="0.3">
      <c r="A8" s="14" t="s">
        <v>17</v>
      </c>
      <c r="B8" s="15" t="s">
        <v>25</v>
      </c>
      <c r="C8" s="15" t="s">
        <v>19</v>
      </c>
      <c r="D8" s="15" t="s">
        <v>28</v>
      </c>
      <c r="E8" s="16" t="s">
        <v>21</v>
      </c>
      <c r="F8" s="17" t="s">
        <v>22</v>
      </c>
      <c r="G8" s="17"/>
      <c r="H8" s="16" t="s">
        <v>23</v>
      </c>
      <c r="I8" s="21">
        <v>23</v>
      </c>
      <c r="J8" s="21"/>
      <c r="K8" s="19" t="s">
        <v>16</v>
      </c>
      <c r="L8" s="20">
        <v>374174.1</v>
      </c>
    </row>
    <row r="9" spans="1:12" ht="51" x14ac:dyDescent="0.3">
      <c r="A9" s="14" t="s">
        <v>17</v>
      </c>
      <c r="B9" s="15" t="s">
        <v>25</v>
      </c>
      <c r="C9" s="15" t="s">
        <v>19</v>
      </c>
      <c r="D9" s="15" t="s">
        <v>29</v>
      </c>
      <c r="E9" s="16" t="s">
        <v>21</v>
      </c>
      <c r="F9" s="17" t="s">
        <v>22</v>
      </c>
      <c r="G9" s="17"/>
      <c r="H9" s="16" t="s">
        <v>23</v>
      </c>
      <c r="I9" s="18">
        <v>1796.14</v>
      </c>
      <c r="J9" s="18"/>
      <c r="K9" s="19" t="s">
        <v>16</v>
      </c>
      <c r="L9" s="20">
        <v>372377.96</v>
      </c>
    </row>
    <row r="10" spans="1:12" ht="51" x14ac:dyDescent="0.3">
      <c r="A10" s="14" t="s">
        <v>17</v>
      </c>
      <c r="B10" s="15" t="s">
        <v>25</v>
      </c>
      <c r="C10" s="15" t="s">
        <v>19</v>
      </c>
      <c r="D10" s="15" t="s">
        <v>29</v>
      </c>
      <c r="E10" s="16" t="s">
        <v>21</v>
      </c>
      <c r="F10" s="17" t="s">
        <v>22</v>
      </c>
      <c r="G10" s="17"/>
      <c r="H10" s="16" t="s">
        <v>23</v>
      </c>
      <c r="I10" s="18">
        <v>6013.16</v>
      </c>
      <c r="J10" s="18"/>
      <c r="K10" s="19" t="s">
        <v>16</v>
      </c>
      <c r="L10" s="20">
        <v>366364.8</v>
      </c>
    </row>
    <row r="11" spans="1:12" ht="51" x14ac:dyDescent="0.3">
      <c r="A11" s="14" t="s">
        <v>17</v>
      </c>
      <c r="B11" s="15" t="s">
        <v>25</v>
      </c>
      <c r="C11" s="15" t="s">
        <v>19</v>
      </c>
      <c r="D11" s="15" t="s">
        <v>30</v>
      </c>
      <c r="E11" s="16" t="s">
        <v>21</v>
      </c>
      <c r="F11" s="17" t="s">
        <v>22</v>
      </c>
      <c r="G11" s="17"/>
      <c r="H11" s="16" t="s">
        <v>23</v>
      </c>
      <c r="I11" s="18">
        <v>2136.2399999999998</v>
      </c>
      <c r="J11" s="18"/>
      <c r="K11" s="19" t="s">
        <v>16</v>
      </c>
      <c r="L11" s="20">
        <v>364228.56</v>
      </c>
    </row>
    <row r="12" spans="1:12" ht="51" x14ac:dyDescent="0.3">
      <c r="A12" s="14" t="s">
        <v>17</v>
      </c>
      <c r="B12" s="15" t="s">
        <v>25</v>
      </c>
      <c r="C12" s="15" t="s">
        <v>19</v>
      </c>
      <c r="D12" s="15" t="s">
        <v>31</v>
      </c>
      <c r="E12" s="16" t="s">
        <v>21</v>
      </c>
      <c r="F12" s="17" t="s">
        <v>22</v>
      </c>
      <c r="G12" s="17"/>
      <c r="H12" s="16" t="s">
        <v>23</v>
      </c>
      <c r="I12" s="18">
        <v>2429.4699999999998</v>
      </c>
      <c r="J12" s="18"/>
      <c r="K12" s="19" t="s">
        <v>16</v>
      </c>
      <c r="L12" s="20">
        <v>361799.09</v>
      </c>
    </row>
    <row r="13" spans="1:12" ht="51" x14ac:dyDescent="0.3">
      <c r="A13" s="14" t="s">
        <v>17</v>
      </c>
      <c r="B13" s="15" t="s">
        <v>25</v>
      </c>
      <c r="C13" s="15" t="s">
        <v>19</v>
      </c>
      <c r="D13" s="15" t="s">
        <v>32</v>
      </c>
      <c r="E13" s="16" t="s">
        <v>21</v>
      </c>
      <c r="F13" s="17" t="s">
        <v>22</v>
      </c>
      <c r="G13" s="17"/>
      <c r="H13" s="16" t="s">
        <v>23</v>
      </c>
      <c r="I13" s="21">
        <v>946.51</v>
      </c>
      <c r="J13" s="21"/>
      <c r="K13" s="19" t="s">
        <v>16</v>
      </c>
      <c r="L13" s="20">
        <v>360852.58</v>
      </c>
    </row>
    <row r="14" spans="1:12" ht="51" x14ac:dyDescent="0.3">
      <c r="A14" s="14" t="s">
        <v>17</v>
      </c>
      <c r="B14" s="15" t="s">
        <v>25</v>
      </c>
      <c r="C14" s="15" t="s">
        <v>19</v>
      </c>
      <c r="D14" s="15" t="s">
        <v>32</v>
      </c>
      <c r="E14" s="16" t="s">
        <v>21</v>
      </c>
      <c r="F14" s="17" t="s">
        <v>22</v>
      </c>
      <c r="G14" s="17"/>
      <c r="H14" s="16" t="s">
        <v>23</v>
      </c>
      <c r="I14" s="18">
        <v>2159.23</v>
      </c>
      <c r="J14" s="18"/>
      <c r="K14" s="19" t="s">
        <v>16</v>
      </c>
      <c r="L14" s="20">
        <v>358693.35</v>
      </c>
    </row>
    <row r="15" spans="1:12" ht="51" x14ac:dyDescent="0.3">
      <c r="A15" s="14" t="s">
        <v>17</v>
      </c>
      <c r="B15" s="15" t="s">
        <v>25</v>
      </c>
      <c r="C15" s="15" t="s">
        <v>19</v>
      </c>
      <c r="D15" s="15" t="s">
        <v>33</v>
      </c>
      <c r="E15" s="16" t="s">
        <v>21</v>
      </c>
      <c r="F15" s="17" t="s">
        <v>22</v>
      </c>
      <c r="G15" s="17"/>
      <c r="H15" s="16" t="s">
        <v>23</v>
      </c>
      <c r="I15" s="21">
        <v>272.36</v>
      </c>
      <c r="J15" s="21"/>
      <c r="K15" s="19" t="s">
        <v>16</v>
      </c>
      <c r="L15" s="20">
        <v>358420.99</v>
      </c>
    </row>
    <row r="16" spans="1:12" ht="51" x14ac:dyDescent="0.3">
      <c r="A16" s="14" t="s">
        <v>17</v>
      </c>
      <c r="B16" s="15" t="s">
        <v>25</v>
      </c>
      <c r="C16" s="15" t="s">
        <v>19</v>
      </c>
      <c r="D16" s="15" t="s">
        <v>34</v>
      </c>
      <c r="E16" s="16" t="s">
        <v>21</v>
      </c>
      <c r="F16" s="17" t="s">
        <v>22</v>
      </c>
      <c r="G16" s="17"/>
      <c r="H16" s="16" t="s">
        <v>23</v>
      </c>
      <c r="I16" s="21">
        <v>519.96</v>
      </c>
      <c r="J16" s="21"/>
      <c r="K16" s="19" t="s">
        <v>16</v>
      </c>
      <c r="L16" s="20">
        <v>357901.03</v>
      </c>
    </row>
    <row r="17" spans="1:12" ht="51" x14ac:dyDescent="0.3">
      <c r="A17" s="14" t="s">
        <v>17</v>
      </c>
      <c r="B17" s="15" t="s">
        <v>25</v>
      </c>
      <c r="C17" s="15" t="s">
        <v>19</v>
      </c>
      <c r="D17" s="15" t="s">
        <v>34</v>
      </c>
      <c r="E17" s="16" t="s">
        <v>21</v>
      </c>
      <c r="F17" s="17" t="s">
        <v>22</v>
      </c>
      <c r="G17" s="17"/>
      <c r="H17" s="16" t="s">
        <v>23</v>
      </c>
      <c r="I17" s="21">
        <v>272.36</v>
      </c>
      <c r="J17" s="21"/>
      <c r="K17" s="19" t="s">
        <v>16</v>
      </c>
      <c r="L17" s="20">
        <v>357628.67</v>
      </c>
    </row>
    <row r="18" spans="1:12" ht="51" x14ac:dyDescent="0.3">
      <c r="A18" s="14" t="s">
        <v>17</v>
      </c>
      <c r="B18" s="15" t="s">
        <v>25</v>
      </c>
      <c r="C18" s="15" t="s">
        <v>19</v>
      </c>
      <c r="D18" s="15" t="s">
        <v>35</v>
      </c>
      <c r="E18" s="16" t="s">
        <v>21</v>
      </c>
      <c r="F18" s="17" t="s">
        <v>22</v>
      </c>
      <c r="G18" s="17"/>
      <c r="H18" s="16" t="s">
        <v>23</v>
      </c>
      <c r="I18" s="21">
        <v>891.36</v>
      </c>
      <c r="J18" s="21"/>
      <c r="K18" s="19" t="s">
        <v>16</v>
      </c>
      <c r="L18" s="20">
        <v>356737.31</v>
      </c>
    </row>
    <row r="19" spans="1:12" ht="51" x14ac:dyDescent="0.3">
      <c r="A19" s="14" t="s">
        <v>17</v>
      </c>
      <c r="B19" s="15" t="s">
        <v>25</v>
      </c>
      <c r="C19" s="15" t="s">
        <v>19</v>
      </c>
      <c r="D19" s="15" t="s">
        <v>36</v>
      </c>
      <c r="E19" s="16" t="s">
        <v>21</v>
      </c>
      <c r="F19" s="17" t="s">
        <v>22</v>
      </c>
      <c r="G19" s="17"/>
      <c r="H19" s="16" t="s">
        <v>23</v>
      </c>
      <c r="I19" s="18">
        <v>1161.22</v>
      </c>
      <c r="J19" s="18"/>
      <c r="K19" s="19" t="s">
        <v>16</v>
      </c>
      <c r="L19" s="20">
        <v>355576.09</v>
      </c>
    </row>
    <row r="20" spans="1:12" ht="51" x14ac:dyDescent="0.3">
      <c r="A20" s="14" t="s">
        <v>17</v>
      </c>
      <c r="B20" s="15" t="s">
        <v>25</v>
      </c>
      <c r="C20" s="15" t="s">
        <v>19</v>
      </c>
      <c r="D20" s="15" t="s">
        <v>37</v>
      </c>
      <c r="E20" s="16" t="s">
        <v>21</v>
      </c>
      <c r="F20" s="17" t="s">
        <v>22</v>
      </c>
      <c r="G20" s="17"/>
      <c r="H20" s="16" t="s">
        <v>23</v>
      </c>
      <c r="I20" s="18">
        <v>5435.13</v>
      </c>
      <c r="J20" s="18"/>
      <c r="K20" s="19" t="s">
        <v>16</v>
      </c>
      <c r="L20" s="20">
        <v>350140.96</v>
      </c>
    </row>
    <row r="21" spans="1:12" ht="51" x14ac:dyDescent="0.3">
      <c r="A21" s="14" t="s">
        <v>17</v>
      </c>
      <c r="B21" s="15" t="s">
        <v>25</v>
      </c>
      <c r="C21" s="15" t="s">
        <v>19</v>
      </c>
      <c r="D21" s="15" t="s">
        <v>37</v>
      </c>
      <c r="E21" s="16" t="s">
        <v>21</v>
      </c>
      <c r="F21" s="17" t="s">
        <v>22</v>
      </c>
      <c r="G21" s="17"/>
      <c r="H21" s="16" t="s">
        <v>23</v>
      </c>
      <c r="I21" s="21">
        <v>278.20999999999998</v>
      </c>
      <c r="J21" s="21"/>
      <c r="K21" s="19" t="s">
        <v>16</v>
      </c>
      <c r="L21" s="20">
        <v>349862.75</v>
      </c>
    </row>
    <row r="22" spans="1:12" ht="51" x14ac:dyDescent="0.3">
      <c r="A22" s="14" t="s">
        <v>17</v>
      </c>
      <c r="B22" s="15" t="s">
        <v>25</v>
      </c>
      <c r="C22" s="15" t="s">
        <v>19</v>
      </c>
      <c r="D22" s="15" t="s">
        <v>38</v>
      </c>
      <c r="E22" s="16" t="s">
        <v>21</v>
      </c>
      <c r="F22" s="17" t="s">
        <v>22</v>
      </c>
      <c r="G22" s="17"/>
      <c r="H22" s="16" t="s">
        <v>23</v>
      </c>
      <c r="I22" s="21">
        <v>952.33</v>
      </c>
      <c r="J22" s="21"/>
      <c r="K22" s="19" t="s">
        <v>16</v>
      </c>
      <c r="L22" s="20">
        <v>348910.42</v>
      </c>
    </row>
    <row r="23" spans="1:12" ht="51" x14ac:dyDescent="0.3">
      <c r="A23" s="14" t="s">
        <v>17</v>
      </c>
      <c r="B23" s="15" t="s">
        <v>25</v>
      </c>
      <c r="C23" s="15" t="s">
        <v>19</v>
      </c>
      <c r="D23" s="15" t="s">
        <v>39</v>
      </c>
      <c r="E23" s="16" t="s">
        <v>21</v>
      </c>
      <c r="F23" s="17" t="s">
        <v>22</v>
      </c>
      <c r="G23" s="17"/>
      <c r="H23" s="16" t="s">
        <v>23</v>
      </c>
      <c r="I23" s="18">
        <v>1533.47</v>
      </c>
      <c r="J23" s="18"/>
      <c r="K23" s="19" t="s">
        <v>16</v>
      </c>
      <c r="L23" s="20">
        <v>347376.95</v>
      </c>
    </row>
    <row r="24" spans="1:12" ht="51" x14ac:dyDescent="0.3">
      <c r="A24" s="14" t="s">
        <v>17</v>
      </c>
      <c r="B24" s="15" t="s">
        <v>25</v>
      </c>
      <c r="C24" s="15" t="s">
        <v>19</v>
      </c>
      <c r="D24" s="15" t="s">
        <v>40</v>
      </c>
      <c r="E24" s="16" t="s">
        <v>21</v>
      </c>
      <c r="F24" s="17" t="s">
        <v>22</v>
      </c>
      <c r="G24" s="17"/>
      <c r="H24" s="16" t="s">
        <v>23</v>
      </c>
      <c r="I24" s="21">
        <v>190.53</v>
      </c>
      <c r="J24" s="21"/>
      <c r="K24" s="19" t="s">
        <v>16</v>
      </c>
      <c r="L24" s="20">
        <v>347186.42</v>
      </c>
    </row>
    <row r="25" spans="1:12" ht="51" x14ac:dyDescent="0.3">
      <c r="A25" s="14" t="s">
        <v>17</v>
      </c>
      <c r="B25" s="15" t="s">
        <v>41</v>
      </c>
      <c r="C25" s="15" t="s">
        <v>19</v>
      </c>
      <c r="D25" s="15" t="s">
        <v>42</v>
      </c>
      <c r="E25" s="16" t="s">
        <v>21</v>
      </c>
      <c r="F25" s="17" t="s">
        <v>22</v>
      </c>
      <c r="G25" s="17"/>
      <c r="H25" s="16" t="s">
        <v>23</v>
      </c>
      <c r="I25" s="18">
        <v>3130.4</v>
      </c>
      <c r="J25" s="18"/>
      <c r="K25" s="19" t="s">
        <v>16</v>
      </c>
      <c r="L25" s="20">
        <v>344056.02</v>
      </c>
    </row>
    <row r="26" spans="1:12" ht="51" hidden="1" x14ac:dyDescent="0.3">
      <c r="A26" s="14" t="s">
        <v>43</v>
      </c>
      <c r="B26" s="15" t="s">
        <v>44</v>
      </c>
      <c r="C26" s="15" t="s">
        <v>45</v>
      </c>
      <c r="D26" s="15" t="s">
        <v>46</v>
      </c>
      <c r="E26" s="16" t="s">
        <v>23</v>
      </c>
      <c r="F26" s="22">
        <v>408626.63</v>
      </c>
      <c r="G26" s="22"/>
      <c r="H26" s="16" t="s">
        <v>47</v>
      </c>
      <c r="I26" s="23" t="s">
        <v>22</v>
      </c>
      <c r="J26" s="23"/>
      <c r="K26" s="19" t="s">
        <v>16</v>
      </c>
      <c r="L26" s="20">
        <v>752682.65</v>
      </c>
    </row>
    <row r="27" spans="1:12" ht="51" hidden="1" x14ac:dyDescent="0.3">
      <c r="A27" s="14" t="s">
        <v>43</v>
      </c>
      <c r="B27" s="15" t="s">
        <v>48</v>
      </c>
      <c r="C27" s="15" t="s">
        <v>45</v>
      </c>
      <c r="D27" s="15" t="s">
        <v>46</v>
      </c>
      <c r="E27" s="16" t="s">
        <v>23</v>
      </c>
      <c r="F27" s="22">
        <v>15000</v>
      </c>
      <c r="G27" s="22"/>
      <c r="H27" s="16" t="s">
        <v>47</v>
      </c>
      <c r="I27" s="23" t="s">
        <v>22</v>
      </c>
      <c r="J27" s="23"/>
      <c r="K27" s="19" t="s">
        <v>16</v>
      </c>
      <c r="L27" s="20">
        <v>767682.65</v>
      </c>
    </row>
    <row r="28" spans="1:12" ht="51" x14ac:dyDescent="0.3">
      <c r="A28" s="14" t="s">
        <v>43</v>
      </c>
      <c r="B28" s="15" t="s">
        <v>49</v>
      </c>
      <c r="C28" s="15" t="s">
        <v>19</v>
      </c>
      <c r="D28" s="15" t="s">
        <v>50</v>
      </c>
      <c r="E28" s="16" t="s">
        <v>21</v>
      </c>
      <c r="F28" s="17" t="s">
        <v>22</v>
      </c>
      <c r="G28" s="17"/>
      <c r="H28" s="16" t="s">
        <v>23</v>
      </c>
      <c r="I28" s="18">
        <v>1394.4</v>
      </c>
      <c r="J28" s="18"/>
      <c r="K28" s="19" t="s">
        <v>16</v>
      </c>
      <c r="L28" s="20">
        <v>766288.25</v>
      </c>
    </row>
    <row r="29" spans="1:12" ht="61.2" hidden="1" x14ac:dyDescent="0.3">
      <c r="A29" s="14" t="s">
        <v>51</v>
      </c>
      <c r="B29" s="15" t="s">
        <v>52</v>
      </c>
      <c r="C29" s="15" t="s">
        <v>53</v>
      </c>
      <c r="D29" s="15" t="s">
        <v>54</v>
      </c>
      <c r="E29" s="16" t="s">
        <v>23</v>
      </c>
      <c r="F29" s="22">
        <v>2580.67</v>
      </c>
      <c r="G29" s="22"/>
      <c r="H29" s="16" t="s">
        <v>47</v>
      </c>
      <c r="I29" s="23" t="s">
        <v>22</v>
      </c>
      <c r="J29" s="23"/>
      <c r="K29" s="19" t="s">
        <v>16</v>
      </c>
      <c r="L29" s="20">
        <v>768868.92</v>
      </c>
    </row>
    <row r="30" spans="1:12" ht="51" hidden="1" x14ac:dyDescent="0.3">
      <c r="A30" s="14" t="s">
        <v>55</v>
      </c>
      <c r="B30" s="15" t="s">
        <v>56</v>
      </c>
      <c r="C30" s="15" t="s">
        <v>57</v>
      </c>
      <c r="D30" s="15" t="s">
        <v>58</v>
      </c>
      <c r="E30" s="16" t="s">
        <v>23</v>
      </c>
      <c r="F30" s="22">
        <v>11749.5</v>
      </c>
      <c r="G30" s="22"/>
      <c r="H30" s="16" t="s">
        <v>47</v>
      </c>
      <c r="I30" s="23" t="s">
        <v>22</v>
      </c>
      <c r="J30" s="23"/>
      <c r="K30" s="19" t="s">
        <v>16</v>
      </c>
      <c r="L30" s="20">
        <v>780618.42</v>
      </c>
    </row>
    <row r="31" spans="1:12" ht="51" hidden="1" x14ac:dyDescent="0.3">
      <c r="A31" s="14" t="s">
        <v>55</v>
      </c>
      <c r="B31" s="15" t="s">
        <v>56</v>
      </c>
      <c r="C31" s="15" t="s">
        <v>59</v>
      </c>
      <c r="D31" s="15" t="s">
        <v>58</v>
      </c>
      <c r="E31" s="16" t="s">
        <v>23</v>
      </c>
      <c r="F31" s="22">
        <v>3000</v>
      </c>
      <c r="G31" s="22"/>
      <c r="H31" s="16" t="s">
        <v>47</v>
      </c>
      <c r="I31" s="23" t="s">
        <v>22</v>
      </c>
      <c r="J31" s="23"/>
      <c r="K31" s="19" t="s">
        <v>16</v>
      </c>
      <c r="L31" s="20">
        <v>783618.42</v>
      </c>
    </row>
    <row r="32" spans="1:12" ht="51" hidden="1" x14ac:dyDescent="0.3">
      <c r="A32" s="14" t="s">
        <v>55</v>
      </c>
      <c r="B32" s="15" t="s">
        <v>56</v>
      </c>
      <c r="C32" s="15" t="s">
        <v>60</v>
      </c>
      <c r="D32" s="15" t="s">
        <v>58</v>
      </c>
      <c r="E32" s="16" t="s">
        <v>23</v>
      </c>
      <c r="F32" s="22">
        <v>3283.5</v>
      </c>
      <c r="G32" s="22"/>
      <c r="H32" s="16" t="s">
        <v>47</v>
      </c>
      <c r="I32" s="23" t="s">
        <v>22</v>
      </c>
      <c r="J32" s="23"/>
      <c r="K32" s="19" t="s">
        <v>16</v>
      </c>
      <c r="L32" s="20">
        <v>786901.92</v>
      </c>
    </row>
    <row r="33" spans="1:12" ht="61.2" hidden="1" x14ac:dyDescent="0.3">
      <c r="A33" s="14" t="s">
        <v>61</v>
      </c>
      <c r="B33" s="15" t="s">
        <v>62</v>
      </c>
      <c r="C33" s="15" t="s">
        <v>63</v>
      </c>
      <c r="D33" s="15" t="s">
        <v>64</v>
      </c>
      <c r="E33" s="16" t="s">
        <v>23</v>
      </c>
      <c r="F33" s="22">
        <v>2768.4</v>
      </c>
      <c r="G33" s="22"/>
      <c r="H33" s="16" t="s">
        <v>47</v>
      </c>
      <c r="I33" s="23" t="s">
        <v>22</v>
      </c>
      <c r="J33" s="23"/>
      <c r="K33" s="19" t="s">
        <v>16</v>
      </c>
      <c r="L33" s="20">
        <v>789670.32</v>
      </c>
    </row>
    <row r="34" spans="1:12" ht="61.2" hidden="1" x14ac:dyDescent="0.3">
      <c r="A34" s="14" t="s">
        <v>61</v>
      </c>
      <c r="B34" s="15" t="s">
        <v>62</v>
      </c>
      <c r="C34" s="15" t="s">
        <v>65</v>
      </c>
      <c r="D34" s="15" t="s">
        <v>64</v>
      </c>
      <c r="E34" s="16" t="s">
        <v>23</v>
      </c>
      <c r="F34" s="22">
        <v>5087.2</v>
      </c>
      <c r="G34" s="22"/>
      <c r="H34" s="16" t="s">
        <v>47</v>
      </c>
      <c r="I34" s="23" t="s">
        <v>22</v>
      </c>
      <c r="J34" s="23"/>
      <c r="K34" s="19" t="s">
        <v>16</v>
      </c>
      <c r="L34" s="20">
        <v>794757.52</v>
      </c>
    </row>
    <row r="35" spans="1:12" ht="61.2" hidden="1" x14ac:dyDescent="0.3">
      <c r="A35" s="14" t="s">
        <v>61</v>
      </c>
      <c r="B35" s="15" t="s">
        <v>62</v>
      </c>
      <c r="C35" s="15" t="s">
        <v>66</v>
      </c>
      <c r="D35" s="15" t="s">
        <v>64</v>
      </c>
      <c r="E35" s="16" t="s">
        <v>23</v>
      </c>
      <c r="F35" s="22">
        <v>2955.4</v>
      </c>
      <c r="G35" s="22"/>
      <c r="H35" s="16" t="s">
        <v>47</v>
      </c>
      <c r="I35" s="23" t="s">
        <v>22</v>
      </c>
      <c r="J35" s="23"/>
      <c r="K35" s="19" t="s">
        <v>16</v>
      </c>
      <c r="L35" s="20">
        <v>797712.92</v>
      </c>
    </row>
    <row r="36" spans="1:12" ht="61.2" hidden="1" x14ac:dyDescent="0.3">
      <c r="A36" s="14" t="s">
        <v>61</v>
      </c>
      <c r="B36" s="15" t="s">
        <v>62</v>
      </c>
      <c r="C36" s="15" t="s">
        <v>67</v>
      </c>
      <c r="D36" s="15" t="s">
        <v>64</v>
      </c>
      <c r="E36" s="16" t="s">
        <v>23</v>
      </c>
      <c r="F36" s="22">
        <v>4440.92</v>
      </c>
      <c r="G36" s="22"/>
      <c r="H36" s="16" t="s">
        <v>47</v>
      </c>
      <c r="I36" s="23" t="s">
        <v>22</v>
      </c>
      <c r="J36" s="23"/>
      <c r="K36" s="19" t="s">
        <v>16</v>
      </c>
      <c r="L36" s="20">
        <v>802153.84</v>
      </c>
    </row>
    <row r="37" spans="1:12" ht="61.2" hidden="1" x14ac:dyDescent="0.3">
      <c r="A37" s="14" t="s">
        <v>61</v>
      </c>
      <c r="B37" s="15" t="s">
        <v>62</v>
      </c>
      <c r="C37" s="15" t="s">
        <v>68</v>
      </c>
      <c r="D37" s="15" t="s">
        <v>64</v>
      </c>
      <c r="E37" s="16" t="s">
        <v>23</v>
      </c>
      <c r="F37" s="22">
        <v>2313.36</v>
      </c>
      <c r="G37" s="22"/>
      <c r="H37" s="16" t="s">
        <v>47</v>
      </c>
      <c r="I37" s="23" t="s">
        <v>22</v>
      </c>
      <c r="J37" s="23"/>
      <c r="K37" s="19" t="s">
        <v>16</v>
      </c>
      <c r="L37" s="20">
        <v>804467.19999999995</v>
      </c>
    </row>
    <row r="38" spans="1:12" ht="61.2" hidden="1" x14ac:dyDescent="0.3">
      <c r="A38" s="14" t="s">
        <v>61</v>
      </c>
      <c r="B38" s="15" t="s">
        <v>62</v>
      </c>
      <c r="C38" s="15" t="s">
        <v>69</v>
      </c>
      <c r="D38" s="15" t="s">
        <v>64</v>
      </c>
      <c r="E38" s="16" t="s">
        <v>23</v>
      </c>
      <c r="F38" s="22">
        <v>1496.04</v>
      </c>
      <c r="G38" s="22"/>
      <c r="H38" s="16" t="s">
        <v>47</v>
      </c>
      <c r="I38" s="23" t="s">
        <v>22</v>
      </c>
      <c r="J38" s="23"/>
      <c r="K38" s="19" t="s">
        <v>16</v>
      </c>
      <c r="L38" s="20">
        <v>805963.24</v>
      </c>
    </row>
    <row r="39" spans="1:12" ht="51" hidden="1" x14ac:dyDescent="0.3">
      <c r="A39" s="14" t="s">
        <v>61</v>
      </c>
      <c r="B39" s="15" t="s">
        <v>62</v>
      </c>
      <c r="C39" s="15" t="s">
        <v>70</v>
      </c>
      <c r="D39" s="15" t="s">
        <v>64</v>
      </c>
      <c r="E39" s="16" t="s">
        <v>23</v>
      </c>
      <c r="F39" s="24">
        <v>590</v>
      </c>
      <c r="G39" s="24"/>
      <c r="H39" s="16" t="s">
        <v>47</v>
      </c>
      <c r="I39" s="23" t="s">
        <v>22</v>
      </c>
      <c r="J39" s="23"/>
      <c r="K39" s="19" t="s">
        <v>16</v>
      </c>
      <c r="L39" s="20">
        <v>806553.24</v>
      </c>
    </row>
    <row r="40" spans="1:12" ht="61.2" hidden="1" x14ac:dyDescent="0.3">
      <c r="A40" s="14" t="s">
        <v>61</v>
      </c>
      <c r="B40" s="15" t="s">
        <v>71</v>
      </c>
      <c r="C40" s="15" t="s">
        <v>72</v>
      </c>
      <c r="D40" s="15" t="s">
        <v>73</v>
      </c>
      <c r="E40" s="16" t="s">
        <v>23</v>
      </c>
      <c r="F40" s="22">
        <v>58601.85</v>
      </c>
      <c r="G40" s="22"/>
      <c r="H40" s="16" t="s">
        <v>47</v>
      </c>
      <c r="I40" s="23" t="s">
        <v>22</v>
      </c>
      <c r="J40" s="23"/>
      <c r="K40" s="19" t="s">
        <v>16</v>
      </c>
      <c r="L40" s="20">
        <v>865155.09</v>
      </c>
    </row>
    <row r="41" spans="1:12" ht="51" hidden="1" x14ac:dyDescent="0.3">
      <c r="A41" s="14" t="s">
        <v>61</v>
      </c>
      <c r="B41" s="15" t="s">
        <v>74</v>
      </c>
      <c r="C41" s="15" t="s">
        <v>75</v>
      </c>
      <c r="D41" s="15" t="s">
        <v>73</v>
      </c>
      <c r="E41" s="16" t="s">
        <v>23</v>
      </c>
      <c r="F41" s="22">
        <v>2740</v>
      </c>
      <c r="G41" s="22"/>
      <c r="H41" s="16" t="s">
        <v>47</v>
      </c>
      <c r="I41" s="23" t="s">
        <v>22</v>
      </c>
      <c r="J41" s="23"/>
      <c r="K41" s="19" t="s">
        <v>16</v>
      </c>
      <c r="L41" s="20">
        <v>867895.09</v>
      </c>
    </row>
    <row r="42" spans="1:12" ht="51" hidden="1" x14ac:dyDescent="0.3">
      <c r="A42" s="14" t="s">
        <v>76</v>
      </c>
      <c r="B42" s="15" t="s">
        <v>77</v>
      </c>
      <c r="C42" s="15" t="s">
        <v>78</v>
      </c>
      <c r="D42" s="15" t="s">
        <v>79</v>
      </c>
      <c r="E42" s="16" t="s">
        <v>23</v>
      </c>
      <c r="F42" s="22">
        <v>6716</v>
      </c>
      <c r="G42" s="22"/>
      <c r="H42" s="16" t="s">
        <v>47</v>
      </c>
      <c r="I42" s="23" t="s">
        <v>22</v>
      </c>
      <c r="J42" s="23"/>
      <c r="K42" s="19" t="s">
        <v>16</v>
      </c>
      <c r="L42" s="20">
        <v>874611.09</v>
      </c>
    </row>
    <row r="43" spans="1:12" ht="51" hidden="1" x14ac:dyDescent="0.3">
      <c r="A43" s="14" t="s">
        <v>76</v>
      </c>
      <c r="B43" s="15" t="s">
        <v>77</v>
      </c>
      <c r="C43" s="15" t="s">
        <v>80</v>
      </c>
      <c r="D43" s="15" t="s">
        <v>79</v>
      </c>
      <c r="E43" s="16" t="s">
        <v>23</v>
      </c>
      <c r="F43" s="22">
        <v>4514.32</v>
      </c>
      <c r="G43" s="22"/>
      <c r="H43" s="16" t="s">
        <v>47</v>
      </c>
      <c r="I43" s="23" t="s">
        <v>22</v>
      </c>
      <c r="J43" s="23"/>
      <c r="K43" s="19" t="s">
        <v>16</v>
      </c>
      <c r="L43" s="20">
        <v>879125.41</v>
      </c>
    </row>
    <row r="44" spans="1:12" ht="51" hidden="1" x14ac:dyDescent="0.3">
      <c r="A44" s="14" t="s">
        <v>76</v>
      </c>
      <c r="B44" s="15" t="s">
        <v>77</v>
      </c>
      <c r="C44" s="15" t="s">
        <v>81</v>
      </c>
      <c r="D44" s="15" t="s">
        <v>79</v>
      </c>
      <c r="E44" s="16" t="s">
        <v>23</v>
      </c>
      <c r="F44" s="22">
        <v>2418.2399999999998</v>
      </c>
      <c r="G44" s="22"/>
      <c r="H44" s="16" t="s">
        <v>47</v>
      </c>
      <c r="I44" s="23" t="s">
        <v>22</v>
      </c>
      <c r="J44" s="23"/>
      <c r="K44" s="19" t="s">
        <v>16</v>
      </c>
      <c r="L44" s="20">
        <v>881543.65</v>
      </c>
    </row>
    <row r="45" spans="1:12" ht="51" hidden="1" x14ac:dyDescent="0.3">
      <c r="A45" s="14" t="s">
        <v>76</v>
      </c>
      <c r="B45" s="15" t="s">
        <v>77</v>
      </c>
      <c r="C45" s="15" t="s">
        <v>82</v>
      </c>
      <c r="D45" s="15" t="s">
        <v>79</v>
      </c>
      <c r="E45" s="16" t="s">
        <v>23</v>
      </c>
      <c r="F45" s="22">
        <v>9282</v>
      </c>
      <c r="G45" s="22"/>
      <c r="H45" s="16" t="s">
        <v>47</v>
      </c>
      <c r="I45" s="23" t="s">
        <v>22</v>
      </c>
      <c r="J45" s="23"/>
      <c r="K45" s="19" t="s">
        <v>16</v>
      </c>
      <c r="L45" s="20">
        <v>890825.65</v>
      </c>
    </row>
    <row r="46" spans="1:12" ht="61.2" hidden="1" x14ac:dyDescent="0.3">
      <c r="A46" s="14" t="s">
        <v>76</v>
      </c>
      <c r="B46" s="15" t="s">
        <v>83</v>
      </c>
      <c r="C46" s="15" t="s">
        <v>84</v>
      </c>
      <c r="D46" s="15" t="s">
        <v>85</v>
      </c>
      <c r="E46" s="16" t="s">
        <v>23</v>
      </c>
      <c r="F46" s="24">
        <v>462.5</v>
      </c>
      <c r="G46" s="24"/>
      <c r="H46" s="16" t="s">
        <v>47</v>
      </c>
      <c r="I46" s="23" t="s">
        <v>22</v>
      </c>
      <c r="J46" s="23"/>
      <c r="K46" s="19" t="s">
        <v>16</v>
      </c>
      <c r="L46" s="20">
        <v>891288.15</v>
      </c>
    </row>
    <row r="47" spans="1:12" ht="61.2" hidden="1" x14ac:dyDescent="0.3">
      <c r="A47" s="14" t="s">
        <v>76</v>
      </c>
      <c r="B47" s="15" t="s">
        <v>86</v>
      </c>
      <c r="C47" s="15" t="s">
        <v>87</v>
      </c>
      <c r="D47" s="15" t="s">
        <v>64</v>
      </c>
      <c r="E47" s="16" t="s">
        <v>23</v>
      </c>
      <c r="F47" s="22">
        <v>1180</v>
      </c>
      <c r="G47" s="22"/>
      <c r="H47" s="16" t="s">
        <v>47</v>
      </c>
      <c r="I47" s="23" t="s">
        <v>22</v>
      </c>
      <c r="J47" s="23"/>
      <c r="K47" s="19" t="s">
        <v>16</v>
      </c>
      <c r="L47" s="20">
        <v>892468.15</v>
      </c>
    </row>
    <row r="48" spans="1:12" ht="51" x14ac:dyDescent="0.3">
      <c r="A48" s="14" t="s">
        <v>88</v>
      </c>
      <c r="B48" s="15" t="s">
        <v>89</v>
      </c>
      <c r="C48" s="15" t="s">
        <v>19</v>
      </c>
      <c r="D48" s="15" t="s">
        <v>37</v>
      </c>
      <c r="E48" s="16" t="s">
        <v>21</v>
      </c>
      <c r="F48" s="17" t="s">
        <v>22</v>
      </c>
      <c r="G48" s="17"/>
      <c r="H48" s="16" t="s">
        <v>23</v>
      </c>
      <c r="I48" s="21">
        <v>883.01</v>
      </c>
      <c r="J48" s="21"/>
      <c r="K48" s="19" t="s">
        <v>16</v>
      </c>
      <c r="L48" s="20">
        <v>891585.14</v>
      </c>
    </row>
    <row r="49" spans="1:12" ht="51" x14ac:dyDescent="0.3">
      <c r="A49" s="14" t="s">
        <v>88</v>
      </c>
      <c r="B49" s="15" t="s">
        <v>89</v>
      </c>
      <c r="C49" s="15" t="s">
        <v>19</v>
      </c>
      <c r="D49" s="15" t="s">
        <v>90</v>
      </c>
      <c r="E49" s="16" t="s">
        <v>21</v>
      </c>
      <c r="F49" s="17" t="s">
        <v>22</v>
      </c>
      <c r="G49" s="17"/>
      <c r="H49" s="16" t="s">
        <v>23</v>
      </c>
      <c r="I49" s="21">
        <v>4.9800000000000004</v>
      </c>
      <c r="J49" s="21"/>
      <c r="K49" s="19" t="s">
        <v>16</v>
      </c>
      <c r="L49" s="20">
        <v>891580.16</v>
      </c>
    </row>
    <row r="50" spans="1:12" ht="51" x14ac:dyDescent="0.3">
      <c r="A50" s="14" t="s">
        <v>88</v>
      </c>
      <c r="B50" s="15" t="s">
        <v>89</v>
      </c>
      <c r="C50" s="15" t="s">
        <v>19</v>
      </c>
      <c r="D50" s="15" t="s">
        <v>91</v>
      </c>
      <c r="E50" s="16" t="s">
        <v>21</v>
      </c>
      <c r="F50" s="17" t="s">
        <v>22</v>
      </c>
      <c r="G50" s="17"/>
      <c r="H50" s="16" t="s">
        <v>23</v>
      </c>
      <c r="I50" s="21">
        <v>587.07000000000005</v>
      </c>
      <c r="J50" s="21"/>
      <c r="K50" s="19" t="s">
        <v>16</v>
      </c>
      <c r="L50" s="20">
        <v>890993.09</v>
      </c>
    </row>
    <row r="51" spans="1:12" ht="51" x14ac:dyDescent="0.3">
      <c r="A51" s="14" t="s">
        <v>88</v>
      </c>
      <c r="B51" s="15" t="s">
        <v>89</v>
      </c>
      <c r="C51" s="15" t="s">
        <v>19</v>
      </c>
      <c r="D51" s="15" t="s">
        <v>92</v>
      </c>
      <c r="E51" s="16" t="s">
        <v>21</v>
      </c>
      <c r="F51" s="17" t="s">
        <v>22</v>
      </c>
      <c r="G51" s="17"/>
      <c r="H51" s="16" t="s">
        <v>23</v>
      </c>
      <c r="I51" s="21">
        <v>782.76</v>
      </c>
      <c r="J51" s="21"/>
      <c r="K51" s="19" t="s">
        <v>16</v>
      </c>
      <c r="L51" s="20">
        <v>890210.33</v>
      </c>
    </row>
    <row r="52" spans="1:12" ht="51" x14ac:dyDescent="0.3">
      <c r="A52" s="14" t="s">
        <v>88</v>
      </c>
      <c r="B52" s="15" t="s">
        <v>89</v>
      </c>
      <c r="C52" s="15" t="s">
        <v>19</v>
      </c>
      <c r="D52" s="15" t="s">
        <v>92</v>
      </c>
      <c r="E52" s="16" t="s">
        <v>21</v>
      </c>
      <c r="F52" s="17" t="s">
        <v>22</v>
      </c>
      <c r="G52" s="17"/>
      <c r="H52" s="16" t="s">
        <v>23</v>
      </c>
      <c r="I52" s="21">
        <v>5.93</v>
      </c>
      <c r="J52" s="21"/>
      <c r="K52" s="19" t="s">
        <v>16</v>
      </c>
      <c r="L52" s="20">
        <v>890204.4</v>
      </c>
    </row>
    <row r="53" spans="1:12" ht="51" x14ac:dyDescent="0.3">
      <c r="A53" s="14" t="s">
        <v>88</v>
      </c>
      <c r="B53" s="15" t="s">
        <v>89</v>
      </c>
      <c r="C53" s="15" t="s">
        <v>19</v>
      </c>
      <c r="D53" s="15" t="s">
        <v>92</v>
      </c>
      <c r="E53" s="16" t="s">
        <v>21</v>
      </c>
      <c r="F53" s="17" t="s">
        <v>22</v>
      </c>
      <c r="G53" s="17"/>
      <c r="H53" s="16" t="s">
        <v>23</v>
      </c>
      <c r="I53" s="21">
        <v>299.45999999999998</v>
      </c>
      <c r="J53" s="21"/>
      <c r="K53" s="19" t="s">
        <v>16</v>
      </c>
      <c r="L53" s="20">
        <v>889904.94</v>
      </c>
    </row>
    <row r="54" spans="1:12" ht="51" x14ac:dyDescent="0.3">
      <c r="A54" s="14" t="s">
        <v>88</v>
      </c>
      <c r="B54" s="15" t="s">
        <v>93</v>
      </c>
      <c r="C54" s="15" t="s">
        <v>19</v>
      </c>
      <c r="D54" s="15" t="s">
        <v>42</v>
      </c>
      <c r="E54" s="16" t="s">
        <v>21</v>
      </c>
      <c r="F54" s="17" t="s">
        <v>22</v>
      </c>
      <c r="G54" s="17"/>
      <c r="H54" s="16" t="s">
        <v>23</v>
      </c>
      <c r="I54" s="18">
        <v>1685.6</v>
      </c>
      <c r="J54" s="18"/>
      <c r="K54" s="19" t="s">
        <v>16</v>
      </c>
      <c r="L54" s="20">
        <v>888219.34</v>
      </c>
    </row>
    <row r="55" spans="1:12" ht="51" x14ac:dyDescent="0.3">
      <c r="A55" s="14" t="s">
        <v>88</v>
      </c>
      <c r="B55" s="15" t="s">
        <v>94</v>
      </c>
      <c r="C55" s="15" t="s">
        <v>19</v>
      </c>
      <c r="D55" s="15" t="s">
        <v>95</v>
      </c>
      <c r="E55" s="16" t="s">
        <v>21</v>
      </c>
      <c r="F55" s="17" t="s">
        <v>22</v>
      </c>
      <c r="G55" s="17"/>
      <c r="H55" s="16" t="s">
        <v>23</v>
      </c>
      <c r="I55" s="18">
        <v>3380.48</v>
      </c>
      <c r="J55" s="18"/>
      <c r="K55" s="19" t="s">
        <v>16</v>
      </c>
      <c r="L55" s="20">
        <v>884838.86</v>
      </c>
    </row>
    <row r="56" spans="1:12" ht="51" x14ac:dyDescent="0.3">
      <c r="A56" s="14" t="s">
        <v>88</v>
      </c>
      <c r="B56" s="15" t="s">
        <v>94</v>
      </c>
      <c r="C56" s="15" t="s">
        <v>19</v>
      </c>
      <c r="D56" s="15" t="s">
        <v>96</v>
      </c>
      <c r="E56" s="16" t="s">
        <v>21</v>
      </c>
      <c r="F56" s="17" t="s">
        <v>22</v>
      </c>
      <c r="G56" s="17"/>
      <c r="H56" s="16" t="s">
        <v>23</v>
      </c>
      <c r="I56" s="18">
        <v>8343.16</v>
      </c>
      <c r="J56" s="18"/>
      <c r="K56" s="19" t="s">
        <v>16</v>
      </c>
      <c r="L56" s="20">
        <v>876495.7</v>
      </c>
    </row>
    <row r="57" spans="1:12" ht="51" x14ac:dyDescent="0.3">
      <c r="A57" s="14" t="s">
        <v>88</v>
      </c>
      <c r="B57" s="15" t="s">
        <v>94</v>
      </c>
      <c r="C57" s="15" t="s">
        <v>19</v>
      </c>
      <c r="D57" s="15" t="s">
        <v>97</v>
      </c>
      <c r="E57" s="16" t="s">
        <v>21</v>
      </c>
      <c r="F57" s="17" t="s">
        <v>22</v>
      </c>
      <c r="G57" s="17"/>
      <c r="H57" s="16" t="s">
        <v>23</v>
      </c>
      <c r="I57" s="21">
        <v>509.78</v>
      </c>
      <c r="J57" s="21"/>
      <c r="K57" s="19" t="s">
        <v>16</v>
      </c>
      <c r="L57" s="20">
        <v>875985.92000000004</v>
      </c>
    </row>
    <row r="58" spans="1:12" ht="51" x14ac:dyDescent="0.3">
      <c r="A58" s="14" t="s">
        <v>88</v>
      </c>
      <c r="B58" s="15" t="s">
        <v>94</v>
      </c>
      <c r="C58" s="15" t="s">
        <v>19</v>
      </c>
      <c r="D58" s="15" t="s">
        <v>98</v>
      </c>
      <c r="E58" s="16" t="s">
        <v>21</v>
      </c>
      <c r="F58" s="17" t="s">
        <v>22</v>
      </c>
      <c r="G58" s="17"/>
      <c r="H58" s="16" t="s">
        <v>23</v>
      </c>
      <c r="I58" s="21">
        <v>182.4</v>
      </c>
      <c r="J58" s="21"/>
      <c r="K58" s="19" t="s">
        <v>16</v>
      </c>
      <c r="L58" s="20">
        <v>875803.52</v>
      </c>
    </row>
    <row r="59" spans="1:12" ht="51" x14ac:dyDescent="0.3">
      <c r="A59" s="14" t="s">
        <v>88</v>
      </c>
      <c r="B59" s="15" t="s">
        <v>94</v>
      </c>
      <c r="C59" s="15" t="s">
        <v>19</v>
      </c>
      <c r="D59" s="15" t="s">
        <v>24</v>
      </c>
      <c r="E59" s="16" t="s">
        <v>21</v>
      </c>
      <c r="F59" s="17" t="s">
        <v>22</v>
      </c>
      <c r="G59" s="17"/>
      <c r="H59" s="16" t="s">
        <v>23</v>
      </c>
      <c r="I59" s="21">
        <v>43</v>
      </c>
      <c r="J59" s="21"/>
      <c r="K59" s="19" t="s">
        <v>16</v>
      </c>
      <c r="L59" s="20">
        <v>875760.52</v>
      </c>
    </row>
    <row r="60" spans="1:12" ht="51" x14ac:dyDescent="0.3">
      <c r="A60" s="14" t="s">
        <v>88</v>
      </c>
      <c r="B60" s="15" t="s">
        <v>99</v>
      </c>
      <c r="C60" s="15" t="s">
        <v>19</v>
      </c>
      <c r="D60" s="15" t="s">
        <v>92</v>
      </c>
      <c r="E60" s="16" t="s">
        <v>21</v>
      </c>
      <c r="F60" s="17" t="s">
        <v>22</v>
      </c>
      <c r="G60" s="17"/>
      <c r="H60" s="16" t="s">
        <v>23</v>
      </c>
      <c r="I60" s="21">
        <v>287.61</v>
      </c>
      <c r="J60" s="21"/>
      <c r="K60" s="19" t="s">
        <v>16</v>
      </c>
      <c r="L60" s="20">
        <v>875472.91</v>
      </c>
    </row>
    <row r="61" spans="1:12" ht="51" x14ac:dyDescent="0.3">
      <c r="A61" s="14" t="s">
        <v>88</v>
      </c>
      <c r="B61" s="15" t="s">
        <v>99</v>
      </c>
      <c r="C61" s="15" t="s">
        <v>19</v>
      </c>
      <c r="D61" s="15" t="s">
        <v>100</v>
      </c>
      <c r="E61" s="16" t="s">
        <v>21</v>
      </c>
      <c r="F61" s="17" t="s">
        <v>22</v>
      </c>
      <c r="G61" s="17"/>
      <c r="H61" s="16" t="s">
        <v>23</v>
      </c>
      <c r="I61" s="18">
        <v>6102.91</v>
      </c>
      <c r="J61" s="18"/>
      <c r="K61" s="19" t="s">
        <v>16</v>
      </c>
      <c r="L61" s="20">
        <v>869370</v>
      </c>
    </row>
    <row r="62" spans="1:12" ht="51" x14ac:dyDescent="0.3">
      <c r="A62" s="14" t="s">
        <v>88</v>
      </c>
      <c r="B62" s="15" t="s">
        <v>99</v>
      </c>
      <c r="C62" s="15" t="s">
        <v>19</v>
      </c>
      <c r="D62" s="15" t="s">
        <v>101</v>
      </c>
      <c r="E62" s="16" t="s">
        <v>21</v>
      </c>
      <c r="F62" s="17" t="s">
        <v>22</v>
      </c>
      <c r="G62" s="17"/>
      <c r="H62" s="16" t="s">
        <v>23</v>
      </c>
      <c r="I62" s="21">
        <v>674.29</v>
      </c>
      <c r="J62" s="21"/>
      <c r="K62" s="19" t="s">
        <v>16</v>
      </c>
      <c r="L62" s="20">
        <v>868695.71</v>
      </c>
    </row>
    <row r="63" spans="1:12" hidden="1" x14ac:dyDescent="0.3">
      <c r="A63" s="25" t="s">
        <v>102</v>
      </c>
      <c r="B63" s="25"/>
      <c r="C63" s="25"/>
      <c r="D63" s="25"/>
      <c r="E63" s="26">
        <v>549806.53</v>
      </c>
      <c r="F63" s="26"/>
      <c r="G63" s="26"/>
      <c r="H63" s="26">
        <v>67542.990000000005</v>
      </c>
      <c r="I63" s="26"/>
      <c r="J63" s="26"/>
      <c r="K63" s="27" t="s">
        <v>16</v>
      </c>
      <c r="L63" s="28">
        <v>868695.71</v>
      </c>
    </row>
    <row r="65" spans="10:10" x14ac:dyDescent="0.3">
      <c r="J65" s="207">
        <f>SUBTOTAL(9,I3:J62)</f>
        <v>67542.990000000005</v>
      </c>
    </row>
  </sheetData>
  <autoFilter ref="A1:L63" xr:uid="{D5A45FC5-06F9-4A4A-A3FF-DC0FA95150B1}">
    <filterColumn colId="1">
      <filters>
        <filter val="Вимога-накладна ІБ00-000461 від 01.06.2025 23:15:05_x000a_Списаны ТМЦ"/>
        <filter val="Вимога-накладна ІБ00-000462 від 01.06.2025 12:01:05_x000a_Списаны ТМЦ"/>
        <filter val="Вимога-накладна ІБ00-000519 від 25.06.2025 00:00:00_x000a_Списаны ТМЦ"/>
        <filter val="Вимога-накладна ІБ00-000521 від 25.06.2025 20:00:00_x000a_Списаны ТМЦ"/>
        <filter val="Вимога-накладна ІБ00-000523 від 25.06.2025 23:13:28_x000a_Списаны ТМЦ"/>
        <filter val="Списання товарів ІБ00-000324 від 01.06.2025 23:15:06_x000a_Списаны ТМЦ"/>
        <filter val="Списання товарів ІБ00-000325 від 10.06.2025 12:02:52_x000a_Списаны ТМЦ"/>
        <filter val="Списання товарів ІБ00-000343 від 25.06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32">
    <mergeCell ref="F61:G61"/>
    <mergeCell ref="I61:J61"/>
    <mergeCell ref="F62:G62"/>
    <mergeCell ref="I62:J62"/>
    <mergeCell ref="A63:D63"/>
    <mergeCell ref="E63:G63"/>
    <mergeCell ref="H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D461-631E-49F2-BC86-852ED650825E}">
  <sheetPr filterMode="1"/>
  <dimension ref="A1:L6"/>
  <sheetViews>
    <sheetView workbookViewId="0">
      <selection activeCell="H10" sqref="H10"/>
    </sheetView>
  </sheetViews>
  <sheetFormatPr defaultRowHeight="14.4" x14ac:dyDescent="0.3"/>
  <cols>
    <col min="2" max="4" width="33" customWidth="1"/>
  </cols>
  <sheetData>
    <row r="1" spans="1:12" x14ac:dyDescent="0.3">
      <c r="A1" s="29" t="s">
        <v>8</v>
      </c>
      <c r="B1" s="30" t="s">
        <v>9</v>
      </c>
      <c r="C1" s="30" t="s">
        <v>10</v>
      </c>
      <c r="D1" s="31" t="s">
        <v>11</v>
      </c>
      <c r="E1" s="32" t="s">
        <v>12</v>
      </c>
      <c r="F1" s="32"/>
      <c r="G1" s="32"/>
      <c r="H1" s="33" t="s">
        <v>13</v>
      </c>
      <c r="I1" s="33"/>
      <c r="J1" s="33"/>
      <c r="K1" s="30" t="s">
        <v>14</v>
      </c>
      <c r="L1" s="30"/>
    </row>
    <row r="2" spans="1:12" x14ac:dyDescent="0.3">
      <c r="A2" s="34"/>
      <c r="B2" s="35"/>
      <c r="C2" s="35"/>
      <c r="D2" s="36"/>
      <c r="E2" s="37" t="s">
        <v>15</v>
      </c>
      <c r="F2" s="38"/>
      <c r="G2" s="38"/>
      <c r="H2" s="39" t="s">
        <v>15</v>
      </c>
      <c r="I2" s="40"/>
      <c r="J2" s="40"/>
      <c r="K2" s="34"/>
      <c r="L2" s="41"/>
    </row>
    <row r="3" spans="1:12" ht="51" hidden="1" x14ac:dyDescent="0.3">
      <c r="A3" s="42" t="s">
        <v>17</v>
      </c>
      <c r="B3" s="43" t="s">
        <v>103</v>
      </c>
      <c r="C3" s="43" t="s">
        <v>104</v>
      </c>
      <c r="D3" s="43" t="s">
        <v>105</v>
      </c>
      <c r="E3" s="44" t="s">
        <v>23</v>
      </c>
      <c r="F3" s="45" t="s">
        <v>22</v>
      </c>
      <c r="G3" s="45"/>
      <c r="H3" s="44" t="s">
        <v>23</v>
      </c>
      <c r="I3" s="46">
        <v>9875</v>
      </c>
      <c r="J3" s="46"/>
      <c r="K3" s="47" t="s">
        <v>16</v>
      </c>
      <c r="L3" s="48">
        <v>915845.25</v>
      </c>
    </row>
    <row r="4" spans="1:12" x14ac:dyDescent="0.3">
      <c r="A4" s="49" t="s">
        <v>102</v>
      </c>
      <c r="B4" s="49"/>
      <c r="C4" s="49"/>
      <c r="D4" s="49"/>
      <c r="E4" s="50">
        <v>0</v>
      </c>
      <c r="F4" s="50"/>
      <c r="G4" s="50"/>
      <c r="H4" s="51">
        <v>0</v>
      </c>
      <c r="I4" s="51"/>
      <c r="J4" s="51"/>
      <c r="K4" s="52" t="s">
        <v>16</v>
      </c>
      <c r="L4" s="53">
        <v>915845.25</v>
      </c>
    </row>
    <row r="6" spans="1:12" x14ac:dyDescent="0.3">
      <c r="J6">
        <v>0</v>
      </c>
    </row>
  </sheetData>
  <autoFilter ref="A1:L4" xr:uid="{31608AA8-96D7-4FD3-A66F-004EB3588526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">
    <mergeCell ref="A4:D4"/>
    <mergeCell ref="E4:G4"/>
    <mergeCell ref="H4:J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58A1-C804-4061-A9BB-89C9B5F33120}">
  <sheetPr filterMode="1"/>
  <dimension ref="A1:L7"/>
  <sheetViews>
    <sheetView workbookViewId="0">
      <selection activeCell="J7" sqref="J7"/>
    </sheetView>
  </sheetViews>
  <sheetFormatPr defaultRowHeight="14.4" x14ac:dyDescent="0.3"/>
  <cols>
    <col min="2" max="4" width="33" customWidth="1"/>
  </cols>
  <sheetData>
    <row r="1" spans="1:12" x14ac:dyDescent="0.3">
      <c r="A1" s="54" t="s">
        <v>8</v>
      </c>
      <c r="B1" s="55" t="s">
        <v>9</v>
      </c>
      <c r="C1" s="55" t="s">
        <v>10</v>
      </c>
      <c r="D1" s="56" t="s">
        <v>11</v>
      </c>
      <c r="E1" s="57" t="s">
        <v>12</v>
      </c>
      <c r="F1" s="57"/>
      <c r="G1" s="57"/>
      <c r="H1" s="58" t="s">
        <v>13</v>
      </c>
      <c r="I1" s="58"/>
      <c r="J1" s="58"/>
      <c r="K1" s="55" t="s">
        <v>14</v>
      </c>
      <c r="L1" s="55"/>
    </row>
    <row r="2" spans="1:12" x14ac:dyDescent="0.3">
      <c r="A2" s="59"/>
      <c r="B2" s="60"/>
      <c r="C2" s="60"/>
      <c r="D2" s="61"/>
      <c r="E2" s="62" t="s">
        <v>15</v>
      </c>
      <c r="F2" s="63"/>
      <c r="G2" s="63"/>
      <c r="H2" s="64" t="s">
        <v>15</v>
      </c>
      <c r="I2" s="65"/>
      <c r="J2" s="65"/>
      <c r="K2" s="59"/>
      <c r="L2" s="66"/>
    </row>
    <row r="3" spans="1:12" ht="51" hidden="1" x14ac:dyDescent="0.3">
      <c r="A3" s="67" t="s">
        <v>17</v>
      </c>
      <c r="B3" s="68" t="s">
        <v>106</v>
      </c>
      <c r="C3" s="68" t="s">
        <v>107</v>
      </c>
      <c r="D3" s="68" t="s">
        <v>108</v>
      </c>
      <c r="E3" s="69" t="s">
        <v>23</v>
      </c>
      <c r="F3" s="70" t="s">
        <v>22</v>
      </c>
      <c r="G3" s="70"/>
      <c r="H3" s="69" t="s">
        <v>23</v>
      </c>
      <c r="I3" s="71">
        <v>532.37</v>
      </c>
      <c r="J3" s="71"/>
      <c r="K3" s="72" t="s">
        <v>16</v>
      </c>
      <c r="L3" s="73">
        <v>51838.99</v>
      </c>
    </row>
    <row r="4" spans="1:12" x14ac:dyDescent="0.3">
      <c r="A4" s="74" t="s">
        <v>102</v>
      </c>
      <c r="B4" s="74"/>
      <c r="C4" s="74"/>
      <c r="D4" s="74"/>
      <c r="E4" s="75">
        <v>0</v>
      </c>
      <c r="F4" s="75"/>
      <c r="G4" s="75"/>
      <c r="H4" s="75">
        <v>0</v>
      </c>
      <c r="I4" s="75"/>
      <c r="J4" s="75"/>
      <c r="K4" s="76" t="s">
        <v>16</v>
      </c>
      <c r="L4" s="77">
        <v>51838.99</v>
      </c>
    </row>
    <row r="7" spans="1:12" x14ac:dyDescent="0.3">
      <c r="J7">
        <v>0</v>
      </c>
    </row>
  </sheetData>
  <autoFilter ref="A1:L4" xr:uid="{FFD73581-D1C4-4B79-808D-0811CF835DC2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">
    <mergeCell ref="A4:D4"/>
    <mergeCell ref="E4:G4"/>
    <mergeCell ref="H4:J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A3B8-0B56-42ED-BE96-1466937281BA}">
  <sheetPr filterMode="1"/>
  <dimension ref="A1:L8"/>
  <sheetViews>
    <sheetView workbookViewId="0">
      <selection activeCell="J8" sqref="J8"/>
    </sheetView>
  </sheetViews>
  <sheetFormatPr defaultRowHeight="14.4" x14ac:dyDescent="0.3"/>
  <cols>
    <col min="2" max="4" width="33" customWidth="1"/>
  </cols>
  <sheetData>
    <row r="1" spans="1:12" x14ac:dyDescent="0.3">
      <c r="A1" s="78" t="s">
        <v>8</v>
      </c>
      <c r="B1" s="79" t="s">
        <v>9</v>
      </c>
      <c r="C1" s="79" t="s">
        <v>10</v>
      </c>
      <c r="D1" s="80" t="s">
        <v>11</v>
      </c>
      <c r="E1" s="81" t="s">
        <v>12</v>
      </c>
      <c r="F1" s="81"/>
      <c r="G1" s="81"/>
      <c r="H1" s="82" t="s">
        <v>13</v>
      </c>
      <c r="I1" s="82"/>
      <c r="J1" s="82"/>
      <c r="K1" s="79" t="s">
        <v>14</v>
      </c>
      <c r="L1" s="79"/>
    </row>
    <row r="2" spans="1:12" hidden="1" x14ac:dyDescent="0.3">
      <c r="A2" s="83"/>
      <c r="B2" s="84"/>
      <c r="C2" s="84"/>
      <c r="D2" s="85"/>
      <c r="E2" s="86" t="s">
        <v>15</v>
      </c>
      <c r="F2" s="87"/>
      <c r="G2" s="87"/>
      <c r="H2" s="88" t="s">
        <v>15</v>
      </c>
      <c r="I2" s="89"/>
      <c r="J2" s="89"/>
      <c r="K2" s="83"/>
      <c r="L2" s="90"/>
    </row>
    <row r="3" spans="1:12" ht="51" x14ac:dyDescent="0.3">
      <c r="A3" s="91" t="s">
        <v>109</v>
      </c>
      <c r="B3" s="92" t="s">
        <v>110</v>
      </c>
      <c r="C3" s="92" t="s">
        <v>111</v>
      </c>
      <c r="D3" s="92" t="s">
        <v>112</v>
      </c>
      <c r="E3" s="93" t="s">
        <v>21</v>
      </c>
      <c r="F3" s="94" t="s">
        <v>22</v>
      </c>
      <c r="G3" s="94"/>
      <c r="H3" s="93" t="s">
        <v>23</v>
      </c>
      <c r="I3" s="95">
        <v>9337.07</v>
      </c>
      <c r="J3" s="95"/>
      <c r="K3" s="96" t="s">
        <v>16</v>
      </c>
      <c r="L3" s="97">
        <v>75915.100000000006</v>
      </c>
    </row>
    <row r="4" spans="1:12" ht="51" x14ac:dyDescent="0.3">
      <c r="A4" s="91" t="s">
        <v>109</v>
      </c>
      <c r="B4" s="92" t="s">
        <v>110</v>
      </c>
      <c r="C4" s="92" t="s">
        <v>111</v>
      </c>
      <c r="D4" s="92" t="s">
        <v>113</v>
      </c>
      <c r="E4" s="93" t="s">
        <v>21</v>
      </c>
      <c r="F4" s="94" t="s">
        <v>22</v>
      </c>
      <c r="G4" s="94"/>
      <c r="H4" s="93" t="s">
        <v>23</v>
      </c>
      <c r="I4" s="95">
        <v>1500.37</v>
      </c>
      <c r="J4" s="95"/>
      <c r="K4" s="96" t="s">
        <v>16</v>
      </c>
      <c r="L4" s="97">
        <v>74414.73</v>
      </c>
    </row>
    <row r="5" spans="1:12" ht="51" x14ac:dyDescent="0.3">
      <c r="A5" s="91" t="s">
        <v>109</v>
      </c>
      <c r="B5" s="92" t="s">
        <v>110</v>
      </c>
      <c r="C5" s="92" t="s">
        <v>111</v>
      </c>
      <c r="D5" s="92" t="s">
        <v>114</v>
      </c>
      <c r="E5" s="93" t="s">
        <v>21</v>
      </c>
      <c r="F5" s="94" t="s">
        <v>22</v>
      </c>
      <c r="G5" s="94"/>
      <c r="H5" s="93" t="s">
        <v>23</v>
      </c>
      <c r="I5" s="95">
        <v>56353.08</v>
      </c>
      <c r="J5" s="95"/>
      <c r="K5" s="96" t="s">
        <v>16</v>
      </c>
      <c r="L5" s="97">
        <v>18061.650000000001</v>
      </c>
    </row>
    <row r="6" spans="1:12" hidden="1" x14ac:dyDescent="0.3">
      <c r="A6" s="98" t="s">
        <v>102</v>
      </c>
      <c r="B6" s="98"/>
      <c r="C6" s="98"/>
      <c r="D6" s="98"/>
      <c r="E6" s="99">
        <v>0</v>
      </c>
      <c r="F6" s="99"/>
      <c r="G6" s="99"/>
      <c r="H6" s="100">
        <v>67190.52</v>
      </c>
      <c r="I6" s="100"/>
      <c r="J6" s="100"/>
      <c r="K6" s="101" t="s">
        <v>16</v>
      </c>
      <c r="L6" s="102">
        <v>18061.650000000001</v>
      </c>
    </row>
    <row r="8" spans="1:12" x14ac:dyDescent="0.3">
      <c r="J8" s="207">
        <f>SUBTOTAL(9,I3:J5)</f>
        <v>67190.52</v>
      </c>
    </row>
  </sheetData>
  <autoFilter ref="A1:L6" xr:uid="{F82AE834-06CE-4D50-92E3-5F470904B26D}">
    <filterColumn colId="1">
      <customFilters>
        <customFilter operator="notEqual" val=" "/>
      </custom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8">
    <mergeCell ref="F4:G4"/>
    <mergeCell ref="I4:J4"/>
    <mergeCell ref="F5:G5"/>
    <mergeCell ref="I5:J5"/>
    <mergeCell ref="A6:D6"/>
    <mergeCell ref="E6:G6"/>
    <mergeCell ref="H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1CF1-B783-4360-87EB-F260A99DDAA8}">
  <sheetPr filterMode="1"/>
  <dimension ref="A1:L6"/>
  <sheetViews>
    <sheetView workbookViewId="0">
      <selection activeCell="J14" sqref="J14"/>
    </sheetView>
  </sheetViews>
  <sheetFormatPr defaultRowHeight="14.4" x14ac:dyDescent="0.3"/>
  <cols>
    <col min="2" max="4" width="33" customWidth="1"/>
  </cols>
  <sheetData>
    <row r="1" spans="1:12" x14ac:dyDescent="0.3">
      <c r="A1" s="103" t="s">
        <v>8</v>
      </c>
      <c r="B1" s="104" t="s">
        <v>9</v>
      </c>
      <c r="C1" s="104" t="s">
        <v>10</v>
      </c>
      <c r="D1" s="105" t="s">
        <v>11</v>
      </c>
      <c r="E1" s="106" t="s">
        <v>12</v>
      </c>
      <c r="F1" s="106"/>
      <c r="G1" s="106"/>
      <c r="H1" s="107" t="s">
        <v>13</v>
      </c>
      <c r="I1" s="107"/>
      <c r="J1" s="107"/>
      <c r="K1" s="104" t="s">
        <v>14</v>
      </c>
      <c r="L1" s="104"/>
    </row>
    <row r="2" spans="1:12" x14ac:dyDescent="0.3">
      <c r="A2" s="108"/>
      <c r="B2" s="109"/>
      <c r="C2" s="109"/>
      <c r="D2" s="110"/>
      <c r="E2" s="111" t="s">
        <v>15</v>
      </c>
      <c r="F2" s="112"/>
      <c r="G2" s="112"/>
      <c r="H2" s="113" t="s">
        <v>15</v>
      </c>
      <c r="I2" s="114"/>
      <c r="J2" s="114"/>
      <c r="K2" s="108"/>
      <c r="L2" s="115"/>
    </row>
    <row r="3" spans="1:12" ht="51" hidden="1" x14ac:dyDescent="0.3">
      <c r="A3" s="116" t="s">
        <v>17</v>
      </c>
      <c r="B3" s="117" t="s">
        <v>115</v>
      </c>
      <c r="C3" s="117" t="s">
        <v>116</v>
      </c>
      <c r="D3" s="117" t="s">
        <v>117</v>
      </c>
      <c r="E3" s="118" t="s">
        <v>23</v>
      </c>
      <c r="F3" s="119" t="s">
        <v>22</v>
      </c>
      <c r="G3" s="119"/>
      <c r="H3" s="118" t="s">
        <v>23</v>
      </c>
      <c r="I3" s="120">
        <v>909.42</v>
      </c>
      <c r="J3" s="120"/>
      <c r="K3" s="121" t="s">
        <v>16</v>
      </c>
      <c r="L3" s="122">
        <v>9795.0400000000009</v>
      </c>
    </row>
    <row r="4" spans="1:12" x14ac:dyDescent="0.3">
      <c r="A4" s="123" t="s">
        <v>102</v>
      </c>
      <c r="B4" s="123"/>
      <c r="C4" s="123"/>
      <c r="D4" s="123"/>
      <c r="E4" s="124">
        <v>0</v>
      </c>
      <c r="F4" s="124"/>
      <c r="G4" s="124"/>
      <c r="H4" s="124">
        <v>0</v>
      </c>
      <c r="I4" s="124"/>
      <c r="J4" s="124"/>
      <c r="K4" s="125" t="s">
        <v>16</v>
      </c>
      <c r="L4" s="126">
        <v>9795.0400000000009</v>
      </c>
    </row>
    <row r="6" spans="1:12" x14ac:dyDescent="0.3">
      <c r="J6">
        <v>0</v>
      </c>
    </row>
  </sheetData>
  <autoFilter ref="A1:L4" xr:uid="{235448D5-9EED-4E98-9E08-022B353D56E9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">
    <mergeCell ref="A4:D4"/>
    <mergeCell ref="E4:G4"/>
    <mergeCell ref="H4:J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883A-CD0B-406C-8134-B250A4F2BFD9}">
  <sheetPr filterMode="1"/>
  <dimension ref="A1:L9"/>
  <sheetViews>
    <sheetView workbookViewId="0">
      <selection activeCell="J16" sqref="J16"/>
    </sheetView>
  </sheetViews>
  <sheetFormatPr defaultRowHeight="14.4" x14ac:dyDescent="0.3"/>
  <cols>
    <col min="2" max="4" width="33" customWidth="1"/>
  </cols>
  <sheetData>
    <row r="1" spans="1:12" x14ac:dyDescent="0.3">
      <c r="A1" s="127" t="s">
        <v>8</v>
      </c>
      <c r="B1" s="128" t="s">
        <v>9</v>
      </c>
      <c r="C1" s="128" t="s">
        <v>10</v>
      </c>
      <c r="D1" s="129" t="s">
        <v>11</v>
      </c>
      <c r="E1" s="130" t="s">
        <v>12</v>
      </c>
      <c r="F1" s="130"/>
      <c r="G1" s="130"/>
      <c r="H1" s="131" t="s">
        <v>13</v>
      </c>
      <c r="I1" s="131"/>
      <c r="J1" s="131"/>
      <c r="K1" s="128" t="s">
        <v>14</v>
      </c>
      <c r="L1" s="128"/>
    </row>
    <row r="2" spans="1:12" x14ac:dyDescent="0.3">
      <c r="A2" s="132"/>
      <c r="B2" s="133"/>
      <c r="C2" s="133"/>
      <c r="D2" s="134"/>
      <c r="E2" s="135" t="s">
        <v>15</v>
      </c>
      <c r="F2" s="136"/>
      <c r="G2" s="136"/>
      <c r="H2" s="137" t="s">
        <v>15</v>
      </c>
      <c r="I2" s="138"/>
      <c r="J2" s="138"/>
      <c r="K2" s="132"/>
      <c r="L2" s="139"/>
    </row>
    <row r="3" spans="1:12" ht="61.2" hidden="1" x14ac:dyDescent="0.3">
      <c r="A3" s="140" t="s">
        <v>17</v>
      </c>
      <c r="B3" s="141" t="s">
        <v>118</v>
      </c>
      <c r="C3" s="141" t="s">
        <v>119</v>
      </c>
      <c r="D3" s="141" t="s">
        <v>120</v>
      </c>
      <c r="E3" s="142" t="s">
        <v>23</v>
      </c>
      <c r="F3" s="143" t="s">
        <v>22</v>
      </c>
      <c r="G3" s="143"/>
      <c r="H3" s="142" t="s">
        <v>23</v>
      </c>
      <c r="I3" s="144">
        <v>14491.84</v>
      </c>
      <c r="J3" s="144"/>
      <c r="K3" s="145" t="s">
        <v>16</v>
      </c>
      <c r="L3" s="146">
        <v>1494278.92</v>
      </c>
    </row>
    <row r="4" spans="1:12" ht="61.2" hidden="1" x14ac:dyDescent="0.3">
      <c r="A4" s="140" t="s">
        <v>17</v>
      </c>
      <c r="B4" s="141" t="s">
        <v>118</v>
      </c>
      <c r="C4" s="141" t="s">
        <v>121</v>
      </c>
      <c r="D4" s="141" t="s">
        <v>122</v>
      </c>
      <c r="E4" s="142" t="s">
        <v>23</v>
      </c>
      <c r="F4" s="143" t="s">
        <v>22</v>
      </c>
      <c r="G4" s="143"/>
      <c r="H4" s="142" t="s">
        <v>23</v>
      </c>
      <c r="I4" s="147">
        <v>663.09</v>
      </c>
      <c r="J4" s="147"/>
      <c r="K4" s="145" t="s">
        <v>16</v>
      </c>
      <c r="L4" s="146">
        <v>1493615.83</v>
      </c>
    </row>
    <row r="5" spans="1:12" ht="61.2" hidden="1" x14ac:dyDescent="0.3">
      <c r="A5" s="140" t="s">
        <v>17</v>
      </c>
      <c r="B5" s="141" t="s">
        <v>118</v>
      </c>
      <c r="C5" s="141" t="s">
        <v>123</v>
      </c>
      <c r="D5" s="141" t="s">
        <v>124</v>
      </c>
      <c r="E5" s="142" t="s">
        <v>23</v>
      </c>
      <c r="F5" s="143" t="s">
        <v>22</v>
      </c>
      <c r="G5" s="143"/>
      <c r="H5" s="142" t="s">
        <v>23</v>
      </c>
      <c r="I5" s="144">
        <v>2747.89</v>
      </c>
      <c r="J5" s="144"/>
      <c r="K5" s="145" t="s">
        <v>16</v>
      </c>
      <c r="L5" s="146">
        <v>1490867.94</v>
      </c>
    </row>
    <row r="6" spans="1:12" x14ac:dyDescent="0.3">
      <c r="A6" s="148" t="s">
        <v>102</v>
      </c>
      <c r="B6" s="148"/>
      <c r="C6" s="148"/>
      <c r="D6" s="148"/>
      <c r="E6" s="149">
        <v>0</v>
      </c>
      <c r="F6" s="149"/>
      <c r="G6" s="149"/>
      <c r="H6" s="150">
        <v>0</v>
      </c>
      <c r="I6" s="150"/>
      <c r="J6" s="150"/>
      <c r="K6" s="151" t="s">
        <v>16</v>
      </c>
      <c r="L6" s="152">
        <v>1490867.94</v>
      </c>
    </row>
    <row r="9" spans="1:12" x14ac:dyDescent="0.3">
      <c r="J9">
        <v>0</v>
      </c>
    </row>
  </sheetData>
  <autoFilter ref="A1:L6" xr:uid="{75369B17-90F8-4088-91C8-7579144B6BBC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8">
    <mergeCell ref="F4:G4"/>
    <mergeCell ref="I4:J4"/>
    <mergeCell ref="F5:G5"/>
    <mergeCell ref="I5:J5"/>
    <mergeCell ref="A6:D6"/>
    <mergeCell ref="E6:G6"/>
    <mergeCell ref="H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3FAD-C6C4-4EF2-B3D7-037A628CBF9F}">
  <sheetPr filterMode="1"/>
  <dimension ref="A1:L44"/>
  <sheetViews>
    <sheetView topLeftCell="A36" workbookViewId="0">
      <selection activeCell="J44" sqref="J44"/>
    </sheetView>
  </sheetViews>
  <sheetFormatPr defaultRowHeight="14.4" x14ac:dyDescent="0.3"/>
  <cols>
    <col min="2" max="4" width="33" customWidth="1"/>
    <col min="10" max="10" width="9.88671875" bestFit="1" customWidth="1"/>
  </cols>
  <sheetData>
    <row r="1" spans="1:12" x14ac:dyDescent="0.3">
      <c r="A1" s="153" t="s">
        <v>8</v>
      </c>
      <c r="B1" s="154" t="s">
        <v>9</v>
      </c>
      <c r="C1" s="154" t="s">
        <v>10</v>
      </c>
      <c r="D1" s="155" t="s">
        <v>11</v>
      </c>
      <c r="E1" s="156" t="s">
        <v>12</v>
      </c>
      <c r="F1" s="156"/>
      <c r="G1" s="156"/>
      <c r="H1" s="157" t="s">
        <v>13</v>
      </c>
      <c r="I1" s="157"/>
      <c r="J1" s="157"/>
      <c r="K1" s="154" t="s">
        <v>14</v>
      </c>
      <c r="L1" s="154"/>
    </row>
    <row r="2" spans="1:12" hidden="1" x14ac:dyDescent="0.3">
      <c r="A2" s="158"/>
      <c r="B2" s="159"/>
      <c r="C2" s="159"/>
      <c r="D2" s="160"/>
      <c r="E2" s="161" t="s">
        <v>15</v>
      </c>
      <c r="F2" s="162"/>
      <c r="G2" s="162"/>
      <c r="H2" s="163" t="s">
        <v>15</v>
      </c>
      <c r="I2" s="164"/>
      <c r="J2" s="164"/>
      <c r="K2" s="158"/>
      <c r="L2" s="165"/>
    </row>
    <row r="3" spans="1:12" ht="61.2" hidden="1" x14ac:dyDescent="0.3">
      <c r="A3" s="166" t="s">
        <v>17</v>
      </c>
      <c r="B3" s="167" t="s">
        <v>118</v>
      </c>
      <c r="C3" s="167" t="s">
        <v>119</v>
      </c>
      <c r="D3" s="167" t="s">
        <v>120</v>
      </c>
      <c r="E3" s="168" t="s">
        <v>23</v>
      </c>
      <c r="F3" s="169">
        <v>14491.84</v>
      </c>
      <c r="G3" s="169"/>
      <c r="H3" s="168" t="s">
        <v>23</v>
      </c>
      <c r="I3" s="170" t="s">
        <v>22</v>
      </c>
      <c r="J3" s="170"/>
      <c r="K3" s="171" t="s">
        <v>16</v>
      </c>
      <c r="L3" s="172">
        <v>150369.20000000001</v>
      </c>
    </row>
    <row r="4" spans="1:12" ht="61.2" hidden="1" x14ac:dyDescent="0.3">
      <c r="A4" s="166" t="s">
        <v>17</v>
      </c>
      <c r="B4" s="167" t="s">
        <v>118</v>
      </c>
      <c r="C4" s="167" t="s">
        <v>121</v>
      </c>
      <c r="D4" s="167" t="s">
        <v>122</v>
      </c>
      <c r="E4" s="168" t="s">
        <v>23</v>
      </c>
      <c r="F4" s="173">
        <v>663.09</v>
      </c>
      <c r="G4" s="173"/>
      <c r="H4" s="168" t="s">
        <v>23</v>
      </c>
      <c r="I4" s="170" t="s">
        <v>22</v>
      </c>
      <c r="J4" s="170"/>
      <c r="K4" s="171" t="s">
        <v>16</v>
      </c>
      <c r="L4" s="172">
        <v>151032.29</v>
      </c>
    </row>
    <row r="5" spans="1:12" ht="61.2" hidden="1" x14ac:dyDescent="0.3">
      <c r="A5" s="166" t="s">
        <v>17</v>
      </c>
      <c r="B5" s="167" t="s">
        <v>118</v>
      </c>
      <c r="C5" s="167" t="s">
        <v>123</v>
      </c>
      <c r="D5" s="167" t="s">
        <v>124</v>
      </c>
      <c r="E5" s="168" t="s">
        <v>23</v>
      </c>
      <c r="F5" s="169">
        <v>2747.89</v>
      </c>
      <c r="G5" s="169"/>
      <c r="H5" s="168" t="s">
        <v>23</v>
      </c>
      <c r="I5" s="170" t="s">
        <v>22</v>
      </c>
      <c r="J5" s="170"/>
      <c r="K5" s="171" t="s">
        <v>16</v>
      </c>
      <c r="L5" s="172">
        <v>153780.18</v>
      </c>
    </row>
    <row r="6" spans="1:12" ht="51" hidden="1" x14ac:dyDescent="0.3">
      <c r="A6" s="166" t="s">
        <v>17</v>
      </c>
      <c r="B6" s="167" t="s">
        <v>125</v>
      </c>
      <c r="C6" s="167" t="s">
        <v>126</v>
      </c>
      <c r="D6" s="167" t="s">
        <v>127</v>
      </c>
      <c r="E6" s="168" t="s">
        <v>23</v>
      </c>
      <c r="F6" s="169">
        <v>9686.51</v>
      </c>
      <c r="G6" s="169"/>
      <c r="H6" s="168" t="s">
        <v>23</v>
      </c>
      <c r="I6" s="170" t="s">
        <v>22</v>
      </c>
      <c r="J6" s="170"/>
      <c r="K6" s="171" t="s">
        <v>16</v>
      </c>
      <c r="L6" s="172">
        <v>163466.69</v>
      </c>
    </row>
    <row r="7" spans="1:12" ht="51" hidden="1" x14ac:dyDescent="0.3">
      <c r="A7" s="166" t="s">
        <v>17</v>
      </c>
      <c r="B7" s="167" t="s">
        <v>125</v>
      </c>
      <c r="C7" s="167" t="s">
        <v>128</v>
      </c>
      <c r="D7" s="167" t="s">
        <v>129</v>
      </c>
      <c r="E7" s="168" t="s">
        <v>23</v>
      </c>
      <c r="F7" s="169">
        <v>11253.27</v>
      </c>
      <c r="G7" s="169"/>
      <c r="H7" s="168" t="s">
        <v>23</v>
      </c>
      <c r="I7" s="170" t="s">
        <v>22</v>
      </c>
      <c r="J7" s="170"/>
      <c r="K7" s="171" t="s">
        <v>16</v>
      </c>
      <c r="L7" s="172">
        <v>174719.96</v>
      </c>
    </row>
    <row r="8" spans="1:12" ht="51" hidden="1" x14ac:dyDescent="0.3">
      <c r="A8" s="166" t="s">
        <v>17</v>
      </c>
      <c r="B8" s="167" t="s">
        <v>125</v>
      </c>
      <c r="C8" s="167" t="s">
        <v>130</v>
      </c>
      <c r="D8" s="167" t="s">
        <v>131</v>
      </c>
      <c r="E8" s="168" t="s">
        <v>23</v>
      </c>
      <c r="F8" s="169">
        <v>2013.47</v>
      </c>
      <c r="G8" s="169"/>
      <c r="H8" s="168" t="s">
        <v>23</v>
      </c>
      <c r="I8" s="170" t="s">
        <v>22</v>
      </c>
      <c r="J8" s="170"/>
      <c r="K8" s="171" t="s">
        <v>16</v>
      </c>
      <c r="L8" s="172">
        <v>176733.43</v>
      </c>
    </row>
    <row r="9" spans="1:12" ht="51" hidden="1" x14ac:dyDescent="0.3">
      <c r="A9" s="166" t="s">
        <v>17</v>
      </c>
      <c r="B9" s="167" t="s">
        <v>125</v>
      </c>
      <c r="C9" s="167" t="s">
        <v>132</v>
      </c>
      <c r="D9" s="167" t="s">
        <v>133</v>
      </c>
      <c r="E9" s="168" t="s">
        <v>23</v>
      </c>
      <c r="F9" s="173">
        <v>199.27</v>
      </c>
      <c r="G9" s="173"/>
      <c r="H9" s="168" t="s">
        <v>23</v>
      </c>
      <c r="I9" s="170" t="s">
        <v>22</v>
      </c>
      <c r="J9" s="170"/>
      <c r="K9" s="171" t="s">
        <v>16</v>
      </c>
      <c r="L9" s="172">
        <v>176932.7</v>
      </c>
    </row>
    <row r="10" spans="1:12" ht="51" hidden="1" x14ac:dyDescent="0.3">
      <c r="A10" s="166" t="s">
        <v>17</v>
      </c>
      <c r="B10" s="167" t="s">
        <v>125</v>
      </c>
      <c r="C10" s="167" t="s">
        <v>134</v>
      </c>
      <c r="D10" s="167" t="s">
        <v>135</v>
      </c>
      <c r="E10" s="168" t="s">
        <v>23</v>
      </c>
      <c r="F10" s="169">
        <v>29829.89</v>
      </c>
      <c r="G10" s="169"/>
      <c r="H10" s="168" t="s">
        <v>23</v>
      </c>
      <c r="I10" s="170" t="s">
        <v>22</v>
      </c>
      <c r="J10" s="170"/>
      <c r="K10" s="171" t="s">
        <v>16</v>
      </c>
      <c r="L10" s="172">
        <v>206762.59</v>
      </c>
    </row>
    <row r="11" spans="1:12" ht="51" hidden="1" x14ac:dyDescent="0.3">
      <c r="A11" s="166" t="s">
        <v>17</v>
      </c>
      <c r="B11" s="167" t="s">
        <v>125</v>
      </c>
      <c r="C11" s="167" t="s">
        <v>136</v>
      </c>
      <c r="D11" s="167" t="s">
        <v>137</v>
      </c>
      <c r="E11" s="168" t="s">
        <v>23</v>
      </c>
      <c r="F11" s="173">
        <v>499.86</v>
      </c>
      <c r="G11" s="173"/>
      <c r="H11" s="168" t="s">
        <v>23</v>
      </c>
      <c r="I11" s="170" t="s">
        <v>22</v>
      </c>
      <c r="J11" s="170"/>
      <c r="K11" s="171" t="s">
        <v>16</v>
      </c>
      <c r="L11" s="172">
        <v>207262.45</v>
      </c>
    </row>
    <row r="12" spans="1:12" ht="51" hidden="1" x14ac:dyDescent="0.3">
      <c r="A12" s="166" t="s">
        <v>17</v>
      </c>
      <c r="B12" s="167" t="s">
        <v>103</v>
      </c>
      <c r="C12" s="167" t="s">
        <v>104</v>
      </c>
      <c r="D12" s="167" t="s">
        <v>105</v>
      </c>
      <c r="E12" s="168" t="s">
        <v>23</v>
      </c>
      <c r="F12" s="169">
        <v>9875</v>
      </c>
      <c r="G12" s="169"/>
      <c r="H12" s="168" t="s">
        <v>23</v>
      </c>
      <c r="I12" s="170" t="s">
        <v>22</v>
      </c>
      <c r="J12" s="170"/>
      <c r="K12" s="171" t="s">
        <v>16</v>
      </c>
      <c r="L12" s="172">
        <v>217137.45</v>
      </c>
    </row>
    <row r="13" spans="1:12" ht="51" hidden="1" x14ac:dyDescent="0.3">
      <c r="A13" s="166" t="s">
        <v>17</v>
      </c>
      <c r="B13" s="167" t="s">
        <v>106</v>
      </c>
      <c r="C13" s="167" t="s">
        <v>107</v>
      </c>
      <c r="D13" s="167" t="s">
        <v>108</v>
      </c>
      <c r="E13" s="168" t="s">
        <v>23</v>
      </c>
      <c r="F13" s="173">
        <v>532.37</v>
      </c>
      <c r="G13" s="173"/>
      <c r="H13" s="168" t="s">
        <v>23</v>
      </c>
      <c r="I13" s="170" t="s">
        <v>22</v>
      </c>
      <c r="J13" s="170"/>
      <c r="K13" s="171" t="s">
        <v>16</v>
      </c>
      <c r="L13" s="172">
        <v>217669.82</v>
      </c>
    </row>
    <row r="14" spans="1:12" ht="51" hidden="1" x14ac:dyDescent="0.3">
      <c r="A14" s="166" t="s">
        <v>17</v>
      </c>
      <c r="B14" s="167" t="s">
        <v>115</v>
      </c>
      <c r="C14" s="167" t="s">
        <v>116</v>
      </c>
      <c r="D14" s="167" t="s">
        <v>117</v>
      </c>
      <c r="E14" s="168" t="s">
        <v>23</v>
      </c>
      <c r="F14" s="173">
        <v>909.42</v>
      </c>
      <c r="G14" s="173"/>
      <c r="H14" s="168" t="s">
        <v>23</v>
      </c>
      <c r="I14" s="170" t="s">
        <v>22</v>
      </c>
      <c r="J14" s="170"/>
      <c r="K14" s="171" t="s">
        <v>16</v>
      </c>
      <c r="L14" s="172">
        <v>218579.24</v>
      </c>
    </row>
    <row r="15" spans="1:12" ht="51" hidden="1" x14ac:dyDescent="0.3">
      <c r="A15" s="166" t="s">
        <v>17</v>
      </c>
      <c r="B15" s="167" t="s">
        <v>138</v>
      </c>
      <c r="C15" s="167" t="s">
        <v>139</v>
      </c>
      <c r="D15" s="167" t="s">
        <v>140</v>
      </c>
      <c r="E15" s="168" t="s">
        <v>23</v>
      </c>
      <c r="F15" s="169">
        <v>7433.95</v>
      </c>
      <c r="G15" s="169"/>
      <c r="H15" s="168" t="s">
        <v>23</v>
      </c>
      <c r="I15" s="170" t="s">
        <v>22</v>
      </c>
      <c r="J15" s="170"/>
      <c r="K15" s="171" t="s">
        <v>16</v>
      </c>
      <c r="L15" s="172">
        <v>226013.19</v>
      </c>
    </row>
    <row r="16" spans="1:12" ht="51" x14ac:dyDescent="0.3">
      <c r="A16" s="166" t="s">
        <v>109</v>
      </c>
      <c r="B16" s="167" t="s">
        <v>141</v>
      </c>
      <c r="C16" s="167" t="s">
        <v>142</v>
      </c>
      <c r="D16" s="167" t="s">
        <v>143</v>
      </c>
      <c r="E16" s="168" t="s">
        <v>21</v>
      </c>
      <c r="F16" s="174" t="s">
        <v>22</v>
      </c>
      <c r="G16" s="174"/>
      <c r="H16" s="168" t="s">
        <v>23</v>
      </c>
      <c r="I16" s="175">
        <v>4732.0600000000004</v>
      </c>
      <c r="J16" s="175"/>
      <c r="K16" s="171" t="s">
        <v>16</v>
      </c>
      <c r="L16" s="172">
        <v>221281.13</v>
      </c>
    </row>
    <row r="17" spans="1:12" ht="51" x14ac:dyDescent="0.3">
      <c r="A17" s="166" t="s">
        <v>109</v>
      </c>
      <c r="B17" s="167" t="s">
        <v>141</v>
      </c>
      <c r="C17" s="167" t="s">
        <v>142</v>
      </c>
      <c r="D17" s="167" t="s">
        <v>107</v>
      </c>
      <c r="E17" s="168" t="s">
        <v>21</v>
      </c>
      <c r="F17" s="174" t="s">
        <v>22</v>
      </c>
      <c r="G17" s="174"/>
      <c r="H17" s="168" t="s">
        <v>23</v>
      </c>
      <c r="I17" s="176">
        <v>532.37</v>
      </c>
      <c r="J17" s="176"/>
      <c r="K17" s="171" t="s">
        <v>16</v>
      </c>
      <c r="L17" s="172">
        <v>220748.76</v>
      </c>
    </row>
    <row r="18" spans="1:12" ht="51" x14ac:dyDescent="0.3">
      <c r="A18" s="166" t="s">
        <v>109</v>
      </c>
      <c r="B18" s="167" t="s">
        <v>141</v>
      </c>
      <c r="C18" s="167" t="s">
        <v>142</v>
      </c>
      <c r="D18" s="167" t="s">
        <v>119</v>
      </c>
      <c r="E18" s="168" t="s">
        <v>21</v>
      </c>
      <c r="F18" s="174" t="s">
        <v>22</v>
      </c>
      <c r="G18" s="174"/>
      <c r="H18" s="168" t="s">
        <v>23</v>
      </c>
      <c r="I18" s="175">
        <v>6837.49</v>
      </c>
      <c r="J18" s="175"/>
      <c r="K18" s="171" t="s">
        <v>16</v>
      </c>
      <c r="L18" s="172">
        <v>213911.27</v>
      </c>
    </row>
    <row r="19" spans="1:12" ht="51" x14ac:dyDescent="0.3">
      <c r="A19" s="166" t="s">
        <v>109</v>
      </c>
      <c r="B19" s="167" t="s">
        <v>141</v>
      </c>
      <c r="C19" s="167" t="s">
        <v>142</v>
      </c>
      <c r="D19" s="167" t="s">
        <v>144</v>
      </c>
      <c r="E19" s="168" t="s">
        <v>21</v>
      </c>
      <c r="F19" s="174" t="s">
        <v>22</v>
      </c>
      <c r="G19" s="174"/>
      <c r="H19" s="168" t="s">
        <v>23</v>
      </c>
      <c r="I19" s="175">
        <v>4642.42</v>
      </c>
      <c r="J19" s="175"/>
      <c r="K19" s="171" t="s">
        <v>16</v>
      </c>
      <c r="L19" s="172">
        <v>209268.85</v>
      </c>
    </row>
    <row r="20" spans="1:12" ht="51" x14ac:dyDescent="0.3">
      <c r="A20" s="166" t="s">
        <v>109</v>
      </c>
      <c r="B20" s="167" t="s">
        <v>141</v>
      </c>
      <c r="C20" s="167" t="s">
        <v>142</v>
      </c>
      <c r="D20" s="167" t="s">
        <v>145</v>
      </c>
      <c r="E20" s="168" t="s">
        <v>21</v>
      </c>
      <c r="F20" s="174" t="s">
        <v>22</v>
      </c>
      <c r="G20" s="174"/>
      <c r="H20" s="168" t="s">
        <v>23</v>
      </c>
      <c r="I20" s="175">
        <v>47974.39</v>
      </c>
      <c r="J20" s="175"/>
      <c r="K20" s="171" t="s">
        <v>16</v>
      </c>
      <c r="L20" s="172">
        <v>161294.46</v>
      </c>
    </row>
    <row r="21" spans="1:12" ht="51" x14ac:dyDescent="0.3">
      <c r="A21" s="166" t="s">
        <v>109</v>
      </c>
      <c r="B21" s="167" t="s">
        <v>141</v>
      </c>
      <c r="C21" s="167" t="s">
        <v>142</v>
      </c>
      <c r="D21" s="167" t="s">
        <v>146</v>
      </c>
      <c r="E21" s="168" t="s">
        <v>21</v>
      </c>
      <c r="F21" s="174" t="s">
        <v>22</v>
      </c>
      <c r="G21" s="174"/>
      <c r="H21" s="168" t="s">
        <v>23</v>
      </c>
      <c r="I21" s="175">
        <v>5026.45</v>
      </c>
      <c r="J21" s="175"/>
      <c r="K21" s="171" t="s">
        <v>16</v>
      </c>
      <c r="L21" s="172">
        <v>156268.01</v>
      </c>
    </row>
    <row r="22" spans="1:12" ht="51" x14ac:dyDescent="0.3">
      <c r="A22" s="166" t="s">
        <v>109</v>
      </c>
      <c r="B22" s="167" t="s">
        <v>141</v>
      </c>
      <c r="C22" s="167" t="s">
        <v>142</v>
      </c>
      <c r="D22" s="167" t="s">
        <v>128</v>
      </c>
      <c r="E22" s="168" t="s">
        <v>21</v>
      </c>
      <c r="F22" s="174" t="s">
        <v>22</v>
      </c>
      <c r="G22" s="174"/>
      <c r="H22" s="168" t="s">
        <v>23</v>
      </c>
      <c r="I22" s="175">
        <v>2592.2199999999998</v>
      </c>
      <c r="J22" s="175"/>
      <c r="K22" s="171" t="s">
        <v>16</v>
      </c>
      <c r="L22" s="172">
        <v>153675.79</v>
      </c>
    </row>
    <row r="23" spans="1:12" ht="51" x14ac:dyDescent="0.3">
      <c r="A23" s="166" t="s">
        <v>109</v>
      </c>
      <c r="B23" s="167" t="s">
        <v>141</v>
      </c>
      <c r="C23" s="167" t="s">
        <v>142</v>
      </c>
      <c r="D23" s="167" t="s">
        <v>132</v>
      </c>
      <c r="E23" s="168" t="s">
        <v>21</v>
      </c>
      <c r="F23" s="174" t="s">
        <v>22</v>
      </c>
      <c r="G23" s="174"/>
      <c r="H23" s="168" t="s">
        <v>23</v>
      </c>
      <c r="I23" s="176">
        <v>199.27</v>
      </c>
      <c r="J23" s="176"/>
      <c r="K23" s="171" t="s">
        <v>16</v>
      </c>
      <c r="L23" s="172">
        <v>153476.51999999999</v>
      </c>
    </row>
    <row r="24" spans="1:12" ht="51" x14ac:dyDescent="0.3">
      <c r="A24" s="166" t="s">
        <v>109</v>
      </c>
      <c r="B24" s="167" t="s">
        <v>141</v>
      </c>
      <c r="C24" s="167" t="s">
        <v>142</v>
      </c>
      <c r="D24" s="167" t="s">
        <v>134</v>
      </c>
      <c r="E24" s="168" t="s">
        <v>21</v>
      </c>
      <c r="F24" s="174" t="s">
        <v>22</v>
      </c>
      <c r="G24" s="174"/>
      <c r="H24" s="168" t="s">
        <v>23</v>
      </c>
      <c r="I24" s="175">
        <v>29829.89</v>
      </c>
      <c r="J24" s="175"/>
      <c r="K24" s="171" t="s">
        <v>16</v>
      </c>
      <c r="L24" s="172">
        <v>123646.63</v>
      </c>
    </row>
    <row r="25" spans="1:12" ht="51" x14ac:dyDescent="0.3">
      <c r="A25" s="166" t="s">
        <v>109</v>
      </c>
      <c r="B25" s="167" t="s">
        <v>141</v>
      </c>
      <c r="C25" s="167" t="s">
        <v>142</v>
      </c>
      <c r="D25" s="167" t="s">
        <v>121</v>
      </c>
      <c r="E25" s="168" t="s">
        <v>21</v>
      </c>
      <c r="F25" s="174" t="s">
        <v>22</v>
      </c>
      <c r="G25" s="174"/>
      <c r="H25" s="168" t="s">
        <v>23</v>
      </c>
      <c r="I25" s="176">
        <v>663.09</v>
      </c>
      <c r="J25" s="176"/>
      <c r="K25" s="171" t="s">
        <v>16</v>
      </c>
      <c r="L25" s="172">
        <v>122983.54</v>
      </c>
    </row>
    <row r="26" spans="1:12" ht="51" x14ac:dyDescent="0.3">
      <c r="A26" s="166" t="s">
        <v>109</v>
      </c>
      <c r="B26" s="167" t="s">
        <v>141</v>
      </c>
      <c r="C26" s="167" t="s">
        <v>142</v>
      </c>
      <c r="D26" s="167" t="s">
        <v>123</v>
      </c>
      <c r="E26" s="168" t="s">
        <v>21</v>
      </c>
      <c r="F26" s="174" t="s">
        <v>22</v>
      </c>
      <c r="G26" s="174"/>
      <c r="H26" s="168" t="s">
        <v>23</v>
      </c>
      <c r="I26" s="175">
        <v>1204.56</v>
      </c>
      <c r="J26" s="175"/>
      <c r="K26" s="171" t="s">
        <v>16</v>
      </c>
      <c r="L26" s="172">
        <v>121778.98</v>
      </c>
    </row>
    <row r="27" spans="1:12" ht="51" x14ac:dyDescent="0.3">
      <c r="A27" s="166" t="s">
        <v>109</v>
      </c>
      <c r="B27" s="167" t="s">
        <v>141</v>
      </c>
      <c r="C27" s="167" t="s">
        <v>142</v>
      </c>
      <c r="D27" s="167" t="s">
        <v>136</v>
      </c>
      <c r="E27" s="168" t="s">
        <v>21</v>
      </c>
      <c r="F27" s="174" t="s">
        <v>22</v>
      </c>
      <c r="G27" s="174"/>
      <c r="H27" s="168" t="s">
        <v>23</v>
      </c>
      <c r="I27" s="176">
        <v>499.86</v>
      </c>
      <c r="J27" s="176"/>
      <c r="K27" s="171" t="s">
        <v>16</v>
      </c>
      <c r="L27" s="172">
        <v>121279.12</v>
      </c>
    </row>
    <row r="28" spans="1:12" ht="51" x14ac:dyDescent="0.3">
      <c r="A28" s="166" t="s">
        <v>109</v>
      </c>
      <c r="B28" s="167" t="s">
        <v>141</v>
      </c>
      <c r="C28" s="167" t="s">
        <v>142</v>
      </c>
      <c r="D28" s="167" t="s">
        <v>147</v>
      </c>
      <c r="E28" s="168" t="s">
        <v>21</v>
      </c>
      <c r="F28" s="174" t="s">
        <v>22</v>
      </c>
      <c r="G28" s="174"/>
      <c r="H28" s="168" t="s">
        <v>23</v>
      </c>
      <c r="I28" s="176">
        <v>837.22</v>
      </c>
      <c r="J28" s="176"/>
      <c r="K28" s="171" t="s">
        <v>16</v>
      </c>
      <c r="L28" s="172">
        <v>120441.9</v>
      </c>
    </row>
    <row r="29" spans="1:12" ht="51" x14ac:dyDescent="0.3">
      <c r="A29" s="166" t="s">
        <v>109</v>
      </c>
      <c r="B29" s="167" t="s">
        <v>141</v>
      </c>
      <c r="C29" s="167" t="s">
        <v>142</v>
      </c>
      <c r="D29" s="167" t="s">
        <v>139</v>
      </c>
      <c r="E29" s="168" t="s">
        <v>21</v>
      </c>
      <c r="F29" s="174" t="s">
        <v>22</v>
      </c>
      <c r="G29" s="174"/>
      <c r="H29" s="168" t="s">
        <v>23</v>
      </c>
      <c r="I29" s="175">
        <v>7433.95</v>
      </c>
      <c r="J29" s="175"/>
      <c r="K29" s="171" t="s">
        <v>16</v>
      </c>
      <c r="L29" s="172">
        <v>113007.95</v>
      </c>
    </row>
    <row r="30" spans="1:12" ht="51" x14ac:dyDescent="0.3">
      <c r="A30" s="166" t="s">
        <v>109</v>
      </c>
      <c r="B30" s="167" t="s">
        <v>148</v>
      </c>
      <c r="C30" s="167" t="s">
        <v>142</v>
      </c>
      <c r="D30" s="167" t="s">
        <v>143</v>
      </c>
      <c r="E30" s="168" t="s">
        <v>21</v>
      </c>
      <c r="F30" s="174" t="s">
        <v>22</v>
      </c>
      <c r="G30" s="174"/>
      <c r="H30" s="168" t="s">
        <v>23</v>
      </c>
      <c r="I30" s="175">
        <v>17127.21</v>
      </c>
      <c r="J30" s="175"/>
      <c r="K30" s="171" t="s">
        <v>16</v>
      </c>
      <c r="L30" s="172">
        <v>95880.74</v>
      </c>
    </row>
    <row r="31" spans="1:12" ht="51" x14ac:dyDescent="0.3">
      <c r="A31" s="166" t="s">
        <v>109</v>
      </c>
      <c r="B31" s="167" t="s">
        <v>148</v>
      </c>
      <c r="C31" s="167" t="s">
        <v>142</v>
      </c>
      <c r="D31" s="167" t="s">
        <v>119</v>
      </c>
      <c r="E31" s="168" t="s">
        <v>21</v>
      </c>
      <c r="F31" s="174" t="s">
        <v>22</v>
      </c>
      <c r="G31" s="174"/>
      <c r="H31" s="168" t="s">
        <v>23</v>
      </c>
      <c r="I31" s="175">
        <v>9772.16</v>
      </c>
      <c r="J31" s="175"/>
      <c r="K31" s="171" t="s">
        <v>16</v>
      </c>
      <c r="L31" s="172">
        <v>86108.58</v>
      </c>
    </row>
    <row r="32" spans="1:12" ht="51" x14ac:dyDescent="0.3">
      <c r="A32" s="166" t="s">
        <v>109</v>
      </c>
      <c r="B32" s="167" t="s">
        <v>148</v>
      </c>
      <c r="C32" s="167" t="s">
        <v>142</v>
      </c>
      <c r="D32" s="167" t="s">
        <v>149</v>
      </c>
      <c r="E32" s="168" t="s">
        <v>21</v>
      </c>
      <c r="F32" s="174" t="s">
        <v>22</v>
      </c>
      <c r="G32" s="174"/>
      <c r="H32" s="168" t="s">
        <v>23</v>
      </c>
      <c r="I32" s="175">
        <v>5285.08</v>
      </c>
      <c r="J32" s="175"/>
      <c r="K32" s="171" t="s">
        <v>16</v>
      </c>
      <c r="L32" s="172">
        <v>80823.5</v>
      </c>
    </row>
    <row r="33" spans="1:12" ht="51" x14ac:dyDescent="0.3">
      <c r="A33" s="166" t="s">
        <v>109</v>
      </c>
      <c r="B33" s="167" t="s">
        <v>148</v>
      </c>
      <c r="C33" s="167" t="s">
        <v>142</v>
      </c>
      <c r="D33" s="167" t="s">
        <v>123</v>
      </c>
      <c r="E33" s="168" t="s">
        <v>21</v>
      </c>
      <c r="F33" s="174" t="s">
        <v>22</v>
      </c>
      <c r="G33" s="174"/>
      <c r="H33" s="168" t="s">
        <v>23</v>
      </c>
      <c r="I33" s="175">
        <v>18858.830000000002</v>
      </c>
      <c r="J33" s="175"/>
      <c r="K33" s="171" t="s">
        <v>16</v>
      </c>
      <c r="L33" s="172">
        <v>61964.67</v>
      </c>
    </row>
    <row r="34" spans="1:12" ht="51" x14ac:dyDescent="0.3">
      <c r="A34" s="166" t="s">
        <v>109</v>
      </c>
      <c r="B34" s="167" t="s">
        <v>148</v>
      </c>
      <c r="C34" s="167" t="s">
        <v>142</v>
      </c>
      <c r="D34" s="167" t="s">
        <v>126</v>
      </c>
      <c r="E34" s="168" t="s">
        <v>21</v>
      </c>
      <c r="F34" s="174" t="s">
        <v>22</v>
      </c>
      <c r="G34" s="174"/>
      <c r="H34" s="168" t="s">
        <v>23</v>
      </c>
      <c r="I34" s="175">
        <v>9686.51</v>
      </c>
      <c r="J34" s="175"/>
      <c r="K34" s="171" t="s">
        <v>16</v>
      </c>
      <c r="L34" s="172">
        <v>52278.16</v>
      </c>
    </row>
    <row r="35" spans="1:12" ht="51" x14ac:dyDescent="0.3">
      <c r="A35" s="166" t="s">
        <v>109</v>
      </c>
      <c r="B35" s="167" t="s">
        <v>148</v>
      </c>
      <c r="C35" s="167" t="s">
        <v>142</v>
      </c>
      <c r="D35" s="167" t="s">
        <v>128</v>
      </c>
      <c r="E35" s="168" t="s">
        <v>21</v>
      </c>
      <c r="F35" s="174" t="s">
        <v>22</v>
      </c>
      <c r="G35" s="174"/>
      <c r="H35" s="168" t="s">
        <v>23</v>
      </c>
      <c r="I35" s="175">
        <v>8661.0499999999993</v>
      </c>
      <c r="J35" s="175"/>
      <c r="K35" s="171" t="s">
        <v>16</v>
      </c>
      <c r="L35" s="172">
        <v>43617.11</v>
      </c>
    </row>
    <row r="36" spans="1:12" ht="51" x14ac:dyDescent="0.3">
      <c r="A36" s="166" t="s">
        <v>109</v>
      </c>
      <c r="B36" s="167" t="s">
        <v>148</v>
      </c>
      <c r="C36" s="167" t="s">
        <v>142</v>
      </c>
      <c r="D36" s="167" t="s">
        <v>116</v>
      </c>
      <c r="E36" s="168" t="s">
        <v>21</v>
      </c>
      <c r="F36" s="174" t="s">
        <v>22</v>
      </c>
      <c r="G36" s="174"/>
      <c r="H36" s="168" t="s">
        <v>23</v>
      </c>
      <c r="I36" s="176">
        <v>909.42</v>
      </c>
      <c r="J36" s="176"/>
      <c r="K36" s="171" t="s">
        <v>16</v>
      </c>
      <c r="L36" s="172">
        <v>42707.69</v>
      </c>
    </row>
    <row r="37" spans="1:12" ht="51" x14ac:dyDescent="0.3">
      <c r="A37" s="166" t="s">
        <v>109</v>
      </c>
      <c r="B37" s="167" t="s">
        <v>148</v>
      </c>
      <c r="C37" s="167" t="s">
        <v>142</v>
      </c>
      <c r="D37" s="167" t="s">
        <v>104</v>
      </c>
      <c r="E37" s="168" t="s">
        <v>21</v>
      </c>
      <c r="F37" s="174" t="s">
        <v>22</v>
      </c>
      <c r="G37" s="174"/>
      <c r="H37" s="168" t="s">
        <v>23</v>
      </c>
      <c r="I37" s="175">
        <v>9875</v>
      </c>
      <c r="J37" s="175"/>
      <c r="K37" s="171" t="s">
        <v>16</v>
      </c>
      <c r="L37" s="172">
        <v>32832.69</v>
      </c>
    </row>
    <row r="38" spans="1:12" ht="51" x14ac:dyDescent="0.3">
      <c r="A38" s="166" t="s">
        <v>109</v>
      </c>
      <c r="B38" s="167" t="s">
        <v>148</v>
      </c>
      <c r="C38" s="167" t="s">
        <v>142</v>
      </c>
      <c r="D38" s="167" t="s">
        <v>150</v>
      </c>
      <c r="E38" s="168" t="s">
        <v>21</v>
      </c>
      <c r="F38" s="174" t="s">
        <v>22</v>
      </c>
      <c r="G38" s="174"/>
      <c r="H38" s="168" t="s">
        <v>23</v>
      </c>
      <c r="I38" s="175">
        <v>4111.08</v>
      </c>
      <c r="J38" s="175"/>
      <c r="K38" s="171" t="s">
        <v>16</v>
      </c>
      <c r="L38" s="172">
        <v>28721.61</v>
      </c>
    </row>
    <row r="39" spans="1:12" ht="51" x14ac:dyDescent="0.3">
      <c r="A39" s="166" t="s">
        <v>109</v>
      </c>
      <c r="B39" s="167" t="s">
        <v>148</v>
      </c>
      <c r="C39" s="167" t="s">
        <v>142</v>
      </c>
      <c r="D39" s="167" t="s">
        <v>130</v>
      </c>
      <c r="E39" s="168" t="s">
        <v>21</v>
      </c>
      <c r="F39" s="174" t="s">
        <v>22</v>
      </c>
      <c r="G39" s="174"/>
      <c r="H39" s="168" t="s">
        <v>23</v>
      </c>
      <c r="I39" s="175">
        <v>2013.47</v>
      </c>
      <c r="J39" s="175"/>
      <c r="K39" s="171" t="s">
        <v>16</v>
      </c>
      <c r="L39" s="172">
        <v>26708.14</v>
      </c>
    </row>
    <row r="40" spans="1:12" ht="51" x14ac:dyDescent="0.3">
      <c r="A40" s="166" t="s">
        <v>109</v>
      </c>
      <c r="B40" s="167" t="s">
        <v>148</v>
      </c>
      <c r="C40" s="167" t="s">
        <v>142</v>
      </c>
      <c r="D40" s="167" t="s">
        <v>147</v>
      </c>
      <c r="E40" s="168" t="s">
        <v>21</v>
      </c>
      <c r="F40" s="174" t="s">
        <v>22</v>
      </c>
      <c r="G40" s="174"/>
      <c r="H40" s="168" t="s">
        <v>23</v>
      </c>
      <c r="I40" s="175">
        <v>3574.28</v>
      </c>
      <c r="J40" s="175"/>
      <c r="K40" s="171" t="s">
        <v>16</v>
      </c>
      <c r="L40" s="172">
        <v>23133.86</v>
      </c>
    </row>
    <row r="41" spans="1:12" ht="51" x14ac:dyDescent="0.3">
      <c r="A41" s="166" t="s">
        <v>109</v>
      </c>
      <c r="B41" s="167" t="s">
        <v>148</v>
      </c>
      <c r="C41" s="167" t="s">
        <v>142</v>
      </c>
      <c r="D41" s="167" t="s">
        <v>151</v>
      </c>
      <c r="E41" s="168" t="s">
        <v>21</v>
      </c>
      <c r="F41" s="174" t="s">
        <v>22</v>
      </c>
      <c r="G41" s="174"/>
      <c r="H41" s="168" t="s">
        <v>23</v>
      </c>
      <c r="I41" s="175">
        <v>13599.77</v>
      </c>
      <c r="J41" s="175"/>
      <c r="K41" s="171" t="s">
        <v>16</v>
      </c>
      <c r="L41" s="172">
        <v>9534.09</v>
      </c>
    </row>
    <row r="42" spans="1:12" hidden="1" x14ac:dyDescent="0.3">
      <c r="A42" s="177" t="s">
        <v>102</v>
      </c>
      <c r="B42" s="177"/>
      <c r="C42" s="177"/>
      <c r="D42" s="177"/>
      <c r="E42" s="178">
        <v>90135.83</v>
      </c>
      <c r="F42" s="178"/>
      <c r="G42" s="178"/>
      <c r="H42" s="178">
        <v>216479.1</v>
      </c>
      <c r="I42" s="178"/>
      <c r="J42" s="178"/>
      <c r="K42" s="179" t="s">
        <v>16</v>
      </c>
      <c r="L42" s="180">
        <v>9534.09</v>
      </c>
    </row>
    <row r="44" spans="1:12" x14ac:dyDescent="0.3">
      <c r="J44" s="207">
        <f>SUBTOTAL(9,I16:J41)</f>
        <v>216479.09999999995</v>
      </c>
    </row>
  </sheetData>
  <autoFilter ref="A1:L42" xr:uid="{F2C5A631-968B-4AC2-B8D4-9328D8CCB9D1}">
    <filterColumn colId="1">
      <filters>
        <filter val="Вимога-накладна ІБ00-000500 від 02.06.2025 23:00:00_x000a_Списаны ТМЦ"/>
        <filter val="Вимога-накладна ІБ00-000501 від 02.06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0">
    <mergeCell ref="F40:G40"/>
    <mergeCell ref="I40:J40"/>
    <mergeCell ref="F41:G41"/>
    <mergeCell ref="I41:J41"/>
    <mergeCell ref="A42:D42"/>
    <mergeCell ref="E42:G42"/>
    <mergeCell ref="H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6FA9-BB07-419D-BFF8-D9B7AD221064}">
  <sheetPr filterMode="1"/>
  <dimension ref="A1:L11"/>
  <sheetViews>
    <sheetView workbookViewId="0">
      <selection activeCell="J15" sqref="J15"/>
    </sheetView>
  </sheetViews>
  <sheetFormatPr defaultRowHeight="14.4" x14ac:dyDescent="0.3"/>
  <cols>
    <col min="2" max="4" width="33" customWidth="1"/>
    <col min="12" max="12" width="10.109375" bestFit="1" customWidth="1"/>
  </cols>
  <sheetData>
    <row r="1" spans="1:12" x14ac:dyDescent="0.3">
      <c r="A1" s="181" t="s">
        <v>8</v>
      </c>
      <c r="B1" s="182" t="s">
        <v>9</v>
      </c>
      <c r="C1" s="182" t="s">
        <v>10</v>
      </c>
      <c r="D1" s="183" t="s">
        <v>11</v>
      </c>
      <c r="E1" s="184" t="s">
        <v>12</v>
      </c>
      <c r="F1" s="184"/>
      <c r="G1" s="184"/>
      <c r="H1" s="185" t="s">
        <v>13</v>
      </c>
      <c r="I1" s="185"/>
      <c r="J1" s="185"/>
      <c r="K1" s="182" t="s">
        <v>14</v>
      </c>
      <c r="L1" s="182"/>
    </row>
    <row r="2" spans="1:12" x14ac:dyDescent="0.3">
      <c r="A2" s="186"/>
      <c r="B2" s="187"/>
      <c r="C2" s="187"/>
      <c r="D2" s="188"/>
      <c r="E2" s="189" t="s">
        <v>15</v>
      </c>
      <c r="F2" s="190"/>
      <c r="G2" s="190"/>
      <c r="H2" s="191" t="s">
        <v>15</v>
      </c>
      <c r="I2" s="192"/>
      <c r="J2" s="192"/>
      <c r="K2" s="186"/>
      <c r="L2" s="193"/>
    </row>
    <row r="3" spans="1:12" ht="51" hidden="1" x14ac:dyDescent="0.3">
      <c r="A3" s="194" t="s">
        <v>17</v>
      </c>
      <c r="B3" s="195" t="s">
        <v>125</v>
      </c>
      <c r="C3" s="195" t="s">
        <v>126</v>
      </c>
      <c r="D3" s="195" t="s">
        <v>127</v>
      </c>
      <c r="E3" s="196" t="s">
        <v>23</v>
      </c>
      <c r="F3" s="197" t="s">
        <v>22</v>
      </c>
      <c r="G3" s="197"/>
      <c r="H3" s="196" t="s">
        <v>23</v>
      </c>
      <c r="I3" s="198">
        <v>9686.51</v>
      </c>
      <c r="J3" s="198"/>
      <c r="K3" s="199" t="s">
        <v>16</v>
      </c>
      <c r="L3" s="200">
        <v>393368.85</v>
      </c>
    </row>
    <row r="4" spans="1:12" ht="51" hidden="1" x14ac:dyDescent="0.3">
      <c r="A4" s="194" t="s">
        <v>17</v>
      </c>
      <c r="B4" s="195" t="s">
        <v>125</v>
      </c>
      <c r="C4" s="195" t="s">
        <v>128</v>
      </c>
      <c r="D4" s="195" t="s">
        <v>129</v>
      </c>
      <c r="E4" s="196" t="s">
        <v>23</v>
      </c>
      <c r="F4" s="197" t="s">
        <v>22</v>
      </c>
      <c r="G4" s="197"/>
      <c r="H4" s="196" t="s">
        <v>23</v>
      </c>
      <c r="I4" s="198">
        <v>11253.27</v>
      </c>
      <c r="J4" s="198"/>
      <c r="K4" s="199" t="s">
        <v>16</v>
      </c>
      <c r="L4" s="200">
        <v>382115.58</v>
      </c>
    </row>
    <row r="5" spans="1:12" ht="51" hidden="1" x14ac:dyDescent="0.3">
      <c r="A5" s="194" t="s">
        <v>17</v>
      </c>
      <c r="B5" s="195" t="s">
        <v>125</v>
      </c>
      <c r="C5" s="195" t="s">
        <v>130</v>
      </c>
      <c r="D5" s="195" t="s">
        <v>131</v>
      </c>
      <c r="E5" s="196" t="s">
        <v>23</v>
      </c>
      <c r="F5" s="197" t="s">
        <v>22</v>
      </c>
      <c r="G5" s="197"/>
      <c r="H5" s="196" t="s">
        <v>23</v>
      </c>
      <c r="I5" s="198">
        <v>2013.47</v>
      </c>
      <c r="J5" s="198"/>
      <c r="K5" s="199" t="s">
        <v>16</v>
      </c>
      <c r="L5" s="200">
        <v>380102.11</v>
      </c>
    </row>
    <row r="6" spans="1:12" ht="51" hidden="1" x14ac:dyDescent="0.3">
      <c r="A6" s="194" t="s">
        <v>17</v>
      </c>
      <c r="B6" s="195" t="s">
        <v>125</v>
      </c>
      <c r="C6" s="195" t="s">
        <v>132</v>
      </c>
      <c r="D6" s="195" t="s">
        <v>133</v>
      </c>
      <c r="E6" s="196" t="s">
        <v>23</v>
      </c>
      <c r="F6" s="197" t="s">
        <v>22</v>
      </c>
      <c r="G6" s="197"/>
      <c r="H6" s="196" t="s">
        <v>23</v>
      </c>
      <c r="I6" s="201">
        <v>199.27</v>
      </c>
      <c r="J6" s="201"/>
      <c r="K6" s="199" t="s">
        <v>16</v>
      </c>
      <c r="L6" s="200">
        <v>379902.84</v>
      </c>
    </row>
    <row r="7" spans="1:12" ht="51" hidden="1" x14ac:dyDescent="0.3">
      <c r="A7" s="194" t="s">
        <v>17</v>
      </c>
      <c r="B7" s="195" t="s">
        <v>125</v>
      </c>
      <c r="C7" s="195" t="s">
        <v>134</v>
      </c>
      <c r="D7" s="195" t="s">
        <v>135</v>
      </c>
      <c r="E7" s="196" t="s">
        <v>23</v>
      </c>
      <c r="F7" s="197" t="s">
        <v>22</v>
      </c>
      <c r="G7" s="197"/>
      <c r="H7" s="196" t="s">
        <v>23</v>
      </c>
      <c r="I7" s="198">
        <v>29829.89</v>
      </c>
      <c r="J7" s="198"/>
      <c r="K7" s="199" t="s">
        <v>16</v>
      </c>
      <c r="L7" s="200">
        <v>350072.95</v>
      </c>
    </row>
    <row r="8" spans="1:12" ht="51" hidden="1" x14ac:dyDescent="0.3">
      <c r="A8" s="194" t="s">
        <v>17</v>
      </c>
      <c r="B8" s="195" t="s">
        <v>125</v>
      </c>
      <c r="C8" s="195" t="s">
        <v>136</v>
      </c>
      <c r="D8" s="195" t="s">
        <v>137</v>
      </c>
      <c r="E8" s="196" t="s">
        <v>23</v>
      </c>
      <c r="F8" s="197" t="s">
        <v>22</v>
      </c>
      <c r="G8" s="197"/>
      <c r="H8" s="196" t="s">
        <v>23</v>
      </c>
      <c r="I8" s="201">
        <v>499.86</v>
      </c>
      <c r="J8" s="201"/>
      <c r="K8" s="199" t="s">
        <v>16</v>
      </c>
      <c r="L8" s="200">
        <v>349573.09</v>
      </c>
    </row>
    <row r="9" spans="1:12" x14ac:dyDescent="0.3">
      <c r="A9" s="202" t="s">
        <v>102</v>
      </c>
      <c r="B9" s="202"/>
      <c r="C9" s="202"/>
      <c r="D9" s="202"/>
      <c r="E9" s="203">
        <v>0</v>
      </c>
      <c r="F9" s="203"/>
      <c r="G9" s="203"/>
      <c r="H9" s="204">
        <v>0</v>
      </c>
      <c r="I9" s="204"/>
      <c r="J9" s="204"/>
      <c r="K9" s="205" t="s">
        <v>16</v>
      </c>
      <c r="L9" s="206">
        <v>349573.09</v>
      </c>
    </row>
    <row r="11" spans="1:12" x14ac:dyDescent="0.3">
      <c r="J11">
        <v>0</v>
      </c>
    </row>
  </sheetData>
  <autoFilter ref="A1:L9" xr:uid="{1B864D66-D129-45CA-BCEC-7FB20A50F9B2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4">
    <mergeCell ref="F7:G7"/>
    <mergeCell ref="I7:J7"/>
    <mergeCell ref="F8:G8"/>
    <mergeCell ref="I8:J8"/>
    <mergeCell ref="A9:D9"/>
    <mergeCell ref="E9:G9"/>
    <mergeCell ref="H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СВОД</vt:lpstr>
      <vt:lpstr>Катеринопіль МХП</vt:lpstr>
      <vt:lpstr>Цех_Катеринопіль МХП</vt:lpstr>
      <vt:lpstr>ДУ-1 Пункт відв</vt:lpstr>
      <vt:lpstr>ДУ-4 Охолодж макухи</vt:lpstr>
      <vt:lpstr>ДУ-5 Охолодж шроту</vt:lpstr>
      <vt:lpstr>ДУ-6 Транспортгалерея</vt:lpstr>
      <vt:lpstr>ДУ-7 Градирня</vt:lpstr>
      <vt:lpstr>олійно екстракційний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2025-07-22T10:10:54Z</dcterms:modified>
</cp:coreProperties>
</file>
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Июнь_25\Данные\Строительство\Материалы+МШП\"/>
    </mc:Choice>
  </mc:AlternateContent>
  <xr:revisionPtr revIDLastSave="0" documentId="13_ncr:1_{A57698C6-AF21-4CC6-A94E-7737E0EFC88E}" xr6:coauthVersionLast="45" xr6:coauthVersionMax="45" xr10:uidLastSave="{00000000-0000-0000-0000-000000000000}"/>
  <bookViews>
    <workbookView xWindow="-108" yWindow="-108" windowWidth="23256" windowHeight="12600" tabRatio="865" xr2:uid="{00000000-000D-0000-FFFF-FFFF00000000}"/>
  </bookViews>
  <sheets>
    <sheet name="СВОД" sheetId="1" r:id="rId1"/>
    <sheet name="АПК" sheetId="2" r:id="rId2"/>
    <sheet name="Генплан благоустрій" sheetId="3" r:id="rId3"/>
    <sheet name="Генплан дорога СПК" sheetId="4" r:id="rId4"/>
    <sheet name="Генплан підпірна стінка" sheetId="6" r:id="rId5"/>
    <sheet name="Глобине-2" sheetId="7" r:id="rId6"/>
    <sheet name="Котельна" sheetId="8" r:id="rId7"/>
    <sheet name="Насосна Градирня" sheetId="9" r:id="rId8"/>
    <sheet name="Пожежений резервуар" sheetId="10" r:id="rId9"/>
    <sheet name="в бігбегах" sheetId="11" r:id="rId10"/>
    <sheet name="зберігання розчинника" sheetId="12" r:id="rId11"/>
    <sheet name="СПК" sheetId="13" r:id="rId12"/>
    <sheet name="Транспортна галерея" sheetId="14" r:id="rId13"/>
    <sheet name="Цех екстракції" sheetId="15" r:id="rId14"/>
  </sheets>
  <definedNames>
    <definedName name="_xlnm._FilterDatabase" localSheetId="1" hidden="1">АПК!$A$1:$L$69</definedName>
    <definedName name="_xlnm._FilterDatabase" localSheetId="9" hidden="1">'в бігбегах'!$A$1:$L$40</definedName>
    <definedName name="_xlnm._FilterDatabase" localSheetId="2" hidden="1">'Генплан благоустрій'!$A$1:$L$39</definedName>
    <definedName name="_xlnm._FilterDatabase" localSheetId="3" hidden="1">'Генплан дорога СПК'!$A$1:$L$19</definedName>
    <definedName name="_xlnm._FilterDatabase" localSheetId="4" hidden="1">'Генплан підпірна стінка'!$A$1:$L$9</definedName>
    <definedName name="_xlnm._FilterDatabase" localSheetId="5" hidden="1">'Глобине-2'!$A$1:$L$133</definedName>
    <definedName name="_xlnm._FilterDatabase" localSheetId="10" hidden="1">'зберігання розчинника'!$A$1:$L$30</definedName>
    <definedName name="_xlnm._FilterDatabase" localSheetId="6" hidden="1">Котельна!$A$1:$L$119</definedName>
    <definedName name="_xlnm._FilterDatabase" localSheetId="7" hidden="1">'Насосна Градирня'!$A$1:$L$6</definedName>
    <definedName name="_xlnm._FilterDatabase" localSheetId="8" hidden="1">'Пожежений резервуар'!$A$1:$L$68</definedName>
    <definedName name="_xlnm._FilterDatabase" localSheetId="11" hidden="1">СПК!$A$1:$L$205</definedName>
    <definedName name="_xlnm._FilterDatabase" localSheetId="12" hidden="1">'Транспортна галерея'!$A$1:$L$12</definedName>
    <definedName name="_xlnm._FilterDatabase" localSheetId="13" hidden="1">'Цех екстракції'!$A$1:$L$321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  <c r="C11" i="1"/>
  <c r="C15" i="1"/>
  <c r="C10" i="1"/>
  <c r="C9" i="1"/>
  <c r="C8" i="1"/>
  <c r="C7" i="1"/>
  <c r="C6" i="1"/>
  <c r="C5" i="1"/>
  <c r="C4" i="1"/>
  <c r="C3" i="1"/>
  <c r="C2" i="1"/>
  <c r="J71" i="2"/>
  <c r="J41" i="3"/>
  <c r="J135" i="7"/>
  <c r="J121" i="8"/>
  <c r="J70" i="10"/>
  <c r="J42" i="11"/>
  <c r="J32" i="12"/>
  <c r="J207" i="13"/>
  <c r="J14" i="14"/>
  <c r="J323" i="15"/>
</calcChain>
</file>

<file path=xl/sharedStrings.xml><?xml version="1.0" encoding="utf-8"?>
<sst xmlns="http://schemas.openxmlformats.org/spreadsheetml/2006/main" count="8402" uniqueCount="1118">
  <si>
    <t>АПК (Глобине)</t>
  </si>
  <si>
    <t>Генплан благоустрій (Глобине)</t>
  </si>
  <si>
    <t>Генплан дорога СПК (Глобине)</t>
  </si>
  <si>
    <t>Генплан підпірна стінка (Глобине)</t>
  </si>
  <si>
    <t>Глобине-2</t>
  </si>
  <si>
    <t>Котельна (Глобине)</t>
  </si>
  <si>
    <t>Насосна Градирня (Глобине)</t>
  </si>
  <si>
    <t>Пожежений резервуар (Глобине)</t>
  </si>
  <si>
    <t>Пункт фасування та зберігання в бігбегах (Глобине)</t>
  </si>
  <si>
    <t>Резервуар для зберігання розчинника(Глобине)</t>
  </si>
  <si>
    <t>СПК (Глобине)</t>
  </si>
  <si>
    <t>Транспортна галерея (Глобине)</t>
  </si>
  <si>
    <t>Цех екстракції (Глобине)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</si>
  <si>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</si>
  <si>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</si>
  <si>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</si>
  <si>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</si>
  <si>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</si>
  <si>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</si>
  <si>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</si>
  <si>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</si>
  <si>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</si>
  <si>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01.06.2025</t>
  </si>
  <si>
    <t>Переміщення товарів ІБ00-000538 від 01.06.2025 23:13:40
Перемещение ТМЦ</t>
  </si>
  <si>
    <t>Обл. НДС
Круг 10 (6,05- 3760 3пс/А240с)
Надходження товарів і послуг ІБ00-001657 від 01.04.2025 11:00:00
АПК (Глобине)</t>
  </si>
  <si>
    <t>Обл. НДС
Круг 10 (6,05- 3760 3пс/А240с)
Надходження товарів і послуг ІБ00-001657 від 01.04.2025 11:00:00
Транспортна галерея (Глобине)</t>
  </si>
  <si>
    <t>205</t>
  </si>
  <si>
    <t xml:space="preserve"> </t>
  </si>
  <si>
    <t>Переміщення товарів ІБ00-000539 від 01.06.2025 23:13:41
Перемещение ТМЦ</t>
  </si>
  <si>
    <t>Обл. НДС
Прокат арматурний №14 мм  А500С, 12 м
Надходження товарів і послуг ІБ00-000546 від 14.02.2025 10:00:00
АПК (Глобине)</t>
  </si>
  <si>
    <t>Обл. НДС
Прокат арматурний №14 мм  А500С, 12 м
Надходження товарів і послуг ІБ00-000546 від 14.02.2025 10:00:00
Пункт фасування та зберігання в бігбегах (Глобине)</t>
  </si>
  <si>
    <t>02.06.2025</t>
  </si>
  <si>
    <t>Вимога-накладна ІБ00-000437 від 02.06.2025 00:00:00
Списаны ТМЦ</t>
  </si>
  <si>
    <t>Обл. НДС
Виробничий (Глобине-2)
Глобине-2
Прямі материальні виробничі витрати крім зворотніх відходів</t>
  </si>
  <si>
    <t>231</t>
  </si>
  <si>
    <t>Вимога-накладна ІБ00-000438 від 02.06.2025 10:37:22
Списаны ТМЦ</t>
  </si>
  <si>
    <t>Обл. НДС
Пенетрон Адмікс 18кг/мішок
Надходження товарів і послуг ІБ00-001456 від 04.04.2025 11:00:00
АПК (Глобине)</t>
  </si>
  <si>
    <t>Вимога-накладна ІБ00-000439 від 02.06.2025 10:40:51
Списаны ТМЦ</t>
  </si>
  <si>
    <t>Обл. НДС
Труба Дн 89*3
Надходження товарів і послуг ІБ00-002202 від 01.05.2025 11:00:00
АПК (Глобине)</t>
  </si>
  <si>
    <t>Обл. НДС
Труба 159*5.0мм
Надходження товарів і послуг ІБ00-002202 від 01.05.2025 11:00:00
АПК (Глобине)</t>
  </si>
  <si>
    <t>Обл. НДС
Труба 426*10,0мм
Надходження товарів і послуг ІБ00-002202 від 01.05.2025 11:00:00
АПК (Глобине)</t>
  </si>
  <si>
    <t>Обл. НДС
Труба 377*10,0
Надходження товарів і послуг ІБ00-002202 від 01.05.2025 11:00:00
АПК (Глобине)</t>
  </si>
  <si>
    <t>Надходження товарів і послуг ІБ00-002710 від 02.06.2025 11:00:00
Оприходованы ТМЦ</t>
  </si>
  <si>
    <t>Обл. НДС
Пісок з відсіву дроблення щебеню фр. 0-5мм.
Надходження товарів і послуг ІБ00-002710 від 02.06.2025 11:00:00
АПК (Глобине)</t>
  </si>
  <si>
    <t>Енергія Логістик ТОВ
№28/10-2024 ВІД 28/10/24_Глобине-2
Рахунок на оплату постачальника ІБ00-002242 від 02.06.2025 17:51:01</t>
  </si>
  <si>
    <t>631</t>
  </si>
  <si>
    <t>06.06.2025</t>
  </si>
  <si>
    <t>Надходження товарів і послуг ІБ00-002834 від 06.06.2025 11:00:00
Оприходованы ТМЦ</t>
  </si>
  <si>
    <t>Обл. НДС
Арматура № 8  А500С, L=12000 мм
Надходження товарів і послуг ІБ00-002834 від 06.06.2025 11:00:00
АПК (Глобине)</t>
  </si>
  <si>
    <t>МЕТІНВЕСТ-СМЦ ТОВ
№1778403/01/2023-С от 11.01.2023 РАХУНКИ_Глобино-2
Рахунок на оплату постачальника ІБ00-002368 від 06.06.2025 18:22:52</t>
  </si>
  <si>
    <t>Надходження товарів і послуг ІБ00-003218 від 06.06.2025 11:00:00
Оприходованы ТМЦ</t>
  </si>
  <si>
    <t>Обл. НДС
Щебінь 40-70
Надходження товарів і послуг ІБ00-003218 від 06.06.2025 11:00:00
АПК (Глобине)</t>
  </si>
  <si>
    <t>Венкрас Авто ПП
Договір 05/09/2024 від 05.09.2024_Глобине-2
Рахунок на оплату постачальника ІБ00-002690 від 06.06.2025 18:23:25</t>
  </si>
  <si>
    <t>12.06.2025</t>
  </si>
  <si>
    <t>Переміщення товарів ІБ00-000585 від 12.06.2025 11:10:00
Перемещение ТМЦ</t>
  </si>
  <si>
    <t>Обл. НДС
Пісок з відсіву дроблення щебеню фр. 0-5мм.
Надходження товарів і послуг ІБ00-003170 від 12.06.2025 11:00:00
АПК (Глобине)</t>
  </si>
  <si>
    <t>Обл. НДС
Пісок з відсіву дроблення щебеню фр. 0-5мм.
Надходження товарів і послуг ІБ00-003170 від 12.06.2025 11:00:00
Глобине-2</t>
  </si>
  <si>
    <t>13.06.2025</t>
  </si>
  <si>
    <t>Переміщення товарів ІБ00-000587 від 13.06.2025 11:10:00
Перемещение ТМЦ</t>
  </si>
  <si>
    <t>Обл. НДС
Пісок з відсіву дроблення щебеню фр. 0-5мм.
Надходження товарів і послуг ІБ00-003172 від 13.06.2025 11:00:00
АПК (Глобине)</t>
  </si>
  <si>
    <t>Обл. НДС
Пісок з відсіву дроблення щебеню фр. 0-5мм.
Надходження товарів і послуг ІБ00-003172 від 13.06.2025 11:00:00
Глобине-2</t>
  </si>
  <si>
    <t>16.06.2025</t>
  </si>
  <si>
    <t>Переміщення товарів ІБ00-000588 від 16.06.2025 11:10:00
Перемещение ТМЦ</t>
  </si>
  <si>
    <t>Обл. НДС
Пісок з відсіву дроблення щебеню фр. 0-5мм.
Надходження товарів і послуг ІБ00-003174 від 16.06.2025 11:00:00
АПК (Глобине)</t>
  </si>
  <si>
    <t>Обл. НДС
Пісок з відсіву дроблення щебеню фр. 0-5мм.
Надходження товарів і послуг ІБ00-003174 від 16.06.2025 11:00:00
Глобине-2</t>
  </si>
  <si>
    <t>Переміщення товарів ІБ00-000555 від 16.06.2025 11:15:00
Перемещение ТМЦ</t>
  </si>
  <si>
    <t>Обл. НДС
Бетон С20/25 W6 F75 P4
Надходження товарів і послуг ІБ00-002956 від 16.06.2025 11:00:00
АПК (Глобине)</t>
  </si>
  <si>
    <t>Обл. НДС
Бетон С20/25 W6 F75 P4
Надходження товарів і послуг ІБ00-002956 від 16.06.2025 11:00:00
Глобине-2</t>
  </si>
  <si>
    <t>19.06.2025</t>
  </si>
  <si>
    <t>Вимога-накладна ІБ00-000455 від 19.06.2025 10:28:26
Списаны ТМЦ</t>
  </si>
  <si>
    <t>Обл. НДС
Бетон С20/25 W6 F75 P4
Надходження товарів і послуг ІБ00-002451 від 26.05.2025 11:00:00
АПК (Глобине)</t>
  </si>
  <si>
    <t>Обл. НДС
Кутик 100*100*7мм ст. 3Пс МІРА
Надходження товарів і послуг ІБ00-000851 від 03.03.2025 18:09:07
АПК (Глобине)</t>
  </si>
  <si>
    <t>Обл. НДС
Труба 219*6
Надходження товарів і послуг ІБ00-002202 від 01.05.2025 11:00:00
АПК (Глобине)</t>
  </si>
  <si>
    <t>Переміщення товарів ІБ00-000570 від 19.06.2025 11:10:00
Перемещение ТМЦ</t>
  </si>
  <si>
    <t>Обл. НДС
Бетон С  8/10 Р4
Надходження товарів і послуг ІБ00-003063 від 19.06.2025 11:00:00
АПК (Глобине)</t>
  </si>
  <si>
    <t>Обл. НДС
Бетон С  8/10 Р4
Надходження товарів і послуг ІБ00-003063 від 19.06.2025 11:00:00
Глобине-2</t>
  </si>
  <si>
    <t>20.06.2025</t>
  </si>
  <si>
    <t>Переміщення товарів ІБ00-000576 від 20.06.2025 10:00:00
Перемещение ТМЦ</t>
  </si>
  <si>
    <t>Обл. НДС
Бетон С20/25 W6 F75 P4
Надходження товарів і послуг ІБ00-002806 від 09.06.2025 11:00:00
АПК (Глобине)</t>
  </si>
  <si>
    <t>Обл. НДС
Бетон С20/25 W6 F75 P4
Надходження товарів і послуг ІБ00-002806 від 09.06.2025 11:00:00
Пожежений резервуар (Глобине)</t>
  </si>
  <si>
    <t>Обл. НДС
Пенетрон Адмікс 18кг/мішок/відро
Надходження товарів і послуг ІБ00-001895 від 30.04.2025 11:00:00
АПК (Глобине)</t>
  </si>
  <si>
    <t>Обл. НДС
Пенетрон Адмікс 18кг/мішок/відро
Надходження товарів і послуг ІБ00-001895 від 30.04.2025 11:00:00
Пожежений резервуар (Глобине)</t>
  </si>
  <si>
    <t>Обл. НДС
Шнур бентонітовий ГІДРОСТОП 15*25
Надходження товарів і послуг ІБ00-002192 від 01.05.2025 11:00:00
АПК (Глобине)</t>
  </si>
  <si>
    <t>Обл. НДС
Шнур бентонітовий ГІДРОСТОП 15*25
Надходження товарів і послуг ІБ00-002192 від 01.05.2025 11:00:00
Пожежений резервуар (Глобине)</t>
  </si>
  <si>
    <t>Обл. НДС
Профіль кріпильний 25*15мм
Надходження товарів і послуг ІБ00-002192 від 01.05.2025 11:00:00
АПК (Глобине)</t>
  </si>
  <si>
    <t>Обл. НДС
Профіль кріпильний 25*15мм
Надходження товарів і послуг ІБ00-002192 від 01.05.2025 11:00:00
Пожежений резервуар (Глобине)</t>
  </si>
  <si>
    <t>Переміщення товарів ІБ00-000577 від 20.06.2025 10:00:00
Перемещение ТМЦ</t>
  </si>
  <si>
    <t>Обл. НДС
Пісок з відсіву дроблення щебеню фр. 0-5мм.
Надходження товарів і послуг ІБ00-002856 від 10.06.2025 11:00:00
АПК (Глобине)</t>
  </si>
  <si>
    <t>Обл. НДС
Пісок з відсіву дроблення щебеню фр. 0-5мм.
Надходження товарів і послуг ІБ00-002856 від 10.06.2025 11:00:00
Пункт фасування та зберігання в бігбегах (Глобине)</t>
  </si>
  <si>
    <t>Переміщення товарів ІБ00-000578 від 20.06.2025 10:00:00
Перемещение ТМЦ</t>
  </si>
  <si>
    <t>Обл. НДС
Пенебар SW-55 тип А 5м/рул
Надходження товарів і послуг ІБ00-000649 від 17.02.2025 23:45:08
АПК (Глобине)</t>
  </si>
  <si>
    <t>Обл. НДС
Пенебар SW-55 тип А 5м/рул
Надходження товарів і послуг ІБ00-000649 від 17.02.2025 23:45:08
Резервуар для зберігання розчинника(Глобине)</t>
  </si>
  <si>
    <t>Переміщення товарів ІБ00-000582 від 20.06.2025 10:00:00
Перемещение ТМЦ</t>
  </si>
  <si>
    <t>Обл. НДС
Емульсія бітумна Igoflex-101 каністра 32л
Надходження товарів і послуг ІБ00-001108 від 22.03.2024 17:34:05
Пункт фасування та зберігання в бігбегах (Глобине)</t>
  </si>
  <si>
    <t>Обл. НДС
Емульсія бітумна Igoflex-101 каністра 32л
Надходження товарів і послуг ІБ00-001108 від 22.03.2024 17:34:05
АПК (Глобине)</t>
  </si>
  <si>
    <t>Надходження товарів і послуг ІБ00-003138 від 20.06.2025 11:00:00
Оприходованы ТМЦ</t>
  </si>
  <si>
    <t>Обл. НДС
Шпонка гідроізоляційна ПО-2 20пог/м
Надходження товарів і послуг ІБ00-003138 від 20.06.2025 11:00:00
АПК (Глобине)</t>
  </si>
  <si>
    <t>ПРОТЕКС УКРАЇНА
Договір 9  від 11.12.2023_Глобине 2
Рахунок на оплату постачальника ІБ00-002600 від 20.06.2025 18:06:46</t>
  </si>
  <si>
    <t>Обл. НДС
Герметик поліуритановий 600 мл
Надходження товарів і послуг ІБ00-003138 від 20.06.2025 11:00:00
АПК (Глобине)</t>
  </si>
  <si>
    <t>Вимога-накладна ІБ00-000486 від 20.06.2025 18:07:02
Списаны ТМЦ</t>
  </si>
  <si>
    <t>Обл. НДС
Плівка п/е рукав 1500*200 мкм
Надходження товарів і послуг ІБ00-001528 від 26.03.2025 11:00:00
АПК (Глобине)</t>
  </si>
  <si>
    <t>Обл. НДС
Шнур бентонітовий ГІДРОСТОП 15*25
Надходження товарів і послуг ІБ00-002184 від 01.05.2025 11:00:00
АПК (Глобине)</t>
  </si>
  <si>
    <t>Обл. НДС
Профіль кріпильний 25*15мм
Надходження товарів і послуг ІБ00-002184 від 01.05.2025 11:00:00
АПК (Глобине)</t>
  </si>
  <si>
    <t>Обл. НДС
Пісок з відсіву дроблення щебеню фр. 0-5мм.
Надходження товарів і послуг ІБ00-002341 від 20.05.2025 17:54:58
АПК (Глобине)</t>
  </si>
  <si>
    <t>Обл. НДС
Пісок з відсіву дроблення щебеню фр. 0-5мм.
Надходження товарів і послуг ІБ00-002712 від 28.05.2025 11:00:00
АПК (Глобине)</t>
  </si>
  <si>
    <t>Обл. НДС
Пенекрит 25кг/відро
Надходження товарів і послуг ІБ00-002340 від 08.05.2025 11:00:00
АПК (Глобине)</t>
  </si>
  <si>
    <t>Обл. НДС
Насосна станція SHIMGE JET1000G1 1.1кВт/220в/48м/90л/24 нерж голова
Надходження товарів і послуг ІБ00-000734 від 28.02.2025 23:59:14
АПК (Глобине)</t>
  </si>
  <si>
    <t>24.06.2025</t>
  </si>
  <si>
    <t>Надходження товарів і послуг ІБ00-003242 від 24.06.2025 11:00:00
Оприходованы ТМЦ</t>
  </si>
  <si>
    <t>Обл. НДС
Штаба 50*5 н/ж АІСІ304 3,05
Надходження товарів і послуг ІБ00-003242 від 24.06.2025 11:00:00
АПК (Глобине)</t>
  </si>
  <si>
    <t>МЕТАЛ ХОЛДІНГ ТРЕЙД ТОВ
Дог 01/219/25 від 01.04.2025_Глобине-2
Рахунок на оплату постачальника ІБ00-002705 від 23.06.2025 18:21:54</t>
  </si>
  <si>
    <t>Переміщення товарів ІБ00-000592 від 24.06.2025 11:10:00
Перемещение ТМЦ</t>
  </si>
  <si>
    <t>Обл. НДС
Бетон С 20/25  F75 W6 Р4
Надходження товарів і послуг ІБ00-003180 від 24.06.2025 11:00:00
АПК (Глобине)</t>
  </si>
  <si>
    <t>Обл. НДС
Бетон С 20/25  F75 W6 Р4
Надходження товарів і послуг ІБ00-003180 від 24.06.2025 11:00:00
Глобине-2</t>
  </si>
  <si>
    <t>Надходження дод. витрат ІБ00-000403 від 24.06.2025 11:10:00
Доп. расходы при поступлении товаров</t>
  </si>
  <si>
    <t>25.06.2025</t>
  </si>
  <si>
    <t>Переміщення товарів ІБ00-000610 від 25.06.2025 10:00:00
Перемещение ТМЦ</t>
  </si>
  <si>
    <t>Обл. НДС
Бетон С 20/25  F75 W6 Р4
Надходження товарів і послуг ІБ00-003180 від 24.06.2025 11:00:00
Резервуар для зберігання розчинника(Глобине)</t>
  </si>
  <si>
    <t>Вимога-накладна ІБ00-000507 від 25.06.2025 23:12:57
Списаны ТМЦ</t>
  </si>
  <si>
    <t>26.06.2025</t>
  </si>
  <si>
    <t>Надходження товарів і послуг ІБ00-003354 від 26.06.2025 11:00:00
Оприходованы ТМЦ</t>
  </si>
  <si>
    <t>Обл. НДС
Бетон С 20/25  F75 W6 Р4
Надходження товарів і послуг ІБ00-003354 від 26.06.2025 11:00:00
АПК (Глобине)</t>
  </si>
  <si>
    <t>Кременчуцький річковий порт ПРАТ
Договір 112/Б від 15.10.2024_Глобине-2
Надходження товарів і послуг ІБ00-003354 від 26.06.2025 11:00:00</t>
  </si>
  <si>
    <t>Надходження товарів і послуг ІБ00-003564 від 26.06.2025 11:00:00
Оприходованы ТМЦ (Зачет аванса поставщику)</t>
  </si>
  <si>
    <t>Обл. НДС
Блок  600*375*200 G D500
Надходження товарів і послуг ІБ00-003564 від 26.06.2025 11:00:00
АПК (Глобине)</t>
  </si>
  <si>
    <t>САФОРТ ТД ТОВ
РАХУНКИ_Глобино-2
Рахунок на оплату постачальника ІБ00-002449 від 10.06.2025 18:15:31</t>
  </si>
  <si>
    <t>Обл. НДС
Клей для газобетону  (20 кг)
Надходження товарів і послуг ІБ00-003564 від 26.06.2025 11:00:00
АПК (Глобине)</t>
  </si>
  <si>
    <t>Надходження дод. витрат ІБ00-000405 від 26.06.2025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</si>
  <si>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ІБ00-000405 від 26.06.2025 11:10:00</t>
  </si>
  <si>
    <t>27.06.2025</t>
  </si>
  <si>
    <t>Надходження товарів і послуг ІБ00-003565 від 27.06.2025 11:00:00
Оприходованы ТМЦ</t>
  </si>
  <si>
    <t>Обл. НДС
Блок  600*375*200 G D500
Надходження товарів і послуг ІБ00-003565 від 27.06.2025 11:00:00
АПК (Глобине)</t>
  </si>
  <si>
    <t>Надходження товарів і послуг ІБ00-003565 від 27.06.2025 11:00:00
Оприходованы ТМЦ (Зачет аванса поставщику)</t>
  </si>
  <si>
    <t>Обл. НДС
Клей для газобетону  (20 кг)
Надходження товарів і послуг ІБ00-003565 від 27.06.2025 11:00:00
АПК (Глобине)</t>
  </si>
  <si>
    <t>Переміщення товарів ІБ00-000603 від 27.06.2025 11:10:00
Перемещение ТМЦ</t>
  </si>
  <si>
    <t>Обл. НДС
Пісок з відсіву дроблення щебеню фр. 0-5мм.
Надходження товарів і послуг ІБ00-003283 від 27.06.2025 11:00:00
АПК (Глобине)</t>
  </si>
  <si>
    <t>Обл. НДС
Пісок з відсіву дроблення щебеню фр. 0-5мм.
Надходження товарів і послуг ІБ00-003283 від 27.06.2025 11:00:00
Глобине-2</t>
  </si>
  <si>
    <t>Переміщення товарів ІБ00-000638 від 27.06.2025 11:20:00
Перемещение ТМЦ</t>
  </si>
  <si>
    <t>Обл. НДС
Пісок з відсіву дроблення щебеню фр. 0-5мм.
Надходження товарів і послуг ІБ00-003570 від 27.06.2025 11:00:00
АПК (Глобине)</t>
  </si>
  <si>
    <t>Обл. НДС
Пісок з відсіву дроблення щебеню фр. 0-5мм.
Надходження товарів і послуг ІБ00-003570 від 27.06.2025 11:00:00
Глобине-2</t>
  </si>
  <si>
    <t>30.06.2025</t>
  </si>
  <si>
    <t>Надходження товарів і послуг ІБ00-003355 від 30.06.2025 11:00:00
Оприходованы ТМЦ</t>
  </si>
  <si>
    <t>Обл. НДС
Бетон С 20/25  F75 W6 Р4
Надходження товарів і послуг ІБ00-003355 від 30.06.2025 11:00:00
АПК (Глобине)</t>
  </si>
  <si>
    <t>Кременчуцький річковий порт ПРАТ
Договір 112/Б від 15.10.2024_Глобине-2
Надходження товарів і послуг ІБ00-003355 від 30.06.2025 11:00:00</t>
  </si>
  <si>
    <t>Надходження дод. витрат ІБ00-000406 від 30.06.2025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</si>
  <si>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ІБ00-000406 від 30.06.2025 11:10:00</t>
  </si>
  <si>
    <t>Обороти за період та сальдо на кінець</t>
  </si>
  <si>
    <t>18.06.2025</t>
  </si>
  <si>
    <t>Переміщення товарів ІБ00-000563 від 18.06.2025 10:08:38
Перемещение ТМЦ</t>
  </si>
  <si>
    <t>Обл. НДС
Пісок з відсіву дроблення щебеню фр. 0-5мм.
Надходження товарів і послуг ІБ00-002156 від 09.05.2025 11:00:00
Генплан благоустрій (Глобине)</t>
  </si>
  <si>
    <t>Обл. НДС
Пісок з відсіву дроблення щебеню фр. 0-5мм.
Надходження товарів і послуг ІБ00-002156 від 09.05.2025 11:00:00
Генплан дорога СПК (Глобине)</t>
  </si>
  <si>
    <t>Обл. НДС
Пісок з відсіву дроблення щебеню фр. 0-5мм.
Надходження товарів і послуг ІБ00-002222 від 14.05.2025 11:00:00
Генплан благоустрій (Глобине)</t>
  </si>
  <si>
    <t>Обл. НДС
Пісок з відсіву дроблення щебеню фр. 0-5мм.
Надходження товарів і послуг ІБ00-002222 від 14.05.2025 11:00:00
Генплан дорога СПК (Глобине)</t>
  </si>
  <si>
    <t>Обл. НДС
Пісок з відсіву дроблення щебеню фр. 0-5мм.
Надходження товарів і послуг ІБ00-002305 від 19.05.2025 11:00:00
Генплан благоустрій (Глобине)</t>
  </si>
  <si>
    <t>Обл. НДС
Пісок з відсіву дроблення щебеню фр. 0-5мм.
Надходження товарів і послуг ІБ00-002305 від 19.05.2025 11:00:00
Генплан дорога СПК (Глобине)</t>
  </si>
  <si>
    <t>Обл. НДС
Пісок з відсіву дроблення щебеню фр. 0-5мм.
Надходження товарів і послуг ІБ00-002508 від 21.05.2025 11:00:00
Генплан благоустрій (Глобине)</t>
  </si>
  <si>
    <t>Обл. НДС
Пісок з відсіву дроблення щебеню фр. 0-5мм.
Надходження товарів і послуг ІБ00-002508 від 21.05.2025 11:00:00
Генплан дорога СПК (Глобине)</t>
  </si>
  <si>
    <t>Обл. НДС
Пісок з відсіву дроблення щебеню фр. 0-5мм.
Надходження товарів і послуг ІБ00-002716 від 22.05.2025 11:00:00
Генплан благоустрій (Глобине)</t>
  </si>
  <si>
    <t>Обл. НДС
Пісок з відсіву дроблення щебеню фр. 0-5мм.
Надходження товарів і послуг ІБ00-002716 від 22.05.2025 11:00:00
Генплан дорога СПК (Глобине)</t>
  </si>
  <si>
    <t>Обл. НДС
Пісок з відсіву дроблення щебеню фр. 0-5мм.
Надходження товарів і послуг ІБ00-002712 від 28.05.2025 11:00:00
Генплан благоустрій (Глобине)</t>
  </si>
  <si>
    <t>Обл. НДС
Пісок з відсіву дроблення щебеню фр. 0-5мм.
Надходження товарів і послуг ІБ00-002712 від 28.05.2025 11:00:00
Генплан дорога СПК (Глобине)</t>
  </si>
  <si>
    <t>Обл. НДС
Пісок з відсіву дроблення щебеню фр. 0-5мм.
Надходження товарів і послуг ІБ00-002713 від 29.05.2025 11:00:00
Генплан благоустрій (Глобине)</t>
  </si>
  <si>
    <t>Обл. НДС
Пісок з відсіву дроблення щебеню фр. 0-5мм.
Надходження товарів і послуг ІБ00-002713 від 29.05.2025 11:00:00
Генплан дорога СПК (Глобине)</t>
  </si>
  <si>
    <t>Обл. НДС
Пісок з відсіву дроблення щебеню фр. 0-5мм.
Надходження товарів і послуг ІБ00-002715 від 30.05.2025 11:00:00
Генплан благоустрій (Глобине)</t>
  </si>
  <si>
    <t>Обл. НДС
Пісок з відсіву дроблення щебеню фр. 0-5мм.
Надходження товарів і послуг ІБ00-002715 від 30.05.2025 11:00:00
Генплан дорога СПК (Глобине)</t>
  </si>
  <si>
    <t>Обл. НДС
Щебенево-піщана суміш фр 0-70 мм
Надходження товарів і послуг ІБ00-002716 від 22.05.2025 11:00:00
Генплан благоустрій (Глобине)</t>
  </si>
  <si>
    <t>Обл. НДС
Щебенево-піщана суміш фр 0-70 мм
Надходження товарів і послуг ІБ00-002716 від 22.05.2025 11:00:00
Генплан дорога СПК (Глобине)</t>
  </si>
  <si>
    <t>Обл. НДС
Щебенево-піщана суміш фр 0-70 мм
Надходження товарів і послуг ІБ00-002708 від 26.05.2025 11:00:00
Генплан благоустрій (Глобине)</t>
  </si>
  <si>
    <t>Обл. НДС
Щебенево-піщана суміш фр 0-70 мм
Надходження товарів і послуг ІБ00-002708 від 26.05.2025 11:00:00
Генплан дорога СПК (Глобине)</t>
  </si>
  <si>
    <t>Обл. НДС
Щебнево-пісчана суміш фр.0-70 мм
Надходження товарів і послуг ІБ00-002633 від 24.05.2025 11:00:00
Генплан благоустрій (Глобине)</t>
  </si>
  <si>
    <t>Обл. НДС
Щебнево-пісчана суміш фр.0-70 мм
Надходження товарів і послуг ІБ00-002633 від 24.05.2025 11:00:00
Генплан дорога СПК (Глобине)</t>
  </si>
  <si>
    <t>Обл. НДС
Геотекстиль термоскріплений F-50 300г/м.кв (шир. 5 м)
Надходження товарів і послуг ІБ00-000821 від 03.03.2025 18:09:02
Генплан благоустрій (Глобине)</t>
  </si>
  <si>
    <t>Обл. НДС
Геотекстиль термоскріплений F-50 300г/м.кв (шир. 5 м)
Надходження товарів і послуг ІБ00-000821 від 03.03.2025 18:09:02
Генплан дорога СПК (Глобине)</t>
  </si>
  <si>
    <t>Переміщення товарів ІБ00-000565 від 18.06.2025 10:11:53
Перемещение ТМЦ</t>
  </si>
  <si>
    <t>Обл. НДС
Щебенево-піщана суміш фр 0-70 мм
Надходження товарів і послуг ІБ00-001691 від 14.04.2025 11:04:21
Генплан благоустрій (Глобине)</t>
  </si>
  <si>
    <t>Обл. НДС
Щебенево-піщана суміш фр 0-70 мм
Надходження товарів і послуг ІБ00-001691 від 14.04.2025 11:04:21
Генплан підпірна стінка (Глобине)</t>
  </si>
  <si>
    <t>Переміщення товарів ІБ00-000564 від 18.06.2025 18:22:45
Перемещение ТМЦ</t>
  </si>
  <si>
    <t>Обл. НДС
Щебенево-піщана суміш фр 0-70 мм
Надходження товарів і послуг ІБ00-001691 від 14.04.2025 11:04:21
СПК (Глобине)</t>
  </si>
  <si>
    <t>Обл. НДС
Щебенево-піщана суміш фр 0-70 мм
Надходження товарів і послуг ІБ00-002967 від 01.06.2025 11:00:00
Генплан благоустрій (Глобине)</t>
  </si>
  <si>
    <t>Обл. НДС
Щебенево-піщана суміш фр 0-70 мм
Надходження товарів і послуг ІБ00-002967 від 01.06.2025 11:00:00
СПК (Глобине)</t>
  </si>
  <si>
    <t>Обл. НДС
Щебенево-піщана суміш фр 0-70 мм
Надходження товарів і послуг ІБ00-002968 від 01.06.2025 11:00:00
Генплан благоустрій (Глобине)</t>
  </si>
  <si>
    <t>Обл. НДС
Щебенево-піщана суміш фр 0-70 мм
Надходження товарів і послуг ІБ00-002968 від 01.06.2025 11:00:00
СПК (Глобине)</t>
  </si>
  <si>
    <t>Вимога-накладна ІБ00-000453 від 19.06.2025 10:04:50
Списаны ТМЦ</t>
  </si>
  <si>
    <t>23.06.2025</t>
  </si>
  <si>
    <t>Надходження товарів і послуг ІБ00-003559 від 23.06.2025 11:00:00
Оприходованы ТМЦ</t>
  </si>
  <si>
    <t>Обл. НДС
Щебнево-пісчана суміш фр.0-70 мм
Надходження товарів і послуг ІБ00-003559 від 23.06.2025 11:00:00
Генплан дорога СПК (Глобине)</t>
  </si>
  <si>
    <t>Венкрас Авто ПП
Договір 05/09/2024 від 05.09.2024_Глобине-2
Рахунок на оплату постачальника ІБ00-002919 від 23.06.2025 18:22:22</t>
  </si>
  <si>
    <t>Надходження дод. витрат ІБ00-000424 від 23.06.2025 11:10:00
Доп. расходы при поступлении товаров</t>
  </si>
  <si>
    <t>Надходження товарів і послуг ІБ00-003239 від 24.06.2025 11:00:00
Оприходованы ТМЦ</t>
  </si>
  <si>
    <t>Обл. НДС
Щебнево-пісчана суміш фр.0-70 мм
Надходження товарів і послуг ІБ00-003239 від 24.06.2025 11:00:00
Генплан дорога СПК (Глобине)</t>
  </si>
  <si>
    <t>Венкрас Авто ПП
Договір 05/09/2024 від 05.09.2024_Глобине-2
Рахунок на оплату постачальника ІБ00-002704 від 24.06.2025 18:10:24</t>
  </si>
  <si>
    <t>Переміщення товарів ІБ00-000625 від 24.06.2025 11:15:00
Перемещение ТМЦ</t>
  </si>
  <si>
    <t>Обл. НДС
Щебенево-піщана суміш фр 0-70 мм
Надходження товарів і послуг ІБ00-003420 від 24.06.2025 11:00:00
Генплан дорога СПК (Глобине)</t>
  </si>
  <si>
    <t>Обл. НДС
Щебенево-піщана суміш фр 0-70 мм
Надходження товарів і послуг ІБ00-003420 від 24.06.2025 11:00:00
Глобине-2</t>
  </si>
  <si>
    <t>Переміщення товарів ІБ00-000541 від 01.06.2025 23:13:45
Перемещение ТМЦ</t>
  </si>
  <si>
    <t>Обл. НДС
Бетон С20/25 W6 F75 P4
Надходження товарів і послуг ІБ00-002293 від 17.05.2025 11:00:00
Цех екстракції (Глобине)</t>
  </si>
  <si>
    <t>Обл. НДС
Бетон С20/25 W6 F75 P4
Надходження товарів і послуг ІБ00-002293 від 17.05.2025 11:00:00
Генплан підпірна стінка (Глобине)</t>
  </si>
  <si>
    <t>Переміщення товарів ІБ00-000542 від 01.06.2025 23:13:46
Перемещение ТМЦ</t>
  </si>
  <si>
    <t>Обл. НДС
Цемент ПЦ ІІ/А-Ш 500 25кг 1пал/64шт
Надходження товарів і послуг ІБ00-002038 від 01.04.2025 11:00:00
Транспортна галерея (Глобине)</t>
  </si>
  <si>
    <t>Обл. НДС
Цемент ПЦ ІІ/А-Ш 500 25кг 1пал/64шт
Надходження товарів і послуг ІБ00-002038 від 01.04.2025 11:00:00
Генплан підпірна стінка (Глобине)</t>
  </si>
  <si>
    <t>Переміщення товарів ІБ00-000559 від 12.06.2025 10:26:04
Перемещение ТМЦ</t>
  </si>
  <si>
    <t>Обл. НДС
Бетон С 30/35 W4 F75 Р4
Надходження товарів і послуг ІБ00-001961 від 30.04.2025 11:00:00
СПК (Глобине)</t>
  </si>
  <si>
    <t>Обл. НДС
Бетон С 30/35 W4 F75 Р4
Надходження товарів і послуг ІБ00-001961 від 30.04.2025 11:00:00
Генплан підпірна стінка (Глобине)</t>
  </si>
  <si>
    <t>Надходження товарів і послуг ІБ00-002831 від 01.06.2025 11:00:00
Оприходованы ТМЦ</t>
  </si>
  <si>
    <t>Обл. НДС
Труба 80х80х4 мм ст 1-3пс, 12 м
Надходження товарів і послуг ІБ00-002831 від 01.06.2025 11:00:00
Глобине-2</t>
  </si>
  <si>
    <t>МЕТІНВЕСТ-СМЦ ТОВ
№1778403/01/2023-С от 11.01.2023 РАХУНКИ_Глобино-2
Рахунок на оплату постачальника ІБ00-002203 від 27.05.2025 18:43:24</t>
  </si>
  <si>
    <t>Обл. НДС
Труба профільна 100*100*4 L=12000 мм ст1-3 сп/пс
Надходження товарів і послуг ІБ00-002831 від 01.06.2025 11:00:00
Глобине-2</t>
  </si>
  <si>
    <t>Надходження товарів і послуг ІБ00-003563 від 01.06.2025 11:00:00
Оприходованы ТМЦ</t>
  </si>
  <si>
    <t>Обл. НДС
Кисень газ 40л бал., 2.2 (5.1)
Надходження товарів і послуг ІБ00-003563 від 01.06.2025 11:00:00
Глобине-2</t>
  </si>
  <si>
    <t>Терещенко Т.В. ФОП
Договір 02/01/2025 від 02.01.2025_Глобине-2
Рахунок на оплату постачальника ІБ00-002340 від 01.06.2025 23:13:21</t>
  </si>
  <si>
    <t>Переміщення товарів ІБ00-000531 від 01.06.2025 11:10:00
Перемещение ТМЦ</t>
  </si>
  <si>
    <t>Обл. НДС
Труба 80х80х4 мм ст 1-3пс, 12 м
Надходження товарів і послуг ІБ00-002831 від 01.06.2025 11:00:00
Котельна (Глобине)</t>
  </si>
  <si>
    <t>Переміщення товарів ІБ00-000532 від 01.06.2025 11:10:00
Перемещение ТМЦ</t>
  </si>
  <si>
    <t>Обл. НДС
Труба 80х80х4 мм ст 1-3пс, 12 м
Надходження товарів і послуг ІБ00-002831 від 01.06.2025 11:00:00
Генплан митний склад (Глобине)</t>
  </si>
  <si>
    <t>Переміщення товарів ІБ00-000533 від 01.06.2025 11:10:00
Перемещение ТМЦ</t>
  </si>
  <si>
    <t>Обл. НДС
Труба профільна 100*100*4 L=12000 мм ст1-3 сп/пс
Надходження товарів і послуг ІБ00-002831 від 01.06.2025 11:00:00
Резервуарний парк соєвої меляси (Глобине)</t>
  </si>
  <si>
    <t>Переміщення товарів ІБ00-000534 від 01.06.2025 11:10:00
Перемещение ТМЦ</t>
  </si>
  <si>
    <t>Обл. НДС
Труба 80х80х4 мм ст 1-3пс, 12 м
Надходження товарів і послуг ІБ00-002831 від 01.06.2025 11:00:00
Резервуарний парк соєвої меляси (Глобине)</t>
  </si>
  <si>
    <t>Переміщення товарів ІБ00-000535 від 01.06.2025 11:10:00
Перемещение ТМЦ</t>
  </si>
  <si>
    <t>04.06.2025</t>
  </si>
  <si>
    <t>Авансовий звіт ІБ00-000132 від 04.06.2025 17:31:19
Оприходованы ТМЦ</t>
  </si>
  <si>
    <t>Обл. НДС
Пістолет для герметика
Авансовий звіт ІБ00-000132 від 04.06.2025 17:31:19
Глобине-2</t>
  </si>
  <si>
    <t>Штиченко Олександр Володимирович</t>
  </si>
  <si>
    <t>3721</t>
  </si>
  <si>
    <t>Обл. НДС
Дюбель "потай"  6*60 100шт/уп
Авансовий звіт ІБ00-000132 від 04.06.2025 17:31:19
Глобине-2</t>
  </si>
  <si>
    <t>Обл. НДС
Бур SDS Plus  6*210
Авансовий звіт ІБ00-000132 від 04.06.2025 17:31:19
Глобине-2</t>
  </si>
  <si>
    <t>Обл. НДС
Круг зачисний по металу 125
Авансовий звіт ІБ00-000132 від 04.06.2025 17:31:19
Глобине-2</t>
  </si>
  <si>
    <t>Обл. НДС
Шнур 
Авансовий звіт ІБ00-000132 від 04.06.2025 17:31:19
Глобине-2</t>
  </si>
  <si>
    <t>Обл. НДС
Колесо до тачки *125
Авансовий звіт ІБ00-000132 від 04.06.2025 17:31:19
Глобине-2</t>
  </si>
  <si>
    <t>Обл. НДС
Болт М 8*30
Авансовий звіт ІБ00-000132 від 04.06.2025 17:31:19
Глобине-2</t>
  </si>
  <si>
    <t>Обл. НДС
Шайба М8 
Авансовий звіт ІБ00-000132 від 04.06.2025 17:31:19
Глобине-2</t>
  </si>
  <si>
    <t>Обл. НДС
Гайка М 8
Авансовий звіт ІБ00-000132 від 04.06.2025 17:31:19
Глобине-2</t>
  </si>
  <si>
    <t>Обл. НДС
вироби кріпильні та гвинтонарізні 50
Авансовий звіт ІБ00-000132 від 04.06.2025 17:31:19
Глобине-2</t>
  </si>
  <si>
    <t>Обл. НДС
вироби кріпильні та гвинтонарізні 80
Авансовий звіт ІБ00-000132 від 04.06.2025 17:31:19
Глобине-2</t>
  </si>
  <si>
    <t>Обл. НДС
вироби кріпильні та гвинтонарізні
Авансовий звіт ІБ00-000132 від 04.06.2025 17:31:19
Глобине-2</t>
  </si>
  <si>
    <t>Обл. НДС
Бур  6*
Авансовий звіт ІБ00-000132 від 04.06.2025 17:31:19
Глобине-2</t>
  </si>
  <si>
    <t>Обл. НДС
Петля 30
Авансовий звіт ІБ00-000132 від 04.06.2025 17:31:19
Глобине-2</t>
  </si>
  <si>
    <t>Обл. НДС
Круг 20 мм S235 JR, 6 м
Авансовий звіт ІБ00-000132 від 04.06.2025 17:31:19
Глобине-2</t>
  </si>
  <si>
    <t>Обл. НДС
Труба сталева водогазопровідна (ВГП) Ду 20 ДСТУ 8936
Авансовий звіт ІБ00-000132 від 04.06.2025 17:31:19
Глобине-2</t>
  </si>
  <si>
    <t>Обл. НДС
порізка металу
Авансовий звіт ІБ00-000132 від 04.06.2025 17:31:19
Глобине-2</t>
  </si>
  <si>
    <t>Надходження товарів і послуг ІБ00-002837 від 06.06.2025 11:00:00
Оприходованы ТМЦ</t>
  </si>
  <si>
    <t>Обл. НДС
Балка ІРЕ 240 міра L=12 S275JR
Надходження товарів і послуг ІБ00-002837 від 06.06.2025 11:00:00
Глобине-2</t>
  </si>
  <si>
    <t>МЕТІНВЕСТ-СМЦ ТОВ
№1778403/01/2023-С от 11.01.2023 РАХУНКИ_Глобино-2
Рахунок на оплату постачальника ІБ00-002371 від 06.06.2025 18:22:56</t>
  </si>
  <si>
    <t>Обл. НДС
Балка ІРЕ 300 міра L=12 S275JR
Надходження товарів і послуг ІБ00-002837 від 06.06.2025 11:00:00
Глобине-2</t>
  </si>
  <si>
    <t>Переміщення товарів ІБ00-000536 від 06.06.2025 11:10:00
Перемещение ТМЦ</t>
  </si>
  <si>
    <t>Обл. НДС
Балка ІРЕ 240 міра L=12 S275JR
Надходження товарів і послуг ІБ00-002837 від 06.06.2025 11:00:00
Резервуарний парк соєвої меляси (Глобине)</t>
  </si>
  <si>
    <t>Переміщення товарів ІБ00-000537 від 06.06.2025 11:10:00
Перемещение ТМЦ</t>
  </si>
  <si>
    <t>Обл. НДС
Балка ІРЕ 300 міра L=12 S275JR
Надходження товарів і послуг ІБ00-002837 від 06.06.2025 11:00:00
СПК (Глобине)</t>
  </si>
  <si>
    <t>09.06.2025</t>
  </si>
  <si>
    <t>Повернення товарів постачальнику ІБ00-000019 від 09.06.2025 11:00:00
Возврат ТМЦ (Возврат поставщику. Неоплаченная часть.)</t>
  </si>
  <si>
    <t>Обл. НДС
Дріт 5,0 мм Вр-1
Надходження товарів і послуг ІБ00-002608 від 23.05.2025 11:00:00
Глобине-2</t>
  </si>
  <si>
    <t>Надходження товарів і послуг ІБ00-002806 від 09.06.2025 11:00:00
Оприходованы ТМЦ</t>
  </si>
  <si>
    <t>Обл. НДС
Бетон С20/25 W6 F75 P4
Надходження товарів і послуг ІБ00-002806 від 09.06.2025 11:00:00
Глобине-2</t>
  </si>
  <si>
    <t>Кременчуцький річковий порт ПРАТ
Договір 112/Б від 15.10.2024_Глобине-2
Надходження товарів і послуг ІБ00-002806 від 09.06.2025 11:00:00</t>
  </si>
  <si>
    <t>Надходження товарів і послуг ІБ00-002854 від 09.06.2025 11:00:00
Оприходованы ТМЦ</t>
  </si>
  <si>
    <t>Обл. НДС
Грунт-емаль ПФ-012 Р сірий (кг)
Надходження товарів і послуг ІБ00-002854 від 09.06.2025 11:00:00
Глобине-2</t>
  </si>
  <si>
    <t>Синтез ЛКМ
РАХУНКИ_Глобино-2
Рахунок на оплату постачальника ІБ00-002407 від 06.06.2025 18:23:07</t>
  </si>
  <si>
    <t>Обл. НДС
Грунт ГФ-021 сірий
Надходження товарів і послуг ІБ00-002854 від 09.06.2025 11:00:00
Глобине-2</t>
  </si>
  <si>
    <t>Обл. НДС
Розчинник "White Spirit" (л)
Надходження товарів і послуг ІБ00-002854 від 09.06.2025 11:00:00
Глобине-2</t>
  </si>
  <si>
    <t>Надходження дод. витрат ІБ00-000376 від 09.06.2025 11:05:00
Доп. расходы при поступлении товаров</t>
  </si>
  <si>
    <t>Кременчуцький річковий порт ПРАТ
Договір 112/Б від 15.10.2024_Глобине-2
Надходження дод. витрат ІБ00-000376 від 09.06.2025 11:05:00</t>
  </si>
  <si>
    <t>Переміщення товарів ІБ00-000525 від 09.06.2025 11:10:00
Перемещение ТМЦ</t>
  </si>
  <si>
    <t>Переміщення товарів ІБ00-000526 від 09.06.2025 11:10:00
Перемещение ТМЦ</t>
  </si>
  <si>
    <t>Обл. НДС
Бетон С20/25 W6 F75 P4
Надходження товарів і послуг ІБ00-002806 від 09.06.2025 11:00:00
Пункт фасування та зберігання в бігбегах (Глобине)</t>
  </si>
  <si>
    <t>Переміщення товарів ІБ00-000543 від 09.06.2025 11:10:00
Перемещение ТМЦ</t>
  </si>
  <si>
    <t>Обл. НДС
Грунт-емаль ПФ-012 Р сірий (кг)
Надходження товарів і послуг ІБ00-002854 від 09.06.2025 11:00:00
Котельна (Глобине)</t>
  </si>
  <si>
    <t>Обл. НДС
Розчинник "White Spirit" (л)
Надходження товарів і послуг ІБ00-002854 від 09.06.2025 11:00:00
Котельна (Глобине)</t>
  </si>
  <si>
    <t>Переміщення товарів ІБ00-000544 від 09.06.2025 11:10:00
Перемещение ТМЦ</t>
  </si>
  <si>
    <t>Обл. НДС
Грунт ГФ-021 сірий
Надходження товарів і послуг ІБ00-002854 від 09.06.2025 11:00:00
СПК (Глобине)</t>
  </si>
  <si>
    <t>Обл. НДС
Розчинник "White Spirit" (л)
Надходження товарів і послуг ІБ00-002854 від 09.06.2025 11:00:00
СПК (Глобине)</t>
  </si>
  <si>
    <t>Надходження товарів і послуг ІБ00-003170 від 12.06.2025 11:00:00
Оприходованы ТМЦ</t>
  </si>
  <si>
    <t>Енергія Логістик ТОВ
№28/10-2024 ВІД 28/10/24_Глобине-2
Рахунок на оплату постачальника ІБ00-002664 від 12.06.2025 23:26:17</t>
  </si>
  <si>
    <t>Переміщення товарів ІБ00-000584 від 12.06.2025 11:10:00
Перемещение ТМЦ</t>
  </si>
  <si>
    <t>Обл. НДС
Пісок з відсіву дроблення щебеню фр. 0-5мм.
Надходження товарів і послуг ІБ00-003170 від 12.06.2025 11:00:00
Резервуар для зберігання розчинника(Глобине)</t>
  </si>
  <si>
    <t>Надходження товарів і послуг ІБ00-003172 від 13.06.2025 11:00:00
Оприходованы ТМЦ</t>
  </si>
  <si>
    <t>Енергія Логістик ТОВ
№28/10-2024 ВІД 28/10/24_Глобине-2
Рахунок на оплату постачальника ІБ00-002666 від 13.06.2025 18:33:41</t>
  </si>
  <si>
    <t>Переміщення товарів ІБ00-000586 від 13.06.2025 11:10:00
Перемещение ТМЦ</t>
  </si>
  <si>
    <t>Обл. НДС
Пісок з відсіву дроблення щебеню фр. 0-5мм.
Надходження товарів і послуг ІБ00-003172 від 13.06.2025 11:00:00
Пункт фасування та зберігання в бігбегах (Глобине)</t>
  </si>
  <si>
    <t>Надходження товарів і послуг ІБ00-002956 від 16.06.2025 11:00:00
Оприходованы ТМЦ</t>
  </si>
  <si>
    <t>Обл. НДС
Бетон С  8/10 Р4
Надходження товарів і послуг ІБ00-002956 від 16.06.2025 11:00:00
Глобине-2</t>
  </si>
  <si>
    <t>Кременчуцький річковий порт ПРАТ
Договір 112/Б від 15.10.2024_Глобине-2
Надходження товарів і послуг ІБ00-002956 від 16.06.2025 11:00:00</t>
  </si>
  <si>
    <t>Надходження товарів і послуг ІБ00-003174 від 16.06.2025 11:00:00
Оприходованы ТМЦ</t>
  </si>
  <si>
    <t>Енергія Логістик ТОВ
№28/10-2024 ВІД 28/10/24_Глобине-2
Рахунок на оплату постачальника ІБ00-002668 від 16.06.2025 17:52:11</t>
  </si>
  <si>
    <t>Надходження товарів і послуг ІБ00-003558 від 16.06.2025 11:00:00
Оприходованы ТМЦ (Зачет аванса поставщику)</t>
  </si>
  <si>
    <t>Обл. НДС
Грунтовка ГФ-021 сіра 25кг
Надходження товарів і послуг ІБ00-003558 від 16.06.2025 11:00:00
Глобине-2</t>
  </si>
  <si>
    <t>ДНІПРО-СПЕЦЕМАЛЬ НВП ТОВ
Рахунки_Глобине-2
Рахунок на оплату постачальника ІБ00-002341 від 01.06.2025 23:13:22</t>
  </si>
  <si>
    <t>Обл. НДС
Емаль ПФ-012Р сіра 
Надходження товарів і послуг ІБ00-003558 від 16.06.2025 11:00:00
Глобине-2</t>
  </si>
  <si>
    <t>Переміщення товарів ІБ00-000589 від 16.06.2025 11:10:00
Перемещение ТМЦ</t>
  </si>
  <si>
    <t>Обл. НДС
Пісок з відсіву дроблення щебеню фр. 0-5мм.
Надходження товарів і послуг ІБ00-003174 від 16.06.2025 11:00:00
Пункт фасування та зберігання в бігбегах (Глобине)</t>
  </si>
  <si>
    <t>Надходження дод. витрат ІБ00-000385 від 16.06.2025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</si>
  <si>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ІБ00-000385 від 16.06.2025 11:10:00</t>
  </si>
  <si>
    <t>Переміщення товарів ІБ00-000553 від 16.06.2025 11:15:00
Перемещение ТМЦ</t>
  </si>
  <si>
    <t>Обл. НДС
Бетон С  8/10 Р4
Надходження товарів і послуг ІБ00-002956 від 16.06.2025 11:00:00
Резервуар для зберігання розчинника(Глобине)</t>
  </si>
  <si>
    <t>Переміщення товарів ІБ00-000554 від 16.06.2025 11:15:00
Перемещение ТМЦ</t>
  </si>
  <si>
    <t>Обл. НДС
Бетон С  8/10 Р4
Надходження товарів і послуг ІБ00-002956 від 16.06.2025 11:00:00
Пожежений резервуар (Глобине)</t>
  </si>
  <si>
    <t>Переміщення товарів ІБ00-000556 від 16.06.2025 11:15:00
Перемещение ТМЦ</t>
  </si>
  <si>
    <t>Обл. НДС
Бетон С20/25 W6 F75 P4
Надходження товарів і послуг ІБ00-002956 від 16.06.2025 11:00:00
Цех екстракції (Глобине)</t>
  </si>
  <si>
    <t>17.06.2025</t>
  </si>
  <si>
    <t>Надходження товарів і послуг ІБ00-003001 від 17.06.2025 11:00:00
Оприходованы ТМЦ</t>
  </si>
  <si>
    <t>Обл. НДС
Бетон С  8/10 Р4
Надходження товарів і послуг ІБ00-003001 від 17.06.2025 11:00:00
Глобине-2</t>
  </si>
  <si>
    <t>Кременчуцький річковий порт ПРАТ
Договір 112/Б від 15.10.2024_Глобине-2
Надходження товарів і послуг ІБ00-003001 від 17.06.2025 11:00:00</t>
  </si>
  <si>
    <t>Обл. НДС
Бетон С20/25 W6 F75 P4
Надходження товарів і послуг ІБ00-003001 від 17.06.2025 11:00:00
Глобине-2</t>
  </si>
  <si>
    <t>Надходження дод. витрат ІБ00-000387 від 17.06.2025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</si>
  <si>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ІБ00-000387 від 17.06.2025 11:10:00</t>
  </si>
  <si>
    <t>Переміщення товарів ІБ00-000557 від 17.06.2025 11:15:00
Перемещение ТМЦ</t>
  </si>
  <si>
    <t>Обл. НДС
Бетон С  8/10 Р4
Надходження товарів і послуг ІБ00-003001 від 17.06.2025 11:00:00
СПК (Глобине)</t>
  </si>
  <si>
    <t>Обл. НДС
Бетон С20/25 W6 F75 P4
Надходження товарів і послуг ІБ00-003001 від 17.06.2025 11:00:00
СПК (Глобине)</t>
  </si>
  <si>
    <t>Переміщення товарів ІБ00-000558 від 17.06.2025 11:15:00
Перемещение ТМЦ</t>
  </si>
  <si>
    <t>Обл. НДС
Бетон С20/25 W6 F75 P4
Надходження товарів і послуг ІБ00-003001 від 17.06.2025 11:00:00
Пожежений резервуар (Глобине)</t>
  </si>
  <si>
    <t>Переміщення товарів ІБ00-000566 від 18.06.2025 18:22:49
Перемещение ТМЦ</t>
  </si>
  <si>
    <t>Обл. НДС
Дріт 1,2 мм Н-О-Ч
Надходження товарів і послуг ІБ00-000069 від 13.01.2025 17:25:04
Пожежений резервуар (Глобине)</t>
  </si>
  <si>
    <t>Обл. НДС
Дріт 1,2 мм Н-О-Ч
Надходження товарів і послуг ІБ00-000069 від 13.01.2025 17:25:04
Глобине-2</t>
  </si>
  <si>
    <t>Списання товарів ІБ00-000321 від 19.06.2025 07:26:10
Списаны ТМЦ</t>
  </si>
  <si>
    <t>Обл. НДС
Лінолеум 2,5 товщ 2мм захист 0,4мм
Надходження товарів і послуг ІБ00-000475 від 06.02.2025 18:36:14
Глобине-2</t>
  </si>
  <si>
    <t>Обл. НДС
Петля 30
Авансовий звіт ІБ00-000116 від 19.05.2025 15:48:32
Глобине-2</t>
  </si>
  <si>
    <t>Обл. НДС
порізка металу
Авансовий звіт ІБ00-000116 від 19.05.2025 15:48:32
Глобине-2</t>
  </si>
  <si>
    <t>Обл. НДС
Самонаріз 5,5х25 кріпл мет профілю легк мет констр-цій (9006 сріблястий (250шт.))
Авансовий звіт ІБ00-000046 від 03.03.2025 18:09:12
Глобине-2</t>
  </si>
  <si>
    <t>Обл. НДС
Фарба 3,25 кг
Авансовий звіт ІБ00-000116 від 19.05.2025 15:48:32
Глобине-2</t>
  </si>
  <si>
    <t>Надходження товарів і послуг ІБ00-003063 від 19.06.2025 11:00:00
Оприходованы ТМЦ</t>
  </si>
  <si>
    <t>Кременчуцький річковий порт ПРАТ
Договір 112/Б від 15.10.2024_Глобине-2
Надходження товарів і послуг ІБ00-003063 від 19.06.2025 11:00:00</t>
  </si>
  <si>
    <t>Обл. НДС
Бетон С 20/25  F75 W6 Р4
Надходження товарів і послуг ІБ00-003063 від 19.06.2025 11:00:00
Глобине-2</t>
  </si>
  <si>
    <t>Надходження дод. витрат ІБ00-000393 від 19.06.2025 11:05:00
Доп. расходы при поступлении товаров</t>
  </si>
  <si>
    <t>Кременчуцький річковий порт ПРАТ
Договір 112/Б від 15.10.2024_Глобине-2
Надходження дод. витрат ІБ00-000393 від 19.06.2025 11:05:00</t>
  </si>
  <si>
    <t>Переміщення товарів ІБ00-000569 від 19.06.2025 11:10:00
Перемещение ТМЦ</t>
  </si>
  <si>
    <t>Обл. НДС
Бетон С  8/10 Р4
Надходження товарів і послуг ІБ00-003063 від 19.06.2025 11:00:00
Резервуар для зберігання розчинника(Глобине)</t>
  </si>
  <si>
    <t>Обл. НДС
Бетон С 20/25  F75 W6 Р4
Надходження товарів і послуг ІБ00-003063 від 19.06.2025 11:00:00
Резервуар для зберігання розчинника(Глобине)</t>
  </si>
  <si>
    <t>Переміщення товарів ІБ00-000571 від 19.06.2025 11:10:00
Перемещение ТМЦ</t>
  </si>
  <si>
    <t>Обл. НДС
Бетон С 20/25  F75 W6 Р4
Надходження товарів і послуг ІБ00-003063 від 19.06.2025 11:00:00
Цех екстракції (Глобине)</t>
  </si>
  <si>
    <t>Списання товарів ІБ00-000320 від 19.06.2025 16:35:28
Списаны ТМЦ</t>
  </si>
  <si>
    <t>Переміщення товарів ІБ00-000574 від 20.06.2025 10:00:00
Перемещение ТМЦ</t>
  </si>
  <si>
    <t>Обл. НДС
Труба 40х40х3 (6,05-S235/S275)
Надходження товарів і послуг ІБ00-001808 від 22.04.2025 11:00:00
СПК (Глобине)</t>
  </si>
  <si>
    <t>Обл. НДС
Труба 40х40х3 (6,05-S235/S275)
Надходження товарів і послуг ІБ00-001808 від 22.04.2025 11:00:00
Глобине-2</t>
  </si>
  <si>
    <t>Переміщення товарів ІБ00-000581 від 20.06.2025 10:00:00
Перемещение ТМЦ</t>
  </si>
  <si>
    <t>Обл. НДС
Емульсія бітумна Р-10 EN каністра 20л
Надходження товарів і послуг ІБ00-002088 від 19.12.2023 18:21:48
Пункт фасування та зберігання в бігбегах (Глобине)</t>
  </si>
  <si>
    <t>Обл. НДС
Емульсія бітумна Р-10 EN каністра 20л
Надходження товарів і послуг ІБ00-002088 від 19.12.2023 18:21:48
Глобине-2</t>
  </si>
  <si>
    <t>Списання товарів ІБ00-000328 від 20.06.2025 15:12:13
Списаны ТМЦ</t>
  </si>
  <si>
    <t>Обл. НДС
Запчастини до мототехніки
Авансовий звіт ІБ00-000093 від 25.04.2025 12:44:49
Глобине-2</t>
  </si>
  <si>
    <t>Обл. НДС
Болт анкерний MMS 14/20*130 (PЕRІ)
Надходження товарів і послуг ІБ00-001423 від 02.04.2024 17:28:31
Глобине-2</t>
  </si>
  <si>
    <t>Вимога-накладна ІБ00-000477 від 20.06.2025 18:06:20
Списаны ТМЦ</t>
  </si>
  <si>
    <t>Списання товарів ІБ00-000333 від 20.06.2025 21:00:00
Списаны ТМЦ</t>
  </si>
  <si>
    <t>Обл. НДС
Труби ППР, ПЕ, ПП, МП
Авансовий звіт ІБ00-000093 від 25.04.2025 12:44:49
Глобине-2</t>
  </si>
  <si>
    <t>Обл. НДС
Герметик поліуритановий 600 мл
Надходження товарів і послуг ІБ00-001951 від 31.05.2024 09:59:11
Глобине-2</t>
  </si>
  <si>
    <t>Надходження товарів і послуг ІБ00-003180 від 24.06.2025 11:00:00
Оприходованы ТМЦ</t>
  </si>
  <si>
    <t>Кременчуцький річковий порт ПРАТ
Договір 112/Б від 15.10.2024_Глобине-2
Надходження товарів і послуг ІБ00-003180 від 24.06.2025 11:00:00</t>
  </si>
  <si>
    <t>Надходження товарів і послуг ІБ00-003420 від 24.06.2025 11:00:00
Оприходованы ТМЦ</t>
  </si>
  <si>
    <t>Венкрас Авто ПП
Договір 05/09/2024 від 05.09.2024_Глобине-2
Рахунок на оплату постачальника ІБ00-002858 від 24.06.2025 18:10:31</t>
  </si>
  <si>
    <t>Обл. НДС
Щебінь 20-40
Надходження товарів і послуг ІБ00-003420 від 24.06.2025 11:00:00
Глобине-2</t>
  </si>
  <si>
    <t>Надходження дод. витрат ІБ00-000401 від 24.06.2025 11:05:00
Доп. расходы при поступлении товаров</t>
  </si>
  <si>
    <t>Кременчуцький річковий порт ПРАТ
Договір 112/Б від 15.10.2024_Глобине-2
Надходження дод. витрат ІБ00-000401 від 24.06.2025 11:05:00</t>
  </si>
  <si>
    <t>Переміщення товарів ІБ00-000590 від 24.06.2025 11:10:00
Перемещение ТМЦ</t>
  </si>
  <si>
    <t>Переміщення товарів ІБ00-000591 від 24.06.2025 11:10:00
Перемещение ТМЦ</t>
  </si>
  <si>
    <t>Обл. НДС
Бетон С 20/25  F75 W6 Р4
Надходження товарів і послуг ІБ00-003180 від 24.06.2025 11:00:00
Пожежений резервуар (Глобине)</t>
  </si>
  <si>
    <t>Надходження дод. витрат ІБ00-000409 від 24.06.2025 11:10:00
Доп. расходы при поступлении товаров</t>
  </si>
  <si>
    <t>Переміщення товарів ІБ00-000626 від 24.06.2025 11:15:00
Перемещение ТМЦ</t>
  </si>
  <si>
    <t>Обл. НДС
Щебінь 20-40
Надходження товарів і послуг ІБ00-003420 від 24.06.2025 11:00:00
Цех екстракції (Глобине)</t>
  </si>
  <si>
    <t>Переміщення товарів ІБ00-000627 від 24.06.2025 11:15:00
Перемещение ТМЦ</t>
  </si>
  <si>
    <t>Обл. НДС
Щебінь 20-40
Надходження товарів і послуг ІБ00-003420 від 24.06.2025 11:00:00
Резервуар для зберігання розчинника(Глобине)</t>
  </si>
  <si>
    <t>Переміщення товарів ІБ00-000609 від 25.06.2025 10:00:00
Перемещение ТМЦ</t>
  </si>
  <si>
    <t>Обл. НДС
Емульсія бітумна Р-10 EN каністра 20л
Надходження товарів і послуг ІБ00-002088 від 19.12.2023 18:21:48
Пожежений резервуар (Глобине)</t>
  </si>
  <si>
    <t>Переміщення товарів ІБ00-000613 від 25.06.2025 10:00:00
Перемещение ТМЦ</t>
  </si>
  <si>
    <t>Обл. НДС
Дріт 1,2 мм Н-О-Ч
Надходження товарів і послуг ІБ00-000069 від 13.01.2025 17:25:04
СПК (Глобине)</t>
  </si>
  <si>
    <t>Списання товарів ІБ00-000340 від 25.06.2025 20:00:00
Списаны ТМЦ</t>
  </si>
  <si>
    <t>Обл. НДС
Піна монтажна  860 мл 
Надходження товарів і послуг ІБ00-000711 від 18.02.2025 20:00:44
Глобине-2</t>
  </si>
  <si>
    <t>Обл. НДС
Труба гофра ПВХ з зондом 16мм 50м/бухта
Надходження товарів і послуг ІБ00-000475 від 06.02.2025 18:36:14
Глобине-2</t>
  </si>
  <si>
    <t>Надходження товарів і послуг ІБ00-003283 від 27.06.2025 11:00:00
Оприходованы ТМЦ</t>
  </si>
  <si>
    <t>Енергія Логістик ТОВ
№28/10-2024 ВІД 28/10/24_Глобине-2
Рахунок на оплату постачальника ІБ00-002812 від 27.06.2025 18:12:53</t>
  </si>
  <si>
    <t>Надходження товарів і послуг ІБ00-003570 від 27.06.2025 11:00:00
Оприходованы ТМЦ</t>
  </si>
  <si>
    <t>Венкрас Авто ПП
Договір 05/09/2024 від 05.09.2024_Глобине-2
Рахунок на оплату постачальника ІБ00-002925 від 27.06.2025 18:13:13</t>
  </si>
  <si>
    <t>Переміщення товарів ІБ00-000604 від 27.06.2025 11:10:00
Перемещение ТМЦ</t>
  </si>
  <si>
    <t>Обл. НДС
Пісок з відсіву дроблення щебеню фр. 0-5мм.
Надходження товарів і послуг ІБ00-003283 від 27.06.2025 11:00:00
Пожежений резервуар (Глобине)</t>
  </si>
  <si>
    <t>Надходження дод. витрат ІБ00-000426 від 27.06.2025 11:10:00
Доп. расходы при поступлении товаров</t>
  </si>
  <si>
    <t>Переміщення товарів ІБ00-000637 від 27.06.2025 11:20:00
Перемещение ТМЦ</t>
  </si>
  <si>
    <t>Обл. НДС
Пісок з відсіву дроблення щебеню фр. 0-5мм.
Надходження товарів і послуг ІБ00-003570 від 27.06.2025 11:00:00
Пункт фасування та зберігання в бігбегах (Глобине)</t>
  </si>
  <si>
    <t>Переміщення товарів ІБ00-000639 від 27.06.2025 11:20:00
Перемещение ТМЦ</t>
  </si>
  <si>
    <t>Обл. НДС
Пісок з відсіву дроблення щебеню фр. 0-5мм.
Надходження товарів і послуг ІБ00-003570 від 27.06.2025 11:00:00
Пожежений резервуар (Глобине)</t>
  </si>
  <si>
    <t>Надходження товарів і послуг ІБ00-003385 від 02.06.2025 11:00:00
Оприходованы ТМЦ</t>
  </si>
  <si>
    <t>Обл. НДС
Розчинник Уайт-спіріт 0,8л
Надходження товарів і послуг ІБ00-003385 від 02.06.2025 11:00:00
Котельна (Глобине)</t>
  </si>
  <si>
    <t>Лозовий Микола Миколайович ФОП
РАХУНКИ_Глобино-2
Рахунок на оплату постачальника ІБ00-002334 від 01.06.2025 23:13:15</t>
  </si>
  <si>
    <t>Обл. НДС
Розчинник Уайт-спіріт 0,4л
Надходження товарів і послуг ІБ00-003385 від 02.06.2025 11:00:00
Котельна (Глобине)</t>
  </si>
  <si>
    <t>Обл. НДС
Розчинник Уайт-спіріт 4 л (шт) 
Надходження товарів і послуг ІБ00-003385 від 02.06.2025 11:00:00
Котельна (Глобине)</t>
  </si>
  <si>
    <t>Надходження товарів і послуг ІБ00-003386 від 02.06.2025 11:00:00
Оприходованы ТМЦ</t>
  </si>
  <si>
    <t>Обл. НДС
Розчинник Уайт-спіріт 4 л (шт) 
Надходження товарів і послуг ІБ00-003386 від 02.06.2025 11:00:00
Котельна (Глобине)</t>
  </si>
  <si>
    <t>Лозовий Микола Миколайович ФОП
РАХУНКИ_Глобино-2
Рахунок на оплату постачальника ІБ00-002335 від 01.06.2025 23:13:16</t>
  </si>
  <si>
    <t>Обл. НДС
Розчинник Уайт-спіріт 0,8л
Надходження товарів і послуг ІБ00-003386 від 02.06.2025 11:00:00
Котельна (Глобине)</t>
  </si>
  <si>
    <t>Обл. НДС
Перетворювач іржі
Надходження товарів і послуг ІБ00-003386 від 02.06.2025 11:00:00
Котельна (Глобине)</t>
  </si>
  <si>
    <t>Обл. НДС
Розчинник Уайт-спіріт 0,4л
Надходження товарів і послуг ІБ00-003386 від 02.06.2025 11:00:00
Котельна (Глобине)</t>
  </si>
  <si>
    <t>Обл. НДС
Сольвент, 4 л (3,3 кг)
Надходження товарів і послуг ІБ00-003386 від 02.06.2025 11:00:00
Котельна (Глобине)</t>
  </si>
  <si>
    <t>Обл. НДС
Сольвент, 1,0 л (0,67 кг)
Надходження товарів і послуг ІБ00-003386 від 02.06.2025 11:00:00
Котельна (Глобине)</t>
  </si>
  <si>
    <t>Надходження товарів і послуг ІБ00-002988 від 13.06.2025 11:00:00
Оприходованы ТМЦ</t>
  </si>
  <si>
    <t>Обл. НДС
Кутик 75х75х6мм ст.3ПС МІРА 12м
Надходження товарів і послуг ІБ00-002988 від 13.06.2025 11:00:00
Котельна (Глобине)</t>
  </si>
  <si>
    <t>МЕТІНВЕСТ-СМЦ ТОВ
№1778403/01/2023-С от 11.01.2023 РАХУНКИ_Глобино-2
Рахунок на оплату постачальника ІБ00-002512 від 13.06.2025 18:33:27</t>
  </si>
  <si>
    <t>Надходження товарів і послуг ІБ00-002990 від 13.06.2025 11:00:00
Оприходованы ТМЦ</t>
  </si>
  <si>
    <t>Обл. НДС
Труба профільна 80*80*4 L=12  ст 1-3 сп/пс
Надходження товарів і послуг ІБ00-002990 від 13.06.2025 11:00:00
Котельна (Глобине)</t>
  </si>
  <si>
    <t>МЕТІНВЕСТ-СМЦ ТОВ
№1778403/01/2023-С от 11.01.2023 РАХУНКИ_Глобино-2
Рахунок на оплату постачальника ІБ00-002515 від 14.06.2025 12:00:01</t>
  </si>
  <si>
    <t>14.06.2025</t>
  </si>
  <si>
    <t>Надходження товарів і послуг ІБ00-002986 від 14.06.2025 11:00:00
Оприходованы ТМЦ</t>
  </si>
  <si>
    <t>Обл. НДС
Кутик 50х50х3мм ст, S275JR. 6 м
Надходження товарів і послуг ІБ00-002986 від 14.06.2025 11:00:00
Котельна (Глобине)</t>
  </si>
  <si>
    <t>Обл. НДС
Смуга 50*4 мм L=6000 мм ст1-3 сп/пс
Надходження товарів і послуг ІБ00-002986 від 14.06.2025 11:00:00
Котельна (Глобине)</t>
  </si>
  <si>
    <t>Надходження товарів і послуг ІБ00-003041 від 17.06.2025 11:00:00
Оприходованы ТМЦ</t>
  </si>
  <si>
    <t>Обл. НДС
Газоблок 300*200*600 D500
Надходження товарів і послуг ІБ00-003041 від 17.06.2025 11:00:00
Котельна (Глобине)</t>
  </si>
  <si>
    <t>СТАНДАРТ БУД ГРУП
РАХУНКИ_Глобино-2
Рахунок на оплату постачальника ІБ00-002470 від 13.06.2025 18:33:04</t>
  </si>
  <si>
    <t>Надходження товарів і послуг ІБ00-003041 від 17.06.2025 11:00:00
Оприходованы ТМЦ (Зачет аванса поставщику)</t>
  </si>
  <si>
    <t>Надходження товарів і послуг ІБ00-003042 від 17.06.2025 11:00:00
Оприходованы ТМЦ (Зачет аванса поставщику)</t>
  </si>
  <si>
    <t>Обл. НДС
Клей для газобетону МР2 (25 кг)
Надходження товарів і послуг ІБ00-003042 від 17.06.2025 11:00:00
Котельна (Глобине)</t>
  </si>
  <si>
    <t>СТАНДАРТ БУД ГРУП
РАХУНКИ_Глобино-2
Рахунок на оплату постачальника ІБ00-002463 від 13.06.2025 18:33:03</t>
  </si>
  <si>
    <t>Обл. НДС
Газоблок  300*200*600   шт
Надходження товарів і послуг ІБ00-003042 від 17.06.2025 11:00:00
Котельна (Глобине)</t>
  </si>
  <si>
    <t>Вимога-накладна ІБ00-000451 від 19.06.2025 09:22:08
Списаны ТМЦ</t>
  </si>
  <si>
    <t>Обл. НДС
Сендвіч-панель ТПК стінова 150мм МВ 1000мм термо замок С0,5 PS/C 0.5 PS 4,95м трапеція 9006 срібл/тр
Надходження товарів і послуг ІБ00-001144 від 17.03.2025 17:20:38
Котельна (Глобине)</t>
  </si>
  <si>
    <t>Обл. НДС
Сендвіч-панель ТПК стінова 150мм МВ 1000мм термо замок С0,5 PS/C 0.5 PS 6,29м трапеція 9006 срібл/тр
Надходження товарів і послуг ІБ00-001144 від 17.03.2025 17:20:38
Котельна (Глобине)</t>
  </si>
  <si>
    <t>Обл. НДС
Сендвіч-панель ТПК стінова 150мм МВ 1000мм термо замок С0,5 PS/C 0.5 PS 5,98м трапеція 9006 срібл/тр
Надходження товарів і послуг ІБ00-001142 від 17.03.2025 17:20:37
Котельна (Глобине)</t>
  </si>
  <si>
    <t>Обл. НДС
Сендвіч-панель ТПК стінова 150мм МВ 1000мм термо замок С0,5 PS/C 0.5 PS 5,98м трапеція 9006 срібл/тр
Надходження товарів і послуг ІБ00-001144 від 17.03.2025 17:20:38
Котельна (Глобине)</t>
  </si>
  <si>
    <t>Обл. НДС
Сендвіч-панель ТПК стінова 150мм МВ 1000мм термо замок С0,5 PS/C 0.5 PS 6,14м трапеція 9006 срібл/тр
Надходження товарів і послуг ІБ00-001144 від 17.03.2025 17:20:38
Котельна (Глобине)</t>
  </si>
  <si>
    <t>Обл. НДС
Сендвіч-панель ТПК стінова 150мм МВ 1000мм термо замок С0,5 PS/C 0.5 PS 6,10м трапеція 9006 срібл/тр
Надходження товарів і послуг ІБ00-001144 від 17.03.2025 17:20:38
Котельна (Глобине)</t>
  </si>
  <si>
    <t>Обл. НДС
Сендвіч-панель ТПК стінова 150мм МВ 1000мм термо замок С0,5 PS/C 0.5 PS 6,29м трап 5005 син/9003 біл
Надходження товарів і послуг ІБ00-001144 від 17.03.2025 17:20:38
Котельна (Глобине)</t>
  </si>
  <si>
    <t>Обл. НДС
Сендвіч-панель ТПК стінова 150мм МВ 1000мм термо замок С0,5 PS/C 0.5 PS 4,95м трапеція 5005синій/900
Надходження товарів і послуг ІБ00-001144 від 17.03.2025 17:20:38
Котельна (Глобине)</t>
  </si>
  <si>
    <t>Обл. НДС
Сендвіч-панель ТПК стінова 150мм МВ 1000мм термо замок С0,5 PS/C 0.5 PS 5,98м трапеція 5005 син/9003
Надходження товарів і послуг ІБ00-001144 від 17.03.2025 17:20:38
Котельна (Глобине)</t>
  </si>
  <si>
    <t>Обл. НДС
Сендвіч-панель ТПК стінова 150мм МВ 1000мм термо замок С0,5 PS/C 0.5 PS 6,14м трап 5005 син/9003 біл
Надходження товарів і послуг ІБ00-001144 від 17.03.2025 17:20:38
Котельна (Глобине)</t>
  </si>
  <si>
    <t>Обл. НДС
Стрічка ущільнювальна ТПК УП-1 ППЕ НХ (5*50 мм 20 м)
Надходження товарів і послуг ІБ00-001149 від 14.03.2025 17:50:57
Котельна (Глобине)</t>
  </si>
  <si>
    <t>Обл. НДС
Клей-герметик д/сендвіч-панелей, 600 мл
Надходження товарів і послуг ІБ00-001149 від 14.03.2025 17:50:57
Котельна (Глобине)</t>
  </si>
  <si>
    <t>Обл. НДС
Самонаріз до сендвіч-панелей 6,3/7*155 синій 5005 до 16мм з гол
Надходження товарів і послуг ІБ00-001149 від 14.03.2025 17:50:57
Котельна (Глобине)</t>
  </si>
  <si>
    <t>Обл. НДС
Самонаріз до сендвіч-панелей 6,3/7*155 срібло 9006 до 16мм з гол
Надходження товарів і послуг ІБ00-001149 від 14.03.2025 17:50:57
Котельна (Глобине)</t>
  </si>
  <si>
    <t>Переміщення товарів ІБ00-000606 від 20.06.2025 09:00:00
Перемещение ТМЦ</t>
  </si>
  <si>
    <t>Обл. НДС
Болт М12*35 DIN 933 
Надходження товарів і послуг ІБ00-001073 від 06.03.2025 22:00:30
Котельна (Глобине)</t>
  </si>
  <si>
    <t>Обл. НДС
Болт М12*35 DIN 933 
Надходження товарів і послуг ІБ00-001073 від 06.03.2025 22:00:30
Насосна Градирня (Глобине)</t>
  </si>
  <si>
    <t>Обл. НДС
Болт М12*65  DIN 933
Надходження товарів і послуг ІБ00-001073 від 06.03.2025 22:00:30
Котельна (Глобине)</t>
  </si>
  <si>
    <t>Обл. НДС
Болт М12*65  DIN 933
Надходження товарів і послуг ІБ00-001073 від 06.03.2025 22:00:30
Насосна Градирня (Глобине)</t>
  </si>
  <si>
    <t>Обл. НДС
Гайка DIN934 M 12
Надходження товарів і послуг ІБ00-001073 від 06.03.2025 22:00:30
Котельна (Глобине)</t>
  </si>
  <si>
    <t>Обл. НДС
Гайка DIN934 M 12
Надходження товарів і послуг ІБ00-001073 від 06.03.2025 22:00:30
Насосна Градирня (Глобине)</t>
  </si>
  <si>
    <t>Вимога-накладна ІБ00-000475 від 20.06.2025 18:06:17
Списаны ТМЦ</t>
  </si>
  <si>
    <t>Обл. НДС
Сендвіч-панель ТПК стінова 100мм МВ 1000мм відкр замок С0,5 PS/C 0.5 PS 3,00м трапеція 9006 срібл/тр
Надходження товарів і послуг ІБ00-001142 від 17.03.2025 17:20:37
Котельна (Глобине)</t>
  </si>
  <si>
    <t>Обл. НДС
Сендвіч-панель ТПК стінова 100мм МВ 1000мм відкр замок С0,5 PS/C 0.5 PS 4,60м трапеція 9006 срібл/тр
Надходження товарів і послуг ІБ00-001145 від 17.03.2025 17:20:39
Котельна (Глобине)</t>
  </si>
  <si>
    <t>Обл. НДС
Сендвіч-панель ТПК стінова 100мм МВ 1000мм відкр замок С0,5 PS/C 0.5 PS 3,30м трапеція 9006 срібл/тр
Надходження товарів і послуг ІБ00-001142 від 17.03.2025 17:20:37
Котельна (Глобине)</t>
  </si>
  <si>
    <t>Обл. НДС
Сендвіч-панель ТПК стінова 100мм МВ 1150мм відкр замок С0,5 PS/C 0.5 PS 5,98м трапеція 9006 срібл/тр
Надходження товарів і послуг ІБ00-001149 від 14.03.2025 17:50:57
Котельна (Глобине)</t>
  </si>
  <si>
    <t>Обл. НДС
Сендвіч-панель ТПК стінова 100мм МВ 1150мм відкр замок С0,5 PS/C 0.5 PS 5,98м трапеція 9006 срібл/тр
Надходження товарів і послуг ІБ00-001144 від 17.03.2025 17:20:38
Котельна (Глобине)</t>
  </si>
  <si>
    <t>Обл. НДС
Сендвіч-панель ТПК стінова 100мм МВ 1150мм відкр замок С0,5 PS/C 0.5 PS 5,98м трапеція 9006 срібл/тр
Надходження товарів і послуг ІБ00-001145 від 17.03.2025 17:20:39
Котельна (Глобине)</t>
  </si>
  <si>
    <t>Обл. НДС
Сендвіч-панель ТПК стінова 100мм МВ 1150мм відкр замок С0,5 PS/C 0.5 PS 6,24м трапеція 9006 срібл/тр
Надходження товарів і послуг ІБ00-001145 від 17.03.2025 17:20:39
Котельна (Глобине)</t>
  </si>
  <si>
    <t>Обл. НДС
Сендвіч-панель ТПК стінова 100мм МВ 1000мм відкр замок С0,5 PS/C 0.5 PS 3,74м трапеція 9006 срібл/тр
Надходження товарів і послуг ІБ00-001149 від 14.03.2025 17:50:57
Котельна (Глобине)</t>
  </si>
  <si>
    <t>Обл. НДС
Сендвіч-панель ТПК стінова 100мм МВ 1000мм відкр замок С0,5 PS/C 0.5 PS 3,74м трапеція 9006 срібл/тр
Надходження товарів і послуг ІБ00-001142 від 17.03.2025 17:20:37
Котельна (Глобине)</t>
  </si>
  <si>
    <t>Обл. НДС
Сендвіч-панель ТПК стінова 100мм МВ 1000мм відкр замок С0,5 PS/C 0.5 PS 2,65м трапеція 9006 срібл/тр
Надходження товарів і послуг ІБ00-001142 від 17.03.2025 17:20:37
Котельна (Глобине)</t>
  </si>
  <si>
    <t>Обл. НДС
Самонаріз в метал до сендвіч-панелей 5,5*6,3/200 5005 синій
Надходження товарів і послуг ІБ00-002542 від 23.05.2025 11:00:00
Котельна (Глобине)</t>
  </si>
  <si>
    <t>Списання товарів ІБ00-000329 від 20.06.2025 18:06:22
Списаны ТМЦ</t>
  </si>
  <si>
    <t>Обл. НДС
Мапеграут 450 Тіксо/25
Надходження товарів і послуг ІБ00-000861 від 07.03.2025 18:55:25
Котельна (Глобине)</t>
  </si>
  <si>
    <t>Обл. НДС
Плівка п/е рукав 1500*100
Надходження товарів і послуг ІБ00-005781 від 19.11.2024 17:51:41
Котельна (Глобине)</t>
  </si>
  <si>
    <t>Вимога-накладна ІБ00-000504 від 20.06.2025 21:00:11
Списаны ТМЦ</t>
  </si>
  <si>
    <t>Обл. НДС
Кутики 100х100х7 мм; ст. 3пс5; 12 м
Надходження товарів і послуг ІБ00-002356 від 20.05.2025 11:00:00
Котельна (Глобине)</t>
  </si>
  <si>
    <t>Обл. НДС
Труба профільна 80*80*4 L=12  ст 1-3 сп/пс
Надходження товарів і послуг ІБ00-001657 від 01.04.2025 11:00:00
Котельна (Глобине)</t>
  </si>
  <si>
    <t>Обл. НДС
Швелер 16П (160 12,05 8240 3пс)
Надходження товарів і послуг ІБ00-001037 від 01.03.2025 18:17:06
Котельна (Глобине)</t>
  </si>
  <si>
    <t>Обл. НДС
Арматура №18  А500С L=12000 мм
Надходження товарів і послуг ІБ00-000709 від 21.02.2025 18:25:51
Котельна (Глобине)</t>
  </si>
  <si>
    <t>Вимога-накладна ІБ00-000505 від 20.06.2025 21:00:16
Списаны ТМЦ</t>
  </si>
  <si>
    <t>Обл. НДС
Сендвіч-панель ТПК стінова 100мм МВ 1000мм відкр замок С0,5 PS/C 0.5 PS 5,98м трапеція 9006 срібл/тр
Надходження товарів і послуг ІБ00-001149 від 14.03.2025 17:50:57
Котельна (Глобине)</t>
  </si>
  <si>
    <t>Обл. НДС
Сендвіч-панель ТПК стінова 100мм МВ 1000мм відкр замок С0,5 PS/C 0.5 PS 2,00м трапеція 9006 срібл/тр
Надходження товарів і послуг ІБ00-001142 від 17.03.2025 17:20:37
Котельна (Глобине)</t>
  </si>
  <si>
    <t>Обл. НДС
Сендвіч-панель ТПК стінова 100мм МВ 1150мм відкр замок С0,5 PS/C 0.5 PS 6,14м трапеція 9006 срібл/тр
Надходження товарів і послуг ІБ00-001149 від 14.03.2025 17:50:57
Котельна (Глобине)</t>
  </si>
  <si>
    <t>Обл. НДС
Стрічка ущільнювальна ТПК УП-1 ППЕ НХ (5*50 мм 20 м)
Надходження товарів і послуг ІБ00-002542 від 23.05.2025 11:00:00
Котельна (Глобине)</t>
  </si>
  <si>
    <t>Обл. НДС
Самонаріз в метал до сендвіч-панелей 5,5*6,3/250 5005 синій
Надходження товарів і послуг ІБ00-002542 від 23.05.2025 11:00:00
Котельна (Глобине)</t>
  </si>
  <si>
    <t>Обл. НДС
Клей для газобетону МР2 (25 кг)
Надходження товарів і послуг ІБ00-001597 від 01.04.2025 23:10:23
Котельна (Глобине)</t>
  </si>
  <si>
    <t>Обл. НДС
Газоблок 300*200*600 D500
Надходження товарів і послуг ІБ00-001397 від 02.04.2025 18:08:54
Котельна (Глобине)</t>
  </si>
  <si>
    <t>Списання товарів ІБ00-000335 від 20.06.2025 21:00:17
Списаны ТМЦ</t>
  </si>
  <si>
    <t>Обл. НДС
Відвід  89х4,0 безшовний
Надходження товарів і послуг ІБ00-000060 від 10.01.2025 18:00:10
Котельна (Глобине)</t>
  </si>
  <si>
    <t>Вимога-накладна ІБ00-000506 від 20.06.2025 21:00:20
Списаны ТМЦ</t>
  </si>
  <si>
    <t>Обл. НДС
Труба 110х2,7х1000 Htplus Magnaplast (4/60)
Надходження товарів і послуг ІБ00-001238 від 01.03.2025 18:17:56
Котельна (Глобине)</t>
  </si>
  <si>
    <t>Обл. НДС
Коліно 110/90  КАН
Надходження товарів і послуг ІБ00-001238 від 01.03.2025 18:17:56
Котельна (Глобине)</t>
  </si>
  <si>
    <t>Обл. НДС
Труба ПЕТ125*11,4 16атм чорна SDR11
Надходження товарів і послуг ІБ00-000478 від 06.02.2025 15:36:15
Котельна (Глобине)</t>
  </si>
  <si>
    <t>Обл. НДС
Пісок з відсіву дроблення щебеню фр. 0-5мм.
Надходження товарів і послуг ІБ00-006087 від 06.12.2024 18:14:39
Котельна (Глобине)</t>
  </si>
  <si>
    <t>Переміщення товарів ІБ00-000612 від 25.06.2025 10:00:00
Перемещение ТМЦ</t>
  </si>
  <si>
    <t>Обл. НДС
Дріт 1,2 мм Н-О-Ч
Надходження товарів і послуг ІБ00-000069 від 13.01.2025 17:25:04
Котельна (Глобине)</t>
  </si>
  <si>
    <t>Вимога-накладна ІБ00-000516 від 25.06.2025 23:13:15
Списаны ТМЦ</t>
  </si>
  <si>
    <t>Обл. НДС
Сендвіч-панель ТПК стінова 100мм МВ 1000мм відкр замок С0,5 PS/C 0.5 PS 4,98м трапеція 9006 срібл/тр
Надходження товарів і послуг ІБ00-001149 від 14.03.2025 17:50:57
Котельна (Глобине)</t>
  </si>
  <si>
    <t>Обл. НДС
Сендвіч-панель ТПК стінова 100мм МВ 1000мм відкр замок С0,5 PS/C 0.5 PS 3,80м трапеція 9006 срібл/тр
Надходження товарів і послуг ІБ00-001142 від 17.03.2025 17:20:37
Котельна (Глобине)</t>
  </si>
  <si>
    <t>Обл. НДС
Сендвіч-панель ТПК стінова 100мм МВ 1000мм відкр замок С0,5 PS/C 0.5 PS 2,30м трапеція 9006 срібл/тр
Надходження товарів і послуг ІБ00-001142 від 17.03.2025 17:20:37
Котельна (Глобине)</t>
  </si>
  <si>
    <t>Обл. НДС
Сендвіч-панель ТПК стінова 100мм МВ 1000мм відкр замок С0,5 PS/C 0.5 PS 4,98м трапеція 9006 срібл/тр
Надходження товарів і послуг ІБ00-001145 від 17.03.2025 17:20:39
Котельна (Глобине)</t>
  </si>
  <si>
    <t>Обл. НДС
Клей-герметик д/сендвіч- панелей Soudaflex 40 FC (12 шт/уп) (600мл(шт.) білий)
Надходження товарів і послуг ІБ00-002542 від 23.05.2025 11:00:00
Котельна (Глобине)</t>
  </si>
  <si>
    <t>Обл. НДС
Самонаріз до сендвіч-панелей 6,3/7*215 синій 5005 до 16мм з гол
Надходження товарів і послуг ІБ00-001149 від 14.03.2025 17:50:57
Котельна (Глобине)</t>
  </si>
  <si>
    <t>Обл. НДС
Самонаріз до сендвіч-панелей 6,3/7*215 срібло 9006 до 16мм з гол
Надходження товарів і послуг ІБ00-001149 від 14.03.2025 17:50:57
Котельна (Глобине)</t>
  </si>
  <si>
    <t>Обл. НДС
Сендвіч-панель ТПК покрів 100мм МВ1000ммС0,5PS/C0.5PS 1070мм 8,750м трапец 5005синій/9003біл овер250
Надходження товарів і послуг ІБ00-002541 від 22.05.2025 11:00:00
Котельна (Глобине)</t>
  </si>
  <si>
    <t>Обл. НДС
Сендвіч-панель ТПК покрів 100мм МВ1000ммС0,5PS/C0.5PS 1070мм 8,450м трапец 5005синій/9003біл овер250
Надходження товарів і послуг ІБ00-002541 від 22.05.2025 11:00:00
Котельна (Глобине)</t>
  </si>
  <si>
    <t>Обл. НДС
Сендвіч-панель ТПК покрів 100мм МВ 1000мм С0,5 PS/C 0.5 PS 1070мм 9,60м трапец 5005 синій/9003 біл
Надходження товарів і послуг ІБ00-002540 від 22.05.2025 11:00:00
Котельна (Глобине)</t>
  </si>
  <si>
    <t>Обл. НДС
Сендвіч-панель ТПК покрів 100мм МВ 1000мм С0,5 PS/C 0.5 PS 1070мм 9,60м трапец 5005 синій/9003 біл
Надходження товарів і послуг ІБ00-002544 від 26.05.2025 11:00:00
Котельна (Глобине)</t>
  </si>
  <si>
    <t>Обл. НДС
Сендвіч-панель ТПК покрів 100мм МВ1000ммС0,5PS/C0.5PS 1070мм 7,950м трапец 5005синій/9003біл 
Надходження товарів і послуг ІБ00-002545 від 26.05.2025 11:00:00
Котельна (Глобине)</t>
  </si>
  <si>
    <t>Обл. НДС
Сендвіч-панель ТПК покрів 100мм МВ1000ммС0,5PS/C0.5PS 1070мм 7,950м трапец 5005синій/9003біл овер250
Надходження товарів і послуг ІБ00-002541 від 22.05.2025 11:00:00
Котельна (Глобине)</t>
  </si>
  <si>
    <t>Обл. НДС
Сендвіч-панель ТПК покрів 160мм МВ1000ммС0,5PS/C0.5PS 1070мм 12,80м трапец 5005синій/9003біл
Надходження товарів і послуг ІБ00-002542 від 23.05.2025 11:00:00
Котельна (Глобине)</t>
  </si>
  <si>
    <t>Обл. НДС
Сендвіч-панель ТПК покрів 160мм МВ1000ммС0,5PS/C0.5PS 1070мм 12,50м трапец 5005синій/9003біл
Надходження товарів і послуг ІБ00-002542 від 23.05.2025 11:00:00
Котельна (Глобине)</t>
  </si>
  <si>
    <t>Обл. НДС
Стрічка ущільнювальна ТПК УП-4 ППЕ 3*15мм 30м
Надходження товарів і послуг ІБ00-002542 від 23.05.2025 11:00:00
Котельна (Глобине)</t>
  </si>
  <si>
    <t>Обл. НДС
Ущільнювач КН для с/п 1 м ППЕ НХ
Надходження товарів і послуг ІБ00-002542 від 23.05.2025 11:00:00
Котельна (Глобине)</t>
  </si>
  <si>
    <t>Списання товарів ІБ00-000341 від 25.06.2025 23:13:16
Списаны ТМЦ</t>
  </si>
  <si>
    <t>Обл. НДС
Саморіз  4,8*19 для скріплення листів 250шт 5005 синій
Надходження товарів і послуг ІБ00-002542 від 23.05.2025 11:00:00
Котельна (Глобине)</t>
  </si>
  <si>
    <t>Надходження товарів і послуг ІБ00-003457 від 26.06.2025 11:00:00
Оприходованы ТМЦ</t>
  </si>
  <si>
    <t>Обл. НДС
Грунт-емаль ПФ-012 Р сірий (кг)
Надходження товарів і послуг ІБ00-003457 від 26.06.2025 11:00:00
Котельна (Глобине)</t>
  </si>
  <si>
    <t>Синтез ЛКМ
РАХУНКИ_Глобино-2
Рахунок на оплату постачальника ІБ00-002872 від 26.06.2025 18:14:38</t>
  </si>
  <si>
    <t>10.06.2025</t>
  </si>
  <si>
    <t>Надходження товарів і послуг ІБ00-002855 від 10.06.2025 11:00:00
Оприходованы ТМЦ</t>
  </si>
  <si>
    <t>Обл. НДС
Щебінь 20-40
Надходження товарів і послуг ІБ00-002855 від 10.06.2025 11:00:00
Пожежений резервуар (Глобине)</t>
  </si>
  <si>
    <t>Енергія Логістик ТОВ
№28/10-2024 ВІД 28/10/24_Глобине-2
Рахунок на оплату постачальника ІБ00-002408 від 10.06.2025 18:15:24</t>
  </si>
  <si>
    <t>Переміщення товарів ІБ00-000560 від 10.06.2025 11:10:00
Перемещение ТМЦ</t>
  </si>
  <si>
    <t>Обл. НДС
Щебінь 20-40
Надходження товарів і послуг ІБ00-002855 від 10.06.2025 11:00:00
Резервуар для зберігання розчинника(Глобине)</t>
  </si>
  <si>
    <t>Переміщення товарів ІБ00-000561 від 10.06.2025 11:10:00
Перемещение ТМЦ</t>
  </si>
  <si>
    <t>Обл. НДС
Щебінь 20-40
Надходження товарів і послуг ІБ00-002855 від 10.06.2025 11:00:00
СПК (Глобине)</t>
  </si>
  <si>
    <t>Надходження дод. витрат ІБ00-000377 від 10.06.2025 11:10:00
Доп. расходы при поступлении товаров</t>
  </si>
  <si>
    <t>11.06.2025</t>
  </si>
  <si>
    <t>Надходження товарів і послуг ІБ00-003373 від 11.06.2025 11:00:00
Оприходованы ТМЦ</t>
  </si>
  <si>
    <t>Обл. НДС
Брус 50х50 6 м
Надходження товарів і послуг ІБ00-003373 від 11.06.2025 11:00:00
Пожежений резервуар (Глобине)</t>
  </si>
  <si>
    <t>Мошинець Ю.П. ФОП
Рахунки_Глобине-2
Рахунок на оплату постачальника ІБ00-002437 від 01.06.2025 23:13:57</t>
  </si>
  <si>
    <t>Надходження товарів і послуг ІБ00-003428 від 11.06.2025 11:00:00
Оприходованы ТМЦ</t>
  </si>
  <si>
    <t>Обл. НДС
Шнур бентонітовий ГІДРОСТОП 15*25
Надходження товарів і послуг ІБ00-003428 від 11.06.2025 11:00:00
Пожежений резервуар (Глобине)</t>
  </si>
  <si>
    <t>ПРОТЕКС УКРАЇНА
Договір 9  від 11.12.2023_Глобине 2
Рахунок на оплату постачальника ІБ00-002735 від 10.06.2025 23:15:00</t>
  </si>
  <si>
    <t>Обл. НДС
Профіль кріпильний 25*15мм
Надходження товарів і послуг ІБ00-003428 від 11.06.2025 11:00:00
Пожежений резервуар (Глобине)</t>
  </si>
  <si>
    <t>Надходження товарів і послуг ІБ00-002991 від 13.06.2025 11:00:00
Оприходованы ТМЦ</t>
  </si>
  <si>
    <t>Обл. НДС
Арматура №10  А240С L=6000 мм
Надходження товарів і послуг ІБ00-002991 від 13.06.2025 11:00:00
Пожежений резервуар (Глобине)</t>
  </si>
  <si>
    <t>МЕТІНВЕСТ-СМЦ ТОВ
№1778403/01/2023-С от 11.01.2023 РАХУНКИ_Глобино-2
Рахунок на оплату постачальника ІБ00-002516 від 13.06.2025 18:33:30</t>
  </si>
  <si>
    <t>Обл. НДС
Арматура №14  А500С L=12000 мм
Надходження товарів і послуг ІБ00-002991 від 13.06.2025 11:00:00
Пожежений резервуар (Глобине)</t>
  </si>
  <si>
    <t>Надходження товарів і послуг ІБ00-002972 від 14.06.2025 11:00:00
Оприходованы ТМЦ</t>
  </si>
  <si>
    <t>Обл. НДС
Кутики 100х100х7 мм; ст. 3пс5; 12 м
Надходження товарів і послуг ІБ00-002972 від 14.06.2025 11:00:00
Пожежений резервуар (Глобине)</t>
  </si>
  <si>
    <t>МЕТІНВЕСТ-СМЦ ТОВ
№1778403/01/2023-С от 11.01.2023 РАХУНКИ_Глобино-2
Рахунок на оплату постачальника ІБ00-002509 від 14.06.2025 12:00:00</t>
  </si>
  <si>
    <t>Надходження товарів і послуг ІБ00-003173 від 17.06.2025 11:00:00
Оприходованы ТМЦ</t>
  </si>
  <si>
    <t>Обл. НДС
Пісок з відсіву дроблення щебеню фр. 0-5мм.
Надходження товарів і послуг ІБ00-003173 від 17.06.2025 11:00:00
Пожежений резервуар (Глобине)</t>
  </si>
  <si>
    <t>Енергія Логістик ТОВ
№28/10-2024 ВІД 28/10/24_Глобине-2
Рахунок на оплату постачальника ІБ00-002667 від 17.06.2025 21:59:12</t>
  </si>
  <si>
    <t>Переміщення товарів ІБ00-000562 від 18.06.2025 18:22:44
Перемещение ТМЦ</t>
  </si>
  <si>
    <t>Вимога-накладна ІБ00-000454 від 19.06.2025 10:16:23
Списаны ТМЦ</t>
  </si>
  <si>
    <t>Обл. НДС
Труба 325*7,0мм 
Надходження товарів і послуг ІБ00-002202 від 01.05.2025 11:00:00
Пожежений резервуар (Глобине)</t>
  </si>
  <si>
    <t>Обл. НДС
Труба 530*8,0мм 
Надходження товарів і послуг ІБ00-002202 від 01.05.2025 11:00:00
Пожежений резервуар (Глобине)</t>
  </si>
  <si>
    <t>Обл. НДС
Труба 720*8,0мм
Надходження товарів і послуг ІБ00-002202 від 01.05.2025 11:00:00
Пожежений резервуар (Глобине)</t>
  </si>
  <si>
    <t>Обл. НДС
Труба 920*9,0мм
Надходження товарів і послуг ІБ00-002202 від 01.05.2025 11:00:00
Пожежений резервуар (Глобине)</t>
  </si>
  <si>
    <t>Переміщення товарів ІБ00-000572 від 20.06.2025 10:00:00
Перемещение ТМЦ</t>
  </si>
  <si>
    <t>Обл. НДС
Пенекрит 5кг/відро
Надходження товарів і послуг ІБ00-000649 від 17.02.2025 23:45:08
Пожежений резервуар (Глобине)</t>
  </si>
  <si>
    <t>Обл. НДС
Пенекрит 5кг/відро
Надходження товарів і послуг ІБ00-000649 від 17.02.2025 23:45:08
Резервуар для зберігання розчинника(Глобине)</t>
  </si>
  <si>
    <t>Переміщення товарів ІБ00-000575 від 20.06.2025 10:00:00
Перемещение ТМЦ</t>
  </si>
  <si>
    <t>Переміщення товарів ІБ00-000579 від 20.06.2025 10:00:00
Перемещение ТМЦ</t>
  </si>
  <si>
    <t>Обл. НДС
Бетон С 20/25  F75 W6 Р4
Надходження товарів і послуг ІБ00-003063 від 19.06.2025 11:00:00
Пожежений резервуар (Глобине)</t>
  </si>
  <si>
    <t>Вимога-накладна ІБ00-000473 від 20.06.2025 15:18:10
Списаны ТМЦ</t>
  </si>
  <si>
    <t>Обл. НДС
Пенекрит 25кг/відро
Надходження товарів і послуг ІБ00-002340 від 08.05.2025 11:00:00
Пожежений резервуар (Глобине)</t>
  </si>
  <si>
    <t>Списання товарів ІБ00-000326 від 20.06.2025 15:20:29
Списаны ТМЦ</t>
  </si>
  <si>
    <t>Обл. НДС
Плита вологост.орієнтовно-стружкова OSB 22мм
Надходження товарів і послуг ІБ00-002044 від 01.04.2025 11:00:00
Пожежений резервуар (Глобине)</t>
  </si>
  <si>
    <t>Списання товарів ІБ00-000332 від 20.06.2025 18:07:04
Списаны ТМЦ</t>
  </si>
  <si>
    <t>21.06.2025</t>
  </si>
  <si>
    <t>Надходження товарів і послуг ІБ00-003109 від 21.06.2025 11:00:00
Оприходованы ТМЦ</t>
  </si>
  <si>
    <t>Обл. НДС
Пісок з відсіву дроблення щебеню фр. 0-5мм.
Надходження товарів і послуг ІБ00-003109 від 21.06.2025 11:00:00
Пожежений резервуар (Глобине)</t>
  </si>
  <si>
    <t>Енергія Логістик ТОВ
№28/10-2024 ВІД 28/10/24_Глобине-2
Рахунок на оплату постачальника ІБ00-002590 від 21.06.2025 12:00:02</t>
  </si>
  <si>
    <t>Вимога-накладна ІБ00-000487 від 21.06.2025 18:07:03
Списаны ТМЦ</t>
  </si>
  <si>
    <t>Переміщення товарів ІБ00-000608 від 25.06.2025 10:00:00
Перемещение ТМЦ</t>
  </si>
  <si>
    <t>Обл. НДС
Арматура 12 міра (12-3760  А500С/А400С)
Надходження товарів і послуг ІБ00-001657 від 01.04.2025 11:00:00
Пожежений резервуар (Глобине)</t>
  </si>
  <si>
    <t>Обл. НДС
Арматура 12 міра (12-3760  А500С/А400С)
Надходження товарів і послуг ІБ00-001657 від 01.04.2025 11:00:00
Транспортна галерея (Глобине)</t>
  </si>
  <si>
    <t>Обл. НДС
Арматура 14 міра (12-3760  А500С/А400С)
Надходження товарів і послуг ІБ00-001657 від 01.04.2025 11:00:00
Пожежений резервуар (Глобине)</t>
  </si>
  <si>
    <t>Обл. НДС
Арматура 14 міра (12-3760  А500С/А400С)
Надходження товарів і послуг ІБ00-001657 від 01.04.2025 11:00:00
Транспортна галерея (Глобине)</t>
  </si>
  <si>
    <t>Переміщення товарів ІБ00-000611 від 25.06.2025 10:00:00
Перемещение ТМЦ</t>
  </si>
  <si>
    <t>Переміщення товарів ІБ00-000607 від 25.06.2025 10:13:01
Перемещение ТМЦ</t>
  </si>
  <si>
    <t>Обл. НДС
Арматура №12  А240С L=6000 мм
Надходження товарів і послуг ІБ00-002989 від 13.06.2025 11:00:00
Пожежений резервуар (Глобине)</t>
  </si>
  <si>
    <t>Обл. НДС
Арматура №12  А240С L=6000 мм
Надходження товарів і послуг ІБ00-002989 від 13.06.2025 11:00:00
СПК (Глобине)</t>
  </si>
  <si>
    <t>Обл. НДС
Арматура №12  А500С L=12000 мм
Надходження товарів і послуг ІБ00-002836 від 06.06.2025 18:22:55
Пожежений резервуар (Глобине)</t>
  </si>
  <si>
    <t>Обл. НДС
Арматура №12  А500С L=12000 мм
Надходження товарів і послуг ІБ00-002836 від 06.06.2025 18:22:55
СПК (Глобине)</t>
  </si>
  <si>
    <t>Вимога-накладна ІБ00-000508 від 25.06.2025 23:13:00
Списаны ТМЦ</t>
  </si>
  <si>
    <t>Обл. НДС
Бетон С  8/10 Р4
Надходження товарів і послуг ІБ00-002052 від 07.05.2025 11:00:00
Пожежений резервуар (Глобине)</t>
  </si>
  <si>
    <t>28.06.2025</t>
  </si>
  <si>
    <t>Надходження товарів і послуг ІБ00-003282 від 28.06.2025 11:00:00
Оприходованы ТМЦ</t>
  </si>
  <si>
    <t>Обл. НДС
Пісок з відсіву дроблення щебеню фр. 0-5мм.
Надходження товарів і послуг ІБ00-003282 від 28.06.2025 11:00:00
Пожежений резервуар (Глобине)</t>
  </si>
  <si>
    <t>Енергія Логістик ТОВ
№28/10-2024 ВІД 28/10/24_Глобине-2
Рахунок на оплату постачальника ІБ00-002811 від 28.06.2025 12:00:00</t>
  </si>
  <si>
    <t>Надходження товарів і послуг ІБ00-003357 від 30.06.2025 11:00:00
Оприходованы ТМЦ</t>
  </si>
  <si>
    <t>Обл. НДС
Пісок з відсіву дроблення щебеню фр. 0-5мм.
Надходження товарів і послуг ІБ00-003357 від 30.06.2025 11:00:00
Пожежений резервуар (Глобине)</t>
  </si>
  <si>
    <t>Енергія Логістик ТОВ
№28/10-2024 ВІД 28/10/24_Глобине-2
Рахунок на оплату постачальника ІБ00-002834 від 30.06.2025 23:50:33</t>
  </si>
  <si>
    <t>Переміщення товарів ІБ00-000540 від 01.06.2025 23:13:44
Перемещение ТМЦ</t>
  </si>
  <si>
    <t>Обл. НДС
Бетон С20/25 W6 F75 P4
Надходження товарів і послуг ІБ00-002501 від 28.05.2025 11:00:00
Цех екстракції (Глобине)</t>
  </si>
  <si>
    <t>Обл. НДС
Бетон С20/25 W6 F75 P4
Надходження товарів і послуг ІБ00-002501 від 28.05.2025 11:00:00
Пункт фасування та зберігання в бігбегах (Глобине)</t>
  </si>
  <si>
    <t>Надходження товарів і послуг ІБ00-002856 від 10.06.2025 11:00:00
Оприходованы ТМЦ</t>
  </si>
  <si>
    <t>Енергія Логістик ТОВ
№28/10-2024 ВІД 28/10/24_Глобине-2
Рахунок на оплату постачальника ІБ00-002409 від 10.06.2025 18:15:25</t>
  </si>
  <si>
    <t>Надходження товарів і послуг ІБ00-002857 від 11.06.2025 11:00:00
Оприходованы ТМЦ</t>
  </si>
  <si>
    <t>Обл. НДС
Пісок з відсіву дроблення щебеню фр. 0-5мм.
Надходження товарів і послуг ІБ00-002857 від 11.06.2025 11:00:00
Пункт фасування та зберігання в бігбегах (Глобине)</t>
  </si>
  <si>
    <t>Енергія Логістик ТОВ
№28/10-2024 ВІД 28/10/24_Глобине-2
Рахунок на оплату постачальника ІБ00-002410 від 11.06.2025 19:03:33</t>
  </si>
  <si>
    <t>Переміщення товарів ІБ00-000567 від 17.06.2025 11:15:00
Перемещение ТМЦ</t>
  </si>
  <si>
    <t>Обл. НДС
Труба 159*4,5 мм, 12 м
Надходження товарів і послуг ІБ00-002962 від 17.06.2025 11:00:00
Пункт фасування та зберігання в бігбегах (Глобине)</t>
  </si>
  <si>
    <t>Обл. НДС
Труба 159*4,5 мм, 12 м
Надходження товарів і послуг ІБ00-002962 від 17.06.2025 11:00:00
СПК (Глобине)</t>
  </si>
  <si>
    <t>Обл. НДС
Труба 219*4,5 ст1-3 сп/пс
Надходження товарів і послуг ІБ00-002962 від 17.06.2025 11:00:00
Пункт фасування та зберігання в бігбегах (Глобине)</t>
  </si>
  <si>
    <t>Обл. НДС
Труба 219*4,5 ст1-3 сп/пс
Надходження товарів і послуг ІБ00-002962 від 17.06.2025 11:00:00
СПК (Глобине)</t>
  </si>
  <si>
    <t>Вимога-накладна ІБ00-000452 від 19.06.2025 09:59:19
Списаны ТМЦ</t>
  </si>
  <si>
    <t>Обл. НДС
Бетон С20/25 W6 F75 P4
Надходження товарів і послуг ІБ00-002592 від 30.05.2025 11:00:00
Пункт фасування та зберігання в бігбегах (Глобине)</t>
  </si>
  <si>
    <t>Вимога-накладна ІБ00-000489 від 20.06.2025 10:51:40
Списаны ТМЦ</t>
  </si>
  <si>
    <t>Переміщення товарів ІБ00-000580 від 20.06.2025 18:07:08
Перемещение ТМЦ</t>
  </si>
  <si>
    <t>Обл. НДС
Пісок з відсіву дроблення щебеню фр. 0-5мм.
Надходження товарів і послуг ІБ00-002857 від 11.06.2025 11:00:00
Резервуар для зберігання розчинника(Глобине)</t>
  </si>
  <si>
    <t>Обл. НДС
Пісок з відсіву дроблення щебеню фр. 0-5мм.
Надходження товарів і послуг ІБ00-003172 від 13.06.2025 11:00:00
Резервуар для зберігання розчинника(Глобине)</t>
  </si>
  <si>
    <t>Надходження товарів і послуг ІБ00-003182 від 23.06.2025 11:00:00
Оприходованы ТМЦ</t>
  </si>
  <si>
    <t>Обл. НДС
Пісок з відсіву дроблення щебеню фр. 0-5мм.
Надходження товарів і послуг ІБ00-003182 від 23.06.2025 11:00:00
Пункт фасування та зберігання в бігбегах (Глобине)</t>
  </si>
  <si>
    <t>Енергія Логістик ТОВ
№28/10-2024 ВІД 28/10/24_Глобине-2
Рахунок на оплату постачальника ІБ00-002672 від 23.06.2025 18:21:50</t>
  </si>
  <si>
    <t>Надходження товарів і послуг ІБ00-003171 від 24.06.2025 11:00:00
Оприходованы ТМЦ</t>
  </si>
  <si>
    <t>Обл. НДС
Пісок з відсіву дроблення щебеню фр. 0-5мм.
Надходження товарів і послуг ІБ00-003171 від 24.06.2025 11:00:00
Пункт фасування та зберігання в бігбегах (Глобине)</t>
  </si>
  <si>
    <t>Енергія Логістик ТОВ
№28/10-2024 ВІД 28/10/24_Глобине-2
Рахунок на оплату постачальника ІБ00-002665 від 24.06.2025 18:10:17</t>
  </si>
  <si>
    <t>Вимога-накладна ІБ00-000511 від 25.06.2025 00:00:00
Списаны ТМЦ</t>
  </si>
  <si>
    <t>Надходження товарів і послуг ІБ00-003236 від 25.06.2025 11:00:00
Оприходованы ТМЦ</t>
  </si>
  <si>
    <t>Обл. НДС
Пісок з відсіву дроблення щебеню фр. 0-5мм.
Надходження товарів і послуг ІБ00-003236 від 25.06.2025 11:00:00
Пункт фасування та зберігання в бігбегах (Глобине)</t>
  </si>
  <si>
    <t>Енергія Логістик ТОВ
№28/10-2024 ВІД 28/10/24_Глобине-2
Рахунок на оплату постачальника ІБ00-002702 від 25.06.2025 23:12:43</t>
  </si>
  <si>
    <t>Надходження товарів і послуг ІБ00-003238 від 26.06.2025 11:00:00
Оприходованы ТМЦ</t>
  </si>
  <si>
    <t>Обл. НДС
Пісок з відсіву дроблення щебеню фр. 0-5мм.
Надходження товарів і послуг ІБ00-003238 від 26.06.2025 11:00:00
Пункт фасування та зберігання в бігбегах (Глобине)</t>
  </si>
  <si>
    <t>Енергія Логістик ТОВ
№28/10-2024 ВІД 28/10/24_Глобине-2
Рахунок на оплату постачальника ІБ00-002703 від 26.06.2025 18:13:48</t>
  </si>
  <si>
    <t>Надходження товарів і послуг ІБ00-003342 від 30.06.2025 11:00:00
Оприходованы ТМЦ (Зачет аванса поставщику)</t>
  </si>
  <si>
    <t>Обл. НДС
Клин монтажний Кл-1
Надходження товарів і послуг ІБ00-003342 від 30.06.2025 11:00:00
Пункт фасування та зберігання в бігбегах (Глобине)</t>
  </si>
  <si>
    <t>БМЗ БЕТОН ПП
Договору ПП/М-097-2 від 12.05.2025 _Глобино-2
Рахунок на оплату постачальника ІБ00-001887 від 02.05.2025 21:00:21</t>
  </si>
  <si>
    <t>Надходження товарів і послуг ІБ00-003343 від 30.06.2025 11:00:00
Оприходованы ТМЦ (Зачет аванса поставщику)</t>
  </si>
  <si>
    <t>Обл. НДС
Колона К1н L=10650 400*400
Надходження товарів і послуг ІБ00-003343 від 30.06.2025 11:00:00
Пункт фасування та зберігання в бігбегах (Глобине)</t>
  </si>
  <si>
    <t>Обл. НДС
Колона К2н L=8920 400*400
Надходження товарів і послуг ІБ00-003343 від 30.06.2025 11:00:00
Пункт фасування та зберігання в бігбегах (Глобине)</t>
  </si>
  <si>
    <t>Обл. НДС
Колона К3н L=9800 400*400
Надходження товарів і послуг ІБ00-003343 від 30.06.2025 11:00:00
Пункт фасування та зберігання в бігбегах (Глобине)</t>
  </si>
  <si>
    <t>Обл. НДС
Колона К4н L=9800 400*400
Надходження товарів і послуг ІБ00-003343 від 30.06.2025 11:00:00
Пункт фасування та зберігання в бігбегах (Глобине)</t>
  </si>
  <si>
    <t>Обл. НДС
Колона К5н L=9800 400*400
Надходження товарів і послуг ІБ00-003343 від 30.06.2025 11:00:00
Пункт фасування та зберігання в бігбегах (Глобине)</t>
  </si>
  <si>
    <t>Вимога-накладна ІБ00-000447 від 10.06.2025 23:14:50
Списаны ТМЦ</t>
  </si>
  <si>
    <t>Вимога-накладна ІБ00-000488 від 20.06.2025 18:08:07
Списаны ТМЦ</t>
  </si>
  <si>
    <t>Вимога-накладна ІБ00-000509 від 25.06.2025 23:13:02
Списаны ТМЦ</t>
  </si>
  <si>
    <t>Обл. НДС
Бетон С  8/10 Р4
Надходження товарів і послуг ІБ00-002295 від 15.05.2025 11:00:00
Резервуар для зберігання розчинника(Глобине)</t>
  </si>
  <si>
    <t>Обл. НДС
Бетон С20/25 W6 F75 P4
Надходження товарів і послуг ІБ00-002501 від 28.05.2025 11:00:00
Резервуар для зберігання розчинника(Глобине)</t>
  </si>
  <si>
    <t>Списання товарів ІБ00-000337 від 25.06.2025 23:13:03
Списаны ТМЦ</t>
  </si>
  <si>
    <t>Обл. НДС
Пінополістирол фасад шаршавий 1200х600х20мм 0,264 куб м
Надходження товарів і послуг ІБ00-000776 від 06.02.2025 18:36:51
Резервуар для зберігання розчинника(Глобине)</t>
  </si>
  <si>
    <t>Надходження товарів і послуг ІБ00-002830 від 01.06.2025 11:00:00
Оприходованы ТМЦ</t>
  </si>
  <si>
    <t>Обл. НДС
Арматура №18  А500С L=12000 мм
Надходження товарів і послуг ІБ00-002830 від 01.06.2025 11:00:00
СПК (Глобине)</t>
  </si>
  <si>
    <t>Надходження товарів і послуг ІБ00-002832 від 01.06.2025 11:00:00
Оприходованы ТМЦ</t>
  </si>
  <si>
    <t>Обл. НДС
Арматура №18  А500С L=12000 мм
Надходження товарів і послуг ІБ00-002832 від 01.06.2025 11:00:00
СПК (Глобине)</t>
  </si>
  <si>
    <t>МЕТІНВЕСТ-СМЦ ТОВ
№1778403/01/2023-С от 11.01.2023 РАХУНКИ_Глобино-2
Рахунок на оплату постачальника ІБ00-002366 від 01.06.2025 23:13:37</t>
  </si>
  <si>
    <t>Надходження товарів і послуг ІБ00-002861 від 01.06.2025 11:00:00
Оприходованы ТМЦ</t>
  </si>
  <si>
    <t>Обл. НДС
Грунт-емаль 3 в 1 антикороз RAL7024 25 кг
Надходження товарів і послуг ІБ00-002861 від 01.06.2025 11:00:00
СПК (Глобине)</t>
  </si>
  <si>
    <t>ДНІПРО-СПЕЦЕМАЛЬ НВП ТОВ
Рахунки_Глобине-2
Рахунок на оплату постачальника ІБ00-002357 від 01.06.2025 23:13:32</t>
  </si>
  <si>
    <t>Надходження товарів і послуг ІБ00-002967 від 01.06.2025 11:00:00
Оприходованы ТМЦ</t>
  </si>
  <si>
    <t>Венкрас Авто ПП
Договір 05/09/2024 від 05.09.2024_Глобине-2
Рахунок на оплату постачальника ІБ00-001387 від 14.04.2025 18:04:20</t>
  </si>
  <si>
    <t>Надходження товарів і послуг ІБ00-002968 від 01.06.2025 11:00:00
Оприходованы ТМЦ</t>
  </si>
  <si>
    <t>Надходження товарів і послуг ІБ00-003429 від 01.06.2025 11:00:00
Оприходованы ТМЦ</t>
  </si>
  <si>
    <t>Обл. НДС
Фіксатор Стілець 50/8-24
Надходження товарів і послуг ІБ00-003429 від 01.06.2025 11:00:00
СПК (Глобине)</t>
  </si>
  <si>
    <t>ПРОТЕКС УКРАЇНА
Договір 9  від 11.12.2023_Глобине 2
Рахунок на оплату постачальника ІБ00-002732 від 01.06.2025 23:15:54</t>
  </si>
  <si>
    <t>Надходження товарів і послуг ІБ00-002798 від 02.06.2025 11:00:00
Оприходованы ТМЦ</t>
  </si>
  <si>
    <t>Обл. НДС
Ригель Р5а 2Р6.3.83-5 L=6740
Надходження товарів і послуг ІБ00-002798 від 02.06.2025 11:00:00
СПК (Глобине)</t>
  </si>
  <si>
    <t>БМЗ БЕТОН ПП
Договір ПП/М 221-2 від 14.01.2025 _Глобино-2
Рахунок на оплату постачальника ІБ00-000358 від 28.01.2025 23:21:44</t>
  </si>
  <si>
    <t>Обл. НДС
Плита ребриста РП3 РП 6.2.83-2 L=6740
Надходження товарів і послуг ІБ00-002798 від 02.06.2025 11:00:00
СПК (Глобине)</t>
  </si>
  <si>
    <t>Вимога-накладна ІБ00-000443 від 02.06.2025 11:06:31
Списаны ТМЦ</t>
  </si>
  <si>
    <t>Обл. НДС
Ригель Р4 1Р6.3.83-2 L=6740
Надходження товарів і послуг ІБ00-002591 від 21.05.2025 11:00:00
СПК (Глобине)</t>
  </si>
  <si>
    <t>Обл. НДС
Ригель Р4 1Р6.3.83-2 L=6740
Надходження товарів і послуг ІБ00-002518 від 23.05.2025 11:00:00
СПК (Глобине)</t>
  </si>
  <si>
    <t>03.06.2025</t>
  </si>
  <si>
    <t>Надходження товарів і послуг ІБ00-002711 від 03.06.2025 11:00:00
Оприходованы ТМЦ</t>
  </si>
  <si>
    <t>Обл. НДС
Щебінь 20-40
Надходження товарів і послуг ІБ00-002711 від 03.06.2025 11:00:00
СПК (Глобине)</t>
  </si>
  <si>
    <t>Енергія Логістик ТОВ
№28/10-2024 ВІД 28/10/24_Глобине-2
Рахунок на оплату постачальника ІБ00-002243 від 03.06.2025 22:22:38</t>
  </si>
  <si>
    <t>Надходження дод. витрат ІБ00-000372 від 03.06.2025 11:10:00
Доп. расходы при поступлении товаров</t>
  </si>
  <si>
    <t>Надходження товарів і послуг ІБ00-002833 від 06.06.2025 11:00:00
Оприходованы ТМЦ</t>
  </si>
  <si>
    <t>Обл. НДС
Арматура № 8  А240С L=6000 мм
Надходження товарів і послуг ІБ00-002833 від 06.06.2025 11:00:00
СПК (Глобине)</t>
  </si>
  <si>
    <t>МЕТІНВЕСТ-СМЦ ТОВ
№1778403/01/2023-С от 11.01.2023 РАХУНКИ_Глобино-2
Рахунок на оплату постачальника ІБ00-002367 від 06.06.2025 00:00:00</t>
  </si>
  <si>
    <t>Обл. НДС
Арматура №10  А500С L=12000 мм
Надходження товарів і послуг ІБ00-002833 від 06.06.2025 11:00:00
СПК (Глобине)</t>
  </si>
  <si>
    <t>Обл. НДС
Арматура №18  А500С L=12000 мм
Надходження товарів і послуг ІБ00-002833 від 06.06.2025 11:00:00
СПК (Глобине)</t>
  </si>
  <si>
    <t>Обл. НДС
Арматура №20  А500С L=12000 мм
Надходження товарів і послуг ІБ00-002833 від 06.06.2025 11:00:00
СПК (Глобине)</t>
  </si>
  <si>
    <t>Надходження товарів і послуг ІБ00-002835 від 06.06.2025 11:00:00
Оприходованы ТМЦ</t>
  </si>
  <si>
    <t>Обл. НДС
Лист г/к  2*1250*2500, S235 JR
Надходження товарів і послуг ІБ00-002835 від 06.06.2025 11:00:00
СПК (Глобине)</t>
  </si>
  <si>
    <t>МЕТІНВЕСТ-СМЦ ТОВ
№1778403/01/2023-С от 11.01.2023 РАХУНКИ_Глобино-2
Рахунок на оплату постачальника ІБ00-002369 від 06.06.2025 18:22:53</t>
  </si>
  <si>
    <t>Надходження товарів і послуг ІБ00-002838 від 06.06.2025 11:00:00
Оприходованы ТМЦ</t>
  </si>
  <si>
    <t>Обл. НДС
Труба профільна 80х80 мм 4,0 мм, 12 м
Надходження товарів і послуг ІБ00-002838 від 06.06.2025 11:00:00
СПК (Глобине)</t>
  </si>
  <si>
    <t>МЕТІНВЕСТ-СМЦ ТОВ
№1778403/01/2023-С от 11.01.2023 РАХУНКИ_Глобино-2
Рахунок на оплату постачальника ІБ00-002372 від 06.06.2025 18:22:57</t>
  </si>
  <si>
    <t>Надходження товарів і послуг ІБ00-003360 від 06.06.2025 11:00:00
Оприходованы ТМЦ</t>
  </si>
  <si>
    <t>Обл. НДС
Брус 50*50*4, шт
Надходження товарів і послуг ІБ00-003360 від 06.06.2025 11:00:00
СПК (Глобине)</t>
  </si>
  <si>
    <t>Мошинець Ю.П. ФОП
Рахунки_Глобине-2
Рахунок на оплату постачальника ІБ00-002736 від 06.06.2025 18:23:28</t>
  </si>
  <si>
    <t>Обл. НДС
Плита OSB 18 мм
Надходження товарів і послуг ІБ00-003360 від 06.06.2025 11:00:00
СПК (Глобине)</t>
  </si>
  <si>
    <t>Надходження товарів і послуг ІБ00-002803 від 06.06.2025 18:22:48
Оприходованы ТМЦ</t>
  </si>
  <si>
    <t>Обл. НДС
Болт анкерний MMS 14/20х130
Надходження товарів і послуг ІБ00-002803 від 06.06.2025 18:22:48
СПК (Глобине)</t>
  </si>
  <si>
    <t>Пері Україна ТОВ
Дог СО-24-0001187 від 01.03.2024 Глобине-2
Надходження товарів і послуг ІБ00-002803 від 06.06.2025 18:22:48</t>
  </si>
  <si>
    <t>Обл. НДС
Дюбель розпірний UFІ 14/135
Надходження товарів і послуг ІБ00-002803 від 06.06.2025 18:22:48
СПК (Глобине)</t>
  </si>
  <si>
    <t>Обл. НДС
Римболт UFE 12/190
Надходження товарів і послуг ІБ00-002803 від 06.06.2025 18:22:48
СПК (Глобине)</t>
  </si>
  <si>
    <t>Надходження товарів і послуг ІБ00-002836 від 06.06.2025 18:22:55
Оприходованы ТМЦ</t>
  </si>
  <si>
    <t>МЕТІНВЕСТ-СМЦ ТОВ
№1778403/01/2023-С от 11.01.2023 РАХУНКИ_Глобино-2
Рахунок на оплату постачальника ІБ00-002370 від 06.06.2025 18:22:54</t>
  </si>
  <si>
    <t>Надходження товарів і послуг ІБ00-002858 від 09.06.2025 11:00:00
Оприходованы ТМЦ</t>
  </si>
  <si>
    <t>Обл. НДС
Пісок з відсіву дроблення щебеню фр. 0-5мм.
Надходження товарів і послуг ІБ00-002858 від 09.06.2025 11:00:00
СПК (Глобине)</t>
  </si>
  <si>
    <t>Енергія Логістик ТОВ
№28/10-2024 ВІД 28/10/24_Глобине-2
Рахунок на оплату постачальника ІБ00-002411 від 09.06.2025 18:01:33</t>
  </si>
  <si>
    <t>Надходження товарів і послуг ІБ00-002913 від 09.06.2025 11:00:00
Оприходованы ТМЦ</t>
  </si>
  <si>
    <t>Обл. НДС
Колона К7с-3 4КС 36.108-6 L=8250
Надходження товарів і послуг ІБ00-002913 від 09.06.2025 11:00:00
СПК (Глобине)</t>
  </si>
  <si>
    <t>Обл. НДС
Колона К8с-3 4КС 36.108-6 L=8250
Надходження товарів і послуг ІБ00-002913 від 09.06.2025 11:00:00
СПК (Глобине)</t>
  </si>
  <si>
    <t>Обл. НДС
Колона К9с-3 4КС 36.108-6 L=8250
Надходження товарів і послуг ІБ00-002913 від 09.06.2025 11:00:00
СПК (Глобине)</t>
  </si>
  <si>
    <t>Обл. НДС
Колона К10с-3 4КС 36.108-6 L=8250
Надходження товарів і послуг ІБ00-002913 від 09.06.2025 11:00:00
СПК (Глобине)</t>
  </si>
  <si>
    <t>Обл. НДС
Колона К11с-3 5КС 36.108-6 L=8250
Надходження товарів і послуг ІБ00-002913 від 09.06.2025 11:00:00
СПК (Глобине)</t>
  </si>
  <si>
    <t>Обл. НДС
Колона К22с-3 3КС 36.108-6 L=8250
Надходження товарів і послуг ІБ00-002913 від 09.06.2025 11:00:00
СПК (Глобине)</t>
  </si>
  <si>
    <t>Надходження товарів і послуг ІБ00-002914 від 10.06.2025 11:00:00
Оприходованы ТМЦ</t>
  </si>
  <si>
    <t>Обл. НДС
Колона К28с-3 4КС 36.108-6 L=8250
Надходження товарів і послуг ІБ00-002914 від 10.06.2025 11:00:00
СПК (Глобине)</t>
  </si>
  <si>
    <t>Обл. НДС
Колона К29с-3 4КС 36.108-6 L=8250
Надходження товарів і послуг ІБ00-002914 від 10.06.2025 11:00:00
СПК (Глобине)</t>
  </si>
  <si>
    <t>Обл. НДС
Колона К30с-3 4КС 36.108-6 L=8250
Надходження товарів і послуг ІБ00-002914 від 10.06.2025 11:00:00
СПК (Глобине)</t>
  </si>
  <si>
    <t>Обл. НДС
Колона К31с-3 4КС 36.108-6 L=8250
Надходження товарів і послуг ІБ00-002914 від 10.06.2025 11:00:00
СПК (Глобине)</t>
  </si>
  <si>
    <t>Обл. НДС
Колона К32с-3 4КС 36.108-6 L=8250
Надходження товарів і послуг ІБ00-002914 від 10.06.2025 11:00:00
СПК (Глобине)</t>
  </si>
  <si>
    <t>Обл. НДС
Колона К33с-3 5КС 36.108-6 L=8250
Надходження товарів і послуг ІБ00-002914 від 10.06.2025 11:00:00
СПК (Глобине)</t>
  </si>
  <si>
    <t>Надходження товарів і послуг ІБ00-002926 від 10.06.2025 11:00:00
Оприходованы ТМЦ</t>
  </si>
  <si>
    <t>Обл. НДС
МС1
Надходження товарів і послуг ІБ00-002926 від 10.06.2025 11:00:00
СПК (Глобине)</t>
  </si>
  <si>
    <t>Обл. НДС
МС32
Надходження товарів і послуг ІБ00-002926 від 10.06.2025 11:00:00
СПК (Глобине)</t>
  </si>
  <si>
    <t>Вимога-накладна ІБ00-000449 від 10.06.2025 15:35:02
Списаны ТМЦ</t>
  </si>
  <si>
    <t>Надходження товарів і послуг ІБ00-002862 від 11.06.2025 11:00:00
Оприходованы ТМЦ</t>
  </si>
  <si>
    <t>Обл. НДС
Грунт-емаль 3 в 1 антикороз RAL7024 25 кг
Надходження товарів і послуг ІБ00-002862 від 11.06.2025 11:00:00
СПК (Глобине)</t>
  </si>
  <si>
    <t>ДНІПРО-СПЕЦЕМАЛЬ НВП ТОВ
Рахунки_Глобине-2
Рахунок на оплату постачальника ІБ00-002441 від 05.06.2025 17:16:59</t>
  </si>
  <si>
    <t>Надходження товарів і послуг ІБ00-002869 від 12.06.2025 11:00:00
Оприходованы ТМЦ</t>
  </si>
  <si>
    <t>Обл. НДС
Бетон С 30/35 W4 F75 Р4
Надходження товарів і послуг ІБ00-002869 від 12.06.2025 11:00:00
СПК (Глобине)</t>
  </si>
  <si>
    <t>Кременчуцький річковий порт ПРАТ
Договір 112/Б від 15.10.2024_Глобине-2
Надходження товарів і послуг ІБ00-002869 від 12.06.2025 11:00:00</t>
  </si>
  <si>
    <t>Надходження дод. витрат ІБ00-000378 від 12.06.2025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</si>
  <si>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ІБ00-000378 від 12.06.2025 11:10:00</t>
  </si>
  <si>
    <t>Вимога-накладна ІБ00-000448 від 12.06.2025 20:30:53
Списаны ТМЦ</t>
  </si>
  <si>
    <t>Надходження товарів і послуг ІБ00-002982 від 13.06.2025 11:00:00
Оприходованы ТМЦ</t>
  </si>
  <si>
    <t>Обл. НДС
Арматура №36  А500С,12м
Надходження товарів і послуг ІБ00-002982 від 13.06.2025 11:00:00
СПК (Глобине)</t>
  </si>
  <si>
    <t>Надходження товарів і послуг ІБ00-002983 від 13.06.2025 11:00:00
Оприходованы ТМЦ</t>
  </si>
  <si>
    <t>Обл. НДС
Труба профільна 120*120*4 L=12000 мм ст1-3 сп/пс
Надходження товарів і послуг ІБ00-002983 від 13.06.2025 11:00:00
СПК (Глобине)</t>
  </si>
  <si>
    <t>МЕТІНВЕСТ-СМЦ ТОВ
№1778403/01/2023-С от 11.01.2023 РАХУНКИ_Глобино-2
Рахунок на оплату постачальника ІБ00-002513 від 13.06.2025 18:33:28</t>
  </si>
  <si>
    <t>Надходження товарів і послуг ІБ00-002984 від 13.06.2025 11:00:00
Оприходованы ТМЦ</t>
  </si>
  <si>
    <t>Обл. НДС
Труба профільна 120*120*4 L=12000 мм ст1-3 сп/пс
Надходження товарів і послуг ІБ00-002984 від 13.06.2025 11:00:00
СПК (Глобине)</t>
  </si>
  <si>
    <t>МЕТІНВЕСТ-СМЦ ТОВ
№1778403/01/2023-С от 11.01.2023 РАХУНКИ_Глобино-2
Рахунок на оплату постачальника ІБ00-002514 від 13.06.2025 18:33:29</t>
  </si>
  <si>
    <t>Надходження товарів і послуг ІБ00-002989 від 13.06.2025 11:00:00
Оприходованы ТМЦ</t>
  </si>
  <si>
    <t>Обл. НДС
Кутик 50х50х5мм ст, S275JR. 6 м
Надходження товарів і послуг ІБ00-002989 від 13.06.2025 11:00:00
СПК (Глобине)</t>
  </si>
  <si>
    <t>Вимога-накладна ІБ00-000450 від 13.06.2025 11:17:10
Списаны ТМЦ</t>
  </si>
  <si>
    <t>Надходження товарів і послуг ІБ00-003169 від 14.06.2025 11:00:00
Оприходованы ТМЦ</t>
  </si>
  <si>
    <t>Обл. НДС
Пісок з відсіву дроблення щебеню фр. 0-5мм.
Надходження товарів і послуг ІБ00-003169 від 14.06.2025 11:00:00
СПК (Глобине)</t>
  </si>
  <si>
    <t>Енергія Логістик ТОВ
№28/10-2024 ВІД 28/10/24_Глобине-2
Рахунок на оплату постачальника ІБ00-002663 від 14.06.2025 12:00:10</t>
  </si>
  <si>
    <t>Надходження товарів і послуг ІБ00-003132 від 16.06.2025 11:00:00
Оприходованы ТМЦ</t>
  </si>
  <si>
    <t>Обл. НДС
Колона К14с-3 2КС 36.108-6 L=8250
Надходження товарів і послуг ІБ00-003132 від 16.06.2025 11:00:00
СПК (Глобине)</t>
  </si>
  <si>
    <t>Обл. НДС
Колона К15с-3 2КС 36.108-6 L=8250
Надходження товарів і послуг ІБ00-003132 від 16.06.2025 11:00:00
СПК (Глобине)</t>
  </si>
  <si>
    <t>Обл. НДС
Колона К16с-3 2КС 36.108-6 L=8250
Надходження товарів і послуг ІБ00-003132 від 16.06.2025 11:00:00
СПК (Глобине)</t>
  </si>
  <si>
    <t>Обл. НДС
Колона К25с-3 4КС 36.108-6 L=8250
Надходження товарів і послуг ІБ00-003132 від 16.06.2025 11:00:00
СПК (Глобине)</t>
  </si>
  <si>
    <t>Обл. НДС
Колона К26с-3 4КС 36.108-6 L=8250
Надходження товарів і послуг ІБ00-003132 від 16.06.2025 11:00:00
СПК (Глобине)</t>
  </si>
  <si>
    <t>Обл. НДС
Колона К27с-3 4КС 36.108-6 L=8250
Надходження товарів і послуг ІБ00-003132 від 16.06.2025 11:00:00
СПК (Глобине)</t>
  </si>
  <si>
    <t>Надходження товарів і послуг ІБ00-002962 від 17.06.2025 11:00:00
Оприходованы ТМЦ</t>
  </si>
  <si>
    <t>Обл. НДС
Труба 273*6,0
Надходження товарів і послуг ІБ00-002962 від 17.06.2025 11:00:00
СПК (Глобине)</t>
  </si>
  <si>
    <t>МЕТАЛ ХОЛДІНГ ТРЕЙД ТОВ
Дог 01/219/25 від 01.04.2025_Глобине-2
Рахунок на оплату постачальника ІБ00-002505 від 12.06.2025 23:25:55</t>
  </si>
  <si>
    <t>Надходження товарів і послуг ІБ00-003134 від 17.06.2025 11:00:00
Оприходованы ТМЦ</t>
  </si>
  <si>
    <t>Обл. НДС
Колона К5с-3 4КС 36.108-6 L=8250
Надходження товарів і послуг ІБ00-003134 від 17.06.2025 11:00:00
СПК (Глобине)</t>
  </si>
  <si>
    <t>Обл. НДС
Колона К6с-3 4КС 36.108-6 L=8250
Надходження товарів і послуг ІБ00-003134 від 17.06.2025 11:00:00
СПК (Глобине)</t>
  </si>
  <si>
    <t>Обл. НДС
Колона К12с-3 3КС 36.108-6 L=8250
Надходження товарів і послуг ІБ00-003134 від 17.06.2025 11:00:00
СПК (Глобине)</t>
  </si>
  <si>
    <t>Обл. НДС
Колона К13с-3 2КС 36.108-6 L=8250
Надходження товарів і послуг ІБ00-003134 від 17.06.2025 11:00:00
СПК (Глобине)</t>
  </si>
  <si>
    <t>Обл. НДС
Колона К23с-3 5КС 36.108-6 L=8250
Надходження товарів і послуг ІБ00-003134 від 17.06.2025 11:00:00
СПК (Глобине)</t>
  </si>
  <si>
    <t>Обл. НДС
Колона К24с-3 4КС 36.108-6 L=8250
Надходження товарів і послуг ІБ00-003134 від 17.06.2025 11:00:00
СПК (Глобине)</t>
  </si>
  <si>
    <t>Надходження дод. витрат ІБ00-000386 від 17.06.2025 11:10:00
Доп. расходы при поступлении товаров</t>
  </si>
  <si>
    <t>Надходження товарів і послуг ІБ00-003062 від 18.06.2025 11:00:00
Оприходованы ТМЦ</t>
  </si>
  <si>
    <t>Обл. НДС
Бетон С 30/35 W4 F75 Р4
Надходження товарів і послуг ІБ00-003062 від 18.06.2025 11:00:00
СПК (Глобине)</t>
  </si>
  <si>
    <t>Кременчуцький річковий порт ПРАТ
Договір 112/Б від 15.10.2024_Глобине-2
Надходження товарів і послуг ІБ00-003062 від 18.06.2025 11:00:00</t>
  </si>
  <si>
    <t>Надходження товарів і послуг ІБ00-003133 від 18.06.2025 11:00:00
Оприходованы ТМЦ</t>
  </si>
  <si>
    <t>Обл. НДС
Плита ребриста РП1а РП 6.2.65-2 L=6240
Надходження товарів і послуг ІБ00-003133 від 18.06.2025 11:00:00
СПК (Глобине)</t>
  </si>
  <si>
    <t>Обл. НДС
Колона К1с-3 5КС 36.108-6 L=8250
Надходження товарів і послуг ІБ00-003133 від 18.06.2025 11:00:00
СПК (Глобине)</t>
  </si>
  <si>
    <t>Обл. НДС
Колона К2с-3 4КС 36.108-6 L=8250
Надходження товарів і послуг ІБ00-003133 від 18.06.2025 11:00:00
СПК (Глобине)</t>
  </si>
  <si>
    <t>Обл. НДС
Колона К3с-3 4КС 36.108-6 L=8250
Надходження товарів і послуг ІБ00-003133 від 18.06.2025 11:00:00
СПК (Глобине)</t>
  </si>
  <si>
    <t>Обл. НДС
Колона К4с-3 4КС 36.108-6 L=8250
Надходження товарів і послуг ІБ00-003133 від 18.06.2025 11:00:00
СПК (Глобине)</t>
  </si>
  <si>
    <t>Надходження дод. витрат ІБ00-000392 від 18.06.2025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</si>
  <si>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ІБ00-000392 від 18.06.2025 11:10:00</t>
  </si>
  <si>
    <t>Вимога-накладна ІБ00-000456 від 19.06.2025 10:35:47
Списаны ТМЦ</t>
  </si>
  <si>
    <t>Обл. НДС
Грунт ГФ-021 сірий
Надходження товарів і послуг ІБ00-002476 від 13.05.2025 11:00:00
СПК (Глобине)</t>
  </si>
  <si>
    <t>Обл. НДС
Розчинник "White Spirit"
Надходження товарів і послуг ІБ00-002476 від 13.05.2025 11:00:00
СПК (Глобине)</t>
  </si>
  <si>
    <t>Списання товарів ІБ00-000319 від 19.06.2025 10:45:07
Списаны ТМЦ</t>
  </si>
  <si>
    <t>Вимога-накладна ІБ00-000503 від 20.06.2025 00:00:00
Списаны ТМЦ</t>
  </si>
  <si>
    <t>Обл. НДС
МС32
Надходження товарів і послуг ІБ00-002519 від 23.05.2025 11:00:00
СПК (Глобине)</t>
  </si>
  <si>
    <t>Обл. НДС
Колона К27с-2 4КС 36.108-6 L=8180
Надходження товарів і послуг ІБ00-002261 від 15.05.2025 11:00:00
СПК (Глобине)</t>
  </si>
  <si>
    <t>Обл. НДС
Колона К28с-2 4КС 36.108-6 L=8180
Надходження товарів і послуг ІБ00-002261 від 15.05.2025 11:00:00
СПК (Глобине)</t>
  </si>
  <si>
    <t>Обл. НДС
Колона К29с-2 4КС 36.108-6 L=8180
Надходження товарів і послуг ІБ00-002261 від 15.05.2025 11:00:00
СПК (Глобине)</t>
  </si>
  <si>
    <t>Вимога-накладна ІБ00-000483 від 20.06.2025 16:13:20
Списаны ТМЦ</t>
  </si>
  <si>
    <t>Обл. НДС
Заготовка арматури
Надходження товарів і послуг ІБ00-002172 від 02.05.2025 11:00:00
СПК (Глобине)</t>
  </si>
  <si>
    <t>Обл. НДС
Заготовка арматури
Надходження товарів і послуг ІБ00-002519 від 23.05.2025 11:00:00
СПК (Глобине)</t>
  </si>
  <si>
    <t>Обл. НДС
Ригель Р5а 2Р6.3.83-5 L=6740
Надходження товарів і послуг ІБ00-002799 від 31.05.2025 11:00:00
СПК (Глобине)</t>
  </si>
  <si>
    <t>Обл. НДС
Плита ребриста РП3 РП 6.2.83-2 L=6740
Надходження товарів і послуг ІБ00-002591 від 21.05.2025 11:00:00
СПК (Глобине)</t>
  </si>
  <si>
    <t>Обл. НДС
Плита ребриста РП3 РП 6.2.83-2 L=6740
Надходження товарів і послуг ІБ00-002518 від 23.05.2025 11:00:00
СПК (Глобине)</t>
  </si>
  <si>
    <t>Обл. НДС
Плита ребриста РП3 РП 6.2.83-2 L=6740
Надходження товарів і послуг ІБ00-002590 від 29.05.2025 11:00:00
СПК (Глобине)</t>
  </si>
  <si>
    <t>Обл. НДС
Плита ребриста РП3 РП 6.2.83-2 L=6740
Надходження товарів і послуг ІБ00-002799 від 31.05.2025 11:00:00
СПК (Глобине)</t>
  </si>
  <si>
    <t>Вимога-накладна ІБ00-000482 від 20.06.2025 18:06:35
Списаны ТМЦ</t>
  </si>
  <si>
    <t>Обл. НДС
Швелер № 16П міра 12,00 м
Надходження товарів і послуг ІБ00-002356 від 20.05.2025 11:00:00
СПК (Глобине)</t>
  </si>
  <si>
    <t>Обл. НДС
Труба 80х80х4 12,0-S235/S275
Надходження товарів і послуг ІБ00-001808 від 22.04.2025 11:00:00
СПК (Глобине)</t>
  </si>
  <si>
    <t>Обл. НДС
Труба 273*8
Надходження товарів і послуг ІБ00-001808 від 22.04.2025 11:00:00
СПК (Глобине)</t>
  </si>
  <si>
    <t>Обл. НДС
Балка 30 Б1 ст 235/255 298*149*5,5*8
Надходження товарів і послуг ІБ00-001651 від 11.04.2025 11:00:00
СПК (Глобине)</t>
  </si>
  <si>
    <t>Обл. НДС
Балка 30 Б1 ст 355 298*149*5,5*8
Надходження товарів і послуг ІБ00-001651 від 11.04.2025 11:00:00
СПК (Глобине)</t>
  </si>
  <si>
    <t>Обл. НДС
Балка 30 Б2 ст 235/255 300*150*6,5*9*1200
Надходження товарів і послуг ІБ00-001650 від 11.04.2025 11:00:00
СПК (Глобине)</t>
  </si>
  <si>
    <t>Обл. НДС
Розчинник "White Spirit"
Надходження товарів і послуг ІБ00-002704 від 27.05.2025 11:00:00
СПК (Глобине)</t>
  </si>
  <si>
    <t>Списання товарів ІБ00-000330 від 20.06.2025 18:06:36
Списаны ТМЦ</t>
  </si>
  <si>
    <t>Обл. НДС
Шафа тимчасового ел/забеспеч ЯРП ІР54
Надходження товарів і послуг ІБ00-002719 від 30.05.2025 11:00:00
СПК (Глобине)</t>
  </si>
  <si>
    <t>Вимога-накладна ІБ00-000484 від 20.06.2025 18:06:48
Списаны ТМЦ</t>
  </si>
  <si>
    <t>Вимога-накладна ІБ00-000502 від 20.06.2025 21:00:08
Списаны ТМЦ</t>
  </si>
  <si>
    <t>Обл. НДС
Профілі сталеві листові Н-75  0,7 оцинковані
Надходження товарів і послуг ІБ00-002530 від 27.05.2025 11:00:00
СПК (Глобине)</t>
  </si>
  <si>
    <t>Списання товарів ІБ00-000334 від 20.06.2025 21:00:15
Списаны ТМЦ</t>
  </si>
  <si>
    <t>Надходження товарів і послуг ІБ00-003192 від 24.06.2025 11:00:00
Оприходованы ТМЦ</t>
  </si>
  <si>
    <t>Обл. НДС
МС32
Надходження товарів і послуг ІБ00-003192 від 24.06.2025 11:00:00
СПК (Глобине)</t>
  </si>
  <si>
    <t>Надходження товарів і послуг ІБ00-003193 від 24.06.2025 11:00:00
Оприходованы ТМЦ</t>
  </si>
  <si>
    <t>Обл. НДС
Плита ребриста РП1а РП 6.2.65-2 L=6240
Надходження товарів і послуг ІБ00-003193 від 24.06.2025 11:00:00
СПК (Глобине)</t>
  </si>
  <si>
    <t>Надходження товарів і послуг ІБ00-003194 від 24.06.2025 11:00:00
Оприходованы ТМЦ</t>
  </si>
  <si>
    <t>Обл. НДС
Заготовка арматури
Надходження товарів і послуг ІБ00-003194 від 24.06.2025 11:00:00
СПК (Глобине)</t>
  </si>
  <si>
    <t>Вимога-накладна ІБ00-000513 від 25.06.2025 00:00:00
Списаны ТМЦ</t>
  </si>
  <si>
    <t>Переміщення товарів ІБ00-000614 від 25.06.2025 10:00:00
Перемещение ТМЦ</t>
  </si>
  <si>
    <t>Обл. НДС
Дріт 1,2 мм Н-О-Ч
Надходження товарів і послуг ІБ00-000069 від 13.01.2025 17:25:04
Цех екстракції (Глобине)</t>
  </si>
  <si>
    <t>Надходження товарів і послуг ІБ00-003344 від 25.06.2025 11:00:00
Оприходованы ТМЦ</t>
  </si>
  <si>
    <t>Обл. НДС
Плита ребриста РП1а РП 6.2.65-2 L=6240
Надходження товарів і послуг ІБ00-003344 від 25.06.2025 11:00:00
СПК (Глобине)</t>
  </si>
  <si>
    <t>Обл. НДС
Ригель Р5а 2Р6.3.83-5 L=6740
Надходження товарів і послуг ІБ00-003344 від 25.06.2025 11:00:00
СПК (Глобине)</t>
  </si>
  <si>
    <t>Вимога-накладна ІБ00-000510 від 25.06.2025 23:00:00
Списаны ТМЦ</t>
  </si>
  <si>
    <t>Обл. НДС
Болт М12*40  DIN 933
Надходження товарів і послуг ІБ00-001844 від 24.04.2025 11:00:00
СПК (Глобине)</t>
  </si>
  <si>
    <t>Обл. НДС
Болт М16*60  DIN 933 оц. 5,8
Надходження товарів і послуг ІБ00-001844 від 24.04.2025 11:00:00
СПК (Глобине)</t>
  </si>
  <si>
    <t>Обл. НДС
Болт М20*90  DIN 933 оц. 5,8
Надходження товарів і послуг ІБ00-001844 від 24.04.2025 11:00:00
СПК (Глобине)</t>
  </si>
  <si>
    <t>Обл. НДС
Болт М20*100  DIN 933 з шест.голівкою цб
Надходження товарів і послуг ІБ00-001844 від 24.04.2025 11:00:00
СПК (Глобине)</t>
  </si>
  <si>
    <t>Обл. НДС
Гайка М12  DIN 934
Надходження товарів і послуг ІБ00-001844 від 24.04.2025 11:00:00
СПК (Глобине)</t>
  </si>
  <si>
    <t>Обл. НДС
Гайка М16 DIN 934 ЦБ
Надходження товарів і послуг ІБ00-001844 від 24.04.2025 11:00:00
СПК (Глобине)</t>
  </si>
  <si>
    <t>Обл. НДС
Гайка М20 DIN 934 ЦБ
Надходження товарів і послуг ІБ00-001844 від 24.04.2025 11:00:00
СПК (Глобине)</t>
  </si>
  <si>
    <t>Обл. НДС
Шайба 12  DIN125-1 цб
Надходження товарів і послуг ІБ00-001844 від 24.04.2025 11:00:00
СПК (Глобине)</t>
  </si>
  <si>
    <t>Обл. НДС
Шайба 16  DIN125-1
Надходження товарів і послуг ІБ00-001844 від 24.04.2025 11:00:00
СПК (Глобине)</t>
  </si>
  <si>
    <t>Обл. НДС
Шайба 20  DIN125-1
Надходження товарів і послуг ІБ00-001844 від 24.04.2025 11:00:00
СПК (Глобине)</t>
  </si>
  <si>
    <t>Вимога-накладна ІБ00-000512 від 25.06.2025 23:13:08
Списаны ТМЦ</t>
  </si>
  <si>
    <t>Надходження товарів і послуг ІБ00-003333 від 26.06.2025 11:00:00
Оприходованы ТМЦ</t>
  </si>
  <si>
    <t>Обл. НДС
Плита ребриста РП1 РП 6.2.65-2 L=6240
Надходження товарів і послуг ІБ00-003333 від 26.06.2025 11:00:00
СПК (Глобине)</t>
  </si>
  <si>
    <t>Обл. НДС
Ригель Р5а 2Р6.3.83-5 L=6740
Надходження товарів і послуг ІБ00-003333 від 26.06.2025 11:00:00
СПК (Глобине)</t>
  </si>
  <si>
    <t>Надходження товарів і послуг ІБ00-003345 від 26.06.2025 11:00:00
Оприходованы ТМЦ</t>
  </si>
  <si>
    <t>Обл. НДС
Колона К30В 1КВ 36.63-6 L=4950
Надходження товарів і послуг ІБ00-003345 від 26.06.2025 11:00:00
СПК (Глобине)</t>
  </si>
  <si>
    <t>Обл. НДС
Колона К31В 1КВ 36.63-6 L=4950
Надходження товарів і послуг ІБ00-003345 від 26.06.2025 11:00:00
СПК (Глобине)</t>
  </si>
  <si>
    <t>Обл. НДС
Ригель Р5а 2Р6.3.83-5 L=6740
Надходження товарів і послуг ІБ00-003345 від 26.06.2025 11:00:00
СПК (Глобине)</t>
  </si>
  <si>
    <t>Надходження товарів і послуг ІБ00-003346 від 26.06.2025 11:00:00
Оприходованы ТМЦ</t>
  </si>
  <si>
    <t>Обл. НДС
Плита ребриста РП1 РП 6.2.65-2 L=6240
Надходження товарів і послуг ІБ00-003346 від 26.06.2025 11:00:00
СПК (Глобине)</t>
  </si>
  <si>
    <t>Обл. НДС
Ригель Р5а 2Р6.3.83-5 L=6740
Надходження товарів і послуг ІБ00-003346 від 26.06.2025 11:00:00
СПК (Глобине)</t>
  </si>
  <si>
    <t>Вимога-накладна ІБ00-000441 від 02.06.2025 10:58:09
Списаны ТМЦ</t>
  </si>
  <si>
    <t>Вимога-накладна ІБ00-000442 від 02.06.2025 11:03:45
Списаны ТМЦ</t>
  </si>
  <si>
    <t>Вимога-накладна ІБ00-000444 від 02.06.2025 11:11:16
Списаны ТМЦ</t>
  </si>
  <si>
    <t>Надходження товарів і послуг ІБ00-002954 від 01.06.2025 16:39:56
Оприходованы ТМЦ</t>
  </si>
  <si>
    <t>Обл. НДС
Суміш для анкерування СХ 15, 25 кг
Надходження товарів і послуг ІБ00-002954 від 01.06.2025 16:39:56
Цех екстракції (Глобине)</t>
  </si>
  <si>
    <t>ПОЛО-ІНВЕСТБУД ТОВ
РАХУНКИ_Глобино-2
Рахунок на оплату постачальника ІБ00-002347 від 01.06.2025 23:13:27</t>
  </si>
  <si>
    <t>Обл. НДС
Тент ПВХ 4*6м 475г/м2
Надходження товарів і послуг ІБ00-000812 від 17.02.2025 23:45:13
Цех екстракції (Глобине)</t>
  </si>
  <si>
    <t>Обл. НДС
Тент ПВХ 4*6м 475г/м2
Надходження товарів і послуг ІБ00-000812 від 17.02.2025 23:45:13
Пункт фасування та зберігання в бігбегах (Глобине)</t>
  </si>
  <si>
    <t>221</t>
  </si>
  <si>
    <t>Вимога-накладна ІБ00-000440 від 02.06.2025 10:51:57
Списаны ТМЦ</t>
  </si>
  <si>
    <t>Обл. НДС
Труба ПЕТ110*10 16атм чорна SDR11
Надходження товарів і послуг ІБ00-000478 від 06.02.2025 15:36:15
Цех екстракції (Глобине)</t>
  </si>
  <si>
    <t>Обл. НДС
Коліно 110/90 ПЕТ терморезист SDR11
Надходження товарів і послуг ІБ00-000478 від 06.02.2025 15:36:15
Цех екстракції (Глобине)</t>
  </si>
  <si>
    <t>Вимога-накладна ІБ00-000422 від 19.06.2025 00:00:00
Списаны ТМЦ</t>
  </si>
  <si>
    <t>Обл. НДС
Брус обрізний 100*200мм  5м
Надходження товарів і послуг ІБ00-002804 від 21.05.2025 11:00:00
Цех екстракції (Глобине)</t>
  </si>
  <si>
    <t>Обл. НДС
Брус обрізний 200*200мм  6м
Надходження товарів і послуг ІБ00-002804 від 21.05.2025 11:00:00
Цех екстракції (Глобине)</t>
  </si>
  <si>
    <t>Вимога-накладна ІБ00-000481 від 20.06.2025 13:23:14
Списаны ТМЦ</t>
  </si>
  <si>
    <t>Обл. НДС
Болт М20*75 HV БП Varvit
Надходження товарів і послуг ІБ00-002004 від 01.05.2025 11:00:00
Цех екстракції (Глобине)</t>
  </si>
  <si>
    <t>Обл. НДС
Болт М20*75 HV БП Varvit
Надходження товарів і послуг ІБ00-002005 від 01.05.2025 11:00:00
Цех екстракції (Глобине)</t>
  </si>
  <si>
    <t>Обл. НДС
Болт М20*75 HV БП Varvit
Надходження товарів і послуг ІБ00-002006 від 01.05.2025 11:00:00
Цех екстракції (Глобине)</t>
  </si>
  <si>
    <t>Обл. НДС
Болт М20*80 HV БП Varvit
Надходження товарів і послуг ІБ00-002004 від 01.05.2025 11:00:00
Цех екстракції (Глобине)</t>
  </si>
  <si>
    <t>Обл. НДС
Болт М20*95  ЕN14399/4
Надходження товарів і послуг ІБ00-002006 від 01.05.2025 11:00:00
Цех екстракції (Глобине)</t>
  </si>
  <si>
    <t>Обл. НДС
Болт М20*100  DIN 6914 
Надходження товарів і послуг ІБ00-002004 від 01.05.2025 11:00:00
Цех екстракції (Глобине)</t>
  </si>
  <si>
    <t>Обл. НДС
Болт М20*100  ЕN 14399/4
Надходження товарів і послуг ІБ00-002004 від 01.05.2025 11:00:00
Цех екстракції (Глобине)</t>
  </si>
  <si>
    <t>Обл. НДС
Болт М24*100  ЕN 14399/4
Надходження товарів і послуг ІБ00-002004 від 01.05.2025 11:00:00
Цех екстракції (Глобине)</t>
  </si>
  <si>
    <t>Обл. НДС
Болт М24*120 HV БП Varvit
Надходження товарів і послуг ІБ00-002004 від 01.05.2025 11:00:00
Цех екстракції (Глобине)</t>
  </si>
  <si>
    <t>Обл. НДС
Гайка М20  ЕN 14399/4Мо
Надходження товарів і послуг ІБ00-002004 від 01.05.2025 11:00:00
Цех екстракції (Глобине)</t>
  </si>
  <si>
    <t>Обл. НДС
Гайка М20  ЕN 14399/4Мо
Надходження товарів і послуг ІБ00-002005 від 01.05.2025 11:00:00
Цех екстракції (Глобине)</t>
  </si>
  <si>
    <t>Обл. НДС
Гайка М20  ЕN 14399/4Мо
Надходження товарів і послуг ІБ00-002006 від 01.05.2025 11:00:00
Цех екстракції (Глобине)</t>
  </si>
  <si>
    <t>Обл. НДС
Шайба 20  DIN6916
Надходження товарів і послуг ІБ00-002004 від 01.05.2025 11:00:00
Цех екстракції (Глобине)</t>
  </si>
  <si>
    <t>Обл. НДС
Шайба М20 ЕN14399/6 гц 300HV
Надходження товарів і послуг ІБ00-002005 від 01.05.2025 11:00:00
Цех екстракції (Глобине)</t>
  </si>
  <si>
    <t>Обл. НДС
Шайба М20 ЕN14399/6 гц 300HV
Надходження товарів і послуг ІБ00-002006 від 01.05.2025 11:00:00
Цех екстракції (Глобине)</t>
  </si>
  <si>
    <t>Обл. НДС
Гайка М24  ЕN 14399/4Мо
Надходження товарів і послуг ІБ00-002004 від 01.05.2025 11:00:00
Цех екстракції (Глобине)</t>
  </si>
  <si>
    <t>Обл. НДС
Шайба 24  ЕN14399/6 
Надходження товарів і послуг ІБ00-002004 від 01.05.2025 11:00:00
Цех екстракції (Глобине)</t>
  </si>
  <si>
    <t>Обл. НДС
Шайба М20 DIN 125 плоска 140 HV цб
Надходження товарів і послуг ІБ00-002645 від 19.05.2025 11:00:00
Цех екстракції (Глобине)</t>
  </si>
  <si>
    <t>Надходження товарів і послуг ІБ00-003178 від 23.06.2025 11:00:00
Оприходованы ТМЦ</t>
  </si>
  <si>
    <t>Обл. НДС
Лист г/к  5*1500*6000 1-3 сп/пс
Надходження товарів і послуг ІБ00-003178 від 23.06.2025 11:00:00
Цех екстракції (Глобине)</t>
  </si>
  <si>
    <t>МЕТАЛ ХОЛДІНГ ТРЕЙД ТОВ
Дог 01/219/25 від 01.04.2025_Глобине-2
Рахунок на оплату постачальника ІБ00-002669 від 17.06.2025 21:59:13</t>
  </si>
  <si>
    <t>Обл. НДС
Лист г/к 8,0 мм 1500*6000, S235 JR
Надходження товарів і послуг ІБ00-003178 від 23.06.2025 11:00:00
Цех екстракції (Глобине)</t>
  </si>
  <si>
    <t>Обл. НДС
Лист г/к 10,0 мм 1500х6000, S235 JR
Надходження товарів і послуг ІБ00-003178 від 23.06.2025 11:00:00
Цех екстракції (Глобине)</t>
  </si>
  <si>
    <t>Обл. НДС
Лист г/к 16*1500*6000, S235 JR
Надходження товарів і послуг ІБ00-003178 від 23.06.2025 11:00:00
Цех екстракції (Глобине)</t>
  </si>
  <si>
    <t>Обл. НДС
Лист г/к 20*1500*6000, S235 JR
Надходження товарів і послуг ІБ00-003178 від 23.06.2025 11:00:00
Цех екстракції (Глобине)</t>
  </si>
  <si>
    <t>Надходження дод. витрат ІБ00-000400 від 23.06.2025 11:10:00
Доп. расходы при поступлении товаров</t>
  </si>
  <si>
    <t>Надходження товарів і послуг ІБ00-003213 від 24.06.2025 11:00:00
Оприходованы ТМЦ</t>
  </si>
  <si>
    <t>Обл. НДС
Сходинки SOZ/34*38/25*3/оц/800*205
Надходження товарів і послуг ІБ00-003213 від 24.06.2025 11:00:00
Цех екстракції (Глобине)</t>
  </si>
  <si>
    <t>Червоноградський завод металоконструкцій
Договір поставки № 44 від 11.06.2020 р._Глобино-2
Рахунок на оплату постачальника ІБ00-001871 від 13.05.2025 23:11:48</t>
  </si>
  <si>
    <t>Надходження товарів і послуг ІБ00-003213 від 24.06.2025 11:00:00
Оприходованы ТМЦ (Зачет аванса поставщику)</t>
  </si>
  <si>
    <t>Обл. НДС
Кріплення для сходинок
Надходження товарів і послуг ІБ00-003213 від 24.06.2025 11:00:00
Цех екстракції (Глобине)</t>
  </si>
  <si>
    <t>Надходження товарів і послуг ІБ00-003215 від 25.06.2025 11:00:00
Оприходованы ТМЦ</t>
  </si>
  <si>
    <t>Обл. НДС
Болт М20*65  DIN 931
Надходження товарів і послуг ІБ00-003215 від 25.06.2025 11:00:00
Цех екстракції (Глобине)</t>
  </si>
  <si>
    <t>Солді і Ко ПАТ
Дог № 378542-55/19 від 21.01.2019 р. РАХ_Глобине-2
Рахунок на оплату постачальника ІБ00-002687 від 23.06.2025 00:00:00</t>
  </si>
  <si>
    <t>Обл. НДС
Гайка М20  ISO4032 8 гранна цб
Надходження товарів і послуг ІБ00-003215 від 25.06.2025 11:00:00
Цех екстракції (Глобине)</t>
  </si>
  <si>
    <t>Обл. НДС
DIN125-1 Шайба 20 цб 140HV до кл.м. 4.6-8.8
Надходження товарів і послуг ІБ00-003215 від 25.06.2025 11:00:00
Цех екстракції (Глобине)</t>
  </si>
  <si>
    <t>Вимога-накладна ІБ00-000517 від 25.06.2025 23:13:20
Списаны ТМЦ</t>
  </si>
  <si>
    <t>Обл. НДС
Решітковий настил KOZ 34*38/30*3/оц/ 1000*1185
Надходження товарів і послуг ІБ00-002640 від 30.05.2025 11:00:00
Цех екстракції (Глобине)</t>
  </si>
  <si>
    <t>Обл. НДС
Решітковий настил KOZ 34*38/30*3/оц/ 1000*1198
Надходження товарів і послуг ІБ00-002640 від 30.05.2025 11:00:00
Цех екстракції (Глобине)</t>
  </si>
  <si>
    <t>Обл. НДС
Решітковий настил KOZ 34*38/30*3/оц/ 1000*1745
Надходження товарів і послуг ІБ00-002640 від 30.05.2025 11:00:00
Цех екстракції (Глобине)</t>
  </si>
  <si>
    <t>Обл. НДС
Решітковий настил KOZ 34*38/30*3/оц/ 1004*361
Надходження товарів і послуг ІБ00-002640 від 30.05.2025 11:00:00
Цех екстракції (Глобине)</t>
  </si>
  <si>
    <t>Обл. НДС
Решітковий настил KOZ 34*38/30*3/оц/ 1200*330
Надходження товарів і послуг ІБ00-002627 від 30.05.2025 11:00:00
Цех екстракції (Глобине)</t>
  </si>
  <si>
    <t>Обл. НДС
Решітковий настил KOZ 34*38/30*3/оц/ 1200*942
Надходження товарів і послуг ІБ00-002627 від 30.05.2025 11:00:00
Цех екстракції (Глобине)</t>
  </si>
  <si>
    <t>Обл. НДС
Решітковий настил KOZ 34*38/30*3/оц/ 1350*1000
Надходження товарів і послуг ІБ00-002627 від 30.05.2025 11:00:00
Цех екстракції (Глобине)</t>
  </si>
  <si>
    <t>Обл. НДС
Решітковий настил KOZ 34*38/30*3/оц/ 1350*1165
Надходження товарів і послуг ІБ00-002627 від 30.05.2025 11:00:00
Цех екстракції (Глобине)</t>
  </si>
  <si>
    <t>Обл. НДС
Решітковий настил KOZ 34*38/30*3/оц/ 1500*1000
Надходження товарів і послуг ІБ00-002640 від 30.05.2025 11:00:00
Цех екстракції (Глобине)</t>
  </si>
  <si>
    <t>Обл. НДС
Решітковий настил KOZ 34*38/30*3/оц/ 1750*1000
Надходження товарів і послуг ІБ00-002640 від 30.05.2025 11:00:00
Цех екстракції (Глобине)</t>
  </si>
  <si>
    <t>Обл. НДС
Решітковий настил KOZ 34*38/30*3/оц/ 1800*1000
Надходження товарів і послуг ІБ00-002640 від 30.05.2025 11:00:00
Цех екстракції (Глобине)</t>
  </si>
  <si>
    <t>Обл. НДС
Решітковий настил KOZ 34*38/30*3/оц/ 1800*1185
Надходження товарів і послуг ІБ00-002640 від 30.05.2025 11:00:00
Цех екстракції (Глобине)</t>
  </si>
  <si>
    <t>Обл. НДС
Решітковий настил KOZ 34*38/30*3/оц/ 1800*800
Надходження товарів і послуг ІБ00-002640 від 30.05.2025 11:00:00
Цех екстракції (Глобине)</t>
  </si>
  <si>
    <t>Обл. НДС
Решітковий настил KOZ 34*38/30*3/оц/ 1800*815
Надходження товарів і послуг ІБ00-002640 від 30.05.2025 11:00:00
Цех екстракції (Глобине)</t>
  </si>
  <si>
    <t>Обл. НДС
Решітковий настил KOZ 34*38/30*3/оц/ 1820*1001
Надходження товарів і послуг ІБ00-002640 від 30.05.2025 11:00:00
Цех екстракції (Глобине)</t>
  </si>
  <si>
    <t>Обл. НДС
Решітковий настил KOZ 34*38/30*3/оц/ 1830*1000
Надходження товарів і послуг ІБ00-002640 від 30.05.2025 11:00:00
Цех екстракції (Глобине)</t>
  </si>
  <si>
    <t>Обл. НДС
Решітковий настил KOZ 34*38/30*3/оц/ 1851*1000
Надходження товарів і послуг ІБ00-002627 від 30.05.2025 11:00:00
Цех екстракції (Глобине)</t>
  </si>
  <si>
    <t>Обл. НДС
Решітковий настил KOZ 34*38/30*3/оц/ 1851*390
Надходження товарів і послуг ІБ00-002627 від 30.05.2025 11:00:00
Цех екстракції (Глобине)</t>
  </si>
  <si>
    <t>Обл. НДС
Решітковий настил KOZ 34*38/30*3/оц/ 1949*1000
Надходження товарів і послуг ІБ00-002627 від 30.05.2025 11:00:00
Цех екстракції (Глобине)</t>
  </si>
  <si>
    <t>Обл. НДС
Решітковий настил KOZ 34*38/30*3/оц/ 1964*1000
Надходження товарів і послуг ІБ00-002640 від 30.05.2025 11:00:00
Цех екстракції (Глобине)</t>
  </si>
  <si>
    <t>Обл. НДС
Решітковий настил KOZ 34*38/30*3/оц/ 1970*615
Надходження товарів і послуг ІБ00-002640 від 30.05.2025 11:00:00
Цех екстракції (Глобине)</t>
  </si>
  <si>
    <t>Обл. НДС
Решітковий настил KOZ 34*38/30*3/оц/ 1970*725
Надходження товарів і послуг ІБ00-002640 від 30.05.2025 11:00:00
Цех екстракції (Глобине)</t>
  </si>
  <si>
    <t>Обл. НДС
Решітковий настил KOZ 34*38/30*3/оц/ 1986*1000
Надходження товарів і послуг ІБ00-002640 від 30.05.2025 11:00:00
Цех екстракції (Глобине)</t>
  </si>
  <si>
    <t>Обл. НДС
Решітковий настил KOZ 34*38/30*3/оц/ 2000*1185
Надходження товарів і послуг ІБ00-002640 від 30.05.2025 11:00:00
Цех екстракції (Глобине)</t>
  </si>
  <si>
    <t>Обл. НДС
Решітковий настил KOZ 34*38/30*3/оц/ 2050*1000
Надходження товарів і послуг ІБ00-002640 від 30.05.2025 11:00:00
Цех екстракції (Глобине)</t>
  </si>
  <si>
    <t>Обл. НДС
Решітковий настил KOZ 34*38/30*3/оц/ 2050*1135
Надходження товарів і послуг ІБ00-002640 від 30.05.2025 11:00:00
Цех екстракції (Глобине)</t>
  </si>
  <si>
    <t>Обл. НДС
Решітковий настил KOZ 34*38/30*3/оц/ 2097*1000
Надходження товарів і послуг ІБ00-002627 від 30.05.2025 11:00:00
Цех екстракції (Глобине)</t>
  </si>
  <si>
    <t>Обл. НДС
Решітковий настил KOZ 34*38/30*3/оц/ 2097*1185
Надходження товарів і послуг ІБ00-002627 від 30.05.2025 11:00:00
Цех екстракції (Глобине)</t>
  </si>
  <si>
    <t>Обл. НДС
Решітковий настил KOZ 34*38/30*3/оц/ 2100*1150
Надходження товарів і послуг ІБ00-002627 від 30.05.2025 11:00:00
Цех екстракції (Глобине)</t>
  </si>
  <si>
    <t>Обл. НДС
Решітковий настил KOZ 34*38/30*3/оц/ 2150*1000
Надходження товарів і послуг ІБ00-002640 від 30.05.2025 11:00:00
Цех екстракції (Глобине)</t>
  </si>
  <si>
    <t>Обл. НДС
Решітковий настил KOZ 34*38/30*3/оц/ 2220*1000
Надходження товарів і послуг ІБ00-002640 від 30.05.2025 11:00:00
Цех екстракції (Глобине)</t>
  </si>
  <si>
    <t>Обл. НДС
Решітковий настил KOZ 34*38/30*3/оц/ 2257*1000
Надходження товарів і послуг ІБ00-002627 від 30.05.2025 11:00:00
Цех екстракції (Глобине)</t>
  </si>
  <si>
    <t>Обл. НДС
Решітковий настил KOZ 34*38/30*3/оц/ 2448*1000
Надходження товарів і послуг ІБ00-002640 від 30.05.2025 11:00:00
Цех екстракції (Глобине)</t>
  </si>
  <si>
    <t>Обл. НДС
Решітковий настил KOZ 34*38/30*3/оц/ 2449*1000
Надходження товарів і послуг ІБ00-002640 від 30.05.2025 11:00:00
Цех екстракції (Глобине)</t>
  </si>
  <si>
    <t>Обл. НДС
Решітковий настил KOZ 34*38/30*3/оц/ 2450*1000
Надходження товарів і послуг ІБ00-002640 від 30.05.2025 11:00:00
Цех екстракції (Глобине)</t>
  </si>
  <si>
    <t>Обл. НДС
Решітковий настил KOZ 34*38/30*3/оц/ 2450*390
Надходження товарів і послуг ІБ00-002627 від 30.05.2025 11:00:00
Цех екстракції (Глобине)</t>
  </si>
  <si>
    <t>Обл. НДС
Решітковий настил KOZ 34*38/30*3/оц/ 2500*1000
Надходження товарів і послуг ІБ00-002640 від 30.05.2025 11:00:00
Цех екстракції (Глобине)</t>
  </si>
  <si>
    <t>Обл. НДС
Решітковий настил KOZ 34*38/30*3/оц/ 800*1120
Надходження товарів і послуг ІБ00-002640 від 30.05.2025 11:00:00
Цех екстракції (Глобине)</t>
  </si>
  <si>
    <t>Обл. НДС
Решітковий настил KOZ 34*38/30*3/оц/ 800*1200
Надходження товарів і послуг ІБ00-002640 від 30.05.2025 11:00:00
Цех екстракції (Глобине)</t>
  </si>
  <si>
    <t>Обл. НДС
Решітковий настил KOZ 34*38/30*3/оц/ 800*545
Надходження товарів і послуг ІБ00-002640 від 30.05.2025 11:00:00
Цех екстракції (Глобине)</t>
  </si>
  <si>
    <t>Обл. НДС
Решітковий настил KOZ 34*38/30*3/оц/ 855*1000
Надходження товарів і послуг ІБ00-002627 від 30.05.2025 11:00:00
Цех екстракції (Глобине)</t>
  </si>
  <si>
    <t>Обл. НДС
Решітковий настил KOZ 34*38/30*3/оц/ 855*1370
Надходження товарів і послуг ІБ00-002627 від 30.05.2025 11:00:00
Цех екстракції (Глобине)</t>
  </si>
  <si>
    <t>Обл. НДС
Решітковий настил KOZ 34*38/30*3/оц/ 870*1060
Надходження товарів і послуг ІБ00-002640 від 30.05.2025 11:00:00
Цех екстракції (Глобине)</t>
  </si>
  <si>
    <t>Обл. НДС
Решітковий настил KOZ 34*38/30*3/оц/ 870*1080
Надходження товарів і послуг ІБ00-002627 від 30.05.2025 11:00:00
Цех екстракції (Глобине)</t>
  </si>
  <si>
    <t>Обл. НДС
Решітковий настил KOZ 34*38/30*3/оц/ 870*594
Надходження товарів і послуг ІБ00-002640 від 30.05.2025 11:00:00
Цех екстракції (Глобине)</t>
  </si>
  <si>
    <t>Обл. НДС
Решітковий настил KOZ 34*38/30*3/оц/ 900*1000
Надходження товарів і послуг ІБ00-002627 від 30.05.2025 11:00:00
Цех екстракції (Глобине)</t>
  </si>
  <si>
    <t>Обл. НДС
Решітковий настил KOZ 34*38/30*3/оц/ 900*1240
Надходження товарів і послуг ІБ00-002640 від 30.05.2025 11:00:00
Цех екстракції (Глобине)</t>
  </si>
  <si>
    <t>Обл. НДС
Решітковий настил KOZ 34*38/30*3/оц/ 900*1260
Надходження товарів і послуг ІБ00-002640 від 30.05.2025 11:00:00
Цех екстракції (Глобине)</t>
  </si>
  <si>
    <t>Обл. НДС
Решітковий настил KOZ 34*38/30*3/оц/ 900*1425
Надходження товарів і послуг ІБ00-002640 від 30.05.2025 11:00:00
Цех екстракції (Глобине)</t>
  </si>
  <si>
    <t>Обл. НДС
Решітковий настил KOZ 34*38/30*3/оц/ 933*850
Надходження товарів і послуг ІБ00-002640 від 30.05.2025 11:00:00
Цех екстракції (Глобине)</t>
  </si>
  <si>
    <t>Обл. НДС
Решітковий настил KOZ 34*38/30*3/оц/ 995*1000
Надходження товарів і послуг ІБ00-002627 від 30.05.2025 11:00:00
Цех екстракції (Глобине)</t>
  </si>
  <si>
    <t>Обл. НДС
Решітковий настил KOZ 34*38/30*3/оц/1000*1000
Надходження товарів і послуг ІБ00-002627 від 30.05.2025 11:00:00
Цех екстракції (Глобине)</t>
  </si>
  <si>
    <t>Обл. НДС
Решітковий настил KOZ 34*38/30*3/оц/1000*1000
Надходження товарів і послуг ІБ00-002640 від 30.05.2025 11:00:00
Цех екстракції (Глобине)</t>
  </si>
  <si>
    <t>Обл. НДС
Решітковий настил KOZ 34*38/30*3/оц/1000*1314
Надходження товарів і послуг ІБ00-002640 від 30.05.2025 11:00:00
Цех екстракції (Глобине)</t>
  </si>
  <si>
    <t>Обл. НДС
Решітковий настил KOZ 34*38/30*3/оц/1000*1330
Надходження товарів і послуг ІБ00-002627 від 30.05.2025 11:00:00
Цех екстракції (Глобине)</t>
  </si>
  <si>
    <t>Обл. НДС
Решітковий настил KOZ 34*38/30*3/оц/1000*1455
Надходження товарів і послуг ІБ00-002640 від 30.05.2025 11:00:00
Цех екстракції (Глобине)</t>
  </si>
  <si>
    <t>Обл. НДС
Решітковий настил KOZ 34*38/30*3/оц/1000*1659
Надходження товарів і послуг ІБ00-002640 від 30.05.2025 11:00:00
Цех екстракції (Глобине)</t>
  </si>
  <si>
    <t>Обл. НДС
Решітковий настил KOZ 34*38/30*3/оц/1000*441
Надходження товарів і послуг ІБ00-002640 від 30.05.2025 11:00:00
Цех екстракції (Глобине)</t>
  </si>
  <si>
    <t>Обл. НДС
Решітковий настил KOZ 34*38/30*3/оц/1000*850
Надходження товарів і послуг ІБ00-002627 від 30.05.2025 11:00:00
Цех екстракції (Глобине)</t>
  </si>
  <si>
    <t>Обл. НДС
Решітковий настил KOZ 34*38/30*3/оц/1000*851
Надходження товарів і послуг ІБ00-002627 від 30.05.2025 11:00:00
Цех екстракції (Глобине)</t>
  </si>
  <si>
    <t>Обл. НДС
Решітковий настил KOZ 34*38/30*3/оц/1003*1175
Надходження товарів і послуг ІБ00-002627 від 30.05.2025 11:00:00
Цех екстракції (Глобине)</t>
  </si>
  <si>
    <t>Обл. НДС
Решітковий настил KOZ 34*38/30*3/оц/1014*1000
Надходження товарів і послуг ІБ00-002640 від 30.05.2025 11:00:00
Цех екстракції (Глобине)</t>
  </si>
  <si>
    <t>Обл. НДС
Решітковий настил KOZ 34*38/30*3/оц/1020*1755
Надходження товарів і послуг ІБ00-002640 від 30.05.2025 11:00:00
Цех екстракції (Глобине)</t>
  </si>
  <si>
    <t>Обл. НДС
Решітковий настил KOZ 34*38/30*3/оц/1035*1000
Надходження товарів і послуг ІБ00-002640 від 30.05.2025 11:00:00
Цех екстракції (Глобине)</t>
  </si>
  <si>
    <t>Обл. НДС
Решітковий настил KOZ 34*38/30*3/оц/1035*1001
Надходження товарів і послуг ІБ00-002640 від 30.05.2025 11:00:00
Цех екстракції (Глобине)</t>
  </si>
  <si>
    <t>Обл. НДС
Решітковий настил KOZ 34*38/30*3/оц/1050*1000
Надходження товарів і послуг ІБ00-002640 від 30.05.2025 11:00:00
Цех екстракції (Глобине)</t>
  </si>
  <si>
    <t>Обл. НДС
Решітковий настил KOZ 34*38/30*3/оц/1050*1200
Надходження товарів і послуг ІБ00-002640 від 30.05.2025 11:00:00
Цех екстракції (Глобине)</t>
  </si>
  <si>
    <t>Обл. НДС
Решітковий настил KOZ 34*38/30*3/оц/1050*600
Надходження товарів і послуг ІБ00-002640 від 30.05.2025 11:00:00
Цех екстракції (Глобине)</t>
  </si>
  <si>
    <t>Обл. НДС
Решітковий настил KOZ 34*38/30*3/оц/1052*769
Надходження товарів і послуг ІБ00-002627 від 30.05.2025 11:00:00
Цех екстракції (Глобине)</t>
  </si>
  <si>
    <t>Обл. НДС
Решітковий настил KOZ 34*38/30*3/оц/1079*1040
Надходження товарів і послуг ІБ00-002640 від 30.05.2025 11:00:00
Цех екстракції (Глобине)</t>
  </si>
  <si>
    <t>Обл. НДС
Решітковий настил KOZ 34*38/30*3/оц/1079*1160
Надходження товарів і послуг ІБ00-002640 від 30.05.2025 11:00:00
Цех екстракції (Глобине)</t>
  </si>
  <si>
    <t>Обл. НДС
Решітковий настил KOZ 34*38/30*3/оц/1081*702
Надходження товарів і послуг ІБ00-002627 від 30.05.2025 11:00:00
Цех екстракції (Глобине)</t>
  </si>
  <si>
    <t>Обл. НДС
Решітковий настил KOZ 34*38/30*3/оц/1086*1000
Надходження товарів і послуг ІБ00-002640 від 30.05.2025 11:00:00
Цех екстракції (Глобине)</t>
  </si>
  <si>
    <t>Обл. НДС
Решітковий настил KOZ 34*38/30*3/оц/1086*1200
Надходження товарів і послуг ІБ00-002640 від 30.05.2025 11:00:00
Цех екстракції (Глобине)</t>
  </si>
  <si>
    <t>Обл. НДС
Решітковий настил KOZ 34*38/30*3/оц/1087*1000
Надходження товарів і послуг ІБ00-002627 від 30.05.2025 11:00:00
Цех екстракції (Глобине)</t>
  </si>
  <si>
    <t>Обл. НДС
Решітковий настил KOZ 34*38/30*3/оц/1093*1000
Надходження товарів і послуг ІБ00-002627 від 30.05.2025 11:00:00
Цех екстракції (Глобине)</t>
  </si>
  <si>
    <t>Обл. НДС
Решітковий настил KOZ 34*38/30*3/оц/1099*1000
Надходження товарів і послуг ІБ00-002640 від 30.05.2025 11:00:00
Цех екстракції (Глобине)</t>
  </si>
  <si>
    <t>Обл. НДС
Решітковий настил KOZ 34*38/30*3/оц/1100*1000
Надходження товарів і послуг ІБ00-002627 від 30.05.2025 11:00:00
Цех екстракції (Глобине)</t>
  </si>
  <si>
    <t>Обл. НДС
Решітковий настил KOZ 34*38/30*3/оц/1100*1000
Надходження товарів і послуг ІБ00-002640 від 30.05.2025 11:00:00
Цех екстракції (Глобине)</t>
  </si>
  <si>
    <t>Обл. НДС
Решітковий настил KOZ 34*38/30*3/оц/1100*1099
Надходження товарів і послуг ІБ00-002627 від 30.05.2025 11:00:00
Цех екстракції (Глобине)</t>
  </si>
  <si>
    <t>Обл. НДС
Решітковий настил KOZ 34*38/30*3/оц/1100*1185
Надходження товарів і послуг ІБ00-002640 від 30.05.2025 11:00:00
Цех екстракції (Глобине)</t>
  </si>
  <si>
    <t>Обл. НДС
Решітковий настил KOZ 34*38/30*3/оц/1100*1384
Надходження товарів і послуг ІБ00-002640 від 30.05.2025 11:00:00
Цех екстракції (Глобине)</t>
  </si>
  <si>
    <t>Обл. НДС
Решітковий настил KOZ 34*38/30*3/оц/1100*616
Надходження товарів і послуг ІБ00-002640 від 30.05.2025 11:00:00
Цех екстракції (Глобине)</t>
  </si>
  <si>
    <t>Обл. НДС
Решітковий настил KOZ 34*38/30*3/оц/1101*1001
Надходження товарів і послуг ІБ00-002627 від 30.05.2025 11:00:00
Цех екстракції (Глобине)</t>
  </si>
  <si>
    <t>Обл. НДС
Решітковий настил KOZ 34*38/30*3/оц/1102*1175
Надходження товарів і послуг ІБ00-002627 від 30.05.2025 11:00:00
Цех екстракції (Глобине)</t>
  </si>
  <si>
    <t>Обл. НДС
Решітковий настил KOZ 34*38/30*3/оц/1150*1415
Надходження товарів і послуг ІБ00-002640 від 30.05.2025 11:00:00
Цех екстракції (Глобине)</t>
  </si>
  <si>
    <t>Обл. НДС
Решітковий настил KOZ 34*38/30*3/оц/1150*585
Надходження товарів і послуг ІБ00-002640 від 30.05.2025 11:00:00
Цех екстракції (Глобине)</t>
  </si>
  <si>
    <t>Обл. НДС
Решітковий настил KOZ 34*38/30*3/оц/1185*1000
Надходження товарів і послуг ІБ00-002640 від 30.05.2025 11:00:00
Цех екстракції (Глобине)</t>
  </si>
  <si>
    <t>Обл. НДС
Решітковий настил KOZ 34*38/30*3/оц/1186*1000
Надходження товарів і послуг ІБ00-002627 від 30.05.2025 11:00:00
Цех екстракції (Глобине)</t>
  </si>
  <si>
    <t>Обл. НДС
Решітковий настил KOZ 34*38/30*3/оц/1200*1000
Надходження товарів і послуг ІБ00-002627 від 30.05.2025 11:00:00
Цех екстракції (Глобине)</t>
  </si>
  <si>
    <t>Обл. НДС
Решітковий настил KOZ 34*38/30*3/оц/1228*1000
Надходження товарів і послуг ІБ00-002640 від 30.05.2025 11:00:00
Цех екстракції (Глобине)</t>
  </si>
  <si>
    <t>Обл. НДС
Решітковий настил KOZ 34*38/30*3/оц/1250*1000
Надходження товарів і послуг ІБ00-002627 від 30.05.2025 11:00:00
Цех екстракції (Глобине)</t>
  </si>
  <si>
    <t>Обл. НДС
Решітковий настил KOZ 34*38/30*3/оц/1251*1000
Надходження товарів і послуг ІБ00-002627 від 30.05.2025 11:00:00
Цех екстракції (Глобине)</t>
  </si>
  <si>
    <t>Обл. НДС
Решітковий настил KOZ 34*38/30*3/оц/1299*1000
Надходження товарів і послуг ІБ00-002640 від 30.05.2025 11:00:00
Цех екстракції (Глобине)</t>
  </si>
  <si>
    <t>Обл. НДС
Решітковий настил KOZ 34*38/30*3/оц/1300*1000
Надходження товарів і послуг ІБ00-002640 від 30.05.2025 11:00:00
Цех екстракції (Глобине)</t>
  </si>
  <si>
    <t>Обл. НДС
Решітковий настил KOZ 34*38/30*3/оц/1300*1185
Надходження товарів і послуг ІБ00-002640 від 30.05.2025 11:00:00
Цех екстракції (Глобине)</t>
  </si>
  <si>
    <t>Обл. НДС
Решітковий настил KOZ 34*38/30*3/оц/1302*1000
Надходження товарів і послуг ІБ00-002640 від 30.05.2025 11:00:00
Цех екстракції (Глобине)</t>
  </si>
  <si>
    <t>Обл. НДС
Решітковий настил KOZ 34*38/30*3/оц/1314*700
Надходження товарів і послуг ІБ00-002640 від 30.05.2025 11:00:00
Цех екстракції (Глобине)</t>
  </si>
  <si>
    <t>Обл. НДС
Решітковий настил KOZ 34*38/30*3/оц/1330*710
Надходження товарів і послуг ІБ00-002627 від 30.05.2025 11:00:00
Цех екстракції (Глобине)</t>
  </si>
  <si>
    <t>Обл. НДС
Решітковий настил KOZ 34*38/30*3/оц/1349*1040
Надходження товарів і послуг ІБ00-002627 від 30.05.2025 11:00:00
Цех екстракції (Глобине)</t>
  </si>
  <si>
    <t>Обл. НДС
Решітковий настил KOZ 34*38/30*3/оц/1372*1000
Надходження товарів і послуг ІБ00-002640 від 30.05.2025 11:00:00
Цех екстракції (Глобине)</t>
  </si>
  <si>
    <t>Обл. НДС
Решітковий настил KOZ 34*38/30*3/оц/1372*1185
Надходження товарів і послуг ІБ00-002640 від 30.05.2025 11:00:00
Цех екстракції (Глобине)</t>
  </si>
  <si>
    <t>Обл. НДС
Решітковий настил KOZ 34*38/30*3/оц/1400*1000
Надходження товарів і послуг ІБ00-002640 від 30.05.2025 11:00:00
Цех екстракції (Глобине)</t>
  </si>
  <si>
    <t>Обл. НДС
Решітковий настил KOZ 34*38/30*3/оц/1400*1135
Надходження товарів і послуг ІБ00-002640 від 30.05.2025 11:00:00
Цех екстракції (Глобине)</t>
  </si>
  <si>
    <t>Обл. НДС
Решітковий настил KOZ 34*38/30*3/оц/1400*1185
Надходження товарів і послуг ІБ00-002640 від 30.05.2025 11:00:00
Цех екстракції (Глобине)</t>
  </si>
  <si>
    <t>Обл. НДС
Решітковий настил KOZ 34*38/30*3/оц/1400*812
Надходження товарів і послуг ІБ00-002640 від 30.05.2025 11:00:00
Цех екстракції (Глобине)</t>
  </si>
  <si>
    <t>Обл. НДС
Решітковий настил KOZ 34*38/30*3/оц/1400*814
Надходження товарів і послуг ІБ00-002640 від 30.05.2025 11:00:00
Цех екстракції (Глобине)</t>
  </si>
  <si>
    <t>Обл. НДС
Решітковий настил KOZ 34*38/30*3/оц/1400*865
Надходження товарів і послуг ІБ00-002640 від 30.05.2025 11:00:00
Цех екстракції (Глобине)</t>
  </si>
  <si>
    <t>Обл. НДС
Решітковий настил KOZ 34*38/30*3/оц/1404*1000
Надходження товарів і послуг ІБ00-002640 від 30.05.2025 11:00:00
Цех екстракції (Глобине)</t>
  </si>
  <si>
    <t>Обл. НДС
Решітковий настил KOZ 34*38/30*3/оц/1415*1000 
Надходження товарів і послуг ІБ00-002640 від 30.05.2025 11:00:00
Цех екстракції (Глобине)</t>
  </si>
  <si>
    <t>Обл. НДС
Решітковий настил KOZ 34*38/30*3/оц/1420*1000
Надходження товарів і послуг ІБ00-002640 від 30.05.2025 11:00:00
Цех екстракції (Глобине)</t>
  </si>
  <si>
    <t>Обл. НДС
Решітковий настил KOZ 34*38/30*3/оц/1420*1203
Надходження товарів і послуг ІБ00-002640 від 30.05.2025 11:00:00
Цех екстракції (Глобине)</t>
  </si>
  <si>
    <t>Обл. НДС
Решітковий настил KOZ 34*38/30*3/оц/1420*797
Надходження товарів і послуг ІБ00-002640 від 30.05.2025 11:00:00
Цех екстракції (Глобине)</t>
  </si>
  <si>
    <t>Обл. НДС
Решітковий настил KOZ 34*38/30*3/оц/1450*1000
Надходження товарів і послуг ІБ00-002640 від 30.05.2025 11:00:00
Цех екстракції (Глобине)</t>
  </si>
  <si>
    <t>Обл. НДС
Решітковий настил KOZ 34*38/30*3/оц/1495*1000
Надходження товарів і послуг ІБ00-002640 від 30.05.2025 11:00:00
Цех екстракції (Глобине)</t>
  </si>
  <si>
    <t>Обл. НДС
Решітковий настил KOZ 34*38/30*3/оц/1497*1000
Надходження товарів і послуг ІБ00-002640 від 30.05.2025 11:00:00
Цех екстракції (Глобине)</t>
  </si>
  <si>
    <t>Обл. НДС
Решітковий настил KOZ 34*38/30*3/оц/1505*1000
Надходження товарів і послуг ІБ00-002640 від 30.05.2025 11:00:00
Цех екстракції (Глобине)</t>
  </si>
  <si>
    <t>Обл. НДС
Решітковий настил KOZ 34*38/30*3/оц/1540*1000
Надходження товарів і послуг ІБ00-002640 від 30.05.2025 11:00:00
Цех екстракції (Глобине)</t>
  </si>
  <si>
    <t>Обл. НДС
Решітковий настил KOZ 34*38/30*3/оц/1600*1000
Надходження товарів і послуг ІБ00-002627 від 30.05.2025 11:00:00
Цех екстракції (Глобине)</t>
  </si>
  <si>
    <t>Обл. НДС
Решітковий настил KOZ 34*38/30*3/оц/1600*1000
Надходження товарів і послуг ІБ00-002640 від 30.05.2025 11:00:00
Цех екстракції (Глобине)</t>
  </si>
  <si>
    <t>Обл. НДС
Решітковий настил KOZ 34*38/30*3/оц/1600*1185
Надходження товарів і послуг ІБ00-002627 від 30.05.2025 11:00:00
Цех екстракції (Глобине)</t>
  </si>
  <si>
    <t>Обл. НДС
Решітковий настил KOZ 34*38/30*3/оц/1600*825
Надходження товарів і послуг ІБ00-002627 від 30.05.2025 11:00:00
Цех екстракції (Глобине)</t>
  </si>
  <si>
    <t>Обл. НДС
Решітковий настил KOZ 34*38/30*3/оц/1600*835
Надходження товарів і послуг ІБ00-002627 від 30.05.2025 11:00:00
Цех екстракції (Глобине)</t>
  </si>
  <si>
    <t>Обл. НДС
Решітковий настил KOZ 34*38/30*3/оц/1667*1000
Надходження товарів і послуг ІБ00-002640 від 30.05.2025 11:00:00
Цех екстракції (Глобине)</t>
  </si>
  <si>
    <t>Обл. НДС
Решітковий настил KOZ 34*38/30*3/оц/1670*1000
Надходження товарів і послуг ІБ00-002640 від 30.05.2025 11:00:00
Цех екстракції (Глобине)</t>
  </si>
  <si>
    <t>Обл. НДС
Решітковий настил KOZ 34*38/30*3/оц/1700*1000
Надходження товарів і послуг ІБ00-002640 від 30.05.2025 11:00:00
Цех екстракції (Глобине)</t>
  </si>
  <si>
    <t>Обл. НДС
Решітковий настил KOZ 34*38/30*3/оц/1700*1000
Надходження товарів і послуг ІБ00-002627 від 30.05.2025 11:00:00
Цех екстракції (Глобине)</t>
  </si>
  <si>
    <t>Обл. НДС
Решітковий настил KOZ 34*38/30*3/оц/1700*335
Надходження товарів і послуг ІБ00-002640 від 30.05.2025 11:00:00
Цех екстракції (Глобине)</t>
  </si>
  <si>
    <t>Обл. НДС
Решітковий настил KOZ 34*38/30*3/оц/1704*1000
Надходження товарів і послуг ІБ00-002640 від 30.05.2025 11:00:00
Цех екстракції (Глобине)</t>
  </si>
  <si>
    <t>Обл. НДС
Решітковий настил KOZ 34*38/30*3/оц/1708*1000
Надходження товарів і послуг ІБ00-002640 від 30.05.2025 11:00:00
Цех екстракції (Глобине)</t>
  </si>
  <si>
    <t>Обл. НДС
Решітковий настил KOZ 34*38/30*3/оц/1755*1013
Надходження товарів і послуг ІБ00-002640 від 30.05.2025 11:00:00
Цех екстракції (Глобине)</t>
  </si>
  <si>
    <t>Обл. НДС
Решітковий настил KOZ 34*38/30*3/оц/1814*1000
Надходження товарів і послуг ІБ00-002640 від 30.05.2025 11:00:00
Цех екстракції (Глобине)</t>
  </si>
  <si>
    <t>Обл. НДС
Решітковий настил KOZ 34*38/30*3/оц/1814*700
Надходження товарів і послуг ІБ00-002640 від 30.05.2025 11:00:00
Цех екстракції (Глобине)</t>
  </si>
  <si>
    <t>Обл. НДС
Решітковий настил KOZ 34*38/30*3/оц/1835*1000
Надходження товарів і послуг ІБ00-002640 від 30.05.2025 11:00:00
Цех екстракції (Глобине)</t>
  </si>
  <si>
    <t>Обл. НДС
Решітковий настил KOZ 34*38/30*3/оц/1850*1000
Надходження товарів і послуг ІБ00-002627 від 30.05.2025 11:00:00
Цех екстракції (Глобине)</t>
  </si>
  <si>
    <t>Обл. НДС
Решітковий настил KOZ 34*38/30*3/оц/1850*1150
Надходження товарів і послуг ІБ00-002627 від 30.05.2025 11:00:00
Цех екстракції (Глобине)</t>
  </si>
  <si>
    <t>Обл. НДС
Решітковий настил KOZ 34*38/30*3/оц/1850*1175
Надходження товарів і послуг ІБ00-002627 від 30.05.2025 11:00:00
Цех екстракції (Глобине)</t>
  </si>
  <si>
    <t>Обл. НДС
Решітковий настил KOZ 34*38/30*3/оц/1850*1185
Надходження товарів і послуг ІБ00-002627 від 30.05.2025 11:00:00
Цех екстракції (Глобине)</t>
  </si>
  <si>
    <t>Обл. НДС
Решітковий настил KOZ 34*38/30*3/оц/1850*850
Надходження товарів і послуг ІБ00-002627 від 30.05.2025 11:00:00
Цех екстракції (Глобине)</t>
  </si>
  <si>
    <t>Обл. НДС
Решітковий настил KOZ 34*38/30*3/оц/1853*1000
Надходження товарів і послуг ІБ00-002627 від 30.05.2025 11:00:00
Цех екстракції (Глобине)</t>
  </si>
  <si>
    <t>Обл. НДС
Решітковий настил KOZ 34*38/30*3/оц/1889*1000
Надходження товарів і послуг ІБ00-002627 від 30.05.2025 11:00:00
Цех екстракції (Глобине)</t>
  </si>
  <si>
    <t>Обл. НДС
Решітковий настил KOZ 34*38/30*3/оц/1895*1000
Надходження товарів і послуг ІБ00-002627 від 30.05.2025 11:00:00
Цех екстракції (Глобине)</t>
  </si>
  <si>
    <t>Обл. НДС
Решітковий настил KOZ 34*38/30*3/оц/1895*1175
Надходження товарів і послуг ІБ00-002627 від 30.05.2025 11:00:00
Цех екстракції (Глобине)</t>
  </si>
  <si>
    <t>Обл. НДС
Решітковий настил KOZ 34*38/30*3/оц/1895*1185
Надходження товарів і послуг ІБ00-002627 від 30.05.2025 11:00:00
Цех екстракції (Глобине)</t>
  </si>
  <si>
    <t>Обл. НДС
Решітковий настил KOZ 34*38/30*3/оц/1897*1000
Надходження товарів і послуг ІБ00-002627 від 30.05.2025 11:00:00
Цех екстракції (Глобине)</t>
  </si>
  <si>
    <t>Обл. НДС
Решітковий настил KOZ 34*38/30*3/оц/1897*1165
Надходження товарів і послуг ІБ00-002627 від 30.05.2025 11:00:00
Цех екстракції (Глобине)</t>
  </si>
  <si>
    <t>Обл. НДС
Решітковий настил KOZ 34*38/30*3/оц/1900*1000
Надходження товарів і послуг ІБ00-002627 від 30.05.2025 11:00:00
Цех екстракції (Глобине)</t>
  </si>
  <si>
    <t>Обл. НДС
Решітковий настил KOZ 34*38/30*3/оц/1900*1185
Надходження товарів і послуг ІБ00-002627 від 30.05.2025 11:00:00
Цех екстракції (Глобине)</t>
  </si>
  <si>
    <t>Обл. НДС
Решітковий настил KOZ 34*38/30*3/оц/1909*1000
Надходження товарів і послуг ІБ00-002627 від 30.05.2025 11:00:00
Цех екстракції (Глобине)</t>
  </si>
  <si>
    <t>Обл. НДС
Решітковий настил KOZ 34*38/30*3/оц/1950*1000
Надходження товарів і послуг ІБ00-002640 від 30.05.2025 11:00:00
Цех екстракції (Глобине)</t>
  </si>
  <si>
    <t>Обл. НДС
Решітковий настил KOZ 34*38/30*3/оц/1990*1000
Надходження товарів і послуг ІБ00-002627 від 30.05.2025 11:00:00
Цех екстракції (Глобине)</t>
  </si>
  <si>
    <t>Обл. НДС
Решітковий настил KOZ 34*38/30*3/оц/1990*1185
Надходження товарів і послуг ІБ00-002627 від 30.05.2025 11:00:00
Цех екстракції (Глобине)</t>
  </si>
  <si>
    <t>Обл. НДС
Решітковий настил KOZ 34*38/30*3/оц/1990*850
Надходження товарів і послуг ІБ00-002627 від 30.05.2025 11:00:00
Цех екстракції (Глобине)</t>
  </si>
  <si>
    <t>Обл. НДС
Решітковий настил KOZ 34*38/30*3/оц/1993*1000
Надходження товарів і послуг ІБ00-002627 від 30.05.2025 11:00:00
Цех екстракції (Глобине)</t>
  </si>
  <si>
    <t>Обл. НДС
Решітковий настил KOZ 34*38/30*3/оц/1993*1150
Надходження товарів і послуг ІБ00-002627 від 30.05.2025 11:00:00
Цех екстракції (Глобине)</t>
  </si>
  <si>
    <t>Обл. НДС
Решітковий настил KOZ 34*38/30*3/оц/2000*1000
Надходження товарів і послуг ІБ00-002640 від 30.05.2025 11:00:00
Цех екстракції (Глобине)</t>
  </si>
  <si>
    <t>Обл. НДС
Решітковий настил KOZ 34*38/30*3/оц/2000*730
Надходження товарів і послуг ІБ00-002640 від 30.05.2025 11:00:00
Цех екстракції (Глобине)</t>
  </si>
  <si>
    <t>Обл. НДС
Решітковий настил KOZ 34*38/30*3/оц/2000*802
Надходження товарів і послуг ІБ00-002640 від 30.05.2025 11:00:00
Цех екстракції (Глобине)</t>
  </si>
  <si>
    <t>Обл. НДС
Решітковий настил KOZ 34*38/30*3/оц/2032*1000
Надходження товарів і послуг ІБ00-002640 від 30.05.2025 11:00:00
Цех екстракції (Глобине)</t>
  </si>
  <si>
    <t>Обл. НДС
Решітковий настил KOZ 34*38/30*3/оц/2032*1185
Надходження товарів і послуг ІБ00-002640 від 30.05.2025 11:00:00
Цех екстракції (Глобине)</t>
  </si>
  <si>
    <t>Обл. НДС
Решітковий настил KOZ 34*38/30*3/оц/2055*1000
Надходження товарів і послуг ІБ00-002627 від 30.05.2025 11:00:00
Цех екстракції (Глобине)</t>
  </si>
  <si>
    <t>Обл. НДС
Решітковий настил KOZ 34*38/30*3/оц/2055*1222
Надходження товарів і послуг ІБ00-002627 від 30.05.2025 11:00:00
Цех екстракції (Глобине)</t>
  </si>
  <si>
    <t>Обл. НДС
Решітковий настил KOZ 34*38/30*3/оц/2100*1000
Надходження товарів і послуг ІБ00-002627 від 30.05.2025 11:00:00
Цех екстракції (Глобине)</t>
  </si>
  <si>
    <t>Обл. НДС
Решітковий настил KOZ 34*38/30*3/оц/2100*390
Надходження товарів і послуг ІБ00-002627 від 30.05.2025 11:00:00
Цех екстракції (Глобине)</t>
  </si>
  <si>
    <t>Обл. НДС
Решітковий настил KOZ 34*38/30*3/оц/2100*850
Надходження товарів і послуг ІБ00-002627 від 30.05.2025 11:00:00
Цех екстракції (Глобине)</t>
  </si>
  <si>
    <t>Обл. НДС
Решітковий настил KOZ 34*38/30*3/оц/2130*1083
Надходження товарів і послуг ІБ00-002627 від 30.05.2025 11:00:00
Цех екстракції (Глобине)</t>
  </si>
  <si>
    <t>Обл. НДС
Решітковий настил KOZ 34*38/30*3/оц/2180*1000
Надходження товарів і послуг ІБ00-002640 від 30.05.2025 11:00:00
Цех екстракції (Глобине)</t>
  </si>
  <si>
    <t>Обл. НДС
Решітковий настил KOZ 34*38/30*3/оц/2188*1252
Надходження товарів і послуг ІБ00-002640 від 30.05.2025 11:00:00
Цех екстракції (Глобине)</t>
  </si>
  <si>
    <t>Обл. НДС
Решітковий настил KOZ 34*38/30*3/оц/2188*1452
Надходження товарів і послуг ІБ00-002640 від 30.05.2025 11:00:00
Цех екстракції (Глобине)</t>
  </si>
  <si>
    <t>Обл. НДС
Решітковий настил KOZ 34*38/30*3/оц/2188*694
Надходження товарів і послуг ІБ00-002640 від 30.05.2025 11:00:00
Цех екстракції (Глобине)</t>
  </si>
  <si>
    <t>Обл. НДС
Решітковий настил KOZ 34*38/30*3/оц/2213*1000
Надходження товарів і послуг ІБ00-002640 від 30.05.2025 11:00:00
Цех екстракції (Глобине)</t>
  </si>
  <si>
    <t>Обл. НДС
Решітковий настил KOZ 34*38/30*3/оц/2250*1000
Надходження товарів і послуг ІБ00-002627 від 30.05.2025 11:00:00
Цех екстракції (Глобине)</t>
  </si>
  <si>
    <t>Обл. НДС
Решітковий настил KOZ 34*38/30*3/оц/2250*1150
Надходження товарів і послуг ІБ00-002627 від 30.05.2025 11:00:00
Цех екстракції (Глобине)</t>
  </si>
  <si>
    <t>Обл. НДС
Решітковий настил KOZ 34*38/30*3/оц/2250*1185
Надходження товарів і послуг ІБ00-002627 від 30.05.2025 11:00:00
Цех екстракції (Глобине)</t>
  </si>
  <si>
    <t>Обл. НДС
Решітковий настил KOZ 34*38/30*3/оц/2250*850
Надходження товарів і послуг ІБ00-002627 від 30.05.2025 11:00:00
Цех екстракції (Глобине)</t>
  </si>
  <si>
    <t>Обл. НДС
Решітковий настил KOZ 34*38/30*3/оц/2253*1000
Надходження товарів і послуг ІБ00-002627 від 30.05.2025 11:00:00
Цех екстракції (Глобине)</t>
  </si>
  <si>
    <t>Обл. НДС
Решітковий настил KOZ 34*38/30*3/оц/2253*1175
Надходження товарів і послуг ІБ00-002627 від 30.05.2025 11:00:00
Цех екстракції (Глобине)</t>
  </si>
  <si>
    <t>Обл. НДС
Решітковий настил KOZ 34*38/30*3/оц/2297*730
Надходження товарів і послуг ІБ00-002627 від 30.05.2025 11:00:00
Цех екстракції (Глобине)</t>
  </si>
  <si>
    <t>Обл. НДС
Решітковий настил KOZ 34*38/30*3/оц/2299*1000
Надходження товарів і послуг ІБ00-002640 від 30.05.2025 11:00:00
Цех екстракції (Глобине)</t>
  </si>
  <si>
    <t>Обл. НДС
Решітковий настил KOZ 34*38/30*3/оц/2300*1000
Надходження товарів і послуг ІБ00-002640 від 30.05.2025 11:00:00
Цех екстракції (Глобине)</t>
  </si>
  <si>
    <t>Обл. НДС
Решітковий настил KOZ 34*38/30*3/оц/2310*1000
Надходження товарів і послуг ІБ00-002627 від 30.05.2025 11:00:00
Цех екстракції (Глобине)</t>
  </si>
  <si>
    <t>Обл. НДС
Решітковий настил KOZ 34*38/30*3/оц/2310*1185
Надходження товарів і послуг ІБ00-002627 від 30.05.2025 11:00:00
Цех екстракції (Глобине)</t>
  </si>
  <si>
    <t>Обл. НДС
Решітковий настил KOZ 34*38/30*3/оц/2326*1000
Надходження товарів і послуг ІБ00-002627 від 30.05.2025 11:00:00
Цех екстракції (Глобине)</t>
  </si>
  <si>
    <t>Обл. НДС
Решітковий настил KOZ 34*38/30*3/оц/2350*1000
Надходження товарів і послуг ІБ00-002640 від 30.05.2025 11:00:00
Цех екстракції (Глобине)</t>
  </si>
  <si>
    <t>Обл. НДС
Решітковий настил KOZ 34*38/30*3/оц/2350*1150
Надходження товарів і послуг ІБ00-002640 від 30.05.2025 11:00:00
Цех екстракції (Глобине)</t>
  </si>
  <si>
    <t>Обл. НДС
Решітковий настил KOZ 34*38/30*3/оц/2350*500
Надходження товарів і послуг ІБ00-002640 від 30.05.2025 11:00:00
Цех екстракції (Глобине)</t>
  </si>
  <si>
    <t>Обл. НДС
Решітковий настил KOZ 34*38/30*3/оц/2410*1040
Надходження товарів і послуг ІБ00-002627 від 30.05.2025 11:00:00
Цех екстракції (Глобине)</t>
  </si>
  <si>
    <t>Обл. НДС
Решітковий настил KOZ 34*38/30*3/оц/2760*1000
Надходження товарів і послуг ІБ00-002627 від 30.05.2025 11:00:00
Цех екстракції (Глобине)</t>
  </si>
  <si>
    <t>Обл. НДС
Решітковий настил KOZ 34*38/30*3/оц/480*1000
Надходження товарів і послуг ІБ00-002640 від 30.05.2025 11:00:00
Цех екстракції (Глобине)</t>
  </si>
  <si>
    <t>Обл. НДС
Решітковий настил KOZ 34*38/30*3/оц/550*1000
Надходження товарів і послуг ІБ00-002640 від 30.05.2025 11:00:00
Цех екстракції (Глобине)</t>
  </si>
  <si>
    <t>Обл. НДС
Решітковий настил KOZ 34*38/30*3/оц/550*1350
Надходження товарів і послуг ІБ00-002640 від 30.05.2025 11:00:00
Цех екстракції (Глобине)</t>
  </si>
  <si>
    <t>Обл. НДС
Решітковий настил KOZ 34*38/30*3/оц/600*1330
Надходження товарів і послуг ІБ00-002627 від 30.05.2025 11:00:00
Цех екстракції (Глобине)</t>
  </si>
  <si>
    <t>Обл. НДС
Решітковий настил KOZ 34*38/30*3/оц/600*1500
Надходження товарів і послуг ІБ00-002627 від 30.05.2025 11:00:00
Цех екстракції (Глобине)</t>
  </si>
  <si>
    <t>Обл. НДС
Решітковий настил KOZ 34*38/30*3/оц/650*1000
Надходження товарів і послуг ІБ00-002627 від 30.05.2025 11:00:00
Цех екстракції (Глобине)</t>
  </si>
  <si>
    <t>Обл. НДС
Решітковий настил KOZ 34*38/30*3/оц/670*1000
Надходження товарів і послуг ІБ00-002640 від 30.05.2025 11:00:00
Цех екстракції (Глобине)</t>
  </si>
  <si>
    <t>Обл. НДС
Решітковий настил KOZ 34*38/30*3/оц/686*1000
Надходження товарів і послуг ІБ00-002640 від 30.05.2025 11:00:00
Цех екстракції (Глобине)</t>
  </si>
  <si>
    <t>Обл. НДС
Решітковий настил KOZ 34*38/30*3/оц/686*700
Надходження товарів і послуг ІБ00-002640 від 30.05.2025 11:00:00
Цех екстракції (Глобине)</t>
  </si>
  <si>
    <t>Обл. НДС
Решітковий настил KOZ 34*38/30*3/оц/700*1000
Надходження товарів і послуг ІБ00-002640 від 30.05.2025 11:00:00
Цех екстракції (Глобине)</t>
  </si>
  <si>
    <t>Обл. НДС
Решітковий настил KOZ 34*38/30*3/оц/710*1000
Надходження товарів і послуг ІБ00-002627 від 30.05.2025 11:00:00
Цех екстракції (Глобине)</t>
  </si>
  <si>
    <t>Обл. НДС
Решітковий настил KOZ 34*38/30*3/оц/710*1300
Надходження товарів і послуг ІБ00-002627 від 30.05.2025 11:00:00
Цех екстракції (Глобине)</t>
  </si>
  <si>
    <t>Обл. НДС
Решітковий настил KOZ 34*38/30*3/оц/742*1000
Надходження товарів і послуг ІБ00-002640 від 30.05.2025 11:00:00
Цех екстракції (Глобине)</t>
  </si>
  <si>
    <t>Обл. НДС
Решітковий настил KOZ 34*38/30*3/оц/750*505
Надходження товарів і послуг ІБ00-002627 від 30.05.2025 11:00:00
Цех екстракції (Глобине)</t>
  </si>
  <si>
    <t>Обл. НДС
Решітковий настил KOZ 34*38/30*3/оц/751*1535
Надходження товарів і послуг ІБ00-002627 від 30.05.2025 11:00:00
Цех екстракції (Глобине)</t>
  </si>
  <si>
    <t>Обл. НДС
Решітковий настил KOZ 34*38/30*3/оц/754*1000
Надходження товарів і послуг ІБ00-002640 від 30.05.2025 11:00:00
Цех екстракції (Глобине)</t>
  </si>
  <si>
    <t>Обл. НДС
Решітковий настил KOZ 34*38/30*3/оц/794*1000
Надходження товарів і послуг ІБ00-002627 від 30.05.2025 11:00:00
Цех екстракції (Глобине)</t>
  </si>
  <si>
    <t>Обл. НДС
Решітковий настил KOZ 34*38/30*3/оц/800*1000
Надходження товарів і послуг ІБ00-002640 від 30.05.2025 11:00:00
Цех екстракції (Глобине)</t>
  </si>
  <si>
    <t>Обл. НДС
Решітковий настил KOZ 34*38/30*3/оц/808*1000
Надходження товарів і послуг ІБ00-002640 від 30.05.2025 11:00:00
Цех екстракції (Глобине)</t>
  </si>
  <si>
    <t>Обл. НДС
Решітковий настил KOZ 34*38/30*3/оц/808*460
Надходження товарів і послуг ІБ00-002640 від 30.05.2025 11:00:00
Цех екстракції (Глобине)</t>
  </si>
  <si>
    <t>Обл. НДС
Решітковий настил KOZ 34*38/30*3/оц/808*540
Надходження товарів і послуг ІБ00-002640 від 30.05.2025 11:00:00
Цех екстракції (Глобине)</t>
  </si>
  <si>
    <t>Обл. НДС
Решітковий настил KOZ 34*38/30*3/оц/811*1000
Надходження товарів і послуг ІБ00-002627 від 30.05.2025 11:00:00
Цех екстракції (Глобине)</t>
  </si>
  <si>
    <t>Обл. НДС
Решітковий настил KOZ 34*38/30*3/оц/811*1175
Надходження товарів і послуг ІБ00-002627 від 30.05.2025 11:00:00
Цех екстракції (Глобине)</t>
  </si>
  <si>
    <t>Обл. НДС
Решітковий настил KOZ 34*38/30*3/оц/860*1000
Надходження товарів і послуг ІБ00-002640 від 30.05.2025 11:00:00
Цех екстракції (Глобине)</t>
  </si>
  <si>
    <t>Обл. НДС
Решітковий настил KOZ 34*38/30*3/оц/868*1550
Надходження товарів і послуг ІБ00-002640 від 30.05.2025 11:00:00
Цех екстракції (Глобине)</t>
  </si>
  <si>
    <t>Обл. НДС
Решітковий настил KOZ 34*38/30*3/оц/868*635
Надходження товарів і послуг ІБ00-002640 від 30.05.2025 11:00:00
Цех екстракції (Глобине)</t>
  </si>
  <si>
    <t>Обл. НДС
Решітковий настил KOZ 34*38/30*3/оц/880*1000
Надходження товарів і послуг ІБ00-002640 від 30.05.2025 11:00:00
Цех екстракції (Глобине)</t>
  </si>
  <si>
    <t>Обл. НДС
Решітковий настил KOZ 34*38/30*3/оц/880*1164
Надходження товарів і послуг ІБ00-002640 від 30.05.2025 11:00:00
Цех екстракції (Глобине)</t>
  </si>
  <si>
    <t>Обл. НДС
Решітковий настил KOZ 34*38/30*3/оц/880*1203
Надходження товарів і послуг ІБ00-002640 від 30.05.2025 11:00:00
Цех екстракції (Глобине)</t>
  </si>
  <si>
    <t>Обл. НДС
Решітковий настил KOZ 34*38/30*3/оц/880*516
Надходження товарів і послуг ІБ00-002640 від 30.05.2025 11:00:00
Цех екстракції (Глобине)</t>
  </si>
  <si>
    <t>Обл. НДС
Решітковий настил KOZ 34*38/30*3/оц/880*586
Надходження товарів і послуг ІБ00-002640 від 30.05.2025 11:00:00
Цех екстракції (Глобине)</t>
  </si>
  <si>
    <t>Обл. НДС
Решітковий настил KOZ 34*38/30*3/оц/880*632
Надходження товарів і послуг ІБ00-002640 від 30.05.2025 11:00:00
Цех екстракції (Глобине)</t>
  </si>
  <si>
    <t>Обл. НДС
Решітковий настил KOZ 34*38/30*3/оц/880*898
Надходження товарів і послуг ІБ00-002640 від 30.05.2025 11:00:00
Цех екстракції (Глобине)</t>
  </si>
  <si>
    <t>Обл. НДС
Решітковий настил KOZ 34*38/30*3/оц/900*404
Надходження товарів і послуг ІБ00-002640 від 30.05.2025 11:00:00
Цех екстракції (Глобине)</t>
  </si>
  <si>
    <t>Обл. НДС
Решітковий настил KOZ 34*38/30*3/оц/900*575
Надходження товарів і послуг ІБ00-002640 від 30.05.2025 11:00:00
Цех екстракції (Глобине)</t>
  </si>
  <si>
    <t>Обл. НДС
Решітковий настил KOZ 34*38/30*3/оц/900*595
Надходження товарів і послуг ІБ00-002640 від 30.05.2025 11:00:00
Цех екстракції (Глобине)</t>
  </si>
  <si>
    <t>Обл. НДС
Решітковий настил KOZ 34*38/30*3/оц/939*1040
Надходження товарів і послуг ІБ00-002627 від 30.05.2025 11:00:00
Цех екстракції (Глобине)</t>
  </si>
  <si>
    <t>Обл. НДС
Решітковий настил KOZ 34*38/30*3/оц/950*1000
Надходження товарів і послуг ІБ00-002627 від 30.05.2025 11:00:00
Цех екстракції (Глобине)</t>
  </si>
  <si>
    <t>Обл. НДС
Решітковий настил KOZ 34*38/30*3/оц/950*1040
Надходження товарів і послуг ІБ00-002627 від 30.05.2025 11:00:00
Цех екстракції (Глобине)</t>
  </si>
  <si>
    <t>Обл. НДС
Решітковий настил KOZ 34*38/30*3/оц/950*1350
Надходження товарів і послуг ІБ00-002640 від 30.05.2025 11:00:00
Цех екстракції (Глобине)</t>
  </si>
  <si>
    <t>Обл. НДС
Решітковий настил KOZ 34*38/30*3/оц/950*650
Надходження товарів і послуг ІБ00-002640 від 30.05.2025 11:00:00
Цех екстракції (Глобине)</t>
  </si>
  <si>
    <t>Обл. НДС
Решітковий настил KOZ 34*38/30*3/оц/951*1000
Надходження товарів і послуг ІБ00-002627 від 30.05.2025 11:00:00
Цех екстракції (Глобине)</t>
  </si>
  <si>
    <t>Обл. НДС
Решітковий настил KOZ 34*38/30*3/оц/970*1000
Надходження товарів і послуг ІБ00-002640 від 30.05.2025 11:00:00
Цех екстракції (Глобине)</t>
  </si>
  <si>
    <t>Обл. НДС
Решітковий настил KOZ 34*38/30*3/оц/970*435
Надходження товарів і послуг ІБ00-002640 від 30.05.2025 11:00:00
Цех екстракції (Глобине)</t>
  </si>
  <si>
    <t>Обл. НДС
Решітковий настил KOZ 34*38/30*3/оц/970*564
Надходження товарів і послуг ІБ00-002640 від 30.05.2025 11:00:00
Цех екстракції (Глобине)</t>
  </si>
  <si>
    <t>Обл. НДС
Решітковий настил KOZ 34*38/30*3/оц/970*740
Надходження товарів і послуг ІБ00-002640 від 30.05.2025 11:00:00
Цех екстракції (Глобине)</t>
  </si>
  <si>
    <t>Обл. НДС
Решітковий настил KOZ 34*38/30*3/оц/970*919
Надходження товарів і послуг ІБ00-002640 від 30.05.2025 11:00:00
Цех екстракції (Глобине)</t>
  </si>
  <si>
    <t>Обл. НДС
Решітковий настил KOZ 34*38/40*3/оц/ 1820*1000
Надходження товарів і послуг ІБ00-002640 від 30.05.2025 11:00:00
Цех екстракції (Глобине)</t>
  </si>
  <si>
    <t>Обл. НДС
Решітковий настил KOZ 34*38/40*3/оц/ 1820*1185
Надходження товарів і послуг ІБ00-002640 від 30.05.2025 11:00:00
Цех екстракції (Глобине)</t>
  </si>
  <si>
    <t>Обл. НДС
Решітковий настил KOZ 34*38/40*3/оц/ 2114*1000
Надходження товарів і послуг ІБ00-002640 від 30.05.2025 11:00:00
Цех екстракції (Глобине)</t>
  </si>
  <si>
    <t>Обл. НДС
Решітковий настил KOZ 34*38/40*3/оц/ 2467*1000
Надходження товарів і послуг ІБ00-002640 від 30.05.2025 11:00:00
Цех екстракції (Глобине)</t>
  </si>
  <si>
    <t>Обл. НДС
Решітковий настил KOZ 34*38/40*3/оц/ 480*1180
Надходження товарів і послуг ІБ00-002640 від 30.05.2025 11:00:00
Цех екстракції (Глобине)</t>
  </si>
  <si>
    <t>Обл. НДС
Решітковий настил KOZ 34*38/40*3/оц/ 895*1000
Надходження товарів і послуг ІБ00-002640 від 30.05.2025 11:00:00
Цех екстракції (Глобине)</t>
  </si>
  <si>
    <t>Обл. НДС
Решітковий настил KOZ/34x38/30x3 оц. /  1970X1000
Надходження товарів і послуг ІБ00-002640 від 30.05.2025 11:00:00
Цех екстракції (Глобине)</t>
  </si>
  <si>
    <t>Обл. НДС
Решітковий настил KOZ/34x38/30x3 оц. /  2015X1000
Надходження товарів і послуг ІБ00-002640 від 30.05.2025 11:00:00
Цех екстракції (Глобине)</t>
  </si>
  <si>
    <t>Обл. НДС
Решітковий настил KOZ/34x38/30x3 оц. /  2099X1000
Надходження товарів і послуг ІБ00-002627 від 30.05.2025 11:00:00
Цех екстракції (Глобине)</t>
  </si>
  <si>
    <t>Обл. НДС
Решітковий настил KOZ/34x38/30x3 оц. /  2099X1175
Надходження товарів і послуг ІБ00-002627 від 30.05.2025 11:00:00
Цех екстракції (Глобине)</t>
  </si>
  <si>
    <t>Обл. НДС
Решітковий настил KOZ/34x38/30x3 оц. /  2165X700
Надходження товарів і послуг ІБ00-002640 від 30.05.2025 11:00:00
Цех екстракції (Глобине)</t>
  </si>
  <si>
    <t>Обл. НДС
Решітковий настил KOZ/34x38/30x3 оц. /1054*1000
Надходження товарів і послуг ІБ00-002640 від 30.05.2025 11:00:00
Цех екстракції (Глобине)</t>
  </si>
  <si>
    <t>Обл. НДС
Решітковий настил KOZ/34x38/30x3 оц. /1596*1000
Надходження товарів і послуг ІБ00-002640 від 30.05.2025 11:00:00
Цех екстракції (Глобине)</t>
  </si>
  <si>
    <t>Обл. НДС
Решітковий настил KOZ/34x38/30x3 оц. /1985*1000
Надходження товарів і послуг ІБ00-002640 від 30.05.2025 11:00:00
Цех екстракції (Глобине)</t>
  </si>
  <si>
    <t>Обл. НДС
Решітковий настил KOZ/34x38/30x3 оц. /1985*1135
Надходження товарів і послуг ІБ00-002640 від 30.05.2025 11:00:00
Цех екстракції (Глобине)</t>
  </si>
  <si>
    <t>Обл. НДС
Решітковий настил KOZ/34x38/30x3 оц. /2030*1000
Надходження товарів і послуг ІБ00-002640 від 30.05.2025 11:00:00
Цех екстракції (Глобине)</t>
  </si>
  <si>
    <t>Обл. НДС
Решітковий настил KOZ/34x38/30x3 оц. /2185*1000
Надходження товарів і послуг ІБ00-002640 від 30.05.2025 11:00:00
Цех екстракції (Глобине)</t>
  </si>
  <si>
    <t>Обл. НДС
Решітковий настил KOZ/34x38/30x3 оц. /2186*1000
Надходження товарів і послуг ІБ00-002640 від 30.05.2025 11:00:00
Цех екстракції (Глобине)</t>
  </si>
  <si>
    <t>Обл. НДС
Решітковий настил KOZ/34x38/30x3 оц. /2186*1400
Надходження товарів і послуг ІБ00-002640 від 30.05.2025 11:00:00
Цех екстракції (Глобине)</t>
  </si>
  <si>
    <t>Обл. НДС
Решітковий настил KOZ/34x38/30x3 оц. /2186*700
Надходження товарів і послуг ІБ00-002640 від 30.05.2025 11:00:00
Цех екстракції (Глобине)</t>
  </si>
  <si>
    <t>Обл. НДС
Решітковий настил KOZ/34x38/30x3 оц. /947*1000
Надходження товарів і послуг ІБ00-002640 від 30.05.2025 11:00:00
Цех екстракції (Глобине)</t>
  </si>
  <si>
    <t>Обл. НДС
Кріплення стандартні
Надходження товарів і послуг ІБ00-002627 від 30.05.2025 11:00:00
Цех екстракції (Глобине)</t>
  </si>
  <si>
    <t>Обл. НДС
Кріплення стандартні
Надходження товарів і послуг ІБ00-002640 від 30.05.2025 11:00:00
Цех екстракції (Глобине)</t>
  </si>
  <si>
    <t>Надходження товарів і послуг ІБ00-003291 від 26.06.2025 11:00:00
Оприходованы ТМЦ (Зачет аванса поставщику)</t>
  </si>
  <si>
    <t>Обл. НДС
Суміш для анкерування СХ 15, 25 кг
Надходження товарів і послуг ІБ00-003291 від 26.06.2025 11:00:00
Цех екстракції (Глобине)</t>
  </si>
  <si>
    <t>В.Н.С. КОНТРАКТ ТОВ
Рахунки_Глобино-2
Рахунок на оплату постачальника ІБ00-002619 від 24.06.2025 17:58:33</t>
  </si>
  <si>
    <t>Надходження товарів і послуг ІБ00-003292 від 26.06.2025 11:00:00
Оприходованы ТМЦ (Зачет аванса поставщику)</t>
  </si>
  <si>
    <t>Обл. НДС
Суміш для анкерування СХ 15, 25 кг
Надходження товарів і послуг ІБ00-003292 від 26.06.2025 11:00:00
Цех екстракції (Глобине)</t>
  </si>
  <si>
    <t>В.Н.С. КОНТРАКТ ТОВ
Рахунки_Глобино-2
Рахунок на оплату постачальника ІБ00-002617 від 24.06.2025 17:58:31</t>
  </si>
  <si>
    <t>Надходження товарів і послуг ІБ00-003293 від 26.06.2025 11:00:00
Оприходованы ТМЦ (Зачет аванса поставщику)</t>
  </si>
  <si>
    <t>Обл. НДС
Суміш для анкерування СХ 15, 25 кг
Надходження товарів і послуг ІБ00-003293 від 26.06.2025 11:00:00
Цех екстракції (Глобине)</t>
  </si>
  <si>
    <t>В.Н.С. КОНТРАКТ ТОВ
Рахунки_Глобино-2
Рахунок на оплату постачальника ІБ00-002616 від 24.06.2025 17:58:30</t>
  </si>
  <si>
    <t>Надходження товарів і послуг ІБ00-003294 від 26.06.2025 11:00:00
Оприходованы ТМЦ (Зачет аванса поставщику)</t>
  </si>
  <si>
    <t>Обл. НДС
Суміш для анкерування СХ 15, 25 кг
Надходження товарів і послуг ІБ00-003294 від 26.06.2025 11:00:00
Цех екстракції (Глобине)</t>
  </si>
  <si>
    <t>В.Н.С. КОНТРАКТ ТОВ
Рахунки_Глобино-2
Рахунок на оплату постачальника ІБ00-002618 від 24.06.2025 17:58:32</t>
  </si>
  <si>
    <t>Надходження товарів і послуг ІБ00-003295 від 26.06.2025 11:00:00
Оприходованы ТМЦ (Зачет аванса поставщику)</t>
  </si>
  <si>
    <t>Обл. НДС
Суміш для анкерування СХ 15, 25 кг
Надходження товарів і послуг ІБ00-003295 від 26.06.2025 11:00:00
Цех екстракції (Глобине)</t>
  </si>
  <si>
    <t>В.Н.С. КОНТРАКТ ТОВ
Рахунки_Глобино-2
Рахунок на оплату постачальника ІБ00-002620 від 24.06.2025 17:58:34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</si>
</sst>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21"/>
      <name val="Arial"/>
      <family val="2"/>
      <charset val="204"/>
    </font>
    <font>
      <sz val="10"/>
      <color indexed="21"/>
      <name val="Arial"/>
      <family val="2"/>
      <charset val="204"/>
    </font>
    <font>
      <sz val="8"/>
      <name val="Arial"/>
      <family val="2"/>
      <charset val="204"/>
    </font>
    <font>
      <b/>
      <sz val="10"/>
      <color indexed="2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55">
    <xf numFmtId="0" fontId="0" fillId="0" borderId="0" xfId="0"/>
    <xf numFmtId="0" fontId="4" fillId="2" borderId="2" xfId="2" applyNumberFormat="1" applyFont="1" applyFill="1" applyBorder="1" applyAlignment="1">
      <alignment vertical="top"/>
    </xf>
    <xf numFmtId="0" fontId="4" fillId="2" borderId="3" xfId="2" applyNumberFormat="1" applyFont="1" applyFill="1" applyBorder="1" applyAlignment="1">
      <alignment vertical="top"/>
    </xf>
    <xf numFmtId="0" fontId="4" fillId="2" borderId="4" xfId="2" applyNumberFormat="1" applyFont="1" applyFill="1" applyBorder="1" applyAlignment="1">
      <alignment vertical="top"/>
    </xf>
    <xf numFmtId="0" fontId="4" fillId="2" borderId="3" xfId="2" applyNumberFormat="1" applyFont="1" applyFill="1" applyBorder="1" applyAlignment="1">
      <alignment horizontal="center" vertical="top"/>
    </xf>
    <xf numFmtId="0" fontId="4" fillId="2" borderId="5" xfId="2" applyNumberFormat="1" applyFont="1" applyFill="1" applyBorder="1" applyAlignment="1">
      <alignment horizontal="center" vertical="top"/>
    </xf>
    <xf numFmtId="0" fontId="4" fillId="2" borderId="6" xfId="2" applyNumberFormat="1" applyFont="1" applyFill="1" applyBorder="1" applyAlignment="1">
      <alignment vertical="top"/>
    </xf>
    <xf numFmtId="0" fontId="4" fillId="2" borderId="7" xfId="2" applyNumberFormat="1" applyFont="1" applyFill="1" applyBorder="1" applyAlignment="1">
      <alignment vertical="top"/>
    </xf>
    <xf numFmtId="0" fontId="4" fillId="2" borderId="8" xfId="2" applyNumberFormat="1" applyFont="1" applyFill="1" applyBorder="1" applyAlignment="1">
      <alignment vertical="top"/>
    </xf>
    <xf numFmtId="0" fontId="4" fillId="2" borderId="5" xfId="2" applyNumberFormat="1" applyFont="1" applyFill="1" applyBorder="1" applyAlignment="1">
      <alignment vertical="top"/>
    </xf>
    <xf numFmtId="0" fontId="4" fillId="2" borderId="9" xfId="2" applyNumberFormat="1" applyFont="1" applyFill="1" applyBorder="1" applyAlignment="1">
      <alignment vertical="top"/>
    </xf>
    <xf numFmtId="0" fontId="4" fillId="2" borderId="9" xfId="2" applyNumberFormat="1" applyFont="1" applyFill="1" applyBorder="1" applyAlignment="1">
      <alignment vertical="top"/>
    </xf>
    <xf numFmtId="0" fontId="4" fillId="2" borderId="10" xfId="2" applyNumberFormat="1" applyFont="1" applyFill="1" applyBorder="1" applyAlignment="1">
      <alignment vertical="top"/>
    </xf>
    <xf numFmtId="0" fontId="4" fillId="2" borderId="11" xfId="2" applyNumberFormat="1" applyFont="1" applyFill="1" applyBorder="1" applyAlignment="1">
      <alignment vertical="top"/>
    </xf>
    <xf numFmtId="0" fontId="5" fillId="0" borderId="1" xfId="2" applyNumberFormat="1" applyFont="1" applyBorder="1" applyAlignment="1">
      <alignment vertical="top"/>
    </xf>
    <xf numFmtId="0" fontId="5" fillId="0" borderId="1" xfId="2" applyNumberFormat="1" applyFont="1" applyBorder="1" applyAlignment="1">
      <alignment vertical="top" wrapText="1"/>
    </xf>
    <xf numFmtId="0" fontId="5" fillId="0" borderId="1" xfId="2" applyNumberFormat="1" applyFont="1" applyBorder="1" applyAlignment="1">
      <alignment horizontal="left" vertical="top"/>
    </xf>
    <xf numFmtId="4" fontId="5" fillId="0" borderId="1" xfId="2" applyNumberFormat="1" applyFont="1" applyBorder="1" applyAlignment="1">
      <alignment horizontal="right" vertical="top" wrapText="1"/>
    </xf>
    <xf numFmtId="0" fontId="5" fillId="0" borderId="13" xfId="2" applyNumberFormat="1" applyFont="1" applyBorder="1" applyAlignment="1">
      <alignment horizontal="right" vertical="top" wrapText="1"/>
    </xf>
    <xf numFmtId="0" fontId="5" fillId="0" borderId="12" xfId="2" applyNumberFormat="1" applyFont="1" applyBorder="1" applyAlignment="1">
      <alignment horizontal="center" vertical="top"/>
    </xf>
    <xf numFmtId="4" fontId="5" fillId="0" borderId="13" xfId="2" applyNumberFormat="1" applyFont="1" applyBorder="1" applyAlignment="1">
      <alignment horizontal="right" vertical="top" wrapText="1"/>
    </xf>
    <xf numFmtId="0" fontId="5" fillId="0" borderId="1" xfId="2" applyNumberFormat="1" applyFont="1" applyBorder="1" applyAlignment="1">
      <alignment horizontal="right" vertical="top" wrapText="1"/>
    </xf>
    <xf numFmtId="4" fontId="5" fillId="0" borderId="13" xfId="2" applyNumberFormat="1" applyFont="1" applyBorder="1" applyAlignment="1">
      <alignment horizontal="right" vertical="top" wrapText="1"/>
    </xf>
    <xf numFmtId="2" fontId="5" fillId="0" borderId="13" xfId="2" applyNumberFormat="1" applyFont="1" applyBorder="1" applyAlignment="1">
      <alignment horizontal="right" vertical="top" wrapText="1"/>
    </xf>
    <xf numFmtId="2" fontId="5" fillId="0" borderId="1" xfId="2" applyNumberFormat="1" applyFont="1" applyBorder="1" applyAlignment="1">
      <alignment horizontal="right" vertical="top" wrapText="1"/>
    </xf>
    <xf numFmtId="0" fontId="6" fillId="2" borderId="1" xfId="2" applyNumberFormat="1" applyFont="1" applyFill="1" applyBorder="1" applyAlignment="1">
      <alignment vertical="top"/>
    </xf>
    <xf numFmtId="4" fontId="6" fillId="2" borderId="1" xfId="2" applyNumberFormat="1" applyFont="1" applyFill="1" applyBorder="1" applyAlignment="1">
      <alignment horizontal="right" vertical="top" wrapText="1"/>
    </xf>
    <xf numFmtId="0" fontId="6" fillId="2" borderId="12" xfId="2" applyNumberFormat="1" applyFont="1" applyFill="1" applyBorder="1" applyAlignment="1">
      <alignment horizontal="center" vertical="top"/>
    </xf>
    <xf numFmtId="4" fontId="6" fillId="2" borderId="13" xfId="2" applyNumberFormat="1" applyFont="1" applyFill="1" applyBorder="1" applyAlignment="1">
      <alignment horizontal="right" vertical="top" wrapText="1"/>
    </xf>
    <xf numFmtId="0" fontId="4" fillId="2" borderId="2" xfId="3" applyNumberFormat="1" applyFont="1" applyFill="1" applyBorder="1" applyAlignment="1">
      <alignment vertical="top"/>
    </xf>
    <xf numFmtId="0" fontId="4" fillId="2" borderId="3" xfId="3" applyNumberFormat="1" applyFont="1" applyFill="1" applyBorder="1" applyAlignment="1">
      <alignment vertical="top"/>
    </xf>
    <xf numFmtId="0" fontId="4" fillId="2" borderId="4" xfId="3" applyNumberFormat="1" applyFont="1" applyFill="1" applyBorder="1" applyAlignment="1">
      <alignment vertical="top"/>
    </xf>
    <xf numFmtId="0" fontId="4" fillId="2" borderId="3" xfId="3" applyNumberFormat="1" applyFont="1" applyFill="1" applyBorder="1" applyAlignment="1">
      <alignment horizontal="center" vertical="top"/>
    </xf>
    <xf numFmtId="0" fontId="4" fillId="2" borderId="5" xfId="3" applyNumberFormat="1" applyFont="1" applyFill="1" applyBorder="1" applyAlignment="1">
      <alignment horizontal="center" vertical="top"/>
    </xf>
    <xf numFmtId="0" fontId="4" fillId="2" borderId="6" xfId="3" applyNumberFormat="1" applyFont="1" applyFill="1" applyBorder="1" applyAlignment="1">
      <alignment vertical="top"/>
    </xf>
    <xf numFmtId="0" fontId="4" fillId="2" borderId="7" xfId="3" applyNumberFormat="1" applyFont="1" applyFill="1" applyBorder="1" applyAlignment="1">
      <alignment vertical="top"/>
    </xf>
    <xf numFmtId="0" fontId="4" fillId="2" borderId="8" xfId="3" applyNumberFormat="1" applyFont="1" applyFill="1" applyBorder="1" applyAlignment="1">
      <alignment vertical="top"/>
    </xf>
    <xf numFmtId="0" fontId="4" fillId="2" borderId="5" xfId="3" applyNumberFormat="1" applyFont="1" applyFill="1" applyBorder="1" applyAlignment="1">
      <alignment vertical="top"/>
    </xf>
    <xf numFmtId="0" fontId="4" fillId="2" borderId="9" xfId="3" applyNumberFormat="1" applyFont="1" applyFill="1" applyBorder="1" applyAlignment="1">
      <alignment vertical="top"/>
    </xf>
    <xf numFmtId="0" fontId="4" fillId="2" borderId="9" xfId="3" applyNumberFormat="1" applyFont="1" applyFill="1" applyBorder="1" applyAlignment="1">
      <alignment vertical="top"/>
    </xf>
    <xf numFmtId="0" fontId="4" fillId="2" borderId="10" xfId="3" applyNumberFormat="1" applyFont="1" applyFill="1" applyBorder="1" applyAlignment="1">
      <alignment vertical="top"/>
    </xf>
    <xf numFmtId="0" fontId="4" fillId="2" borderId="11" xfId="3" applyNumberFormat="1" applyFont="1" applyFill="1" applyBorder="1" applyAlignment="1">
      <alignment vertical="top"/>
    </xf>
    <xf numFmtId="0" fontId="5" fillId="0" borderId="1" xfId="3" applyNumberFormat="1" applyFont="1" applyBorder="1" applyAlignment="1">
      <alignment vertical="top"/>
    </xf>
    <xf numFmtId="0" fontId="5" fillId="0" borderId="1" xfId="3" applyNumberFormat="1" applyFont="1" applyBorder="1" applyAlignment="1">
      <alignment vertical="top" wrapText="1"/>
    </xf>
    <xf numFmtId="0" fontId="5" fillId="0" borderId="1" xfId="3" applyNumberFormat="1" applyFont="1" applyBorder="1" applyAlignment="1">
      <alignment horizontal="left" vertical="top"/>
    </xf>
    <xf numFmtId="4" fontId="5" fillId="0" borderId="1" xfId="3" applyNumberFormat="1" applyFont="1" applyBorder="1" applyAlignment="1">
      <alignment horizontal="right" vertical="top" wrapText="1"/>
    </xf>
    <xf numFmtId="0" fontId="5" fillId="0" borderId="13" xfId="3" applyNumberFormat="1" applyFont="1" applyBorder="1" applyAlignment="1">
      <alignment horizontal="right" vertical="top" wrapText="1"/>
    </xf>
    <xf numFmtId="0" fontId="5" fillId="0" borderId="12" xfId="3" applyNumberFormat="1" applyFont="1" applyBorder="1" applyAlignment="1">
      <alignment horizontal="center" vertical="top"/>
    </xf>
    <xf numFmtId="4" fontId="5" fillId="0" borderId="13" xfId="3" applyNumberFormat="1" applyFont="1" applyBorder="1" applyAlignment="1">
      <alignment horizontal="right" vertical="top" wrapText="1"/>
    </xf>
    <xf numFmtId="2" fontId="5" fillId="0" borderId="1" xfId="3" applyNumberFormat="1" applyFont="1" applyBorder="1" applyAlignment="1">
      <alignment horizontal="right" vertical="top" wrapText="1"/>
    </xf>
    <xf numFmtId="0" fontId="5" fillId="0" borderId="1" xfId="3" applyNumberFormat="1" applyFont="1" applyBorder="1" applyAlignment="1">
      <alignment horizontal="right" vertical="top" wrapText="1"/>
    </xf>
    <xf numFmtId="4" fontId="5" fillId="0" borderId="13" xfId="3" applyNumberFormat="1" applyFont="1" applyBorder="1" applyAlignment="1">
      <alignment horizontal="right" vertical="top" wrapText="1"/>
    </xf>
    <xf numFmtId="2" fontId="5" fillId="0" borderId="13" xfId="3" applyNumberFormat="1" applyFont="1" applyBorder="1" applyAlignment="1">
      <alignment horizontal="right" vertical="top" wrapText="1"/>
    </xf>
    <xf numFmtId="0" fontId="5" fillId="0" borderId="13" xfId="3" applyNumberFormat="1" applyFont="1" applyBorder="1" applyAlignment="1">
      <alignment horizontal="right" vertical="top" wrapText="1"/>
    </xf>
    <xf numFmtId="0" fontId="6" fillId="2" borderId="1" xfId="3" applyNumberFormat="1" applyFont="1" applyFill="1" applyBorder="1" applyAlignment="1">
      <alignment vertical="top"/>
    </xf>
    <xf numFmtId="4" fontId="6" fillId="2" borderId="1" xfId="3" applyNumberFormat="1" applyFont="1" applyFill="1" applyBorder="1" applyAlignment="1">
      <alignment horizontal="right" vertical="top" wrapText="1"/>
    </xf>
    <xf numFmtId="0" fontId="6" fillId="2" borderId="12" xfId="3" applyNumberFormat="1" applyFont="1" applyFill="1" applyBorder="1" applyAlignment="1">
      <alignment horizontal="center" vertical="top"/>
    </xf>
    <xf numFmtId="2" fontId="6" fillId="2" borderId="13" xfId="3" applyNumberFormat="1" applyFont="1" applyFill="1" applyBorder="1" applyAlignment="1">
      <alignment horizontal="right" vertical="top" wrapText="1"/>
    </xf>
    <xf numFmtId="0" fontId="4" fillId="2" borderId="2" xfId="4" applyNumberFormat="1" applyFont="1" applyFill="1" applyBorder="1" applyAlignment="1">
      <alignment vertical="top"/>
    </xf>
    <xf numFmtId="0" fontId="4" fillId="2" borderId="3" xfId="4" applyNumberFormat="1" applyFont="1" applyFill="1" applyBorder="1" applyAlignment="1">
      <alignment vertical="top"/>
    </xf>
    <xf numFmtId="0" fontId="4" fillId="2" borderId="4" xfId="4" applyNumberFormat="1" applyFont="1" applyFill="1" applyBorder="1" applyAlignment="1">
      <alignment vertical="top"/>
    </xf>
    <xf numFmtId="0" fontId="4" fillId="2" borderId="3" xfId="4" applyNumberFormat="1" applyFont="1" applyFill="1" applyBorder="1" applyAlignment="1">
      <alignment horizontal="center" vertical="top"/>
    </xf>
    <xf numFmtId="0" fontId="4" fillId="2" borderId="5" xfId="4" applyNumberFormat="1" applyFont="1" applyFill="1" applyBorder="1" applyAlignment="1">
      <alignment horizontal="center" vertical="top"/>
    </xf>
    <xf numFmtId="0" fontId="4" fillId="2" borderId="6" xfId="4" applyNumberFormat="1" applyFont="1" applyFill="1" applyBorder="1" applyAlignment="1">
      <alignment vertical="top"/>
    </xf>
    <xf numFmtId="0" fontId="4" fillId="2" borderId="7" xfId="4" applyNumberFormat="1" applyFont="1" applyFill="1" applyBorder="1" applyAlignment="1">
      <alignment vertical="top"/>
    </xf>
    <xf numFmtId="0" fontId="4" fillId="2" borderId="8" xfId="4" applyNumberFormat="1" applyFont="1" applyFill="1" applyBorder="1" applyAlignment="1">
      <alignment vertical="top"/>
    </xf>
    <xf numFmtId="0" fontId="4" fillId="2" borderId="5" xfId="4" applyNumberFormat="1" applyFont="1" applyFill="1" applyBorder="1" applyAlignment="1">
      <alignment vertical="top"/>
    </xf>
    <xf numFmtId="0" fontId="4" fillId="2" borderId="9" xfId="4" applyNumberFormat="1" applyFont="1" applyFill="1" applyBorder="1" applyAlignment="1">
      <alignment vertical="top"/>
    </xf>
    <xf numFmtId="0" fontId="4" fillId="2" borderId="9" xfId="4" applyNumberFormat="1" applyFont="1" applyFill="1" applyBorder="1" applyAlignment="1">
      <alignment vertical="top"/>
    </xf>
    <xf numFmtId="0" fontId="4" fillId="2" borderId="10" xfId="4" applyNumberFormat="1" applyFont="1" applyFill="1" applyBorder="1" applyAlignment="1">
      <alignment vertical="top"/>
    </xf>
    <xf numFmtId="0" fontId="4" fillId="2" borderId="11" xfId="4" applyNumberFormat="1" applyFont="1" applyFill="1" applyBorder="1" applyAlignment="1">
      <alignment vertical="top"/>
    </xf>
    <xf numFmtId="0" fontId="5" fillId="0" borderId="1" xfId="4" applyNumberFormat="1" applyFont="1" applyBorder="1" applyAlignment="1">
      <alignment vertical="top"/>
    </xf>
    <xf numFmtId="0" fontId="5" fillId="0" borderId="1" xfId="4" applyNumberFormat="1" applyFont="1" applyBorder="1" applyAlignment="1">
      <alignment vertical="top" wrapText="1"/>
    </xf>
    <xf numFmtId="0" fontId="5" fillId="0" borderId="1" xfId="4" applyNumberFormat="1" applyFont="1" applyBorder="1" applyAlignment="1">
      <alignment horizontal="left" vertical="top"/>
    </xf>
    <xf numFmtId="0" fontId="5" fillId="0" borderId="1" xfId="4" applyNumberFormat="1" applyFont="1" applyBorder="1" applyAlignment="1">
      <alignment horizontal="right" vertical="top" wrapText="1"/>
    </xf>
    <xf numFmtId="4" fontId="5" fillId="0" borderId="13" xfId="4" applyNumberFormat="1" applyFont="1" applyBorder="1" applyAlignment="1">
      <alignment horizontal="right" vertical="top" wrapText="1"/>
    </xf>
    <xf numFmtId="0" fontId="5" fillId="0" borderId="12" xfId="4" applyNumberFormat="1" applyFont="1" applyBorder="1" applyAlignment="1">
      <alignment horizontal="center" vertical="top"/>
    </xf>
    <xf numFmtId="4" fontId="5" fillId="0" borderId="13" xfId="4" applyNumberFormat="1" applyFont="1" applyBorder="1" applyAlignment="1">
      <alignment horizontal="right" vertical="top" wrapText="1"/>
    </xf>
    <xf numFmtId="2" fontId="5" fillId="0" borderId="13" xfId="4" applyNumberFormat="1" applyFont="1" applyBorder="1" applyAlignment="1">
      <alignment horizontal="right" vertical="top" wrapText="1"/>
    </xf>
    <xf numFmtId="4" fontId="5" fillId="0" borderId="1" xfId="4" applyNumberFormat="1" applyFont="1" applyBorder="1" applyAlignment="1">
      <alignment horizontal="right" vertical="top" wrapText="1"/>
    </xf>
    <xf numFmtId="0" fontId="5" fillId="0" borderId="13" xfId="4" applyNumberFormat="1" applyFont="1" applyBorder="1" applyAlignment="1">
      <alignment horizontal="right" vertical="top" wrapText="1"/>
    </xf>
    <xf numFmtId="0" fontId="6" fillId="2" borderId="1" xfId="4" applyNumberFormat="1" applyFont="1" applyFill="1" applyBorder="1" applyAlignment="1">
      <alignment vertical="top"/>
    </xf>
    <xf numFmtId="4" fontId="6" fillId="2" borderId="1" xfId="4" applyNumberFormat="1" applyFont="1" applyFill="1" applyBorder="1" applyAlignment="1">
      <alignment horizontal="right" vertical="top" wrapText="1"/>
    </xf>
    <xf numFmtId="0" fontId="6" fillId="2" borderId="12" xfId="4" applyNumberFormat="1" applyFont="1" applyFill="1" applyBorder="1" applyAlignment="1">
      <alignment horizontal="center" vertical="top"/>
    </xf>
    <xf numFmtId="4" fontId="6" fillId="2" borderId="13" xfId="4" applyNumberFormat="1" applyFont="1" applyFill="1" applyBorder="1" applyAlignment="1">
      <alignment horizontal="right" vertical="top" wrapText="1"/>
    </xf>
    <xf numFmtId="0" fontId="4" fillId="2" borderId="2" xfId="5" applyNumberFormat="1" applyFont="1" applyFill="1" applyBorder="1" applyAlignment="1">
      <alignment vertical="top"/>
    </xf>
    <xf numFmtId="0" fontId="4" fillId="2" borderId="3" xfId="5" applyNumberFormat="1" applyFont="1" applyFill="1" applyBorder="1" applyAlignment="1">
      <alignment vertical="top"/>
    </xf>
    <xf numFmtId="0" fontId="4" fillId="2" borderId="4" xfId="5" applyNumberFormat="1" applyFont="1" applyFill="1" applyBorder="1" applyAlignment="1">
      <alignment vertical="top"/>
    </xf>
    <xf numFmtId="0" fontId="4" fillId="2" borderId="3" xfId="5" applyNumberFormat="1" applyFont="1" applyFill="1" applyBorder="1" applyAlignment="1">
      <alignment horizontal="center" vertical="top"/>
    </xf>
    <xf numFmtId="0" fontId="4" fillId="2" borderId="5" xfId="5" applyNumberFormat="1" applyFont="1" applyFill="1" applyBorder="1" applyAlignment="1">
      <alignment horizontal="center" vertical="top"/>
    </xf>
    <xf numFmtId="0" fontId="4" fillId="2" borderId="6" xfId="5" applyNumberFormat="1" applyFont="1" applyFill="1" applyBorder="1" applyAlignment="1">
      <alignment vertical="top"/>
    </xf>
    <xf numFmtId="0" fontId="4" fillId="2" borderId="7" xfId="5" applyNumberFormat="1" applyFont="1" applyFill="1" applyBorder="1" applyAlignment="1">
      <alignment vertical="top"/>
    </xf>
    <xf numFmtId="0" fontId="4" fillId="2" borderId="8" xfId="5" applyNumberFormat="1" applyFont="1" applyFill="1" applyBorder="1" applyAlignment="1">
      <alignment vertical="top"/>
    </xf>
    <xf numFmtId="0" fontId="4" fillId="2" borderId="5" xfId="5" applyNumberFormat="1" applyFont="1" applyFill="1" applyBorder="1" applyAlignment="1">
      <alignment vertical="top"/>
    </xf>
    <xf numFmtId="0" fontId="4" fillId="2" borderId="9" xfId="5" applyNumberFormat="1" applyFont="1" applyFill="1" applyBorder="1" applyAlignment="1">
      <alignment vertical="top"/>
    </xf>
    <xf numFmtId="0" fontId="4" fillId="2" borderId="9" xfId="5" applyNumberFormat="1" applyFont="1" applyFill="1" applyBorder="1" applyAlignment="1">
      <alignment vertical="top"/>
    </xf>
    <xf numFmtId="0" fontId="4" fillId="2" borderId="10" xfId="5" applyNumberFormat="1" applyFont="1" applyFill="1" applyBorder="1" applyAlignment="1">
      <alignment vertical="top"/>
    </xf>
    <xf numFmtId="0" fontId="4" fillId="2" borderId="11" xfId="5" applyNumberFormat="1" applyFont="1" applyFill="1" applyBorder="1" applyAlignment="1">
      <alignment vertical="top"/>
    </xf>
    <xf numFmtId="0" fontId="5" fillId="0" borderId="1" xfId="5" applyNumberFormat="1" applyFont="1" applyBorder="1" applyAlignment="1">
      <alignment vertical="top"/>
    </xf>
    <xf numFmtId="0" fontId="5" fillId="0" borderId="1" xfId="5" applyNumberFormat="1" applyFont="1" applyBorder="1" applyAlignment="1">
      <alignment vertical="top" wrapText="1"/>
    </xf>
    <xf numFmtId="0" fontId="5" fillId="0" borderId="1" xfId="5" applyNumberFormat="1" applyFont="1" applyBorder="1" applyAlignment="1">
      <alignment horizontal="left" vertical="top"/>
    </xf>
    <xf numFmtId="0" fontId="5" fillId="0" borderId="1" xfId="5" applyNumberFormat="1" applyFont="1" applyBorder="1" applyAlignment="1">
      <alignment horizontal="right" vertical="top" wrapText="1"/>
    </xf>
    <xf numFmtId="4" fontId="5" fillId="0" borderId="13" xfId="5" applyNumberFormat="1" applyFont="1" applyBorder="1" applyAlignment="1">
      <alignment horizontal="right" vertical="top" wrapText="1"/>
    </xf>
    <xf numFmtId="0" fontId="5" fillId="0" borderId="12" xfId="5" applyNumberFormat="1" applyFont="1" applyBorder="1" applyAlignment="1">
      <alignment horizontal="center" vertical="top"/>
    </xf>
    <xf numFmtId="4" fontId="5" fillId="0" borderId="13" xfId="5" applyNumberFormat="1" applyFont="1" applyBorder="1" applyAlignment="1">
      <alignment horizontal="right" vertical="top" wrapText="1"/>
    </xf>
    <xf numFmtId="0" fontId="6" fillId="2" borderId="1" xfId="5" applyNumberFormat="1" applyFont="1" applyFill="1" applyBorder="1" applyAlignment="1">
      <alignment vertical="top"/>
    </xf>
    <xf numFmtId="2" fontId="6" fillId="2" borderId="1" xfId="5" applyNumberFormat="1" applyFont="1" applyFill="1" applyBorder="1" applyAlignment="1">
      <alignment horizontal="right" vertical="top" wrapText="1"/>
    </xf>
    <xf numFmtId="4" fontId="6" fillId="2" borderId="1" xfId="5" applyNumberFormat="1" applyFont="1" applyFill="1" applyBorder="1" applyAlignment="1">
      <alignment horizontal="right" vertical="top" wrapText="1"/>
    </xf>
    <xf numFmtId="0" fontId="6" fillId="2" borderId="12" xfId="5" applyNumberFormat="1" applyFont="1" applyFill="1" applyBorder="1" applyAlignment="1">
      <alignment horizontal="center" vertical="top"/>
    </xf>
    <xf numFmtId="4" fontId="6" fillId="2" borderId="13" xfId="5" applyNumberFormat="1" applyFont="1" applyFill="1" applyBorder="1" applyAlignment="1">
      <alignment horizontal="right" vertical="top" wrapText="1"/>
    </xf>
    <xf numFmtId="0" fontId="4" fillId="2" borderId="2" xfId="6" applyNumberFormat="1" applyFont="1" applyFill="1" applyBorder="1" applyAlignment="1">
      <alignment vertical="top"/>
    </xf>
    <xf numFmtId="0" fontId="4" fillId="2" borderId="3" xfId="6" applyNumberFormat="1" applyFont="1" applyFill="1" applyBorder="1" applyAlignment="1">
      <alignment vertical="top"/>
    </xf>
    <xf numFmtId="0" fontId="4" fillId="2" borderId="4" xfId="6" applyNumberFormat="1" applyFont="1" applyFill="1" applyBorder="1" applyAlignment="1">
      <alignment vertical="top"/>
    </xf>
    <xf numFmtId="0" fontId="4" fillId="2" borderId="3" xfId="6" applyNumberFormat="1" applyFont="1" applyFill="1" applyBorder="1" applyAlignment="1">
      <alignment horizontal="center" vertical="top"/>
    </xf>
    <xf numFmtId="0" fontId="4" fillId="2" borderId="5" xfId="6" applyNumberFormat="1" applyFont="1" applyFill="1" applyBorder="1" applyAlignment="1">
      <alignment horizontal="center" vertical="top"/>
    </xf>
    <xf numFmtId="0" fontId="4" fillId="2" borderId="6" xfId="6" applyNumberFormat="1" applyFont="1" applyFill="1" applyBorder="1" applyAlignment="1">
      <alignment vertical="top"/>
    </xf>
    <xf numFmtId="0" fontId="4" fillId="2" borderId="7" xfId="6" applyNumberFormat="1" applyFont="1" applyFill="1" applyBorder="1" applyAlignment="1">
      <alignment vertical="top"/>
    </xf>
    <xf numFmtId="0" fontId="4" fillId="2" borderId="8" xfId="6" applyNumberFormat="1" applyFont="1" applyFill="1" applyBorder="1" applyAlignment="1">
      <alignment vertical="top"/>
    </xf>
    <xf numFmtId="0" fontId="4" fillId="2" borderId="5" xfId="6" applyNumberFormat="1" applyFont="1" applyFill="1" applyBorder="1" applyAlignment="1">
      <alignment vertical="top"/>
    </xf>
    <xf numFmtId="0" fontId="4" fillId="2" borderId="9" xfId="6" applyNumberFormat="1" applyFont="1" applyFill="1" applyBorder="1" applyAlignment="1">
      <alignment vertical="top"/>
    </xf>
    <xf numFmtId="0" fontId="4" fillId="2" borderId="9" xfId="6" applyNumberFormat="1" applyFont="1" applyFill="1" applyBorder="1" applyAlignment="1">
      <alignment vertical="top"/>
    </xf>
    <xf numFmtId="0" fontId="4" fillId="2" borderId="10" xfId="6" applyNumberFormat="1" applyFont="1" applyFill="1" applyBorder="1" applyAlignment="1">
      <alignment vertical="top"/>
    </xf>
    <xf numFmtId="0" fontId="4" fillId="2" borderId="11" xfId="6" applyNumberFormat="1" applyFont="1" applyFill="1" applyBorder="1" applyAlignment="1">
      <alignment vertical="top"/>
    </xf>
    <xf numFmtId="0" fontId="5" fillId="0" borderId="1" xfId="6" applyNumberFormat="1" applyFont="1" applyBorder="1" applyAlignment="1">
      <alignment vertical="top"/>
    </xf>
    <xf numFmtId="0" fontId="5" fillId="0" borderId="1" xfId="6" applyNumberFormat="1" applyFont="1" applyBorder="1" applyAlignment="1">
      <alignment vertical="top" wrapText="1"/>
    </xf>
    <xf numFmtId="0" fontId="5" fillId="0" borderId="1" xfId="6" applyNumberFormat="1" applyFont="1" applyBorder="1" applyAlignment="1">
      <alignment horizontal="left" vertical="top"/>
    </xf>
    <xf numFmtId="4" fontId="5" fillId="0" borderId="1" xfId="6" applyNumberFormat="1" applyFont="1" applyBorder="1" applyAlignment="1">
      <alignment horizontal="right" vertical="top" wrapText="1"/>
    </xf>
    <xf numFmtId="0" fontId="5" fillId="0" borderId="13" xfId="6" applyNumberFormat="1" applyFont="1" applyBorder="1" applyAlignment="1">
      <alignment horizontal="right" vertical="top" wrapText="1"/>
    </xf>
    <xf numFmtId="0" fontId="5" fillId="0" borderId="12" xfId="6" applyNumberFormat="1" applyFont="1" applyBorder="1" applyAlignment="1">
      <alignment horizontal="center" vertical="top"/>
    </xf>
    <xf numFmtId="4" fontId="5" fillId="0" borderId="13" xfId="6" applyNumberFormat="1" applyFont="1" applyBorder="1" applyAlignment="1">
      <alignment horizontal="right" vertical="top" wrapText="1"/>
    </xf>
    <xf numFmtId="0" fontId="5" fillId="0" borderId="1" xfId="6" applyNumberFormat="1" applyFont="1" applyBorder="1" applyAlignment="1">
      <alignment horizontal="right" vertical="top" wrapText="1"/>
    </xf>
    <xf numFmtId="4" fontId="5" fillId="0" borderId="13" xfId="6" applyNumberFormat="1" applyFont="1" applyBorder="1" applyAlignment="1">
      <alignment horizontal="right" vertical="top" wrapText="1"/>
    </xf>
    <xf numFmtId="2" fontId="5" fillId="0" borderId="1" xfId="6" applyNumberFormat="1" applyFont="1" applyBorder="1" applyAlignment="1">
      <alignment horizontal="right" vertical="top" wrapText="1"/>
    </xf>
    <xf numFmtId="2" fontId="5" fillId="0" borderId="13" xfId="6" applyNumberFormat="1" applyFont="1" applyBorder="1" applyAlignment="1">
      <alignment horizontal="right" vertical="top" wrapText="1"/>
    </xf>
    <xf numFmtId="0" fontId="6" fillId="2" borderId="1" xfId="6" applyNumberFormat="1" applyFont="1" applyFill="1" applyBorder="1" applyAlignment="1">
      <alignment vertical="top"/>
    </xf>
    <xf numFmtId="4" fontId="6" fillId="2" borderId="1" xfId="6" applyNumberFormat="1" applyFont="1" applyFill="1" applyBorder="1" applyAlignment="1">
      <alignment horizontal="right" vertical="top" wrapText="1"/>
    </xf>
    <xf numFmtId="0" fontId="6" fillId="2" borderId="12" xfId="6" applyNumberFormat="1" applyFont="1" applyFill="1" applyBorder="1" applyAlignment="1">
      <alignment horizontal="center" vertical="top"/>
    </xf>
    <xf numFmtId="4" fontId="6" fillId="2" borderId="13" xfId="6" applyNumberFormat="1" applyFont="1" applyFill="1" applyBorder="1" applyAlignment="1">
      <alignment horizontal="right" vertical="top" wrapText="1"/>
    </xf>
    <xf numFmtId="0" fontId="4" fillId="2" borderId="2" xfId="7" applyNumberFormat="1" applyFont="1" applyFill="1" applyBorder="1" applyAlignment="1">
      <alignment vertical="top"/>
    </xf>
    <xf numFmtId="0" fontId="4" fillId="2" borderId="3" xfId="7" applyNumberFormat="1" applyFont="1" applyFill="1" applyBorder="1" applyAlignment="1">
      <alignment vertical="top"/>
    </xf>
    <xf numFmtId="0" fontId="4" fillId="2" borderId="4" xfId="7" applyNumberFormat="1" applyFont="1" applyFill="1" applyBorder="1" applyAlignment="1">
      <alignment vertical="top"/>
    </xf>
    <xf numFmtId="0" fontId="4" fillId="2" borderId="3" xfId="7" applyNumberFormat="1" applyFont="1" applyFill="1" applyBorder="1" applyAlignment="1">
      <alignment horizontal="center" vertical="top"/>
    </xf>
    <xf numFmtId="0" fontId="4" fillId="2" borderId="5" xfId="7" applyNumberFormat="1" applyFont="1" applyFill="1" applyBorder="1" applyAlignment="1">
      <alignment horizontal="center" vertical="top"/>
    </xf>
    <xf numFmtId="0" fontId="4" fillId="2" borderId="6" xfId="7" applyNumberFormat="1" applyFont="1" applyFill="1" applyBorder="1" applyAlignment="1">
      <alignment vertical="top"/>
    </xf>
    <xf numFmtId="0" fontId="4" fillId="2" borderId="7" xfId="7" applyNumberFormat="1" applyFont="1" applyFill="1" applyBorder="1" applyAlignment="1">
      <alignment vertical="top"/>
    </xf>
    <xf numFmtId="0" fontId="4" fillId="2" borderId="8" xfId="7" applyNumberFormat="1" applyFont="1" applyFill="1" applyBorder="1" applyAlignment="1">
      <alignment vertical="top"/>
    </xf>
    <xf numFmtId="0" fontId="4" fillId="2" borderId="5" xfId="7" applyNumberFormat="1" applyFont="1" applyFill="1" applyBorder="1" applyAlignment="1">
      <alignment vertical="top"/>
    </xf>
    <xf numFmtId="0" fontId="4" fillId="2" borderId="9" xfId="7" applyNumberFormat="1" applyFont="1" applyFill="1" applyBorder="1" applyAlignment="1">
      <alignment vertical="top"/>
    </xf>
    <xf numFmtId="0" fontId="4" fillId="2" borderId="9" xfId="7" applyNumberFormat="1" applyFont="1" applyFill="1" applyBorder="1" applyAlignment="1">
      <alignment vertical="top"/>
    </xf>
    <xf numFmtId="0" fontId="4" fillId="2" borderId="10" xfId="7" applyNumberFormat="1" applyFont="1" applyFill="1" applyBorder="1" applyAlignment="1">
      <alignment vertical="top"/>
    </xf>
    <xf numFmtId="0" fontId="4" fillId="2" borderId="11" xfId="7" applyNumberFormat="1" applyFont="1" applyFill="1" applyBorder="1" applyAlignment="1">
      <alignment vertical="top"/>
    </xf>
    <xf numFmtId="0" fontId="5" fillId="0" borderId="1" xfId="7" applyNumberFormat="1" applyFont="1" applyBorder="1" applyAlignment="1">
      <alignment vertical="top"/>
    </xf>
    <xf numFmtId="0" fontId="5" fillId="0" borderId="1" xfId="7" applyNumberFormat="1" applyFont="1" applyBorder="1" applyAlignment="1">
      <alignment vertical="top" wrapText="1"/>
    </xf>
    <xf numFmtId="0" fontId="5" fillId="0" borderId="1" xfId="7" applyNumberFormat="1" applyFont="1" applyBorder="1" applyAlignment="1">
      <alignment horizontal="left" vertical="top"/>
    </xf>
    <xf numFmtId="4" fontId="5" fillId="0" borderId="1" xfId="7" applyNumberFormat="1" applyFont="1" applyBorder="1" applyAlignment="1">
      <alignment horizontal="right" vertical="top" wrapText="1"/>
    </xf>
    <xf numFmtId="0" fontId="5" fillId="0" borderId="13" xfId="7" applyNumberFormat="1" applyFont="1" applyBorder="1" applyAlignment="1">
      <alignment horizontal="right" vertical="top" wrapText="1"/>
    </xf>
    <xf numFmtId="0" fontId="5" fillId="0" borderId="12" xfId="7" applyNumberFormat="1" applyFont="1" applyBorder="1" applyAlignment="1">
      <alignment horizontal="center" vertical="top"/>
    </xf>
    <xf numFmtId="4" fontId="5" fillId="0" borderId="13" xfId="7" applyNumberFormat="1" applyFont="1" applyBorder="1" applyAlignment="1">
      <alignment horizontal="right" vertical="top" wrapText="1"/>
    </xf>
    <xf numFmtId="2" fontId="5" fillId="0" borderId="1" xfId="7" applyNumberFormat="1" applyFont="1" applyBorder="1" applyAlignment="1">
      <alignment horizontal="right" vertical="top" wrapText="1"/>
    </xf>
    <xf numFmtId="0" fontId="5" fillId="0" borderId="1" xfId="7" applyNumberFormat="1" applyFont="1" applyBorder="1" applyAlignment="1">
      <alignment horizontal="right" vertical="top" wrapText="1"/>
    </xf>
    <xf numFmtId="4" fontId="5" fillId="0" borderId="13" xfId="7" applyNumberFormat="1" applyFont="1" applyBorder="1" applyAlignment="1">
      <alignment horizontal="right" vertical="top" wrapText="1"/>
    </xf>
    <xf numFmtId="2" fontId="5" fillId="0" borderId="13" xfId="7" applyNumberFormat="1" applyFont="1" applyBorder="1" applyAlignment="1">
      <alignment horizontal="right" vertical="top" wrapText="1"/>
    </xf>
    <xf numFmtId="0" fontId="6" fillId="2" borderId="1" xfId="7" applyNumberFormat="1" applyFont="1" applyFill="1" applyBorder="1" applyAlignment="1">
      <alignment vertical="top"/>
    </xf>
    <xf numFmtId="4" fontId="6" fillId="2" borderId="1" xfId="7" applyNumberFormat="1" applyFont="1" applyFill="1" applyBorder="1" applyAlignment="1">
      <alignment horizontal="right" vertical="top" wrapText="1"/>
    </xf>
    <xf numFmtId="0" fontId="6" fillId="2" borderId="12" xfId="7" applyNumberFormat="1" applyFont="1" applyFill="1" applyBorder="1" applyAlignment="1">
      <alignment horizontal="center" vertical="top"/>
    </xf>
    <xf numFmtId="4" fontId="6" fillId="2" borderId="13" xfId="7" applyNumberFormat="1" applyFont="1" applyFill="1" applyBorder="1" applyAlignment="1">
      <alignment horizontal="right" vertical="top" wrapText="1"/>
    </xf>
    <xf numFmtId="0" fontId="4" fillId="2" borderId="2" xfId="8" applyNumberFormat="1" applyFont="1" applyFill="1" applyBorder="1" applyAlignment="1">
      <alignment vertical="top"/>
    </xf>
    <xf numFmtId="0" fontId="4" fillId="2" borderId="3" xfId="8" applyNumberFormat="1" applyFont="1" applyFill="1" applyBorder="1" applyAlignment="1">
      <alignment vertical="top"/>
    </xf>
    <xf numFmtId="0" fontId="4" fillId="2" borderId="4" xfId="8" applyNumberFormat="1" applyFont="1" applyFill="1" applyBorder="1" applyAlignment="1">
      <alignment vertical="top"/>
    </xf>
    <xf numFmtId="0" fontId="4" fillId="2" borderId="3" xfId="8" applyNumberFormat="1" applyFont="1" applyFill="1" applyBorder="1" applyAlignment="1">
      <alignment horizontal="center" vertical="top"/>
    </xf>
    <xf numFmtId="0" fontId="4" fillId="2" borderId="5" xfId="8" applyNumberFormat="1" applyFont="1" applyFill="1" applyBorder="1" applyAlignment="1">
      <alignment horizontal="center" vertical="top"/>
    </xf>
    <xf numFmtId="0" fontId="4" fillId="2" borderId="6" xfId="8" applyNumberFormat="1" applyFont="1" applyFill="1" applyBorder="1" applyAlignment="1">
      <alignment vertical="top"/>
    </xf>
    <xf numFmtId="0" fontId="4" fillId="2" borderId="7" xfId="8" applyNumberFormat="1" applyFont="1" applyFill="1" applyBorder="1" applyAlignment="1">
      <alignment vertical="top"/>
    </xf>
    <xf numFmtId="0" fontId="4" fillId="2" borderId="8" xfId="8" applyNumberFormat="1" applyFont="1" applyFill="1" applyBorder="1" applyAlignment="1">
      <alignment vertical="top"/>
    </xf>
    <xf numFmtId="0" fontId="4" fillId="2" borderId="5" xfId="8" applyNumberFormat="1" applyFont="1" applyFill="1" applyBorder="1" applyAlignment="1">
      <alignment vertical="top"/>
    </xf>
    <xf numFmtId="0" fontId="4" fillId="2" borderId="9" xfId="8" applyNumberFormat="1" applyFont="1" applyFill="1" applyBorder="1" applyAlignment="1">
      <alignment vertical="top"/>
    </xf>
    <xf numFmtId="0" fontId="4" fillId="2" borderId="9" xfId="8" applyNumberFormat="1" applyFont="1" applyFill="1" applyBorder="1" applyAlignment="1">
      <alignment vertical="top"/>
    </xf>
    <xf numFmtId="0" fontId="4" fillId="2" borderId="10" xfId="8" applyNumberFormat="1" applyFont="1" applyFill="1" applyBorder="1" applyAlignment="1">
      <alignment vertical="top"/>
    </xf>
    <xf numFmtId="0" fontId="4" fillId="2" borderId="11" xfId="8" applyNumberFormat="1" applyFont="1" applyFill="1" applyBorder="1" applyAlignment="1">
      <alignment vertical="top"/>
    </xf>
    <xf numFmtId="0" fontId="5" fillId="0" borderId="1" xfId="8" applyNumberFormat="1" applyFont="1" applyBorder="1" applyAlignment="1">
      <alignment vertical="top"/>
    </xf>
    <xf numFmtId="0" fontId="5" fillId="0" borderId="1" xfId="8" applyNumberFormat="1" applyFont="1" applyBorder="1" applyAlignment="1">
      <alignment vertical="top" wrapText="1"/>
    </xf>
    <xf numFmtId="0" fontId="5" fillId="0" borderId="1" xfId="8" applyNumberFormat="1" applyFont="1" applyBorder="1" applyAlignment="1">
      <alignment horizontal="left" vertical="top"/>
    </xf>
    <xf numFmtId="0" fontId="5" fillId="0" borderId="1" xfId="8" applyNumberFormat="1" applyFont="1" applyBorder="1" applyAlignment="1">
      <alignment horizontal="right" vertical="top" wrapText="1"/>
    </xf>
    <xf numFmtId="2" fontId="5" fillId="0" borderId="13" xfId="8" applyNumberFormat="1" applyFont="1" applyBorder="1" applyAlignment="1">
      <alignment horizontal="right" vertical="top" wrapText="1"/>
    </xf>
    <xf numFmtId="0" fontId="5" fillId="0" borderId="12" xfId="8" applyNumberFormat="1" applyFont="1" applyBorder="1" applyAlignment="1">
      <alignment horizontal="center" vertical="top"/>
    </xf>
    <xf numFmtId="4" fontId="5" fillId="0" borderId="13" xfId="8" applyNumberFormat="1" applyFont="1" applyBorder="1" applyAlignment="1">
      <alignment horizontal="right" vertical="top" wrapText="1"/>
    </xf>
    <xf numFmtId="0" fontId="6" fillId="2" borderId="1" xfId="8" applyNumberFormat="1" applyFont="1" applyFill="1" applyBorder="1" applyAlignment="1">
      <alignment vertical="top"/>
    </xf>
    <xf numFmtId="2" fontId="6" fillId="2" borderId="1" xfId="8" applyNumberFormat="1" applyFont="1" applyFill="1" applyBorder="1" applyAlignment="1">
      <alignment horizontal="right" vertical="top" wrapText="1"/>
    </xf>
    <xf numFmtId="0" fontId="6" fillId="2" borderId="12" xfId="8" applyNumberFormat="1" applyFont="1" applyFill="1" applyBorder="1" applyAlignment="1">
      <alignment horizontal="center" vertical="top"/>
    </xf>
    <xf numFmtId="4" fontId="6" fillId="2" borderId="13" xfId="8" applyNumberFormat="1" applyFont="1" applyFill="1" applyBorder="1" applyAlignment="1">
      <alignment horizontal="right" vertical="top" wrapText="1"/>
    </xf>
    <xf numFmtId="0" fontId="4" fillId="2" borderId="2" xfId="9" applyNumberFormat="1" applyFont="1" applyFill="1" applyBorder="1" applyAlignment="1">
      <alignment vertical="top"/>
    </xf>
    <xf numFmtId="0" fontId="4" fillId="2" borderId="3" xfId="9" applyNumberFormat="1" applyFont="1" applyFill="1" applyBorder="1" applyAlignment="1">
      <alignment vertical="top"/>
    </xf>
    <xf numFmtId="0" fontId="4" fillId="2" borderId="4" xfId="9" applyNumberFormat="1" applyFont="1" applyFill="1" applyBorder="1" applyAlignment="1">
      <alignment vertical="top"/>
    </xf>
    <xf numFmtId="0" fontId="4" fillId="2" borderId="3" xfId="9" applyNumberFormat="1" applyFont="1" applyFill="1" applyBorder="1" applyAlignment="1">
      <alignment horizontal="center" vertical="top"/>
    </xf>
    <xf numFmtId="0" fontId="4" fillId="2" borderId="5" xfId="9" applyNumberFormat="1" applyFont="1" applyFill="1" applyBorder="1" applyAlignment="1">
      <alignment horizontal="center" vertical="top"/>
    </xf>
    <xf numFmtId="0" fontId="4" fillId="2" borderId="6" xfId="9" applyNumberFormat="1" applyFont="1" applyFill="1" applyBorder="1" applyAlignment="1">
      <alignment vertical="top"/>
    </xf>
    <xf numFmtId="0" fontId="4" fillId="2" borderId="7" xfId="9" applyNumberFormat="1" applyFont="1" applyFill="1" applyBorder="1" applyAlignment="1">
      <alignment vertical="top"/>
    </xf>
    <xf numFmtId="0" fontId="4" fillId="2" borderId="8" xfId="9" applyNumberFormat="1" applyFont="1" applyFill="1" applyBorder="1" applyAlignment="1">
      <alignment vertical="top"/>
    </xf>
    <xf numFmtId="0" fontId="4" fillId="2" borderId="5" xfId="9" applyNumberFormat="1" applyFont="1" applyFill="1" applyBorder="1" applyAlignment="1">
      <alignment vertical="top"/>
    </xf>
    <xf numFmtId="0" fontId="4" fillId="2" borderId="9" xfId="9" applyNumberFormat="1" applyFont="1" applyFill="1" applyBorder="1" applyAlignment="1">
      <alignment vertical="top"/>
    </xf>
    <xf numFmtId="0" fontId="4" fillId="2" borderId="9" xfId="9" applyNumberFormat="1" applyFont="1" applyFill="1" applyBorder="1" applyAlignment="1">
      <alignment vertical="top"/>
    </xf>
    <xf numFmtId="0" fontId="4" fillId="2" borderId="10" xfId="9" applyNumberFormat="1" applyFont="1" applyFill="1" applyBorder="1" applyAlignment="1">
      <alignment vertical="top"/>
    </xf>
    <xf numFmtId="0" fontId="4" fillId="2" borderId="11" xfId="9" applyNumberFormat="1" applyFont="1" applyFill="1" applyBorder="1" applyAlignment="1">
      <alignment vertical="top"/>
    </xf>
    <xf numFmtId="0" fontId="5" fillId="0" borderId="1" xfId="9" applyNumberFormat="1" applyFont="1" applyBorder="1" applyAlignment="1">
      <alignment vertical="top"/>
    </xf>
    <xf numFmtId="0" fontId="5" fillId="0" borderId="1" xfId="9" applyNumberFormat="1" applyFont="1" applyBorder="1" applyAlignment="1">
      <alignment vertical="top" wrapText="1"/>
    </xf>
    <xf numFmtId="0" fontId="5" fillId="0" borderId="1" xfId="9" applyNumberFormat="1" applyFont="1" applyBorder="1" applyAlignment="1">
      <alignment horizontal="left" vertical="top"/>
    </xf>
    <xf numFmtId="4" fontId="5" fillId="0" borderId="1" xfId="9" applyNumberFormat="1" applyFont="1" applyBorder="1" applyAlignment="1">
      <alignment horizontal="right" vertical="top" wrapText="1"/>
    </xf>
    <xf numFmtId="0" fontId="5" fillId="0" borderId="13" xfId="9" applyNumberFormat="1" applyFont="1" applyBorder="1" applyAlignment="1">
      <alignment horizontal="right" vertical="top" wrapText="1"/>
    </xf>
    <xf numFmtId="0" fontId="5" fillId="0" borderId="12" xfId="9" applyNumberFormat="1" applyFont="1" applyBorder="1" applyAlignment="1">
      <alignment horizontal="center" vertical="top"/>
    </xf>
    <xf numFmtId="4" fontId="5" fillId="0" borderId="13" xfId="9" applyNumberFormat="1" applyFont="1" applyBorder="1" applyAlignment="1">
      <alignment horizontal="right" vertical="top" wrapText="1"/>
    </xf>
    <xf numFmtId="0" fontId="5" fillId="0" borderId="1" xfId="9" applyNumberFormat="1" applyFont="1" applyBorder="1" applyAlignment="1">
      <alignment horizontal="right" vertical="top" wrapText="1"/>
    </xf>
    <xf numFmtId="4" fontId="5" fillId="0" borderId="13" xfId="9" applyNumberFormat="1" applyFont="1" applyBorder="1" applyAlignment="1">
      <alignment horizontal="right" vertical="top" wrapText="1"/>
    </xf>
    <xf numFmtId="2" fontId="5" fillId="0" borderId="13" xfId="9" applyNumberFormat="1" applyFont="1" applyBorder="1" applyAlignment="1">
      <alignment horizontal="right" vertical="top" wrapText="1"/>
    </xf>
    <xf numFmtId="2" fontId="5" fillId="0" borderId="1" xfId="9" applyNumberFormat="1" applyFont="1" applyBorder="1" applyAlignment="1">
      <alignment horizontal="right" vertical="top" wrapText="1"/>
    </xf>
    <xf numFmtId="0" fontId="6" fillId="2" borderId="1" xfId="9" applyNumberFormat="1" applyFont="1" applyFill="1" applyBorder="1" applyAlignment="1">
      <alignment vertical="top"/>
    </xf>
    <xf numFmtId="4" fontId="6" fillId="2" borderId="1" xfId="9" applyNumberFormat="1" applyFont="1" applyFill="1" applyBorder="1" applyAlignment="1">
      <alignment horizontal="right" vertical="top" wrapText="1"/>
    </xf>
    <xf numFmtId="0" fontId="6" fillId="2" borderId="12" xfId="9" applyNumberFormat="1" applyFont="1" applyFill="1" applyBorder="1" applyAlignment="1">
      <alignment horizontal="center" vertical="top"/>
    </xf>
    <xf numFmtId="4" fontId="6" fillId="2" borderId="13" xfId="9" applyNumberFormat="1" applyFont="1" applyFill="1" applyBorder="1" applyAlignment="1">
      <alignment horizontal="right" vertical="top" wrapText="1"/>
    </xf>
    <xf numFmtId="0" fontId="4" fillId="2" borderId="2" xfId="10" applyNumberFormat="1" applyFont="1" applyFill="1" applyBorder="1" applyAlignment="1">
      <alignment vertical="top"/>
    </xf>
    <xf numFmtId="0" fontId="4" fillId="2" borderId="3" xfId="10" applyNumberFormat="1" applyFont="1" applyFill="1" applyBorder="1" applyAlignment="1">
      <alignment vertical="top"/>
    </xf>
    <xf numFmtId="0" fontId="4" fillId="2" borderId="4" xfId="10" applyNumberFormat="1" applyFont="1" applyFill="1" applyBorder="1" applyAlignment="1">
      <alignment vertical="top"/>
    </xf>
    <xf numFmtId="0" fontId="4" fillId="2" borderId="3" xfId="10" applyNumberFormat="1" applyFont="1" applyFill="1" applyBorder="1" applyAlignment="1">
      <alignment horizontal="center" vertical="top"/>
    </xf>
    <xf numFmtId="0" fontId="4" fillId="2" borderId="5" xfId="10" applyNumberFormat="1" applyFont="1" applyFill="1" applyBorder="1" applyAlignment="1">
      <alignment horizontal="center" vertical="top"/>
    </xf>
    <xf numFmtId="0" fontId="4" fillId="2" borderId="6" xfId="10" applyNumberFormat="1" applyFont="1" applyFill="1" applyBorder="1" applyAlignment="1">
      <alignment vertical="top"/>
    </xf>
    <xf numFmtId="0" fontId="4" fillId="2" borderId="7" xfId="10" applyNumberFormat="1" applyFont="1" applyFill="1" applyBorder="1" applyAlignment="1">
      <alignment vertical="top"/>
    </xf>
    <xf numFmtId="0" fontId="4" fillId="2" borderId="8" xfId="10" applyNumberFormat="1" applyFont="1" applyFill="1" applyBorder="1" applyAlignment="1">
      <alignment vertical="top"/>
    </xf>
    <xf numFmtId="0" fontId="4" fillId="2" borderId="5" xfId="10" applyNumberFormat="1" applyFont="1" applyFill="1" applyBorder="1" applyAlignment="1">
      <alignment vertical="top"/>
    </xf>
    <xf numFmtId="0" fontId="4" fillId="2" borderId="9" xfId="10" applyNumberFormat="1" applyFont="1" applyFill="1" applyBorder="1" applyAlignment="1">
      <alignment vertical="top"/>
    </xf>
    <xf numFmtId="0" fontId="4" fillId="2" borderId="9" xfId="10" applyNumberFormat="1" applyFont="1" applyFill="1" applyBorder="1" applyAlignment="1">
      <alignment vertical="top"/>
    </xf>
    <xf numFmtId="0" fontId="4" fillId="2" borderId="10" xfId="10" applyNumberFormat="1" applyFont="1" applyFill="1" applyBorder="1" applyAlignment="1">
      <alignment vertical="top"/>
    </xf>
    <xf numFmtId="0" fontId="4" fillId="2" borderId="11" xfId="10" applyNumberFormat="1" applyFont="1" applyFill="1" applyBorder="1" applyAlignment="1">
      <alignment vertical="top"/>
    </xf>
    <xf numFmtId="0" fontId="5" fillId="0" borderId="1" xfId="10" applyNumberFormat="1" applyFont="1" applyBorder="1" applyAlignment="1">
      <alignment vertical="top"/>
    </xf>
    <xf numFmtId="0" fontId="5" fillId="0" borderId="1" xfId="10" applyNumberFormat="1" applyFont="1" applyBorder="1" applyAlignment="1">
      <alignment vertical="top" wrapText="1"/>
    </xf>
    <xf numFmtId="0" fontId="5" fillId="0" borderId="1" xfId="10" applyNumberFormat="1" applyFont="1" applyBorder="1" applyAlignment="1">
      <alignment horizontal="left" vertical="top"/>
    </xf>
    <xf numFmtId="0" fontId="5" fillId="0" borderId="1" xfId="10" applyNumberFormat="1" applyFont="1" applyBorder="1" applyAlignment="1">
      <alignment horizontal="right" vertical="top" wrapText="1"/>
    </xf>
    <xf numFmtId="4" fontId="5" fillId="0" borderId="13" xfId="10" applyNumberFormat="1" applyFont="1" applyBorder="1" applyAlignment="1">
      <alignment horizontal="right" vertical="top" wrapText="1"/>
    </xf>
    <xf numFmtId="0" fontId="5" fillId="0" borderId="12" xfId="10" applyNumberFormat="1" applyFont="1" applyBorder="1" applyAlignment="1">
      <alignment horizontal="center" vertical="top"/>
    </xf>
    <xf numFmtId="4" fontId="5" fillId="0" borderId="13" xfId="10" applyNumberFormat="1" applyFont="1" applyBorder="1" applyAlignment="1">
      <alignment horizontal="right" vertical="top" wrapText="1"/>
    </xf>
    <xf numFmtId="4" fontId="5" fillId="0" borderId="1" xfId="10" applyNumberFormat="1" applyFont="1" applyBorder="1" applyAlignment="1">
      <alignment horizontal="right" vertical="top" wrapText="1"/>
    </xf>
    <xf numFmtId="0" fontId="5" fillId="0" borderId="13" xfId="10" applyNumberFormat="1" applyFont="1" applyBorder="1" applyAlignment="1">
      <alignment horizontal="right" vertical="top" wrapText="1"/>
    </xf>
    <xf numFmtId="0" fontId="6" fillId="2" borderId="1" xfId="10" applyNumberFormat="1" applyFont="1" applyFill="1" applyBorder="1" applyAlignment="1">
      <alignment vertical="top"/>
    </xf>
    <xf numFmtId="4" fontId="6" fillId="2" borderId="1" xfId="10" applyNumberFormat="1" applyFont="1" applyFill="1" applyBorder="1" applyAlignment="1">
      <alignment horizontal="right" vertical="top" wrapText="1"/>
    </xf>
    <xf numFmtId="0" fontId="6" fillId="2" borderId="12" xfId="10" applyNumberFormat="1" applyFont="1" applyFill="1" applyBorder="1" applyAlignment="1">
      <alignment horizontal="center" vertical="top"/>
    </xf>
    <xf numFmtId="4" fontId="6" fillId="2" borderId="13" xfId="10" applyNumberFormat="1" applyFont="1" applyFill="1" applyBorder="1" applyAlignment="1">
      <alignment horizontal="right" vertical="top" wrapText="1"/>
    </xf>
    <xf numFmtId="0" fontId="4" fillId="2" borderId="2" xfId="11" applyNumberFormat="1" applyFont="1" applyFill="1" applyBorder="1" applyAlignment="1">
      <alignment vertical="top"/>
    </xf>
    <xf numFmtId="0" fontId="4" fillId="2" borderId="3" xfId="11" applyNumberFormat="1" applyFont="1" applyFill="1" applyBorder="1" applyAlignment="1">
      <alignment vertical="top"/>
    </xf>
    <xf numFmtId="0" fontId="4" fillId="2" borderId="4" xfId="11" applyNumberFormat="1" applyFont="1" applyFill="1" applyBorder="1" applyAlignment="1">
      <alignment vertical="top"/>
    </xf>
    <xf numFmtId="0" fontId="4" fillId="2" borderId="3" xfId="11" applyNumberFormat="1" applyFont="1" applyFill="1" applyBorder="1" applyAlignment="1">
      <alignment horizontal="center" vertical="top"/>
    </xf>
    <xf numFmtId="0" fontId="4" fillId="2" borderId="5" xfId="11" applyNumberFormat="1" applyFont="1" applyFill="1" applyBorder="1" applyAlignment="1">
      <alignment horizontal="center" vertical="top"/>
    </xf>
    <xf numFmtId="0" fontId="4" fillId="2" borderId="6" xfId="11" applyNumberFormat="1" applyFont="1" applyFill="1" applyBorder="1" applyAlignment="1">
      <alignment vertical="top"/>
    </xf>
    <xf numFmtId="0" fontId="4" fillId="2" borderId="7" xfId="11" applyNumberFormat="1" applyFont="1" applyFill="1" applyBorder="1" applyAlignment="1">
      <alignment vertical="top"/>
    </xf>
    <xf numFmtId="0" fontId="4" fillId="2" borderId="8" xfId="11" applyNumberFormat="1" applyFont="1" applyFill="1" applyBorder="1" applyAlignment="1">
      <alignment vertical="top"/>
    </xf>
    <xf numFmtId="0" fontId="4" fillId="2" borderId="5" xfId="11" applyNumberFormat="1" applyFont="1" applyFill="1" applyBorder="1" applyAlignment="1">
      <alignment vertical="top"/>
    </xf>
    <xf numFmtId="0" fontId="4" fillId="2" borderId="9" xfId="11" applyNumberFormat="1" applyFont="1" applyFill="1" applyBorder="1" applyAlignment="1">
      <alignment vertical="top"/>
    </xf>
    <xf numFmtId="0" fontId="4" fillId="2" borderId="9" xfId="11" applyNumberFormat="1" applyFont="1" applyFill="1" applyBorder="1" applyAlignment="1">
      <alignment vertical="top"/>
    </xf>
    <xf numFmtId="0" fontId="4" fillId="2" borderId="10" xfId="11" applyNumberFormat="1" applyFont="1" applyFill="1" applyBorder="1" applyAlignment="1">
      <alignment vertical="top"/>
    </xf>
    <xf numFmtId="0" fontId="4" fillId="2" borderId="11" xfId="11" applyNumberFormat="1" applyFont="1" applyFill="1" applyBorder="1" applyAlignment="1">
      <alignment vertical="top"/>
    </xf>
    <xf numFmtId="0" fontId="5" fillId="0" borderId="1" xfId="11" applyNumberFormat="1" applyFont="1" applyBorder="1" applyAlignment="1">
      <alignment vertical="top"/>
    </xf>
    <xf numFmtId="0" fontId="5" fillId="0" borderId="1" xfId="11" applyNumberFormat="1" applyFont="1" applyBorder="1" applyAlignment="1">
      <alignment vertical="top" wrapText="1"/>
    </xf>
    <xf numFmtId="0" fontId="5" fillId="0" borderId="1" xfId="11" applyNumberFormat="1" applyFont="1" applyBorder="1" applyAlignment="1">
      <alignment horizontal="left" vertical="top"/>
    </xf>
    <xf numFmtId="4" fontId="5" fillId="0" borderId="1" xfId="11" applyNumberFormat="1" applyFont="1" applyBorder="1" applyAlignment="1">
      <alignment horizontal="right" vertical="top" wrapText="1"/>
    </xf>
    <xf numFmtId="0" fontId="5" fillId="0" borderId="13" xfId="11" applyNumberFormat="1" applyFont="1" applyBorder="1" applyAlignment="1">
      <alignment horizontal="right" vertical="top" wrapText="1"/>
    </xf>
    <xf numFmtId="0" fontId="5" fillId="0" borderId="12" xfId="11" applyNumberFormat="1" applyFont="1" applyBorder="1" applyAlignment="1">
      <alignment horizontal="center" vertical="top"/>
    </xf>
    <xf numFmtId="4" fontId="5" fillId="0" borderId="13" xfId="11" applyNumberFormat="1" applyFont="1" applyBorder="1" applyAlignment="1">
      <alignment horizontal="right" vertical="top" wrapText="1"/>
    </xf>
    <xf numFmtId="0" fontId="5" fillId="0" borderId="1" xfId="11" applyNumberFormat="1" applyFont="1" applyBorder="1" applyAlignment="1">
      <alignment horizontal="right" vertical="top" wrapText="1"/>
    </xf>
    <xf numFmtId="4" fontId="5" fillId="0" borderId="13" xfId="11" applyNumberFormat="1" applyFont="1" applyBorder="1" applyAlignment="1">
      <alignment horizontal="right" vertical="top" wrapText="1"/>
    </xf>
    <xf numFmtId="0" fontId="6" fillId="2" borderId="1" xfId="11" applyNumberFormat="1" applyFont="1" applyFill="1" applyBorder="1" applyAlignment="1">
      <alignment vertical="top"/>
    </xf>
    <xf numFmtId="4" fontId="6" fillId="2" borderId="1" xfId="11" applyNumberFormat="1" applyFont="1" applyFill="1" applyBorder="1" applyAlignment="1">
      <alignment horizontal="right" vertical="top" wrapText="1"/>
    </xf>
    <xf numFmtId="0" fontId="6" fillId="2" borderId="12" xfId="11" applyNumberFormat="1" applyFont="1" applyFill="1" applyBorder="1" applyAlignment="1">
      <alignment horizontal="center" vertical="top"/>
    </xf>
    <xf numFmtId="4" fontId="6" fillId="2" borderId="13" xfId="11" applyNumberFormat="1" applyFont="1" applyFill="1" applyBorder="1" applyAlignment="1">
      <alignment horizontal="right" vertical="top" wrapText="1"/>
    </xf>
    <xf numFmtId="0" fontId="4" fillId="2" borderId="2" xfId="12" applyNumberFormat="1" applyFont="1" applyFill="1" applyBorder="1" applyAlignment="1">
      <alignment vertical="top"/>
    </xf>
    <xf numFmtId="0" fontId="4" fillId="2" borderId="3" xfId="12" applyNumberFormat="1" applyFont="1" applyFill="1" applyBorder="1" applyAlignment="1">
      <alignment vertical="top"/>
    </xf>
    <xf numFmtId="0" fontId="4" fillId="2" borderId="4" xfId="12" applyNumberFormat="1" applyFont="1" applyFill="1" applyBorder="1" applyAlignment="1">
      <alignment vertical="top"/>
    </xf>
    <xf numFmtId="0" fontId="4" fillId="2" borderId="3" xfId="12" applyNumberFormat="1" applyFont="1" applyFill="1" applyBorder="1" applyAlignment="1">
      <alignment horizontal="center" vertical="top"/>
    </xf>
    <xf numFmtId="0" fontId="4" fillId="2" borderId="5" xfId="12" applyNumberFormat="1" applyFont="1" applyFill="1" applyBorder="1" applyAlignment="1">
      <alignment horizontal="center" vertical="top"/>
    </xf>
    <xf numFmtId="0" fontId="4" fillId="2" borderId="6" xfId="12" applyNumberFormat="1" applyFont="1" applyFill="1" applyBorder="1" applyAlignment="1">
      <alignment vertical="top"/>
    </xf>
    <xf numFmtId="0" fontId="4" fillId="2" borderId="7" xfId="12" applyNumberFormat="1" applyFont="1" applyFill="1" applyBorder="1" applyAlignment="1">
      <alignment vertical="top"/>
    </xf>
    <xf numFmtId="0" fontId="4" fillId="2" borderId="8" xfId="12" applyNumberFormat="1" applyFont="1" applyFill="1" applyBorder="1" applyAlignment="1">
      <alignment vertical="top"/>
    </xf>
    <xf numFmtId="0" fontId="4" fillId="2" borderId="5" xfId="12" applyNumberFormat="1" applyFont="1" applyFill="1" applyBorder="1" applyAlignment="1">
      <alignment vertical="top"/>
    </xf>
    <xf numFmtId="0" fontId="4" fillId="2" borderId="9" xfId="12" applyNumberFormat="1" applyFont="1" applyFill="1" applyBorder="1" applyAlignment="1">
      <alignment vertical="top"/>
    </xf>
    <xf numFmtId="0" fontId="4" fillId="2" borderId="9" xfId="12" applyNumberFormat="1" applyFont="1" applyFill="1" applyBorder="1" applyAlignment="1">
      <alignment vertical="top"/>
    </xf>
    <xf numFmtId="0" fontId="4" fillId="2" borderId="10" xfId="12" applyNumberFormat="1" applyFont="1" applyFill="1" applyBorder="1" applyAlignment="1">
      <alignment vertical="top"/>
    </xf>
    <xf numFmtId="0" fontId="4" fillId="2" borderId="11" xfId="12" applyNumberFormat="1" applyFont="1" applyFill="1" applyBorder="1" applyAlignment="1">
      <alignment vertical="top"/>
    </xf>
    <xf numFmtId="0" fontId="5" fillId="0" borderId="1" xfId="12" applyNumberFormat="1" applyFont="1" applyBorder="1" applyAlignment="1">
      <alignment vertical="top"/>
    </xf>
    <xf numFmtId="0" fontId="5" fillId="0" borderId="1" xfId="12" applyNumberFormat="1" applyFont="1" applyBorder="1" applyAlignment="1">
      <alignment vertical="top" wrapText="1"/>
    </xf>
    <xf numFmtId="0" fontId="5" fillId="0" borderId="1" xfId="12" applyNumberFormat="1" applyFont="1" applyBorder="1" applyAlignment="1">
      <alignment horizontal="left" vertical="top"/>
    </xf>
    <xf numFmtId="4" fontId="5" fillId="0" borderId="1" xfId="12" applyNumberFormat="1" applyFont="1" applyBorder="1" applyAlignment="1">
      <alignment horizontal="right" vertical="top" wrapText="1"/>
    </xf>
    <xf numFmtId="0" fontId="5" fillId="0" borderId="13" xfId="12" applyNumberFormat="1" applyFont="1" applyBorder="1" applyAlignment="1">
      <alignment horizontal="right" vertical="top" wrapText="1"/>
    </xf>
    <xf numFmtId="0" fontId="5" fillId="0" borderId="12" xfId="12" applyNumberFormat="1" applyFont="1" applyBorder="1" applyAlignment="1">
      <alignment horizontal="center" vertical="top"/>
    </xf>
    <xf numFmtId="4" fontId="5" fillId="0" borderId="13" xfId="12" applyNumberFormat="1" applyFont="1" applyBorder="1" applyAlignment="1">
      <alignment horizontal="right" vertical="top" wrapText="1"/>
    </xf>
    <xf numFmtId="0" fontId="5" fillId="0" borderId="1" xfId="12" applyNumberFormat="1" applyFont="1" applyBorder="1" applyAlignment="1">
      <alignment horizontal="right" vertical="top" wrapText="1"/>
    </xf>
    <xf numFmtId="4" fontId="5" fillId="0" borderId="13" xfId="12" applyNumberFormat="1" applyFont="1" applyBorder="1" applyAlignment="1">
      <alignment horizontal="right" vertical="top" wrapText="1"/>
    </xf>
    <xf numFmtId="2" fontId="5" fillId="0" borderId="1" xfId="12" applyNumberFormat="1" applyFont="1" applyBorder="1" applyAlignment="1">
      <alignment horizontal="right" vertical="top" wrapText="1"/>
    </xf>
    <xf numFmtId="2" fontId="5" fillId="0" borderId="13" xfId="12" applyNumberFormat="1" applyFont="1" applyBorder="1" applyAlignment="1">
      <alignment horizontal="right" vertical="top" wrapText="1"/>
    </xf>
    <xf numFmtId="0" fontId="6" fillId="2" borderId="1" xfId="12" applyNumberFormat="1" applyFont="1" applyFill="1" applyBorder="1" applyAlignment="1">
      <alignment vertical="top"/>
    </xf>
    <xf numFmtId="4" fontId="6" fillId="2" borderId="1" xfId="12" applyNumberFormat="1" applyFont="1" applyFill="1" applyBorder="1" applyAlignment="1">
      <alignment horizontal="right" vertical="top" wrapText="1"/>
    </xf>
    <xf numFmtId="0" fontId="6" fillId="2" borderId="12" xfId="12" applyNumberFormat="1" applyFont="1" applyFill="1" applyBorder="1" applyAlignment="1">
      <alignment horizontal="center" vertical="top"/>
    </xf>
    <xf numFmtId="4" fontId="6" fillId="2" borderId="13" xfId="12" applyNumberFormat="1" applyFont="1" applyFill="1" applyBorder="1" applyAlignment="1">
      <alignment horizontal="right" vertical="top" wrapText="1"/>
    </xf>
    <xf numFmtId="0" fontId="4" fillId="2" borderId="2" xfId="13" applyNumberFormat="1" applyFont="1" applyFill="1" applyBorder="1" applyAlignment="1">
      <alignment vertical="top"/>
    </xf>
    <xf numFmtId="0" fontId="4" fillId="2" borderId="3" xfId="13" applyNumberFormat="1" applyFont="1" applyFill="1" applyBorder="1" applyAlignment="1">
      <alignment vertical="top"/>
    </xf>
    <xf numFmtId="0" fontId="4" fillId="2" borderId="4" xfId="13" applyNumberFormat="1" applyFont="1" applyFill="1" applyBorder="1" applyAlignment="1">
      <alignment vertical="top"/>
    </xf>
    <xf numFmtId="0" fontId="4" fillId="2" borderId="3" xfId="13" applyNumberFormat="1" applyFont="1" applyFill="1" applyBorder="1" applyAlignment="1">
      <alignment horizontal="center" vertical="top"/>
    </xf>
    <xf numFmtId="0" fontId="4" fillId="2" borderId="5" xfId="13" applyNumberFormat="1" applyFont="1" applyFill="1" applyBorder="1" applyAlignment="1">
      <alignment horizontal="center" vertical="top"/>
    </xf>
    <xf numFmtId="0" fontId="4" fillId="2" borderId="6" xfId="13" applyNumberFormat="1" applyFont="1" applyFill="1" applyBorder="1" applyAlignment="1">
      <alignment vertical="top"/>
    </xf>
    <xf numFmtId="0" fontId="4" fillId="2" borderId="7" xfId="13" applyNumberFormat="1" applyFont="1" applyFill="1" applyBorder="1" applyAlignment="1">
      <alignment vertical="top"/>
    </xf>
    <xf numFmtId="0" fontId="4" fillId="2" borderId="8" xfId="13" applyNumberFormat="1" applyFont="1" applyFill="1" applyBorder="1" applyAlignment="1">
      <alignment vertical="top"/>
    </xf>
    <xf numFmtId="0" fontId="4" fillId="2" borderId="5" xfId="13" applyNumberFormat="1" applyFont="1" applyFill="1" applyBorder="1" applyAlignment="1">
      <alignment vertical="top"/>
    </xf>
    <xf numFmtId="0" fontId="4" fillId="2" borderId="9" xfId="13" applyNumberFormat="1" applyFont="1" applyFill="1" applyBorder="1" applyAlignment="1">
      <alignment vertical="top"/>
    </xf>
    <xf numFmtId="0" fontId="4" fillId="2" borderId="9" xfId="13" applyNumberFormat="1" applyFont="1" applyFill="1" applyBorder="1" applyAlignment="1">
      <alignment vertical="top"/>
    </xf>
    <xf numFmtId="0" fontId="4" fillId="2" borderId="10" xfId="13" applyNumberFormat="1" applyFont="1" applyFill="1" applyBorder="1" applyAlignment="1">
      <alignment vertical="top"/>
    </xf>
    <xf numFmtId="0" fontId="4" fillId="2" borderId="11" xfId="13" applyNumberFormat="1" applyFont="1" applyFill="1" applyBorder="1" applyAlignment="1">
      <alignment vertical="top"/>
    </xf>
    <xf numFmtId="0" fontId="5" fillId="0" borderId="1" xfId="13" applyNumberFormat="1" applyFont="1" applyBorder="1" applyAlignment="1">
      <alignment vertical="top"/>
    </xf>
    <xf numFmtId="0" fontId="5" fillId="0" borderId="1" xfId="13" applyNumberFormat="1" applyFont="1" applyBorder="1" applyAlignment="1">
      <alignment vertical="top" wrapText="1"/>
    </xf>
    <xf numFmtId="0" fontId="5" fillId="0" borderId="1" xfId="13" applyNumberFormat="1" applyFont="1" applyBorder="1" applyAlignment="1">
      <alignment horizontal="left" vertical="top"/>
    </xf>
    <xf numFmtId="0" fontId="5" fillId="0" borderId="1" xfId="13" applyNumberFormat="1" applyFont="1" applyBorder="1" applyAlignment="1">
      <alignment horizontal="right" vertical="top" wrapText="1"/>
    </xf>
    <xf numFmtId="4" fontId="5" fillId="0" borderId="13" xfId="13" applyNumberFormat="1" applyFont="1" applyBorder="1" applyAlignment="1">
      <alignment horizontal="right" vertical="top" wrapText="1"/>
    </xf>
    <xf numFmtId="0" fontId="5" fillId="0" borderId="12" xfId="13" applyNumberFormat="1" applyFont="1" applyBorder="1" applyAlignment="1">
      <alignment horizontal="center" vertical="top"/>
    </xf>
    <xf numFmtId="4" fontId="5" fillId="0" borderId="13" xfId="13" applyNumberFormat="1" applyFont="1" applyBorder="1" applyAlignment="1">
      <alignment horizontal="right" vertical="top" wrapText="1"/>
    </xf>
    <xf numFmtId="4" fontId="5" fillId="0" borderId="1" xfId="13" applyNumberFormat="1" applyFont="1" applyBorder="1" applyAlignment="1">
      <alignment horizontal="right" vertical="top" wrapText="1"/>
    </xf>
    <xf numFmtId="0" fontId="5" fillId="0" borderId="13" xfId="13" applyNumberFormat="1" applyFont="1" applyBorder="1" applyAlignment="1">
      <alignment horizontal="right" vertical="top" wrapText="1"/>
    </xf>
    <xf numFmtId="0" fontId="6" fillId="2" borderId="1" xfId="13" applyNumberFormat="1" applyFont="1" applyFill="1" applyBorder="1" applyAlignment="1">
      <alignment vertical="top"/>
    </xf>
    <xf numFmtId="4" fontId="6" fillId="2" borderId="1" xfId="13" applyNumberFormat="1" applyFont="1" applyFill="1" applyBorder="1" applyAlignment="1">
      <alignment horizontal="right" vertical="top" wrapText="1"/>
    </xf>
    <xf numFmtId="0" fontId="6" fillId="2" borderId="12" xfId="13" applyNumberFormat="1" applyFont="1" applyFill="1" applyBorder="1" applyAlignment="1">
      <alignment horizontal="center" vertical="top"/>
    </xf>
    <xf numFmtId="4" fontId="6" fillId="2" borderId="13" xfId="13" applyNumberFormat="1" applyFont="1" applyFill="1" applyBorder="1" applyAlignment="1">
      <alignment horizontal="right" vertical="top" wrapText="1"/>
    </xf>
    <xf numFmtId="0" fontId="4" fillId="2" borderId="2" xfId="14" applyNumberFormat="1" applyFont="1" applyFill="1" applyBorder="1" applyAlignment="1">
      <alignment vertical="top"/>
    </xf>
    <xf numFmtId="0" fontId="4" fillId="2" borderId="3" xfId="14" applyNumberFormat="1" applyFont="1" applyFill="1" applyBorder="1" applyAlignment="1">
      <alignment vertical="top"/>
    </xf>
    <xf numFmtId="0" fontId="4" fillId="2" borderId="4" xfId="14" applyNumberFormat="1" applyFont="1" applyFill="1" applyBorder="1" applyAlignment="1">
      <alignment vertical="top"/>
    </xf>
    <xf numFmtId="0" fontId="4" fillId="2" borderId="3" xfId="14" applyNumberFormat="1" applyFont="1" applyFill="1" applyBorder="1" applyAlignment="1">
      <alignment horizontal="center" vertical="top"/>
    </xf>
    <xf numFmtId="0" fontId="4" fillId="2" borderId="5" xfId="14" applyNumberFormat="1" applyFont="1" applyFill="1" applyBorder="1" applyAlignment="1">
      <alignment horizontal="center" vertical="top"/>
    </xf>
    <xf numFmtId="0" fontId="4" fillId="2" borderId="6" xfId="14" applyNumberFormat="1" applyFont="1" applyFill="1" applyBorder="1" applyAlignment="1">
      <alignment vertical="top"/>
    </xf>
    <xf numFmtId="0" fontId="4" fillId="2" borderId="7" xfId="14" applyNumberFormat="1" applyFont="1" applyFill="1" applyBorder="1" applyAlignment="1">
      <alignment vertical="top"/>
    </xf>
    <xf numFmtId="0" fontId="4" fillId="2" borderId="8" xfId="14" applyNumberFormat="1" applyFont="1" applyFill="1" applyBorder="1" applyAlignment="1">
      <alignment vertical="top"/>
    </xf>
    <xf numFmtId="0" fontId="4" fillId="2" borderId="5" xfId="14" applyNumberFormat="1" applyFont="1" applyFill="1" applyBorder="1" applyAlignment="1">
      <alignment vertical="top"/>
    </xf>
    <xf numFmtId="0" fontId="4" fillId="2" borderId="9" xfId="14" applyNumberFormat="1" applyFont="1" applyFill="1" applyBorder="1" applyAlignment="1">
      <alignment vertical="top"/>
    </xf>
    <xf numFmtId="0" fontId="4" fillId="2" borderId="9" xfId="14" applyNumberFormat="1" applyFont="1" applyFill="1" applyBorder="1" applyAlignment="1">
      <alignment vertical="top"/>
    </xf>
    <xf numFmtId="0" fontId="4" fillId="2" borderId="10" xfId="14" applyNumberFormat="1" applyFont="1" applyFill="1" applyBorder="1" applyAlignment="1">
      <alignment vertical="top"/>
    </xf>
    <xf numFmtId="0" fontId="4" fillId="2" borderId="11" xfId="14" applyNumberFormat="1" applyFont="1" applyFill="1" applyBorder="1" applyAlignment="1">
      <alignment vertical="top"/>
    </xf>
    <xf numFmtId="0" fontId="5" fillId="0" borderId="1" xfId="14" applyNumberFormat="1" applyFont="1" applyBorder="1" applyAlignment="1">
      <alignment vertical="top"/>
    </xf>
    <xf numFmtId="0" fontId="5" fillId="0" borderId="1" xfId="14" applyNumberFormat="1" applyFont="1" applyBorder="1" applyAlignment="1">
      <alignment vertical="top" wrapText="1"/>
    </xf>
    <xf numFmtId="0" fontId="5" fillId="0" borderId="1" xfId="14" applyNumberFormat="1" applyFont="1" applyBorder="1" applyAlignment="1">
      <alignment horizontal="left" vertical="top"/>
    </xf>
    <xf numFmtId="4" fontId="5" fillId="0" borderId="1" xfId="14" applyNumberFormat="1" applyFont="1" applyBorder="1" applyAlignment="1">
      <alignment horizontal="right" vertical="top" wrapText="1"/>
    </xf>
    <xf numFmtId="0" fontId="5" fillId="0" borderId="13" xfId="14" applyNumberFormat="1" applyFont="1" applyBorder="1" applyAlignment="1">
      <alignment horizontal="right" vertical="top" wrapText="1"/>
    </xf>
    <xf numFmtId="0" fontId="5" fillId="0" borderId="12" xfId="14" applyNumberFormat="1" applyFont="1" applyBorder="1" applyAlignment="1">
      <alignment horizontal="center" vertical="top"/>
    </xf>
    <xf numFmtId="4" fontId="5" fillId="0" borderId="13" xfId="14" applyNumberFormat="1" applyFont="1" applyBorder="1" applyAlignment="1">
      <alignment horizontal="right" vertical="top" wrapText="1"/>
    </xf>
    <xf numFmtId="0" fontId="5" fillId="0" borderId="1" xfId="14" applyNumberFormat="1" applyFont="1" applyBorder="1" applyAlignment="1">
      <alignment horizontal="right" vertical="top" wrapText="1"/>
    </xf>
    <xf numFmtId="4" fontId="5" fillId="0" borderId="13" xfId="14" applyNumberFormat="1" applyFont="1" applyBorder="1" applyAlignment="1">
      <alignment horizontal="right" vertical="top" wrapText="1"/>
    </xf>
    <xf numFmtId="2" fontId="5" fillId="0" borderId="13" xfId="14" applyNumberFormat="1" applyFont="1" applyBorder="1" applyAlignment="1">
      <alignment horizontal="right" vertical="top" wrapText="1"/>
    </xf>
    <xf numFmtId="0" fontId="6" fillId="2" borderId="1" xfId="14" applyNumberFormat="1" applyFont="1" applyFill="1" applyBorder="1" applyAlignment="1">
      <alignment vertical="top"/>
    </xf>
    <xf numFmtId="4" fontId="6" fillId="2" borderId="1" xfId="14" applyNumberFormat="1" applyFont="1" applyFill="1" applyBorder="1" applyAlignment="1">
      <alignment horizontal="right" vertical="top" wrapText="1"/>
    </xf>
    <xf numFmtId="0" fontId="6" fillId="2" borderId="12" xfId="14" applyNumberFormat="1" applyFont="1" applyFill="1" applyBorder="1" applyAlignment="1">
      <alignment horizontal="center" vertical="top"/>
    </xf>
    <xf numFmtId="4" fontId="6" fillId="2" borderId="13" xfId="14" applyNumberFormat="1" applyFont="1" applyFill="1" applyBorder="1" applyAlignment="1">
      <alignment horizontal="right" vertical="top" wrapText="1"/>
    </xf>
    <xf numFmtId="4" fontId="0" fillId="0" borderId="0" xfId="0" applyNumberFormat="1"/>
    <xf numFmtId="0" fontId="3" fillId="2" borderId="14" xfId="1" applyNumberFormat="1" applyFont="1" applyFill="1" applyBorder="1" applyAlignment="1">
      <alignment vertical="top" wrapText="1" indent="1"/>
    </xf>
    <xf numFmtId="4" fontId="0" fillId="0" borderId="14" xfId="0" applyNumberFormat="1" applyBorder="1"/>
    <xf numFmtId="4" fontId="1" fillId="0" borderId="14" xfId="0" applyNumberFormat="1" applyFont="1" applyBorder="1"/>
  </cellXfs>
  <cellStyles count="15">
    <cellStyle name="Обычный" xfId="0" builtinId="0"/>
    <cellStyle name="Обычный_Sheet1" xfId="1" xr:uid="{EC03FA7C-82CF-4A80-84DE-D907A4FF0FEB}"/>
    <cellStyle name="Обычный_АПК" xfId="2" xr:uid="{35B9F2AE-D2AC-4731-892B-219CCE35D62D}"/>
    <cellStyle name="Обычный_в бігбегах" xfId="10" xr:uid="{A723DDED-E578-4AB4-B585-4B5C0465A5C3}"/>
    <cellStyle name="Обычный_Генплан благоустрій" xfId="3" xr:uid="{87B95558-17A7-4848-B59A-D5E776CDF9AB}"/>
    <cellStyle name="Обычный_Генплан дорога СПК" xfId="4" xr:uid="{86783915-B6AD-4DF6-A22D-C215B764ACD7}"/>
    <cellStyle name="Обычный_Генплан підпірна стінка" xfId="5" xr:uid="{59E7B053-AB60-4835-BACB-D46ADB08669D}"/>
    <cellStyle name="Обычный_Глобине-2" xfId="6" xr:uid="{CD004D90-6B1C-4AA9-A64C-526B9AF09F08}"/>
    <cellStyle name="Обычный_зберігання розчинника" xfId="11" xr:uid="{9F2F0DFF-B04C-42D8-AA8A-8E1E98E484E8}"/>
    <cellStyle name="Обычный_Котельна" xfId="7" xr:uid="{BC370807-7700-4040-BA0F-21FB9371566E}"/>
    <cellStyle name="Обычный_Насосна Градирня" xfId="8" xr:uid="{14811A40-54FF-4DD8-9AC9-ABB71DCB8FBC}"/>
    <cellStyle name="Обычный_Пожежений резервуар" xfId="9" xr:uid="{9DFCB082-0613-4F94-8197-ADFB58DAF631}"/>
    <cellStyle name="Обычный_СПК" xfId="12" xr:uid="{93D9B1AB-7630-4A84-B69F-D11FA74B0AB6}"/>
    <cellStyle name="Обычный_Транспортна галерея" xfId="13" xr:uid="{F1073B5F-22D2-4DE1-B323-E190CAA40EF6}"/>
    <cellStyle name="Обычный_Цех екстракції" xfId="14" xr:uid="{954214B4-8D2E-4008-9091-E2F209D17F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5"/>
  <sheetViews>
    <sheetView tabSelected="1" workbookViewId="0">
      <selection activeCell="C17" sqref="C17"/>
    </sheetView>
  </sheetViews>
  <sheetFormatPr defaultRowHeight="14.4" x14ac:dyDescent="0.3"/>
  <cols>
    <col min="1" max="1" width="3.21875" customWidth="1"/>
    <col min="2" max="2" width="37.21875" bestFit="1" customWidth="1"/>
    <col min="3" max="3" width="18.109375" style="351" customWidth="1"/>
  </cols>
  <sheetData>
    <row r="2" spans="2:3" x14ac:dyDescent="0.3">
      <c r="B2" s="352" t="s">
        <v>0</v>
      </c>
      <c r="C2" s="353">
        <f>АПК!J71*1.2</f>
        <v>644252.89199999999</v>
      </c>
    </row>
    <row r="3" spans="2:3" x14ac:dyDescent="0.3">
      <c r="B3" s="352" t="s">
        <v>1</v>
      </c>
      <c r="C3" s="353">
        <f>'Генплан благоустрій'!J41*1.2</f>
        <v>336232.46399999998</v>
      </c>
    </row>
    <row r="4" spans="2:3" x14ac:dyDescent="0.3">
      <c r="B4" s="352" t="s">
        <v>2</v>
      </c>
      <c r="C4" s="353">
        <f>'Генплан дорога СПК'!J22*1.2</f>
        <v>0</v>
      </c>
    </row>
    <row r="5" spans="2:3" x14ac:dyDescent="0.3">
      <c r="B5" s="352" t="s">
        <v>3</v>
      </c>
      <c r="C5" s="353">
        <f>'Генплан підпірна стінка'!J11*1.2</f>
        <v>0</v>
      </c>
    </row>
    <row r="6" spans="2:3" x14ac:dyDescent="0.3">
      <c r="B6" s="352" t="s">
        <v>4</v>
      </c>
      <c r="C6" s="353">
        <f>'Глобине-2'!J135*1.2</f>
        <v>28339.152000000002</v>
      </c>
    </row>
    <row r="7" spans="2:3" x14ac:dyDescent="0.3">
      <c r="B7" s="352" t="s">
        <v>5</v>
      </c>
      <c r="C7" s="353">
        <f>Котельна!J121*1.2</f>
        <v>3243406.7879999997</v>
      </c>
    </row>
    <row r="8" spans="2:3" x14ac:dyDescent="0.3">
      <c r="B8" s="352" t="s">
        <v>6</v>
      </c>
      <c r="C8" s="353">
        <f>'Насосна Градирня'!J8*1.2</f>
        <v>0</v>
      </c>
    </row>
    <row r="9" spans="2:3" x14ac:dyDescent="0.3">
      <c r="B9" s="352" t="s">
        <v>7</v>
      </c>
      <c r="C9" s="353">
        <f>'Пожежений резервуар'!J70*1.2</f>
        <v>572938.11600000004</v>
      </c>
    </row>
    <row r="10" spans="2:3" x14ac:dyDescent="0.3">
      <c r="B10" s="352" t="s">
        <v>8</v>
      </c>
      <c r="C10" s="353">
        <f>'в бігбегах'!J42*1.2</f>
        <v>191514.37199999994</v>
      </c>
    </row>
    <row r="11" spans="2:3" x14ac:dyDescent="0.3">
      <c r="B11" s="352" t="s">
        <v>9</v>
      </c>
      <c r="C11" s="353">
        <f>'зберігання розчинника'!J32*1.2</f>
        <v>385480.50000000006</v>
      </c>
    </row>
    <row r="12" spans="2:3" x14ac:dyDescent="0.3">
      <c r="B12" s="352" t="s">
        <v>10</v>
      </c>
      <c r="C12" s="353">
        <f>СПК!J207*1.2</f>
        <v>6797585.4000000022</v>
      </c>
    </row>
    <row r="13" spans="2:3" x14ac:dyDescent="0.3">
      <c r="B13" s="352" t="s">
        <v>11</v>
      </c>
      <c r="C13" s="353">
        <f>'Транспортна галерея'!J14*1.2</f>
        <v>12242.34</v>
      </c>
    </row>
    <row r="14" spans="2:3" x14ac:dyDescent="0.3">
      <c r="B14" s="352" t="s">
        <v>12</v>
      </c>
      <c r="C14" s="353">
        <f>'Цех екстракції'!J323*1.2</f>
        <v>2423352.9120000009</v>
      </c>
    </row>
    <row r="15" spans="2:3" x14ac:dyDescent="0.3">
      <c r="C15" s="354">
        <f>SUM(C2:C14)</f>
        <v>14635344.936000003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0E1C-D4A1-45C0-93FB-1AFF3889101E}">
  <sheetPr filterMode="1"/>
  <dimension ref="A1:L71"/>
  <sheetViews>
    <sheetView topLeftCell="A48" workbookViewId="0">
      <selection activeCell="J71" sqref="J71"/>
    </sheetView>
  </sheetViews>
  <sheetFormatPr defaultRowHeight="14.4" x14ac:dyDescent="0.3"/>
  <cols>
    <col min="2" max="4" width="34.33203125" customWidth="1"/>
    <col min="10" max="10" width="9.88671875" bestFit="1" customWidth="1"/>
  </cols>
  <sheetData>
    <row r="1" spans="1:12" x14ac:dyDescent="0.3">
      <c r="A1" s="1" t="s">
        <v>13</v>
      </c>
      <c r="B1" s="2" t="s">
        <v>14</v>
      </c>
      <c r="C1" s="2" t="s">
        <v>15</v>
      </c>
      <c r="D1" s="3" t="s">
        <v>16</v>
      </c>
      <c r="E1" s="4" t="s">
        <v>17</v>
      </c>
      <c r="F1" s="4"/>
      <c r="G1" s="4"/>
      <c r="H1" s="5" t="s">
        <v>18</v>
      </c>
      <c r="I1" s="5"/>
      <c r="J1" s="5"/>
      <c r="K1" s="2" t="s">
        <v>19</v>
      </c>
      <c r="L1" s="2"/>
    </row>
    <row r="2" spans="1:12" hidden="1" x14ac:dyDescent="0.3">
      <c r="A2" s="6"/>
      <c r="B2" s="7"/>
      <c r="C2" s="7"/>
      <c r="D2" s="8"/>
      <c r="E2" s="9" t="s">
        <v>20</v>
      </c>
      <c r="F2" s="10"/>
      <c r="G2" s="10"/>
      <c r="H2" s="11" t="s">
        <v>20</v>
      </c>
      <c r="I2" s="12"/>
      <c r="J2" s="12"/>
      <c r="K2" s="6"/>
      <c r="L2" s="13"/>
    </row>
    <row r="3" spans="1:12" ht="51" hidden="1" x14ac:dyDescent="0.3">
      <c r="A3" s="14" t="s">
        <v>22</v>
      </c>
      <c r="B3" s="15" t="s">
        <v>23</v>
      </c>
      <c r="C3" s="15" t="s">
        <v>24</v>
      </c>
      <c r="D3" s="15" t="s">
        <v>25</v>
      </c>
      <c r="E3" s="16" t="s">
        <v>26</v>
      </c>
      <c r="F3" s="17">
        <v>4098.41</v>
      </c>
      <c r="G3" s="17"/>
      <c r="H3" s="16" t="s">
        <v>26</v>
      </c>
      <c r="I3" s="18" t="s">
        <v>27</v>
      </c>
      <c r="J3" s="18"/>
      <c r="K3" s="19" t="s">
        <v>21</v>
      </c>
      <c r="L3" s="20">
        <v>338019.27</v>
      </c>
    </row>
    <row r="4" spans="1:12" ht="61.2" hidden="1" x14ac:dyDescent="0.3">
      <c r="A4" s="14" t="s">
        <v>22</v>
      </c>
      <c r="B4" s="15" t="s">
        <v>28</v>
      </c>
      <c r="C4" s="15" t="s">
        <v>29</v>
      </c>
      <c r="D4" s="15" t="s">
        <v>30</v>
      </c>
      <c r="E4" s="16" t="s">
        <v>26</v>
      </c>
      <c r="F4" s="17">
        <v>2557.5</v>
      </c>
      <c r="G4" s="17"/>
      <c r="H4" s="16" t="s">
        <v>26</v>
      </c>
      <c r="I4" s="18" t="s">
        <v>27</v>
      </c>
      <c r="J4" s="18"/>
      <c r="K4" s="19" t="s">
        <v>21</v>
      </c>
      <c r="L4" s="20">
        <v>340576.77</v>
      </c>
    </row>
    <row r="5" spans="1:12" ht="51" x14ac:dyDescent="0.3">
      <c r="A5" s="14" t="s">
        <v>31</v>
      </c>
      <c r="B5" s="15" t="s">
        <v>32</v>
      </c>
      <c r="C5" s="15" t="s">
        <v>33</v>
      </c>
      <c r="D5" s="15" t="s">
        <v>24</v>
      </c>
      <c r="E5" s="16" t="s">
        <v>34</v>
      </c>
      <c r="F5" s="21" t="s">
        <v>27</v>
      </c>
      <c r="G5" s="21"/>
      <c r="H5" s="16" t="s">
        <v>26</v>
      </c>
      <c r="I5" s="22">
        <v>4098.41</v>
      </c>
      <c r="J5" s="22"/>
      <c r="K5" s="19" t="s">
        <v>21</v>
      </c>
      <c r="L5" s="20">
        <v>336478.36</v>
      </c>
    </row>
    <row r="6" spans="1:12" ht="51" x14ac:dyDescent="0.3">
      <c r="A6" s="14" t="s">
        <v>31</v>
      </c>
      <c r="B6" s="15" t="s">
        <v>32</v>
      </c>
      <c r="C6" s="15" t="s">
        <v>33</v>
      </c>
      <c r="D6" s="15" t="s">
        <v>29</v>
      </c>
      <c r="E6" s="16" t="s">
        <v>34</v>
      </c>
      <c r="F6" s="21" t="s">
        <v>27</v>
      </c>
      <c r="G6" s="21"/>
      <c r="H6" s="16" t="s">
        <v>26</v>
      </c>
      <c r="I6" s="22">
        <v>2557.5</v>
      </c>
      <c r="J6" s="22"/>
      <c r="K6" s="19" t="s">
        <v>21</v>
      </c>
      <c r="L6" s="20">
        <v>333920.86</v>
      </c>
    </row>
    <row r="7" spans="1:12" ht="51" x14ac:dyDescent="0.3">
      <c r="A7" s="14" t="s">
        <v>31</v>
      </c>
      <c r="B7" s="15" t="s">
        <v>35</v>
      </c>
      <c r="C7" s="15" t="s">
        <v>33</v>
      </c>
      <c r="D7" s="15" t="s">
        <v>36</v>
      </c>
      <c r="E7" s="16" t="s">
        <v>34</v>
      </c>
      <c r="F7" s="21" t="s">
        <v>27</v>
      </c>
      <c r="G7" s="21"/>
      <c r="H7" s="16" t="s">
        <v>26</v>
      </c>
      <c r="I7" s="22">
        <v>84882.6</v>
      </c>
      <c r="J7" s="22"/>
      <c r="K7" s="19" t="s">
        <v>21</v>
      </c>
      <c r="L7" s="20">
        <v>249038.26</v>
      </c>
    </row>
    <row r="8" spans="1:12" ht="51" x14ac:dyDescent="0.3">
      <c r="A8" s="14" t="s">
        <v>31</v>
      </c>
      <c r="B8" s="15" t="s">
        <v>37</v>
      </c>
      <c r="C8" s="15" t="s">
        <v>33</v>
      </c>
      <c r="D8" s="15" t="s">
        <v>38</v>
      </c>
      <c r="E8" s="16" t="s">
        <v>34</v>
      </c>
      <c r="F8" s="21" t="s">
        <v>27</v>
      </c>
      <c r="G8" s="21"/>
      <c r="H8" s="16" t="s">
        <v>26</v>
      </c>
      <c r="I8" s="23">
        <v>308.44</v>
      </c>
      <c r="J8" s="23"/>
      <c r="K8" s="19" t="s">
        <v>21</v>
      </c>
      <c r="L8" s="20">
        <v>248729.82</v>
      </c>
    </row>
    <row r="9" spans="1:12" ht="51" x14ac:dyDescent="0.3">
      <c r="A9" s="14" t="s">
        <v>31</v>
      </c>
      <c r="B9" s="15" t="s">
        <v>37</v>
      </c>
      <c r="C9" s="15" t="s">
        <v>33</v>
      </c>
      <c r="D9" s="15" t="s">
        <v>39</v>
      </c>
      <c r="E9" s="16" t="s">
        <v>34</v>
      </c>
      <c r="F9" s="21" t="s">
        <v>27</v>
      </c>
      <c r="G9" s="21"/>
      <c r="H9" s="16" t="s">
        <v>26</v>
      </c>
      <c r="I9" s="23">
        <v>715.58</v>
      </c>
      <c r="J9" s="23"/>
      <c r="K9" s="19" t="s">
        <v>21</v>
      </c>
      <c r="L9" s="20">
        <v>248014.24</v>
      </c>
    </row>
    <row r="10" spans="1:12" ht="51" x14ac:dyDescent="0.3">
      <c r="A10" s="14" t="s">
        <v>31</v>
      </c>
      <c r="B10" s="15" t="s">
        <v>37</v>
      </c>
      <c r="C10" s="15" t="s">
        <v>33</v>
      </c>
      <c r="D10" s="15" t="s">
        <v>40</v>
      </c>
      <c r="E10" s="16" t="s">
        <v>34</v>
      </c>
      <c r="F10" s="21" t="s">
        <v>27</v>
      </c>
      <c r="G10" s="21"/>
      <c r="H10" s="16" t="s">
        <v>26</v>
      </c>
      <c r="I10" s="22">
        <v>7094.14</v>
      </c>
      <c r="J10" s="22"/>
      <c r="K10" s="19" t="s">
        <v>21</v>
      </c>
      <c r="L10" s="20">
        <v>240920.1</v>
      </c>
    </row>
    <row r="11" spans="1:12" ht="51" x14ac:dyDescent="0.3">
      <c r="A11" s="14" t="s">
        <v>31</v>
      </c>
      <c r="B11" s="15" t="s">
        <v>37</v>
      </c>
      <c r="C11" s="15" t="s">
        <v>33</v>
      </c>
      <c r="D11" s="15" t="s">
        <v>41</v>
      </c>
      <c r="E11" s="16" t="s">
        <v>34</v>
      </c>
      <c r="F11" s="21" t="s">
        <v>27</v>
      </c>
      <c r="G11" s="21"/>
      <c r="H11" s="16" t="s">
        <v>26</v>
      </c>
      <c r="I11" s="22">
        <v>2801.67</v>
      </c>
      <c r="J11" s="22"/>
      <c r="K11" s="19" t="s">
        <v>21</v>
      </c>
      <c r="L11" s="20">
        <v>238118.43</v>
      </c>
    </row>
    <row r="12" spans="1:12" ht="51" hidden="1" x14ac:dyDescent="0.3">
      <c r="A12" s="14" t="s">
        <v>31</v>
      </c>
      <c r="B12" s="15" t="s">
        <v>42</v>
      </c>
      <c r="C12" s="15" t="s">
        <v>43</v>
      </c>
      <c r="D12" s="15" t="s">
        <v>44</v>
      </c>
      <c r="E12" s="16" t="s">
        <v>26</v>
      </c>
      <c r="F12" s="17">
        <v>1959.83</v>
      </c>
      <c r="G12" s="17"/>
      <c r="H12" s="16" t="s">
        <v>45</v>
      </c>
      <c r="I12" s="18" t="s">
        <v>27</v>
      </c>
      <c r="J12" s="18"/>
      <c r="K12" s="19" t="s">
        <v>21</v>
      </c>
      <c r="L12" s="20">
        <v>240078.26</v>
      </c>
    </row>
    <row r="13" spans="1:12" ht="51" hidden="1" x14ac:dyDescent="0.3">
      <c r="A13" s="14" t="s">
        <v>46</v>
      </c>
      <c r="B13" s="15" t="s">
        <v>47</v>
      </c>
      <c r="C13" s="15" t="s">
        <v>48</v>
      </c>
      <c r="D13" s="15" t="s">
        <v>49</v>
      </c>
      <c r="E13" s="16" t="s">
        <v>26</v>
      </c>
      <c r="F13" s="17">
        <v>14729.59</v>
      </c>
      <c r="G13" s="17"/>
      <c r="H13" s="16" t="s">
        <v>45</v>
      </c>
      <c r="I13" s="18" t="s">
        <v>27</v>
      </c>
      <c r="J13" s="18"/>
      <c r="K13" s="19" t="s">
        <v>21</v>
      </c>
      <c r="L13" s="20">
        <v>254807.85</v>
      </c>
    </row>
    <row r="14" spans="1:12" ht="51" hidden="1" x14ac:dyDescent="0.3">
      <c r="A14" s="14" t="s">
        <v>46</v>
      </c>
      <c r="B14" s="15" t="s">
        <v>50</v>
      </c>
      <c r="C14" s="15" t="s">
        <v>51</v>
      </c>
      <c r="D14" s="15" t="s">
        <v>52</v>
      </c>
      <c r="E14" s="16" t="s">
        <v>26</v>
      </c>
      <c r="F14" s="17">
        <v>8425.67</v>
      </c>
      <c r="G14" s="17"/>
      <c r="H14" s="16" t="s">
        <v>45</v>
      </c>
      <c r="I14" s="18" t="s">
        <v>27</v>
      </c>
      <c r="J14" s="18"/>
      <c r="K14" s="19" t="s">
        <v>21</v>
      </c>
      <c r="L14" s="20">
        <v>263233.52</v>
      </c>
    </row>
    <row r="15" spans="1:12" ht="51" hidden="1" x14ac:dyDescent="0.3">
      <c r="A15" s="14" t="s">
        <v>53</v>
      </c>
      <c r="B15" s="15" t="s">
        <v>54</v>
      </c>
      <c r="C15" s="15" t="s">
        <v>55</v>
      </c>
      <c r="D15" s="15" t="s">
        <v>56</v>
      </c>
      <c r="E15" s="16" t="s">
        <v>26</v>
      </c>
      <c r="F15" s="17">
        <v>3947.17</v>
      </c>
      <c r="G15" s="17"/>
      <c r="H15" s="16" t="s">
        <v>26</v>
      </c>
      <c r="I15" s="18" t="s">
        <v>27</v>
      </c>
      <c r="J15" s="18"/>
      <c r="K15" s="19" t="s">
        <v>21</v>
      </c>
      <c r="L15" s="20">
        <v>267180.69</v>
      </c>
    </row>
    <row r="16" spans="1:12" ht="51" hidden="1" x14ac:dyDescent="0.3">
      <c r="A16" s="14" t="s">
        <v>57</v>
      </c>
      <c r="B16" s="15" t="s">
        <v>58</v>
      </c>
      <c r="C16" s="15" t="s">
        <v>59</v>
      </c>
      <c r="D16" s="15" t="s">
        <v>60</v>
      </c>
      <c r="E16" s="16" t="s">
        <v>26</v>
      </c>
      <c r="F16" s="17">
        <v>3930.66</v>
      </c>
      <c r="G16" s="17"/>
      <c r="H16" s="16" t="s">
        <v>26</v>
      </c>
      <c r="I16" s="18" t="s">
        <v>27</v>
      </c>
      <c r="J16" s="18"/>
      <c r="K16" s="19" t="s">
        <v>21</v>
      </c>
      <c r="L16" s="20">
        <v>271111.34999999998</v>
      </c>
    </row>
    <row r="17" spans="1:12" ht="51" hidden="1" x14ac:dyDescent="0.3">
      <c r="A17" s="14" t="s">
        <v>61</v>
      </c>
      <c r="B17" s="15" t="s">
        <v>62</v>
      </c>
      <c r="C17" s="15" t="s">
        <v>63</v>
      </c>
      <c r="D17" s="15" t="s">
        <v>64</v>
      </c>
      <c r="E17" s="16" t="s">
        <v>26</v>
      </c>
      <c r="F17" s="17">
        <v>4218.5</v>
      </c>
      <c r="G17" s="17"/>
      <c r="H17" s="16" t="s">
        <v>26</v>
      </c>
      <c r="I17" s="18" t="s">
        <v>27</v>
      </c>
      <c r="J17" s="18"/>
      <c r="K17" s="19" t="s">
        <v>21</v>
      </c>
      <c r="L17" s="20">
        <v>275329.84999999998</v>
      </c>
    </row>
    <row r="18" spans="1:12" ht="51" hidden="1" x14ac:dyDescent="0.3">
      <c r="A18" s="14" t="s">
        <v>61</v>
      </c>
      <c r="B18" s="15" t="s">
        <v>65</v>
      </c>
      <c r="C18" s="15" t="s">
        <v>66</v>
      </c>
      <c r="D18" s="15" t="s">
        <v>67</v>
      </c>
      <c r="E18" s="16" t="s">
        <v>26</v>
      </c>
      <c r="F18" s="17">
        <v>284497.52</v>
      </c>
      <c r="G18" s="17"/>
      <c r="H18" s="16" t="s">
        <v>26</v>
      </c>
      <c r="I18" s="18" t="s">
        <v>27</v>
      </c>
      <c r="J18" s="18"/>
      <c r="K18" s="19" t="s">
        <v>21</v>
      </c>
      <c r="L18" s="20">
        <v>559827.37</v>
      </c>
    </row>
    <row r="19" spans="1:12" ht="51" x14ac:dyDescent="0.3">
      <c r="A19" s="14" t="s">
        <v>68</v>
      </c>
      <c r="B19" s="15" t="s">
        <v>69</v>
      </c>
      <c r="C19" s="15" t="s">
        <v>33</v>
      </c>
      <c r="D19" s="15" t="s">
        <v>70</v>
      </c>
      <c r="E19" s="16" t="s">
        <v>34</v>
      </c>
      <c r="F19" s="21" t="s">
        <v>27</v>
      </c>
      <c r="G19" s="21"/>
      <c r="H19" s="16" t="s">
        <v>26</v>
      </c>
      <c r="I19" s="22">
        <v>33111.629999999997</v>
      </c>
      <c r="J19" s="22"/>
      <c r="K19" s="19" t="s">
        <v>21</v>
      </c>
      <c r="L19" s="20">
        <v>526715.74</v>
      </c>
    </row>
    <row r="20" spans="1:12" ht="51" x14ac:dyDescent="0.3">
      <c r="A20" s="14" t="s">
        <v>68</v>
      </c>
      <c r="B20" s="15" t="s">
        <v>69</v>
      </c>
      <c r="C20" s="15" t="s">
        <v>33</v>
      </c>
      <c r="D20" s="15" t="s">
        <v>66</v>
      </c>
      <c r="E20" s="16" t="s">
        <v>34</v>
      </c>
      <c r="F20" s="21" t="s">
        <v>27</v>
      </c>
      <c r="G20" s="21"/>
      <c r="H20" s="16" t="s">
        <v>26</v>
      </c>
      <c r="I20" s="22">
        <v>6588.76</v>
      </c>
      <c r="J20" s="22"/>
      <c r="K20" s="19" t="s">
        <v>21</v>
      </c>
      <c r="L20" s="20">
        <v>520126.98</v>
      </c>
    </row>
    <row r="21" spans="1:12" ht="51" x14ac:dyDescent="0.3">
      <c r="A21" s="14" t="s">
        <v>68</v>
      </c>
      <c r="B21" s="15" t="s">
        <v>69</v>
      </c>
      <c r="C21" s="15" t="s">
        <v>33</v>
      </c>
      <c r="D21" s="15" t="s">
        <v>71</v>
      </c>
      <c r="E21" s="16" t="s">
        <v>34</v>
      </c>
      <c r="F21" s="21" t="s">
        <v>27</v>
      </c>
      <c r="G21" s="21"/>
      <c r="H21" s="16" t="s">
        <v>26</v>
      </c>
      <c r="I21" s="22">
        <v>1936.67</v>
      </c>
      <c r="J21" s="22"/>
      <c r="K21" s="19" t="s">
        <v>21</v>
      </c>
      <c r="L21" s="20">
        <v>518190.31</v>
      </c>
    </row>
    <row r="22" spans="1:12" ht="51" x14ac:dyDescent="0.3">
      <c r="A22" s="14" t="s">
        <v>68</v>
      </c>
      <c r="B22" s="15" t="s">
        <v>69</v>
      </c>
      <c r="C22" s="15" t="s">
        <v>33</v>
      </c>
      <c r="D22" s="15" t="s">
        <v>72</v>
      </c>
      <c r="E22" s="16" t="s">
        <v>34</v>
      </c>
      <c r="F22" s="21" t="s">
        <v>27</v>
      </c>
      <c r="G22" s="21"/>
      <c r="H22" s="16" t="s">
        <v>26</v>
      </c>
      <c r="I22" s="23">
        <v>588.09</v>
      </c>
      <c r="J22" s="23"/>
      <c r="K22" s="19" t="s">
        <v>21</v>
      </c>
      <c r="L22" s="20">
        <v>517602.22</v>
      </c>
    </row>
    <row r="23" spans="1:12" ht="51" hidden="1" x14ac:dyDescent="0.3">
      <c r="A23" s="14" t="s">
        <v>68</v>
      </c>
      <c r="B23" s="15" t="s">
        <v>73</v>
      </c>
      <c r="C23" s="15" t="s">
        <v>74</v>
      </c>
      <c r="D23" s="15" t="s">
        <v>75</v>
      </c>
      <c r="E23" s="16" t="s">
        <v>26</v>
      </c>
      <c r="F23" s="17">
        <v>15695.99</v>
      </c>
      <c r="G23" s="17"/>
      <c r="H23" s="16" t="s">
        <v>26</v>
      </c>
      <c r="I23" s="18" t="s">
        <v>27</v>
      </c>
      <c r="J23" s="18"/>
      <c r="K23" s="19" t="s">
        <v>21</v>
      </c>
      <c r="L23" s="20">
        <v>533298.21</v>
      </c>
    </row>
    <row r="24" spans="1:12" ht="51" hidden="1" x14ac:dyDescent="0.3">
      <c r="A24" s="14" t="s">
        <v>76</v>
      </c>
      <c r="B24" s="15" t="s">
        <v>77</v>
      </c>
      <c r="C24" s="15" t="s">
        <v>78</v>
      </c>
      <c r="D24" s="15" t="s">
        <v>79</v>
      </c>
      <c r="E24" s="16" t="s">
        <v>26</v>
      </c>
      <c r="F24" s="17">
        <v>10290.93</v>
      </c>
      <c r="G24" s="17"/>
      <c r="H24" s="16" t="s">
        <v>26</v>
      </c>
      <c r="I24" s="18" t="s">
        <v>27</v>
      </c>
      <c r="J24" s="18"/>
      <c r="K24" s="19" t="s">
        <v>21</v>
      </c>
      <c r="L24" s="20">
        <v>543589.14</v>
      </c>
    </row>
    <row r="25" spans="1:12" ht="51" hidden="1" x14ac:dyDescent="0.3">
      <c r="A25" s="14" t="s">
        <v>76</v>
      </c>
      <c r="B25" s="15" t="s">
        <v>77</v>
      </c>
      <c r="C25" s="15" t="s">
        <v>80</v>
      </c>
      <c r="D25" s="15" t="s">
        <v>81</v>
      </c>
      <c r="E25" s="16" t="s">
        <v>26</v>
      </c>
      <c r="F25" s="17">
        <v>4218.75</v>
      </c>
      <c r="G25" s="17"/>
      <c r="H25" s="16" t="s">
        <v>26</v>
      </c>
      <c r="I25" s="18" t="s">
        <v>27</v>
      </c>
      <c r="J25" s="18"/>
      <c r="K25" s="19" t="s">
        <v>21</v>
      </c>
      <c r="L25" s="20">
        <v>547807.89</v>
      </c>
    </row>
    <row r="26" spans="1:12" ht="51" hidden="1" x14ac:dyDescent="0.3">
      <c r="A26" s="14" t="s">
        <v>76</v>
      </c>
      <c r="B26" s="15" t="s">
        <v>77</v>
      </c>
      <c r="C26" s="15" t="s">
        <v>82</v>
      </c>
      <c r="D26" s="15" t="s">
        <v>83</v>
      </c>
      <c r="E26" s="16" t="s">
        <v>26</v>
      </c>
      <c r="F26" s="17">
        <v>4051.96</v>
      </c>
      <c r="G26" s="17"/>
      <c r="H26" s="16" t="s">
        <v>26</v>
      </c>
      <c r="I26" s="18" t="s">
        <v>27</v>
      </c>
      <c r="J26" s="18"/>
      <c r="K26" s="19" t="s">
        <v>21</v>
      </c>
      <c r="L26" s="20">
        <v>551859.85</v>
      </c>
    </row>
    <row r="27" spans="1:12" ht="51" hidden="1" x14ac:dyDescent="0.3">
      <c r="A27" s="14" t="s">
        <v>76</v>
      </c>
      <c r="B27" s="15" t="s">
        <v>77</v>
      </c>
      <c r="C27" s="15" t="s">
        <v>84</v>
      </c>
      <c r="D27" s="15" t="s">
        <v>85</v>
      </c>
      <c r="E27" s="16" t="s">
        <v>26</v>
      </c>
      <c r="F27" s="24">
        <v>826.01</v>
      </c>
      <c r="G27" s="24"/>
      <c r="H27" s="16" t="s">
        <v>26</v>
      </c>
      <c r="I27" s="18" t="s">
        <v>27</v>
      </c>
      <c r="J27" s="18"/>
      <c r="K27" s="19" t="s">
        <v>21</v>
      </c>
      <c r="L27" s="20">
        <v>552685.86</v>
      </c>
    </row>
    <row r="28" spans="1:12" ht="61.2" hidden="1" x14ac:dyDescent="0.3">
      <c r="A28" s="14" t="s">
        <v>76</v>
      </c>
      <c r="B28" s="15" t="s">
        <v>86</v>
      </c>
      <c r="C28" s="15" t="s">
        <v>87</v>
      </c>
      <c r="D28" s="15" t="s">
        <v>88</v>
      </c>
      <c r="E28" s="16" t="s">
        <v>26</v>
      </c>
      <c r="F28" s="17">
        <v>2918.67</v>
      </c>
      <c r="G28" s="17"/>
      <c r="H28" s="16" t="s">
        <v>26</v>
      </c>
      <c r="I28" s="18" t="s">
        <v>27</v>
      </c>
      <c r="J28" s="18"/>
      <c r="K28" s="19" t="s">
        <v>21</v>
      </c>
      <c r="L28" s="20">
        <v>555604.53</v>
      </c>
    </row>
    <row r="29" spans="1:12" ht="51" hidden="1" x14ac:dyDescent="0.3">
      <c r="A29" s="14" t="s">
        <v>76</v>
      </c>
      <c r="B29" s="15" t="s">
        <v>89</v>
      </c>
      <c r="C29" s="15" t="s">
        <v>90</v>
      </c>
      <c r="D29" s="15" t="s">
        <v>91</v>
      </c>
      <c r="E29" s="16" t="s">
        <v>26</v>
      </c>
      <c r="F29" s="17">
        <v>1187.5</v>
      </c>
      <c r="G29" s="17"/>
      <c r="H29" s="16" t="s">
        <v>26</v>
      </c>
      <c r="I29" s="18" t="s">
        <v>27</v>
      </c>
      <c r="J29" s="18"/>
      <c r="K29" s="19" t="s">
        <v>21</v>
      </c>
      <c r="L29" s="20">
        <v>556792.03</v>
      </c>
    </row>
    <row r="30" spans="1:12" ht="61.2" hidden="1" x14ac:dyDescent="0.3">
      <c r="A30" s="14" t="s">
        <v>76</v>
      </c>
      <c r="B30" s="15" t="s">
        <v>92</v>
      </c>
      <c r="C30" s="15" t="s">
        <v>93</v>
      </c>
      <c r="D30" s="15" t="s">
        <v>94</v>
      </c>
      <c r="E30" s="16" t="s">
        <v>26</v>
      </c>
      <c r="F30" s="21" t="s">
        <v>27</v>
      </c>
      <c r="G30" s="21"/>
      <c r="H30" s="16" t="s">
        <v>26</v>
      </c>
      <c r="I30" s="22">
        <v>36573.949999999997</v>
      </c>
      <c r="J30" s="22"/>
      <c r="K30" s="19" t="s">
        <v>21</v>
      </c>
      <c r="L30" s="20">
        <v>520218.08</v>
      </c>
    </row>
    <row r="31" spans="1:12" ht="51" hidden="1" x14ac:dyDescent="0.3">
      <c r="A31" s="14" t="s">
        <v>76</v>
      </c>
      <c r="B31" s="15" t="s">
        <v>95</v>
      </c>
      <c r="C31" s="15" t="s">
        <v>96</v>
      </c>
      <c r="D31" s="15" t="s">
        <v>97</v>
      </c>
      <c r="E31" s="16" t="s">
        <v>26</v>
      </c>
      <c r="F31" s="17">
        <v>6500</v>
      </c>
      <c r="G31" s="17"/>
      <c r="H31" s="16" t="s">
        <v>45</v>
      </c>
      <c r="I31" s="18" t="s">
        <v>27</v>
      </c>
      <c r="J31" s="18"/>
      <c r="K31" s="19" t="s">
        <v>21</v>
      </c>
      <c r="L31" s="20">
        <v>526718.07999999996</v>
      </c>
    </row>
    <row r="32" spans="1:12" ht="51" hidden="1" x14ac:dyDescent="0.3">
      <c r="A32" s="14" t="s">
        <v>76</v>
      </c>
      <c r="B32" s="15" t="s">
        <v>95</v>
      </c>
      <c r="C32" s="15" t="s">
        <v>98</v>
      </c>
      <c r="D32" s="15" t="s">
        <v>97</v>
      </c>
      <c r="E32" s="16" t="s">
        <v>26</v>
      </c>
      <c r="F32" s="17">
        <v>1412.5</v>
      </c>
      <c r="G32" s="17"/>
      <c r="H32" s="16" t="s">
        <v>45</v>
      </c>
      <c r="I32" s="18" t="s">
        <v>27</v>
      </c>
      <c r="J32" s="18"/>
      <c r="K32" s="19" t="s">
        <v>21</v>
      </c>
      <c r="L32" s="20">
        <v>528130.57999999996</v>
      </c>
    </row>
    <row r="33" spans="1:12" ht="51" x14ac:dyDescent="0.3">
      <c r="A33" s="14" t="s">
        <v>76</v>
      </c>
      <c r="B33" s="15" t="s">
        <v>99</v>
      </c>
      <c r="C33" s="15" t="s">
        <v>33</v>
      </c>
      <c r="D33" s="15" t="s">
        <v>78</v>
      </c>
      <c r="E33" s="16" t="s">
        <v>34</v>
      </c>
      <c r="F33" s="21" t="s">
        <v>27</v>
      </c>
      <c r="G33" s="21"/>
      <c r="H33" s="16" t="s">
        <v>26</v>
      </c>
      <c r="I33" s="22">
        <v>10290.93</v>
      </c>
      <c r="J33" s="22"/>
      <c r="K33" s="19" t="s">
        <v>21</v>
      </c>
      <c r="L33" s="20">
        <v>517839.65</v>
      </c>
    </row>
    <row r="34" spans="1:12" ht="51" x14ac:dyDescent="0.3">
      <c r="A34" s="14" t="s">
        <v>76</v>
      </c>
      <c r="B34" s="15" t="s">
        <v>99</v>
      </c>
      <c r="C34" s="15" t="s">
        <v>33</v>
      </c>
      <c r="D34" s="15" t="s">
        <v>66</v>
      </c>
      <c r="E34" s="16" t="s">
        <v>34</v>
      </c>
      <c r="F34" s="21" t="s">
        <v>27</v>
      </c>
      <c r="G34" s="21"/>
      <c r="H34" s="16" t="s">
        <v>26</v>
      </c>
      <c r="I34" s="22">
        <v>267549.55</v>
      </c>
      <c r="J34" s="22"/>
      <c r="K34" s="19" t="s">
        <v>21</v>
      </c>
      <c r="L34" s="20">
        <v>250290.1</v>
      </c>
    </row>
    <row r="35" spans="1:12" ht="51" x14ac:dyDescent="0.3">
      <c r="A35" s="14" t="s">
        <v>76</v>
      </c>
      <c r="B35" s="15" t="s">
        <v>99</v>
      </c>
      <c r="C35" s="15" t="s">
        <v>33</v>
      </c>
      <c r="D35" s="15" t="s">
        <v>66</v>
      </c>
      <c r="E35" s="16" t="s">
        <v>34</v>
      </c>
      <c r="F35" s="21" t="s">
        <v>27</v>
      </c>
      <c r="G35" s="21"/>
      <c r="H35" s="16" t="s">
        <v>26</v>
      </c>
      <c r="I35" s="22">
        <v>10359.209999999999</v>
      </c>
      <c r="J35" s="22"/>
      <c r="K35" s="19" t="s">
        <v>21</v>
      </c>
      <c r="L35" s="20">
        <v>239930.89</v>
      </c>
    </row>
    <row r="36" spans="1:12" ht="51" x14ac:dyDescent="0.3">
      <c r="A36" s="14" t="s">
        <v>76</v>
      </c>
      <c r="B36" s="15" t="s">
        <v>99</v>
      </c>
      <c r="C36" s="15" t="s">
        <v>33</v>
      </c>
      <c r="D36" s="15" t="s">
        <v>100</v>
      </c>
      <c r="E36" s="16" t="s">
        <v>34</v>
      </c>
      <c r="F36" s="21" t="s">
        <v>27</v>
      </c>
      <c r="G36" s="21"/>
      <c r="H36" s="16" t="s">
        <v>26</v>
      </c>
      <c r="I36" s="23">
        <v>786.62</v>
      </c>
      <c r="J36" s="23"/>
      <c r="K36" s="19" t="s">
        <v>21</v>
      </c>
      <c r="L36" s="20">
        <v>239144.27</v>
      </c>
    </row>
    <row r="37" spans="1:12" ht="51" x14ac:dyDescent="0.3">
      <c r="A37" s="14" t="s">
        <v>76</v>
      </c>
      <c r="B37" s="15" t="s">
        <v>99</v>
      </c>
      <c r="C37" s="15" t="s">
        <v>33</v>
      </c>
      <c r="D37" s="15" t="s">
        <v>36</v>
      </c>
      <c r="E37" s="16" t="s">
        <v>34</v>
      </c>
      <c r="F37" s="21" t="s">
        <v>27</v>
      </c>
      <c r="G37" s="21"/>
      <c r="H37" s="16" t="s">
        <v>26</v>
      </c>
      <c r="I37" s="22">
        <v>43817.4</v>
      </c>
      <c r="J37" s="22"/>
      <c r="K37" s="19" t="s">
        <v>21</v>
      </c>
      <c r="L37" s="20">
        <v>195326.87</v>
      </c>
    </row>
    <row r="38" spans="1:12" ht="51" x14ac:dyDescent="0.3">
      <c r="A38" s="14" t="s">
        <v>76</v>
      </c>
      <c r="B38" s="15" t="s">
        <v>99</v>
      </c>
      <c r="C38" s="15" t="s">
        <v>33</v>
      </c>
      <c r="D38" s="15" t="s">
        <v>80</v>
      </c>
      <c r="E38" s="16" t="s">
        <v>34</v>
      </c>
      <c r="F38" s="21" t="s">
        <v>27</v>
      </c>
      <c r="G38" s="21"/>
      <c r="H38" s="16" t="s">
        <v>26</v>
      </c>
      <c r="I38" s="22">
        <v>3840.75</v>
      </c>
      <c r="J38" s="22"/>
      <c r="K38" s="19" t="s">
        <v>21</v>
      </c>
      <c r="L38" s="20">
        <v>191486.12</v>
      </c>
    </row>
    <row r="39" spans="1:12" ht="51" x14ac:dyDescent="0.3">
      <c r="A39" s="14" t="s">
        <v>76</v>
      </c>
      <c r="B39" s="15" t="s">
        <v>99</v>
      </c>
      <c r="C39" s="15" t="s">
        <v>33</v>
      </c>
      <c r="D39" s="15" t="s">
        <v>80</v>
      </c>
      <c r="E39" s="16" t="s">
        <v>34</v>
      </c>
      <c r="F39" s="21" t="s">
        <v>27</v>
      </c>
      <c r="G39" s="21"/>
      <c r="H39" s="16" t="s">
        <v>26</v>
      </c>
      <c r="I39" s="22">
        <v>4218.75</v>
      </c>
      <c r="J39" s="22"/>
      <c r="K39" s="19" t="s">
        <v>21</v>
      </c>
      <c r="L39" s="20">
        <v>187267.37</v>
      </c>
    </row>
    <row r="40" spans="1:12" ht="51" x14ac:dyDescent="0.3">
      <c r="A40" s="14" t="s">
        <v>76</v>
      </c>
      <c r="B40" s="15" t="s">
        <v>99</v>
      </c>
      <c r="C40" s="15" t="s">
        <v>33</v>
      </c>
      <c r="D40" s="15" t="s">
        <v>101</v>
      </c>
      <c r="E40" s="16" t="s">
        <v>34</v>
      </c>
      <c r="F40" s="21" t="s">
        <v>27</v>
      </c>
      <c r="G40" s="21"/>
      <c r="H40" s="16" t="s">
        <v>26</v>
      </c>
      <c r="I40" s="22">
        <v>7179.91</v>
      </c>
      <c r="J40" s="22"/>
      <c r="K40" s="19" t="s">
        <v>21</v>
      </c>
      <c r="L40" s="20">
        <v>180087.46</v>
      </c>
    </row>
    <row r="41" spans="1:12" ht="51" x14ac:dyDescent="0.3">
      <c r="A41" s="14" t="s">
        <v>76</v>
      </c>
      <c r="B41" s="15" t="s">
        <v>99</v>
      </c>
      <c r="C41" s="15" t="s">
        <v>33</v>
      </c>
      <c r="D41" s="15" t="s">
        <v>82</v>
      </c>
      <c r="E41" s="16" t="s">
        <v>34</v>
      </c>
      <c r="F41" s="21" t="s">
        <v>27</v>
      </c>
      <c r="G41" s="21"/>
      <c r="H41" s="16" t="s">
        <v>26</v>
      </c>
      <c r="I41" s="22">
        <v>4051.96</v>
      </c>
      <c r="J41" s="22"/>
      <c r="K41" s="19" t="s">
        <v>21</v>
      </c>
      <c r="L41" s="20">
        <v>176035.5</v>
      </c>
    </row>
    <row r="42" spans="1:12" ht="51" x14ac:dyDescent="0.3">
      <c r="A42" s="14" t="s">
        <v>76</v>
      </c>
      <c r="B42" s="15" t="s">
        <v>99</v>
      </c>
      <c r="C42" s="15" t="s">
        <v>33</v>
      </c>
      <c r="D42" s="15" t="s">
        <v>102</v>
      </c>
      <c r="E42" s="16" t="s">
        <v>34</v>
      </c>
      <c r="F42" s="21" t="s">
        <v>27</v>
      </c>
      <c r="G42" s="21"/>
      <c r="H42" s="16" t="s">
        <v>26</v>
      </c>
      <c r="I42" s="22">
        <v>1463.67</v>
      </c>
      <c r="J42" s="22"/>
      <c r="K42" s="19" t="s">
        <v>21</v>
      </c>
      <c r="L42" s="20">
        <v>174571.83</v>
      </c>
    </row>
    <row r="43" spans="1:12" ht="51" x14ac:dyDescent="0.3">
      <c r="A43" s="14" t="s">
        <v>76</v>
      </c>
      <c r="B43" s="15" t="s">
        <v>99</v>
      </c>
      <c r="C43" s="15" t="s">
        <v>33</v>
      </c>
      <c r="D43" s="15" t="s">
        <v>84</v>
      </c>
      <c r="E43" s="16" t="s">
        <v>34</v>
      </c>
      <c r="F43" s="21" t="s">
        <v>27</v>
      </c>
      <c r="G43" s="21"/>
      <c r="H43" s="16" t="s">
        <v>26</v>
      </c>
      <c r="I43" s="23">
        <v>826.01</v>
      </c>
      <c r="J43" s="23"/>
      <c r="K43" s="19" t="s">
        <v>21</v>
      </c>
      <c r="L43" s="20">
        <v>173745.82</v>
      </c>
    </row>
    <row r="44" spans="1:12" ht="51" x14ac:dyDescent="0.3">
      <c r="A44" s="14" t="s">
        <v>76</v>
      </c>
      <c r="B44" s="15" t="s">
        <v>99</v>
      </c>
      <c r="C44" s="15" t="s">
        <v>33</v>
      </c>
      <c r="D44" s="15" t="s">
        <v>103</v>
      </c>
      <c r="E44" s="16" t="s">
        <v>34</v>
      </c>
      <c r="F44" s="21" t="s">
        <v>27</v>
      </c>
      <c r="G44" s="21"/>
      <c r="H44" s="16" t="s">
        <v>26</v>
      </c>
      <c r="I44" s="22">
        <v>3910.5</v>
      </c>
      <c r="J44" s="22"/>
      <c r="K44" s="19" t="s">
        <v>21</v>
      </c>
      <c r="L44" s="20">
        <v>169835.32</v>
      </c>
    </row>
    <row r="45" spans="1:12" ht="51" x14ac:dyDescent="0.3">
      <c r="A45" s="14" t="s">
        <v>76</v>
      </c>
      <c r="B45" s="15" t="s">
        <v>99</v>
      </c>
      <c r="C45" s="15" t="s">
        <v>33</v>
      </c>
      <c r="D45" s="15" t="s">
        <v>104</v>
      </c>
      <c r="E45" s="16" t="s">
        <v>34</v>
      </c>
      <c r="F45" s="21" t="s">
        <v>27</v>
      </c>
      <c r="G45" s="21"/>
      <c r="H45" s="16" t="s">
        <v>26</v>
      </c>
      <c r="I45" s="22">
        <v>1959.83</v>
      </c>
      <c r="J45" s="22"/>
      <c r="K45" s="19" t="s">
        <v>21</v>
      </c>
      <c r="L45" s="20">
        <v>167875.49</v>
      </c>
    </row>
    <row r="46" spans="1:12" ht="51" x14ac:dyDescent="0.3">
      <c r="A46" s="14" t="s">
        <v>76</v>
      </c>
      <c r="B46" s="15" t="s">
        <v>99</v>
      </c>
      <c r="C46" s="15" t="s">
        <v>33</v>
      </c>
      <c r="D46" s="15" t="s">
        <v>104</v>
      </c>
      <c r="E46" s="16" t="s">
        <v>34</v>
      </c>
      <c r="F46" s="21" t="s">
        <v>27</v>
      </c>
      <c r="G46" s="21"/>
      <c r="H46" s="16" t="s">
        <v>26</v>
      </c>
      <c r="I46" s="23">
        <v>93.5</v>
      </c>
      <c r="J46" s="23"/>
      <c r="K46" s="19" t="s">
        <v>21</v>
      </c>
      <c r="L46" s="20">
        <v>167781.99</v>
      </c>
    </row>
    <row r="47" spans="1:12" ht="51" x14ac:dyDescent="0.3">
      <c r="A47" s="14" t="s">
        <v>76</v>
      </c>
      <c r="B47" s="15" t="s">
        <v>99</v>
      </c>
      <c r="C47" s="15" t="s">
        <v>33</v>
      </c>
      <c r="D47" s="15" t="s">
        <v>43</v>
      </c>
      <c r="E47" s="16" t="s">
        <v>34</v>
      </c>
      <c r="F47" s="21" t="s">
        <v>27</v>
      </c>
      <c r="G47" s="21"/>
      <c r="H47" s="16" t="s">
        <v>26</v>
      </c>
      <c r="I47" s="22">
        <v>1959.83</v>
      </c>
      <c r="J47" s="22"/>
      <c r="K47" s="19" t="s">
        <v>21</v>
      </c>
      <c r="L47" s="20">
        <v>165822.16</v>
      </c>
    </row>
    <row r="48" spans="1:12" ht="51" x14ac:dyDescent="0.3">
      <c r="A48" s="14" t="s">
        <v>76</v>
      </c>
      <c r="B48" s="15" t="s">
        <v>99</v>
      </c>
      <c r="C48" s="15" t="s">
        <v>33</v>
      </c>
      <c r="D48" s="15" t="s">
        <v>87</v>
      </c>
      <c r="E48" s="16" t="s">
        <v>34</v>
      </c>
      <c r="F48" s="21" t="s">
        <v>27</v>
      </c>
      <c r="G48" s="21"/>
      <c r="H48" s="16" t="s">
        <v>26</v>
      </c>
      <c r="I48" s="22">
        <v>2918.67</v>
      </c>
      <c r="J48" s="22"/>
      <c r="K48" s="19" t="s">
        <v>21</v>
      </c>
      <c r="L48" s="20">
        <v>162903.49</v>
      </c>
    </row>
    <row r="49" spans="1:12" ht="51" x14ac:dyDescent="0.3">
      <c r="A49" s="14" t="s">
        <v>76</v>
      </c>
      <c r="B49" s="15" t="s">
        <v>99</v>
      </c>
      <c r="C49" s="15" t="s">
        <v>33</v>
      </c>
      <c r="D49" s="15" t="s">
        <v>39</v>
      </c>
      <c r="E49" s="16" t="s">
        <v>34</v>
      </c>
      <c r="F49" s="21" t="s">
        <v>27</v>
      </c>
      <c r="G49" s="21"/>
      <c r="H49" s="16" t="s">
        <v>26</v>
      </c>
      <c r="I49" s="23">
        <v>536.69000000000005</v>
      </c>
      <c r="J49" s="23"/>
      <c r="K49" s="19" t="s">
        <v>21</v>
      </c>
      <c r="L49" s="20">
        <v>162366.79999999999</v>
      </c>
    </row>
    <row r="50" spans="1:12" ht="51" x14ac:dyDescent="0.3">
      <c r="A50" s="14" t="s">
        <v>76</v>
      </c>
      <c r="B50" s="15" t="s">
        <v>99</v>
      </c>
      <c r="C50" s="15" t="s">
        <v>33</v>
      </c>
      <c r="D50" s="15" t="s">
        <v>90</v>
      </c>
      <c r="E50" s="16" t="s">
        <v>34</v>
      </c>
      <c r="F50" s="21" t="s">
        <v>27</v>
      </c>
      <c r="G50" s="21"/>
      <c r="H50" s="16" t="s">
        <v>26</v>
      </c>
      <c r="I50" s="22">
        <v>1187.5</v>
      </c>
      <c r="J50" s="22"/>
      <c r="K50" s="19" t="s">
        <v>21</v>
      </c>
      <c r="L50" s="20">
        <v>161179.29999999999</v>
      </c>
    </row>
    <row r="51" spans="1:12" ht="51" x14ac:dyDescent="0.3">
      <c r="A51" s="14" t="s">
        <v>76</v>
      </c>
      <c r="B51" s="15" t="s">
        <v>99</v>
      </c>
      <c r="C51" s="15" t="s">
        <v>33</v>
      </c>
      <c r="D51" s="15" t="s">
        <v>105</v>
      </c>
      <c r="E51" s="16" t="s">
        <v>34</v>
      </c>
      <c r="F51" s="21" t="s">
        <v>27</v>
      </c>
      <c r="G51" s="21"/>
      <c r="H51" s="16" t="s">
        <v>26</v>
      </c>
      <c r="I51" s="22">
        <v>2250</v>
      </c>
      <c r="J51" s="22"/>
      <c r="K51" s="19" t="s">
        <v>21</v>
      </c>
      <c r="L51" s="20">
        <v>158929.29999999999</v>
      </c>
    </row>
    <row r="52" spans="1:12" ht="61.2" x14ac:dyDescent="0.3">
      <c r="A52" s="14" t="s">
        <v>76</v>
      </c>
      <c r="B52" s="15" t="s">
        <v>99</v>
      </c>
      <c r="C52" s="15" t="s">
        <v>33</v>
      </c>
      <c r="D52" s="15" t="s">
        <v>106</v>
      </c>
      <c r="E52" s="16" t="s">
        <v>34</v>
      </c>
      <c r="F52" s="21" t="s">
        <v>27</v>
      </c>
      <c r="G52" s="21"/>
      <c r="H52" s="16" t="s">
        <v>26</v>
      </c>
      <c r="I52" s="22">
        <v>10179</v>
      </c>
      <c r="J52" s="22"/>
      <c r="K52" s="19" t="s">
        <v>21</v>
      </c>
      <c r="L52" s="20">
        <v>148750.29999999999</v>
      </c>
    </row>
    <row r="53" spans="1:12" ht="51" hidden="1" x14ac:dyDescent="0.3">
      <c r="A53" s="14" t="s">
        <v>107</v>
      </c>
      <c r="B53" s="15" t="s">
        <v>108</v>
      </c>
      <c r="C53" s="15" t="s">
        <v>109</v>
      </c>
      <c r="D53" s="15" t="s">
        <v>110</v>
      </c>
      <c r="E53" s="16" t="s">
        <v>26</v>
      </c>
      <c r="F53" s="17">
        <v>1150</v>
      </c>
      <c r="G53" s="17"/>
      <c r="H53" s="16" t="s">
        <v>45</v>
      </c>
      <c r="I53" s="18" t="s">
        <v>27</v>
      </c>
      <c r="J53" s="18"/>
      <c r="K53" s="19" t="s">
        <v>21</v>
      </c>
      <c r="L53" s="20">
        <v>149900.29999999999</v>
      </c>
    </row>
    <row r="54" spans="1:12" ht="51" hidden="1" x14ac:dyDescent="0.3">
      <c r="A54" s="14" t="s">
        <v>107</v>
      </c>
      <c r="B54" s="15" t="s">
        <v>111</v>
      </c>
      <c r="C54" s="15" t="s">
        <v>112</v>
      </c>
      <c r="D54" s="15" t="s">
        <v>113</v>
      </c>
      <c r="E54" s="16" t="s">
        <v>26</v>
      </c>
      <c r="F54" s="17">
        <v>5713.15</v>
      </c>
      <c r="G54" s="17"/>
      <c r="H54" s="16" t="s">
        <v>26</v>
      </c>
      <c r="I54" s="18" t="s">
        <v>27</v>
      </c>
      <c r="J54" s="18"/>
      <c r="K54" s="19" t="s">
        <v>21</v>
      </c>
      <c r="L54" s="20">
        <v>155613.45000000001</v>
      </c>
    </row>
    <row r="55" spans="1:12" ht="51" hidden="1" x14ac:dyDescent="0.3">
      <c r="A55" s="14" t="s">
        <v>107</v>
      </c>
      <c r="B55" s="15" t="s">
        <v>114</v>
      </c>
      <c r="C55" s="15" t="s">
        <v>109</v>
      </c>
      <c r="D55" s="15" t="s">
        <v>110</v>
      </c>
      <c r="E55" s="16" t="s">
        <v>26</v>
      </c>
      <c r="F55" s="24">
        <v>550.66999999999996</v>
      </c>
      <c r="G55" s="24"/>
      <c r="H55" s="16" t="s">
        <v>45</v>
      </c>
      <c r="I55" s="18" t="s">
        <v>27</v>
      </c>
      <c r="J55" s="18"/>
      <c r="K55" s="19" t="s">
        <v>21</v>
      </c>
      <c r="L55" s="20">
        <v>156164.12</v>
      </c>
    </row>
    <row r="56" spans="1:12" ht="51" hidden="1" x14ac:dyDescent="0.3">
      <c r="A56" s="14" t="s">
        <v>115</v>
      </c>
      <c r="B56" s="15" t="s">
        <v>116</v>
      </c>
      <c r="C56" s="15" t="s">
        <v>117</v>
      </c>
      <c r="D56" s="15" t="s">
        <v>112</v>
      </c>
      <c r="E56" s="16" t="s">
        <v>26</v>
      </c>
      <c r="F56" s="21" t="s">
        <v>27</v>
      </c>
      <c r="G56" s="21"/>
      <c r="H56" s="16" t="s">
        <v>26</v>
      </c>
      <c r="I56" s="22">
        <v>5713.15</v>
      </c>
      <c r="J56" s="22"/>
      <c r="K56" s="19" t="s">
        <v>21</v>
      </c>
      <c r="L56" s="20">
        <v>150450.97</v>
      </c>
    </row>
    <row r="57" spans="1:12" ht="51" x14ac:dyDescent="0.3">
      <c r="A57" s="14" t="s">
        <v>115</v>
      </c>
      <c r="B57" s="15" t="s">
        <v>118</v>
      </c>
      <c r="C57" s="15" t="s">
        <v>33</v>
      </c>
      <c r="D57" s="15" t="s">
        <v>74</v>
      </c>
      <c r="E57" s="16" t="s">
        <v>34</v>
      </c>
      <c r="F57" s="21" t="s">
        <v>27</v>
      </c>
      <c r="G57" s="21"/>
      <c r="H57" s="16" t="s">
        <v>26</v>
      </c>
      <c r="I57" s="22">
        <v>12813.64</v>
      </c>
      <c r="J57" s="22"/>
      <c r="K57" s="19" t="s">
        <v>21</v>
      </c>
      <c r="L57" s="20">
        <v>137637.32999999999</v>
      </c>
    </row>
    <row r="58" spans="1:12" ht="51" hidden="1" x14ac:dyDescent="0.3">
      <c r="A58" s="14" t="s">
        <v>119</v>
      </c>
      <c r="B58" s="15" t="s">
        <v>120</v>
      </c>
      <c r="C58" s="15" t="s">
        <v>121</v>
      </c>
      <c r="D58" s="15" t="s">
        <v>122</v>
      </c>
      <c r="E58" s="16" t="s">
        <v>26</v>
      </c>
      <c r="F58" s="17">
        <v>36500</v>
      </c>
      <c r="G58" s="17"/>
      <c r="H58" s="16" t="s">
        <v>45</v>
      </c>
      <c r="I58" s="18" t="s">
        <v>27</v>
      </c>
      <c r="J58" s="18"/>
      <c r="K58" s="19" t="s">
        <v>21</v>
      </c>
      <c r="L58" s="20">
        <v>174137.33</v>
      </c>
    </row>
    <row r="59" spans="1:12" ht="51" hidden="1" x14ac:dyDescent="0.3">
      <c r="A59" s="14" t="s">
        <v>119</v>
      </c>
      <c r="B59" s="15" t="s">
        <v>123</v>
      </c>
      <c r="C59" s="15" t="s">
        <v>124</v>
      </c>
      <c r="D59" s="15" t="s">
        <v>125</v>
      </c>
      <c r="E59" s="16" t="s">
        <v>26</v>
      </c>
      <c r="F59" s="17">
        <v>121275</v>
      </c>
      <c r="G59" s="17"/>
      <c r="H59" s="16" t="s">
        <v>45</v>
      </c>
      <c r="I59" s="18" t="s">
        <v>27</v>
      </c>
      <c r="J59" s="18"/>
      <c r="K59" s="19" t="s">
        <v>21</v>
      </c>
      <c r="L59" s="20">
        <v>295412.33</v>
      </c>
    </row>
    <row r="60" spans="1:12" ht="51" hidden="1" x14ac:dyDescent="0.3">
      <c r="A60" s="14" t="s">
        <v>119</v>
      </c>
      <c r="B60" s="15" t="s">
        <v>123</v>
      </c>
      <c r="C60" s="15" t="s">
        <v>126</v>
      </c>
      <c r="D60" s="15" t="s">
        <v>125</v>
      </c>
      <c r="E60" s="16" t="s">
        <v>26</v>
      </c>
      <c r="F60" s="17">
        <v>4591.67</v>
      </c>
      <c r="G60" s="17"/>
      <c r="H60" s="16" t="s">
        <v>45</v>
      </c>
      <c r="I60" s="18" t="s">
        <v>27</v>
      </c>
      <c r="J60" s="18"/>
      <c r="K60" s="19" t="s">
        <v>21</v>
      </c>
      <c r="L60" s="20">
        <v>300004</v>
      </c>
    </row>
    <row r="61" spans="1:12" ht="51" hidden="1" x14ac:dyDescent="0.3">
      <c r="A61" s="14" t="s">
        <v>119</v>
      </c>
      <c r="B61" s="15" t="s">
        <v>127</v>
      </c>
      <c r="C61" s="15" t="s">
        <v>121</v>
      </c>
      <c r="D61" s="15" t="s">
        <v>128</v>
      </c>
      <c r="E61" s="16" t="s">
        <v>26</v>
      </c>
      <c r="F61" s="17">
        <v>15752.5</v>
      </c>
      <c r="G61" s="17"/>
      <c r="H61" s="16" t="s">
        <v>45</v>
      </c>
      <c r="I61" s="18" t="s">
        <v>27</v>
      </c>
      <c r="J61" s="18"/>
      <c r="K61" s="19" t="s">
        <v>21</v>
      </c>
      <c r="L61" s="20">
        <v>315756.5</v>
      </c>
    </row>
    <row r="62" spans="1:12" ht="51" hidden="1" x14ac:dyDescent="0.3">
      <c r="A62" s="14" t="s">
        <v>129</v>
      </c>
      <c r="B62" s="15" t="s">
        <v>130</v>
      </c>
      <c r="C62" s="15" t="s">
        <v>131</v>
      </c>
      <c r="D62" s="15" t="s">
        <v>125</v>
      </c>
      <c r="E62" s="16" t="s">
        <v>26</v>
      </c>
      <c r="F62" s="17">
        <v>33675</v>
      </c>
      <c r="G62" s="17"/>
      <c r="H62" s="16" t="s">
        <v>45</v>
      </c>
      <c r="I62" s="18" t="s">
        <v>27</v>
      </c>
      <c r="J62" s="18"/>
      <c r="K62" s="19" t="s">
        <v>21</v>
      </c>
      <c r="L62" s="20">
        <v>349431.5</v>
      </c>
    </row>
    <row r="63" spans="1:12" ht="51" hidden="1" x14ac:dyDescent="0.3">
      <c r="A63" s="14" t="s">
        <v>129</v>
      </c>
      <c r="B63" s="15" t="s">
        <v>132</v>
      </c>
      <c r="C63" s="15" t="s">
        <v>131</v>
      </c>
      <c r="D63" s="15" t="s">
        <v>125</v>
      </c>
      <c r="E63" s="16" t="s">
        <v>26</v>
      </c>
      <c r="F63" s="17">
        <v>87600</v>
      </c>
      <c r="G63" s="17"/>
      <c r="H63" s="16" t="s">
        <v>45</v>
      </c>
      <c r="I63" s="18" t="s">
        <v>27</v>
      </c>
      <c r="J63" s="18"/>
      <c r="K63" s="19" t="s">
        <v>21</v>
      </c>
      <c r="L63" s="20">
        <v>437031.5</v>
      </c>
    </row>
    <row r="64" spans="1:12" ht="51" hidden="1" x14ac:dyDescent="0.3">
      <c r="A64" s="14" t="s">
        <v>129</v>
      </c>
      <c r="B64" s="15" t="s">
        <v>130</v>
      </c>
      <c r="C64" s="15" t="s">
        <v>133</v>
      </c>
      <c r="D64" s="15" t="s">
        <v>125</v>
      </c>
      <c r="E64" s="16" t="s">
        <v>26</v>
      </c>
      <c r="F64" s="17">
        <v>4591.67</v>
      </c>
      <c r="G64" s="17"/>
      <c r="H64" s="16" t="s">
        <v>45</v>
      </c>
      <c r="I64" s="18" t="s">
        <v>27</v>
      </c>
      <c r="J64" s="18"/>
      <c r="K64" s="19" t="s">
        <v>21</v>
      </c>
      <c r="L64" s="20">
        <v>441623.17</v>
      </c>
    </row>
    <row r="65" spans="1:12" ht="51" hidden="1" x14ac:dyDescent="0.3">
      <c r="A65" s="14" t="s">
        <v>129</v>
      </c>
      <c r="B65" s="15" t="s">
        <v>134</v>
      </c>
      <c r="C65" s="15" t="s">
        <v>135</v>
      </c>
      <c r="D65" s="15" t="s">
        <v>136</v>
      </c>
      <c r="E65" s="16" t="s">
        <v>26</v>
      </c>
      <c r="F65" s="17">
        <v>4126.83</v>
      </c>
      <c r="G65" s="17"/>
      <c r="H65" s="16" t="s">
        <v>26</v>
      </c>
      <c r="I65" s="18" t="s">
        <v>27</v>
      </c>
      <c r="J65" s="18"/>
      <c r="K65" s="19" t="s">
        <v>21</v>
      </c>
      <c r="L65" s="20">
        <v>445750</v>
      </c>
    </row>
    <row r="66" spans="1:12" ht="51" hidden="1" x14ac:dyDescent="0.3">
      <c r="A66" s="14" t="s">
        <v>129</v>
      </c>
      <c r="B66" s="15" t="s">
        <v>137</v>
      </c>
      <c r="C66" s="15" t="s">
        <v>138</v>
      </c>
      <c r="D66" s="15" t="s">
        <v>139</v>
      </c>
      <c r="E66" s="16" t="s">
        <v>26</v>
      </c>
      <c r="F66" s="17">
        <v>20517.330000000002</v>
      </c>
      <c r="G66" s="17"/>
      <c r="H66" s="16" t="s">
        <v>26</v>
      </c>
      <c r="I66" s="18" t="s">
        <v>27</v>
      </c>
      <c r="J66" s="18"/>
      <c r="K66" s="19" t="s">
        <v>21</v>
      </c>
      <c r="L66" s="20">
        <v>466267.33</v>
      </c>
    </row>
    <row r="67" spans="1:12" ht="51" hidden="1" x14ac:dyDescent="0.3">
      <c r="A67" s="14" t="s">
        <v>140</v>
      </c>
      <c r="B67" s="15" t="s">
        <v>141</v>
      </c>
      <c r="C67" s="15" t="s">
        <v>142</v>
      </c>
      <c r="D67" s="15" t="s">
        <v>143</v>
      </c>
      <c r="E67" s="16" t="s">
        <v>26</v>
      </c>
      <c r="F67" s="17">
        <v>17520</v>
      </c>
      <c r="G67" s="17"/>
      <c r="H67" s="16" t="s">
        <v>45</v>
      </c>
      <c r="I67" s="18" t="s">
        <v>27</v>
      </c>
      <c r="J67" s="18"/>
      <c r="K67" s="19" t="s">
        <v>21</v>
      </c>
      <c r="L67" s="20">
        <v>483787.33</v>
      </c>
    </row>
    <row r="68" spans="1:12" ht="51" hidden="1" x14ac:dyDescent="0.3">
      <c r="A68" s="14" t="s">
        <v>140</v>
      </c>
      <c r="B68" s="15" t="s">
        <v>144</v>
      </c>
      <c r="C68" s="15" t="s">
        <v>142</v>
      </c>
      <c r="D68" s="15" t="s">
        <v>145</v>
      </c>
      <c r="E68" s="16" t="s">
        <v>26</v>
      </c>
      <c r="F68" s="17">
        <v>8720</v>
      </c>
      <c r="G68" s="17"/>
      <c r="H68" s="16" t="s">
        <v>45</v>
      </c>
      <c r="I68" s="18" t="s">
        <v>27</v>
      </c>
      <c r="J68" s="18"/>
      <c r="K68" s="19" t="s">
        <v>21</v>
      </c>
      <c r="L68" s="20">
        <v>492507.33</v>
      </c>
    </row>
    <row r="69" spans="1:12" hidden="1" x14ac:dyDescent="0.3">
      <c r="A69" s="25" t="s">
        <v>146</v>
      </c>
      <c r="B69" s="25"/>
      <c r="C69" s="25"/>
      <c r="D69" s="25"/>
      <c r="E69" s="26">
        <v>737750.98</v>
      </c>
      <c r="F69" s="26"/>
      <c r="G69" s="26"/>
      <c r="H69" s="26">
        <v>579164.51</v>
      </c>
      <c r="I69" s="26"/>
      <c r="J69" s="26"/>
      <c r="K69" s="27" t="s">
        <v>21</v>
      </c>
      <c r="L69" s="28">
        <v>492507.33</v>
      </c>
    </row>
    <row r="71" spans="1:12" x14ac:dyDescent="0.3">
      <c r="J71" s="351">
        <f>SUBTOTAL(9,I5:J57)</f>
        <v>536877.41</v>
      </c>
    </row>
  </sheetData>
  <autoFilter ref="A1:L69" xr:uid="{D0AD3D34-78D9-4DD4-9F44-63FB1700B31C}">
    <filterColumn colId="1">
      <filters>
        <filter val="Вимога-накладна ІБ00-000437 від 02.06.2025 00:00:00_x000a_Списаны ТМЦ"/>
        <filter val="Вимога-накладна ІБ00-000438 від 02.06.2025 10:37:22_x000a_Списаны ТМЦ"/>
        <filter val="Вимога-накладна ІБ00-000439 від 02.06.2025 10:40:51_x000a_Списаны ТМЦ"/>
        <filter val="Вимога-накладна ІБ00-000455 від 19.06.2025 10:28:26_x000a_Списаны ТМЦ"/>
        <filter val="Вимога-накладна ІБ00-000486 від 20.06.2025 18:07:02_x000a_Списаны ТМЦ"/>
        <filter val="Вимога-накладна ІБ00-000507 від 25.06.2025 23:12:57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44">
    <mergeCell ref="F67:G67"/>
    <mergeCell ref="I67:J67"/>
    <mergeCell ref="F68:G68"/>
    <mergeCell ref="I68:J68"/>
    <mergeCell ref="A69:D69"/>
    <mergeCell ref="E69:G69"/>
    <mergeCell ref="H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EF959-7F7A-4495-9E49-062A0ED0CA64}">
  <sheetPr filterMode="1"/>
  <dimension ref="A1:L41"/>
  <sheetViews>
    <sheetView topLeftCell="A34" workbookViewId="0">
      <selection activeCell="J41" sqref="J41"/>
    </sheetView>
  </sheetViews>
  <sheetFormatPr defaultRowHeight="14.4" x14ac:dyDescent="0.3"/>
  <cols>
    <col min="2" max="4" width="34.33203125" customWidth="1"/>
    <col min="10" max="10" width="9.88671875" bestFit="1" customWidth="1"/>
  </cols>
  <sheetData>
    <row r="1" spans="1:12" x14ac:dyDescent="0.3">
      <c r="A1" s="29" t="s">
        <v>13</v>
      </c>
      <c r="B1" s="30" t="s">
        <v>14</v>
      </c>
      <c r="C1" s="30" t="s">
        <v>15</v>
      </c>
      <c r="D1" s="31" t="s">
        <v>16</v>
      </c>
      <c r="E1" s="32" t="s">
        <v>17</v>
      </c>
      <c r="F1" s="32"/>
      <c r="G1" s="32"/>
      <c r="H1" s="33" t="s">
        <v>18</v>
      </c>
      <c r="I1" s="33"/>
      <c r="J1" s="33"/>
      <c r="K1" s="30" t="s">
        <v>19</v>
      </c>
      <c r="L1" s="30"/>
    </row>
    <row r="2" spans="1:12" hidden="1" x14ac:dyDescent="0.3">
      <c r="A2" s="34"/>
      <c r="B2" s="35"/>
      <c r="C2" s="35"/>
      <c r="D2" s="36"/>
      <c r="E2" s="37" t="s">
        <v>20</v>
      </c>
      <c r="F2" s="38"/>
      <c r="G2" s="38"/>
      <c r="H2" s="39" t="s">
        <v>20</v>
      </c>
      <c r="I2" s="40"/>
      <c r="J2" s="40"/>
      <c r="K2" s="34"/>
      <c r="L2" s="41"/>
    </row>
    <row r="3" spans="1:12" ht="51" hidden="1" x14ac:dyDescent="0.3">
      <c r="A3" s="42" t="s">
        <v>147</v>
      </c>
      <c r="B3" s="43" t="s">
        <v>148</v>
      </c>
      <c r="C3" s="43" t="s">
        <v>149</v>
      </c>
      <c r="D3" s="43" t="s">
        <v>150</v>
      </c>
      <c r="E3" s="44" t="s">
        <v>26</v>
      </c>
      <c r="F3" s="45">
        <v>6729.25</v>
      </c>
      <c r="G3" s="45"/>
      <c r="H3" s="44" t="s">
        <v>26</v>
      </c>
      <c r="I3" s="46" t="s">
        <v>27</v>
      </c>
      <c r="J3" s="46"/>
      <c r="K3" s="47" t="s">
        <v>21</v>
      </c>
      <c r="L3" s="48">
        <v>6729.25</v>
      </c>
    </row>
    <row r="4" spans="1:12" ht="51" hidden="1" x14ac:dyDescent="0.3">
      <c r="A4" s="42" t="s">
        <v>147</v>
      </c>
      <c r="B4" s="43" t="s">
        <v>148</v>
      </c>
      <c r="C4" s="43" t="s">
        <v>151</v>
      </c>
      <c r="D4" s="43" t="s">
        <v>152</v>
      </c>
      <c r="E4" s="44" t="s">
        <v>26</v>
      </c>
      <c r="F4" s="45">
        <v>1871.83</v>
      </c>
      <c r="G4" s="45"/>
      <c r="H4" s="44" t="s">
        <v>26</v>
      </c>
      <c r="I4" s="46" t="s">
        <v>27</v>
      </c>
      <c r="J4" s="46"/>
      <c r="K4" s="47" t="s">
        <v>21</v>
      </c>
      <c r="L4" s="48">
        <v>8601.08</v>
      </c>
    </row>
    <row r="5" spans="1:12" ht="51" hidden="1" x14ac:dyDescent="0.3">
      <c r="A5" s="42" t="s">
        <v>147</v>
      </c>
      <c r="B5" s="43" t="s">
        <v>148</v>
      </c>
      <c r="C5" s="43" t="s">
        <v>153</v>
      </c>
      <c r="D5" s="43" t="s">
        <v>154</v>
      </c>
      <c r="E5" s="44" t="s">
        <v>26</v>
      </c>
      <c r="F5" s="45">
        <v>7555.17</v>
      </c>
      <c r="G5" s="45"/>
      <c r="H5" s="44" t="s">
        <v>26</v>
      </c>
      <c r="I5" s="46" t="s">
        <v>27</v>
      </c>
      <c r="J5" s="46"/>
      <c r="K5" s="47" t="s">
        <v>21</v>
      </c>
      <c r="L5" s="48">
        <v>16156.25</v>
      </c>
    </row>
    <row r="6" spans="1:12" ht="51" hidden="1" x14ac:dyDescent="0.3">
      <c r="A6" s="42" t="s">
        <v>147</v>
      </c>
      <c r="B6" s="43" t="s">
        <v>148</v>
      </c>
      <c r="C6" s="43" t="s">
        <v>155</v>
      </c>
      <c r="D6" s="43" t="s">
        <v>156</v>
      </c>
      <c r="E6" s="44" t="s">
        <v>26</v>
      </c>
      <c r="F6" s="45">
        <v>7991.5</v>
      </c>
      <c r="G6" s="45"/>
      <c r="H6" s="44" t="s">
        <v>26</v>
      </c>
      <c r="I6" s="46" t="s">
        <v>27</v>
      </c>
      <c r="J6" s="46"/>
      <c r="K6" s="47" t="s">
        <v>21</v>
      </c>
      <c r="L6" s="48">
        <v>24147.75</v>
      </c>
    </row>
    <row r="7" spans="1:12" ht="51" hidden="1" x14ac:dyDescent="0.3">
      <c r="A7" s="42" t="s">
        <v>147</v>
      </c>
      <c r="B7" s="43" t="s">
        <v>148</v>
      </c>
      <c r="C7" s="43" t="s">
        <v>157</v>
      </c>
      <c r="D7" s="43" t="s">
        <v>158</v>
      </c>
      <c r="E7" s="44" t="s">
        <v>26</v>
      </c>
      <c r="F7" s="45">
        <v>1904.83</v>
      </c>
      <c r="G7" s="45"/>
      <c r="H7" s="44" t="s">
        <v>26</v>
      </c>
      <c r="I7" s="46" t="s">
        <v>27</v>
      </c>
      <c r="J7" s="46"/>
      <c r="K7" s="47" t="s">
        <v>21</v>
      </c>
      <c r="L7" s="48">
        <v>26052.58</v>
      </c>
    </row>
    <row r="8" spans="1:12" ht="51" hidden="1" x14ac:dyDescent="0.3">
      <c r="A8" s="42" t="s">
        <v>147</v>
      </c>
      <c r="B8" s="43" t="s">
        <v>148</v>
      </c>
      <c r="C8" s="43" t="s">
        <v>159</v>
      </c>
      <c r="D8" s="43" t="s">
        <v>160</v>
      </c>
      <c r="E8" s="44" t="s">
        <v>26</v>
      </c>
      <c r="F8" s="45">
        <v>5985.84</v>
      </c>
      <c r="G8" s="45"/>
      <c r="H8" s="44" t="s">
        <v>26</v>
      </c>
      <c r="I8" s="46" t="s">
        <v>27</v>
      </c>
      <c r="J8" s="46"/>
      <c r="K8" s="47" t="s">
        <v>21</v>
      </c>
      <c r="L8" s="48">
        <v>32038.42</v>
      </c>
    </row>
    <row r="9" spans="1:12" ht="51" hidden="1" x14ac:dyDescent="0.3">
      <c r="A9" s="42" t="s">
        <v>147</v>
      </c>
      <c r="B9" s="43" t="s">
        <v>148</v>
      </c>
      <c r="C9" s="43" t="s">
        <v>161</v>
      </c>
      <c r="D9" s="43" t="s">
        <v>162</v>
      </c>
      <c r="E9" s="44" t="s">
        <v>26</v>
      </c>
      <c r="F9" s="45">
        <v>7921.83</v>
      </c>
      <c r="G9" s="45"/>
      <c r="H9" s="44" t="s">
        <v>26</v>
      </c>
      <c r="I9" s="46" t="s">
        <v>27</v>
      </c>
      <c r="J9" s="46"/>
      <c r="K9" s="47" t="s">
        <v>21</v>
      </c>
      <c r="L9" s="48">
        <v>39960.25</v>
      </c>
    </row>
    <row r="10" spans="1:12" ht="51" hidden="1" x14ac:dyDescent="0.3">
      <c r="A10" s="42" t="s">
        <v>147</v>
      </c>
      <c r="B10" s="43" t="s">
        <v>148</v>
      </c>
      <c r="C10" s="43" t="s">
        <v>163</v>
      </c>
      <c r="D10" s="43" t="s">
        <v>164</v>
      </c>
      <c r="E10" s="44" t="s">
        <v>26</v>
      </c>
      <c r="F10" s="49">
        <v>932.89</v>
      </c>
      <c r="G10" s="49"/>
      <c r="H10" s="44" t="s">
        <v>26</v>
      </c>
      <c r="I10" s="46" t="s">
        <v>27</v>
      </c>
      <c r="J10" s="46"/>
      <c r="K10" s="47" t="s">
        <v>21</v>
      </c>
      <c r="L10" s="48">
        <v>40893.14</v>
      </c>
    </row>
    <row r="11" spans="1:12" ht="51" hidden="1" x14ac:dyDescent="0.3">
      <c r="A11" s="42" t="s">
        <v>147</v>
      </c>
      <c r="B11" s="43" t="s">
        <v>148</v>
      </c>
      <c r="C11" s="43" t="s">
        <v>165</v>
      </c>
      <c r="D11" s="43" t="s">
        <v>166</v>
      </c>
      <c r="E11" s="44" t="s">
        <v>26</v>
      </c>
      <c r="F11" s="45">
        <v>5738.67</v>
      </c>
      <c r="G11" s="45"/>
      <c r="H11" s="44" t="s">
        <v>26</v>
      </c>
      <c r="I11" s="46" t="s">
        <v>27</v>
      </c>
      <c r="J11" s="46"/>
      <c r="K11" s="47" t="s">
        <v>21</v>
      </c>
      <c r="L11" s="48">
        <v>46631.81</v>
      </c>
    </row>
    <row r="12" spans="1:12" ht="51" hidden="1" x14ac:dyDescent="0.3">
      <c r="A12" s="42" t="s">
        <v>147</v>
      </c>
      <c r="B12" s="43" t="s">
        <v>148</v>
      </c>
      <c r="C12" s="43" t="s">
        <v>167</v>
      </c>
      <c r="D12" s="43" t="s">
        <v>168</v>
      </c>
      <c r="E12" s="44" t="s">
        <v>26</v>
      </c>
      <c r="F12" s="45">
        <v>5941.33</v>
      </c>
      <c r="G12" s="45"/>
      <c r="H12" s="44" t="s">
        <v>26</v>
      </c>
      <c r="I12" s="46" t="s">
        <v>27</v>
      </c>
      <c r="J12" s="46"/>
      <c r="K12" s="47" t="s">
        <v>21</v>
      </c>
      <c r="L12" s="48">
        <v>52573.14</v>
      </c>
    </row>
    <row r="13" spans="1:12" ht="51" hidden="1" x14ac:dyDescent="0.3">
      <c r="A13" s="42" t="s">
        <v>147</v>
      </c>
      <c r="B13" s="43" t="s">
        <v>148</v>
      </c>
      <c r="C13" s="43" t="s">
        <v>169</v>
      </c>
      <c r="D13" s="43" t="s">
        <v>170</v>
      </c>
      <c r="E13" s="44" t="s">
        <v>26</v>
      </c>
      <c r="F13" s="45">
        <v>11621.33</v>
      </c>
      <c r="G13" s="45"/>
      <c r="H13" s="44" t="s">
        <v>26</v>
      </c>
      <c r="I13" s="46" t="s">
        <v>27</v>
      </c>
      <c r="J13" s="46"/>
      <c r="K13" s="47" t="s">
        <v>21</v>
      </c>
      <c r="L13" s="48">
        <v>64194.47</v>
      </c>
    </row>
    <row r="14" spans="1:12" ht="61.2" hidden="1" x14ac:dyDescent="0.3">
      <c r="A14" s="42" t="s">
        <v>147</v>
      </c>
      <c r="B14" s="43" t="s">
        <v>148</v>
      </c>
      <c r="C14" s="43" t="s">
        <v>171</v>
      </c>
      <c r="D14" s="43" t="s">
        <v>172</v>
      </c>
      <c r="E14" s="44" t="s">
        <v>26</v>
      </c>
      <c r="F14" s="45">
        <v>115686.08</v>
      </c>
      <c r="G14" s="45"/>
      <c r="H14" s="44" t="s">
        <v>26</v>
      </c>
      <c r="I14" s="46" t="s">
        <v>27</v>
      </c>
      <c r="J14" s="46"/>
      <c r="K14" s="47" t="s">
        <v>21</v>
      </c>
      <c r="L14" s="48">
        <v>179880.55</v>
      </c>
    </row>
    <row r="15" spans="1:12" ht="51" hidden="1" x14ac:dyDescent="0.3">
      <c r="A15" s="42" t="s">
        <v>147</v>
      </c>
      <c r="B15" s="43" t="s">
        <v>173</v>
      </c>
      <c r="C15" s="43" t="s">
        <v>174</v>
      </c>
      <c r="D15" s="43" t="s">
        <v>175</v>
      </c>
      <c r="E15" s="44" t="s">
        <v>26</v>
      </c>
      <c r="F15" s="45">
        <v>62647.17</v>
      </c>
      <c r="G15" s="45"/>
      <c r="H15" s="44" t="s">
        <v>26</v>
      </c>
      <c r="I15" s="46" t="s">
        <v>27</v>
      </c>
      <c r="J15" s="46"/>
      <c r="K15" s="47" t="s">
        <v>21</v>
      </c>
      <c r="L15" s="48">
        <v>242527.72</v>
      </c>
    </row>
    <row r="16" spans="1:12" ht="51" hidden="1" x14ac:dyDescent="0.3">
      <c r="A16" s="42" t="s">
        <v>147</v>
      </c>
      <c r="B16" s="43" t="s">
        <v>176</v>
      </c>
      <c r="C16" s="43" t="s">
        <v>174</v>
      </c>
      <c r="D16" s="43" t="s">
        <v>177</v>
      </c>
      <c r="E16" s="44" t="s">
        <v>26</v>
      </c>
      <c r="F16" s="45">
        <v>13246</v>
      </c>
      <c r="G16" s="45"/>
      <c r="H16" s="44" t="s">
        <v>26</v>
      </c>
      <c r="I16" s="46" t="s">
        <v>27</v>
      </c>
      <c r="J16" s="46"/>
      <c r="K16" s="47" t="s">
        <v>21</v>
      </c>
      <c r="L16" s="48">
        <v>255773.72</v>
      </c>
    </row>
    <row r="17" spans="1:12" ht="51" hidden="1" x14ac:dyDescent="0.3">
      <c r="A17" s="42" t="s">
        <v>147</v>
      </c>
      <c r="B17" s="43" t="s">
        <v>176</v>
      </c>
      <c r="C17" s="43" t="s">
        <v>178</v>
      </c>
      <c r="D17" s="43" t="s">
        <v>179</v>
      </c>
      <c r="E17" s="44" t="s">
        <v>26</v>
      </c>
      <c r="F17" s="45">
        <v>12273</v>
      </c>
      <c r="G17" s="45"/>
      <c r="H17" s="44" t="s">
        <v>26</v>
      </c>
      <c r="I17" s="46" t="s">
        <v>27</v>
      </c>
      <c r="J17" s="46"/>
      <c r="K17" s="47" t="s">
        <v>21</v>
      </c>
      <c r="L17" s="48">
        <v>268046.71999999997</v>
      </c>
    </row>
    <row r="18" spans="1:12" ht="51" hidden="1" x14ac:dyDescent="0.3">
      <c r="A18" s="42" t="s">
        <v>147</v>
      </c>
      <c r="B18" s="43" t="s">
        <v>176</v>
      </c>
      <c r="C18" s="43" t="s">
        <v>180</v>
      </c>
      <c r="D18" s="43" t="s">
        <v>181</v>
      </c>
      <c r="E18" s="44" t="s">
        <v>26</v>
      </c>
      <c r="F18" s="45">
        <v>12147</v>
      </c>
      <c r="G18" s="45"/>
      <c r="H18" s="44" t="s">
        <v>26</v>
      </c>
      <c r="I18" s="46" t="s">
        <v>27</v>
      </c>
      <c r="J18" s="46"/>
      <c r="K18" s="47" t="s">
        <v>21</v>
      </c>
      <c r="L18" s="48">
        <v>280193.71999999997</v>
      </c>
    </row>
    <row r="19" spans="1:12" ht="51" x14ac:dyDescent="0.3">
      <c r="A19" s="42" t="s">
        <v>68</v>
      </c>
      <c r="B19" s="43" t="s">
        <v>182</v>
      </c>
      <c r="C19" s="43" t="s">
        <v>33</v>
      </c>
      <c r="D19" s="43" t="s">
        <v>149</v>
      </c>
      <c r="E19" s="44" t="s">
        <v>34</v>
      </c>
      <c r="F19" s="50" t="s">
        <v>27</v>
      </c>
      <c r="G19" s="50"/>
      <c r="H19" s="44" t="s">
        <v>26</v>
      </c>
      <c r="I19" s="51">
        <v>6729.25</v>
      </c>
      <c r="J19" s="51"/>
      <c r="K19" s="47" t="s">
        <v>21</v>
      </c>
      <c r="L19" s="48">
        <v>273464.46999999997</v>
      </c>
    </row>
    <row r="20" spans="1:12" ht="51" x14ac:dyDescent="0.3">
      <c r="A20" s="42" t="s">
        <v>68</v>
      </c>
      <c r="B20" s="43" t="s">
        <v>182</v>
      </c>
      <c r="C20" s="43" t="s">
        <v>33</v>
      </c>
      <c r="D20" s="43" t="s">
        <v>151</v>
      </c>
      <c r="E20" s="44" t="s">
        <v>34</v>
      </c>
      <c r="F20" s="50" t="s">
        <v>27</v>
      </c>
      <c r="G20" s="50"/>
      <c r="H20" s="44" t="s">
        <v>26</v>
      </c>
      <c r="I20" s="51">
        <v>1871.83</v>
      </c>
      <c r="J20" s="51"/>
      <c r="K20" s="47" t="s">
        <v>21</v>
      </c>
      <c r="L20" s="48">
        <v>271592.64</v>
      </c>
    </row>
    <row r="21" spans="1:12" ht="51" x14ac:dyDescent="0.3">
      <c r="A21" s="42" t="s">
        <v>68</v>
      </c>
      <c r="B21" s="43" t="s">
        <v>182</v>
      </c>
      <c r="C21" s="43" t="s">
        <v>33</v>
      </c>
      <c r="D21" s="43" t="s">
        <v>153</v>
      </c>
      <c r="E21" s="44" t="s">
        <v>34</v>
      </c>
      <c r="F21" s="50" t="s">
        <v>27</v>
      </c>
      <c r="G21" s="50"/>
      <c r="H21" s="44" t="s">
        <v>26</v>
      </c>
      <c r="I21" s="51">
        <v>7555.17</v>
      </c>
      <c r="J21" s="51"/>
      <c r="K21" s="47" t="s">
        <v>21</v>
      </c>
      <c r="L21" s="48">
        <v>264037.46999999997</v>
      </c>
    </row>
    <row r="22" spans="1:12" ht="51" x14ac:dyDescent="0.3">
      <c r="A22" s="42" t="s">
        <v>68</v>
      </c>
      <c r="B22" s="43" t="s">
        <v>182</v>
      </c>
      <c r="C22" s="43" t="s">
        <v>33</v>
      </c>
      <c r="D22" s="43" t="s">
        <v>155</v>
      </c>
      <c r="E22" s="44" t="s">
        <v>34</v>
      </c>
      <c r="F22" s="50" t="s">
        <v>27</v>
      </c>
      <c r="G22" s="50"/>
      <c r="H22" s="44" t="s">
        <v>26</v>
      </c>
      <c r="I22" s="51">
        <v>7991.5</v>
      </c>
      <c r="J22" s="51"/>
      <c r="K22" s="47" t="s">
        <v>21</v>
      </c>
      <c r="L22" s="48">
        <v>256045.97</v>
      </c>
    </row>
    <row r="23" spans="1:12" ht="51" x14ac:dyDescent="0.3">
      <c r="A23" s="42" t="s">
        <v>68</v>
      </c>
      <c r="B23" s="43" t="s">
        <v>182</v>
      </c>
      <c r="C23" s="43" t="s">
        <v>33</v>
      </c>
      <c r="D23" s="43" t="s">
        <v>157</v>
      </c>
      <c r="E23" s="44" t="s">
        <v>34</v>
      </c>
      <c r="F23" s="50" t="s">
        <v>27</v>
      </c>
      <c r="G23" s="50"/>
      <c r="H23" s="44" t="s">
        <v>26</v>
      </c>
      <c r="I23" s="51">
        <v>1904.83</v>
      </c>
      <c r="J23" s="51"/>
      <c r="K23" s="47" t="s">
        <v>21</v>
      </c>
      <c r="L23" s="48">
        <v>254141.14</v>
      </c>
    </row>
    <row r="24" spans="1:12" ht="51" x14ac:dyDescent="0.3">
      <c r="A24" s="42" t="s">
        <v>68</v>
      </c>
      <c r="B24" s="43" t="s">
        <v>182</v>
      </c>
      <c r="C24" s="43" t="s">
        <v>33</v>
      </c>
      <c r="D24" s="43" t="s">
        <v>159</v>
      </c>
      <c r="E24" s="44" t="s">
        <v>34</v>
      </c>
      <c r="F24" s="50" t="s">
        <v>27</v>
      </c>
      <c r="G24" s="50"/>
      <c r="H24" s="44" t="s">
        <v>26</v>
      </c>
      <c r="I24" s="51">
        <v>5985.84</v>
      </c>
      <c r="J24" s="51"/>
      <c r="K24" s="47" t="s">
        <v>21</v>
      </c>
      <c r="L24" s="48">
        <v>248155.3</v>
      </c>
    </row>
    <row r="25" spans="1:12" ht="51" x14ac:dyDescent="0.3">
      <c r="A25" s="42" t="s">
        <v>68</v>
      </c>
      <c r="B25" s="43" t="s">
        <v>182</v>
      </c>
      <c r="C25" s="43" t="s">
        <v>33</v>
      </c>
      <c r="D25" s="43" t="s">
        <v>161</v>
      </c>
      <c r="E25" s="44" t="s">
        <v>34</v>
      </c>
      <c r="F25" s="50" t="s">
        <v>27</v>
      </c>
      <c r="G25" s="50"/>
      <c r="H25" s="44" t="s">
        <v>26</v>
      </c>
      <c r="I25" s="51">
        <v>7921.83</v>
      </c>
      <c r="J25" s="51"/>
      <c r="K25" s="47" t="s">
        <v>21</v>
      </c>
      <c r="L25" s="48">
        <v>240233.47</v>
      </c>
    </row>
    <row r="26" spans="1:12" ht="51" x14ac:dyDescent="0.3">
      <c r="A26" s="42" t="s">
        <v>68</v>
      </c>
      <c r="B26" s="43" t="s">
        <v>182</v>
      </c>
      <c r="C26" s="43" t="s">
        <v>33</v>
      </c>
      <c r="D26" s="43" t="s">
        <v>163</v>
      </c>
      <c r="E26" s="44" t="s">
        <v>34</v>
      </c>
      <c r="F26" s="50" t="s">
        <v>27</v>
      </c>
      <c r="G26" s="50"/>
      <c r="H26" s="44" t="s">
        <v>26</v>
      </c>
      <c r="I26" s="52">
        <v>932.89</v>
      </c>
      <c r="J26" s="52"/>
      <c r="K26" s="47" t="s">
        <v>21</v>
      </c>
      <c r="L26" s="48">
        <v>239300.58</v>
      </c>
    </row>
    <row r="27" spans="1:12" ht="51" x14ac:dyDescent="0.3">
      <c r="A27" s="42" t="s">
        <v>68</v>
      </c>
      <c r="B27" s="43" t="s">
        <v>182</v>
      </c>
      <c r="C27" s="43" t="s">
        <v>33</v>
      </c>
      <c r="D27" s="43" t="s">
        <v>174</v>
      </c>
      <c r="E27" s="44" t="s">
        <v>34</v>
      </c>
      <c r="F27" s="50" t="s">
        <v>27</v>
      </c>
      <c r="G27" s="50"/>
      <c r="H27" s="44" t="s">
        <v>26</v>
      </c>
      <c r="I27" s="51">
        <v>13739.33</v>
      </c>
      <c r="J27" s="51"/>
      <c r="K27" s="47" t="s">
        <v>21</v>
      </c>
      <c r="L27" s="48">
        <v>225561.25</v>
      </c>
    </row>
    <row r="28" spans="1:12" ht="51" x14ac:dyDescent="0.3">
      <c r="A28" s="42" t="s">
        <v>68</v>
      </c>
      <c r="B28" s="43" t="s">
        <v>182</v>
      </c>
      <c r="C28" s="43" t="s">
        <v>33</v>
      </c>
      <c r="D28" s="43" t="s">
        <v>174</v>
      </c>
      <c r="E28" s="44" t="s">
        <v>34</v>
      </c>
      <c r="F28" s="50" t="s">
        <v>27</v>
      </c>
      <c r="G28" s="50"/>
      <c r="H28" s="44" t="s">
        <v>26</v>
      </c>
      <c r="I28" s="51">
        <v>13270.67</v>
      </c>
      <c r="J28" s="51"/>
      <c r="K28" s="47" t="s">
        <v>21</v>
      </c>
      <c r="L28" s="48">
        <v>212290.58</v>
      </c>
    </row>
    <row r="29" spans="1:12" ht="51" x14ac:dyDescent="0.3">
      <c r="A29" s="42" t="s">
        <v>68</v>
      </c>
      <c r="B29" s="43" t="s">
        <v>182</v>
      </c>
      <c r="C29" s="43" t="s">
        <v>33</v>
      </c>
      <c r="D29" s="43" t="s">
        <v>169</v>
      </c>
      <c r="E29" s="44" t="s">
        <v>34</v>
      </c>
      <c r="F29" s="50" t="s">
        <v>27</v>
      </c>
      <c r="G29" s="50"/>
      <c r="H29" s="44" t="s">
        <v>26</v>
      </c>
      <c r="I29" s="51">
        <v>11621.33</v>
      </c>
      <c r="J29" s="51"/>
      <c r="K29" s="47" t="s">
        <v>21</v>
      </c>
      <c r="L29" s="48">
        <v>200669.25</v>
      </c>
    </row>
    <row r="30" spans="1:12" ht="51" x14ac:dyDescent="0.3">
      <c r="A30" s="42" t="s">
        <v>68</v>
      </c>
      <c r="B30" s="43" t="s">
        <v>182</v>
      </c>
      <c r="C30" s="43" t="s">
        <v>33</v>
      </c>
      <c r="D30" s="43" t="s">
        <v>174</v>
      </c>
      <c r="E30" s="44" t="s">
        <v>34</v>
      </c>
      <c r="F30" s="50" t="s">
        <v>27</v>
      </c>
      <c r="G30" s="50"/>
      <c r="H30" s="44" t="s">
        <v>26</v>
      </c>
      <c r="I30" s="51">
        <v>48883.17</v>
      </c>
      <c r="J30" s="51"/>
      <c r="K30" s="47" t="s">
        <v>21</v>
      </c>
      <c r="L30" s="48">
        <v>151786.07999999999</v>
      </c>
    </row>
    <row r="31" spans="1:12" ht="51" x14ac:dyDescent="0.3">
      <c r="A31" s="42" t="s">
        <v>68</v>
      </c>
      <c r="B31" s="43" t="s">
        <v>182</v>
      </c>
      <c r="C31" s="43" t="s">
        <v>33</v>
      </c>
      <c r="D31" s="43" t="s">
        <v>165</v>
      </c>
      <c r="E31" s="44" t="s">
        <v>34</v>
      </c>
      <c r="F31" s="50" t="s">
        <v>27</v>
      </c>
      <c r="G31" s="50"/>
      <c r="H31" s="44" t="s">
        <v>26</v>
      </c>
      <c r="I31" s="51">
        <v>5738.67</v>
      </c>
      <c r="J31" s="51"/>
      <c r="K31" s="47" t="s">
        <v>21</v>
      </c>
      <c r="L31" s="48">
        <v>146047.41</v>
      </c>
    </row>
    <row r="32" spans="1:12" ht="51" x14ac:dyDescent="0.3">
      <c r="A32" s="42" t="s">
        <v>68</v>
      </c>
      <c r="B32" s="43" t="s">
        <v>182</v>
      </c>
      <c r="C32" s="43" t="s">
        <v>33</v>
      </c>
      <c r="D32" s="43" t="s">
        <v>167</v>
      </c>
      <c r="E32" s="44" t="s">
        <v>34</v>
      </c>
      <c r="F32" s="50" t="s">
        <v>27</v>
      </c>
      <c r="G32" s="50"/>
      <c r="H32" s="44" t="s">
        <v>26</v>
      </c>
      <c r="I32" s="52">
        <v>213.33</v>
      </c>
      <c r="J32" s="52"/>
      <c r="K32" s="47" t="s">
        <v>21</v>
      </c>
      <c r="L32" s="48">
        <v>145834.07999999999</v>
      </c>
    </row>
    <row r="33" spans="1:12" ht="51" x14ac:dyDescent="0.3">
      <c r="A33" s="42" t="s">
        <v>68</v>
      </c>
      <c r="B33" s="43" t="s">
        <v>182</v>
      </c>
      <c r="C33" s="43" t="s">
        <v>33</v>
      </c>
      <c r="D33" s="43" t="s">
        <v>167</v>
      </c>
      <c r="E33" s="44" t="s">
        <v>34</v>
      </c>
      <c r="F33" s="50" t="s">
        <v>27</v>
      </c>
      <c r="G33" s="50"/>
      <c r="H33" s="44" t="s">
        <v>26</v>
      </c>
      <c r="I33" s="51">
        <v>5728</v>
      </c>
      <c r="J33" s="51"/>
      <c r="K33" s="47" t="s">
        <v>21</v>
      </c>
      <c r="L33" s="48">
        <v>140106.07999999999</v>
      </c>
    </row>
    <row r="34" spans="1:12" ht="51" x14ac:dyDescent="0.3">
      <c r="A34" s="42" t="s">
        <v>68</v>
      </c>
      <c r="B34" s="43" t="s">
        <v>182</v>
      </c>
      <c r="C34" s="43" t="s">
        <v>33</v>
      </c>
      <c r="D34" s="43" t="s">
        <v>178</v>
      </c>
      <c r="E34" s="44" t="s">
        <v>34</v>
      </c>
      <c r="F34" s="50" t="s">
        <v>27</v>
      </c>
      <c r="G34" s="50"/>
      <c r="H34" s="44" t="s">
        <v>26</v>
      </c>
      <c r="I34" s="51">
        <v>5829</v>
      </c>
      <c r="J34" s="51"/>
      <c r="K34" s="47" t="s">
        <v>21</v>
      </c>
      <c r="L34" s="48">
        <v>134277.07999999999</v>
      </c>
    </row>
    <row r="35" spans="1:12" ht="51" x14ac:dyDescent="0.3">
      <c r="A35" s="42" t="s">
        <v>68</v>
      </c>
      <c r="B35" s="43" t="s">
        <v>182</v>
      </c>
      <c r="C35" s="43" t="s">
        <v>33</v>
      </c>
      <c r="D35" s="43" t="s">
        <v>178</v>
      </c>
      <c r="E35" s="44" t="s">
        <v>34</v>
      </c>
      <c r="F35" s="50" t="s">
        <v>27</v>
      </c>
      <c r="G35" s="50"/>
      <c r="H35" s="44" t="s">
        <v>26</v>
      </c>
      <c r="I35" s="51">
        <v>6444</v>
      </c>
      <c r="J35" s="51"/>
      <c r="K35" s="47" t="s">
        <v>21</v>
      </c>
      <c r="L35" s="48">
        <v>127833.08</v>
      </c>
    </row>
    <row r="36" spans="1:12" ht="51" x14ac:dyDescent="0.3">
      <c r="A36" s="42" t="s">
        <v>68</v>
      </c>
      <c r="B36" s="43" t="s">
        <v>182</v>
      </c>
      <c r="C36" s="43" t="s">
        <v>33</v>
      </c>
      <c r="D36" s="43" t="s">
        <v>180</v>
      </c>
      <c r="E36" s="44" t="s">
        <v>34</v>
      </c>
      <c r="F36" s="50" t="s">
        <v>27</v>
      </c>
      <c r="G36" s="50"/>
      <c r="H36" s="44" t="s">
        <v>26</v>
      </c>
      <c r="I36" s="51">
        <v>5703</v>
      </c>
      <c r="J36" s="51"/>
      <c r="K36" s="47" t="s">
        <v>21</v>
      </c>
      <c r="L36" s="48">
        <v>122130.08</v>
      </c>
    </row>
    <row r="37" spans="1:12" ht="51" x14ac:dyDescent="0.3">
      <c r="A37" s="42" t="s">
        <v>68</v>
      </c>
      <c r="B37" s="43" t="s">
        <v>182</v>
      </c>
      <c r="C37" s="43" t="s">
        <v>33</v>
      </c>
      <c r="D37" s="43" t="s">
        <v>180</v>
      </c>
      <c r="E37" s="44" t="s">
        <v>34</v>
      </c>
      <c r="F37" s="50" t="s">
        <v>27</v>
      </c>
      <c r="G37" s="50"/>
      <c r="H37" s="44" t="s">
        <v>26</v>
      </c>
      <c r="I37" s="51">
        <v>6444</v>
      </c>
      <c r="J37" s="51"/>
      <c r="K37" s="47" t="s">
        <v>21</v>
      </c>
      <c r="L37" s="48">
        <v>115686.08</v>
      </c>
    </row>
    <row r="38" spans="1:12" ht="61.2" x14ac:dyDescent="0.3">
      <c r="A38" s="42" t="s">
        <v>68</v>
      </c>
      <c r="B38" s="43" t="s">
        <v>182</v>
      </c>
      <c r="C38" s="43" t="s">
        <v>33</v>
      </c>
      <c r="D38" s="43" t="s">
        <v>171</v>
      </c>
      <c r="E38" s="44" t="s">
        <v>34</v>
      </c>
      <c r="F38" s="50" t="s">
        <v>27</v>
      </c>
      <c r="G38" s="50"/>
      <c r="H38" s="44" t="s">
        <v>26</v>
      </c>
      <c r="I38" s="51">
        <v>115686.08</v>
      </c>
      <c r="J38" s="51"/>
      <c r="K38" s="47"/>
      <c r="L38" s="53"/>
    </row>
    <row r="39" spans="1:12" hidden="1" x14ac:dyDescent="0.3">
      <c r="A39" s="54" t="s">
        <v>146</v>
      </c>
      <c r="B39" s="54"/>
      <c r="C39" s="54"/>
      <c r="D39" s="54"/>
      <c r="E39" s="55">
        <v>280193.71999999997</v>
      </c>
      <c r="F39" s="55"/>
      <c r="G39" s="55"/>
      <c r="H39" s="55">
        <v>280193.71999999997</v>
      </c>
      <c r="I39" s="55"/>
      <c r="J39" s="55"/>
      <c r="K39" s="56"/>
      <c r="L39" s="57">
        <v>0</v>
      </c>
    </row>
    <row r="41" spans="1:12" x14ac:dyDescent="0.3">
      <c r="J41" s="351">
        <f>SUBTOTAL(9,I19:J38)</f>
        <v>280193.71999999997</v>
      </c>
    </row>
  </sheetData>
  <autoFilter ref="A1:L39" xr:uid="{D3ECD50F-7BED-40AB-BFC8-E98BAB935B21}">
    <filterColumn colId="1">
      <filters>
        <filter val="Вимога-накладна ІБ00-000453 від 19.06.2025 10:04:5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84">
    <mergeCell ref="F37:G37"/>
    <mergeCell ref="I37:J37"/>
    <mergeCell ref="F38:G38"/>
    <mergeCell ref="I38:J38"/>
    <mergeCell ref="A39:D39"/>
    <mergeCell ref="E39:G39"/>
    <mergeCell ref="H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F080-A16A-43ED-959F-1412B020F437}">
  <sheetPr filterMode="1"/>
  <dimension ref="A1:L22"/>
  <sheetViews>
    <sheetView workbookViewId="0">
      <selection activeCell="J23" sqref="J23"/>
    </sheetView>
  </sheetViews>
  <sheetFormatPr defaultRowHeight="14.4" x14ac:dyDescent="0.3"/>
  <cols>
    <col min="2" max="4" width="34.33203125" customWidth="1"/>
    <col min="12" max="12" width="10.109375" bestFit="1" customWidth="1"/>
  </cols>
  <sheetData>
    <row r="1" spans="1:12" x14ac:dyDescent="0.3">
      <c r="A1" s="58" t="s">
        <v>13</v>
      </c>
      <c r="B1" s="59" t="s">
        <v>14</v>
      </c>
      <c r="C1" s="59" t="s">
        <v>15</v>
      </c>
      <c r="D1" s="60" t="s">
        <v>16</v>
      </c>
      <c r="E1" s="61" t="s">
        <v>17</v>
      </c>
      <c r="F1" s="61"/>
      <c r="G1" s="61"/>
      <c r="H1" s="62" t="s">
        <v>18</v>
      </c>
      <c r="I1" s="62"/>
      <c r="J1" s="62"/>
      <c r="K1" s="59" t="s">
        <v>19</v>
      </c>
      <c r="L1" s="59"/>
    </row>
    <row r="2" spans="1:12" x14ac:dyDescent="0.3">
      <c r="A2" s="63"/>
      <c r="B2" s="64"/>
      <c r="C2" s="64"/>
      <c r="D2" s="65"/>
      <c r="E2" s="66" t="s">
        <v>20</v>
      </c>
      <c r="F2" s="67"/>
      <c r="G2" s="67"/>
      <c r="H2" s="68" t="s">
        <v>20</v>
      </c>
      <c r="I2" s="69"/>
      <c r="J2" s="69"/>
      <c r="K2" s="63"/>
      <c r="L2" s="70"/>
    </row>
    <row r="3" spans="1:12" ht="51" hidden="1" x14ac:dyDescent="0.3">
      <c r="A3" s="71" t="s">
        <v>147</v>
      </c>
      <c r="B3" s="72" t="s">
        <v>148</v>
      </c>
      <c r="C3" s="72" t="s">
        <v>149</v>
      </c>
      <c r="D3" s="72" t="s">
        <v>150</v>
      </c>
      <c r="E3" s="73" t="s">
        <v>26</v>
      </c>
      <c r="F3" s="74" t="s">
        <v>27</v>
      </c>
      <c r="G3" s="74"/>
      <c r="H3" s="73" t="s">
        <v>26</v>
      </c>
      <c r="I3" s="75">
        <v>6729.25</v>
      </c>
      <c r="J3" s="75"/>
      <c r="K3" s="76" t="s">
        <v>21</v>
      </c>
      <c r="L3" s="77">
        <v>191125.34</v>
      </c>
    </row>
    <row r="4" spans="1:12" ht="51" hidden="1" x14ac:dyDescent="0.3">
      <c r="A4" s="71" t="s">
        <v>147</v>
      </c>
      <c r="B4" s="72" t="s">
        <v>148</v>
      </c>
      <c r="C4" s="72" t="s">
        <v>151</v>
      </c>
      <c r="D4" s="72" t="s">
        <v>152</v>
      </c>
      <c r="E4" s="73" t="s">
        <v>26</v>
      </c>
      <c r="F4" s="74" t="s">
        <v>27</v>
      </c>
      <c r="G4" s="74"/>
      <c r="H4" s="73" t="s">
        <v>26</v>
      </c>
      <c r="I4" s="75">
        <v>1871.83</v>
      </c>
      <c r="J4" s="75"/>
      <c r="K4" s="76" t="s">
        <v>21</v>
      </c>
      <c r="L4" s="77">
        <v>189253.51</v>
      </c>
    </row>
    <row r="5" spans="1:12" ht="51" hidden="1" x14ac:dyDescent="0.3">
      <c r="A5" s="71" t="s">
        <v>147</v>
      </c>
      <c r="B5" s="72" t="s">
        <v>148</v>
      </c>
      <c r="C5" s="72" t="s">
        <v>153</v>
      </c>
      <c r="D5" s="72" t="s">
        <v>154</v>
      </c>
      <c r="E5" s="73" t="s">
        <v>26</v>
      </c>
      <c r="F5" s="74" t="s">
        <v>27</v>
      </c>
      <c r="G5" s="74"/>
      <c r="H5" s="73" t="s">
        <v>26</v>
      </c>
      <c r="I5" s="75">
        <v>7555.17</v>
      </c>
      <c r="J5" s="75"/>
      <c r="K5" s="76" t="s">
        <v>21</v>
      </c>
      <c r="L5" s="77">
        <v>181698.34</v>
      </c>
    </row>
    <row r="6" spans="1:12" ht="51" hidden="1" x14ac:dyDescent="0.3">
      <c r="A6" s="71" t="s">
        <v>147</v>
      </c>
      <c r="B6" s="72" t="s">
        <v>148</v>
      </c>
      <c r="C6" s="72" t="s">
        <v>155</v>
      </c>
      <c r="D6" s="72" t="s">
        <v>156</v>
      </c>
      <c r="E6" s="73" t="s">
        <v>26</v>
      </c>
      <c r="F6" s="74" t="s">
        <v>27</v>
      </c>
      <c r="G6" s="74"/>
      <c r="H6" s="73" t="s">
        <v>26</v>
      </c>
      <c r="I6" s="75">
        <v>7991.5</v>
      </c>
      <c r="J6" s="75"/>
      <c r="K6" s="76" t="s">
        <v>21</v>
      </c>
      <c r="L6" s="77">
        <v>173706.84</v>
      </c>
    </row>
    <row r="7" spans="1:12" ht="51" hidden="1" x14ac:dyDescent="0.3">
      <c r="A7" s="71" t="s">
        <v>147</v>
      </c>
      <c r="B7" s="72" t="s">
        <v>148</v>
      </c>
      <c r="C7" s="72" t="s">
        <v>157</v>
      </c>
      <c r="D7" s="72" t="s">
        <v>158</v>
      </c>
      <c r="E7" s="73" t="s">
        <v>26</v>
      </c>
      <c r="F7" s="74" t="s">
        <v>27</v>
      </c>
      <c r="G7" s="74"/>
      <c r="H7" s="73" t="s">
        <v>26</v>
      </c>
      <c r="I7" s="75">
        <v>1904.83</v>
      </c>
      <c r="J7" s="75"/>
      <c r="K7" s="76" t="s">
        <v>21</v>
      </c>
      <c r="L7" s="77">
        <v>171802.01</v>
      </c>
    </row>
    <row r="8" spans="1:12" ht="51" hidden="1" x14ac:dyDescent="0.3">
      <c r="A8" s="71" t="s">
        <v>147</v>
      </c>
      <c r="B8" s="72" t="s">
        <v>148</v>
      </c>
      <c r="C8" s="72" t="s">
        <v>159</v>
      </c>
      <c r="D8" s="72" t="s">
        <v>160</v>
      </c>
      <c r="E8" s="73" t="s">
        <v>26</v>
      </c>
      <c r="F8" s="74" t="s">
        <v>27</v>
      </c>
      <c r="G8" s="74"/>
      <c r="H8" s="73" t="s">
        <v>26</v>
      </c>
      <c r="I8" s="75">
        <v>5985.84</v>
      </c>
      <c r="J8" s="75"/>
      <c r="K8" s="76" t="s">
        <v>21</v>
      </c>
      <c r="L8" s="77">
        <v>165816.17000000001</v>
      </c>
    </row>
    <row r="9" spans="1:12" ht="51" hidden="1" x14ac:dyDescent="0.3">
      <c r="A9" s="71" t="s">
        <v>147</v>
      </c>
      <c r="B9" s="72" t="s">
        <v>148</v>
      </c>
      <c r="C9" s="72" t="s">
        <v>161</v>
      </c>
      <c r="D9" s="72" t="s">
        <v>162</v>
      </c>
      <c r="E9" s="73" t="s">
        <v>26</v>
      </c>
      <c r="F9" s="74" t="s">
        <v>27</v>
      </c>
      <c r="G9" s="74"/>
      <c r="H9" s="73" t="s">
        <v>26</v>
      </c>
      <c r="I9" s="75">
        <v>7921.83</v>
      </c>
      <c r="J9" s="75"/>
      <c r="K9" s="76" t="s">
        <v>21</v>
      </c>
      <c r="L9" s="77">
        <v>157894.34</v>
      </c>
    </row>
    <row r="10" spans="1:12" ht="51" hidden="1" x14ac:dyDescent="0.3">
      <c r="A10" s="71" t="s">
        <v>147</v>
      </c>
      <c r="B10" s="72" t="s">
        <v>148</v>
      </c>
      <c r="C10" s="72" t="s">
        <v>163</v>
      </c>
      <c r="D10" s="72" t="s">
        <v>164</v>
      </c>
      <c r="E10" s="73" t="s">
        <v>26</v>
      </c>
      <c r="F10" s="74" t="s">
        <v>27</v>
      </c>
      <c r="G10" s="74"/>
      <c r="H10" s="73" t="s">
        <v>26</v>
      </c>
      <c r="I10" s="78">
        <v>932.89</v>
      </c>
      <c r="J10" s="78"/>
      <c r="K10" s="76" t="s">
        <v>21</v>
      </c>
      <c r="L10" s="77">
        <v>156961.45000000001</v>
      </c>
    </row>
    <row r="11" spans="1:12" ht="51" hidden="1" x14ac:dyDescent="0.3">
      <c r="A11" s="71" t="s">
        <v>147</v>
      </c>
      <c r="B11" s="72" t="s">
        <v>148</v>
      </c>
      <c r="C11" s="72" t="s">
        <v>165</v>
      </c>
      <c r="D11" s="72" t="s">
        <v>166</v>
      </c>
      <c r="E11" s="73" t="s">
        <v>26</v>
      </c>
      <c r="F11" s="74" t="s">
        <v>27</v>
      </c>
      <c r="G11" s="74"/>
      <c r="H11" s="73" t="s">
        <v>26</v>
      </c>
      <c r="I11" s="75">
        <v>5738.67</v>
      </c>
      <c r="J11" s="75"/>
      <c r="K11" s="76" t="s">
        <v>21</v>
      </c>
      <c r="L11" s="77">
        <v>151222.78</v>
      </c>
    </row>
    <row r="12" spans="1:12" ht="51" hidden="1" x14ac:dyDescent="0.3">
      <c r="A12" s="71" t="s">
        <v>147</v>
      </c>
      <c r="B12" s="72" t="s">
        <v>148</v>
      </c>
      <c r="C12" s="72" t="s">
        <v>167</v>
      </c>
      <c r="D12" s="72" t="s">
        <v>168</v>
      </c>
      <c r="E12" s="73" t="s">
        <v>26</v>
      </c>
      <c r="F12" s="74" t="s">
        <v>27</v>
      </c>
      <c r="G12" s="74"/>
      <c r="H12" s="73" t="s">
        <v>26</v>
      </c>
      <c r="I12" s="75">
        <v>5941.33</v>
      </c>
      <c r="J12" s="75"/>
      <c r="K12" s="76" t="s">
        <v>21</v>
      </c>
      <c r="L12" s="77">
        <v>145281.45000000001</v>
      </c>
    </row>
    <row r="13" spans="1:12" ht="51" hidden="1" x14ac:dyDescent="0.3">
      <c r="A13" s="71" t="s">
        <v>147</v>
      </c>
      <c r="B13" s="72" t="s">
        <v>148</v>
      </c>
      <c r="C13" s="72" t="s">
        <v>169</v>
      </c>
      <c r="D13" s="72" t="s">
        <v>170</v>
      </c>
      <c r="E13" s="73" t="s">
        <v>26</v>
      </c>
      <c r="F13" s="74" t="s">
        <v>27</v>
      </c>
      <c r="G13" s="74"/>
      <c r="H13" s="73" t="s">
        <v>26</v>
      </c>
      <c r="I13" s="75">
        <v>11621.33</v>
      </c>
      <c r="J13" s="75"/>
      <c r="K13" s="76" t="s">
        <v>21</v>
      </c>
      <c r="L13" s="77">
        <v>133660.12</v>
      </c>
    </row>
    <row r="14" spans="1:12" ht="61.2" hidden="1" x14ac:dyDescent="0.3">
      <c r="A14" s="71" t="s">
        <v>147</v>
      </c>
      <c r="B14" s="72" t="s">
        <v>148</v>
      </c>
      <c r="C14" s="72" t="s">
        <v>171</v>
      </c>
      <c r="D14" s="72" t="s">
        <v>172</v>
      </c>
      <c r="E14" s="73" t="s">
        <v>26</v>
      </c>
      <c r="F14" s="74" t="s">
        <v>27</v>
      </c>
      <c r="G14" s="74"/>
      <c r="H14" s="73" t="s">
        <v>26</v>
      </c>
      <c r="I14" s="75">
        <v>115686.08</v>
      </c>
      <c r="J14" s="75"/>
      <c r="K14" s="76" t="s">
        <v>21</v>
      </c>
      <c r="L14" s="77">
        <v>17974.04</v>
      </c>
    </row>
    <row r="15" spans="1:12" ht="51" hidden="1" x14ac:dyDescent="0.3">
      <c r="A15" s="71" t="s">
        <v>183</v>
      </c>
      <c r="B15" s="72" t="s">
        <v>184</v>
      </c>
      <c r="C15" s="72" t="s">
        <v>185</v>
      </c>
      <c r="D15" s="72" t="s">
        <v>186</v>
      </c>
      <c r="E15" s="73" t="s">
        <v>26</v>
      </c>
      <c r="F15" s="79">
        <v>10296</v>
      </c>
      <c r="G15" s="79"/>
      <c r="H15" s="73" t="s">
        <v>45</v>
      </c>
      <c r="I15" s="80" t="s">
        <v>27</v>
      </c>
      <c r="J15" s="80"/>
      <c r="K15" s="76" t="s">
        <v>21</v>
      </c>
      <c r="L15" s="77">
        <v>28270.04</v>
      </c>
    </row>
    <row r="16" spans="1:12" ht="51" hidden="1" x14ac:dyDescent="0.3">
      <c r="A16" s="71" t="s">
        <v>183</v>
      </c>
      <c r="B16" s="72" t="s">
        <v>187</v>
      </c>
      <c r="C16" s="72" t="s">
        <v>185</v>
      </c>
      <c r="D16" s="72" t="s">
        <v>186</v>
      </c>
      <c r="E16" s="73" t="s">
        <v>26</v>
      </c>
      <c r="F16" s="79">
        <v>10868</v>
      </c>
      <c r="G16" s="79"/>
      <c r="H16" s="73" t="s">
        <v>45</v>
      </c>
      <c r="I16" s="80" t="s">
        <v>27</v>
      </c>
      <c r="J16" s="80"/>
      <c r="K16" s="76" t="s">
        <v>21</v>
      </c>
      <c r="L16" s="77">
        <v>39138.04</v>
      </c>
    </row>
    <row r="17" spans="1:12" ht="51" hidden="1" x14ac:dyDescent="0.3">
      <c r="A17" s="71" t="s">
        <v>107</v>
      </c>
      <c r="B17" s="72" t="s">
        <v>188</v>
      </c>
      <c r="C17" s="72" t="s">
        <v>189</v>
      </c>
      <c r="D17" s="72" t="s">
        <v>190</v>
      </c>
      <c r="E17" s="73" t="s">
        <v>26</v>
      </c>
      <c r="F17" s="79">
        <v>6177</v>
      </c>
      <c r="G17" s="79"/>
      <c r="H17" s="73" t="s">
        <v>45</v>
      </c>
      <c r="I17" s="80" t="s">
        <v>27</v>
      </c>
      <c r="J17" s="80"/>
      <c r="K17" s="76" t="s">
        <v>21</v>
      </c>
      <c r="L17" s="77">
        <v>45315.040000000001</v>
      </c>
    </row>
    <row r="18" spans="1:12" ht="51" hidden="1" x14ac:dyDescent="0.3">
      <c r="A18" s="71" t="s">
        <v>107</v>
      </c>
      <c r="B18" s="72" t="s">
        <v>191</v>
      </c>
      <c r="C18" s="72" t="s">
        <v>192</v>
      </c>
      <c r="D18" s="72" t="s">
        <v>193</v>
      </c>
      <c r="E18" s="73" t="s">
        <v>26</v>
      </c>
      <c r="F18" s="79">
        <v>23252.73</v>
      </c>
      <c r="G18" s="79"/>
      <c r="H18" s="73" t="s">
        <v>26</v>
      </c>
      <c r="I18" s="80" t="s">
        <v>27</v>
      </c>
      <c r="J18" s="80"/>
      <c r="K18" s="76" t="s">
        <v>21</v>
      </c>
      <c r="L18" s="77">
        <v>68567.77</v>
      </c>
    </row>
    <row r="19" spans="1:12" x14ac:dyDescent="0.3">
      <c r="A19" s="81" t="s">
        <v>146</v>
      </c>
      <c r="B19" s="81"/>
      <c r="C19" s="81"/>
      <c r="D19" s="81"/>
      <c r="E19" s="82">
        <v>50593.73</v>
      </c>
      <c r="F19" s="82"/>
      <c r="G19" s="82"/>
      <c r="H19" s="82">
        <v>0</v>
      </c>
      <c r="I19" s="82"/>
      <c r="J19" s="82"/>
      <c r="K19" s="83" t="s">
        <v>21</v>
      </c>
      <c r="L19" s="84">
        <v>68567.77</v>
      </c>
    </row>
    <row r="22" spans="1:12" x14ac:dyDescent="0.3">
      <c r="J22">
        <v>0</v>
      </c>
    </row>
  </sheetData>
  <autoFilter ref="A1:L19" xr:uid="{7CBEE8AE-1327-43DA-A8C3-D9E2BC2279D3}">
    <filterColumn colId="1">
      <filters blank="1"/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44">
    <mergeCell ref="A19:D19"/>
    <mergeCell ref="E19:G19"/>
    <mergeCell ref="H19:J19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4595B-383F-4DF0-B0FD-D6D08605EF87}">
  <sheetPr filterMode="1"/>
  <dimension ref="A1:L11"/>
  <sheetViews>
    <sheetView workbookViewId="0">
      <selection activeCell="J12" sqref="J12"/>
    </sheetView>
  </sheetViews>
  <sheetFormatPr defaultRowHeight="14.4" x14ac:dyDescent="0.3"/>
  <cols>
    <col min="2" max="4" width="34.33203125" customWidth="1"/>
  </cols>
  <sheetData>
    <row r="1" spans="1:12" x14ac:dyDescent="0.3">
      <c r="A1" s="85" t="s">
        <v>13</v>
      </c>
      <c r="B1" s="86" t="s">
        <v>14</v>
      </c>
      <c r="C1" s="86" t="s">
        <v>15</v>
      </c>
      <c r="D1" s="87" t="s">
        <v>16</v>
      </c>
      <c r="E1" s="88" t="s">
        <v>17</v>
      </c>
      <c r="F1" s="88"/>
      <c r="G1" s="88"/>
      <c r="H1" s="89" t="s">
        <v>18</v>
      </c>
      <c r="I1" s="89"/>
      <c r="J1" s="89"/>
      <c r="K1" s="86" t="s">
        <v>19</v>
      </c>
      <c r="L1" s="86"/>
    </row>
    <row r="2" spans="1:12" x14ac:dyDescent="0.3">
      <c r="A2" s="90"/>
      <c r="B2" s="91"/>
      <c r="C2" s="91"/>
      <c r="D2" s="92"/>
      <c r="E2" s="93" t="s">
        <v>20</v>
      </c>
      <c r="F2" s="94"/>
      <c r="G2" s="94"/>
      <c r="H2" s="95" t="s">
        <v>20</v>
      </c>
      <c r="I2" s="96"/>
      <c r="J2" s="96"/>
      <c r="K2" s="90"/>
      <c r="L2" s="97"/>
    </row>
    <row r="3" spans="1:12" ht="51" hidden="1" x14ac:dyDescent="0.3">
      <c r="A3" s="98" t="s">
        <v>22</v>
      </c>
      <c r="B3" s="99" t="s">
        <v>194</v>
      </c>
      <c r="C3" s="99" t="s">
        <v>195</v>
      </c>
      <c r="D3" s="99" t="s">
        <v>196</v>
      </c>
      <c r="E3" s="100" t="s">
        <v>26</v>
      </c>
      <c r="F3" s="101" t="s">
        <v>27</v>
      </c>
      <c r="G3" s="101"/>
      <c r="H3" s="100" t="s">
        <v>26</v>
      </c>
      <c r="I3" s="102">
        <v>1495.18</v>
      </c>
      <c r="J3" s="102"/>
      <c r="K3" s="103" t="s">
        <v>21</v>
      </c>
      <c r="L3" s="104">
        <v>95462.399999999994</v>
      </c>
    </row>
    <row r="4" spans="1:12" ht="51" hidden="1" x14ac:dyDescent="0.3">
      <c r="A4" s="98" t="s">
        <v>22</v>
      </c>
      <c r="B4" s="99" t="s">
        <v>197</v>
      </c>
      <c r="C4" s="99" t="s">
        <v>198</v>
      </c>
      <c r="D4" s="99" t="s">
        <v>199</v>
      </c>
      <c r="E4" s="100" t="s">
        <v>26</v>
      </c>
      <c r="F4" s="101" t="s">
        <v>27</v>
      </c>
      <c r="G4" s="101"/>
      <c r="H4" s="100" t="s">
        <v>26</v>
      </c>
      <c r="I4" s="102">
        <v>4676.1000000000004</v>
      </c>
      <c r="J4" s="102"/>
      <c r="K4" s="103" t="s">
        <v>21</v>
      </c>
      <c r="L4" s="104">
        <v>90786.3</v>
      </c>
    </row>
    <row r="5" spans="1:12" ht="51" hidden="1" x14ac:dyDescent="0.3">
      <c r="A5" s="98" t="s">
        <v>22</v>
      </c>
      <c r="B5" s="99" t="s">
        <v>197</v>
      </c>
      <c r="C5" s="99" t="s">
        <v>198</v>
      </c>
      <c r="D5" s="99" t="s">
        <v>199</v>
      </c>
      <c r="E5" s="100" t="s">
        <v>26</v>
      </c>
      <c r="F5" s="101" t="s">
        <v>27</v>
      </c>
      <c r="G5" s="101"/>
      <c r="H5" s="100" t="s">
        <v>26</v>
      </c>
      <c r="I5" s="102">
        <v>2413.9499999999998</v>
      </c>
      <c r="J5" s="102"/>
      <c r="K5" s="103" t="s">
        <v>21</v>
      </c>
      <c r="L5" s="104">
        <v>88372.35</v>
      </c>
    </row>
    <row r="6" spans="1:12" ht="51" hidden="1" x14ac:dyDescent="0.3">
      <c r="A6" s="98" t="s">
        <v>22</v>
      </c>
      <c r="B6" s="99" t="s">
        <v>197</v>
      </c>
      <c r="C6" s="99" t="s">
        <v>198</v>
      </c>
      <c r="D6" s="99" t="s">
        <v>199</v>
      </c>
      <c r="E6" s="100" t="s">
        <v>26</v>
      </c>
      <c r="F6" s="101" t="s">
        <v>27</v>
      </c>
      <c r="G6" s="101"/>
      <c r="H6" s="100" t="s">
        <v>26</v>
      </c>
      <c r="I6" s="102">
        <v>3111.9</v>
      </c>
      <c r="J6" s="102"/>
      <c r="K6" s="103" t="s">
        <v>21</v>
      </c>
      <c r="L6" s="104">
        <v>85260.45</v>
      </c>
    </row>
    <row r="7" spans="1:12" ht="51" hidden="1" x14ac:dyDescent="0.3">
      <c r="A7" s="98" t="s">
        <v>53</v>
      </c>
      <c r="B7" s="99" t="s">
        <v>200</v>
      </c>
      <c r="C7" s="99" t="s">
        <v>201</v>
      </c>
      <c r="D7" s="99" t="s">
        <v>202</v>
      </c>
      <c r="E7" s="100" t="s">
        <v>26</v>
      </c>
      <c r="F7" s="101" t="s">
        <v>27</v>
      </c>
      <c r="G7" s="101"/>
      <c r="H7" s="100" t="s">
        <v>26</v>
      </c>
      <c r="I7" s="102">
        <v>11827.73</v>
      </c>
      <c r="J7" s="102"/>
      <c r="K7" s="103" t="s">
        <v>21</v>
      </c>
      <c r="L7" s="104">
        <v>73432.72</v>
      </c>
    </row>
    <row r="8" spans="1:12" ht="51" hidden="1" x14ac:dyDescent="0.3">
      <c r="A8" s="98" t="s">
        <v>147</v>
      </c>
      <c r="B8" s="99" t="s">
        <v>173</v>
      </c>
      <c r="C8" s="99" t="s">
        <v>174</v>
      </c>
      <c r="D8" s="99" t="s">
        <v>175</v>
      </c>
      <c r="E8" s="100" t="s">
        <v>26</v>
      </c>
      <c r="F8" s="101" t="s">
        <v>27</v>
      </c>
      <c r="G8" s="101"/>
      <c r="H8" s="100" t="s">
        <v>26</v>
      </c>
      <c r="I8" s="102">
        <v>62647.17</v>
      </c>
      <c r="J8" s="102"/>
      <c r="K8" s="103" t="s">
        <v>21</v>
      </c>
      <c r="L8" s="104">
        <v>10785.55</v>
      </c>
    </row>
    <row r="9" spans="1:12" x14ac:dyDescent="0.3">
      <c r="A9" s="105" t="s">
        <v>146</v>
      </c>
      <c r="B9" s="105"/>
      <c r="C9" s="105"/>
      <c r="D9" s="105"/>
      <c r="E9" s="106">
        <v>0</v>
      </c>
      <c r="F9" s="106"/>
      <c r="G9" s="106"/>
      <c r="H9" s="107">
        <v>0</v>
      </c>
      <c r="I9" s="107"/>
      <c r="J9" s="107"/>
      <c r="K9" s="108" t="s">
        <v>21</v>
      </c>
      <c r="L9" s="109">
        <v>10785.55</v>
      </c>
    </row>
    <row r="11" spans="1:12" x14ac:dyDescent="0.3">
      <c r="J11">
        <v>0</v>
      </c>
    </row>
  </sheetData>
  <autoFilter ref="A1:L9" xr:uid="{ED1E6773-DEAF-4D88-8CEF-BDA9C328F173}">
    <filterColumn colId="1">
      <filters blank="1"/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24">
    <mergeCell ref="F7:G7"/>
    <mergeCell ref="I7:J7"/>
    <mergeCell ref="F8:G8"/>
    <mergeCell ref="I8:J8"/>
    <mergeCell ref="A9:D9"/>
    <mergeCell ref="E9:G9"/>
    <mergeCell ref="H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B646-7508-4EC7-BE95-31961BAF00A4}">
  <sheetPr filterMode="1"/>
  <dimension ref="A1:L135"/>
  <sheetViews>
    <sheetView topLeftCell="A105" workbookViewId="0">
      <selection activeCell="J135" sqref="J135"/>
    </sheetView>
  </sheetViews>
  <sheetFormatPr defaultRowHeight="14.4" x14ac:dyDescent="0.3"/>
  <cols>
    <col min="2" max="4" width="34.33203125" customWidth="1"/>
  </cols>
  <sheetData>
    <row r="1" spans="1:12" x14ac:dyDescent="0.3">
      <c r="A1" s="110" t="s">
        <v>13</v>
      </c>
      <c r="B1" s="111" t="s">
        <v>14</v>
      </c>
      <c r="C1" s="111" t="s">
        <v>15</v>
      </c>
      <c r="D1" s="112" t="s">
        <v>16</v>
      </c>
      <c r="E1" s="113" t="s">
        <v>17</v>
      </c>
      <c r="F1" s="113"/>
      <c r="G1" s="113"/>
      <c r="H1" s="114" t="s">
        <v>18</v>
      </c>
      <c r="I1" s="114"/>
      <c r="J1" s="114"/>
      <c r="K1" s="111" t="s">
        <v>19</v>
      </c>
      <c r="L1" s="111"/>
    </row>
    <row r="2" spans="1:12" hidden="1" x14ac:dyDescent="0.3">
      <c r="A2" s="115"/>
      <c r="B2" s="116"/>
      <c r="C2" s="116"/>
      <c r="D2" s="117"/>
      <c r="E2" s="118" t="s">
        <v>20</v>
      </c>
      <c r="F2" s="119"/>
      <c r="G2" s="119"/>
      <c r="H2" s="120" t="s">
        <v>20</v>
      </c>
      <c r="I2" s="121"/>
      <c r="J2" s="121"/>
      <c r="K2" s="115"/>
      <c r="L2" s="122"/>
    </row>
    <row r="3" spans="1:12" ht="51" hidden="1" x14ac:dyDescent="0.3">
      <c r="A3" s="123" t="s">
        <v>22</v>
      </c>
      <c r="B3" s="124" t="s">
        <v>203</v>
      </c>
      <c r="C3" s="124" t="s">
        <v>204</v>
      </c>
      <c r="D3" s="124" t="s">
        <v>205</v>
      </c>
      <c r="E3" s="125" t="s">
        <v>26</v>
      </c>
      <c r="F3" s="126">
        <v>29952</v>
      </c>
      <c r="G3" s="126"/>
      <c r="H3" s="125" t="s">
        <v>45</v>
      </c>
      <c r="I3" s="127" t="s">
        <v>27</v>
      </c>
      <c r="J3" s="127"/>
      <c r="K3" s="128" t="s">
        <v>21</v>
      </c>
      <c r="L3" s="129">
        <v>440494.09</v>
      </c>
    </row>
    <row r="4" spans="1:12" ht="61.2" hidden="1" x14ac:dyDescent="0.3">
      <c r="A4" s="123" t="s">
        <v>22</v>
      </c>
      <c r="B4" s="124" t="s">
        <v>203</v>
      </c>
      <c r="C4" s="124" t="s">
        <v>206</v>
      </c>
      <c r="D4" s="124" t="s">
        <v>205</v>
      </c>
      <c r="E4" s="125" t="s">
        <v>26</v>
      </c>
      <c r="F4" s="126">
        <v>43156.76</v>
      </c>
      <c r="G4" s="126"/>
      <c r="H4" s="125" t="s">
        <v>45</v>
      </c>
      <c r="I4" s="127" t="s">
        <v>27</v>
      </c>
      <c r="J4" s="127"/>
      <c r="K4" s="128" t="s">
        <v>21</v>
      </c>
      <c r="L4" s="129">
        <v>483650.85</v>
      </c>
    </row>
    <row r="5" spans="1:12" ht="51" hidden="1" x14ac:dyDescent="0.3">
      <c r="A5" s="123" t="s">
        <v>22</v>
      </c>
      <c r="B5" s="124" t="s">
        <v>207</v>
      </c>
      <c r="C5" s="124" t="s">
        <v>208</v>
      </c>
      <c r="D5" s="124" t="s">
        <v>209</v>
      </c>
      <c r="E5" s="125" t="s">
        <v>26</v>
      </c>
      <c r="F5" s="126">
        <v>6000</v>
      </c>
      <c r="G5" s="126"/>
      <c r="H5" s="125" t="s">
        <v>45</v>
      </c>
      <c r="I5" s="127" t="s">
        <v>27</v>
      </c>
      <c r="J5" s="127"/>
      <c r="K5" s="128" t="s">
        <v>21</v>
      </c>
      <c r="L5" s="129">
        <v>489650.85</v>
      </c>
    </row>
    <row r="6" spans="1:12" ht="51" hidden="1" x14ac:dyDescent="0.3">
      <c r="A6" s="123" t="s">
        <v>22</v>
      </c>
      <c r="B6" s="124" t="s">
        <v>210</v>
      </c>
      <c r="C6" s="124" t="s">
        <v>211</v>
      </c>
      <c r="D6" s="124" t="s">
        <v>204</v>
      </c>
      <c r="E6" s="125" t="s">
        <v>26</v>
      </c>
      <c r="F6" s="130" t="s">
        <v>27</v>
      </c>
      <c r="G6" s="130"/>
      <c r="H6" s="125" t="s">
        <v>26</v>
      </c>
      <c r="I6" s="131">
        <v>9984</v>
      </c>
      <c r="J6" s="131"/>
      <c r="K6" s="128" t="s">
        <v>21</v>
      </c>
      <c r="L6" s="129">
        <v>479666.85</v>
      </c>
    </row>
    <row r="7" spans="1:12" ht="51" hidden="1" x14ac:dyDescent="0.3">
      <c r="A7" s="123" t="s">
        <v>22</v>
      </c>
      <c r="B7" s="124" t="s">
        <v>212</v>
      </c>
      <c r="C7" s="124" t="s">
        <v>213</v>
      </c>
      <c r="D7" s="124" t="s">
        <v>204</v>
      </c>
      <c r="E7" s="125" t="s">
        <v>26</v>
      </c>
      <c r="F7" s="130" t="s">
        <v>27</v>
      </c>
      <c r="G7" s="130"/>
      <c r="H7" s="125" t="s">
        <v>26</v>
      </c>
      <c r="I7" s="131">
        <v>13478.4</v>
      </c>
      <c r="J7" s="131"/>
      <c r="K7" s="128" t="s">
        <v>21</v>
      </c>
      <c r="L7" s="129">
        <v>466188.45</v>
      </c>
    </row>
    <row r="8" spans="1:12" ht="61.2" hidden="1" x14ac:dyDescent="0.3">
      <c r="A8" s="123" t="s">
        <v>22</v>
      </c>
      <c r="B8" s="124" t="s">
        <v>214</v>
      </c>
      <c r="C8" s="124" t="s">
        <v>215</v>
      </c>
      <c r="D8" s="124" t="s">
        <v>206</v>
      </c>
      <c r="E8" s="125" t="s">
        <v>26</v>
      </c>
      <c r="F8" s="130" t="s">
        <v>27</v>
      </c>
      <c r="G8" s="130"/>
      <c r="H8" s="125" t="s">
        <v>26</v>
      </c>
      <c r="I8" s="131">
        <v>17389.169999999998</v>
      </c>
      <c r="J8" s="131"/>
      <c r="K8" s="128" t="s">
        <v>21</v>
      </c>
      <c r="L8" s="129">
        <v>448799.28</v>
      </c>
    </row>
    <row r="9" spans="1:12" ht="51" hidden="1" x14ac:dyDescent="0.3">
      <c r="A9" s="123" t="s">
        <v>22</v>
      </c>
      <c r="B9" s="124" t="s">
        <v>216</v>
      </c>
      <c r="C9" s="124" t="s">
        <v>217</v>
      </c>
      <c r="D9" s="124" t="s">
        <v>204</v>
      </c>
      <c r="E9" s="125" t="s">
        <v>26</v>
      </c>
      <c r="F9" s="130" t="s">
        <v>27</v>
      </c>
      <c r="G9" s="130"/>
      <c r="H9" s="125" t="s">
        <v>26</v>
      </c>
      <c r="I9" s="131">
        <v>6489.6</v>
      </c>
      <c r="J9" s="131"/>
      <c r="K9" s="128" t="s">
        <v>21</v>
      </c>
      <c r="L9" s="129">
        <v>442309.68</v>
      </c>
    </row>
    <row r="10" spans="1:12" ht="61.2" hidden="1" x14ac:dyDescent="0.3">
      <c r="A10" s="123" t="s">
        <v>22</v>
      </c>
      <c r="B10" s="124" t="s">
        <v>218</v>
      </c>
      <c r="C10" s="124" t="s">
        <v>215</v>
      </c>
      <c r="D10" s="124" t="s">
        <v>206</v>
      </c>
      <c r="E10" s="125" t="s">
        <v>26</v>
      </c>
      <c r="F10" s="130" t="s">
        <v>27</v>
      </c>
      <c r="G10" s="130"/>
      <c r="H10" s="125" t="s">
        <v>26</v>
      </c>
      <c r="I10" s="131">
        <v>25767.59</v>
      </c>
      <c r="J10" s="131"/>
      <c r="K10" s="128" t="s">
        <v>21</v>
      </c>
      <c r="L10" s="129">
        <v>416542.09</v>
      </c>
    </row>
    <row r="11" spans="1:12" ht="51" hidden="1" x14ac:dyDescent="0.3">
      <c r="A11" s="123" t="s">
        <v>219</v>
      </c>
      <c r="B11" s="124" t="s">
        <v>220</v>
      </c>
      <c r="C11" s="124" t="s">
        <v>221</v>
      </c>
      <c r="D11" s="124" t="s">
        <v>222</v>
      </c>
      <c r="E11" s="125" t="s">
        <v>26</v>
      </c>
      <c r="F11" s="132">
        <v>610</v>
      </c>
      <c r="G11" s="132"/>
      <c r="H11" s="125" t="s">
        <v>223</v>
      </c>
      <c r="I11" s="127" t="s">
        <v>27</v>
      </c>
      <c r="J11" s="127"/>
      <c r="K11" s="128" t="s">
        <v>21</v>
      </c>
      <c r="L11" s="129">
        <v>417152.09</v>
      </c>
    </row>
    <row r="12" spans="1:12" ht="51" hidden="1" x14ac:dyDescent="0.3">
      <c r="A12" s="123" t="s">
        <v>219</v>
      </c>
      <c r="B12" s="124" t="s">
        <v>220</v>
      </c>
      <c r="C12" s="124" t="s">
        <v>224</v>
      </c>
      <c r="D12" s="124" t="s">
        <v>222</v>
      </c>
      <c r="E12" s="125" t="s">
        <v>26</v>
      </c>
      <c r="F12" s="132">
        <v>70</v>
      </c>
      <c r="G12" s="132"/>
      <c r="H12" s="125" t="s">
        <v>223</v>
      </c>
      <c r="I12" s="127" t="s">
        <v>27</v>
      </c>
      <c r="J12" s="127"/>
      <c r="K12" s="128" t="s">
        <v>21</v>
      </c>
      <c r="L12" s="129">
        <v>417222.09</v>
      </c>
    </row>
    <row r="13" spans="1:12" ht="51" hidden="1" x14ac:dyDescent="0.3">
      <c r="A13" s="123" t="s">
        <v>219</v>
      </c>
      <c r="B13" s="124" t="s">
        <v>220</v>
      </c>
      <c r="C13" s="124" t="s">
        <v>225</v>
      </c>
      <c r="D13" s="124" t="s">
        <v>222</v>
      </c>
      <c r="E13" s="125" t="s">
        <v>26</v>
      </c>
      <c r="F13" s="132">
        <v>68</v>
      </c>
      <c r="G13" s="132"/>
      <c r="H13" s="125" t="s">
        <v>223</v>
      </c>
      <c r="I13" s="127" t="s">
        <v>27</v>
      </c>
      <c r="J13" s="127"/>
      <c r="K13" s="128" t="s">
        <v>21</v>
      </c>
      <c r="L13" s="129">
        <v>417290.09</v>
      </c>
    </row>
    <row r="14" spans="1:12" ht="51" hidden="1" x14ac:dyDescent="0.3">
      <c r="A14" s="123" t="s">
        <v>219</v>
      </c>
      <c r="B14" s="124" t="s">
        <v>220</v>
      </c>
      <c r="C14" s="124" t="s">
        <v>226</v>
      </c>
      <c r="D14" s="124" t="s">
        <v>222</v>
      </c>
      <c r="E14" s="125" t="s">
        <v>26</v>
      </c>
      <c r="F14" s="132">
        <v>165</v>
      </c>
      <c r="G14" s="132"/>
      <c r="H14" s="125" t="s">
        <v>223</v>
      </c>
      <c r="I14" s="127" t="s">
        <v>27</v>
      </c>
      <c r="J14" s="127"/>
      <c r="K14" s="128" t="s">
        <v>21</v>
      </c>
      <c r="L14" s="129">
        <v>417455.09</v>
      </c>
    </row>
    <row r="15" spans="1:12" ht="51" hidden="1" x14ac:dyDescent="0.3">
      <c r="A15" s="123" t="s">
        <v>219</v>
      </c>
      <c r="B15" s="124" t="s">
        <v>220</v>
      </c>
      <c r="C15" s="124" t="s">
        <v>227</v>
      </c>
      <c r="D15" s="124" t="s">
        <v>222</v>
      </c>
      <c r="E15" s="125" t="s">
        <v>26</v>
      </c>
      <c r="F15" s="132">
        <v>120</v>
      </c>
      <c r="G15" s="132"/>
      <c r="H15" s="125" t="s">
        <v>223</v>
      </c>
      <c r="I15" s="127" t="s">
        <v>27</v>
      </c>
      <c r="J15" s="127"/>
      <c r="K15" s="128" t="s">
        <v>21</v>
      </c>
      <c r="L15" s="129">
        <v>417575.09</v>
      </c>
    </row>
    <row r="16" spans="1:12" ht="51" hidden="1" x14ac:dyDescent="0.3">
      <c r="A16" s="123" t="s">
        <v>219</v>
      </c>
      <c r="B16" s="124" t="s">
        <v>220</v>
      </c>
      <c r="C16" s="124" t="s">
        <v>228</v>
      </c>
      <c r="D16" s="124" t="s">
        <v>222</v>
      </c>
      <c r="E16" s="125" t="s">
        <v>26</v>
      </c>
      <c r="F16" s="132">
        <v>662</v>
      </c>
      <c r="G16" s="132"/>
      <c r="H16" s="125" t="s">
        <v>223</v>
      </c>
      <c r="I16" s="127" t="s">
        <v>27</v>
      </c>
      <c r="J16" s="127"/>
      <c r="K16" s="128" t="s">
        <v>21</v>
      </c>
      <c r="L16" s="129">
        <v>418237.09</v>
      </c>
    </row>
    <row r="17" spans="1:12" ht="51" hidden="1" x14ac:dyDescent="0.3">
      <c r="A17" s="123" t="s">
        <v>219</v>
      </c>
      <c r="B17" s="124" t="s">
        <v>220</v>
      </c>
      <c r="C17" s="124" t="s">
        <v>229</v>
      </c>
      <c r="D17" s="124" t="s">
        <v>222</v>
      </c>
      <c r="E17" s="125" t="s">
        <v>26</v>
      </c>
      <c r="F17" s="132">
        <v>24</v>
      </c>
      <c r="G17" s="132"/>
      <c r="H17" s="125" t="s">
        <v>223</v>
      </c>
      <c r="I17" s="127" t="s">
        <v>27</v>
      </c>
      <c r="J17" s="127"/>
      <c r="K17" s="128" t="s">
        <v>21</v>
      </c>
      <c r="L17" s="129">
        <v>418261.09</v>
      </c>
    </row>
    <row r="18" spans="1:12" ht="51" hidden="1" x14ac:dyDescent="0.3">
      <c r="A18" s="123" t="s">
        <v>219</v>
      </c>
      <c r="B18" s="124" t="s">
        <v>220</v>
      </c>
      <c r="C18" s="124" t="s">
        <v>230</v>
      </c>
      <c r="D18" s="124" t="s">
        <v>222</v>
      </c>
      <c r="E18" s="125" t="s">
        <v>26</v>
      </c>
      <c r="F18" s="132">
        <v>8</v>
      </c>
      <c r="G18" s="132"/>
      <c r="H18" s="125" t="s">
        <v>223</v>
      </c>
      <c r="I18" s="127" t="s">
        <v>27</v>
      </c>
      <c r="J18" s="127"/>
      <c r="K18" s="128" t="s">
        <v>21</v>
      </c>
      <c r="L18" s="129">
        <v>418269.09</v>
      </c>
    </row>
    <row r="19" spans="1:12" ht="51" hidden="1" x14ac:dyDescent="0.3">
      <c r="A19" s="123" t="s">
        <v>219</v>
      </c>
      <c r="B19" s="124" t="s">
        <v>220</v>
      </c>
      <c r="C19" s="124" t="s">
        <v>231</v>
      </c>
      <c r="D19" s="124" t="s">
        <v>222</v>
      </c>
      <c r="E19" s="125" t="s">
        <v>26</v>
      </c>
      <c r="F19" s="132">
        <v>6.4</v>
      </c>
      <c r="G19" s="132"/>
      <c r="H19" s="125" t="s">
        <v>223</v>
      </c>
      <c r="I19" s="127" t="s">
        <v>27</v>
      </c>
      <c r="J19" s="127"/>
      <c r="K19" s="128" t="s">
        <v>21</v>
      </c>
      <c r="L19" s="129">
        <v>418275.49</v>
      </c>
    </row>
    <row r="20" spans="1:12" ht="51" hidden="1" x14ac:dyDescent="0.3">
      <c r="A20" s="123" t="s">
        <v>219</v>
      </c>
      <c r="B20" s="124" t="s">
        <v>220</v>
      </c>
      <c r="C20" s="124" t="s">
        <v>232</v>
      </c>
      <c r="D20" s="124" t="s">
        <v>222</v>
      </c>
      <c r="E20" s="125" t="s">
        <v>26</v>
      </c>
      <c r="F20" s="132">
        <v>93</v>
      </c>
      <c r="G20" s="132"/>
      <c r="H20" s="125" t="s">
        <v>223</v>
      </c>
      <c r="I20" s="127" t="s">
        <v>27</v>
      </c>
      <c r="J20" s="127"/>
      <c r="K20" s="128" t="s">
        <v>21</v>
      </c>
      <c r="L20" s="129">
        <v>418368.49</v>
      </c>
    </row>
    <row r="21" spans="1:12" ht="51" hidden="1" x14ac:dyDescent="0.3">
      <c r="A21" s="123" t="s">
        <v>219</v>
      </c>
      <c r="B21" s="124" t="s">
        <v>220</v>
      </c>
      <c r="C21" s="124" t="s">
        <v>233</v>
      </c>
      <c r="D21" s="124" t="s">
        <v>222</v>
      </c>
      <c r="E21" s="125" t="s">
        <v>26</v>
      </c>
      <c r="F21" s="132">
        <v>61</v>
      </c>
      <c r="G21" s="132"/>
      <c r="H21" s="125" t="s">
        <v>223</v>
      </c>
      <c r="I21" s="127" t="s">
        <v>27</v>
      </c>
      <c r="J21" s="127"/>
      <c r="K21" s="128" t="s">
        <v>21</v>
      </c>
      <c r="L21" s="129">
        <v>418429.49</v>
      </c>
    </row>
    <row r="22" spans="1:12" ht="51" hidden="1" x14ac:dyDescent="0.3">
      <c r="A22" s="123" t="s">
        <v>219</v>
      </c>
      <c r="B22" s="124" t="s">
        <v>220</v>
      </c>
      <c r="C22" s="124" t="s">
        <v>234</v>
      </c>
      <c r="D22" s="124" t="s">
        <v>222</v>
      </c>
      <c r="E22" s="125" t="s">
        <v>26</v>
      </c>
      <c r="F22" s="132">
        <v>61</v>
      </c>
      <c r="G22" s="132"/>
      <c r="H22" s="125" t="s">
        <v>223</v>
      </c>
      <c r="I22" s="127" t="s">
        <v>27</v>
      </c>
      <c r="J22" s="127"/>
      <c r="K22" s="128" t="s">
        <v>21</v>
      </c>
      <c r="L22" s="129">
        <v>418490.49</v>
      </c>
    </row>
    <row r="23" spans="1:12" ht="51" hidden="1" x14ac:dyDescent="0.3">
      <c r="A23" s="123" t="s">
        <v>219</v>
      </c>
      <c r="B23" s="124" t="s">
        <v>220</v>
      </c>
      <c r="C23" s="124" t="s">
        <v>235</v>
      </c>
      <c r="D23" s="124" t="s">
        <v>222</v>
      </c>
      <c r="E23" s="125" t="s">
        <v>26</v>
      </c>
      <c r="F23" s="132">
        <v>87</v>
      </c>
      <c r="G23" s="132"/>
      <c r="H23" s="125" t="s">
        <v>223</v>
      </c>
      <c r="I23" s="127" t="s">
        <v>27</v>
      </c>
      <c r="J23" s="127"/>
      <c r="K23" s="128" t="s">
        <v>21</v>
      </c>
      <c r="L23" s="129">
        <v>418577.49</v>
      </c>
    </row>
    <row r="24" spans="1:12" ht="51" hidden="1" x14ac:dyDescent="0.3">
      <c r="A24" s="123" t="s">
        <v>219</v>
      </c>
      <c r="B24" s="124" t="s">
        <v>220</v>
      </c>
      <c r="C24" s="124" t="s">
        <v>236</v>
      </c>
      <c r="D24" s="124" t="s">
        <v>222</v>
      </c>
      <c r="E24" s="125" t="s">
        <v>26</v>
      </c>
      <c r="F24" s="132">
        <v>699</v>
      </c>
      <c r="G24" s="132"/>
      <c r="H24" s="125" t="s">
        <v>223</v>
      </c>
      <c r="I24" s="127" t="s">
        <v>27</v>
      </c>
      <c r="J24" s="127"/>
      <c r="K24" s="128" t="s">
        <v>21</v>
      </c>
      <c r="L24" s="129">
        <v>419276.49</v>
      </c>
    </row>
    <row r="25" spans="1:12" ht="51" hidden="1" x14ac:dyDescent="0.3">
      <c r="A25" s="123" t="s">
        <v>219</v>
      </c>
      <c r="B25" s="124" t="s">
        <v>220</v>
      </c>
      <c r="C25" s="124" t="s">
        <v>237</v>
      </c>
      <c r="D25" s="124" t="s">
        <v>222</v>
      </c>
      <c r="E25" s="125" t="s">
        <v>26</v>
      </c>
      <c r="F25" s="132">
        <v>134.55000000000001</v>
      </c>
      <c r="G25" s="132"/>
      <c r="H25" s="125" t="s">
        <v>223</v>
      </c>
      <c r="I25" s="127" t="s">
        <v>27</v>
      </c>
      <c r="J25" s="127"/>
      <c r="K25" s="128" t="s">
        <v>21</v>
      </c>
      <c r="L25" s="129">
        <v>419411.04</v>
      </c>
    </row>
    <row r="26" spans="1:12" ht="61.2" hidden="1" x14ac:dyDescent="0.3">
      <c r="A26" s="123" t="s">
        <v>219</v>
      </c>
      <c r="B26" s="124" t="s">
        <v>220</v>
      </c>
      <c r="C26" s="124" t="s">
        <v>238</v>
      </c>
      <c r="D26" s="124" t="s">
        <v>222</v>
      </c>
      <c r="E26" s="125" t="s">
        <v>26</v>
      </c>
      <c r="F26" s="132">
        <v>61.9</v>
      </c>
      <c r="G26" s="132"/>
      <c r="H26" s="125" t="s">
        <v>223</v>
      </c>
      <c r="I26" s="127" t="s">
        <v>27</v>
      </c>
      <c r="J26" s="127"/>
      <c r="K26" s="128" t="s">
        <v>21</v>
      </c>
      <c r="L26" s="129">
        <v>419472.94</v>
      </c>
    </row>
    <row r="27" spans="1:12" ht="51" hidden="1" x14ac:dyDescent="0.3">
      <c r="A27" s="123" t="s">
        <v>219</v>
      </c>
      <c r="B27" s="124" t="s">
        <v>220</v>
      </c>
      <c r="C27" s="124" t="s">
        <v>239</v>
      </c>
      <c r="D27" s="124" t="s">
        <v>222</v>
      </c>
      <c r="E27" s="125" t="s">
        <v>26</v>
      </c>
      <c r="F27" s="132">
        <v>8.9499999999999993</v>
      </c>
      <c r="G27" s="132"/>
      <c r="H27" s="125" t="s">
        <v>223</v>
      </c>
      <c r="I27" s="127" t="s">
        <v>27</v>
      </c>
      <c r="J27" s="127"/>
      <c r="K27" s="128" t="s">
        <v>21</v>
      </c>
      <c r="L27" s="129">
        <v>419481.89</v>
      </c>
    </row>
    <row r="28" spans="1:12" ht="51" hidden="1" x14ac:dyDescent="0.3">
      <c r="A28" s="123" t="s">
        <v>46</v>
      </c>
      <c r="B28" s="124" t="s">
        <v>240</v>
      </c>
      <c r="C28" s="124" t="s">
        <v>241</v>
      </c>
      <c r="D28" s="124" t="s">
        <v>242</v>
      </c>
      <c r="E28" s="125" t="s">
        <v>26</v>
      </c>
      <c r="F28" s="126">
        <v>12666.67</v>
      </c>
      <c r="G28" s="126"/>
      <c r="H28" s="125" t="s">
        <v>45</v>
      </c>
      <c r="I28" s="127" t="s">
        <v>27</v>
      </c>
      <c r="J28" s="127"/>
      <c r="K28" s="128" t="s">
        <v>21</v>
      </c>
      <c r="L28" s="129">
        <v>432148.56</v>
      </c>
    </row>
    <row r="29" spans="1:12" ht="51" hidden="1" x14ac:dyDescent="0.3">
      <c r="A29" s="123" t="s">
        <v>46</v>
      </c>
      <c r="B29" s="124" t="s">
        <v>240</v>
      </c>
      <c r="C29" s="124" t="s">
        <v>243</v>
      </c>
      <c r="D29" s="124" t="s">
        <v>242</v>
      </c>
      <c r="E29" s="125" t="s">
        <v>26</v>
      </c>
      <c r="F29" s="126">
        <v>68999.990000000005</v>
      </c>
      <c r="G29" s="126"/>
      <c r="H29" s="125" t="s">
        <v>45</v>
      </c>
      <c r="I29" s="127" t="s">
        <v>27</v>
      </c>
      <c r="J29" s="127"/>
      <c r="K29" s="128" t="s">
        <v>21</v>
      </c>
      <c r="L29" s="129">
        <v>501148.55</v>
      </c>
    </row>
    <row r="30" spans="1:12" ht="51" hidden="1" x14ac:dyDescent="0.3">
      <c r="A30" s="123" t="s">
        <v>46</v>
      </c>
      <c r="B30" s="124" t="s">
        <v>244</v>
      </c>
      <c r="C30" s="124" t="s">
        <v>245</v>
      </c>
      <c r="D30" s="124" t="s">
        <v>241</v>
      </c>
      <c r="E30" s="125" t="s">
        <v>26</v>
      </c>
      <c r="F30" s="130" t="s">
        <v>27</v>
      </c>
      <c r="G30" s="130"/>
      <c r="H30" s="125" t="s">
        <v>26</v>
      </c>
      <c r="I30" s="131">
        <v>12666.67</v>
      </c>
      <c r="J30" s="131"/>
      <c r="K30" s="128" t="s">
        <v>21</v>
      </c>
      <c r="L30" s="129">
        <v>488481.88</v>
      </c>
    </row>
    <row r="31" spans="1:12" ht="51" hidden="1" x14ac:dyDescent="0.3">
      <c r="A31" s="123" t="s">
        <v>46</v>
      </c>
      <c r="B31" s="124" t="s">
        <v>246</v>
      </c>
      <c r="C31" s="124" t="s">
        <v>247</v>
      </c>
      <c r="D31" s="124" t="s">
        <v>243</v>
      </c>
      <c r="E31" s="125" t="s">
        <v>26</v>
      </c>
      <c r="F31" s="130" t="s">
        <v>27</v>
      </c>
      <c r="G31" s="130"/>
      <c r="H31" s="125" t="s">
        <v>26</v>
      </c>
      <c r="I31" s="131">
        <v>68999.990000000005</v>
      </c>
      <c r="J31" s="131"/>
      <c r="K31" s="128" t="s">
        <v>21</v>
      </c>
      <c r="L31" s="129">
        <v>419481.89</v>
      </c>
    </row>
    <row r="32" spans="1:12" ht="51" hidden="1" x14ac:dyDescent="0.3">
      <c r="A32" s="123" t="s">
        <v>248</v>
      </c>
      <c r="B32" s="124" t="s">
        <v>249</v>
      </c>
      <c r="C32" s="124" t="s">
        <v>205</v>
      </c>
      <c r="D32" s="124" t="s">
        <v>250</v>
      </c>
      <c r="E32" s="125" t="s">
        <v>45</v>
      </c>
      <c r="F32" s="130" t="s">
        <v>27</v>
      </c>
      <c r="G32" s="130"/>
      <c r="H32" s="125" t="s">
        <v>26</v>
      </c>
      <c r="I32" s="131">
        <v>121388.32</v>
      </c>
      <c r="J32" s="131"/>
      <c r="K32" s="128" t="s">
        <v>21</v>
      </c>
      <c r="L32" s="129">
        <v>298093.57</v>
      </c>
    </row>
    <row r="33" spans="1:12" ht="51" hidden="1" x14ac:dyDescent="0.3">
      <c r="A33" s="123" t="s">
        <v>248</v>
      </c>
      <c r="B33" s="124" t="s">
        <v>251</v>
      </c>
      <c r="C33" s="124" t="s">
        <v>252</v>
      </c>
      <c r="D33" s="124" t="s">
        <v>253</v>
      </c>
      <c r="E33" s="125" t="s">
        <v>26</v>
      </c>
      <c r="F33" s="126">
        <v>84680</v>
      </c>
      <c r="G33" s="126"/>
      <c r="H33" s="125" t="s">
        <v>45</v>
      </c>
      <c r="I33" s="127" t="s">
        <v>27</v>
      </c>
      <c r="J33" s="127"/>
      <c r="K33" s="128" t="s">
        <v>21</v>
      </c>
      <c r="L33" s="129">
        <v>382773.57</v>
      </c>
    </row>
    <row r="34" spans="1:12" ht="51" hidden="1" x14ac:dyDescent="0.3">
      <c r="A34" s="123" t="s">
        <v>248</v>
      </c>
      <c r="B34" s="124" t="s">
        <v>254</v>
      </c>
      <c r="C34" s="124" t="s">
        <v>255</v>
      </c>
      <c r="D34" s="124" t="s">
        <v>256</v>
      </c>
      <c r="E34" s="125" t="s">
        <v>26</v>
      </c>
      <c r="F34" s="126">
        <v>4458.5</v>
      </c>
      <c r="G34" s="126"/>
      <c r="H34" s="125" t="s">
        <v>45</v>
      </c>
      <c r="I34" s="127" t="s">
        <v>27</v>
      </c>
      <c r="J34" s="127"/>
      <c r="K34" s="128" t="s">
        <v>21</v>
      </c>
      <c r="L34" s="129">
        <v>387232.07</v>
      </c>
    </row>
    <row r="35" spans="1:12" ht="51" hidden="1" x14ac:dyDescent="0.3">
      <c r="A35" s="123" t="s">
        <v>248</v>
      </c>
      <c r="B35" s="124" t="s">
        <v>254</v>
      </c>
      <c r="C35" s="124" t="s">
        <v>257</v>
      </c>
      <c r="D35" s="124" t="s">
        <v>256</v>
      </c>
      <c r="E35" s="125" t="s">
        <v>26</v>
      </c>
      <c r="F35" s="126">
        <v>12000</v>
      </c>
      <c r="G35" s="126"/>
      <c r="H35" s="125" t="s">
        <v>45</v>
      </c>
      <c r="I35" s="127" t="s">
        <v>27</v>
      </c>
      <c r="J35" s="127"/>
      <c r="K35" s="128" t="s">
        <v>21</v>
      </c>
      <c r="L35" s="129">
        <v>399232.07</v>
      </c>
    </row>
    <row r="36" spans="1:12" ht="51" hidden="1" x14ac:dyDescent="0.3">
      <c r="A36" s="123" t="s">
        <v>248</v>
      </c>
      <c r="B36" s="124" t="s">
        <v>254</v>
      </c>
      <c r="C36" s="124" t="s">
        <v>258</v>
      </c>
      <c r="D36" s="124" t="s">
        <v>256</v>
      </c>
      <c r="E36" s="125" t="s">
        <v>26</v>
      </c>
      <c r="F36" s="126">
        <v>14447.4</v>
      </c>
      <c r="G36" s="126"/>
      <c r="H36" s="125" t="s">
        <v>45</v>
      </c>
      <c r="I36" s="127" t="s">
        <v>27</v>
      </c>
      <c r="J36" s="127"/>
      <c r="K36" s="128" t="s">
        <v>21</v>
      </c>
      <c r="L36" s="129">
        <v>413679.47</v>
      </c>
    </row>
    <row r="37" spans="1:12" ht="51" hidden="1" x14ac:dyDescent="0.3">
      <c r="A37" s="123" t="s">
        <v>248</v>
      </c>
      <c r="B37" s="124" t="s">
        <v>259</v>
      </c>
      <c r="C37" s="124" t="s">
        <v>252</v>
      </c>
      <c r="D37" s="124" t="s">
        <v>260</v>
      </c>
      <c r="E37" s="125" t="s">
        <v>26</v>
      </c>
      <c r="F37" s="126">
        <v>25039.5</v>
      </c>
      <c r="G37" s="126"/>
      <c r="H37" s="125" t="s">
        <v>45</v>
      </c>
      <c r="I37" s="127" t="s">
        <v>27</v>
      </c>
      <c r="J37" s="127"/>
      <c r="K37" s="128" t="s">
        <v>21</v>
      </c>
      <c r="L37" s="129">
        <v>438718.97</v>
      </c>
    </row>
    <row r="38" spans="1:12" ht="51" hidden="1" x14ac:dyDescent="0.3">
      <c r="A38" s="123" t="s">
        <v>248</v>
      </c>
      <c r="B38" s="124" t="s">
        <v>261</v>
      </c>
      <c r="C38" s="124" t="s">
        <v>79</v>
      </c>
      <c r="D38" s="124" t="s">
        <v>252</v>
      </c>
      <c r="E38" s="125" t="s">
        <v>26</v>
      </c>
      <c r="F38" s="130" t="s">
        <v>27</v>
      </c>
      <c r="G38" s="130"/>
      <c r="H38" s="125" t="s">
        <v>26</v>
      </c>
      <c r="I38" s="131">
        <v>107827.78</v>
      </c>
      <c r="J38" s="131"/>
      <c r="K38" s="128" t="s">
        <v>21</v>
      </c>
      <c r="L38" s="129">
        <v>330891.19</v>
      </c>
    </row>
    <row r="39" spans="1:12" ht="61.2" hidden="1" x14ac:dyDescent="0.3">
      <c r="A39" s="123" t="s">
        <v>248</v>
      </c>
      <c r="B39" s="124" t="s">
        <v>262</v>
      </c>
      <c r="C39" s="124" t="s">
        <v>263</v>
      </c>
      <c r="D39" s="124" t="s">
        <v>252</v>
      </c>
      <c r="E39" s="125" t="s">
        <v>26</v>
      </c>
      <c r="F39" s="130" t="s">
        <v>27</v>
      </c>
      <c r="G39" s="130"/>
      <c r="H39" s="125" t="s">
        <v>26</v>
      </c>
      <c r="I39" s="131">
        <v>1891.72</v>
      </c>
      <c r="J39" s="131"/>
      <c r="K39" s="128" t="s">
        <v>21</v>
      </c>
      <c r="L39" s="129">
        <v>328999.46999999997</v>
      </c>
    </row>
    <row r="40" spans="1:12" ht="51" hidden="1" x14ac:dyDescent="0.3">
      <c r="A40" s="123" t="s">
        <v>248</v>
      </c>
      <c r="B40" s="124" t="s">
        <v>264</v>
      </c>
      <c r="C40" s="124" t="s">
        <v>265</v>
      </c>
      <c r="D40" s="124" t="s">
        <v>255</v>
      </c>
      <c r="E40" s="125" t="s">
        <v>26</v>
      </c>
      <c r="F40" s="130" t="s">
        <v>27</v>
      </c>
      <c r="G40" s="130"/>
      <c r="H40" s="125" t="s">
        <v>26</v>
      </c>
      <c r="I40" s="131">
        <v>4458.5</v>
      </c>
      <c r="J40" s="131"/>
      <c r="K40" s="128" t="s">
        <v>21</v>
      </c>
      <c r="L40" s="129">
        <v>324540.96999999997</v>
      </c>
    </row>
    <row r="41" spans="1:12" ht="51" hidden="1" x14ac:dyDescent="0.3">
      <c r="A41" s="123" t="s">
        <v>248</v>
      </c>
      <c r="B41" s="124" t="s">
        <v>264</v>
      </c>
      <c r="C41" s="124" t="s">
        <v>266</v>
      </c>
      <c r="D41" s="124" t="s">
        <v>258</v>
      </c>
      <c r="E41" s="125" t="s">
        <v>26</v>
      </c>
      <c r="F41" s="130" t="s">
        <v>27</v>
      </c>
      <c r="G41" s="130"/>
      <c r="H41" s="125" t="s">
        <v>26</v>
      </c>
      <c r="I41" s="131">
        <v>1313.4</v>
      </c>
      <c r="J41" s="131"/>
      <c r="K41" s="128" t="s">
        <v>21</v>
      </c>
      <c r="L41" s="129">
        <v>323227.57</v>
      </c>
    </row>
    <row r="42" spans="1:12" ht="51" hidden="1" x14ac:dyDescent="0.3">
      <c r="A42" s="123" t="s">
        <v>248</v>
      </c>
      <c r="B42" s="124" t="s">
        <v>267</v>
      </c>
      <c r="C42" s="124" t="s">
        <v>268</v>
      </c>
      <c r="D42" s="124" t="s">
        <v>257</v>
      </c>
      <c r="E42" s="125" t="s">
        <v>26</v>
      </c>
      <c r="F42" s="130" t="s">
        <v>27</v>
      </c>
      <c r="G42" s="130"/>
      <c r="H42" s="125" t="s">
        <v>26</v>
      </c>
      <c r="I42" s="131">
        <v>12000</v>
      </c>
      <c r="J42" s="131"/>
      <c r="K42" s="128" t="s">
        <v>21</v>
      </c>
      <c r="L42" s="129">
        <v>311227.57</v>
      </c>
    </row>
    <row r="43" spans="1:12" ht="51" hidden="1" x14ac:dyDescent="0.3">
      <c r="A43" s="123" t="s">
        <v>248</v>
      </c>
      <c r="B43" s="124" t="s">
        <v>267</v>
      </c>
      <c r="C43" s="124" t="s">
        <v>269</v>
      </c>
      <c r="D43" s="124" t="s">
        <v>258</v>
      </c>
      <c r="E43" s="125" t="s">
        <v>26</v>
      </c>
      <c r="F43" s="130" t="s">
        <v>27</v>
      </c>
      <c r="G43" s="130"/>
      <c r="H43" s="125" t="s">
        <v>26</v>
      </c>
      <c r="I43" s="131">
        <v>13134</v>
      </c>
      <c r="J43" s="131"/>
      <c r="K43" s="128" t="s">
        <v>21</v>
      </c>
      <c r="L43" s="129">
        <v>298093.57</v>
      </c>
    </row>
    <row r="44" spans="1:12" ht="51" hidden="1" x14ac:dyDescent="0.3">
      <c r="A44" s="123" t="s">
        <v>53</v>
      </c>
      <c r="B44" s="124" t="s">
        <v>270</v>
      </c>
      <c r="C44" s="124" t="s">
        <v>56</v>
      </c>
      <c r="D44" s="124" t="s">
        <v>271</v>
      </c>
      <c r="E44" s="125" t="s">
        <v>26</v>
      </c>
      <c r="F44" s="126">
        <v>7954.83</v>
      </c>
      <c r="G44" s="126"/>
      <c r="H44" s="125" t="s">
        <v>45</v>
      </c>
      <c r="I44" s="127" t="s">
        <v>27</v>
      </c>
      <c r="J44" s="127"/>
      <c r="K44" s="128" t="s">
        <v>21</v>
      </c>
      <c r="L44" s="129">
        <v>306048.40000000002</v>
      </c>
    </row>
    <row r="45" spans="1:12" ht="51" hidden="1" x14ac:dyDescent="0.3">
      <c r="A45" s="123" t="s">
        <v>53</v>
      </c>
      <c r="B45" s="124" t="s">
        <v>272</v>
      </c>
      <c r="C45" s="124" t="s">
        <v>273</v>
      </c>
      <c r="D45" s="124" t="s">
        <v>56</v>
      </c>
      <c r="E45" s="125" t="s">
        <v>26</v>
      </c>
      <c r="F45" s="130" t="s">
        <v>27</v>
      </c>
      <c r="G45" s="130"/>
      <c r="H45" s="125" t="s">
        <v>26</v>
      </c>
      <c r="I45" s="131">
        <v>4007.66</v>
      </c>
      <c r="J45" s="131"/>
      <c r="K45" s="128" t="s">
        <v>21</v>
      </c>
      <c r="L45" s="129">
        <v>302040.74</v>
      </c>
    </row>
    <row r="46" spans="1:12" ht="51" hidden="1" x14ac:dyDescent="0.3">
      <c r="A46" s="123" t="s">
        <v>53</v>
      </c>
      <c r="B46" s="124" t="s">
        <v>54</v>
      </c>
      <c r="C46" s="124" t="s">
        <v>55</v>
      </c>
      <c r="D46" s="124" t="s">
        <v>56</v>
      </c>
      <c r="E46" s="125" t="s">
        <v>26</v>
      </c>
      <c r="F46" s="130" t="s">
        <v>27</v>
      </c>
      <c r="G46" s="130"/>
      <c r="H46" s="125" t="s">
        <v>26</v>
      </c>
      <c r="I46" s="131">
        <v>3947.17</v>
      </c>
      <c r="J46" s="131"/>
      <c r="K46" s="128" t="s">
        <v>21</v>
      </c>
      <c r="L46" s="129">
        <v>298093.57</v>
      </c>
    </row>
    <row r="47" spans="1:12" ht="51" hidden="1" x14ac:dyDescent="0.3">
      <c r="A47" s="123" t="s">
        <v>57</v>
      </c>
      <c r="B47" s="124" t="s">
        <v>274</v>
      </c>
      <c r="C47" s="124" t="s">
        <v>60</v>
      </c>
      <c r="D47" s="124" t="s">
        <v>275</v>
      </c>
      <c r="E47" s="125" t="s">
        <v>26</v>
      </c>
      <c r="F47" s="126">
        <v>7861.33</v>
      </c>
      <c r="G47" s="126"/>
      <c r="H47" s="125" t="s">
        <v>45</v>
      </c>
      <c r="I47" s="127" t="s">
        <v>27</v>
      </c>
      <c r="J47" s="127"/>
      <c r="K47" s="128" t="s">
        <v>21</v>
      </c>
      <c r="L47" s="129">
        <v>305954.90000000002</v>
      </c>
    </row>
    <row r="48" spans="1:12" ht="61.2" hidden="1" x14ac:dyDescent="0.3">
      <c r="A48" s="123" t="s">
        <v>57</v>
      </c>
      <c r="B48" s="124" t="s">
        <v>276</v>
      </c>
      <c r="C48" s="124" t="s">
        <v>277</v>
      </c>
      <c r="D48" s="124" t="s">
        <v>60</v>
      </c>
      <c r="E48" s="125" t="s">
        <v>26</v>
      </c>
      <c r="F48" s="130" t="s">
        <v>27</v>
      </c>
      <c r="G48" s="130"/>
      <c r="H48" s="125" t="s">
        <v>26</v>
      </c>
      <c r="I48" s="131">
        <v>3930.67</v>
      </c>
      <c r="J48" s="131"/>
      <c r="K48" s="128" t="s">
        <v>21</v>
      </c>
      <c r="L48" s="129">
        <v>302024.23</v>
      </c>
    </row>
    <row r="49" spans="1:12" ht="51" hidden="1" x14ac:dyDescent="0.3">
      <c r="A49" s="123" t="s">
        <v>57</v>
      </c>
      <c r="B49" s="124" t="s">
        <v>58</v>
      </c>
      <c r="C49" s="124" t="s">
        <v>59</v>
      </c>
      <c r="D49" s="124" t="s">
        <v>60</v>
      </c>
      <c r="E49" s="125" t="s">
        <v>26</v>
      </c>
      <c r="F49" s="130" t="s">
        <v>27</v>
      </c>
      <c r="G49" s="130"/>
      <c r="H49" s="125" t="s">
        <v>26</v>
      </c>
      <c r="I49" s="131">
        <v>3930.66</v>
      </c>
      <c r="J49" s="131"/>
      <c r="K49" s="128" t="s">
        <v>21</v>
      </c>
      <c r="L49" s="129">
        <v>298093.57</v>
      </c>
    </row>
    <row r="50" spans="1:12" ht="51" hidden="1" x14ac:dyDescent="0.3">
      <c r="A50" s="123" t="s">
        <v>61</v>
      </c>
      <c r="B50" s="124" t="s">
        <v>278</v>
      </c>
      <c r="C50" s="124" t="s">
        <v>279</v>
      </c>
      <c r="D50" s="124" t="s">
        <v>280</v>
      </c>
      <c r="E50" s="125" t="s">
        <v>26</v>
      </c>
      <c r="F50" s="126">
        <v>29505</v>
      </c>
      <c r="G50" s="126"/>
      <c r="H50" s="125" t="s">
        <v>45</v>
      </c>
      <c r="I50" s="127" t="s">
        <v>27</v>
      </c>
      <c r="J50" s="127"/>
      <c r="K50" s="128" t="s">
        <v>21</v>
      </c>
      <c r="L50" s="129">
        <v>327598.57</v>
      </c>
    </row>
    <row r="51" spans="1:12" ht="51" hidden="1" x14ac:dyDescent="0.3">
      <c r="A51" s="123" t="s">
        <v>61</v>
      </c>
      <c r="B51" s="124" t="s">
        <v>278</v>
      </c>
      <c r="C51" s="124" t="s">
        <v>67</v>
      </c>
      <c r="D51" s="124" t="s">
        <v>280</v>
      </c>
      <c r="E51" s="125" t="s">
        <v>26</v>
      </c>
      <c r="F51" s="126">
        <v>220460</v>
      </c>
      <c r="G51" s="126"/>
      <c r="H51" s="125" t="s">
        <v>45</v>
      </c>
      <c r="I51" s="127" t="s">
        <v>27</v>
      </c>
      <c r="J51" s="127"/>
      <c r="K51" s="128" t="s">
        <v>21</v>
      </c>
      <c r="L51" s="129">
        <v>548058.56999999995</v>
      </c>
    </row>
    <row r="52" spans="1:12" ht="51" hidden="1" x14ac:dyDescent="0.3">
      <c r="A52" s="123" t="s">
        <v>61</v>
      </c>
      <c r="B52" s="124" t="s">
        <v>281</v>
      </c>
      <c r="C52" s="124" t="s">
        <v>64</v>
      </c>
      <c r="D52" s="124" t="s">
        <v>282</v>
      </c>
      <c r="E52" s="125" t="s">
        <v>26</v>
      </c>
      <c r="F52" s="126">
        <v>8262.83</v>
      </c>
      <c r="G52" s="126"/>
      <c r="H52" s="125" t="s">
        <v>45</v>
      </c>
      <c r="I52" s="127" t="s">
        <v>27</v>
      </c>
      <c r="J52" s="127"/>
      <c r="K52" s="128" t="s">
        <v>21</v>
      </c>
      <c r="L52" s="129">
        <v>556321.4</v>
      </c>
    </row>
    <row r="53" spans="1:12" ht="51" hidden="1" x14ac:dyDescent="0.3">
      <c r="A53" s="123" t="s">
        <v>61</v>
      </c>
      <c r="B53" s="124" t="s">
        <v>283</v>
      </c>
      <c r="C53" s="124" t="s">
        <v>284</v>
      </c>
      <c r="D53" s="124" t="s">
        <v>285</v>
      </c>
      <c r="E53" s="125" t="s">
        <v>26</v>
      </c>
      <c r="F53" s="126">
        <v>1986.67</v>
      </c>
      <c r="G53" s="126"/>
      <c r="H53" s="125" t="s">
        <v>45</v>
      </c>
      <c r="I53" s="127" t="s">
        <v>27</v>
      </c>
      <c r="J53" s="127"/>
      <c r="K53" s="128" t="s">
        <v>21</v>
      </c>
      <c r="L53" s="129">
        <v>558308.06999999995</v>
      </c>
    </row>
    <row r="54" spans="1:12" ht="51" hidden="1" x14ac:dyDescent="0.3">
      <c r="A54" s="123" t="s">
        <v>61</v>
      </c>
      <c r="B54" s="124" t="s">
        <v>283</v>
      </c>
      <c r="C54" s="124" t="s">
        <v>286</v>
      </c>
      <c r="D54" s="124" t="s">
        <v>285</v>
      </c>
      <c r="E54" s="125" t="s">
        <v>26</v>
      </c>
      <c r="F54" s="126">
        <v>3750</v>
      </c>
      <c r="G54" s="126"/>
      <c r="H54" s="125" t="s">
        <v>45</v>
      </c>
      <c r="I54" s="127" t="s">
        <v>27</v>
      </c>
      <c r="J54" s="127"/>
      <c r="K54" s="128" t="s">
        <v>21</v>
      </c>
      <c r="L54" s="129">
        <v>562058.06999999995</v>
      </c>
    </row>
    <row r="55" spans="1:12" ht="51" hidden="1" x14ac:dyDescent="0.3">
      <c r="A55" s="123" t="s">
        <v>61</v>
      </c>
      <c r="B55" s="124" t="s">
        <v>62</v>
      </c>
      <c r="C55" s="124" t="s">
        <v>63</v>
      </c>
      <c r="D55" s="124" t="s">
        <v>64</v>
      </c>
      <c r="E55" s="125" t="s">
        <v>26</v>
      </c>
      <c r="F55" s="130" t="s">
        <v>27</v>
      </c>
      <c r="G55" s="130"/>
      <c r="H55" s="125" t="s">
        <v>26</v>
      </c>
      <c r="I55" s="131">
        <v>4218.5</v>
      </c>
      <c r="J55" s="131"/>
      <c r="K55" s="128" t="s">
        <v>21</v>
      </c>
      <c r="L55" s="129">
        <v>557839.56999999995</v>
      </c>
    </row>
    <row r="56" spans="1:12" ht="61.2" hidden="1" x14ac:dyDescent="0.3">
      <c r="A56" s="123" t="s">
        <v>61</v>
      </c>
      <c r="B56" s="124" t="s">
        <v>287</v>
      </c>
      <c r="C56" s="124" t="s">
        <v>288</v>
      </c>
      <c r="D56" s="124" t="s">
        <v>64</v>
      </c>
      <c r="E56" s="125" t="s">
        <v>26</v>
      </c>
      <c r="F56" s="130" t="s">
        <v>27</v>
      </c>
      <c r="G56" s="130"/>
      <c r="H56" s="125" t="s">
        <v>26</v>
      </c>
      <c r="I56" s="131">
        <v>4044.33</v>
      </c>
      <c r="J56" s="131"/>
      <c r="K56" s="128" t="s">
        <v>21</v>
      </c>
      <c r="L56" s="129">
        <v>553795.24</v>
      </c>
    </row>
    <row r="57" spans="1:12" ht="51" hidden="1" x14ac:dyDescent="0.3">
      <c r="A57" s="123" t="s">
        <v>61</v>
      </c>
      <c r="B57" s="124" t="s">
        <v>289</v>
      </c>
      <c r="C57" s="124" t="s">
        <v>279</v>
      </c>
      <c r="D57" s="124" t="s">
        <v>290</v>
      </c>
      <c r="E57" s="125" t="s">
        <v>26</v>
      </c>
      <c r="F57" s="126">
        <v>8978.15</v>
      </c>
      <c r="G57" s="126"/>
      <c r="H57" s="125" t="s">
        <v>45</v>
      </c>
      <c r="I57" s="127" t="s">
        <v>27</v>
      </c>
      <c r="J57" s="127"/>
      <c r="K57" s="128" t="s">
        <v>21</v>
      </c>
      <c r="L57" s="129">
        <v>562773.39</v>
      </c>
    </row>
    <row r="58" spans="1:12" ht="51" hidden="1" x14ac:dyDescent="0.3">
      <c r="A58" s="123" t="s">
        <v>61</v>
      </c>
      <c r="B58" s="124" t="s">
        <v>289</v>
      </c>
      <c r="C58" s="124" t="s">
        <v>67</v>
      </c>
      <c r="D58" s="124" t="s">
        <v>290</v>
      </c>
      <c r="E58" s="125" t="s">
        <v>26</v>
      </c>
      <c r="F58" s="126">
        <v>67084.350000000006</v>
      </c>
      <c r="G58" s="126"/>
      <c r="H58" s="125" t="s">
        <v>45</v>
      </c>
      <c r="I58" s="127" t="s">
        <v>27</v>
      </c>
      <c r="J58" s="127"/>
      <c r="K58" s="128" t="s">
        <v>21</v>
      </c>
      <c r="L58" s="129">
        <v>629857.74</v>
      </c>
    </row>
    <row r="59" spans="1:12" ht="51" hidden="1" x14ac:dyDescent="0.3">
      <c r="A59" s="123" t="s">
        <v>61</v>
      </c>
      <c r="B59" s="124" t="s">
        <v>291</v>
      </c>
      <c r="C59" s="124" t="s">
        <v>292</v>
      </c>
      <c r="D59" s="124" t="s">
        <v>279</v>
      </c>
      <c r="E59" s="125" t="s">
        <v>26</v>
      </c>
      <c r="F59" s="130" t="s">
        <v>27</v>
      </c>
      <c r="G59" s="130"/>
      <c r="H59" s="125" t="s">
        <v>26</v>
      </c>
      <c r="I59" s="131">
        <v>24739.17</v>
      </c>
      <c r="J59" s="131"/>
      <c r="K59" s="128" t="s">
        <v>21</v>
      </c>
      <c r="L59" s="129">
        <v>605118.56999999995</v>
      </c>
    </row>
    <row r="60" spans="1:12" ht="51" hidden="1" x14ac:dyDescent="0.3">
      <c r="A60" s="123" t="s">
        <v>61</v>
      </c>
      <c r="B60" s="124" t="s">
        <v>293</v>
      </c>
      <c r="C60" s="124" t="s">
        <v>294</v>
      </c>
      <c r="D60" s="124" t="s">
        <v>279</v>
      </c>
      <c r="E60" s="125" t="s">
        <v>26</v>
      </c>
      <c r="F60" s="130" t="s">
        <v>27</v>
      </c>
      <c r="G60" s="130"/>
      <c r="H60" s="125" t="s">
        <v>26</v>
      </c>
      <c r="I60" s="131">
        <v>13743.98</v>
      </c>
      <c r="J60" s="131"/>
      <c r="K60" s="128" t="s">
        <v>21</v>
      </c>
      <c r="L60" s="129">
        <v>591374.59</v>
      </c>
    </row>
    <row r="61" spans="1:12" ht="51" hidden="1" x14ac:dyDescent="0.3">
      <c r="A61" s="123" t="s">
        <v>61</v>
      </c>
      <c r="B61" s="124" t="s">
        <v>65</v>
      </c>
      <c r="C61" s="124" t="s">
        <v>66</v>
      </c>
      <c r="D61" s="124" t="s">
        <v>67</v>
      </c>
      <c r="E61" s="125" t="s">
        <v>26</v>
      </c>
      <c r="F61" s="130" t="s">
        <v>27</v>
      </c>
      <c r="G61" s="130"/>
      <c r="H61" s="125" t="s">
        <v>26</v>
      </c>
      <c r="I61" s="131">
        <v>284497.52</v>
      </c>
      <c r="J61" s="131"/>
      <c r="K61" s="128" t="s">
        <v>21</v>
      </c>
      <c r="L61" s="129">
        <v>306877.07</v>
      </c>
    </row>
    <row r="62" spans="1:12" ht="51" hidden="1" x14ac:dyDescent="0.3">
      <c r="A62" s="123" t="s">
        <v>61</v>
      </c>
      <c r="B62" s="124" t="s">
        <v>295</v>
      </c>
      <c r="C62" s="124" t="s">
        <v>296</v>
      </c>
      <c r="D62" s="124" t="s">
        <v>67</v>
      </c>
      <c r="E62" s="125" t="s">
        <v>26</v>
      </c>
      <c r="F62" s="130" t="s">
        <v>27</v>
      </c>
      <c r="G62" s="130"/>
      <c r="H62" s="125" t="s">
        <v>26</v>
      </c>
      <c r="I62" s="131">
        <v>3046.83</v>
      </c>
      <c r="J62" s="131"/>
      <c r="K62" s="128" t="s">
        <v>21</v>
      </c>
      <c r="L62" s="129">
        <v>303830.24</v>
      </c>
    </row>
    <row r="63" spans="1:12" ht="51" hidden="1" x14ac:dyDescent="0.3">
      <c r="A63" s="123" t="s">
        <v>297</v>
      </c>
      <c r="B63" s="124" t="s">
        <v>298</v>
      </c>
      <c r="C63" s="124" t="s">
        <v>299</v>
      </c>
      <c r="D63" s="124" t="s">
        <v>300</v>
      </c>
      <c r="E63" s="125" t="s">
        <v>26</v>
      </c>
      <c r="F63" s="126">
        <v>11591.25</v>
      </c>
      <c r="G63" s="126"/>
      <c r="H63" s="125" t="s">
        <v>45</v>
      </c>
      <c r="I63" s="127" t="s">
        <v>27</v>
      </c>
      <c r="J63" s="127"/>
      <c r="K63" s="128" t="s">
        <v>21</v>
      </c>
      <c r="L63" s="129">
        <v>315421.49</v>
      </c>
    </row>
    <row r="64" spans="1:12" ht="51" hidden="1" x14ac:dyDescent="0.3">
      <c r="A64" s="123" t="s">
        <v>297</v>
      </c>
      <c r="B64" s="124" t="s">
        <v>298</v>
      </c>
      <c r="C64" s="124" t="s">
        <v>301</v>
      </c>
      <c r="D64" s="124" t="s">
        <v>300</v>
      </c>
      <c r="E64" s="125" t="s">
        <v>26</v>
      </c>
      <c r="F64" s="126">
        <v>84680</v>
      </c>
      <c r="G64" s="126"/>
      <c r="H64" s="125" t="s">
        <v>45</v>
      </c>
      <c r="I64" s="127" t="s">
        <v>27</v>
      </c>
      <c r="J64" s="127"/>
      <c r="K64" s="128" t="s">
        <v>21</v>
      </c>
      <c r="L64" s="129">
        <v>400101.49</v>
      </c>
    </row>
    <row r="65" spans="1:12" ht="51" hidden="1" x14ac:dyDescent="0.3">
      <c r="A65" s="123" t="s">
        <v>297</v>
      </c>
      <c r="B65" s="124" t="s">
        <v>302</v>
      </c>
      <c r="C65" s="124" t="s">
        <v>299</v>
      </c>
      <c r="D65" s="124" t="s">
        <v>303</v>
      </c>
      <c r="E65" s="125" t="s">
        <v>26</v>
      </c>
      <c r="F65" s="126">
        <v>4158.99</v>
      </c>
      <c r="G65" s="126"/>
      <c r="H65" s="125" t="s">
        <v>45</v>
      </c>
      <c r="I65" s="127" t="s">
        <v>27</v>
      </c>
      <c r="J65" s="127"/>
      <c r="K65" s="128" t="s">
        <v>21</v>
      </c>
      <c r="L65" s="129">
        <v>404260.48</v>
      </c>
    </row>
    <row r="66" spans="1:12" ht="51" hidden="1" x14ac:dyDescent="0.3">
      <c r="A66" s="123" t="s">
        <v>297</v>
      </c>
      <c r="B66" s="124" t="s">
        <v>302</v>
      </c>
      <c r="C66" s="124" t="s">
        <v>301</v>
      </c>
      <c r="D66" s="124" t="s">
        <v>303</v>
      </c>
      <c r="E66" s="125" t="s">
        <v>26</v>
      </c>
      <c r="F66" s="126">
        <v>30383.51</v>
      </c>
      <c r="G66" s="126"/>
      <c r="H66" s="125" t="s">
        <v>45</v>
      </c>
      <c r="I66" s="127" t="s">
        <v>27</v>
      </c>
      <c r="J66" s="127"/>
      <c r="K66" s="128" t="s">
        <v>21</v>
      </c>
      <c r="L66" s="129">
        <v>434643.99</v>
      </c>
    </row>
    <row r="67" spans="1:12" ht="51" hidden="1" x14ac:dyDescent="0.3">
      <c r="A67" s="123" t="s">
        <v>297</v>
      </c>
      <c r="B67" s="124" t="s">
        <v>304</v>
      </c>
      <c r="C67" s="124" t="s">
        <v>305</v>
      </c>
      <c r="D67" s="124" t="s">
        <v>299</v>
      </c>
      <c r="E67" s="125" t="s">
        <v>26</v>
      </c>
      <c r="F67" s="130" t="s">
        <v>27</v>
      </c>
      <c r="G67" s="130"/>
      <c r="H67" s="125" t="s">
        <v>26</v>
      </c>
      <c r="I67" s="131">
        <v>15750.24</v>
      </c>
      <c r="J67" s="131"/>
      <c r="K67" s="128" t="s">
        <v>21</v>
      </c>
      <c r="L67" s="129">
        <v>418893.75</v>
      </c>
    </row>
    <row r="68" spans="1:12" ht="51" hidden="1" x14ac:dyDescent="0.3">
      <c r="A68" s="123" t="s">
        <v>297</v>
      </c>
      <c r="B68" s="124" t="s">
        <v>304</v>
      </c>
      <c r="C68" s="124" t="s">
        <v>306</v>
      </c>
      <c r="D68" s="124" t="s">
        <v>301</v>
      </c>
      <c r="E68" s="125" t="s">
        <v>26</v>
      </c>
      <c r="F68" s="130" t="s">
        <v>27</v>
      </c>
      <c r="G68" s="130"/>
      <c r="H68" s="125" t="s">
        <v>26</v>
      </c>
      <c r="I68" s="131">
        <v>1983.85</v>
      </c>
      <c r="J68" s="131"/>
      <c r="K68" s="128" t="s">
        <v>21</v>
      </c>
      <c r="L68" s="129">
        <v>416909.9</v>
      </c>
    </row>
    <row r="69" spans="1:12" ht="51" hidden="1" x14ac:dyDescent="0.3">
      <c r="A69" s="123" t="s">
        <v>297</v>
      </c>
      <c r="B69" s="124" t="s">
        <v>307</v>
      </c>
      <c r="C69" s="124" t="s">
        <v>308</v>
      </c>
      <c r="D69" s="124" t="s">
        <v>301</v>
      </c>
      <c r="E69" s="125" t="s">
        <v>26</v>
      </c>
      <c r="F69" s="130" t="s">
        <v>27</v>
      </c>
      <c r="G69" s="130"/>
      <c r="H69" s="125" t="s">
        <v>26</v>
      </c>
      <c r="I69" s="131">
        <v>113079.66</v>
      </c>
      <c r="J69" s="131"/>
      <c r="K69" s="128" t="s">
        <v>21</v>
      </c>
      <c r="L69" s="129">
        <v>303830.24</v>
      </c>
    </row>
    <row r="70" spans="1:12" ht="51" hidden="1" x14ac:dyDescent="0.3">
      <c r="A70" s="123" t="s">
        <v>147</v>
      </c>
      <c r="B70" s="124" t="s">
        <v>309</v>
      </c>
      <c r="C70" s="124" t="s">
        <v>310</v>
      </c>
      <c r="D70" s="124" t="s">
        <v>311</v>
      </c>
      <c r="E70" s="125" t="s">
        <v>26</v>
      </c>
      <c r="F70" s="130" t="s">
        <v>27</v>
      </c>
      <c r="G70" s="130"/>
      <c r="H70" s="125" t="s">
        <v>26</v>
      </c>
      <c r="I70" s="133">
        <v>323</v>
      </c>
      <c r="J70" s="133"/>
      <c r="K70" s="128" t="s">
        <v>21</v>
      </c>
      <c r="L70" s="129">
        <v>303507.24</v>
      </c>
    </row>
    <row r="71" spans="1:12" ht="51" x14ac:dyDescent="0.3">
      <c r="A71" s="123" t="s">
        <v>68</v>
      </c>
      <c r="B71" s="124" t="s">
        <v>312</v>
      </c>
      <c r="C71" s="124" t="s">
        <v>33</v>
      </c>
      <c r="D71" s="124" t="s">
        <v>237</v>
      </c>
      <c r="E71" s="125" t="s">
        <v>34</v>
      </c>
      <c r="F71" s="130" t="s">
        <v>27</v>
      </c>
      <c r="G71" s="130"/>
      <c r="H71" s="125" t="s">
        <v>26</v>
      </c>
      <c r="I71" s="133">
        <v>134.55000000000001</v>
      </c>
      <c r="J71" s="133"/>
      <c r="K71" s="128" t="s">
        <v>21</v>
      </c>
      <c r="L71" s="129">
        <v>303372.69</v>
      </c>
    </row>
    <row r="72" spans="1:12" ht="51" x14ac:dyDescent="0.3">
      <c r="A72" s="123" t="s">
        <v>68</v>
      </c>
      <c r="B72" s="124" t="s">
        <v>312</v>
      </c>
      <c r="C72" s="124" t="s">
        <v>33</v>
      </c>
      <c r="D72" s="124" t="s">
        <v>226</v>
      </c>
      <c r="E72" s="125" t="s">
        <v>34</v>
      </c>
      <c r="F72" s="130" t="s">
        <v>27</v>
      </c>
      <c r="G72" s="130"/>
      <c r="H72" s="125" t="s">
        <v>26</v>
      </c>
      <c r="I72" s="133">
        <v>165</v>
      </c>
      <c r="J72" s="133"/>
      <c r="K72" s="128" t="s">
        <v>21</v>
      </c>
      <c r="L72" s="129">
        <v>303207.69</v>
      </c>
    </row>
    <row r="73" spans="1:12" ht="51" x14ac:dyDescent="0.3">
      <c r="A73" s="123" t="s">
        <v>68</v>
      </c>
      <c r="B73" s="124" t="s">
        <v>312</v>
      </c>
      <c r="C73" s="124" t="s">
        <v>33</v>
      </c>
      <c r="D73" s="124" t="s">
        <v>313</v>
      </c>
      <c r="E73" s="125" t="s">
        <v>34</v>
      </c>
      <c r="F73" s="130" t="s">
        <v>27</v>
      </c>
      <c r="G73" s="130"/>
      <c r="H73" s="125" t="s">
        <v>26</v>
      </c>
      <c r="I73" s="131">
        <v>4700</v>
      </c>
      <c r="J73" s="131"/>
      <c r="K73" s="128" t="s">
        <v>21</v>
      </c>
      <c r="L73" s="129">
        <v>298507.69</v>
      </c>
    </row>
    <row r="74" spans="1:12" ht="51" x14ac:dyDescent="0.3">
      <c r="A74" s="123" t="s">
        <v>68</v>
      </c>
      <c r="B74" s="124" t="s">
        <v>312</v>
      </c>
      <c r="C74" s="124" t="s">
        <v>33</v>
      </c>
      <c r="D74" s="124" t="s">
        <v>314</v>
      </c>
      <c r="E74" s="125" t="s">
        <v>34</v>
      </c>
      <c r="F74" s="130" t="s">
        <v>27</v>
      </c>
      <c r="G74" s="130"/>
      <c r="H74" s="125" t="s">
        <v>26</v>
      </c>
      <c r="I74" s="133">
        <v>699</v>
      </c>
      <c r="J74" s="133"/>
      <c r="K74" s="128" t="s">
        <v>21</v>
      </c>
      <c r="L74" s="129">
        <v>297808.69</v>
      </c>
    </row>
    <row r="75" spans="1:12" ht="51" x14ac:dyDescent="0.3">
      <c r="A75" s="123" t="s">
        <v>68</v>
      </c>
      <c r="B75" s="124" t="s">
        <v>312</v>
      </c>
      <c r="C75" s="124" t="s">
        <v>33</v>
      </c>
      <c r="D75" s="124" t="s">
        <v>236</v>
      </c>
      <c r="E75" s="125" t="s">
        <v>34</v>
      </c>
      <c r="F75" s="130" t="s">
        <v>27</v>
      </c>
      <c r="G75" s="130"/>
      <c r="H75" s="125" t="s">
        <v>26</v>
      </c>
      <c r="I75" s="133">
        <v>699</v>
      </c>
      <c r="J75" s="133"/>
      <c r="K75" s="128" t="s">
        <v>21</v>
      </c>
      <c r="L75" s="129">
        <v>297109.69</v>
      </c>
    </row>
    <row r="76" spans="1:12" ht="51" x14ac:dyDescent="0.3">
      <c r="A76" s="123" t="s">
        <v>68</v>
      </c>
      <c r="B76" s="124" t="s">
        <v>312</v>
      </c>
      <c r="C76" s="124" t="s">
        <v>33</v>
      </c>
      <c r="D76" s="124" t="s">
        <v>315</v>
      </c>
      <c r="E76" s="125" t="s">
        <v>34</v>
      </c>
      <c r="F76" s="130" t="s">
        <v>27</v>
      </c>
      <c r="G76" s="130"/>
      <c r="H76" s="125" t="s">
        <v>26</v>
      </c>
      <c r="I76" s="133">
        <v>10.76</v>
      </c>
      <c r="J76" s="133"/>
      <c r="K76" s="128" t="s">
        <v>21</v>
      </c>
      <c r="L76" s="129">
        <v>297098.93</v>
      </c>
    </row>
    <row r="77" spans="1:12" ht="51" x14ac:dyDescent="0.3">
      <c r="A77" s="123" t="s">
        <v>68</v>
      </c>
      <c r="B77" s="124" t="s">
        <v>312</v>
      </c>
      <c r="C77" s="124" t="s">
        <v>33</v>
      </c>
      <c r="D77" s="124" t="s">
        <v>315</v>
      </c>
      <c r="E77" s="125" t="s">
        <v>34</v>
      </c>
      <c r="F77" s="130" t="s">
        <v>27</v>
      </c>
      <c r="G77" s="130"/>
      <c r="H77" s="125" t="s">
        <v>26</v>
      </c>
      <c r="I77" s="133">
        <v>10.76</v>
      </c>
      <c r="J77" s="133"/>
      <c r="K77" s="128" t="s">
        <v>21</v>
      </c>
      <c r="L77" s="129">
        <v>297088.17</v>
      </c>
    </row>
    <row r="78" spans="1:12" ht="51" x14ac:dyDescent="0.3">
      <c r="A78" s="123" t="s">
        <v>68</v>
      </c>
      <c r="B78" s="124" t="s">
        <v>312</v>
      </c>
      <c r="C78" s="124" t="s">
        <v>33</v>
      </c>
      <c r="D78" s="124" t="s">
        <v>239</v>
      </c>
      <c r="E78" s="125" t="s">
        <v>34</v>
      </c>
      <c r="F78" s="130" t="s">
        <v>27</v>
      </c>
      <c r="G78" s="130"/>
      <c r="H78" s="125" t="s">
        <v>26</v>
      </c>
      <c r="I78" s="133">
        <v>8.9499999999999993</v>
      </c>
      <c r="J78" s="133"/>
      <c r="K78" s="128" t="s">
        <v>21</v>
      </c>
      <c r="L78" s="129">
        <v>297079.21999999997</v>
      </c>
    </row>
    <row r="79" spans="1:12" ht="61.2" x14ac:dyDescent="0.3">
      <c r="A79" s="123" t="s">
        <v>68</v>
      </c>
      <c r="B79" s="124" t="s">
        <v>312</v>
      </c>
      <c r="C79" s="124" t="s">
        <v>33</v>
      </c>
      <c r="D79" s="124" t="s">
        <v>316</v>
      </c>
      <c r="E79" s="125" t="s">
        <v>34</v>
      </c>
      <c r="F79" s="130" t="s">
        <v>27</v>
      </c>
      <c r="G79" s="130"/>
      <c r="H79" s="125" t="s">
        <v>26</v>
      </c>
      <c r="I79" s="133">
        <v>200</v>
      </c>
      <c r="J79" s="133"/>
      <c r="K79" s="128" t="s">
        <v>21</v>
      </c>
      <c r="L79" s="129">
        <v>296879.21999999997</v>
      </c>
    </row>
    <row r="80" spans="1:12" ht="51" x14ac:dyDescent="0.3">
      <c r="A80" s="123" t="s">
        <v>68</v>
      </c>
      <c r="B80" s="124" t="s">
        <v>312</v>
      </c>
      <c r="C80" s="124" t="s">
        <v>33</v>
      </c>
      <c r="D80" s="124" t="s">
        <v>317</v>
      </c>
      <c r="E80" s="125" t="s">
        <v>34</v>
      </c>
      <c r="F80" s="130" t="s">
        <v>27</v>
      </c>
      <c r="G80" s="130"/>
      <c r="H80" s="125" t="s">
        <v>26</v>
      </c>
      <c r="I80" s="133">
        <v>420</v>
      </c>
      <c r="J80" s="133"/>
      <c r="K80" s="128" t="s">
        <v>21</v>
      </c>
      <c r="L80" s="129">
        <v>296459.21999999997</v>
      </c>
    </row>
    <row r="81" spans="1:12" ht="51" x14ac:dyDescent="0.3">
      <c r="A81" s="123" t="s">
        <v>68</v>
      </c>
      <c r="B81" s="124" t="s">
        <v>312</v>
      </c>
      <c r="C81" s="124" t="s">
        <v>33</v>
      </c>
      <c r="D81" s="124" t="s">
        <v>230</v>
      </c>
      <c r="E81" s="125" t="s">
        <v>34</v>
      </c>
      <c r="F81" s="130" t="s">
        <v>27</v>
      </c>
      <c r="G81" s="130"/>
      <c r="H81" s="125" t="s">
        <v>26</v>
      </c>
      <c r="I81" s="133">
        <v>8</v>
      </c>
      <c r="J81" s="133"/>
      <c r="K81" s="128" t="s">
        <v>21</v>
      </c>
      <c r="L81" s="129">
        <v>296451.21999999997</v>
      </c>
    </row>
    <row r="82" spans="1:12" ht="51" x14ac:dyDescent="0.3">
      <c r="A82" s="123" t="s">
        <v>68</v>
      </c>
      <c r="B82" s="124" t="s">
        <v>312</v>
      </c>
      <c r="C82" s="124" t="s">
        <v>33</v>
      </c>
      <c r="D82" s="124" t="s">
        <v>227</v>
      </c>
      <c r="E82" s="125" t="s">
        <v>34</v>
      </c>
      <c r="F82" s="130" t="s">
        <v>27</v>
      </c>
      <c r="G82" s="130"/>
      <c r="H82" s="125" t="s">
        <v>26</v>
      </c>
      <c r="I82" s="133">
        <v>120</v>
      </c>
      <c r="J82" s="133"/>
      <c r="K82" s="128" t="s">
        <v>21</v>
      </c>
      <c r="L82" s="129">
        <v>296331.21999999997</v>
      </c>
    </row>
    <row r="83" spans="1:12" ht="51" hidden="1" x14ac:dyDescent="0.3">
      <c r="A83" s="123" t="s">
        <v>68</v>
      </c>
      <c r="B83" s="124" t="s">
        <v>318</v>
      </c>
      <c r="C83" s="124" t="s">
        <v>75</v>
      </c>
      <c r="D83" s="124" t="s">
        <v>319</v>
      </c>
      <c r="E83" s="125" t="s">
        <v>26</v>
      </c>
      <c r="F83" s="126">
        <v>30558.75</v>
      </c>
      <c r="G83" s="126"/>
      <c r="H83" s="125" t="s">
        <v>45</v>
      </c>
      <c r="I83" s="127" t="s">
        <v>27</v>
      </c>
      <c r="J83" s="127"/>
      <c r="K83" s="128" t="s">
        <v>21</v>
      </c>
      <c r="L83" s="129">
        <v>326889.96999999997</v>
      </c>
    </row>
    <row r="84" spans="1:12" ht="51" hidden="1" x14ac:dyDescent="0.3">
      <c r="A84" s="123" t="s">
        <v>68</v>
      </c>
      <c r="B84" s="124" t="s">
        <v>318</v>
      </c>
      <c r="C84" s="124" t="s">
        <v>320</v>
      </c>
      <c r="D84" s="124" t="s">
        <v>319</v>
      </c>
      <c r="E84" s="125" t="s">
        <v>26</v>
      </c>
      <c r="F84" s="126">
        <v>97820</v>
      </c>
      <c r="G84" s="126"/>
      <c r="H84" s="125" t="s">
        <v>45</v>
      </c>
      <c r="I84" s="127" t="s">
        <v>27</v>
      </c>
      <c r="J84" s="127"/>
      <c r="K84" s="128" t="s">
        <v>21</v>
      </c>
      <c r="L84" s="129">
        <v>424709.97</v>
      </c>
    </row>
    <row r="85" spans="1:12" ht="51" hidden="1" x14ac:dyDescent="0.3">
      <c r="A85" s="123" t="s">
        <v>68</v>
      </c>
      <c r="B85" s="124" t="s">
        <v>321</v>
      </c>
      <c r="C85" s="124" t="s">
        <v>75</v>
      </c>
      <c r="D85" s="124" t="s">
        <v>322</v>
      </c>
      <c r="E85" s="125" t="s">
        <v>26</v>
      </c>
      <c r="F85" s="126">
        <v>10821.59</v>
      </c>
      <c r="G85" s="126"/>
      <c r="H85" s="125" t="s">
        <v>45</v>
      </c>
      <c r="I85" s="127" t="s">
        <v>27</v>
      </c>
      <c r="J85" s="127"/>
      <c r="K85" s="128" t="s">
        <v>21</v>
      </c>
      <c r="L85" s="129">
        <v>435531.56</v>
      </c>
    </row>
    <row r="86" spans="1:12" ht="51" hidden="1" x14ac:dyDescent="0.3">
      <c r="A86" s="123" t="s">
        <v>68</v>
      </c>
      <c r="B86" s="124" t="s">
        <v>321</v>
      </c>
      <c r="C86" s="124" t="s">
        <v>320</v>
      </c>
      <c r="D86" s="124" t="s">
        <v>322</v>
      </c>
      <c r="E86" s="125" t="s">
        <v>26</v>
      </c>
      <c r="F86" s="126">
        <v>34640.410000000003</v>
      </c>
      <c r="G86" s="126"/>
      <c r="H86" s="125" t="s">
        <v>45</v>
      </c>
      <c r="I86" s="127" t="s">
        <v>27</v>
      </c>
      <c r="J86" s="127"/>
      <c r="K86" s="128" t="s">
        <v>21</v>
      </c>
      <c r="L86" s="129">
        <v>470171.97</v>
      </c>
    </row>
    <row r="87" spans="1:12" ht="51" hidden="1" x14ac:dyDescent="0.3">
      <c r="A87" s="123" t="s">
        <v>68</v>
      </c>
      <c r="B87" s="124" t="s">
        <v>323</v>
      </c>
      <c r="C87" s="124" t="s">
        <v>324</v>
      </c>
      <c r="D87" s="124" t="s">
        <v>75</v>
      </c>
      <c r="E87" s="125" t="s">
        <v>26</v>
      </c>
      <c r="F87" s="130" t="s">
        <v>27</v>
      </c>
      <c r="G87" s="130"/>
      <c r="H87" s="125" t="s">
        <v>26</v>
      </c>
      <c r="I87" s="131">
        <v>25684.35</v>
      </c>
      <c r="J87" s="131"/>
      <c r="K87" s="128" t="s">
        <v>21</v>
      </c>
      <c r="L87" s="129">
        <v>444487.62</v>
      </c>
    </row>
    <row r="88" spans="1:12" ht="51" hidden="1" x14ac:dyDescent="0.3">
      <c r="A88" s="123" t="s">
        <v>68</v>
      </c>
      <c r="B88" s="124" t="s">
        <v>323</v>
      </c>
      <c r="C88" s="124" t="s">
        <v>325</v>
      </c>
      <c r="D88" s="124" t="s">
        <v>320</v>
      </c>
      <c r="E88" s="125" t="s">
        <v>26</v>
      </c>
      <c r="F88" s="130" t="s">
        <v>27</v>
      </c>
      <c r="G88" s="130"/>
      <c r="H88" s="125" t="s">
        <v>26</v>
      </c>
      <c r="I88" s="131">
        <v>130483.39</v>
      </c>
      <c r="J88" s="131"/>
      <c r="K88" s="128" t="s">
        <v>21</v>
      </c>
      <c r="L88" s="129">
        <v>314004.23</v>
      </c>
    </row>
    <row r="89" spans="1:12" ht="51" hidden="1" x14ac:dyDescent="0.3">
      <c r="A89" s="123" t="s">
        <v>68</v>
      </c>
      <c r="B89" s="124" t="s">
        <v>73</v>
      </c>
      <c r="C89" s="124" t="s">
        <v>74</v>
      </c>
      <c r="D89" s="124" t="s">
        <v>75</v>
      </c>
      <c r="E89" s="125" t="s">
        <v>26</v>
      </c>
      <c r="F89" s="130" t="s">
        <v>27</v>
      </c>
      <c r="G89" s="130"/>
      <c r="H89" s="125" t="s">
        <v>26</v>
      </c>
      <c r="I89" s="131">
        <v>15695.99</v>
      </c>
      <c r="J89" s="131"/>
      <c r="K89" s="128" t="s">
        <v>21</v>
      </c>
      <c r="L89" s="129">
        <v>298308.24</v>
      </c>
    </row>
    <row r="90" spans="1:12" ht="51" hidden="1" x14ac:dyDescent="0.3">
      <c r="A90" s="123" t="s">
        <v>68</v>
      </c>
      <c r="B90" s="124" t="s">
        <v>326</v>
      </c>
      <c r="C90" s="124" t="s">
        <v>327</v>
      </c>
      <c r="D90" s="124" t="s">
        <v>320</v>
      </c>
      <c r="E90" s="125" t="s">
        <v>26</v>
      </c>
      <c r="F90" s="130" t="s">
        <v>27</v>
      </c>
      <c r="G90" s="130"/>
      <c r="H90" s="125" t="s">
        <v>26</v>
      </c>
      <c r="I90" s="131">
        <v>1977.02</v>
      </c>
      <c r="J90" s="131"/>
      <c r="K90" s="128" t="s">
        <v>21</v>
      </c>
      <c r="L90" s="129">
        <v>296331.21999999997</v>
      </c>
    </row>
    <row r="91" spans="1:12" ht="51" x14ac:dyDescent="0.3">
      <c r="A91" s="123" t="s">
        <v>68</v>
      </c>
      <c r="B91" s="124" t="s">
        <v>328</v>
      </c>
      <c r="C91" s="124" t="s">
        <v>33</v>
      </c>
      <c r="D91" s="124" t="s">
        <v>234</v>
      </c>
      <c r="E91" s="125" t="s">
        <v>34</v>
      </c>
      <c r="F91" s="130" t="s">
        <v>27</v>
      </c>
      <c r="G91" s="130"/>
      <c r="H91" s="125" t="s">
        <v>26</v>
      </c>
      <c r="I91" s="133">
        <v>61</v>
      </c>
      <c r="J91" s="133"/>
      <c r="K91" s="128" t="s">
        <v>21</v>
      </c>
      <c r="L91" s="129">
        <v>296270.21999999997</v>
      </c>
    </row>
    <row r="92" spans="1:12" ht="51" x14ac:dyDescent="0.3">
      <c r="A92" s="123" t="s">
        <v>68</v>
      </c>
      <c r="B92" s="124" t="s">
        <v>328</v>
      </c>
      <c r="C92" s="124" t="s">
        <v>33</v>
      </c>
      <c r="D92" s="124" t="s">
        <v>232</v>
      </c>
      <c r="E92" s="125" t="s">
        <v>34</v>
      </c>
      <c r="F92" s="130" t="s">
        <v>27</v>
      </c>
      <c r="G92" s="130"/>
      <c r="H92" s="125" t="s">
        <v>26</v>
      </c>
      <c r="I92" s="133">
        <v>93</v>
      </c>
      <c r="J92" s="133"/>
      <c r="K92" s="128" t="s">
        <v>21</v>
      </c>
      <c r="L92" s="129">
        <v>296177.21999999997</v>
      </c>
    </row>
    <row r="93" spans="1:12" ht="51" x14ac:dyDescent="0.3">
      <c r="A93" s="123" t="s">
        <v>68</v>
      </c>
      <c r="B93" s="124" t="s">
        <v>328</v>
      </c>
      <c r="C93" s="124" t="s">
        <v>33</v>
      </c>
      <c r="D93" s="124" t="s">
        <v>233</v>
      </c>
      <c r="E93" s="125" t="s">
        <v>34</v>
      </c>
      <c r="F93" s="130" t="s">
        <v>27</v>
      </c>
      <c r="G93" s="130"/>
      <c r="H93" s="125" t="s">
        <v>26</v>
      </c>
      <c r="I93" s="133">
        <v>61</v>
      </c>
      <c r="J93" s="133"/>
      <c r="K93" s="128" t="s">
        <v>21</v>
      </c>
      <c r="L93" s="129">
        <v>296116.21999999997</v>
      </c>
    </row>
    <row r="94" spans="1:12" ht="51" hidden="1" x14ac:dyDescent="0.3">
      <c r="A94" s="123" t="s">
        <v>76</v>
      </c>
      <c r="B94" s="124" t="s">
        <v>329</v>
      </c>
      <c r="C94" s="124" t="s">
        <v>330</v>
      </c>
      <c r="D94" s="124" t="s">
        <v>331</v>
      </c>
      <c r="E94" s="125" t="s">
        <v>26</v>
      </c>
      <c r="F94" s="130" t="s">
        <v>27</v>
      </c>
      <c r="G94" s="130"/>
      <c r="H94" s="125" t="s">
        <v>26</v>
      </c>
      <c r="I94" s="131">
        <v>43619.86</v>
      </c>
      <c r="J94" s="131"/>
      <c r="K94" s="128" t="s">
        <v>21</v>
      </c>
      <c r="L94" s="129">
        <v>252496.36</v>
      </c>
    </row>
    <row r="95" spans="1:12" ht="61.2" hidden="1" x14ac:dyDescent="0.3">
      <c r="A95" s="123" t="s">
        <v>76</v>
      </c>
      <c r="B95" s="124" t="s">
        <v>332</v>
      </c>
      <c r="C95" s="124" t="s">
        <v>333</v>
      </c>
      <c r="D95" s="124" t="s">
        <v>334</v>
      </c>
      <c r="E95" s="125" t="s">
        <v>26</v>
      </c>
      <c r="F95" s="130" t="s">
        <v>27</v>
      </c>
      <c r="G95" s="130"/>
      <c r="H95" s="125" t="s">
        <v>26</v>
      </c>
      <c r="I95" s="131">
        <v>1910.22</v>
      </c>
      <c r="J95" s="131"/>
      <c r="K95" s="128" t="s">
        <v>21</v>
      </c>
      <c r="L95" s="129">
        <v>250586.14</v>
      </c>
    </row>
    <row r="96" spans="1:12" ht="51" x14ac:dyDescent="0.3">
      <c r="A96" s="123" t="s">
        <v>76</v>
      </c>
      <c r="B96" s="124" t="s">
        <v>335</v>
      </c>
      <c r="C96" s="124" t="s">
        <v>33</v>
      </c>
      <c r="D96" s="124" t="s">
        <v>336</v>
      </c>
      <c r="E96" s="125" t="s">
        <v>34</v>
      </c>
      <c r="F96" s="130" t="s">
        <v>27</v>
      </c>
      <c r="G96" s="130"/>
      <c r="H96" s="125" t="s">
        <v>26</v>
      </c>
      <c r="I96" s="133">
        <v>200</v>
      </c>
      <c r="J96" s="133"/>
      <c r="K96" s="128" t="s">
        <v>21</v>
      </c>
      <c r="L96" s="129">
        <v>250386.14</v>
      </c>
    </row>
    <row r="97" spans="1:12" ht="51" x14ac:dyDescent="0.3">
      <c r="A97" s="123" t="s">
        <v>76</v>
      </c>
      <c r="B97" s="124" t="s">
        <v>335</v>
      </c>
      <c r="C97" s="124" t="s">
        <v>33</v>
      </c>
      <c r="D97" s="124" t="s">
        <v>228</v>
      </c>
      <c r="E97" s="125" t="s">
        <v>34</v>
      </c>
      <c r="F97" s="130" t="s">
        <v>27</v>
      </c>
      <c r="G97" s="130"/>
      <c r="H97" s="125" t="s">
        <v>26</v>
      </c>
      <c r="I97" s="133">
        <v>662</v>
      </c>
      <c r="J97" s="133"/>
      <c r="K97" s="128" t="s">
        <v>21</v>
      </c>
      <c r="L97" s="129">
        <v>249724.14</v>
      </c>
    </row>
    <row r="98" spans="1:12" ht="51" x14ac:dyDescent="0.3">
      <c r="A98" s="123" t="s">
        <v>76</v>
      </c>
      <c r="B98" s="124" t="s">
        <v>335</v>
      </c>
      <c r="C98" s="124" t="s">
        <v>33</v>
      </c>
      <c r="D98" s="124" t="s">
        <v>231</v>
      </c>
      <c r="E98" s="125" t="s">
        <v>34</v>
      </c>
      <c r="F98" s="130" t="s">
        <v>27</v>
      </c>
      <c r="G98" s="130"/>
      <c r="H98" s="125" t="s">
        <v>26</v>
      </c>
      <c r="I98" s="133">
        <v>6.4</v>
      </c>
      <c r="J98" s="133"/>
      <c r="K98" s="128" t="s">
        <v>21</v>
      </c>
      <c r="L98" s="129">
        <v>249717.74</v>
      </c>
    </row>
    <row r="99" spans="1:12" ht="51" x14ac:dyDescent="0.3">
      <c r="A99" s="123" t="s">
        <v>76</v>
      </c>
      <c r="B99" s="124" t="s">
        <v>335</v>
      </c>
      <c r="C99" s="124" t="s">
        <v>33</v>
      </c>
      <c r="D99" s="124" t="s">
        <v>337</v>
      </c>
      <c r="E99" s="125" t="s">
        <v>34</v>
      </c>
      <c r="F99" s="130" t="s">
        <v>27</v>
      </c>
      <c r="G99" s="130"/>
      <c r="H99" s="125" t="s">
        <v>26</v>
      </c>
      <c r="I99" s="131">
        <v>4790.3999999999996</v>
      </c>
      <c r="J99" s="131"/>
      <c r="K99" s="128" t="s">
        <v>21</v>
      </c>
      <c r="L99" s="129">
        <v>244927.34</v>
      </c>
    </row>
    <row r="100" spans="1:12" ht="51" x14ac:dyDescent="0.3">
      <c r="A100" s="123" t="s">
        <v>76</v>
      </c>
      <c r="B100" s="124" t="s">
        <v>335</v>
      </c>
      <c r="C100" s="124" t="s">
        <v>33</v>
      </c>
      <c r="D100" s="124" t="s">
        <v>229</v>
      </c>
      <c r="E100" s="125" t="s">
        <v>34</v>
      </c>
      <c r="F100" s="130" t="s">
        <v>27</v>
      </c>
      <c r="G100" s="130"/>
      <c r="H100" s="125" t="s">
        <v>26</v>
      </c>
      <c r="I100" s="133">
        <v>24</v>
      </c>
      <c r="J100" s="133"/>
      <c r="K100" s="128" t="s">
        <v>21</v>
      </c>
      <c r="L100" s="129">
        <v>244903.34</v>
      </c>
    </row>
    <row r="101" spans="1:12" ht="51" x14ac:dyDescent="0.3">
      <c r="A101" s="123" t="s">
        <v>76</v>
      </c>
      <c r="B101" s="124" t="s">
        <v>335</v>
      </c>
      <c r="C101" s="124" t="s">
        <v>33</v>
      </c>
      <c r="D101" s="124" t="s">
        <v>235</v>
      </c>
      <c r="E101" s="125" t="s">
        <v>34</v>
      </c>
      <c r="F101" s="130" t="s">
        <v>27</v>
      </c>
      <c r="G101" s="130"/>
      <c r="H101" s="125" t="s">
        <v>26</v>
      </c>
      <c r="I101" s="133">
        <v>87</v>
      </c>
      <c r="J101" s="133"/>
      <c r="K101" s="128" t="s">
        <v>21</v>
      </c>
      <c r="L101" s="129">
        <v>244816.34</v>
      </c>
    </row>
    <row r="102" spans="1:12" ht="51" x14ac:dyDescent="0.3">
      <c r="A102" s="123" t="s">
        <v>76</v>
      </c>
      <c r="B102" s="124" t="s">
        <v>335</v>
      </c>
      <c r="C102" s="124" t="s">
        <v>33</v>
      </c>
      <c r="D102" s="124" t="s">
        <v>225</v>
      </c>
      <c r="E102" s="125" t="s">
        <v>34</v>
      </c>
      <c r="F102" s="130" t="s">
        <v>27</v>
      </c>
      <c r="G102" s="130"/>
      <c r="H102" s="125" t="s">
        <v>26</v>
      </c>
      <c r="I102" s="133">
        <v>68</v>
      </c>
      <c r="J102" s="133"/>
      <c r="K102" s="128" t="s">
        <v>21</v>
      </c>
      <c r="L102" s="129">
        <v>244748.34</v>
      </c>
    </row>
    <row r="103" spans="1:12" ht="51" x14ac:dyDescent="0.3">
      <c r="A103" s="123" t="s">
        <v>76</v>
      </c>
      <c r="B103" s="124" t="s">
        <v>338</v>
      </c>
      <c r="C103" s="124" t="s">
        <v>33</v>
      </c>
      <c r="D103" s="124" t="s">
        <v>334</v>
      </c>
      <c r="E103" s="125" t="s">
        <v>34</v>
      </c>
      <c r="F103" s="130" t="s">
        <v>27</v>
      </c>
      <c r="G103" s="130"/>
      <c r="H103" s="125" t="s">
        <v>26</v>
      </c>
      <c r="I103" s="131">
        <v>5814.79</v>
      </c>
      <c r="J103" s="131"/>
      <c r="K103" s="128" t="s">
        <v>21</v>
      </c>
      <c r="L103" s="129">
        <v>238933.55</v>
      </c>
    </row>
    <row r="104" spans="1:12" ht="61.2" x14ac:dyDescent="0.3">
      <c r="A104" s="123" t="s">
        <v>76</v>
      </c>
      <c r="B104" s="124" t="s">
        <v>339</v>
      </c>
      <c r="C104" s="124" t="s">
        <v>33</v>
      </c>
      <c r="D104" s="124" t="s">
        <v>238</v>
      </c>
      <c r="E104" s="125" t="s">
        <v>34</v>
      </c>
      <c r="F104" s="130" t="s">
        <v>27</v>
      </c>
      <c r="G104" s="130"/>
      <c r="H104" s="125" t="s">
        <v>26</v>
      </c>
      <c r="I104" s="133">
        <v>61.9</v>
      </c>
      <c r="J104" s="133"/>
      <c r="K104" s="128" t="s">
        <v>21</v>
      </c>
      <c r="L104" s="129">
        <v>238871.65</v>
      </c>
    </row>
    <row r="105" spans="1:12" ht="51" x14ac:dyDescent="0.3">
      <c r="A105" s="123" t="s">
        <v>76</v>
      </c>
      <c r="B105" s="124" t="s">
        <v>339</v>
      </c>
      <c r="C105" s="124" t="s">
        <v>33</v>
      </c>
      <c r="D105" s="124" t="s">
        <v>340</v>
      </c>
      <c r="E105" s="125" t="s">
        <v>34</v>
      </c>
      <c r="F105" s="130" t="s">
        <v>27</v>
      </c>
      <c r="G105" s="130"/>
      <c r="H105" s="125" t="s">
        <v>26</v>
      </c>
      <c r="I105" s="133">
        <v>275</v>
      </c>
      <c r="J105" s="133"/>
      <c r="K105" s="128" t="s">
        <v>21</v>
      </c>
      <c r="L105" s="129">
        <v>238596.65</v>
      </c>
    </row>
    <row r="106" spans="1:12" ht="51" x14ac:dyDescent="0.3">
      <c r="A106" s="123" t="s">
        <v>76</v>
      </c>
      <c r="B106" s="124" t="s">
        <v>339</v>
      </c>
      <c r="C106" s="124" t="s">
        <v>33</v>
      </c>
      <c r="D106" s="124" t="s">
        <v>341</v>
      </c>
      <c r="E106" s="125" t="s">
        <v>34</v>
      </c>
      <c r="F106" s="130" t="s">
        <v>27</v>
      </c>
      <c r="G106" s="130"/>
      <c r="H106" s="125" t="s">
        <v>26</v>
      </c>
      <c r="I106" s="133">
        <v>775.45</v>
      </c>
      <c r="J106" s="133"/>
      <c r="K106" s="128" t="s">
        <v>21</v>
      </c>
      <c r="L106" s="129">
        <v>237821.2</v>
      </c>
    </row>
    <row r="107" spans="1:12" ht="51" x14ac:dyDescent="0.3">
      <c r="A107" s="123" t="s">
        <v>76</v>
      </c>
      <c r="B107" s="124" t="s">
        <v>339</v>
      </c>
      <c r="C107" s="124" t="s">
        <v>33</v>
      </c>
      <c r="D107" s="124" t="s">
        <v>224</v>
      </c>
      <c r="E107" s="125" t="s">
        <v>34</v>
      </c>
      <c r="F107" s="130" t="s">
        <v>27</v>
      </c>
      <c r="G107" s="130"/>
      <c r="H107" s="125" t="s">
        <v>26</v>
      </c>
      <c r="I107" s="133">
        <v>70</v>
      </c>
      <c r="J107" s="133"/>
      <c r="K107" s="128" t="s">
        <v>21</v>
      </c>
      <c r="L107" s="129">
        <v>237751.2</v>
      </c>
    </row>
    <row r="108" spans="1:12" ht="51" hidden="1" x14ac:dyDescent="0.3">
      <c r="A108" s="123" t="s">
        <v>107</v>
      </c>
      <c r="B108" s="124" t="s">
        <v>342</v>
      </c>
      <c r="C108" s="124" t="s">
        <v>113</v>
      </c>
      <c r="D108" s="124" t="s">
        <v>343</v>
      </c>
      <c r="E108" s="125" t="s">
        <v>26</v>
      </c>
      <c r="F108" s="126">
        <v>129940</v>
      </c>
      <c r="G108" s="126"/>
      <c r="H108" s="125" t="s">
        <v>45</v>
      </c>
      <c r="I108" s="127" t="s">
        <v>27</v>
      </c>
      <c r="J108" s="127"/>
      <c r="K108" s="128" t="s">
        <v>21</v>
      </c>
      <c r="L108" s="129">
        <v>367691.2</v>
      </c>
    </row>
    <row r="109" spans="1:12" ht="51" hidden="1" x14ac:dyDescent="0.3">
      <c r="A109" s="123" t="s">
        <v>107</v>
      </c>
      <c r="B109" s="124" t="s">
        <v>344</v>
      </c>
      <c r="C109" s="124" t="s">
        <v>193</v>
      </c>
      <c r="D109" s="124" t="s">
        <v>345</v>
      </c>
      <c r="E109" s="125" t="s">
        <v>26</v>
      </c>
      <c r="F109" s="126">
        <v>12255</v>
      </c>
      <c r="G109" s="126"/>
      <c r="H109" s="125" t="s">
        <v>45</v>
      </c>
      <c r="I109" s="127" t="s">
        <v>27</v>
      </c>
      <c r="J109" s="127"/>
      <c r="K109" s="128" t="s">
        <v>21</v>
      </c>
      <c r="L109" s="129">
        <v>379946.2</v>
      </c>
    </row>
    <row r="110" spans="1:12" ht="51" hidden="1" x14ac:dyDescent="0.3">
      <c r="A110" s="123" t="s">
        <v>107</v>
      </c>
      <c r="B110" s="124" t="s">
        <v>344</v>
      </c>
      <c r="C110" s="124" t="s">
        <v>346</v>
      </c>
      <c r="D110" s="124" t="s">
        <v>345</v>
      </c>
      <c r="E110" s="125" t="s">
        <v>26</v>
      </c>
      <c r="F110" s="126">
        <v>27174.5</v>
      </c>
      <c r="G110" s="126"/>
      <c r="H110" s="125" t="s">
        <v>45</v>
      </c>
      <c r="I110" s="127" t="s">
        <v>27</v>
      </c>
      <c r="J110" s="127"/>
      <c r="K110" s="128" t="s">
        <v>21</v>
      </c>
      <c r="L110" s="129">
        <v>407120.7</v>
      </c>
    </row>
    <row r="111" spans="1:12" ht="51" hidden="1" x14ac:dyDescent="0.3">
      <c r="A111" s="123" t="s">
        <v>107</v>
      </c>
      <c r="B111" s="124" t="s">
        <v>347</v>
      </c>
      <c r="C111" s="124" t="s">
        <v>113</v>
      </c>
      <c r="D111" s="124" t="s">
        <v>348</v>
      </c>
      <c r="E111" s="125" t="s">
        <v>26</v>
      </c>
      <c r="F111" s="126">
        <v>39550</v>
      </c>
      <c r="G111" s="126"/>
      <c r="H111" s="125" t="s">
        <v>45</v>
      </c>
      <c r="I111" s="127" t="s">
        <v>27</v>
      </c>
      <c r="J111" s="127"/>
      <c r="K111" s="128" t="s">
        <v>21</v>
      </c>
      <c r="L111" s="129">
        <v>446670.7</v>
      </c>
    </row>
    <row r="112" spans="1:12" ht="51" hidden="1" x14ac:dyDescent="0.3">
      <c r="A112" s="123" t="s">
        <v>107</v>
      </c>
      <c r="B112" s="124" t="s">
        <v>349</v>
      </c>
      <c r="C112" s="124" t="s">
        <v>117</v>
      </c>
      <c r="D112" s="124" t="s">
        <v>113</v>
      </c>
      <c r="E112" s="125" t="s">
        <v>26</v>
      </c>
      <c r="F112" s="130" t="s">
        <v>27</v>
      </c>
      <c r="G112" s="130"/>
      <c r="H112" s="125" t="s">
        <v>26</v>
      </c>
      <c r="I112" s="131">
        <v>131402.35999999999</v>
      </c>
      <c r="J112" s="131"/>
      <c r="K112" s="128" t="s">
        <v>21</v>
      </c>
      <c r="L112" s="129">
        <v>315268.34000000003</v>
      </c>
    </row>
    <row r="113" spans="1:12" ht="51" hidden="1" x14ac:dyDescent="0.3">
      <c r="A113" s="123" t="s">
        <v>107</v>
      </c>
      <c r="B113" s="124" t="s">
        <v>350</v>
      </c>
      <c r="C113" s="124" t="s">
        <v>351</v>
      </c>
      <c r="D113" s="124" t="s">
        <v>113</v>
      </c>
      <c r="E113" s="125" t="s">
        <v>26</v>
      </c>
      <c r="F113" s="130" t="s">
        <v>27</v>
      </c>
      <c r="G113" s="130"/>
      <c r="H113" s="125" t="s">
        <v>26</v>
      </c>
      <c r="I113" s="131">
        <v>32374.49</v>
      </c>
      <c r="J113" s="131"/>
      <c r="K113" s="128" t="s">
        <v>21</v>
      </c>
      <c r="L113" s="129">
        <v>282893.84999999998</v>
      </c>
    </row>
    <row r="114" spans="1:12" ht="51" hidden="1" x14ac:dyDescent="0.3">
      <c r="A114" s="123" t="s">
        <v>107</v>
      </c>
      <c r="B114" s="124" t="s">
        <v>111</v>
      </c>
      <c r="C114" s="124" t="s">
        <v>112</v>
      </c>
      <c r="D114" s="124" t="s">
        <v>113</v>
      </c>
      <c r="E114" s="125" t="s">
        <v>26</v>
      </c>
      <c r="F114" s="130" t="s">
        <v>27</v>
      </c>
      <c r="G114" s="130"/>
      <c r="H114" s="125" t="s">
        <v>26</v>
      </c>
      <c r="I114" s="131">
        <v>5713.15</v>
      </c>
      <c r="J114" s="131"/>
      <c r="K114" s="128" t="s">
        <v>21</v>
      </c>
      <c r="L114" s="129">
        <v>277180.7</v>
      </c>
    </row>
    <row r="115" spans="1:12" ht="51" hidden="1" x14ac:dyDescent="0.3">
      <c r="A115" s="123" t="s">
        <v>107</v>
      </c>
      <c r="B115" s="124" t="s">
        <v>352</v>
      </c>
      <c r="C115" s="124" t="s">
        <v>193</v>
      </c>
      <c r="D115" s="124" t="s">
        <v>345</v>
      </c>
      <c r="E115" s="125" t="s">
        <v>26</v>
      </c>
      <c r="F115" s="126">
        <v>10997.73</v>
      </c>
      <c r="G115" s="126"/>
      <c r="H115" s="125" t="s">
        <v>45</v>
      </c>
      <c r="I115" s="127" t="s">
        <v>27</v>
      </c>
      <c r="J115" s="127"/>
      <c r="K115" s="128" t="s">
        <v>21</v>
      </c>
      <c r="L115" s="129">
        <v>288178.43</v>
      </c>
    </row>
    <row r="116" spans="1:12" ht="51" hidden="1" x14ac:dyDescent="0.3">
      <c r="A116" s="123" t="s">
        <v>107</v>
      </c>
      <c r="B116" s="124" t="s">
        <v>352</v>
      </c>
      <c r="C116" s="124" t="s">
        <v>346</v>
      </c>
      <c r="D116" s="124" t="s">
        <v>345</v>
      </c>
      <c r="E116" s="125" t="s">
        <v>26</v>
      </c>
      <c r="F116" s="126">
        <v>24386.6</v>
      </c>
      <c r="G116" s="126"/>
      <c r="H116" s="125" t="s">
        <v>45</v>
      </c>
      <c r="I116" s="127" t="s">
        <v>27</v>
      </c>
      <c r="J116" s="127"/>
      <c r="K116" s="128" t="s">
        <v>21</v>
      </c>
      <c r="L116" s="129">
        <v>312565.03000000003</v>
      </c>
    </row>
    <row r="117" spans="1:12" ht="51" hidden="1" x14ac:dyDescent="0.3">
      <c r="A117" s="123" t="s">
        <v>107</v>
      </c>
      <c r="B117" s="124" t="s">
        <v>191</v>
      </c>
      <c r="C117" s="124" t="s">
        <v>192</v>
      </c>
      <c r="D117" s="124" t="s">
        <v>193</v>
      </c>
      <c r="E117" s="125" t="s">
        <v>26</v>
      </c>
      <c r="F117" s="130" t="s">
        <v>27</v>
      </c>
      <c r="G117" s="130"/>
      <c r="H117" s="125" t="s">
        <v>26</v>
      </c>
      <c r="I117" s="131">
        <v>23252.73</v>
      </c>
      <c r="J117" s="131"/>
      <c r="K117" s="128" t="s">
        <v>21</v>
      </c>
      <c r="L117" s="129">
        <v>289312.3</v>
      </c>
    </row>
    <row r="118" spans="1:12" ht="51" hidden="1" x14ac:dyDescent="0.3">
      <c r="A118" s="123" t="s">
        <v>107</v>
      </c>
      <c r="B118" s="124" t="s">
        <v>353</v>
      </c>
      <c r="C118" s="124" t="s">
        <v>354</v>
      </c>
      <c r="D118" s="124" t="s">
        <v>346</v>
      </c>
      <c r="E118" s="125" t="s">
        <v>26</v>
      </c>
      <c r="F118" s="130" t="s">
        <v>27</v>
      </c>
      <c r="G118" s="130"/>
      <c r="H118" s="125" t="s">
        <v>26</v>
      </c>
      <c r="I118" s="131">
        <v>26053.3</v>
      </c>
      <c r="J118" s="131"/>
      <c r="K118" s="128" t="s">
        <v>21</v>
      </c>
      <c r="L118" s="129">
        <v>263259</v>
      </c>
    </row>
    <row r="119" spans="1:12" ht="51" hidden="1" x14ac:dyDescent="0.3">
      <c r="A119" s="123" t="s">
        <v>107</v>
      </c>
      <c r="B119" s="124" t="s">
        <v>355</v>
      </c>
      <c r="C119" s="124" t="s">
        <v>356</v>
      </c>
      <c r="D119" s="124" t="s">
        <v>346</v>
      </c>
      <c r="E119" s="125" t="s">
        <v>26</v>
      </c>
      <c r="F119" s="130" t="s">
        <v>27</v>
      </c>
      <c r="G119" s="130"/>
      <c r="H119" s="125" t="s">
        <v>26</v>
      </c>
      <c r="I119" s="131">
        <v>25507.8</v>
      </c>
      <c r="J119" s="131"/>
      <c r="K119" s="128" t="s">
        <v>21</v>
      </c>
      <c r="L119" s="129">
        <v>237751.2</v>
      </c>
    </row>
    <row r="120" spans="1:12" ht="51" hidden="1" x14ac:dyDescent="0.3">
      <c r="A120" s="123" t="s">
        <v>115</v>
      </c>
      <c r="B120" s="124" t="s">
        <v>357</v>
      </c>
      <c r="C120" s="124" t="s">
        <v>358</v>
      </c>
      <c r="D120" s="124" t="s">
        <v>334</v>
      </c>
      <c r="E120" s="125" t="s">
        <v>26</v>
      </c>
      <c r="F120" s="130" t="s">
        <v>27</v>
      </c>
      <c r="G120" s="130"/>
      <c r="H120" s="125" t="s">
        <v>26</v>
      </c>
      <c r="I120" s="131">
        <v>5960.55</v>
      </c>
      <c r="J120" s="131"/>
      <c r="K120" s="128" t="s">
        <v>21</v>
      </c>
      <c r="L120" s="129">
        <v>231790.65</v>
      </c>
    </row>
    <row r="121" spans="1:12" ht="51" hidden="1" x14ac:dyDescent="0.3">
      <c r="A121" s="123" t="s">
        <v>115</v>
      </c>
      <c r="B121" s="124" t="s">
        <v>359</v>
      </c>
      <c r="C121" s="124" t="s">
        <v>360</v>
      </c>
      <c r="D121" s="124" t="s">
        <v>311</v>
      </c>
      <c r="E121" s="125" t="s">
        <v>26</v>
      </c>
      <c r="F121" s="130" t="s">
        <v>27</v>
      </c>
      <c r="G121" s="130"/>
      <c r="H121" s="125" t="s">
        <v>26</v>
      </c>
      <c r="I121" s="131">
        <v>2842.4</v>
      </c>
      <c r="J121" s="131"/>
      <c r="K121" s="128" t="s">
        <v>21</v>
      </c>
      <c r="L121" s="129">
        <v>228948.25</v>
      </c>
    </row>
    <row r="122" spans="1:12" ht="51" x14ac:dyDescent="0.3">
      <c r="A122" s="123" t="s">
        <v>115</v>
      </c>
      <c r="B122" s="124" t="s">
        <v>361</v>
      </c>
      <c r="C122" s="124" t="s">
        <v>33</v>
      </c>
      <c r="D122" s="124" t="s">
        <v>362</v>
      </c>
      <c r="E122" s="125" t="s">
        <v>34</v>
      </c>
      <c r="F122" s="130" t="s">
        <v>27</v>
      </c>
      <c r="G122" s="130"/>
      <c r="H122" s="125" t="s">
        <v>26</v>
      </c>
      <c r="I122" s="131">
        <v>2000</v>
      </c>
      <c r="J122" s="131"/>
      <c r="K122" s="128" t="s">
        <v>21</v>
      </c>
      <c r="L122" s="129">
        <v>226948.25</v>
      </c>
    </row>
    <row r="123" spans="1:12" ht="51" x14ac:dyDescent="0.3">
      <c r="A123" s="123" t="s">
        <v>115</v>
      </c>
      <c r="B123" s="124" t="s">
        <v>361</v>
      </c>
      <c r="C123" s="124" t="s">
        <v>33</v>
      </c>
      <c r="D123" s="124" t="s">
        <v>363</v>
      </c>
      <c r="E123" s="125" t="s">
        <v>34</v>
      </c>
      <c r="F123" s="130" t="s">
        <v>27</v>
      </c>
      <c r="G123" s="130"/>
      <c r="H123" s="125" t="s">
        <v>26</v>
      </c>
      <c r="I123" s="133">
        <v>780</v>
      </c>
      <c r="J123" s="133"/>
      <c r="K123" s="128" t="s">
        <v>21</v>
      </c>
      <c r="L123" s="129">
        <v>226168.25</v>
      </c>
    </row>
    <row r="124" spans="1:12" ht="51" x14ac:dyDescent="0.3">
      <c r="A124" s="123" t="s">
        <v>115</v>
      </c>
      <c r="B124" s="124" t="s">
        <v>361</v>
      </c>
      <c r="C124" s="124" t="s">
        <v>33</v>
      </c>
      <c r="D124" s="124" t="s">
        <v>221</v>
      </c>
      <c r="E124" s="125" t="s">
        <v>34</v>
      </c>
      <c r="F124" s="130" t="s">
        <v>27</v>
      </c>
      <c r="G124" s="130"/>
      <c r="H124" s="125" t="s">
        <v>26</v>
      </c>
      <c r="I124" s="133">
        <v>610</v>
      </c>
      <c r="J124" s="133"/>
      <c r="K124" s="128" t="s">
        <v>21</v>
      </c>
      <c r="L124" s="129">
        <v>225558.25</v>
      </c>
    </row>
    <row r="125" spans="1:12" ht="51" hidden="1" x14ac:dyDescent="0.3">
      <c r="A125" s="123" t="s">
        <v>129</v>
      </c>
      <c r="B125" s="124" t="s">
        <v>364</v>
      </c>
      <c r="C125" s="124" t="s">
        <v>136</v>
      </c>
      <c r="D125" s="124" t="s">
        <v>365</v>
      </c>
      <c r="E125" s="125" t="s">
        <v>26</v>
      </c>
      <c r="F125" s="126">
        <v>8141.83</v>
      </c>
      <c r="G125" s="126"/>
      <c r="H125" s="125" t="s">
        <v>45</v>
      </c>
      <c r="I125" s="127" t="s">
        <v>27</v>
      </c>
      <c r="J125" s="127"/>
      <c r="K125" s="128" t="s">
        <v>21</v>
      </c>
      <c r="L125" s="129">
        <v>233700.08</v>
      </c>
    </row>
    <row r="126" spans="1:12" ht="51" hidden="1" x14ac:dyDescent="0.3">
      <c r="A126" s="123" t="s">
        <v>129</v>
      </c>
      <c r="B126" s="124" t="s">
        <v>366</v>
      </c>
      <c r="C126" s="124" t="s">
        <v>139</v>
      </c>
      <c r="D126" s="124" t="s">
        <v>367</v>
      </c>
      <c r="E126" s="125" t="s">
        <v>26</v>
      </c>
      <c r="F126" s="126">
        <v>25116</v>
      </c>
      <c r="G126" s="126"/>
      <c r="H126" s="125" t="s">
        <v>45</v>
      </c>
      <c r="I126" s="127" t="s">
        <v>27</v>
      </c>
      <c r="J126" s="127"/>
      <c r="K126" s="128" t="s">
        <v>21</v>
      </c>
      <c r="L126" s="129">
        <v>258816.08</v>
      </c>
    </row>
    <row r="127" spans="1:12" ht="51" hidden="1" x14ac:dyDescent="0.3">
      <c r="A127" s="123" t="s">
        <v>129</v>
      </c>
      <c r="B127" s="124" t="s">
        <v>134</v>
      </c>
      <c r="C127" s="124" t="s">
        <v>135</v>
      </c>
      <c r="D127" s="124" t="s">
        <v>136</v>
      </c>
      <c r="E127" s="125" t="s">
        <v>26</v>
      </c>
      <c r="F127" s="130" t="s">
        <v>27</v>
      </c>
      <c r="G127" s="130"/>
      <c r="H127" s="125" t="s">
        <v>26</v>
      </c>
      <c r="I127" s="131">
        <v>4126.83</v>
      </c>
      <c r="J127" s="131"/>
      <c r="K127" s="128" t="s">
        <v>21</v>
      </c>
      <c r="L127" s="129">
        <v>254689.25</v>
      </c>
    </row>
    <row r="128" spans="1:12" ht="51" hidden="1" x14ac:dyDescent="0.3">
      <c r="A128" s="123" t="s">
        <v>129</v>
      </c>
      <c r="B128" s="124" t="s">
        <v>368</v>
      </c>
      <c r="C128" s="124" t="s">
        <v>369</v>
      </c>
      <c r="D128" s="124" t="s">
        <v>136</v>
      </c>
      <c r="E128" s="125" t="s">
        <v>26</v>
      </c>
      <c r="F128" s="130" t="s">
        <v>27</v>
      </c>
      <c r="G128" s="130"/>
      <c r="H128" s="125" t="s">
        <v>26</v>
      </c>
      <c r="I128" s="131">
        <v>4015</v>
      </c>
      <c r="J128" s="131"/>
      <c r="K128" s="128" t="s">
        <v>21</v>
      </c>
      <c r="L128" s="129">
        <v>250674.25</v>
      </c>
    </row>
    <row r="129" spans="1:12" ht="51" hidden="1" x14ac:dyDescent="0.3">
      <c r="A129" s="123" t="s">
        <v>129</v>
      </c>
      <c r="B129" s="124" t="s">
        <v>370</v>
      </c>
      <c r="C129" s="124" t="s">
        <v>139</v>
      </c>
      <c r="D129" s="124" t="s">
        <v>367</v>
      </c>
      <c r="E129" s="125" t="s">
        <v>26</v>
      </c>
      <c r="F129" s="126">
        <v>36708</v>
      </c>
      <c r="G129" s="126"/>
      <c r="H129" s="125" t="s">
        <v>45</v>
      </c>
      <c r="I129" s="127" t="s">
        <v>27</v>
      </c>
      <c r="J129" s="127"/>
      <c r="K129" s="128" t="s">
        <v>21</v>
      </c>
      <c r="L129" s="129">
        <v>287382.25</v>
      </c>
    </row>
    <row r="130" spans="1:12" ht="61.2" hidden="1" x14ac:dyDescent="0.3">
      <c r="A130" s="123" t="s">
        <v>129</v>
      </c>
      <c r="B130" s="124" t="s">
        <v>371</v>
      </c>
      <c r="C130" s="124" t="s">
        <v>372</v>
      </c>
      <c r="D130" s="124" t="s">
        <v>139</v>
      </c>
      <c r="E130" s="125" t="s">
        <v>26</v>
      </c>
      <c r="F130" s="130" t="s">
        <v>27</v>
      </c>
      <c r="G130" s="130"/>
      <c r="H130" s="125" t="s">
        <v>26</v>
      </c>
      <c r="I130" s="131">
        <v>31008</v>
      </c>
      <c r="J130" s="131"/>
      <c r="K130" s="128" t="s">
        <v>21</v>
      </c>
      <c r="L130" s="129">
        <v>256374.25</v>
      </c>
    </row>
    <row r="131" spans="1:12" ht="51" hidden="1" x14ac:dyDescent="0.3">
      <c r="A131" s="123" t="s">
        <v>129</v>
      </c>
      <c r="B131" s="124" t="s">
        <v>137</v>
      </c>
      <c r="C131" s="124" t="s">
        <v>138</v>
      </c>
      <c r="D131" s="124" t="s">
        <v>139</v>
      </c>
      <c r="E131" s="125" t="s">
        <v>26</v>
      </c>
      <c r="F131" s="130" t="s">
        <v>27</v>
      </c>
      <c r="G131" s="130"/>
      <c r="H131" s="125" t="s">
        <v>26</v>
      </c>
      <c r="I131" s="131">
        <v>20517.330000000002</v>
      </c>
      <c r="J131" s="131"/>
      <c r="K131" s="128" t="s">
        <v>21</v>
      </c>
      <c r="L131" s="129">
        <v>235856.92</v>
      </c>
    </row>
    <row r="132" spans="1:12" ht="51" hidden="1" x14ac:dyDescent="0.3">
      <c r="A132" s="123" t="s">
        <v>129</v>
      </c>
      <c r="B132" s="124" t="s">
        <v>373</v>
      </c>
      <c r="C132" s="124" t="s">
        <v>374</v>
      </c>
      <c r="D132" s="124" t="s">
        <v>139</v>
      </c>
      <c r="E132" s="125" t="s">
        <v>26</v>
      </c>
      <c r="F132" s="130" t="s">
        <v>27</v>
      </c>
      <c r="G132" s="130"/>
      <c r="H132" s="125" t="s">
        <v>26</v>
      </c>
      <c r="I132" s="131">
        <v>10298.67</v>
      </c>
      <c r="J132" s="131"/>
      <c r="K132" s="128" t="s">
        <v>21</v>
      </c>
      <c r="L132" s="129">
        <v>225558.25</v>
      </c>
    </row>
    <row r="133" spans="1:12" hidden="1" x14ac:dyDescent="0.3">
      <c r="A133" s="134" t="s">
        <v>146</v>
      </c>
      <c r="B133" s="134"/>
      <c r="C133" s="134"/>
      <c r="D133" s="134"/>
      <c r="E133" s="135">
        <v>1279107.94</v>
      </c>
      <c r="F133" s="135"/>
      <c r="G133" s="135"/>
      <c r="H133" s="135">
        <v>1464091.78</v>
      </c>
      <c r="I133" s="135"/>
      <c r="J133" s="135"/>
      <c r="K133" s="136" t="s">
        <v>21</v>
      </c>
      <c r="L133" s="137">
        <v>225558.25</v>
      </c>
    </row>
    <row r="135" spans="1:12" x14ac:dyDescent="0.3">
      <c r="J135" s="351">
        <f>SUBTOTAL(9,I71:J124)</f>
        <v>23615.960000000003</v>
      </c>
    </row>
  </sheetData>
  <autoFilter ref="A1:L133" xr:uid="{E73403E0-6CE2-4618-80A4-446CDFE900E5}">
    <filterColumn colId="1">
      <filters>
        <filter val="Вимога-накладна ІБ00-000477 від 20.06.2025 18:06:20_x000a_Списаны ТМЦ"/>
        <filter val="Списання товарів ІБ00-000320 від 19.06.2025 16:35:28_x000a_Списаны ТМЦ"/>
        <filter val="Списання товарів ІБ00-000321 від 19.06.2025 07:26:10_x000a_Списаны ТМЦ"/>
        <filter val="Списання товарів ІБ00-000328 від 20.06.2025 15:12:13_x000a_Списаны ТМЦ"/>
        <filter val="Списання товарів ІБ00-000333 від 20.06.2025 21:00:00_x000a_Списаны ТМЦ"/>
        <filter val="Списання товарів ІБ00-000340 від 25.06.2025 2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272">
    <mergeCell ref="A133:D133"/>
    <mergeCell ref="E133:G133"/>
    <mergeCell ref="H133:J133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1B62-1E55-4DD9-8F13-50AB11AB65E9}">
  <sheetPr filterMode="1"/>
  <dimension ref="A1:L121"/>
  <sheetViews>
    <sheetView topLeftCell="A113" workbookViewId="0">
      <selection activeCell="J121" sqref="J121"/>
    </sheetView>
  </sheetViews>
  <sheetFormatPr defaultRowHeight="14.4" x14ac:dyDescent="0.3"/>
  <cols>
    <col min="2" max="4" width="34.33203125" customWidth="1"/>
    <col min="10" max="10" width="11.33203125" bestFit="1" customWidth="1"/>
  </cols>
  <sheetData>
    <row r="1" spans="1:12" x14ac:dyDescent="0.3">
      <c r="A1" s="138" t="s">
        <v>13</v>
      </c>
      <c r="B1" s="139" t="s">
        <v>14</v>
      </c>
      <c r="C1" s="139" t="s">
        <v>15</v>
      </c>
      <c r="D1" s="140" t="s">
        <v>16</v>
      </c>
      <c r="E1" s="141" t="s">
        <v>17</v>
      </c>
      <c r="F1" s="141"/>
      <c r="G1" s="141"/>
      <c r="H1" s="142" t="s">
        <v>18</v>
      </c>
      <c r="I1" s="142"/>
      <c r="J1" s="142"/>
      <c r="K1" s="139" t="s">
        <v>19</v>
      </c>
      <c r="L1" s="139"/>
    </row>
    <row r="2" spans="1:12" hidden="1" x14ac:dyDescent="0.3">
      <c r="A2" s="143"/>
      <c r="B2" s="144"/>
      <c r="C2" s="144"/>
      <c r="D2" s="145"/>
      <c r="E2" s="146" t="s">
        <v>20</v>
      </c>
      <c r="F2" s="147"/>
      <c r="G2" s="147"/>
      <c r="H2" s="148" t="s">
        <v>20</v>
      </c>
      <c r="I2" s="149"/>
      <c r="J2" s="149"/>
      <c r="K2" s="143"/>
      <c r="L2" s="150"/>
    </row>
    <row r="3" spans="1:12" ht="51" hidden="1" x14ac:dyDescent="0.3">
      <c r="A3" s="151" t="s">
        <v>22</v>
      </c>
      <c r="B3" s="152" t="s">
        <v>210</v>
      </c>
      <c r="C3" s="152" t="s">
        <v>211</v>
      </c>
      <c r="D3" s="152" t="s">
        <v>204</v>
      </c>
      <c r="E3" s="153" t="s">
        <v>26</v>
      </c>
      <c r="F3" s="154">
        <v>9984</v>
      </c>
      <c r="G3" s="154"/>
      <c r="H3" s="153" t="s">
        <v>26</v>
      </c>
      <c r="I3" s="155" t="s">
        <v>27</v>
      </c>
      <c r="J3" s="155"/>
      <c r="K3" s="156" t="s">
        <v>21</v>
      </c>
      <c r="L3" s="157">
        <v>3274014.03</v>
      </c>
    </row>
    <row r="4" spans="1:12" ht="51" hidden="1" x14ac:dyDescent="0.3">
      <c r="A4" s="151" t="s">
        <v>31</v>
      </c>
      <c r="B4" s="152" t="s">
        <v>375</v>
      </c>
      <c r="C4" s="152" t="s">
        <v>376</v>
      </c>
      <c r="D4" s="152" t="s">
        <v>377</v>
      </c>
      <c r="E4" s="153" t="s">
        <v>26</v>
      </c>
      <c r="F4" s="154">
        <v>1540</v>
      </c>
      <c r="G4" s="154"/>
      <c r="H4" s="153" t="s">
        <v>45</v>
      </c>
      <c r="I4" s="155" t="s">
        <v>27</v>
      </c>
      <c r="J4" s="155"/>
      <c r="K4" s="156" t="s">
        <v>21</v>
      </c>
      <c r="L4" s="157">
        <v>3275554.03</v>
      </c>
    </row>
    <row r="5" spans="1:12" ht="51" hidden="1" x14ac:dyDescent="0.3">
      <c r="A5" s="151" t="s">
        <v>31</v>
      </c>
      <c r="B5" s="152" t="s">
        <v>375</v>
      </c>
      <c r="C5" s="152" t="s">
        <v>378</v>
      </c>
      <c r="D5" s="152" t="s">
        <v>377</v>
      </c>
      <c r="E5" s="153" t="s">
        <v>26</v>
      </c>
      <c r="F5" s="158">
        <v>720</v>
      </c>
      <c r="G5" s="158"/>
      <c r="H5" s="153" t="s">
        <v>45</v>
      </c>
      <c r="I5" s="155" t="s">
        <v>27</v>
      </c>
      <c r="J5" s="155"/>
      <c r="K5" s="156" t="s">
        <v>21</v>
      </c>
      <c r="L5" s="157">
        <v>3276274.03</v>
      </c>
    </row>
    <row r="6" spans="1:12" ht="51" hidden="1" x14ac:dyDescent="0.3">
      <c r="A6" s="151" t="s">
        <v>31</v>
      </c>
      <c r="B6" s="152" t="s">
        <v>375</v>
      </c>
      <c r="C6" s="152" t="s">
        <v>379</v>
      </c>
      <c r="D6" s="152" t="s">
        <v>377</v>
      </c>
      <c r="E6" s="153" t="s">
        <v>26</v>
      </c>
      <c r="F6" s="154">
        <v>1185</v>
      </c>
      <c r="G6" s="154"/>
      <c r="H6" s="153" t="s">
        <v>45</v>
      </c>
      <c r="I6" s="155" t="s">
        <v>27</v>
      </c>
      <c r="J6" s="155"/>
      <c r="K6" s="156" t="s">
        <v>21</v>
      </c>
      <c r="L6" s="157">
        <v>3277459.03</v>
      </c>
    </row>
    <row r="7" spans="1:12" ht="51" hidden="1" x14ac:dyDescent="0.3">
      <c r="A7" s="151" t="s">
        <v>31</v>
      </c>
      <c r="B7" s="152" t="s">
        <v>380</v>
      </c>
      <c r="C7" s="152" t="s">
        <v>381</v>
      </c>
      <c r="D7" s="152" t="s">
        <v>382</v>
      </c>
      <c r="E7" s="153" t="s">
        <v>26</v>
      </c>
      <c r="F7" s="158">
        <v>395</v>
      </c>
      <c r="G7" s="158"/>
      <c r="H7" s="153" t="s">
        <v>45</v>
      </c>
      <c r="I7" s="155" t="s">
        <v>27</v>
      </c>
      <c r="J7" s="155"/>
      <c r="K7" s="156" t="s">
        <v>21</v>
      </c>
      <c r="L7" s="157">
        <v>3277854.03</v>
      </c>
    </row>
    <row r="8" spans="1:12" ht="51" hidden="1" x14ac:dyDescent="0.3">
      <c r="A8" s="151" t="s">
        <v>31</v>
      </c>
      <c r="B8" s="152" t="s">
        <v>380</v>
      </c>
      <c r="C8" s="152" t="s">
        <v>383</v>
      </c>
      <c r="D8" s="152" t="s">
        <v>382</v>
      </c>
      <c r="E8" s="153" t="s">
        <v>26</v>
      </c>
      <c r="F8" s="154">
        <v>1280</v>
      </c>
      <c r="G8" s="154"/>
      <c r="H8" s="153" t="s">
        <v>45</v>
      </c>
      <c r="I8" s="155" t="s">
        <v>27</v>
      </c>
      <c r="J8" s="155"/>
      <c r="K8" s="156" t="s">
        <v>21</v>
      </c>
      <c r="L8" s="157">
        <v>3279134.03</v>
      </c>
    </row>
    <row r="9" spans="1:12" ht="51" hidden="1" x14ac:dyDescent="0.3">
      <c r="A9" s="151" t="s">
        <v>31</v>
      </c>
      <c r="B9" s="152" t="s">
        <v>380</v>
      </c>
      <c r="C9" s="152" t="s">
        <v>384</v>
      </c>
      <c r="D9" s="152" t="s">
        <v>382</v>
      </c>
      <c r="E9" s="153" t="s">
        <v>26</v>
      </c>
      <c r="F9" s="158">
        <v>225</v>
      </c>
      <c r="G9" s="158"/>
      <c r="H9" s="153" t="s">
        <v>45</v>
      </c>
      <c r="I9" s="155" t="s">
        <v>27</v>
      </c>
      <c r="J9" s="155"/>
      <c r="K9" s="156" t="s">
        <v>21</v>
      </c>
      <c r="L9" s="157">
        <v>3279359.03</v>
      </c>
    </row>
    <row r="10" spans="1:12" ht="51" hidden="1" x14ac:dyDescent="0.3">
      <c r="A10" s="151" t="s">
        <v>31</v>
      </c>
      <c r="B10" s="152" t="s">
        <v>380</v>
      </c>
      <c r="C10" s="152" t="s">
        <v>385</v>
      </c>
      <c r="D10" s="152" t="s">
        <v>382</v>
      </c>
      <c r="E10" s="153" t="s">
        <v>26</v>
      </c>
      <c r="F10" s="158">
        <v>520</v>
      </c>
      <c r="G10" s="158"/>
      <c r="H10" s="153" t="s">
        <v>45</v>
      </c>
      <c r="I10" s="155" t="s">
        <v>27</v>
      </c>
      <c r="J10" s="155"/>
      <c r="K10" s="156" t="s">
        <v>21</v>
      </c>
      <c r="L10" s="157">
        <v>3279879.03</v>
      </c>
    </row>
    <row r="11" spans="1:12" ht="51" hidden="1" x14ac:dyDescent="0.3">
      <c r="A11" s="151" t="s">
        <v>31</v>
      </c>
      <c r="B11" s="152" t="s">
        <v>380</v>
      </c>
      <c r="C11" s="152" t="s">
        <v>386</v>
      </c>
      <c r="D11" s="152" t="s">
        <v>382</v>
      </c>
      <c r="E11" s="153" t="s">
        <v>26</v>
      </c>
      <c r="F11" s="154">
        <v>1960</v>
      </c>
      <c r="G11" s="154"/>
      <c r="H11" s="153" t="s">
        <v>45</v>
      </c>
      <c r="I11" s="155" t="s">
        <v>27</v>
      </c>
      <c r="J11" s="155"/>
      <c r="K11" s="156" t="s">
        <v>21</v>
      </c>
      <c r="L11" s="157">
        <v>3281839.03</v>
      </c>
    </row>
    <row r="12" spans="1:12" ht="51" hidden="1" x14ac:dyDescent="0.3">
      <c r="A12" s="151" t="s">
        <v>31</v>
      </c>
      <c r="B12" s="152" t="s">
        <v>380</v>
      </c>
      <c r="C12" s="152" t="s">
        <v>387</v>
      </c>
      <c r="D12" s="152" t="s">
        <v>382</v>
      </c>
      <c r="E12" s="153" t="s">
        <v>26</v>
      </c>
      <c r="F12" s="158">
        <v>304</v>
      </c>
      <c r="G12" s="158"/>
      <c r="H12" s="153" t="s">
        <v>45</v>
      </c>
      <c r="I12" s="155" t="s">
        <v>27</v>
      </c>
      <c r="J12" s="155"/>
      <c r="K12" s="156" t="s">
        <v>21</v>
      </c>
      <c r="L12" s="157">
        <v>3282143.03</v>
      </c>
    </row>
    <row r="13" spans="1:12" ht="51" hidden="1" x14ac:dyDescent="0.3">
      <c r="A13" s="151" t="s">
        <v>248</v>
      </c>
      <c r="B13" s="152" t="s">
        <v>264</v>
      </c>
      <c r="C13" s="152" t="s">
        <v>265</v>
      </c>
      <c r="D13" s="152" t="s">
        <v>255</v>
      </c>
      <c r="E13" s="153" t="s">
        <v>26</v>
      </c>
      <c r="F13" s="154">
        <v>4458.5</v>
      </c>
      <c r="G13" s="154"/>
      <c r="H13" s="153" t="s">
        <v>26</v>
      </c>
      <c r="I13" s="155" t="s">
        <v>27</v>
      </c>
      <c r="J13" s="155"/>
      <c r="K13" s="156" t="s">
        <v>21</v>
      </c>
      <c r="L13" s="157">
        <v>3286601.53</v>
      </c>
    </row>
    <row r="14" spans="1:12" ht="51" hidden="1" x14ac:dyDescent="0.3">
      <c r="A14" s="151" t="s">
        <v>248</v>
      </c>
      <c r="B14" s="152" t="s">
        <v>264</v>
      </c>
      <c r="C14" s="152" t="s">
        <v>266</v>
      </c>
      <c r="D14" s="152" t="s">
        <v>258</v>
      </c>
      <c r="E14" s="153" t="s">
        <v>26</v>
      </c>
      <c r="F14" s="154">
        <v>1313.4</v>
      </c>
      <c r="G14" s="154"/>
      <c r="H14" s="153" t="s">
        <v>26</v>
      </c>
      <c r="I14" s="155" t="s">
        <v>27</v>
      </c>
      <c r="J14" s="155"/>
      <c r="K14" s="156" t="s">
        <v>21</v>
      </c>
      <c r="L14" s="157">
        <v>3287914.93</v>
      </c>
    </row>
    <row r="15" spans="1:12" ht="51" hidden="1" x14ac:dyDescent="0.3">
      <c r="A15" s="151" t="s">
        <v>57</v>
      </c>
      <c r="B15" s="152" t="s">
        <v>388</v>
      </c>
      <c r="C15" s="152" t="s">
        <v>389</v>
      </c>
      <c r="D15" s="152" t="s">
        <v>390</v>
      </c>
      <c r="E15" s="153" t="s">
        <v>26</v>
      </c>
      <c r="F15" s="154">
        <v>23362.5</v>
      </c>
      <c r="G15" s="154"/>
      <c r="H15" s="153" t="s">
        <v>45</v>
      </c>
      <c r="I15" s="155" t="s">
        <v>27</v>
      </c>
      <c r="J15" s="155"/>
      <c r="K15" s="156" t="s">
        <v>21</v>
      </c>
      <c r="L15" s="157">
        <v>3311277.43</v>
      </c>
    </row>
    <row r="16" spans="1:12" ht="51" hidden="1" x14ac:dyDescent="0.3">
      <c r="A16" s="151" t="s">
        <v>57</v>
      </c>
      <c r="B16" s="152" t="s">
        <v>391</v>
      </c>
      <c r="C16" s="152" t="s">
        <v>392</v>
      </c>
      <c r="D16" s="152" t="s">
        <v>393</v>
      </c>
      <c r="E16" s="153" t="s">
        <v>26</v>
      </c>
      <c r="F16" s="154">
        <v>3345.83</v>
      </c>
      <c r="G16" s="154"/>
      <c r="H16" s="153" t="s">
        <v>45</v>
      </c>
      <c r="I16" s="155" t="s">
        <v>27</v>
      </c>
      <c r="J16" s="155"/>
      <c r="K16" s="156" t="s">
        <v>21</v>
      </c>
      <c r="L16" s="157">
        <v>3314623.26</v>
      </c>
    </row>
    <row r="17" spans="1:12" ht="51" hidden="1" x14ac:dyDescent="0.3">
      <c r="A17" s="151" t="s">
        <v>394</v>
      </c>
      <c r="B17" s="152" t="s">
        <v>395</v>
      </c>
      <c r="C17" s="152" t="s">
        <v>396</v>
      </c>
      <c r="D17" s="152" t="s">
        <v>393</v>
      </c>
      <c r="E17" s="153" t="s">
        <v>26</v>
      </c>
      <c r="F17" s="154">
        <v>7087.5</v>
      </c>
      <c r="G17" s="154"/>
      <c r="H17" s="153" t="s">
        <v>45</v>
      </c>
      <c r="I17" s="155" t="s">
        <v>27</v>
      </c>
      <c r="J17" s="155"/>
      <c r="K17" s="156" t="s">
        <v>21</v>
      </c>
      <c r="L17" s="157">
        <v>3321710.76</v>
      </c>
    </row>
    <row r="18" spans="1:12" ht="51" hidden="1" x14ac:dyDescent="0.3">
      <c r="A18" s="151" t="s">
        <v>394</v>
      </c>
      <c r="B18" s="152" t="s">
        <v>395</v>
      </c>
      <c r="C18" s="152" t="s">
        <v>397</v>
      </c>
      <c r="D18" s="152" t="s">
        <v>393</v>
      </c>
      <c r="E18" s="153" t="s">
        <v>26</v>
      </c>
      <c r="F18" s="154">
        <v>1539.08</v>
      </c>
      <c r="G18" s="154"/>
      <c r="H18" s="153" t="s">
        <v>45</v>
      </c>
      <c r="I18" s="155" t="s">
        <v>27</v>
      </c>
      <c r="J18" s="155"/>
      <c r="K18" s="156" t="s">
        <v>21</v>
      </c>
      <c r="L18" s="157">
        <v>3323249.84</v>
      </c>
    </row>
    <row r="19" spans="1:12" ht="51" hidden="1" x14ac:dyDescent="0.3">
      <c r="A19" s="151" t="s">
        <v>297</v>
      </c>
      <c r="B19" s="152" t="s">
        <v>398</v>
      </c>
      <c r="C19" s="152" t="s">
        <v>399</v>
      </c>
      <c r="D19" s="152" t="s">
        <v>400</v>
      </c>
      <c r="E19" s="153" t="s">
        <v>26</v>
      </c>
      <c r="F19" s="154">
        <v>4950</v>
      </c>
      <c r="G19" s="154"/>
      <c r="H19" s="153" t="s">
        <v>45</v>
      </c>
      <c r="I19" s="155" t="s">
        <v>27</v>
      </c>
      <c r="J19" s="155"/>
      <c r="K19" s="156" t="s">
        <v>21</v>
      </c>
      <c r="L19" s="157">
        <v>3328199.84</v>
      </c>
    </row>
    <row r="20" spans="1:12" ht="51" hidden="1" x14ac:dyDescent="0.3">
      <c r="A20" s="151" t="s">
        <v>297</v>
      </c>
      <c r="B20" s="152" t="s">
        <v>401</v>
      </c>
      <c r="C20" s="152" t="s">
        <v>399</v>
      </c>
      <c r="D20" s="152" t="s">
        <v>400</v>
      </c>
      <c r="E20" s="153" t="s">
        <v>26</v>
      </c>
      <c r="F20" s="154">
        <v>118800</v>
      </c>
      <c r="G20" s="154"/>
      <c r="H20" s="153" t="s">
        <v>45</v>
      </c>
      <c r="I20" s="155" t="s">
        <v>27</v>
      </c>
      <c r="J20" s="155"/>
      <c r="K20" s="156" t="s">
        <v>21</v>
      </c>
      <c r="L20" s="157">
        <v>3446999.84</v>
      </c>
    </row>
    <row r="21" spans="1:12" ht="51" hidden="1" x14ac:dyDescent="0.3">
      <c r="A21" s="151" t="s">
        <v>297</v>
      </c>
      <c r="B21" s="152" t="s">
        <v>402</v>
      </c>
      <c r="C21" s="152" t="s">
        <v>403</v>
      </c>
      <c r="D21" s="152" t="s">
        <v>404</v>
      </c>
      <c r="E21" s="153" t="s">
        <v>26</v>
      </c>
      <c r="F21" s="154">
        <v>9632.7199999999993</v>
      </c>
      <c r="G21" s="154"/>
      <c r="H21" s="153" t="s">
        <v>45</v>
      </c>
      <c r="I21" s="155" t="s">
        <v>27</v>
      </c>
      <c r="J21" s="155"/>
      <c r="K21" s="156" t="s">
        <v>21</v>
      </c>
      <c r="L21" s="157">
        <v>3456632.56</v>
      </c>
    </row>
    <row r="22" spans="1:12" ht="51" hidden="1" x14ac:dyDescent="0.3">
      <c r="A22" s="151" t="s">
        <v>297</v>
      </c>
      <c r="B22" s="152" t="s">
        <v>402</v>
      </c>
      <c r="C22" s="152" t="s">
        <v>405</v>
      </c>
      <c r="D22" s="152" t="s">
        <v>404</v>
      </c>
      <c r="E22" s="153" t="s">
        <v>26</v>
      </c>
      <c r="F22" s="154">
        <v>4195.6099999999997</v>
      </c>
      <c r="G22" s="154"/>
      <c r="H22" s="153" t="s">
        <v>45</v>
      </c>
      <c r="I22" s="155" t="s">
        <v>27</v>
      </c>
      <c r="J22" s="155"/>
      <c r="K22" s="156" t="s">
        <v>21</v>
      </c>
      <c r="L22" s="157">
        <v>3460828.17</v>
      </c>
    </row>
    <row r="23" spans="1:12" ht="71.400000000000006" x14ac:dyDescent="0.3">
      <c r="A23" s="151" t="s">
        <v>68</v>
      </c>
      <c r="B23" s="152" t="s">
        <v>406</v>
      </c>
      <c r="C23" s="152" t="s">
        <v>33</v>
      </c>
      <c r="D23" s="152" t="s">
        <v>407</v>
      </c>
      <c r="E23" s="153" t="s">
        <v>34</v>
      </c>
      <c r="F23" s="159" t="s">
        <v>27</v>
      </c>
      <c r="G23" s="159"/>
      <c r="H23" s="153" t="s">
        <v>26</v>
      </c>
      <c r="I23" s="160">
        <v>6294.77</v>
      </c>
      <c r="J23" s="160"/>
      <c r="K23" s="156" t="s">
        <v>21</v>
      </c>
      <c r="L23" s="157">
        <v>3454533.4</v>
      </c>
    </row>
    <row r="24" spans="1:12" ht="71.400000000000006" x14ac:dyDescent="0.3">
      <c r="A24" s="151" t="s">
        <v>68</v>
      </c>
      <c r="B24" s="152" t="s">
        <v>406</v>
      </c>
      <c r="C24" s="152" t="s">
        <v>33</v>
      </c>
      <c r="D24" s="152" t="s">
        <v>408</v>
      </c>
      <c r="E24" s="153" t="s">
        <v>34</v>
      </c>
      <c r="F24" s="159" t="s">
        <v>27</v>
      </c>
      <c r="G24" s="159"/>
      <c r="H24" s="153" t="s">
        <v>26</v>
      </c>
      <c r="I24" s="160">
        <v>7998.8</v>
      </c>
      <c r="J24" s="160"/>
      <c r="K24" s="156" t="s">
        <v>21</v>
      </c>
      <c r="L24" s="157">
        <v>3446534.6</v>
      </c>
    </row>
    <row r="25" spans="1:12" ht="71.400000000000006" x14ac:dyDescent="0.3">
      <c r="A25" s="151" t="s">
        <v>68</v>
      </c>
      <c r="B25" s="152" t="s">
        <v>406</v>
      </c>
      <c r="C25" s="152" t="s">
        <v>33</v>
      </c>
      <c r="D25" s="152" t="s">
        <v>409</v>
      </c>
      <c r="E25" s="153" t="s">
        <v>34</v>
      </c>
      <c r="F25" s="159" t="s">
        <v>27</v>
      </c>
      <c r="G25" s="159"/>
      <c r="H25" s="153" t="s">
        <v>26</v>
      </c>
      <c r="I25" s="160">
        <v>15209.17</v>
      </c>
      <c r="J25" s="160"/>
      <c r="K25" s="156" t="s">
        <v>21</v>
      </c>
      <c r="L25" s="157">
        <v>3431325.43</v>
      </c>
    </row>
    <row r="26" spans="1:12" ht="71.400000000000006" x14ac:dyDescent="0.3">
      <c r="A26" s="151" t="s">
        <v>68</v>
      </c>
      <c r="B26" s="152" t="s">
        <v>406</v>
      </c>
      <c r="C26" s="152" t="s">
        <v>33</v>
      </c>
      <c r="D26" s="152" t="s">
        <v>410</v>
      </c>
      <c r="E26" s="153" t="s">
        <v>34</v>
      </c>
      <c r="F26" s="159" t="s">
        <v>27</v>
      </c>
      <c r="G26" s="159"/>
      <c r="H26" s="153" t="s">
        <v>26</v>
      </c>
      <c r="I26" s="160">
        <v>38022.93</v>
      </c>
      <c r="J26" s="160"/>
      <c r="K26" s="156" t="s">
        <v>21</v>
      </c>
      <c r="L26" s="157">
        <v>3393302.5</v>
      </c>
    </row>
    <row r="27" spans="1:12" ht="71.400000000000006" x14ac:dyDescent="0.3">
      <c r="A27" s="151" t="s">
        <v>68</v>
      </c>
      <c r="B27" s="152" t="s">
        <v>406</v>
      </c>
      <c r="C27" s="152" t="s">
        <v>33</v>
      </c>
      <c r="D27" s="152" t="s">
        <v>411</v>
      </c>
      <c r="E27" s="153" t="s">
        <v>34</v>
      </c>
      <c r="F27" s="159" t="s">
        <v>27</v>
      </c>
      <c r="G27" s="159"/>
      <c r="H27" s="153" t="s">
        <v>26</v>
      </c>
      <c r="I27" s="160">
        <v>78080.539999999994</v>
      </c>
      <c r="J27" s="160"/>
      <c r="K27" s="156" t="s">
        <v>21</v>
      </c>
      <c r="L27" s="157">
        <v>3315221.96</v>
      </c>
    </row>
    <row r="28" spans="1:12" ht="71.400000000000006" x14ac:dyDescent="0.3">
      <c r="A28" s="151" t="s">
        <v>68</v>
      </c>
      <c r="B28" s="152" t="s">
        <v>406</v>
      </c>
      <c r="C28" s="152" t="s">
        <v>33</v>
      </c>
      <c r="D28" s="152" t="s">
        <v>412</v>
      </c>
      <c r="E28" s="153" t="s">
        <v>34</v>
      </c>
      <c r="F28" s="159" t="s">
        <v>27</v>
      </c>
      <c r="G28" s="159"/>
      <c r="H28" s="153" t="s">
        <v>26</v>
      </c>
      <c r="I28" s="160">
        <v>7757.19</v>
      </c>
      <c r="J28" s="160"/>
      <c r="K28" s="156" t="s">
        <v>21</v>
      </c>
      <c r="L28" s="157">
        <v>3307464.77</v>
      </c>
    </row>
    <row r="29" spans="1:12" ht="71.400000000000006" x14ac:dyDescent="0.3">
      <c r="A29" s="151" t="s">
        <v>68</v>
      </c>
      <c r="B29" s="152" t="s">
        <v>406</v>
      </c>
      <c r="C29" s="152" t="s">
        <v>33</v>
      </c>
      <c r="D29" s="152" t="s">
        <v>413</v>
      </c>
      <c r="E29" s="153" t="s">
        <v>34</v>
      </c>
      <c r="F29" s="159" t="s">
        <v>27</v>
      </c>
      <c r="G29" s="159"/>
      <c r="H29" s="153" t="s">
        <v>26</v>
      </c>
      <c r="I29" s="160">
        <v>7617.38</v>
      </c>
      <c r="J29" s="160"/>
      <c r="K29" s="156" t="s">
        <v>21</v>
      </c>
      <c r="L29" s="157">
        <v>3299847.39</v>
      </c>
    </row>
    <row r="30" spans="1:12" ht="71.400000000000006" x14ac:dyDescent="0.3">
      <c r="A30" s="151" t="s">
        <v>68</v>
      </c>
      <c r="B30" s="152" t="s">
        <v>406</v>
      </c>
      <c r="C30" s="152" t="s">
        <v>33</v>
      </c>
      <c r="D30" s="152" t="s">
        <v>414</v>
      </c>
      <c r="E30" s="153" t="s">
        <v>34</v>
      </c>
      <c r="F30" s="159" t="s">
        <v>27</v>
      </c>
      <c r="G30" s="159"/>
      <c r="H30" s="153" t="s">
        <v>26</v>
      </c>
      <c r="I30" s="160">
        <v>6868.13</v>
      </c>
      <c r="J30" s="160"/>
      <c r="K30" s="156" t="s">
        <v>21</v>
      </c>
      <c r="L30" s="157">
        <v>3292979.26</v>
      </c>
    </row>
    <row r="31" spans="1:12" ht="71.400000000000006" x14ac:dyDescent="0.3">
      <c r="A31" s="151" t="s">
        <v>68</v>
      </c>
      <c r="B31" s="152" t="s">
        <v>406</v>
      </c>
      <c r="C31" s="152" t="s">
        <v>33</v>
      </c>
      <c r="D31" s="152" t="s">
        <v>415</v>
      </c>
      <c r="E31" s="153" t="s">
        <v>34</v>
      </c>
      <c r="F31" s="159" t="s">
        <v>27</v>
      </c>
      <c r="G31" s="159"/>
      <c r="H31" s="153" t="s">
        <v>26</v>
      </c>
      <c r="I31" s="160">
        <v>16594.5</v>
      </c>
      <c r="J31" s="160"/>
      <c r="K31" s="156" t="s">
        <v>21</v>
      </c>
      <c r="L31" s="157">
        <v>3276384.76</v>
      </c>
    </row>
    <row r="32" spans="1:12" ht="71.400000000000006" x14ac:dyDescent="0.3">
      <c r="A32" s="151" t="s">
        <v>68</v>
      </c>
      <c r="B32" s="152" t="s">
        <v>406</v>
      </c>
      <c r="C32" s="152" t="s">
        <v>33</v>
      </c>
      <c r="D32" s="152" t="s">
        <v>416</v>
      </c>
      <c r="E32" s="153" t="s">
        <v>34</v>
      </c>
      <c r="F32" s="159" t="s">
        <v>27</v>
      </c>
      <c r="G32" s="159"/>
      <c r="H32" s="153" t="s">
        <v>26</v>
      </c>
      <c r="I32" s="160">
        <v>8519.25</v>
      </c>
      <c r="J32" s="160"/>
      <c r="K32" s="156" t="s">
        <v>21</v>
      </c>
      <c r="L32" s="157">
        <v>3267865.51</v>
      </c>
    </row>
    <row r="33" spans="1:12" ht="61.2" x14ac:dyDescent="0.3">
      <c r="A33" s="151" t="s">
        <v>68</v>
      </c>
      <c r="B33" s="152" t="s">
        <v>406</v>
      </c>
      <c r="C33" s="152" t="s">
        <v>33</v>
      </c>
      <c r="D33" s="152" t="s">
        <v>417</v>
      </c>
      <c r="E33" s="153" t="s">
        <v>34</v>
      </c>
      <c r="F33" s="159" t="s">
        <v>27</v>
      </c>
      <c r="G33" s="159"/>
      <c r="H33" s="153" t="s">
        <v>26</v>
      </c>
      <c r="I33" s="161">
        <v>607.92999999999995</v>
      </c>
      <c r="J33" s="161"/>
      <c r="K33" s="156" t="s">
        <v>21</v>
      </c>
      <c r="L33" s="157">
        <v>3267257.58</v>
      </c>
    </row>
    <row r="34" spans="1:12" ht="51" x14ac:dyDescent="0.3">
      <c r="A34" s="151" t="s">
        <v>68</v>
      </c>
      <c r="B34" s="152" t="s">
        <v>406</v>
      </c>
      <c r="C34" s="152" t="s">
        <v>33</v>
      </c>
      <c r="D34" s="152" t="s">
        <v>418</v>
      </c>
      <c r="E34" s="153" t="s">
        <v>34</v>
      </c>
      <c r="F34" s="159" t="s">
        <v>27</v>
      </c>
      <c r="G34" s="159"/>
      <c r="H34" s="153" t="s">
        <v>26</v>
      </c>
      <c r="I34" s="160">
        <v>2788.5</v>
      </c>
      <c r="J34" s="160"/>
      <c r="K34" s="156" t="s">
        <v>21</v>
      </c>
      <c r="L34" s="157">
        <v>3264469.08</v>
      </c>
    </row>
    <row r="35" spans="1:12" ht="61.2" x14ac:dyDescent="0.3">
      <c r="A35" s="151" t="s">
        <v>68</v>
      </c>
      <c r="B35" s="152" t="s">
        <v>406</v>
      </c>
      <c r="C35" s="152" t="s">
        <v>33</v>
      </c>
      <c r="D35" s="152" t="s">
        <v>419</v>
      </c>
      <c r="E35" s="153" t="s">
        <v>34</v>
      </c>
      <c r="F35" s="159" t="s">
        <v>27</v>
      </c>
      <c r="G35" s="159"/>
      <c r="H35" s="153" t="s">
        <v>26</v>
      </c>
      <c r="I35" s="160">
        <v>1182.3900000000001</v>
      </c>
      <c r="J35" s="160"/>
      <c r="K35" s="156" t="s">
        <v>21</v>
      </c>
      <c r="L35" s="157">
        <v>3263286.69</v>
      </c>
    </row>
    <row r="36" spans="1:12" ht="61.2" x14ac:dyDescent="0.3">
      <c r="A36" s="151" t="s">
        <v>68</v>
      </c>
      <c r="B36" s="152" t="s">
        <v>406</v>
      </c>
      <c r="C36" s="152" t="s">
        <v>33</v>
      </c>
      <c r="D36" s="152" t="s">
        <v>420</v>
      </c>
      <c r="E36" s="153" t="s">
        <v>34</v>
      </c>
      <c r="F36" s="159" t="s">
        <v>27</v>
      </c>
      <c r="G36" s="159"/>
      <c r="H36" s="153" t="s">
        <v>26</v>
      </c>
      <c r="I36" s="160">
        <v>3941.3</v>
      </c>
      <c r="J36" s="160"/>
      <c r="K36" s="156" t="s">
        <v>21</v>
      </c>
      <c r="L36" s="157">
        <v>3259345.39</v>
      </c>
    </row>
    <row r="37" spans="1:12" ht="51" hidden="1" x14ac:dyDescent="0.3">
      <c r="A37" s="151" t="s">
        <v>76</v>
      </c>
      <c r="B37" s="152" t="s">
        <v>421</v>
      </c>
      <c r="C37" s="152" t="s">
        <v>422</v>
      </c>
      <c r="D37" s="152" t="s">
        <v>423</v>
      </c>
      <c r="E37" s="153" t="s">
        <v>26</v>
      </c>
      <c r="F37" s="158">
        <v>111.04</v>
      </c>
      <c r="G37" s="158"/>
      <c r="H37" s="153" t="s">
        <v>26</v>
      </c>
      <c r="I37" s="155" t="s">
        <v>27</v>
      </c>
      <c r="J37" s="155"/>
      <c r="K37" s="156" t="s">
        <v>21</v>
      </c>
      <c r="L37" s="157">
        <v>3259456.43</v>
      </c>
    </row>
    <row r="38" spans="1:12" ht="51" hidden="1" x14ac:dyDescent="0.3">
      <c r="A38" s="151" t="s">
        <v>76</v>
      </c>
      <c r="B38" s="152" t="s">
        <v>421</v>
      </c>
      <c r="C38" s="152" t="s">
        <v>424</v>
      </c>
      <c r="D38" s="152" t="s">
        <v>425</v>
      </c>
      <c r="E38" s="153" t="s">
        <v>26</v>
      </c>
      <c r="F38" s="158">
        <v>321.04000000000002</v>
      </c>
      <c r="G38" s="158"/>
      <c r="H38" s="153" t="s">
        <v>26</v>
      </c>
      <c r="I38" s="155" t="s">
        <v>27</v>
      </c>
      <c r="J38" s="155"/>
      <c r="K38" s="156" t="s">
        <v>21</v>
      </c>
      <c r="L38" s="157">
        <v>3259777.47</v>
      </c>
    </row>
    <row r="39" spans="1:12" ht="51" hidden="1" x14ac:dyDescent="0.3">
      <c r="A39" s="151" t="s">
        <v>76</v>
      </c>
      <c r="B39" s="152" t="s">
        <v>421</v>
      </c>
      <c r="C39" s="152" t="s">
        <v>426</v>
      </c>
      <c r="D39" s="152" t="s">
        <v>427</v>
      </c>
      <c r="E39" s="153" t="s">
        <v>26</v>
      </c>
      <c r="F39" s="158">
        <v>117.16</v>
      </c>
      <c r="G39" s="158"/>
      <c r="H39" s="153" t="s">
        <v>26</v>
      </c>
      <c r="I39" s="155" t="s">
        <v>27</v>
      </c>
      <c r="J39" s="155"/>
      <c r="K39" s="156" t="s">
        <v>21</v>
      </c>
      <c r="L39" s="157">
        <v>3259894.63</v>
      </c>
    </row>
    <row r="40" spans="1:12" ht="71.400000000000006" x14ac:dyDescent="0.3">
      <c r="A40" s="151" t="s">
        <v>76</v>
      </c>
      <c r="B40" s="152" t="s">
        <v>428</v>
      </c>
      <c r="C40" s="152" t="s">
        <v>33</v>
      </c>
      <c r="D40" s="152" t="s">
        <v>429</v>
      </c>
      <c r="E40" s="153" t="s">
        <v>34</v>
      </c>
      <c r="F40" s="159" t="s">
        <v>27</v>
      </c>
      <c r="G40" s="159"/>
      <c r="H40" s="153" t="s">
        <v>26</v>
      </c>
      <c r="I40" s="160">
        <v>6499.98</v>
      </c>
      <c r="J40" s="160"/>
      <c r="K40" s="156" t="s">
        <v>21</v>
      </c>
      <c r="L40" s="157">
        <v>3253394.65</v>
      </c>
    </row>
    <row r="41" spans="1:12" ht="71.400000000000006" x14ac:dyDescent="0.3">
      <c r="A41" s="151" t="s">
        <v>76</v>
      </c>
      <c r="B41" s="152" t="s">
        <v>428</v>
      </c>
      <c r="C41" s="152" t="s">
        <v>33</v>
      </c>
      <c r="D41" s="152" t="s">
        <v>430</v>
      </c>
      <c r="E41" s="153" t="s">
        <v>34</v>
      </c>
      <c r="F41" s="159" t="s">
        <v>27</v>
      </c>
      <c r="G41" s="159"/>
      <c r="H41" s="153" t="s">
        <v>26</v>
      </c>
      <c r="I41" s="160">
        <v>9966.64</v>
      </c>
      <c r="J41" s="160"/>
      <c r="K41" s="156" t="s">
        <v>21</v>
      </c>
      <c r="L41" s="157">
        <v>3243428.01</v>
      </c>
    </row>
    <row r="42" spans="1:12" ht="71.400000000000006" x14ac:dyDescent="0.3">
      <c r="A42" s="151" t="s">
        <v>76</v>
      </c>
      <c r="B42" s="152" t="s">
        <v>428</v>
      </c>
      <c r="C42" s="152" t="s">
        <v>33</v>
      </c>
      <c r="D42" s="152" t="s">
        <v>431</v>
      </c>
      <c r="E42" s="153" t="s">
        <v>34</v>
      </c>
      <c r="F42" s="159" t="s">
        <v>27</v>
      </c>
      <c r="G42" s="159"/>
      <c r="H42" s="153" t="s">
        <v>26</v>
      </c>
      <c r="I42" s="160">
        <v>10724.97</v>
      </c>
      <c r="J42" s="160"/>
      <c r="K42" s="156" t="s">
        <v>21</v>
      </c>
      <c r="L42" s="157">
        <v>3232703.04</v>
      </c>
    </row>
    <row r="43" spans="1:12" ht="71.400000000000006" x14ac:dyDescent="0.3">
      <c r="A43" s="151" t="s">
        <v>76</v>
      </c>
      <c r="B43" s="152" t="s">
        <v>428</v>
      </c>
      <c r="C43" s="152" t="s">
        <v>33</v>
      </c>
      <c r="D43" s="152" t="s">
        <v>432</v>
      </c>
      <c r="E43" s="153" t="s">
        <v>34</v>
      </c>
      <c r="F43" s="159" t="s">
        <v>27</v>
      </c>
      <c r="G43" s="159"/>
      <c r="H43" s="153" t="s">
        <v>26</v>
      </c>
      <c r="I43" s="160">
        <v>3066.33</v>
      </c>
      <c r="J43" s="160"/>
      <c r="K43" s="156" t="s">
        <v>21</v>
      </c>
      <c r="L43" s="157">
        <v>3229636.71</v>
      </c>
    </row>
    <row r="44" spans="1:12" ht="71.400000000000006" x14ac:dyDescent="0.3">
      <c r="A44" s="151" t="s">
        <v>76</v>
      </c>
      <c r="B44" s="152" t="s">
        <v>428</v>
      </c>
      <c r="C44" s="152" t="s">
        <v>33</v>
      </c>
      <c r="D44" s="152" t="s">
        <v>433</v>
      </c>
      <c r="E44" s="153" t="s">
        <v>34</v>
      </c>
      <c r="F44" s="159" t="s">
        <v>27</v>
      </c>
      <c r="G44" s="159"/>
      <c r="H44" s="153" t="s">
        <v>26</v>
      </c>
      <c r="I44" s="160">
        <v>15908.84</v>
      </c>
      <c r="J44" s="160"/>
      <c r="K44" s="156" t="s">
        <v>21</v>
      </c>
      <c r="L44" s="157">
        <v>3213727.87</v>
      </c>
    </row>
    <row r="45" spans="1:12" ht="71.400000000000006" x14ac:dyDescent="0.3">
      <c r="A45" s="151" t="s">
        <v>76</v>
      </c>
      <c r="B45" s="152" t="s">
        <v>428</v>
      </c>
      <c r="C45" s="152" t="s">
        <v>33</v>
      </c>
      <c r="D45" s="152" t="s">
        <v>434</v>
      </c>
      <c r="E45" s="153" t="s">
        <v>34</v>
      </c>
      <c r="F45" s="159" t="s">
        <v>27</v>
      </c>
      <c r="G45" s="159"/>
      <c r="H45" s="153" t="s">
        <v>26</v>
      </c>
      <c r="I45" s="160">
        <v>137707.49</v>
      </c>
      <c r="J45" s="160"/>
      <c r="K45" s="156" t="s">
        <v>21</v>
      </c>
      <c r="L45" s="157">
        <v>3076020.38</v>
      </c>
    </row>
    <row r="46" spans="1:12" ht="71.400000000000006" x14ac:dyDescent="0.3">
      <c r="A46" s="151" t="s">
        <v>76</v>
      </c>
      <c r="B46" s="152" t="s">
        <v>428</v>
      </c>
      <c r="C46" s="152" t="s">
        <v>33</v>
      </c>
      <c r="D46" s="152" t="s">
        <v>435</v>
      </c>
      <c r="E46" s="153" t="s">
        <v>34</v>
      </c>
      <c r="F46" s="159" t="s">
        <v>27</v>
      </c>
      <c r="G46" s="159"/>
      <c r="H46" s="153" t="s">
        <v>26</v>
      </c>
      <c r="I46" s="160">
        <v>16791.62</v>
      </c>
      <c r="J46" s="160"/>
      <c r="K46" s="156" t="s">
        <v>21</v>
      </c>
      <c r="L46" s="157">
        <v>3059228.76</v>
      </c>
    </row>
    <row r="47" spans="1:12" ht="71.400000000000006" x14ac:dyDescent="0.3">
      <c r="A47" s="151" t="s">
        <v>76</v>
      </c>
      <c r="B47" s="152" t="s">
        <v>428</v>
      </c>
      <c r="C47" s="152" t="s">
        <v>33</v>
      </c>
      <c r="D47" s="152" t="s">
        <v>436</v>
      </c>
      <c r="E47" s="153" t="s">
        <v>34</v>
      </c>
      <c r="F47" s="159" t="s">
        <v>27</v>
      </c>
      <c r="G47" s="159"/>
      <c r="H47" s="153" t="s">
        <v>26</v>
      </c>
      <c r="I47" s="160">
        <v>16954.62</v>
      </c>
      <c r="J47" s="160"/>
      <c r="K47" s="156" t="s">
        <v>21</v>
      </c>
      <c r="L47" s="157">
        <v>3042274.14</v>
      </c>
    </row>
    <row r="48" spans="1:12" ht="71.400000000000006" x14ac:dyDescent="0.3">
      <c r="A48" s="151" t="s">
        <v>76</v>
      </c>
      <c r="B48" s="152" t="s">
        <v>428</v>
      </c>
      <c r="C48" s="152" t="s">
        <v>33</v>
      </c>
      <c r="D48" s="152" t="s">
        <v>437</v>
      </c>
      <c r="E48" s="153" t="s">
        <v>34</v>
      </c>
      <c r="F48" s="159" t="s">
        <v>27</v>
      </c>
      <c r="G48" s="159"/>
      <c r="H48" s="153" t="s">
        <v>26</v>
      </c>
      <c r="I48" s="160">
        <v>8103.31</v>
      </c>
      <c r="J48" s="160"/>
      <c r="K48" s="156" t="s">
        <v>21</v>
      </c>
      <c r="L48" s="157">
        <v>3034170.83</v>
      </c>
    </row>
    <row r="49" spans="1:12" ht="71.400000000000006" x14ac:dyDescent="0.3">
      <c r="A49" s="151" t="s">
        <v>76</v>
      </c>
      <c r="B49" s="152" t="s">
        <v>428</v>
      </c>
      <c r="C49" s="152" t="s">
        <v>33</v>
      </c>
      <c r="D49" s="152" t="s">
        <v>438</v>
      </c>
      <c r="E49" s="153" t="s">
        <v>34</v>
      </c>
      <c r="F49" s="159" t="s">
        <v>27</v>
      </c>
      <c r="G49" s="159"/>
      <c r="H49" s="153" t="s">
        <v>26</v>
      </c>
      <c r="I49" s="160">
        <v>2870.83</v>
      </c>
      <c r="J49" s="160"/>
      <c r="K49" s="156" t="s">
        <v>21</v>
      </c>
      <c r="L49" s="157">
        <v>3031300</v>
      </c>
    </row>
    <row r="50" spans="1:12" ht="61.2" x14ac:dyDescent="0.3">
      <c r="A50" s="151" t="s">
        <v>76</v>
      </c>
      <c r="B50" s="152" t="s">
        <v>428</v>
      </c>
      <c r="C50" s="152" t="s">
        <v>33</v>
      </c>
      <c r="D50" s="152" t="s">
        <v>417</v>
      </c>
      <c r="E50" s="153" t="s">
        <v>34</v>
      </c>
      <c r="F50" s="159" t="s">
        <v>27</v>
      </c>
      <c r="G50" s="159"/>
      <c r="H50" s="153" t="s">
        <v>26</v>
      </c>
      <c r="I50" s="160">
        <v>1727.25</v>
      </c>
      <c r="J50" s="160"/>
      <c r="K50" s="156" t="s">
        <v>21</v>
      </c>
      <c r="L50" s="157">
        <v>3029572.75</v>
      </c>
    </row>
    <row r="51" spans="1:12" ht="61.2" x14ac:dyDescent="0.3">
      <c r="A51" s="151" t="s">
        <v>76</v>
      </c>
      <c r="B51" s="152" t="s">
        <v>428</v>
      </c>
      <c r="C51" s="152" t="s">
        <v>33</v>
      </c>
      <c r="D51" s="152" t="s">
        <v>439</v>
      </c>
      <c r="E51" s="153" t="s">
        <v>34</v>
      </c>
      <c r="F51" s="159" t="s">
        <v>27</v>
      </c>
      <c r="G51" s="159"/>
      <c r="H51" s="153" t="s">
        <v>26</v>
      </c>
      <c r="I51" s="160">
        <v>9674.7000000000007</v>
      </c>
      <c r="J51" s="160"/>
      <c r="K51" s="156" t="s">
        <v>21</v>
      </c>
      <c r="L51" s="157">
        <v>3019898.05</v>
      </c>
    </row>
    <row r="52" spans="1:12" ht="51" x14ac:dyDescent="0.3">
      <c r="A52" s="151" t="s">
        <v>76</v>
      </c>
      <c r="B52" s="152" t="s">
        <v>440</v>
      </c>
      <c r="C52" s="152" t="s">
        <v>33</v>
      </c>
      <c r="D52" s="152" t="s">
        <v>441</v>
      </c>
      <c r="E52" s="153" t="s">
        <v>34</v>
      </c>
      <c r="F52" s="159" t="s">
        <v>27</v>
      </c>
      <c r="G52" s="159"/>
      <c r="H52" s="153" t="s">
        <v>26</v>
      </c>
      <c r="I52" s="160">
        <v>3272.38</v>
      </c>
      <c r="J52" s="160"/>
      <c r="K52" s="156" t="s">
        <v>21</v>
      </c>
      <c r="L52" s="157">
        <v>3016625.67</v>
      </c>
    </row>
    <row r="53" spans="1:12" ht="51" x14ac:dyDescent="0.3">
      <c r="A53" s="151" t="s">
        <v>76</v>
      </c>
      <c r="B53" s="152" t="s">
        <v>440</v>
      </c>
      <c r="C53" s="152" t="s">
        <v>33</v>
      </c>
      <c r="D53" s="152" t="s">
        <v>442</v>
      </c>
      <c r="E53" s="153" t="s">
        <v>34</v>
      </c>
      <c r="F53" s="159" t="s">
        <v>27</v>
      </c>
      <c r="G53" s="159"/>
      <c r="H53" s="153" t="s">
        <v>26</v>
      </c>
      <c r="I53" s="160">
        <v>1779.32</v>
      </c>
      <c r="J53" s="160"/>
      <c r="K53" s="156" t="s">
        <v>21</v>
      </c>
      <c r="L53" s="157">
        <v>3014846.35</v>
      </c>
    </row>
    <row r="54" spans="1:12" ht="51" x14ac:dyDescent="0.3">
      <c r="A54" s="151" t="s">
        <v>76</v>
      </c>
      <c r="B54" s="152" t="s">
        <v>443</v>
      </c>
      <c r="C54" s="152" t="s">
        <v>33</v>
      </c>
      <c r="D54" s="152" t="s">
        <v>444</v>
      </c>
      <c r="E54" s="153" t="s">
        <v>34</v>
      </c>
      <c r="F54" s="159" t="s">
        <v>27</v>
      </c>
      <c r="G54" s="159"/>
      <c r="H54" s="153" t="s">
        <v>26</v>
      </c>
      <c r="I54" s="160">
        <v>6355.26</v>
      </c>
      <c r="J54" s="160"/>
      <c r="K54" s="156" t="s">
        <v>21</v>
      </c>
      <c r="L54" s="157">
        <v>3008491.09</v>
      </c>
    </row>
    <row r="55" spans="1:12" ht="51" x14ac:dyDescent="0.3">
      <c r="A55" s="151" t="s">
        <v>76</v>
      </c>
      <c r="B55" s="152" t="s">
        <v>443</v>
      </c>
      <c r="C55" s="152" t="s">
        <v>33</v>
      </c>
      <c r="D55" s="152" t="s">
        <v>445</v>
      </c>
      <c r="E55" s="153" t="s">
        <v>34</v>
      </c>
      <c r="F55" s="159" t="s">
        <v>27</v>
      </c>
      <c r="G55" s="159"/>
      <c r="H55" s="153" t="s">
        <v>26</v>
      </c>
      <c r="I55" s="160">
        <v>15439.32</v>
      </c>
      <c r="J55" s="160"/>
      <c r="K55" s="156" t="s">
        <v>21</v>
      </c>
      <c r="L55" s="157">
        <v>2993051.77</v>
      </c>
    </row>
    <row r="56" spans="1:12" ht="51" x14ac:dyDescent="0.3">
      <c r="A56" s="151" t="s">
        <v>76</v>
      </c>
      <c r="B56" s="152" t="s">
        <v>443</v>
      </c>
      <c r="C56" s="152" t="s">
        <v>33</v>
      </c>
      <c r="D56" s="152" t="s">
        <v>211</v>
      </c>
      <c r="E56" s="153" t="s">
        <v>34</v>
      </c>
      <c r="F56" s="159" t="s">
        <v>27</v>
      </c>
      <c r="G56" s="159"/>
      <c r="H56" s="153" t="s">
        <v>26</v>
      </c>
      <c r="I56" s="161">
        <v>873.6</v>
      </c>
      <c r="J56" s="161"/>
      <c r="K56" s="156" t="s">
        <v>21</v>
      </c>
      <c r="L56" s="157">
        <v>2992178.17</v>
      </c>
    </row>
    <row r="57" spans="1:12" ht="51" x14ac:dyDescent="0.3">
      <c r="A57" s="151" t="s">
        <v>76</v>
      </c>
      <c r="B57" s="152" t="s">
        <v>443</v>
      </c>
      <c r="C57" s="152" t="s">
        <v>33</v>
      </c>
      <c r="D57" s="152" t="s">
        <v>446</v>
      </c>
      <c r="E57" s="153" t="s">
        <v>34</v>
      </c>
      <c r="F57" s="159" t="s">
        <v>27</v>
      </c>
      <c r="G57" s="159"/>
      <c r="H57" s="153" t="s">
        <v>26</v>
      </c>
      <c r="I57" s="160">
        <v>5860.17</v>
      </c>
      <c r="J57" s="160"/>
      <c r="K57" s="156" t="s">
        <v>21</v>
      </c>
      <c r="L57" s="157">
        <v>2986318</v>
      </c>
    </row>
    <row r="58" spans="1:12" ht="51" x14ac:dyDescent="0.3">
      <c r="A58" s="151" t="s">
        <v>76</v>
      </c>
      <c r="B58" s="152" t="s">
        <v>443</v>
      </c>
      <c r="C58" s="152" t="s">
        <v>33</v>
      </c>
      <c r="D58" s="152" t="s">
        <v>447</v>
      </c>
      <c r="E58" s="153" t="s">
        <v>34</v>
      </c>
      <c r="F58" s="159" t="s">
        <v>27</v>
      </c>
      <c r="G58" s="159"/>
      <c r="H58" s="153" t="s">
        <v>26</v>
      </c>
      <c r="I58" s="160">
        <v>2213.87</v>
      </c>
      <c r="J58" s="160"/>
      <c r="K58" s="156" t="s">
        <v>21</v>
      </c>
      <c r="L58" s="157">
        <v>2984104.13</v>
      </c>
    </row>
    <row r="59" spans="1:12" ht="51" x14ac:dyDescent="0.3">
      <c r="A59" s="151" t="s">
        <v>76</v>
      </c>
      <c r="B59" s="152" t="s">
        <v>443</v>
      </c>
      <c r="C59" s="152" t="s">
        <v>33</v>
      </c>
      <c r="D59" s="152" t="s">
        <v>422</v>
      </c>
      <c r="E59" s="153" t="s">
        <v>34</v>
      </c>
      <c r="F59" s="159" t="s">
        <v>27</v>
      </c>
      <c r="G59" s="159"/>
      <c r="H59" s="153" t="s">
        <v>26</v>
      </c>
      <c r="I59" s="161">
        <v>111.04</v>
      </c>
      <c r="J59" s="161"/>
      <c r="K59" s="156" t="s">
        <v>21</v>
      </c>
      <c r="L59" s="157">
        <v>2983993.09</v>
      </c>
    </row>
    <row r="60" spans="1:12" ht="51" x14ac:dyDescent="0.3">
      <c r="A60" s="151" t="s">
        <v>76</v>
      </c>
      <c r="B60" s="152" t="s">
        <v>443</v>
      </c>
      <c r="C60" s="152" t="s">
        <v>33</v>
      </c>
      <c r="D60" s="152" t="s">
        <v>424</v>
      </c>
      <c r="E60" s="153" t="s">
        <v>34</v>
      </c>
      <c r="F60" s="159" t="s">
        <v>27</v>
      </c>
      <c r="G60" s="159"/>
      <c r="H60" s="153" t="s">
        <v>26</v>
      </c>
      <c r="I60" s="161">
        <v>321.04000000000002</v>
      </c>
      <c r="J60" s="161"/>
      <c r="K60" s="156" t="s">
        <v>21</v>
      </c>
      <c r="L60" s="157">
        <v>2983672.05</v>
      </c>
    </row>
    <row r="61" spans="1:12" ht="51" x14ac:dyDescent="0.3">
      <c r="A61" s="151" t="s">
        <v>76</v>
      </c>
      <c r="B61" s="152" t="s">
        <v>443</v>
      </c>
      <c r="C61" s="152" t="s">
        <v>33</v>
      </c>
      <c r="D61" s="152" t="s">
        <v>426</v>
      </c>
      <c r="E61" s="153" t="s">
        <v>34</v>
      </c>
      <c r="F61" s="159" t="s">
        <v>27</v>
      </c>
      <c r="G61" s="159"/>
      <c r="H61" s="153" t="s">
        <v>26</v>
      </c>
      <c r="I61" s="161">
        <v>117.16</v>
      </c>
      <c r="J61" s="161"/>
      <c r="K61" s="156" t="s">
        <v>21</v>
      </c>
      <c r="L61" s="157">
        <v>2983554.89</v>
      </c>
    </row>
    <row r="62" spans="1:12" ht="71.400000000000006" x14ac:dyDescent="0.3">
      <c r="A62" s="151" t="s">
        <v>76</v>
      </c>
      <c r="B62" s="152" t="s">
        <v>448</v>
      </c>
      <c r="C62" s="152" t="s">
        <v>33</v>
      </c>
      <c r="D62" s="152" t="s">
        <v>449</v>
      </c>
      <c r="E62" s="153" t="s">
        <v>34</v>
      </c>
      <c r="F62" s="159" t="s">
        <v>27</v>
      </c>
      <c r="G62" s="159"/>
      <c r="H62" s="153" t="s">
        <v>26</v>
      </c>
      <c r="I62" s="160">
        <v>155878.21</v>
      </c>
      <c r="J62" s="160"/>
      <c r="K62" s="156" t="s">
        <v>21</v>
      </c>
      <c r="L62" s="157">
        <v>2827676.68</v>
      </c>
    </row>
    <row r="63" spans="1:12" ht="71.400000000000006" x14ac:dyDescent="0.3">
      <c r="A63" s="151" t="s">
        <v>76</v>
      </c>
      <c r="B63" s="152" t="s">
        <v>448</v>
      </c>
      <c r="C63" s="152" t="s">
        <v>33</v>
      </c>
      <c r="D63" s="152" t="s">
        <v>437</v>
      </c>
      <c r="E63" s="153" t="s">
        <v>34</v>
      </c>
      <c r="F63" s="159" t="s">
        <v>27</v>
      </c>
      <c r="G63" s="159"/>
      <c r="H63" s="153" t="s">
        <v>26</v>
      </c>
      <c r="I63" s="160">
        <v>20258.27</v>
      </c>
      <c r="J63" s="160"/>
      <c r="K63" s="156" t="s">
        <v>21</v>
      </c>
      <c r="L63" s="157">
        <v>2807418.41</v>
      </c>
    </row>
    <row r="64" spans="1:12" ht="71.400000000000006" x14ac:dyDescent="0.3">
      <c r="A64" s="151" t="s">
        <v>76</v>
      </c>
      <c r="B64" s="152" t="s">
        <v>448</v>
      </c>
      <c r="C64" s="152" t="s">
        <v>33</v>
      </c>
      <c r="D64" s="152" t="s">
        <v>450</v>
      </c>
      <c r="E64" s="153" t="s">
        <v>34</v>
      </c>
      <c r="F64" s="159" t="s">
        <v>27</v>
      </c>
      <c r="G64" s="159"/>
      <c r="H64" s="153" t="s">
        <v>26</v>
      </c>
      <c r="I64" s="160">
        <v>86103.07</v>
      </c>
      <c r="J64" s="160"/>
      <c r="K64" s="156" t="s">
        <v>21</v>
      </c>
      <c r="L64" s="157">
        <v>2721315.34</v>
      </c>
    </row>
    <row r="65" spans="1:12" ht="71.400000000000006" x14ac:dyDescent="0.3">
      <c r="A65" s="151" t="s">
        <v>76</v>
      </c>
      <c r="B65" s="152" t="s">
        <v>448</v>
      </c>
      <c r="C65" s="152" t="s">
        <v>33</v>
      </c>
      <c r="D65" s="152" t="s">
        <v>449</v>
      </c>
      <c r="E65" s="153" t="s">
        <v>34</v>
      </c>
      <c r="F65" s="159" t="s">
        <v>27</v>
      </c>
      <c r="G65" s="159"/>
      <c r="H65" s="153" t="s">
        <v>26</v>
      </c>
      <c r="I65" s="160">
        <v>27109.25</v>
      </c>
      <c r="J65" s="160"/>
      <c r="K65" s="156" t="s">
        <v>21</v>
      </c>
      <c r="L65" s="157">
        <v>2694206.09</v>
      </c>
    </row>
    <row r="66" spans="1:12" ht="71.400000000000006" x14ac:dyDescent="0.3">
      <c r="A66" s="151" t="s">
        <v>76</v>
      </c>
      <c r="B66" s="152" t="s">
        <v>448</v>
      </c>
      <c r="C66" s="152" t="s">
        <v>33</v>
      </c>
      <c r="D66" s="152" t="s">
        <v>451</v>
      </c>
      <c r="E66" s="153" t="s">
        <v>34</v>
      </c>
      <c r="F66" s="159" t="s">
        <v>27</v>
      </c>
      <c r="G66" s="159"/>
      <c r="H66" s="153" t="s">
        <v>26</v>
      </c>
      <c r="I66" s="160">
        <v>16228.08</v>
      </c>
      <c r="J66" s="160"/>
      <c r="K66" s="156" t="s">
        <v>21</v>
      </c>
      <c r="L66" s="157">
        <v>2677978.0099999998</v>
      </c>
    </row>
    <row r="67" spans="1:12" ht="71.400000000000006" x14ac:dyDescent="0.3">
      <c r="A67" s="151" t="s">
        <v>76</v>
      </c>
      <c r="B67" s="152" t="s">
        <v>448</v>
      </c>
      <c r="C67" s="152" t="s">
        <v>33</v>
      </c>
      <c r="D67" s="152" t="s">
        <v>415</v>
      </c>
      <c r="E67" s="153" t="s">
        <v>34</v>
      </c>
      <c r="F67" s="159" t="s">
        <v>27</v>
      </c>
      <c r="G67" s="159"/>
      <c r="H67" s="153" t="s">
        <v>26</v>
      </c>
      <c r="I67" s="160">
        <v>12459.75</v>
      </c>
      <c r="J67" s="160"/>
      <c r="K67" s="156" t="s">
        <v>21</v>
      </c>
      <c r="L67" s="157">
        <v>2665518.2599999998</v>
      </c>
    </row>
    <row r="68" spans="1:12" ht="61.2" x14ac:dyDescent="0.3">
      <c r="A68" s="151" t="s">
        <v>76</v>
      </c>
      <c r="B68" s="152" t="s">
        <v>448</v>
      </c>
      <c r="C68" s="152" t="s">
        <v>33</v>
      </c>
      <c r="D68" s="152" t="s">
        <v>417</v>
      </c>
      <c r="E68" s="153" t="s">
        <v>34</v>
      </c>
      <c r="F68" s="159" t="s">
        <v>27</v>
      </c>
      <c r="G68" s="159"/>
      <c r="H68" s="153" t="s">
        <v>26</v>
      </c>
      <c r="I68" s="160">
        <v>1453.57</v>
      </c>
      <c r="J68" s="160"/>
      <c r="K68" s="156" t="s">
        <v>21</v>
      </c>
      <c r="L68" s="157">
        <v>2664064.69</v>
      </c>
    </row>
    <row r="69" spans="1:12" ht="61.2" x14ac:dyDescent="0.3">
      <c r="A69" s="151" t="s">
        <v>76</v>
      </c>
      <c r="B69" s="152" t="s">
        <v>448</v>
      </c>
      <c r="C69" s="152" t="s">
        <v>33</v>
      </c>
      <c r="D69" s="152" t="s">
        <v>452</v>
      </c>
      <c r="E69" s="153" t="s">
        <v>34</v>
      </c>
      <c r="F69" s="159" t="s">
        <v>27</v>
      </c>
      <c r="G69" s="159"/>
      <c r="H69" s="153" t="s">
        <v>26</v>
      </c>
      <c r="I69" s="160">
        <v>1512.68</v>
      </c>
      <c r="J69" s="160"/>
      <c r="K69" s="156" t="s">
        <v>21</v>
      </c>
      <c r="L69" s="157">
        <v>2662552.0099999998</v>
      </c>
    </row>
    <row r="70" spans="1:12" ht="61.2" x14ac:dyDescent="0.3">
      <c r="A70" s="151" t="s">
        <v>76</v>
      </c>
      <c r="B70" s="152" t="s">
        <v>448</v>
      </c>
      <c r="C70" s="152" t="s">
        <v>33</v>
      </c>
      <c r="D70" s="152" t="s">
        <v>439</v>
      </c>
      <c r="E70" s="153" t="s">
        <v>34</v>
      </c>
      <c r="F70" s="159" t="s">
        <v>27</v>
      </c>
      <c r="G70" s="159"/>
      <c r="H70" s="153" t="s">
        <v>26</v>
      </c>
      <c r="I70" s="160">
        <v>6033.3</v>
      </c>
      <c r="J70" s="160"/>
      <c r="K70" s="156" t="s">
        <v>21</v>
      </c>
      <c r="L70" s="157">
        <v>2656518.71</v>
      </c>
    </row>
    <row r="71" spans="1:12" ht="61.2" x14ac:dyDescent="0.3">
      <c r="A71" s="151" t="s">
        <v>76</v>
      </c>
      <c r="B71" s="152" t="s">
        <v>448</v>
      </c>
      <c r="C71" s="152" t="s">
        <v>33</v>
      </c>
      <c r="D71" s="152" t="s">
        <v>453</v>
      </c>
      <c r="E71" s="153" t="s">
        <v>34</v>
      </c>
      <c r="F71" s="159" t="s">
        <v>27</v>
      </c>
      <c r="G71" s="159"/>
      <c r="H71" s="153" t="s">
        <v>26</v>
      </c>
      <c r="I71" s="161">
        <v>636.72</v>
      </c>
      <c r="J71" s="161"/>
      <c r="K71" s="156" t="s">
        <v>21</v>
      </c>
      <c r="L71" s="157">
        <v>2655881.9900000002</v>
      </c>
    </row>
    <row r="72" spans="1:12" ht="51" x14ac:dyDescent="0.3">
      <c r="A72" s="151" t="s">
        <v>76</v>
      </c>
      <c r="B72" s="152" t="s">
        <v>448</v>
      </c>
      <c r="C72" s="152" t="s">
        <v>33</v>
      </c>
      <c r="D72" s="152" t="s">
        <v>454</v>
      </c>
      <c r="E72" s="153" t="s">
        <v>34</v>
      </c>
      <c r="F72" s="159" t="s">
        <v>27</v>
      </c>
      <c r="G72" s="159"/>
      <c r="H72" s="153" t="s">
        <v>26</v>
      </c>
      <c r="I72" s="161">
        <v>958.33</v>
      </c>
      <c r="J72" s="161"/>
      <c r="K72" s="156" t="s">
        <v>21</v>
      </c>
      <c r="L72" s="157">
        <v>2654923.66</v>
      </c>
    </row>
    <row r="73" spans="1:12" ht="51" x14ac:dyDescent="0.3">
      <c r="A73" s="151" t="s">
        <v>76</v>
      </c>
      <c r="B73" s="152" t="s">
        <v>448</v>
      </c>
      <c r="C73" s="152" t="s">
        <v>33</v>
      </c>
      <c r="D73" s="152" t="s">
        <v>455</v>
      </c>
      <c r="E73" s="153" t="s">
        <v>34</v>
      </c>
      <c r="F73" s="159" t="s">
        <v>27</v>
      </c>
      <c r="G73" s="159"/>
      <c r="H73" s="153" t="s">
        <v>26</v>
      </c>
      <c r="I73" s="160">
        <v>31250</v>
      </c>
      <c r="J73" s="160"/>
      <c r="K73" s="156" t="s">
        <v>21</v>
      </c>
      <c r="L73" s="157">
        <v>2623673.66</v>
      </c>
    </row>
    <row r="74" spans="1:12" ht="51" x14ac:dyDescent="0.3">
      <c r="A74" s="151" t="s">
        <v>76</v>
      </c>
      <c r="B74" s="152" t="s">
        <v>456</v>
      </c>
      <c r="C74" s="152" t="s">
        <v>33</v>
      </c>
      <c r="D74" s="152" t="s">
        <v>457</v>
      </c>
      <c r="E74" s="153" t="s">
        <v>34</v>
      </c>
      <c r="F74" s="159" t="s">
        <v>27</v>
      </c>
      <c r="G74" s="159"/>
      <c r="H74" s="153" t="s">
        <v>26</v>
      </c>
      <c r="I74" s="161">
        <v>300.23</v>
      </c>
      <c r="J74" s="161"/>
      <c r="K74" s="156" t="s">
        <v>21</v>
      </c>
      <c r="L74" s="157">
        <v>2623373.4300000002</v>
      </c>
    </row>
    <row r="75" spans="1:12" ht="51" x14ac:dyDescent="0.3">
      <c r="A75" s="151" t="s">
        <v>76</v>
      </c>
      <c r="B75" s="152" t="s">
        <v>458</v>
      </c>
      <c r="C75" s="152" t="s">
        <v>33</v>
      </c>
      <c r="D75" s="152" t="s">
        <v>459</v>
      </c>
      <c r="E75" s="153" t="s">
        <v>34</v>
      </c>
      <c r="F75" s="159" t="s">
        <v>27</v>
      </c>
      <c r="G75" s="159"/>
      <c r="H75" s="153" t="s">
        <v>26</v>
      </c>
      <c r="I75" s="161">
        <v>617.65</v>
      </c>
      <c r="J75" s="161"/>
      <c r="K75" s="156" t="s">
        <v>21</v>
      </c>
      <c r="L75" s="157">
        <v>2622755.7799999998</v>
      </c>
    </row>
    <row r="76" spans="1:12" ht="51" x14ac:dyDescent="0.3">
      <c r="A76" s="151" t="s">
        <v>76</v>
      </c>
      <c r="B76" s="152" t="s">
        <v>458</v>
      </c>
      <c r="C76" s="152" t="s">
        <v>33</v>
      </c>
      <c r="D76" s="152" t="s">
        <v>460</v>
      </c>
      <c r="E76" s="153" t="s">
        <v>34</v>
      </c>
      <c r="F76" s="159" t="s">
        <v>27</v>
      </c>
      <c r="G76" s="159"/>
      <c r="H76" s="153" t="s">
        <v>26</v>
      </c>
      <c r="I76" s="161">
        <v>201.04</v>
      </c>
      <c r="J76" s="161"/>
      <c r="K76" s="156" t="s">
        <v>21</v>
      </c>
      <c r="L76" s="157">
        <v>2622554.7400000002</v>
      </c>
    </row>
    <row r="77" spans="1:12" ht="51" x14ac:dyDescent="0.3">
      <c r="A77" s="151" t="s">
        <v>76</v>
      </c>
      <c r="B77" s="152" t="s">
        <v>458</v>
      </c>
      <c r="C77" s="152" t="s">
        <v>33</v>
      </c>
      <c r="D77" s="152" t="s">
        <v>461</v>
      </c>
      <c r="E77" s="153" t="s">
        <v>34</v>
      </c>
      <c r="F77" s="159" t="s">
        <v>27</v>
      </c>
      <c r="G77" s="159"/>
      <c r="H77" s="153" t="s">
        <v>26</v>
      </c>
      <c r="I77" s="160">
        <v>6990.51</v>
      </c>
      <c r="J77" s="160"/>
      <c r="K77" s="156" t="s">
        <v>21</v>
      </c>
      <c r="L77" s="157">
        <v>2615564.23</v>
      </c>
    </row>
    <row r="78" spans="1:12" ht="51" x14ac:dyDescent="0.3">
      <c r="A78" s="151" t="s">
        <v>76</v>
      </c>
      <c r="B78" s="152" t="s">
        <v>458</v>
      </c>
      <c r="C78" s="152" t="s">
        <v>33</v>
      </c>
      <c r="D78" s="152" t="s">
        <v>460</v>
      </c>
      <c r="E78" s="153" t="s">
        <v>34</v>
      </c>
      <c r="F78" s="159" t="s">
        <v>27</v>
      </c>
      <c r="G78" s="159"/>
      <c r="H78" s="153" t="s">
        <v>26</v>
      </c>
      <c r="I78" s="161">
        <v>100.52</v>
      </c>
      <c r="J78" s="161"/>
      <c r="K78" s="156" t="s">
        <v>21</v>
      </c>
      <c r="L78" s="157">
        <v>2615463.71</v>
      </c>
    </row>
    <row r="79" spans="1:12" ht="51" x14ac:dyDescent="0.3">
      <c r="A79" s="151" t="s">
        <v>76</v>
      </c>
      <c r="B79" s="152" t="s">
        <v>458</v>
      </c>
      <c r="C79" s="152" t="s">
        <v>33</v>
      </c>
      <c r="D79" s="152" t="s">
        <v>462</v>
      </c>
      <c r="E79" s="153" t="s">
        <v>34</v>
      </c>
      <c r="F79" s="159" t="s">
        <v>27</v>
      </c>
      <c r="G79" s="159"/>
      <c r="H79" s="153" t="s">
        <v>26</v>
      </c>
      <c r="I79" s="161">
        <v>855</v>
      </c>
      <c r="J79" s="161"/>
      <c r="K79" s="156" t="s">
        <v>21</v>
      </c>
      <c r="L79" s="157">
        <v>2614608.71</v>
      </c>
    </row>
    <row r="80" spans="1:12" ht="51" hidden="1" x14ac:dyDescent="0.3">
      <c r="A80" s="151" t="s">
        <v>115</v>
      </c>
      <c r="B80" s="152" t="s">
        <v>463</v>
      </c>
      <c r="C80" s="152" t="s">
        <v>360</v>
      </c>
      <c r="D80" s="152" t="s">
        <v>464</v>
      </c>
      <c r="E80" s="153" t="s">
        <v>26</v>
      </c>
      <c r="F80" s="159" t="s">
        <v>27</v>
      </c>
      <c r="G80" s="159"/>
      <c r="H80" s="153" t="s">
        <v>26</v>
      </c>
      <c r="I80" s="160">
        <v>1841.1</v>
      </c>
      <c r="J80" s="160"/>
      <c r="K80" s="156" t="s">
        <v>21</v>
      </c>
      <c r="L80" s="157">
        <v>2612767.61</v>
      </c>
    </row>
    <row r="81" spans="1:12" ht="71.400000000000006" x14ac:dyDescent="0.3">
      <c r="A81" s="151" t="s">
        <v>115</v>
      </c>
      <c r="B81" s="152" t="s">
        <v>465</v>
      </c>
      <c r="C81" s="152" t="s">
        <v>33</v>
      </c>
      <c r="D81" s="152" t="s">
        <v>466</v>
      </c>
      <c r="E81" s="153" t="s">
        <v>34</v>
      </c>
      <c r="F81" s="159" t="s">
        <v>27</v>
      </c>
      <c r="G81" s="159"/>
      <c r="H81" s="153" t="s">
        <v>26</v>
      </c>
      <c r="I81" s="160">
        <v>5643.98</v>
      </c>
      <c r="J81" s="160"/>
      <c r="K81" s="156" t="s">
        <v>21</v>
      </c>
      <c r="L81" s="157">
        <v>2607123.63</v>
      </c>
    </row>
    <row r="82" spans="1:12" ht="71.400000000000006" x14ac:dyDescent="0.3">
      <c r="A82" s="151" t="s">
        <v>115</v>
      </c>
      <c r="B82" s="152" t="s">
        <v>465</v>
      </c>
      <c r="C82" s="152" t="s">
        <v>33</v>
      </c>
      <c r="D82" s="152" t="s">
        <v>467</v>
      </c>
      <c r="E82" s="153" t="s">
        <v>34</v>
      </c>
      <c r="F82" s="159" t="s">
        <v>27</v>
      </c>
      <c r="G82" s="159"/>
      <c r="H82" s="153" t="s">
        <v>26</v>
      </c>
      <c r="I82" s="160">
        <v>8233.31</v>
      </c>
      <c r="J82" s="160"/>
      <c r="K82" s="156" t="s">
        <v>21</v>
      </c>
      <c r="L82" s="157">
        <v>2598890.3199999998</v>
      </c>
    </row>
    <row r="83" spans="1:12" ht="71.400000000000006" x14ac:dyDescent="0.3">
      <c r="A83" s="151" t="s">
        <v>115</v>
      </c>
      <c r="B83" s="152" t="s">
        <v>465</v>
      </c>
      <c r="C83" s="152" t="s">
        <v>33</v>
      </c>
      <c r="D83" s="152" t="s">
        <v>434</v>
      </c>
      <c r="E83" s="153" t="s">
        <v>34</v>
      </c>
      <c r="F83" s="159" t="s">
        <v>27</v>
      </c>
      <c r="G83" s="159"/>
      <c r="H83" s="153" t="s">
        <v>26</v>
      </c>
      <c r="I83" s="160">
        <v>103653.01</v>
      </c>
      <c r="J83" s="160"/>
      <c r="K83" s="156" t="s">
        <v>21</v>
      </c>
      <c r="L83" s="157">
        <v>2495237.31</v>
      </c>
    </row>
    <row r="84" spans="1:12" ht="71.400000000000006" x14ac:dyDescent="0.3">
      <c r="A84" s="151" t="s">
        <v>115</v>
      </c>
      <c r="B84" s="152" t="s">
        <v>465</v>
      </c>
      <c r="C84" s="152" t="s">
        <v>33</v>
      </c>
      <c r="D84" s="152" t="s">
        <v>435</v>
      </c>
      <c r="E84" s="153" t="s">
        <v>34</v>
      </c>
      <c r="F84" s="159" t="s">
        <v>27</v>
      </c>
      <c r="G84" s="159"/>
      <c r="H84" s="153" t="s">
        <v>26</v>
      </c>
      <c r="I84" s="160">
        <v>50808.18</v>
      </c>
      <c r="J84" s="160"/>
      <c r="K84" s="156" t="s">
        <v>21</v>
      </c>
      <c r="L84" s="157">
        <v>2444429.13</v>
      </c>
    </row>
    <row r="85" spans="1:12" ht="71.400000000000006" x14ac:dyDescent="0.3">
      <c r="A85" s="151" t="s">
        <v>115</v>
      </c>
      <c r="B85" s="152" t="s">
        <v>465</v>
      </c>
      <c r="C85" s="152" t="s">
        <v>33</v>
      </c>
      <c r="D85" s="152" t="s">
        <v>437</v>
      </c>
      <c r="E85" s="153" t="s">
        <v>34</v>
      </c>
      <c r="F85" s="159" t="s">
        <v>27</v>
      </c>
      <c r="G85" s="159"/>
      <c r="H85" s="153" t="s">
        <v>26</v>
      </c>
      <c r="I85" s="160">
        <v>4051.65</v>
      </c>
      <c r="J85" s="160"/>
      <c r="K85" s="156" t="s">
        <v>21</v>
      </c>
      <c r="L85" s="157">
        <v>2440377.48</v>
      </c>
    </row>
    <row r="86" spans="1:12" ht="71.400000000000006" x14ac:dyDescent="0.3">
      <c r="A86" s="151" t="s">
        <v>115</v>
      </c>
      <c r="B86" s="152" t="s">
        <v>465</v>
      </c>
      <c r="C86" s="152" t="s">
        <v>33</v>
      </c>
      <c r="D86" s="152" t="s">
        <v>438</v>
      </c>
      <c r="E86" s="153" t="s">
        <v>34</v>
      </c>
      <c r="F86" s="159" t="s">
        <v>27</v>
      </c>
      <c r="G86" s="159"/>
      <c r="H86" s="153" t="s">
        <v>26</v>
      </c>
      <c r="I86" s="160">
        <v>2870.82</v>
      </c>
      <c r="J86" s="160"/>
      <c r="K86" s="156" t="s">
        <v>21</v>
      </c>
      <c r="L86" s="157">
        <v>2437506.66</v>
      </c>
    </row>
    <row r="87" spans="1:12" ht="71.400000000000006" x14ac:dyDescent="0.3">
      <c r="A87" s="151" t="s">
        <v>115</v>
      </c>
      <c r="B87" s="152" t="s">
        <v>465</v>
      </c>
      <c r="C87" s="152" t="s">
        <v>33</v>
      </c>
      <c r="D87" s="152" t="s">
        <v>468</v>
      </c>
      <c r="E87" s="153" t="s">
        <v>34</v>
      </c>
      <c r="F87" s="159" t="s">
        <v>27</v>
      </c>
      <c r="G87" s="159"/>
      <c r="H87" s="153" t="s">
        <v>26</v>
      </c>
      <c r="I87" s="160">
        <v>4983.32</v>
      </c>
      <c r="J87" s="160"/>
      <c r="K87" s="156" t="s">
        <v>21</v>
      </c>
      <c r="L87" s="157">
        <v>2432523.34</v>
      </c>
    </row>
    <row r="88" spans="1:12" ht="71.400000000000006" x14ac:dyDescent="0.3">
      <c r="A88" s="151" t="s">
        <v>115</v>
      </c>
      <c r="B88" s="152" t="s">
        <v>465</v>
      </c>
      <c r="C88" s="152" t="s">
        <v>33</v>
      </c>
      <c r="D88" s="152" t="s">
        <v>450</v>
      </c>
      <c r="E88" s="153" t="s">
        <v>34</v>
      </c>
      <c r="F88" s="159" t="s">
        <v>27</v>
      </c>
      <c r="G88" s="159"/>
      <c r="H88" s="153" t="s">
        <v>26</v>
      </c>
      <c r="I88" s="160">
        <v>33063.230000000003</v>
      </c>
      <c r="J88" s="160"/>
      <c r="K88" s="156" t="s">
        <v>21</v>
      </c>
      <c r="L88" s="157">
        <v>2399460.11</v>
      </c>
    </row>
    <row r="89" spans="1:12" ht="71.400000000000006" x14ac:dyDescent="0.3">
      <c r="A89" s="151" t="s">
        <v>115</v>
      </c>
      <c r="B89" s="152" t="s">
        <v>465</v>
      </c>
      <c r="C89" s="152" t="s">
        <v>33</v>
      </c>
      <c r="D89" s="152" t="s">
        <v>469</v>
      </c>
      <c r="E89" s="153" t="s">
        <v>34</v>
      </c>
      <c r="F89" s="159" t="s">
        <v>27</v>
      </c>
      <c r="G89" s="159"/>
      <c r="H89" s="153" t="s">
        <v>26</v>
      </c>
      <c r="I89" s="160">
        <v>5394.98</v>
      </c>
      <c r="J89" s="160"/>
      <c r="K89" s="156" t="s">
        <v>21</v>
      </c>
      <c r="L89" s="157">
        <v>2394065.13</v>
      </c>
    </row>
    <row r="90" spans="1:12" ht="71.400000000000006" x14ac:dyDescent="0.3">
      <c r="A90" s="151" t="s">
        <v>115</v>
      </c>
      <c r="B90" s="152" t="s">
        <v>465</v>
      </c>
      <c r="C90" s="152" t="s">
        <v>33</v>
      </c>
      <c r="D90" s="152" t="s">
        <v>434</v>
      </c>
      <c r="E90" s="153" t="s">
        <v>34</v>
      </c>
      <c r="F90" s="159" t="s">
        <v>27</v>
      </c>
      <c r="G90" s="159"/>
      <c r="H90" s="153" t="s">
        <v>26</v>
      </c>
      <c r="I90" s="160">
        <v>15870.78</v>
      </c>
      <c r="J90" s="160"/>
      <c r="K90" s="156" t="s">
        <v>21</v>
      </c>
      <c r="L90" s="157">
        <v>2378194.35</v>
      </c>
    </row>
    <row r="91" spans="1:12" ht="71.400000000000006" x14ac:dyDescent="0.3">
      <c r="A91" s="151" t="s">
        <v>115</v>
      </c>
      <c r="B91" s="152" t="s">
        <v>465</v>
      </c>
      <c r="C91" s="152" t="s">
        <v>33</v>
      </c>
      <c r="D91" s="152" t="s">
        <v>451</v>
      </c>
      <c r="E91" s="153" t="s">
        <v>34</v>
      </c>
      <c r="F91" s="159" t="s">
        <v>27</v>
      </c>
      <c r="G91" s="159"/>
      <c r="H91" s="153" t="s">
        <v>26</v>
      </c>
      <c r="I91" s="160">
        <v>16440.91</v>
      </c>
      <c r="J91" s="160"/>
      <c r="K91" s="156" t="s">
        <v>21</v>
      </c>
      <c r="L91" s="157">
        <v>2361753.44</v>
      </c>
    </row>
    <row r="92" spans="1:12" ht="71.400000000000006" x14ac:dyDescent="0.3">
      <c r="A92" s="151" t="s">
        <v>115</v>
      </c>
      <c r="B92" s="152" t="s">
        <v>465</v>
      </c>
      <c r="C92" s="152" t="s">
        <v>33</v>
      </c>
      <c r="D92" s="152" t="s">
        <v>412</v>
      </c>
      <c r="E92" s="153" t="s">
        <v>34</v>
      </c>
      <c r="F92" s="159" t="s">
        <v>27</v>
      </c>
      <c r="G92" s="159"/>
      <c r="H92" s="153" t="s">
        <v>26</v>
      </c>
      <c r="I92" s="160">
        <v>7757.18</v>
      </c>
      <c r="J92" s="160"/>
      <c r="K92" s="156" t="s">
        <v>21</v>
      </c>
      <c r="L92" s="157">
        <v>2353996.2599999998</v>
      </c>
    </row>
    <row r="93" spans="1:12" ht="71.400000000000006" x14ac:dyDescent="0.3">
      <c r="A93" s="151" t="s">
        <v>115</v>
      </c>
      <c r="B93" s="152" t="s">
        <v>465</v>
      </c>
      <c r="C93" s="152" t="s">
        <v>33</v>
      </c>
      <c r="D93" s="152" t="s">
        <v>415</v>
      </c>
      <c r="E93" s="153" t="s">
        <v>34</v>
      </c>
      <c r="F93" s="159" t="s">
        <v>27</v>
      </c>
      <c r="G93" s="159"/>
      <c r="H93" s="153" t="s">
        <v>26</v>
      </c>
      <c r="I93" s="160">
        <v>8297.25</v>
      </c>
      <c r="J93" s="160"/>
      <c r="K93" s="156" t="s">
        <v>21</v>
      </c>
      <c r="L93" s="157">
        <v>2345699.0099999998</v>
      </c>
    </row>
    <row r="94" spans="1:12" ht="71.400000000000006" x14ac:dyDescent="0.3">
      <c r="A94" s="151" t="s">
        <v>115</v>
      </c>
      <c r="B94" s="152" t="s">
        <v>465</v>
      </c>
      <c r="C94" s="152" t="s">
        <v>33</v>
      </c>
      <c r="D94" s="152" t="s">
        <v>416</v>
      </c>
      <c r="E94" s="153" t="s">
        <v>34</v>
      </c>
      <c r="F94" s="159" t="s">
        <v>27</v>
      </c>
      <c r="G94" s="159"/>
      <c r="H94" s="153" t="s">
        <v>26</v>
      </c>
      <c r="I94" s="160">
        <v>17038.5</v>
      </c>
      <c r="J94" s="160"/>
      <c r="K94" s="156" t="s">
        <v>21</v>
      </c>
      <c r="L94" s="157">
        <v>2328660.5099999998</v>
      </c>
    </row>
    <row r="95" spans="1:12" ht="61.2" x14ac:dyDescent="0.3">
      <c r="A95" s="151" t="s">
        <v>115</v>
      </c>
      <c r="B95" s="152" t="s">
        <v>465</v>
      </c>
      <c r="C95" s="152" t="s">
        <v>33</v>
      </c>
      <c r="D95" s="152" t="s">
        <v>452</v>
      </c>
      <c r="E95" s="153" t="s">
        <v>34</v>
      </c>
      <c r="F95" s="159" t="s">
        <v>27</v>
      </c>
      <c r="G95" s="159"/>
      <c r="H95" s="153" t="s">
        <v>26</v>
      </c>
      <c r="I95" s="160">
        <v>1453.55</v>
      </c>
      <c r="J95" s="160"/>
      <c r="K95" s="156" t="s">
        <v>21</v>
      </c>
      <c r="L95" s="157">
        <v>2327206.96</v>
      </c>
    </row>
    <row r="96" spans="1:12" ht="51" x14ac:dyDescent="0.3">
      <c r="A96" s="151" t="s">
        <v>115</v>
      </c>
      <c r="B96" s="152" t="s">
        <v>465</v>
      </c>
      <c r="C96" s="152" t="s">
        <v>33</v>
      </c>
      <c r="D96" s="152" t="s">
        <v>418</v>
      </c>
      <c r="E96" s="153" t="s">
        <v>34</v>
      </c>
      <c r="F96" s="159" t="s">
        <v>27</v>
      </c>
      <c r="G96" s="159"/>
      <c r="H96" s="153" t="s">
        <v>26</v>
      </c>
      <c r="I96" s="160">
        <v>22395.75</v>
      </c>
      <c r="J96" s="160"/>
      <c r="K96" s="156" t="s">
        <v>21</v>
      </c>
      <c r="L96" s="157">
        <v>2304811.21</v>
      </c>
    </row>
    <row r="97" spans="1:12" ht="61.2" x14ac:dyDescent="0.3">
      <c r="A97" s="151" t="s">
        <v>115</v>
      </c>
      <c r="B97" s="152" t="s">
        <v>465</v>
      </c>
      <c r="C97" s="152" t="s">
        <v>33</v>
      </c>
      <c r="D97" s="152" t="s">
        <v>470</v>
      </c>
      <c r="E97" s="153" t="s">
        <v>34</v>
      </c>
      <c r="F97" s="159" t="s">
        <v>27</v>
      </c>
      <c r="G97" s="159"/>
      <c r="H97" s="153" t="s">
        <v>26</v>
      </c>
      <c r="I97" s="161">
        <v>325</v>
      </c>
      <c r="J97" s="161"/>
      <c r="K97" s="156" t="s">
        <v>21</v>
      </c>
      <c r="L97" s="157">
        <v>2304486.21</v>
      </c>
    </row>
    <row r="98" spans="1:12" ht="61.2" x14ac:dyDescent="0.3">
      <c r="A98" s="151" t="s">
        <v>115</v>
      </c>
      <c r="B98" s="152" t="s">
        <v>465</v>
      </c>
      <c r="C98" s="152" t="s">
        <v>33</v>
      </c>
      <c r="D98" s="152" t="s">
        <v>419</v>
      </c>
      <c r="E98" s="153" t="s">
        <v>34</v>
      </c>
      <c r="F98" s="159" t="s">
        <v>27</v>
      </c>
      <c r="G98" s="159"/>
      <c r="H98" s="153" t="s">
        <v>26</v>
      </c>
      <c r="I98" s="160">
        <v>8276.73</v>
      </c>
      <c r="J98" s="160"/>
      <c r="K98" s="156" t="s">
        <v>21</v>
      </c>
      <c r="L98" s="157">
        <v>2296209.48</v>
      </c>
    </row>
    <row r="99" spans="1:12" ht="61.2" x14ac:dyDescent="0.3">
      <c r="A99" s="151" t="s">
        <v>115</v>
      </c>
      <c r="B99" s="152" t="s">
        <v>465</v>
      </c>
      <c r="C99" s="152" t="s">
        <v>33</v>
      </c>
      <c r="D99" s="152" t="s">
        <v>420</v>
      </c>
      <c r="E99" s="153" t="s">
        <v>34</v>
      </c>
      <c r="F99" s="159" t="s">
        <v>27</v>
      </c>
      <c r="G99" s="159"/>
      <c r="H99" s="153" t="s">
        <v>26</v>
      </c>
      <c r="I99" s="160">
        <v>40129.599999999999</v>
      </c>
      <c r="J99" s="160"/>
      <c r="K99" s="156" t="s">
        <v>21</v>
      </c>
      <c r="L99" s="157">
        <v>2256079.88</v>
      </c>
    </row>
    <row r="100" spans="1:12" ht="61.2" x14ac:dyDescent="0.3">
      <c r="A100" s="151" t="s">
        <v>115</v>
      </c>
      <c r="B100" s="152" t="s">
        <v>465</v>
      </c>
      <c r="C100" s="152" t="s">
        <v>33</v>
      </c>
      <c r="D100" s="152" t="s">
        <v>471</v>
      </c>
      <c r="E100" s="153" t="s">
        <v>34</v>
      </c>
      <c r="F100" s="159" t="s">
        <v>27</v>
      </c>
      <c r="G100" s="159"/>
      <c r="H100" s="153" t="s">
        <v>26</v>
      </c>
      <c r="I100" s="160">
        <v>10834</v>
      </c>
      <c r="J100" s="160"/>
      <c r="K100" s="156" t="s">
        <v>21</v>
      </c>
      <c r="L100" s="157">
        <v>2245245.88</v>
      </c>
    </row>
    <row r="101" spans="1:12" ht="61.2" x14ac:dyDescent="0.3">
      <c r="A101" s="151" t="s">
        <v>115</v>
      </c>
      <c r="B101" s="152" t="s">
        <v>465</v>
      </c>
      <c r="C101" s="152" t="s">
        <v>33</v>
      </c>
      <c r="D101" s="152" t="s">
        <v>472</v>
      </c>
      <c r="E101" s="153" t="s">
        <v>34</v>
      </c>
      <c r="F101" s="159" t="s">
        <v>27</v>
      </c>
      <c r="G101" s="159"/>
      <c r="H101" s="153" t="s">
        <v>26</v>
      </c>
      <c r="I101" s="160">
        <v>21668</v>
      </c>
      <c r="J101" s="160"/>
      <c r="K101" s="156" t="s">
        <v>21</v>
      </c>
      <c r="L101" s="157">
        <v>2223577.88</v>
      </c>
    </row>
    <row r="102" spans="1:12" ht="71.400000000000006" x14ac:dyDescent="0.3">
      <c r="A102" s="151" t="s">
        <v>115</v>
      </c>
      <c r="B102" s="152" t="s">
        <v>465</v>
      </c>
      <c r="C102" s="152" t="s">
        <v>33</v>
      </c>
      <c r="D102" s="152" t="s">
        <v>473</v>
      </c>
      <c r="E102" s="153" t="s">
        <v>34</v>
      </c>
      <c r="F102" s="159" t="s">
        <v>27</v>
      </c>
      <c r="G102" s="159"/>
      <c r="H102" s="153" t="s">
        <v>26</v>
      </c>
      <c r="I102" s="160">
        <v>20708.28</v>
      </c>
      <c r="J102" s="160"/>
      <c r="K102" s="156" t="s">
        <v>21</v>
      </c>
      <c r="L102" s="157">
        <v>2202869.6</v>
      </c>
    </row>
    <row r="103" spans="1:12" ht="71.400000000000006" x14ac:dyDescent="0.3">
      <c r="A103" s="151" t="s">
        <v>115</v>
      </c>
      <c r="B103" s="152" t="s">
        <v>465</v>
      </c>
      <c r="C103" s="152" t="s">
        <v>33</v>
      </c>
      <c r="D103" s="152" t="s">
        <v>474</v>
      </c>
      <c r="E103" s="153" t="s">
        <v>34</v>
      </c>
      <c r="F103" s="159" t="s">
        <v>27</v>
      </c>
      <c r="G103" s="159"/>
      <c r="H103" s="153" t="s">
        <v>26</v>
      </c>
      <c r="I103" s="160">
        <v>169985.35</v>
      </c>
      <c r="J103" s="160"/>
      <c r="K103" s="156" t="s">
        <v>21</v>
      </c>
      <c r="L103" s="157">
        <v>2032884.25</v>
      </c>
    </row>
    <row r="104" spans="1:12" ht="71.400000000000006" x14ac:dyDescent="0.3">
      <c r="A104" s="151" t="s">
        <v>115</v>
      </c>
      <c r="B104" s="152" t="s">
        <v>465</v>
      </c>
      <c r="C104" s="152" t="s">
        <v>33</v>
      </c>
      <c r="D104" s="152" t="s">
        <v>475</v>
      </c>
      <c r="E104" s="153" t="s">
        <v>34</v>
      </c>
      <c r="F104" s="159" t="s">
        <v>27</v>
      </c>
      <c r="G104" s="159"/>
      <c r="H104" s="153" t="s">
        <v>26</v>
      </c>
      <c r="I104" s="160">
        <v>340799.04</v>
      </c>
      <c r="J104" s="160"/>
      <c r="K104" s="156" t="s">
        <v>21</v>
      </c>
      <c r="L104" s="157">
        <v>1692085.21</v>
      </c>
    </row>
    <row r="105" spans="1:12" ht="71.400000000000006" x14ac:dyDescent="0.3">
      <c r="A105" s="151" t="s">
        <v>115</v>
      </c>
      <c r="B105" s="152" t="s">
        <v>465</v>
      </c>
      <c r="C105" s="152" t="s">
        <v>33</v>
      </c>
      <c r="D105" s="152" t="s">
        <v>476</v>
      </c>
      <c r="E105" s="153" t="s">
        <v>34</v>
      </c>
      <c r="F105" s="159" t="s">
        <v>27</v>
      </c>
      <c r="G105" s="159"/>
      <c r="H105" s="153" t="s">
        <v>26</v>
      </c>
      <c r="I105" s="160">
        <v>22719.94</v>
      </c>
      <c r="J105" s="160"/>
      <c r="K105" s="156" t="s">
        <v>21</v>
      </c>
      <c r="L105" s="157">
        <v>1669365.27</v>
      </c>
    </row>
    <row r="106" spans="1:12" ht="71.400000000000006" x14ac:dyDescent="0.3">
      <c r="A106" s="151" t="s">
        <v>115</v>
      </c>
      <c r="B106" s="152" t="s">
        <v>465</v>
      </c>
      <c r="C106" s="152" t="s">
        <v>33</v>
      </c>
      <c r="D106" s="152" t="s">
        <v>476</v>
      </c>
      <c r="E106" s="153" t="s">
        <v>34</v>
      </c>
      <c r="F106" s="159" t="s">
        <v>27</v>
      </c>
      <c r="G106" s="159"/>
      <c r="H106" s="153" t="s">
        <v>26</v>
      </c>
      <c r="I106" s="160">
        <v>340799.04</v>
      </c>
      <c r="J106" s="160"/>
      <c r="K106" s="156" t="s">
        <v>21</v>
      </c>
      <c r="L106" s="157">
        <v>1328566.23</v>
      </c>
    </row>
    <row r="107" spans="1:12" ht="71.400000000000006" x14ac:dyDescent="0.3">
      <c r="A107" s="151" t="s">
        <v>115</v>
      </c>
      <c r="B107" s="152" t="s">
        <v>465</v>
      </c>
      <c r="C107" s="152" t="s">
        <v>33</v>
      </c>
      <c r="D107" s="152" t="s">
        <v>477</v>
      </c>
      <c r="E107" s="153" t="s">
        <v>34</v>
      </c>
      <c r="F107" s="159" t="s">
        <v>27</v>
      </c>
      <c r="G107" s="159"/>
      <c r="H107" s="153" t="s">
        <v>26</v>
      </c>
      <c r="I107" s="160">
        <v>112889.68</v>
      </c>
      <c r="J107" s="160"/>
      <c r="K107" s="156" t="s">
        <v>21</v>
      </c>
      <c r="L107" s="157">
        <v>1215676.55</v>
      </c>
    </row>
    <row r="108" spans="1:12" ht="71.400000000000006" x14ac:dyDescent="0.3">
      <c r="A108" s="151" t="s">
        <v>115</v>
      </c>
      <c r="B108" s="152" t="s">
        <v>465</v>
      </c>
      <c r="C108" s="152" t="s">
        <v>33</v>
      </c>
      <c r="D108" s="152" t="s">
        <v>478</v>
      </c>
      <c r="E108" s="153" t="s">
        <v>34</v>
      </c>
      <c r="F108" s="159" t="s">
        <v>27</v>
      </c>
      <c r="G108" s="159"/>
      <c r="H108" s="153" t="s">
        <v>26</v>
      </c>
      <c r="I108" s="160">
        <v>65852.320000000007</v>
      </c>
      <c r="J108" s="160"/>
      <c r="K108" s="156" t="s">
        <v>21</v>
      </c>
      <c r="L108" s="157">
        <v>1149824.23</v>
      </c>
    </row>
    <row r="109" spans="1:12" ht="71.400000000000006" x14ac:dyDescent="0.3">
      <c r="A109" s="151" t="s">
        <v>115</v>
      </c>
      <c r="B109" s="152" t="s">
        <v>465</v>
      </c>
      <c r="C109" s="152" t="s">
        <v>33</v>
      </c>
      <c r="D109" s="152" t="s">
        <v>479</v>
      </c>
      <c r="E109" s="153" t="s">
        <v>34</v>
      </c>
      <c r="F109" s="159" t="s">
        <v>27</v>
      </c>
      <c r="G109" s="159"/>
      <c r="H109" s="153" t="s">
        <v>26</v>
      </c>
      <c r="I109" s="160">
        <v>36586.75</v>
      </c>
      <c r="J109" s="160"/>
      <c r="K109" s="156" t="s">
        <v>21</v>
      </c>
      <c r="L109" s="157">
        <v>1113237.48</v>
      </c>
    </row>
    <row r="110" spans="1:12" ht="71.400000000000006" x14ac:dyDescent="0.3">
      <c r="A110" s="151" t="s">
        <v>115</v>
      </c>
      <c r="B110" s="152" t="s">
        <v>465</v>
      </c>
      <c r="C110" s="152" t="s">
        <v>33</v>
      </c>
      <c r="D110" s="152" t="s">
        <v>480</v>
      </c>
      <c r="E110" s="153" t="s">
        <v>34</v>
      </c>
      <c r="F110" s="159" t="s">
        <v>27</v>
      </c>
      <c r="G110" s="159"/>
      <c r="H110" s="153" t="s">
        <v>26</v>
      </c>
      <c r="I110" s="160">
        <v>303698.63</v>
      </c>
      <c r="J110" s="160"/>
      <c r="K110" s="156" t="s">
        <v>21</v>
      </c>
      <c r="L110" s="157">
        <v>809538.85</v>
      </c>
    </row>
    <row r="111" spans="1:12" ht="61.2" x14ac:dyDescent="0.3">
      <c r="A111" s="151" t="s">
        <v>115</v>
      </c>
      <c r="B111" s="152" t="s">
        <v>465</v>
      </c>
      <c r="C111" s="152" t="s">
        <v>33</v>
      </c>
      <c r="D111" s="152" t="s">
        <v>452</v>
      </c>
      <c r="E111" s="153" t="s">
        <v>34</v>
      </c>
      <c r="F111" s="159" t="s">
        <v>27</v>
      </c>
      <c r="G111" s="159"/>
      <c r="H111" s="153" t="s">
        <v>26</v>
      </c>
      <c r="I111" s="160">
        <v>3858.75</v>
      </c>
      <c r="J111" s="160"/>
      <c r="K111" s="156" t="s">
        <v>21</v>
      </c>
      <c r="L111" s="157">
        <v>805680.1</v>
      </c>
    </row>
    <row r="112" spans="1:12" ht="61.2" x14ac:dyDescent="0.3">
      <c r="A112" s="151" t="s">
        <v>115</v>
      </c>
      <c r="B112" s="152" t="s">
        <v>465</v>
      </c>
      <c r="C112" s="152" t="s">
        <v>33</v>
      </c>
      <c r="D112" s="152" t="s">
        <v>481</v>
      </c>
      <c r="E112" s="153" t="s">
        <v>34</v>
      </c>
      <c r="F112" s="159" t="s">
        <v>27</v>
      </c>
      <c r="G112" s="159"/>
      <c r="H112" s="153" t="s">
        <v>26</v>
      </c>
      <c r="I112" s="160">
        <v>4387.5</v>
      </c>
      <c r="J112" s="160"/>
      <c r="K112" s="156" t="s">
        <v>21</v>
      </c>
      <c r="L112" s="157">
        <v>801292.6</v>
      </c>
    </row>
    <row r="113" spans="1:12" ht="61.2" x14ac:dyDescent="0.3">
      <c r="A113" s="151" t="s">
        <v>115</v>
      </c>
      <c r="B113" s="152" t="s">
        <v>465</v>
      </c>
      <c r="C113" s="152" t="s">
        <v>33</v>
      </c>
      <c r="D113" s="152" t="s">
        <v>470</v>
      </c>
      <c r="E113" s="153" t="s">
        <v>34</v>
      </c>
      <c r="F113" s="159" t="s">
        <v>27</v>
      </c>
      <c r="G113" s="159"/>
      <c r="H113" s="153" t="s">
        <v>26</v>
      </c>
      <c r="I113" s="160">
        <v>12675</v>
      </c>
      <c r="J113" s="160"/>
      <c r="K113" s="156" t="s">
        <v>21</v>
      </c>
      <c r="L113" s="157">
        <v>788617.6</v>
      </c>
    </row>
    <row r="114" spans="1:12" ht="51" x14ac:dyDescent="0.3">
      <c r="A114" s="151" t="s">
        <v>115</v>
      </c>
      <c r="B114" s="152" t="s">
        <v>465</v>
      </c>
      <c r="C114" s="152" t="s">
        <v>33</v>
      </c>
      <c r="D114" s="152" t="s">
        <v>482</v>
      </c>
      <c r="E114" s="153" t="s">
        <v>34</v>
      </c>
      <c r="F114" s="159" t="s">
        <v>27</v>
      </c>
      <c r="G114" s="159"/>
      <c r="H114" s="153" t="s">
        <v>26</v>
      </c>
      <c r="I114" s="160">
        <v>3000</v>
      </c>
      <c r="J114" s="160"/>
      <c r="K114" s="156" t="s">
        <v>21</v>
      </c>
      <c r="L114" s="157">
        <v>785617.6</v>
      </c>
    </row>
    <row r="115" spans="1:12" ht="61.2" x14ac:dyDescent="0.3">
      <c r="A115" s="151" t="s">
        <v>115</v>
      </c>
      <c r="B115" s="152" t="s">
        <v>465</v>
      </c>
      <c r="C115" s="152" t="s">
        <v>33</v>
      </c>
      <c r="D115" s="152" t="s">
        <v>439</v>
      </c>
      <c r="E115" s="153" t="s">
        <v>34</v>
      </c>
      <c r="F115" s="159" t="s">
        <v>27</v>
      </c>
      <c r="G115" s="159"/>
      <c r="H115" s="153" t="s">
        <v>26</v>
      </c>
      <c r="I115" s="160">
        <v>12852</v>
      </c>
      <c r="J115" s="160"/>
      <c r="K115" s="156" t="s">
        <v>21</v>
      </c>
      <c r="L115" s="157">
        <v>772765.6</v>
      </c>
    </row>
    <row r="116" spans="1:12" ht="61.2" x14ac:dyDescent="0.3">
      <c r="A116" s="151" t="s">
        <v>115</v>
      </c>
      <c r="B116" s="152" t="s">
        <v>465</v>
      </c>
      <c r="C116" s="152" t="s">
        <v>33</v>
      </c>
      <c r="D116" s="152" t="s">
        <v>453</v>
      </c>
      <c r="E116" s="153" t="s">
        <v>34</v>
      </c>
      <c r="F116" s="159" t="s">
        <v>27</v>
      </c>
      <c r="G116" s="159"/>
      <c r="H116" s="153" t="s">
        <v>26</v>
      </c>
      <c r="I116" s="160">
        <v>12628.28</v>
      </c>
      <c r="J116" s="160"/>
      <c r="K116" s="156" t="s">
        <v>21</v>
      </c>
      <c r="L116" s="157">
        <v>760137.32</v>
      </c>
    </row>
    <row r="117" spans="1:12" ht="61.2" x14ac:dyDescent="0.3">
      <c r="A117" s="151" t="s">
        <v>115</v>
      </c>
      <c r="B117" s="152" t="s">
        <v>483</v>
      </c>
      <c r="C117" s="152" t="s">
        <v>33</v>
      </c>
      <c r="D117" s="152" t="s">
        <v>484</v>
      </c>
      <c r="E117" s="153" t="s">
        <v>34</v>
      </c>
      <c r="F117" s="159" t="s">
        <v>27</v>
      </c>
      <c r="G117" s="159"/>
      <c r="H117" s="153" t="s">
        <v>26</v>
      </c>
      <c r="I117" s="160">
        <v>3440</v>
      </c>
      <c r="J117" s="160"/>
      <c r="K117" s="156" t="s">
        <v>21</v>
      </c>
      <c r="L117" s="157">
        <v>756697.32</v>
      </c>
    </row>
    <row r="118" spans="1:12" ht="51" hidden="1" x14ac:dyDescent="0.3">
      <c r="A118" s="151" t="s">
        <v>119</v>
      </c>
      <c r="B118" s="152" t="s">
        <v>485</v>
      </c>
      <c r="C118" s="152" t="s">
        <v>486</v>
      </c>
      <c r="D118" s="152" t="s">
        <v>487</v>
      </c>
      <c r="E118" s="153" t="s">
        <v>26</v>
      </c>
      <c r="F118" s="154">
        <v>2562.5</v>
      </c>
      <c r="G118" s="154"/>
      <c r="H118" s="153" t="s">
        <v>45</v>
      </c>
      <c r="I118" s="155" t="s">
        <v>27</v>
      </c>
      <c r="J118" s="155"/>
      <c r="K118" s="156" t="s">
        <v>21</v>
      </c>
      <c r="L118" s="157">
        <v>759259.82</v>
      </c>
    </row>
    <row r="119" spans="1:12" hidden="1" x14ac:dyDescent="0.3">
      <c r="A119" s="162" t="s">
        <v>146</v>
      </c>
      <c r="B119" s="162"/>
      <c r="C119" s="162"/>
      <c r="D119" s="162"/>
      <c r="E119" s="163">
        <v>199909.88</v>
      </c>
      <c r="F119" s="163"/>
      <c r="G119" s="163"/>
      <c r="H119" s="163">
        <v>2704680.09</v>
      </c>
      <c r="I119" s="163"/>
      <c r="J119" s="163"/>
      <c r="K119" s="164" t="s">
        <v>21</v>
      </c>
      <c r="L119" s="165">
        <v>759259.82</v>
      </c>
    </row>
    <row r="121" spans="1:12" x14ac:dyDescent="0.3">
      <c r="J121" s="351">
        <f>SUBTOTAL(9,I23:J117)</f>
        <v>2702838.9899999998</v>
      </c>
    </row>
  </sheetData>
  <autoFilter ref="A1:L119" xr:uid="{615E4DD0-A02B-4121-97A5-95D11B9995FF}">
    <filterColumn colId="1">
      <filters>
        <filter val="Вимога-накладна ІБ00-000451 від 19.06.2025 09:22:08_x000a_Списаны ТМЦ"/>
        <filter val="Вимога-накладна ІБ00-000475 від 20.06.2025 18:06:17_x000a_Списаны ТМЦ"/>
        <filter val="Вимога-накладна ІБ00-000504 від 20.06.2025 21:00:11_x000a_Списаны ТМЦ"/>
        <filter val="Вимога-накладна ІБ00-000505 від 20.06.2025 21:00:16_x000a_Списаны ТМЦ"/>
        <filter val="Вимога-накладна ІБ00-000506 від 20.06.2025 21:00:20_x000a_Списаны ТМЦ"/>
        <filter val="Вимога-накладна ІБ00-000516 від 25.06.2025 23:13:15_x000a_Списаны ТМЦ"/>
        <filter val="Списання товарів ІБ00-000329 від 20.06.2025 18:06:22_x000a_Списаны ТМЦ"/>
        <filter val="Списання товарів ІБ00-000335 від 20.06.2025 21:00:17_x000a_Списаны ТМЦ"/>
        <filter val="Списання товарів ІБ00-000341 від 25.06.2025 23:13:16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244">
    <mergeCell ref="F118:G118"/>
    <mergeCell ref="I118:J118"/>
    <mergeCell ref="A119:D119"/>
    <mergeCell ref="E119:G119"/>
    <mergeCell ref="H119:J119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1CE4F-DCC9-4193-8ACF-496296521981}">
  <sheetPr filterMode="1"/>
  <dimension ref="A1:L8"/>
  <sheetViews>
    <sheetView workbookViewId="0">
      <selection activeCell="J9" sqref="J9"/>
    </sheetView>
  </sheetViews>
  <sheetFormatPr defaultRowHeight="14.4" x14ac:dyDescent="0.3"/>
  <cols>
    <col min="2" max="4" width="34.33203125" customWidth="1"/>
  </cols>
  <sheetData>
    <row r="1" spans="1:12" x14ac:dyDescent="0.3">
      <c r="A1" s="166" t="s">
        <v>13</v>
      </c>
      <c r="B1" s="167" t="s">
        <v>14</v>
      </c>
      <c r="C1" s="167" t="s">
        <v>15</v>
      </c>
      <c r="D1" s="168" t="s">
        <v>16</v>
      </c>
      <c r="E1" s="169" t="s">
        <v>17</v>
      </c>
      <c r="F1" s="169"/>
      <c r="G1" s="169"/>
      <c r="H1" s="170" t="s">
        <v>18</v>
      </c>
      <c r="I1" s="170"/>
      <c r="J1" s="170"/>
      <c r="K1" s="167" t="s">
        <v>19</v>
      </c>
      <c r="L1" s="167"/>
    </row>
    <row r="2" spans="1:12" x14ac:dyDescent="0.3">
      <c r="A2" s="171"/>
      <c r="B2" s="172"/>
      <c r="C2" s="172"/>
      <c r="D2" s="173"/>
      <c r="E2" s="174" t="s">
        <v>20</v>
      </c>
      <c r="F2" s="175"/>
      <c r="G2" s="175"/>
      <c r="H2" s="176" t="s">
        <v>20</v>
      </c>
      <c r="I2" s="177"/>
      <c r="J2" s="177"/>
      <c r="K2" s="171"/>
      <c r="L2" s="178"/>
    </row>
    <row r="3" spans="1:12" ht="51" hidden="1" x14ac:dyDescent="0.3">
      <c r="A3" s="179" t="s">
        <v>76</v>
      </c>
      <c r="B3" s="180" t="s">
        <v>421</v>
      </c>
      <c r="C3" s="180" t="s">
        <v>422</v>
      </c>
      <c r="D3" s="180" t="s">
        <v>423</v>
      </c>
      <c r="E3" s="181" t="s">
        <v>26</v>
      </c>
      <c r="F3" s="182" t="s">
        <v>27</v>
      </c>
      <c r="G3" s="182"/>
      <c r="H3" s="181" t="s">
        <v>26</v>
      </c>
      <c r="I3" s="183">
        <v>111.04</v>
      </c>
      <c r="J3" s="183"/>
      <c r="K3" s="184" t="s">
        <v>21</v>
      </c>
      <c r="L3" s="185">
        <v>29950.92</v>
      </c>
    </row>
    <row r="4" spans="1:12" ht="51" hidden="1" x14ac:dyDescent="0.3">
      <c r="A4" s="179" t="s">
        <v>76</v>
      </c>
      <c r="B4" s="180" t="s">
        <v>421</v>
      </c>
      <c r="C4" s="180" t="s">
        <v>424</v>
      </c>
      <c r="D4" s="180" t="s">
        <v>425</v>
      </c>
      <c r="E4" s="181" t="s">
        <v>26</v>
      </c>
      <c r="F4" s="182" t="s">
        <v>27</v>
      </c>
      <c r="G4" s="182"/>
      <c r="H4" s="181" t="s">
        <v>26</v>
      </c>
      <c r="I4" s="183">
        <v>321.04000000000002</v>
      </c>
      <c r="J4" s="183"/>
      <c r="K4" s="184" t="s">
        <v>21</v>
      </c>
      <c r="L4" s="185">
        <v>29629.88</v>
      </c>
    </row>
    <row r="5" spans="1:12" ht="51" hidden="1" x14ac:dyDescent="0.3">
      <c r="A5" s="179" t="s">
        <v>76</v>
      </c>
      <c r="B5" s="180" t="s">
        <v>421</v>
      </c>
      <c r="C5" s="180" t="s">
        <v>426</v>
      </c>
      <c r="D5" s="180" t="s">
        <v>427</v>
      </c>
      <c r="E5" s="181" t="s">
        <v>26</v>
      </c>
      <c r="F5" s="182" t="s">
        <v>27</v>
      </c>
      <c r="G5" s="182"/>
      <c r="H5" s="181" t="s">
        <v>26</v>
      </c>
      <c r="I5" s="183">
        <v>117.16</v>
      </c>
      <c r="J5" s="183"/>
      <c r="K5" s="184" t="s">
        <v>21</v>
      </c>
      <c r="L5" s="185">
        <v>29512.720000000001</v>
      </c>
    </row>
    <row r="6" spans="1:12" x14ac:dyDescent="0.3">
      <c r="A6" s="186" t="s">
        <v>146</v>
      </c>
      <c r="B6" s="186"/>
      <c r="C6" s="186"/>
      <c r="D6" s="186"/>
      <c r="E6" s="187">
        <v>0</v>
      </c>
      <c r="F6" s="187"/>
      <c r="G6" s="187"/>
      <c r="H6" s="187">
        <v>0</v>
      </c>
      <c r="I6" s="187"/>
      <c r="J6" s="187"/>
      <c r="K6" s="188" t="s">
        <v>21</v>
      </c>
      <c r="L6" s="189">
        <v>29512.720000000001</v>
      </c>
    </row>
    <row r="8" spans="1:12" x14ac:dyDescent="0.3">
      <c r="J8">
        <v>0</v>
      </c>
    </row>
  </sheetData>
  <autoFilter ref="A1:L6" xr:uid="{942C21C2-DFEB-4D48-9008-4B6B4EDF3785}">
    <filterColumn colId="1">
      <filters blank="1"/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8">
    <mergeCell ref="F4:G4"/>
    <mergeCell ref="I4:J4"/>
    <mergeCell ref="F5:G5"/>
    <mergeCell ref="I5:J5"/>
    <mergeCell ref="A6:D6"/>
    <mergeCell ref="E6:G6"/>
    <mergeCell ref="H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46DED-14A0-45C7-8ADF-2AD3AA5E4778}">
  <sheetPr filterMode="1"/>
  <dimension ref="A1:L70"/>
  <sheetViews>
    <sheetView topLeftCell="A58" workbookViewId="0">
      <selection activeCell="J70" sqref="J70"/>
    </sheetView>
  </sheetViews>
  <sheetFormatPr defaultRowHeight="14.4" x14ac:dyDescent="0.3"/>
  <cols>
    <col min="2" max="4" width="34.33203125" customWidth="1"/>
    <col min="10" max="10" width="9.88671875" bestFit="1" customWidth="1"/>
  </cols>
  <sheetData>
    <row r="1" spans="1:12" x14ac:dyDescent="0.3">
      <c r="A1" s="190" t="s">
        <v>13</v>
      </c>
      <c r="B1" s="191" t="s">
        <v>14</v>
      </c>
      <c r="C1" s="191" t="s">
        <v>15</v>
      </c>
      <c r="D1" s="192" t="s">
        <v>16</v>
      </c>
      <c r="E1" s="193" t="s">
        <v>17</v>
      </c>
      <c r="F1" s="193"/>
      <c r="G1" s="193"/>
      <c r="H1" s="194" t="s">
        <v>18</v>
      </c>
      <c r="I1" s="194"/>
      <c r="J1" s="194"/>
      <c r="K1" s="191" t="s">
        <v>19</v>
      </c>
      <c r="L1" s="191"/>
    </row>
    <row r="2" spans="1:12" hidden="1" x14ac:dyDescent="0.3">
      <c r="A2" s="195"/>
      <c r="B2" s="196"/>
      <c r="C2" s="196"/>
      <c r="D2" s="197"/>
      <c r="E2" s="198" t="s">
        <v>20</v>
      </c>
      <c r="F2" s="199"/>
      <c r="G2" s="199"/>
      <c r="H2" s="200" t="s">
        <v>20</v>
      </c>
      <c r="I2" s="201"/>
      <c r="J2" s="201"/>
      <c r="K2" s="195"/>
      <c r="L2" s="202"/>
    </row>
    <row r="3" spans="1:12" ht="51" hidden="1" x14ac:dyDescent="0.3">
      <c r="A3" s="203" t="s">
        <v>248</v>
      </c>
      <c r="B3" s="204" t="s">
        <v>261</v>
      </c>
      <c r="C3" s="204" t="s">
        <v>79</v>
      </c>
      <c r="D3" s="204" t="s">
        <v>252</v>
      </c>
      <c r="E3" s="205" t="s">
        <v>26</v>
      </c>
      <c r="F3" s="206">
        <v>107827.78</v>
      </c>
      <c r="G3" s="206"/>
      <c r="H3" s="205" t="s">
        <v>26</v>
      </c>
      <c r="I3" s="207" t="s">
        <v>27</v>
      </c>
      <c r="J3" s="207"/>
      <c r="K3" s="208" t="s">
        <v>21</v>
      </c>
      <c r="L3" s="209">
        <v>298001.58</v>
      </c>
    </row>
    <row r="4" spans="1:12" ht="51" hidden="1" x14ac:dyDescent="0.3">
      <c r="A4" s="203" t="s">
        <v>488</v>
      </c>
      <c r="B4" s="204" t="s">
        <v>489</v>
      </c>
      <c r="C4" s="204" t="s">
        <v>490</v>
      </c>
      <c r="D4" s="204" t="s">
        <v>491</v>
      </c>
      <c r="E4" s="205" t="s">
        <v>26</v>
      </c>
      <c r="F4" s="206">
        <v>6453.58</v>
      </c>
      <c r="G4" s="206"/>
      <c r="H4" s="205" t="s">
        <v>45</v>
      </c>
      <c r="I4" s="207" t="s">
        <v>27</v>
      </c>
      <c r="J4" s="207"/>
      <c r="K4" s="208" t="s">
        <v>21</v>
      </c>
      <c r="L4" s="209">
        <v>304455.15999999997</v>
      </c>
    </row>
    <row r="5" spans="1:12" ht="51" hidden="1" x14ac:dyDescent="0.3">
      <c r="A5" s="203" t="s">
        <v>488</v>
      </c>
      <c r="B5" s="204" t="s">
        <v>492</v>
      </c>
      <c r="C5" s="204" t="s">
        <v>493</v>
      </c>
      <c r="D5" s="204" t="s">
        <v>490</v>
      </c>
      <c r="E5" s="205" t="s">
        <v>26</v>
      </c>
      <c r="F5" s="210" t="s">
        <v>27</v>
      </c>
      <c r="G5" s="210"/>
      <c r="H5" s="205" t="s">
        <v>26</v>
      </c>
      <c r="I5" s="211">
        <v>2746.62</v>
      </c>
      <c r="J5" s="211"/>
      <c r="K5" s="208" t="s">
        <v>21</v>
      </c>
      <c r="L5" s="209">
        <v>301708.53999999998</v>
      </c>
    </row>
    <row r="6" spans="1:12" ht="51" hidden="1" x14ac:dyDescent="0.3">
      <c r="A6" s="203" t="s">
        <v>488</v>
      </c>
      <c r="B6" s="204" t="s">
        <v>494</v>
      </c>
      <c r="C6" s="204" t="s">
        <v>495</v>
      </c>
      <c r="D6" s="204" t="s">
        <v>490</v>
      </c>
      <c r="E6" s="205" t="s">
        <v>26</v>
      </c>
      <c r="F6" s="210" t="s">
        <v>27</v>
      </c>
      <c r="G6" s="210"/>
      <c r="H6" s="205" t="s">
        <v>26</v>
      </c>
      <c r="I6" s="212">
        <v>473</v>
      </c>
      <c r="J6" s="212"/>
      <c r="K6" s="208" t="s">
        <v>21</v>
      </c>
      <c r="L6" s="209">
        <v>301235.53999999998</v>
      </c>
    </row>
    <row r="7" spans="1:12" ht="51" hidden="1" x14ac:dyDescent="0.3">
      <c r="A7" s="203" t="s">
        <v>488</v>
      </c>
      <c r="B7" s="204" t="s">
        <v>496</v>
      </c>
      <c r="C7" s="204" t="s">
        <v>490</v>
      </c>
      <c r="D7" s="204" t="s">
        <v>491</v>
      </c>
      <c r="E7" s="205" t="s">
        <v>26</v>
      </c>
      <c r="F7" s="206">
        <v>6303.5</v>
      </c>
      <c r="G7" s="206"/>
      <c r="H7" s="205" t="s">
        <v>45</v>
      </c>
      <c r="I7" s="207" t="s">
        <v>27</v>
      </c>
      <c r="J7" s="207"/>
      <c r="K7" s="208" t="s">
        <v>21</v>
      </c>
      <c r="L7" s="209">
        <v>307539.03999999998</v>
      </c>
    </row>
    <row r="8" spans="1:12" ht="51" hidden="1" x14ac:dyDescent="0.3">
      <c r="A8" s="203" t="s">
        <v>497</v>
      </c>
      <c r="B8" s="204" t="s">
        <v>498</v>
      </c>
      <c r="C8" s="204" t="s">
        <v>499</v>
      </c>
      <c r="D8" s="204" t="s">
        <v>500</v>
      </c>
      <c r="E8" s="205" t="s">
        <v>26</v>
      </c>
      <c r="F8" s="206">
        <v>12488</v>
      </c>
      <c r="G8" s="206"/>
      <c r="H8" s="205" t="s">
        <v>45</v>
      </c>
      <c r="I8" s="207" t="s">
        <v>27</v>
      </c>
      <c r="J8" s="207"/>
      <c r="K8" s="208" t="s">
        <v>21</v>
      </c>
      <c r="L8" s="209">
        <v>320027.03999999998</v>
      </c>
    </row>
    <row r="9" spans="1:12" ht="51" hidden="1" x14ac:dyDescent="0.3">
      <c r="A9" s="203" t="s">
        <v>497</v>
      </c>
      <c r="B9" s="204" t="s">
        <v>501</v>
      </c>
      <c r="C9" s="204" t="s">
        <v>502</v>
      </c>
      <c r="D9" s="204" t="s">
        <v>503</v>
      </c>
      <c r="E9" s="205" t="s">
        <v>26</v>
      </c>
      <c r="F9" s="206">
        <v>3925.5</v>
      </c>
      <c r="G9" s="206"/>
      <c r="H9" s="205" t="s">
        <v>45</v>
      </c>
      <c r="I9" s="207" t="s">
        <v>27</v>
      </c>
      <c r="J9" s="207"/>
      <c r="K9" s="208" t="s">
        <v>21</v>
      </c>
      <c r="L9" s="209">
        <v>323952.53999999998</v>
      </c>
    </row>
    <row r="10" spans="1:12" ht="51" hidden="1" x14ac:dyDescent="0.3">
      <c r="A10" s="203" t="s">
        <v>497</v>
      </c>
      <c r="B10" s="204" t="s">
        <v>501</v>
      </c>
      <c r="C10" s="204" t="s">
        <v>504</v>
      </c>
      <c r="D10" s="204" t="s">
        <v>503</v>
      </c>
      <c r="E10" s="205" t="s">
        <v>26</v>
      </c>
      <c r="F10" s="213">
        <v>829.5</v>
      </c>
      <c r="G10" s="213"/>
      <c r="H10" s="205" t="s">
        <v>45</v>
      </c>
      <c r="I10" s="207" t="s">
        <v>27</v>
      </c>
      <c r="J10" s="207"/>
      <c r="K10" s="208" t="s">
        <v>21</v>
      </c>
      <c r="L10" s="209">
        <v>324782.03999999998</v>
      </c>
    </row>
    <row r="11" spans="1:12" ht="51" hidden="1" x14ac:dyDescent="0.3">
      <c r="A11" s="203" t="s">
        <v>57</v>
      </c>
      <c r="B11" s="204" t="s">
        <v>505</v>
      </c>
      <c r="C11" s="204" t="s">
        <v>506</v>
      </c>
      <c r="D11" s="204" t="s">
        <v>507</v>
      </c>
      <c r="E11" s="205" t="s">
        <v>26</v>
      </c>
      <c r="F11" s="206">
        <v>8641.67</v>
      </c>
      <c r="G11" s="206"/>
      <c r="H11" s="205" t="s">
        <v>45</v>
      </c>
      <c r="I11" s="207" t="s">
        <v>27</v>
      </c>
      <c r="J11" s="207"/>
      <c r="K11" s="208" t="s">
        <v>21</v>
      </c>
      <c r="L11" s="209">
        <v>333423.71000000002</v>
      </c>
    </row>
    <row r="12" spans="1:12" ht="51" hidden="1" x14ac:dyDescent="0.3">
      <c r="A12" s="203" t="s">
        <v>57</v>
      </c>
      <c r="B12" s="204" t="s">
        <v>505</v>
      </c>
      <c r="C12" s="204" t="s">
        <v>508</v>
      </c>
      <c r="D12" s="204" t="s">
        <v>507</v>
      </c>
      <c r="E12" s="205" t="s">
        <v>26</v>
      </c>
      <c r="F12" s="206">
        <v>87879.18</v>
      </c>
      <c r="G12" s="206"/>
      <c r="H12" s="205" t="s">
        <v>45</v>
      </c>
      <c r="I12" s="207" t="s">
        <v>27</v>
      </c>
      <c r="J12" s="207"/>
      <c r="K12" s="208" t="s">
        <v>21</v>
      </c>
      <c r="L12" s="209">
        <v>421302.89</v>
      </c>
    </row>
    <row r="13" spans="1:12" ht="51" hidden="1" x14ac:dyDescent="0.3">
      <c r="A13" s="203" t="s">
        <v>394</v>
      </c>
      <c r="B13" s="204" t="s">
        <v>509</v>
      </c>
      <c r="C13" s="204" t="s">
        <v>510</v>
      </c>
      <c r="D13" s="204" t="s">
        <v>511</v>
      </c>
      <c r="E13" s="205" t="s">
        <v>26</v>
      </c>
      <c r="F13" s="206">
        <v>10798.33</v>
      </c>
      <c r="G13" s="206"/>
      <c r="H13" s="205" t="s">
        <v>45</v>
      </c>
      <c r="I13" s="207" t="s">
        <v>27</v>
      </c>
      <c r="J13" s="207"/>
      <c r="K13" s="208" t="s">
        <v>21</v>
      </c>
      <c r="L13" s="209">
        <v>432101.22</v>
      </c>
    </row>
    <row r="14" spans="1:12" ht="51" hidden="1" x14ac:dyDescent="0.3">
      <c r="A14" s="203" t="s">
        <v>61</v>
      </c>
      <c r="B14" s="204" t="s">
        <v>293</v>
      </c>
      <c r="C14" s="204" t="s">
        <v>294</v>
      </c>
      <c r="D14" s="204" t="s">
        <v>279</v>
      </c>
      <c r="E14" s="205" t="s">
        <v>26</v>
      </c>
      <c r="F14" s="206">
        <v>13743.98</v>
      </c>
      <c r="G14" s="206"/>
      <c r="H14" s="205" t="s">
        <v>26</v>
      </c>
      <c r="I14" s="207" t="s">
        <v>27</v>
      </c>
      <c r="J14" s="207"/>
      <c r="K14" s="208" t="s">
        <v>21</v>
      </c>
      <c r="L14" s="209">
        <v>445845.2</v>
      </c>
    </row>
    <row r="15" spans="1:12" ht="51" hidden="1" x14ac:dyDescent="0.3">
      <c r="A15" s="203" t="s">
        <v>297</v>
      </c>
      <c r="B15" s="204" t="s">
        <v>512</v>
      </c>
      <c r="C15" s="204" t="s">
        <v>513</v>
      </c>
      <c r="D15" s="204" t="s">
        <v>514</v>
      </c>
      <c r="E15" s="205" t="s">
        <v>26</v>
      </c>
      <c r="F15" s="206">
        <v>8273.83</v>
      </c>
      <c r="G15" s="206"/>
      <c r="H15" s="205" t="s">
        <v>45</v>
      </c>
      <c r="I15" s="207" t="s">
        <v>27</v>
      </c>
      <c r="J15" s="207"/>
      <c r="K15" s="208" t="s">
        <v>21</v>
      </c>
      <c r="L15" s="209">
        <v>454119.03</v>
      </c>
    </row>
    <row r="16" spans="1:12" ht="51" hidden="1" x14ac:dyDescent="0.3">
      <c r="A16" s="203" t="s">
        <v>297</v>
      </c>
      <c r="B16" s="204" t="s">
        <v>307</v>
      </c>
      <c r="C16" s="204" t="s">
        <v>308</v>
      </c>
      <c r="D16" s="204" t="s">
        <v>301</v>
      </c>
      <c r="E16" s="205" t="s">
        <v>26</v>
      </c>
      <c r="F16" s="206">
        <v>113079.66</v>
      </c>
      <c r="G16" s="206"/>
      <c r="H16" s="205" t="s">
        <v>26</v>
      </c>
      <c r="I16" s="207" t="s">
        <v>27</v>
      </c>
      <c r="J16" s="207"/>
      <c r="K16" s="208" t="s">
        <v>21</v>
      </c>
      <c r="L16" s="209">
        <v>567198.68999999994</v>
      </c>
    </row>
    <row r="17" spans="1:12" ht="61.2" hidden="1" x14ac:dyDescent="0.3">
      <c r="A17" s="203" t="s">
        <v>147</v>
      </c>
      <c r="B17" s="204" t="s">
        <v>515</v>
      </c>
      <c r="C17" s="204" t="s">
        <v>263</v>
      </c>
      <c r="D17" s="204" t="s">
        <v>79</v>
      </c>
      <c r="E17" s="205" t="s">
        <v>26</v>
      </c>
      <c r="F17" s="210" t="s">
        <v>27</v>
      </c>
      <c r="G17" s="210"/>
      <c r="H17" s="205" t="s">
        <v>26</v>
      </c>
      <c r="I17" s="211">
        <v>55200.26</v>
      </c>
      <c r="J17" s="211"/>
      <c r="K17" s="208" t="s">
        <v>21</v>
      </c>
      <c r="L17" s="209">
        <v>511998.43</v>
      </c>
    </row>
    <row r="18" spans="1:12" ht="51" hidden="1" x14ac:dyDescent="0.3">
      <c r="A18" s="203" t="s">
        <v>147</v>
      </c>
      <c r="B18" s="204" t="s">
        <v>309</v>
      </c>
      <c r="C18" s="204" t="s">
        <v>310</v>
      </c>
      <c r="D18" s="204" t="s">
        <v>311</v>
      </c>
      <c r="E18" s="205" t="s">
        <v>26</v>
      </c>
      <c r="F18" s="213">
        <v>323</v>
      </c>
      <c r="G18" s="213"/>
      <c r="H18" s="205" t="s">
        <v>26</v>
      </c>
      <c r="I18" s="207" t="s">
        <v>27</v>
      </c>
      <c r="J18" s="207"/>
      <c r="K18" s="208" t="s">
        <v>21</v>
      </c>
      <c r="L18" s="209">
        <v>512321.43</v>
      </c>
    </row>
    <row r="19" spans="1:12" ht="51" x14ac:dyDescent="0.3">
      <c r="A19" s="203" t="s">
        <v>68</v>
      </c>
      <c r="B19" s="204" t="s">
        <v>516</v>
      </c>
      <c r="C19" s="204" t="s">
        <v>33</v>
      </c>
      <c r="D19" s="204" t="s">
        <v>508</v>
      </c>
      <c r="E19" s="205" t="s">
        <v>34</v>
      </c>
      <c r="F19" s="210" t="s">
        <v>27</v>
      </c>
      <c r="G19" s="210"/>
      <c r="H19" s="205" t="s">
        <v>26</v>
      </c>
      <c r="I19" s="211">
        <v>82693.759999999995</v>
      </c>
      <c r="J19" s="211"/>
      <c r="K19" s="208" t="s">
        <v>21</v>
      </c>
      <c r="L19" s="209">
        <v>429627.67</v>
      </c>
    </row>
    <row r="20" spans="1:12" ht="51" x14ac:dyDescent="0.3">
      <c r="A20" s="203" t="s">
        <v>68</v>
      </c>
      <c r="B20" s="204" t="s">
        <v>516</v>
      </c>
      <c r="C20" s="204" t="s">
        <v>33</v>
      </c>
      <c r="D20" s="204" t="s">
        <v>310</v>
      </c>
      <c r="E20" s="205" t="s">
        <v>34</v>
      </c>
      <c r="F20" s="210" t="s">
        <v>27</v>
      </c>
      <c r="G20" s="210"/>
      <c r="H20" s="205" t="s">
        <v>26</v>
      </c>
      <c r="I20" s="212">
        <v>323</v>
      </c>
      <c r="J20" s="212"/>
      <c r="K20" s="208" t="s">
        <v>21</v>
      </c>
      <c r="L20" s="209">
        <v>429304.67</v>
      </c>
    </row>
    <row r="21" spans="1:12" ht="51" x14ac:dyDescent="0.3">
      <c r="A21" s="203" t="s">
        <v>68</v>
      </c>
      <c r="B21" s="204" t="s">
        <v>516</v>
      </c>
      <c r="C21" s="204" t="s">
        <v>33</v>
      </c>
      <c r="D21" s="204" t="s">
        <v>517</v>
      </c>
      <c r="E21" s="205" t="s">
        <v>34</v>
      </c>
      <c r="F21" s="210" t="s">
        <v>27</v>
      </c>
      <c r="G21" s="210"/>
      <c r="H21" s="205" t="s">
        <v>26</v>
      </c>
      <c r="I21" s="211">
        <v>1768.39</v>
      </c>
      <c r="J21" s="211"/>
      <c r="K21" s="208" t="s">
        <v>21</v>
      </c>
      <c r="L21" s="209">
        <v>427536.28</v>
      </c>
    </row>
    <row r="22" spans="1:12" ht="51" x14ac:dyDescent="0.3">
      <c r="A22" s="203" t="s">
        <v>68</v>
      </c>
      <c r="B22" s="204" t="s">
        <v>516</v>
      </c>
      <c r="C22" s="204" t="s">
        <v>33</v>
      </c>
      <c r="D22" s="204" t="s">
        <v>518</v>
      </c>
      <c r="E22" s="205" t="s">
        <v>34</v>
      </c>
      <c r="F22" s="210" t="s">
        <v>27</v>
      </c>
      <c r="G22" s="210"/>
      <c r="H22" s="205" t="s">
        <v>26</v>
      </c>
      <c r="I22" s="211">
        <v>4935.05</v>
      </c>
      <c r="J22" s="211"/>
      <c r="K22" s="208" t="s">
        <v>21</v>
      </c>
      <c r="L22" s="209">
        <v>422601.23</v>
      </c>
    </row>
    <row r="23" spans="1:12" ht="51" x14ac:dyDescent="0.3">
      <c r="A23" s="203" t="s">
        <v>68</v>
      </c>
      <c r="B23" s="204" t="s">
        <v>516</v>
      </c>
      <c r="C23" s="204" t="s">
        <v>33</v>
      </c>
      <c r="D23" s="204" t="s">
        <v>519</v>
      </c>
      <c r="E23" s="205" t="s">
        <v>34</v>
      </c>
      <c r="F23" s="210" t="s">
        <v>27</v>
      </c>
      <c r="G23" s="210"/>
      <c r="H23" s="205" t="s">
        <v>26</v>
      </c>
      <c r="I23" s="211">
        <v>5110.87</v>
      </c>
      <c r="J23" s="211"/>
      <c r="K23" s="208" t="s">
        <v>21</v>
      </c>
      <c r="L23" s="209">
        <v>417490.36</v>
      </c>
    </row>
    <row r="24" spans="1:12" ht="51" x14ac:dyDescent="0.3">
      <c r="A24" s="203" t="s">
        <v>68</v>
      </c>
      <c r="B24" s="204" t="s">
        <v>516</v>
      </c>
      <c r="C24" s="204" t="s">
        <v>33</v>
      </c>
      <c r="D24" s="204" t="s">
        <v>520</v>
      </c>
      <c r="E24" s="205" t="s">
        <v>34</v>
      </c>
      <c r="F24" s="210" t="s">
        <v>27</v>
      </c>
      <c r="G24" s="210"/>
      <c r="H24" s="205" t="s">
        <v>26</v>
      </c>
      <c r="I24" s="211">
        <v>11926.38</v>
      </c>
      <c r="J24" s="211"/>
      <c r="K24" s="208" t="s">
        <v>21</v>
      </c>
      <c r="L24" s="209">
        <v>405563.98</v>
      </c>
    </row>
    <row r="25" spans="1:12" ht="51" hidden="1" x14ac:dyDescent="0.3">
      <c r="A25" s="203" t="s">
        <v>76</v>
      </c>
      <c r="B25" s="204" t="s">
        <v>521</v>
      </c>
      <c r="C25" s="204" t="s">
        <v>522</v>
      </c>
      <c r="D25" s="204" t="s">
        <v>523</v>
      </c>
      <c r="E25" s="205" t="s">
        <v>26</v>
      </c>
      <c r="F25" s="206">
        <v>1145.83</v>
      </c>
      <c r="G25" s="206"/>
      <c r="H25" s="205" t="s">
        <v>26</v>
      </c>
      <c r="I25" s="207" t="s">
        <v>27</v>
      </c>
      <c r="J25" s="207"/>
      <c r="K25" s="208" t="s">
        <v>21</v>
      </c>
      <c r="L25" s="209">
        <v>406709.81</v>
      </c>
    </row>
    <row r="26" spans="1:12" ht="51" hidden="1" x14ac:dyDescent="0.3">
      <c r="A26" s="203" t="s">
        <v>76</v>
      </c>
      <c r="B26" s="204" t="s">
        <v>524</v>
      </c>
      <c r="C26" s="204" t="s">
        <v>495</v>
      </c>
      <c r="D26" s="204" t="s">
        <v>490</v>
      </c>
      <c r="E26" s="205" t="s">
        <v>26</v>
      </c>
      <c r="F26" s="210" t="s">
        <v>27</v>
      </c>
      <c r="G26" s="210"/>
      <c r="H26" s="205" t="s">
        <v>26</v>
      </c>
      <c r="I26" s="211">
        <v>9537.4599999999991</v>
      </c>
      <c r="J26" s="211"/>
      <c r="K26" s="208" t="s">
        <v>21</v>
      </c>
      <c r="L26" s="209">
        <v>397172.35</v>
      </c>
    </row>
    <row r="27" spans="1:12" ht="51" hidden="1" x14ac:dyDescent="0.3">
      <c r="A27" s="203" t="s">
        <v>76</v>
      </c>
      <c r="B27" s="204" t="s">
        <v>77</v>
      </c>
      <c r="C27" s="204" t="s">
        <v>78</v>
      </c>
      <c r="D27" s="204" t="s">
        <v>79</v>
      </c>
      <c r="E27" s="205" t="s">
        <v>26</v>
      </c>
      <c r="F27" s="210" t="s">
        <v>27</v>
      </c>
      <c r="G27" s="210"/>
      <c r="H27" s="205" t="s">
        <v>26</v>
      </c>
      <c r="I27" s="211">
        <v>10290.93</v>
      </c>
      <c r="J27" s="211"/>
      <c r="K27" s="208" t="s">
        <v>21</v>
      </c>
      <c r="L27" s="209">
        <v>386881.42</v>
      </c>
    </row>
    <row r="28" spans="1:12" ht="51" hidden="1" x14ac:dyDescent="0.3">
      <c r="A28" s="203" t="s">
        <v>76</v>
      </c>
      <c r="B28" s="204" t="s">
        <v>77</v>
      </c>
      <c r="C28" s="204" t="s">
        <v>80</v>
      </c>
      <c r="D28" s="204" t="s">
        <v>81</v>
      </c>
      <c r="E28" s="205" t="s">
        <v>26</v>
      </c>
      <c r="F28" s="210" t="s">
        <v>27</v>
      </c>
      <c r="G28" s="210"/>
      <c r="H28" s="205" t="s">
        <v>26</v>
      </c>
      <c r="I28" s="211">
        <v>4218.75</v>
      </c>
      <c r="J28" s="211"/>
      <c r="K28" s="208" t="s">
        <v>21</v>
      </c>
      <c r="L28" s="209">
        <v>382662.67</v>
      </c>
    </row>
    <row r="29" spans="1:12" ht="51" hidden="1" x14ac:dyDescent="0.3">
      <c r="A29" s="203" t="s">
        <v>76</v>
      </c>
      <c r="B29" s="204" t="s">
        <v>77</v>
      </c>
      <c r="C29" s="204" t="s">
        <v>82</v>
      </c>
      <c r="D29" s="204" t="s">
        <v>83</v>
      </c>
      <c r="E29" s="205" t="s">
        <v>26</v>
      </c>
      <c r="F29" s="210" t="s">
        <v>27</v>
      </c>
      <c r="G29" s="210"/>
      <c r="H29" s="205" t="s">
        <v>26</v>
      </c>
      <c r="I29" s="211">
        <v>4051.96</v>
      </c>
      <c r="J29" s="211"/>
      <c r="K29" s="208" t="s">
        <v>21</v>
      </c>
      <c r="L29" s="209">
        <v>378610.71</v>
      </c>
    </row>
    <row r="30" spans="1:12" ht="51" hidden="1" x14ac:dyDescent="0.3">
      <c r="A30" s="203" t="s">
        <v>76</v>
      </c>
      <c r="B30" s="204" t="s">
        <v>77</v>
      </c>
      <c r="C30" s="204" t="s">
        <v>84</v>
      </c>
      <c r="D30" s="204" t="s">
        <v>85</v>
      </c>
      <c r="E30" s="205" t="s">
        <v>26</v>
      </c>
      <c r="F30" s="210" t="s">
        <v>27</v>
      </c>
      <c r="G30" s="210"/>
      <c r="H30" s="205" t="s">
        <v>26</v>
      </c>
      <c r="I30" s="212">
        <v>826.01</v>
      </c>
      <c r="J30" s="212"/>
      <c r="K30" s="208" t="s">
        <v>21</v>
      </c>
      <c r="L30" s="209">
        <v>377784.7</v>
      </c>
    </row>
    <row r="31" spans="1:12" ht="51" hidden="1" x14ac:dyDescent="0.3">
      <c r="A31" s="203" t="s">
        <v>76</v>
      </c>
      <c r="B31" s="204" t="s">
        <v>525</v>
      </c>
      <c r="C31" s="204" t="s">
        <v>526</v>
      </c>
      <c r="D31" s="204" t="s">
        <v>325</v>
      </c>
      <c r="E31" s="205" t="s">
        <v>26</v>
      </c>
      <c r="F31" s="206">
        <v>71370.460000000006</v>
      </c>
      <c r="G31" s="206"/>
      <c r="H31" s="205" t="s">
        <v>26</v>
      </c>
      <c r="I31" s="207" t="s">
        <v>27</v>
      </c>
      <c r="J31" s="207"/>
      <c r="K31" s="208" t="s">
        <v>21</v>
      </c>
      <c r="L31" s="209">
        <v>449155.16</v>
      </c>
    </row>
    <row r="32" spans="1:12" ht="51" x14ac:dyDescent="0.3">
      <c r="A32" s="203" t="s">
        <v>76</v>
      </c>
      <c r="B32" s="204" t="s">
        <v>527</v>
      </c>
      <c r="C32" s="204" t="s">
        <v>33</v>
      </c>
      <c r="D32" s="204" t="s">
        <v>79</v>
      </c>
      <c r="E32" s="205" t="s">
        <v>34</v>
      </c>
      <c r="F32" s="210" t="s">
        <v>27</v>
      </c>
      <c r="G32" s="210"/>
      <c r="H32" s="205" t="s">
        <v>26</v>
      </c>
      <c r="I32" s="211">
        <v>42336.59</v>
      </c>
      <c r="J32" s="211"/>
      <c r="K32" s="208" t="s">
        <v>21</v>
      </c>
      <c r="L32" s="209">
        <v>406818.57</v>
      </c>
    </row>
    <row r="33" spans="1:12" ht="51" x14ac:dyDescent="0.3">
      <c r="A33" s="203" t="s">
        <v>76</v>
      </c>
      <c r="B33" s="204" t="s">
        <v>527</v>
      </c>
      <c r="C33" s="204" t="s">
        <v>33</v>
      </c>
      <c r="D33" s="204" t="s">
        <v>308</v>
      </c>
      <c r="E33" s="205" t="s">
        <v>34</v>
      </c>
      <c r="F33" s="210" t="s">
        <v>27</v>
      </c>
      <c r="G33" s="210"/>
      <c r="H33" s="205" t="s">
        <v>26</v>
      </c>
      <c r="I33" s="211">
        <v>70133.2</v>
      </c>
      <c r="J33" s="211"/>
      <c r="K33" s="208" t="s">
        <v>21</v>
      </c>
      <c r="L33" s="209">
        <v>336685.37</v>
      </c>
    </row>
    <row r="34" spans="1:12" ht="51" x14ac:dyDescent="0.3">
      <c r="A34" s="203" t="s">
        <v>76</v>
      </c>
      <c r="B34" s="204" t="s">
        <v>527</v>
      </c>
      <c r="C34" s="204" t="s">
        <v>33</v>
      </c>
      <c r="D34" s="204" t="s">
        <v>528</v>
      </c>
      <c r="E34" s="205" t="s">
        <v>34</v>
      </c>
      <c r="F34" s="210" t="s">
        <v>27</v>
      </c>
      <c r="G34" s="210"/>
      <c r="H34" s="205" t="s">
        <v>26</v>
      </c>
      <c r="I34" s="211">
        <v>4687.5</v>
      </c>
      <c r="J34" s="211"/>
      <c r="K34" s="208" t="s">
        <v>21</v>
      </c>
      <c r="L34" s="209">
        <v>331997.87</v>
      </c>
    </row>
    <row r="35" spans="1:12" ht="51" x14ac:dyDescent="0.3">
      <c r="A35" s="203" t="s">
        <v>76</v>
      </c>
      <c r="B35" s="204" t="s">
        <v>527</v>
      </c>
      <c r="C35" s="204" t="s">
        <v>33</v>
      </c>
      <c r="D35" s="204" t="s">
        <v>522</v>
      </c>
      <c r="E35" s="205" t="s">
        <v>34</v>
      </c>
      <c r="F35" s="210" t="s">
        <v>27</v>
      </c>
      <c r="G35" s="210"/>
      <c r="H35" s="205" t="s">
        <v>26</v>
      </c>
      <c r="I35" s="211">
        <v>1145.83</v>
      </c>
      <c r="J35" s="211"/>
      <c r="K35" s="208" t="s">
        <v>21</v>
      </c>
      <c r="L35" s="209">
        <v>330852.03999999998</v>
      </c>
    </row>
    <row r="36" spans="1:12" ht="51" x14ac:dyDescent="0.3">
      <c r="A36" s="203" t="s">
        <v>76</v>
      </c>
      <c r="B36" s="204" t="s">
        <v>527</v>
      </c>
      <c r="C36" s="204" t="s">
        <v>33</v>
      </c>
      <c r="D36" s="204" t="s">
        <v>83</v>
      </c>
      <c r="E36" s="205" t="s">
        <v>34</v>
      </c>
      <c r="F36" s="210" t="s">
        <v>27</v>
      </c>
      <c r="G36" s="210"/>
      <c r="H36" s="205" t="s">
        <v>26</v>
      </c>
      <c r="I36" s="211">
        <v>4327.45</v>
      </c>
      <c r="J36" s="211"/>
      <c r="K36" s="208" t="s">
        <v>21</v>
      </c>
      <c r="L36" s="209">
        <v>326524.59000000003</v>
      </c>
    </row>
    <row r="37" spans="1:12" ht="51" x14ac:dyDescent="0.3">
      <c r="A37" s="203" t="s">
        <v>76</v>
      </c>
      <c r="B37" s="204" t="s">
        <v>527</v>
      </c>
      <c r="C37" s="204" t="s">
        <v>33</v>
      </c>
      <c r="D37" s="204" t="s">
        <v>85</v>
      </c>
      <c r="E37" s="205" t="s">
        <v>34</v>
      </c>
      <c r="F37" s="210" t="s">
        <v>27</v>
      </c>
      <c r="G37" s="210"/>
      <c r="H37" s="205" t="s">
        <v>26</v>
      </c>
      <c r="I37" s="212">
        <v>882.18</v>
      </c>
      <c r="J37" s="212"/>
      <c r="K37" s="208" t="s">
        <v>21</v>
      </c>
      <c r="L37" s="209">
        <v>325642.40999999997</v>
      </c>
    </row>
    <row r="38" spans="1:12" ht="51" x14ac:dyDescent="0.3">
      <c r="A38" s="203" t="s">
        <v>76</v>
      </c>
      <c r="B38" s="204" t="s">
        <v>527</v>
      </c>
      <c r="C38" s="204" t="s">
        <v>33</v>
      </c>
      <c r="D38" s="204" t="s">
        <v>81</v>
      </c>
      <c r="E38" s="205" t="s">
        <v>34</v>
      </c>
      <c r="F38" s="210" t="s">
        <v>27</v>
      </c>
      <c r="G38" s="210"/>
      <c r="H38" s="205" t="s">
        <v>26</v>
      </c>
      <c r="I38" s="211">
        <v>20587.5</v>
      </c>
      <c r="J38" s="211"/>
      <c r="K38" s="208" t="s">
        <v>21</v>
      </c>
      <c r="L38" s="209">
        <v>305054.90999999997</v>
      </c>
    </row>
    <row r="39" spans="1:12" ht="51" x14ac:dyDescent="0.3">
      <c r="A39" s="203" t="s">
        <v>76</v>
      </c>
      <c r="B39" s="204" t="s">
        <v>529</v>
      </c>
      <c r="C39" s="204" t="s">
        <v>33</v>
      </c>
      <c r="D39" s="204" t="s">
        <v>530</v>
      </c>
      <c r="E39" s="205" t="s">
        <v>34</v>
      </c>
      <c r="F39" s="210" t="s">
        <v>27</v>
      </c>
      <c r="G39" s="210"/>
      <c r="H39" s="205" t="s">
        <v>26</v>
      </c>
      <c r="I39" s="211">
        <v>1050</v>
      </c>
      <c r="J39" s="211"/>
      <c r="K39" s="208" t="s">
        <v>21</v>
      </c>
      <c r="L39" s="209">
        <v>304004.90999999997</v>
      </c>
    </row>
    <row r="40" spans="1:12" ht="51" x14ac:dyDescent="0.3">
      <c r="A40" s="203" t="s">
        <v>76</v>
      </c>
      <c r="B40" s="204" t="s">
        <v>531</v>
      </c>
      <c r="C40" s="204" t="s">
        <v>33</v>
      </c>
      <c r="D40" s="204" t="s">
        <v>530</v>
      </c>
      <c r="E40" s="205" t="s">
        <v>34</v>
      </c>
      <c r="F40" s="210" t="s">
        <v>27</v>
      </c>
      <c r="G40" s="210"/>
      <c r="H40" s="205" t="s">
        <v>26</v>
      </c>
      <c r="I40" s="211">
        <v>3150</v>
      </c>
      <c r="J40" s="211"/>
      <c r="K40" s="208" t="s">
        <v>21</v>
      </c>
      <c r="L40" s="209">
        <v>300854.90999999997</v>
      </c>
    </row>
    <row r="41" spans="1:12" ht="51" hidden="1" x14ac:dyDescent="0.3">
      <c r="A41" s="203" t="s">
        <v>532</v>
      </c>
      <c r="B41" s="204" t="s">
        <v>533</v>
      </c>
      <c r="C41" s="204" t="s">
        <v>534</v>
      </c>
      <c r="D41" s="204" t="s">
        <v>535</v>
      </c>
      <c r="E41" s="205" t="s">
        <v>26</v>
      </c>
      <c r="F41" s="206">
        <v>4007.67</v>
      </c>
      <c r="G41" s="206"/>
      <c r="H41" s="205" t="s">
        <v>45</v>
      </c>
      <c r="I41" s="207" t="s">
        <v>27</v>
      </c>
      <c r="J41" s="207"/>
      <c r="K41" s="208" t="s">
        <v>21</v>
      </c>
      <c r="L41" s="209">
        <v>304862.58</v>
      </c>
    </row>
    <row r="42" spans="1:12" ht="51" x14ac:dyDescent="0.3">
      <c r="A42" s="203" t="s">
        <v>532</v>
      </c>
      <c r="B42" s="204" t="s">
        <v>536</v>
      </c>
      <c r="C42" s="204" t="s">
        <v>33</v>
      </c>
      <c r="D42" s="204" t="s">
        <v>308</v>
      </c>
      <c r="E42" s="205" t="s">
        <v>34</v>
      </c>
      <c r="F42" s="210" t="s">
        <v>27</v>
      </c>
      <c r="G42" s="210"/>
      <c r="H42" s="205" t="s">
        <v>26</v>
      </c>
      <c r="I42" s="211">
        <v>42946.46</v>
      </c>
      <c r="J42" s="211"/>
      <c r="K42" s="208" t="s">
        <v>21</v>
      </c>
      <c r="L42" s="209">
        <v>261916.12</v>
      </c>
    </row>
    <row r="43" spans="1:12" ht="51" x14ac:dyDescent="0.3">
      <c r="A43" s="203" t="s">
        <v>532</v>
      </c>
      <c r="B43" s="204" t="s">
        <v>536</v>
      </c>
      <c r="C43" s="204" t="s">
        <v>33</v>
      </c>
      <c r="D43" s="204" t="s">
        <v>526</v>
      </c>
      <c r="E43" s="205" t="s">
        <v>34</v>
      </c>
      <c r="F43" s="210" t="s">
        <v>27</v>
      </c>
      <c r="G43" s="210"/>
      <c r="H43" s="205" t="s">
        <v>26</v>
      </c>
      <c r="I43" s="211">
        <v>71370.460000000006</v>
      </c>
      <c r="J43" s="211"/>
      <c r="K43" s="208" t="s">
        <v>21</v>
      </c>
      <c r="L43" s="209">
        <v>190545.66</v>
      </c>
    </row>
    <row r="44" spans="1:12" ht="51" x14ac:dyDescent="0.3">
      <c r="A44" s="203" t="s">
        <v>532</v>
      </c>
      <c r="B44" s="204" t="s">
        <v>536</v>
      </c>
      <c r="C44" s="204" t="s">
        <v>33</v>
      </c>
      <c r="D44" s="204" t="s">
        <v>83</v>
      </c>
      <c r="E44" s="205" t="s">
        <v>34</v>
      </c>
      <c r="F44" s="210" t="s">
        <v>27</v>
      </c>
      <c r="G44" s="210"/>
      <c r="H44" s="205" t="s">
        <v>26</v>
      </c>
      <c r="I44" s="212">
        <v>763.09</v>
      </c>
      <c r="J44" s="212"/>
      <c r="K44" s="208" t="s">
        <v>21</v>
      </c>
      <c r="L44" s="209">
        <v>189782.57</v>
      </c>
    </row>
    <row r="45" spans="1:12" ht="51" x14ac:dyDescent="0.3">
      <c r="A45" s="203" t="s">
        <v>532</v>
      </c>
      <c r="B45" s="204" t="s">
        <v>536</v>
      </c>
      <c r="C45" s="204" t="s">
        <v>33</v>
      </c>
      <c r="D45" s="204" t="s">
        <v>85</v>
      </c>
      <c r="E45" s="205" t="s">
        <v>34</v>
      </c>
      <c r="F45" s="210" t="s">
        <v>27</v>
      </c>
      <c r="G45" s="210"/>
      <c r="H45" s="205" t="s">
        <v>26</v>
      </c>
      <c r="I45" s="212">
        <v>155.56</v>
      </c>
      <c r="J45" s="212"/>
      <c r="K45" s="208" t="s">
        <v>21</v>
      </c>
      <c r="L45" s="209">
        <v>189627.01</v>
      </c>
    </row>
    <row r="46" spans="1:12" ht="51" x14ac:dyDescent="0.3">
      <c r="A46" s="203" t="s">
        <v>532</v>
      </c>
      <c r="B46" s="204" t="s">
        <v>536</v>
      </c>
      <c r="C46" s="204" t="s">
        <v>33</v>
      </c>
      <c r="D46" s="204" t="s">
        <v>81</v>
      </c>
      <c r="E46" s="205" t="s">
        <v>34</v>
      </c>
      <c r="F46" s="210" t="s">
        <v>27</v>
      </c>
      <c r="G46" s="210"/>
      <c r="H46" s="205" t="s">
        <v>26</v>
      </c>
      <c r="I46" s="211">
        <v>20283.75</v>
      </c>
      <c r="J46" s="211"/>
      <c r="K46" s="208" t="s">
        <v>21</v>
      </c>
      <c r="L46" s="209">
        <v>169343.26</v>
      </c>
    </row>
    <row r="47" spans="1:12" ht="51" x14ac:dyDescent="0.3">
      <c r="A47" s="203" t="s">
        <v>532</v>
      </c>
      <c r="B47" s="204" t="s">
        <v>536</v>
      </c>
      <c r="C47" s="204" t="s">
        <v>33</v>
      </c>
      <c r="D47" s="204" t="s">
        <v>513</v>
      </c>
      <c r="E47" s="205" t="s">
        <v>34</v>
      </c>
      <c r="F47" s="210" t="s">
        <v>27</v>
      </c>
      <c r="G47" s="210"/>
      <c r="H47" s="205" t="s">
        <v>26</v>
      </c>
      <c r="I47" s="211">
        <v>1376.83</v>
      </c>
      <c r="J47" s="211"/>
      <c r="K47" s="208" t="s">
        <v>21</v>
      </c>
      <c r="L47" s="209">
        <v>167966.43</v>
      </c>
    </row>
    <row r="48" spans="1:12" ht="51" hidden="1" x14ac:dyDescent="0.3">
      <c r="A48" s="203" t="s">
        <v>107</v>
      </c>
      <c r="B48" s="204" t="s">
        <v>350</v>
      </c>
      <c r="C48" s="204" t="s">
        <v>351</v>
      </c>
      <c r="D48" s="204" t="s">
        <v>113</v>
      </c>
      <c r="E48" s="205" t="s">
        <v>26</v>
      </c>
      <c r="F48" s="206">
        <v>32374.49</v>
      </c>
      <c r="G48" s="206"/>
      <c r="H48" s="205" t="s">
        <v>26</v>
      </c>
      <c r="I48" s="207" t="s">
        <v>27</v>
      </c>
      <c r="J48" s="207"/>
      <c r="K48" s="208" t="s">
        <v>21</v>
      </c>
      <c r="L48" s="209">
        <v>200340.92</v>
      </c>
    </row>
    <row r="49" spans="1:12" ht="51" hidden="1" x14ac:dyDescent="0.3">
      <c r="A49" s="203" t="s">
        <v>115</v>
      </c>
      <c r="B49" s="204" t="s">
        <v>537</v>
      </c>
      <c r="C49" s="204" t="s">
        <v>538</v>
      </c>
      <c r="D49" s="204" t="s">
        <v>539</v>
      </c>
      <c r="E49" s="205" t="s">
        <v>26</v>
      </c>
      <c r="F49" s="206">
        <v>3923.95</v>
      </c>
      <c r="G49" s="206"/>
      <c r="H49" s="205" t="s">
        <v>26</v>
      </c>
      <c r="I49" s="207" t="s">
        <v>27</v>
      </c>
      <c r="J49" s="207"/>
      <c r="K49" s="208" t="s">
        <v>21</v>
      </c>
      <c r="L49" s="209">
        <v>204264.87</v>
      </c>
    </row>
    <row r="50" spans="1:12" ht="51" hidden="1" x14ac:dyDescent="0.3">
      <c r="A50" s="203" t="s">
        <v>115</v>
      </c>
      <c r="B50" s="204" t="s">
        <v>537</v>
      </c>
      <c r="C50" s="204" t="s">
        <v>540</v>
      </c>
      <c r="D50" s="204" t="s">
        <v>541</v>
      </c>
      <c r="E50" s="205" t="s">
        <v>26</v>
      </c>
      <c r="F50" s="206">
        <v>30971.200000000001</v>
      </c>
      <c r="G50" s="206"/>
      <c r="H50" s="205" t="s">
        <v>26</v>
      </c>
      <c r="I50" s="207" t="s">
        <v>27</v>
      </c>
      <c r="J50" s="207"/>
      <c r="K50" s="208" t="s">
        <v>21</v>
      </c>
      <c r="L50" s="209">
        <v>235236.07</v>
      </c>
    </row>
    <row r="51" spans="1:12" ht="51" hidden="1" x14ac:dyDescent="0.3">
      <c r="A51" s="203" t="s">
        <v>115</v>
      </c>
      <c r="B51" s="204" t="s">
        <v>357</v>
      </c>
      <c r="C51" s="204" t="s">
        <v>358</v>
      </c>
      <c r="D51" s="204" t="s">
        <v>334</v>
      </c>
      <c r="E51" s="205" t="s">
        <v>26</v>
      </c>
      <c r="F51" s="206">
        <v>5960.55</v>
      </c>
      <c r="G51" s="206"/>
      <c r="H51" s="205" t="s">
        <v>26</v>
      </c>
      <c r="I51" s="207" t="s">
        <v>27</v>
      </c>
      <c r="J51" s="207"/>
      <c r="K51" s="208" t="s">
        <v>21</v>
      </c>
      <c r="L51" s="209">
        <v>241196.62</v>
      </c>
    </row>
    <row r="52" spans="1:12" ht="51" hidden="1" x14ac:dyDescent="0.3">
      <c r="A52" s="203" t="s">
        <v>115</v>
      </c>
      <c r="B52" s="204" t="s">
        <v>542</v>
      </c>
      <c r="C52" s="204" t="s">
        <v>117</v>
      </c>
      <c r="D52" s="204" t="s">
        <v>351</v>
      </c>
      <c r="E52" s="205" t="s">
        <v>26</v>
      </c>
      <c r="F52" s="210" t="s">
        <v>27</v>
      </c>
      <c r="G52" s="210"/>
      <c r="H52" s="205" t="s">
        <v>26</v>
      </c>
      <c r="I52" s="211">
        <v>12645.09</v>
      </c>
      <c r="J52" s="211"/>
      <c r="K52" s="208" t="s">
        <v>21</v>
      </c>
      <c r="L52" s="209">
        <v>228551.53</v>
      </c>
    </row>
    <row r="53" spans="1:12" ht="51" hidden="1" x14ac:dyDescent="0.3">
      <c r="A53" s="203" t="s">
        <v>115</v>
      </c>
      <c r="B53" s="204" t="s">
        <v>543</v>
      </c>
      <c r="C53" s="204" t="s">
        <v>544</v>
      </c>
      <c r="D53" s="204" t="s">
        <v>545</v>
      </c>
      <c r="E53" s="205" t="s">
        <v>26</v>
      </c>
      <c r="F53" s="206">
        <v>17588.330000000002</v>
      </c>
      <c r="G53" s="206"/>
      <c r="H53" s="205" t="s">
        <v>26</v>
      </c>
      <c r="I53" s="207" t="s">
        <v>27</v>
      </c>
      <c r="J53" s="207"/>
      <c r="K53" s="208" t="s">
        <v>21</v>
      </c>
      <c r="L53" s="209">
        <v>246139.86</v>
      </c>
    </row>
    <row r="54" spans="1:12" ht="51" hidden="1" x14ac:dyDescent="0.3">
      <c r="A54" s="203" t="s">
        <v>115</v>
      </c>
      <c r="B54" s="204" t="s">
        <v>543</v>
      </c>
      <c r="C54" s="204" t="s">
        <v>546</v>
      </c>
      <c r="D54" s="204" t="s">
        <v>547</v>
      </c>
      <c r="E54" s="205" t="s">
        <v>26</v>
      </c>
      <c r="F54" s="206">
        <v>4093.75</v>
      </c>
      <c r="G54" s="206"/>
      <c r="H54" s="205" t="s">
        <v>26</v>
      </c>
      <c r="I54" s="207" t="s">
        <v>27</v>
      </c>
      <c r="J54" s="207"/>
      <c r="K54" s="208" t="s">
        <v>21</v>
      </c>
      <c r="L54" s="209">
        <v>250233.61</v>
      </c>
    </row>
    <row r="55" spans="1:12" ht="51" x14ac:dyDescent="0.3">
      <c r="A55" s="203" t="s">
        <v>115</v>
      </c>
      <c r="B55" s="204" t="s">
        <v>548</v>
      </c>
      <c r="C55" s="204" t="s">
        <v>33</v>
      </c>
      <c r="D55" s="204" t="s">
        <v>506</v>
      </c>
      <c r="E55" s="205" t="s">
        <v>34</v>
      </c>
      <c r="F55" s="210" t="s">
        <v>27</v>
      </c>
      <c r="G55" s="210"/>
      <c r="H55" s="205" t="s">
        <v>26</v>
      </c>
      <c r="I55" s="211">
        <v>2266.67</v>
      </c>
      <c r="J55" s="211"/>
      <c r="K55" s="208" t="s">
        <v>21</v>
      </c>
      <c r="L55" s="209">
        <v>247966.94</v>
      </c>
    </row>
    <row r="56" spans="1:12" ht="51" x14ac:dyDescent="0.3">
      <c r="A56" s="203" t="s">
        <v>115</v>
      </c>
      <c r="B56" s="204" t="s">
        <v>548</v>
      </c>
      <c r="C56" s="204" t="s">
        <v>33</v>
      </c>
      <c r="D56" s="204" t="s">
        <v>544</v>
      </c>
      <c r="E56" s="205" t="s">
        <v>34</v>
      </c>
      <c r="F56" s="210" t="s">
        <v>27</v>
      </c>
      <c r="G56" s="210"/>
      <c r="H56" s="205" t="s">
        <v>26</v>
      </c>
      <c r="I56" s="211">
        <v>17588.330000000002</v>
      </c>
      <c r="J56" s="211"/>
      <c r="K56" s="208" t="s">
        <v>21</v>
      </c>
      <c r="L56" s="209">
        <v>230378.61</v>
      </c>
    </row>
    <row r="57" spans="1:12" ht="51" x14ac:dyDescent="0.3">
      <c r="A57" s="203" t="s">
        <v>115</v>
      </c>
      <c r="B57" s="204" t="s">
        <v>548</v>
      </c>
      <c r="C57" s="204" t="s">
        <v>33</v>
      </c>
      <c r="D57" s="204" t="s">
        <v>538</v>
      </c>
      <c r="E57" s="205" t="s">
        <v>34</v>
      </c>
      <c r="F57" s="210" t="s">
        <v>27</v>
      </c>
      <c r="G57" s="210"/>
      <c r="H57" s="205" t="s">
        <v>26</v>
      </c>
      <c r="I57" s="211">
        <v>3923.95</v>
      </c>
      <c r="J57" s="211"/>
      <c r="K57" s="208" t="s">
        <v>21</v>
      </c>
      <c r="L57" s="209">
        <v>226454.66</v>
      </c>
    </row>
    <row r="58" spans="1:12" ht="51" x14ac:dyDescent="0.3">
      <c r="A58" s="203" t="s">
        <v>115</v>
      </c>
      <c r="B58" s="204" t="s">
        <v>548</v>
      </c>
      <c r="C58" s="204" t="s">
        <v>33</v>
      </c>
      <c r="D58" s="204" t="s">
        <v>546</v>
      </c>
      <c r="E58" s="205" t="s">
        <v>34</v>
      </c>
      <c r="F58" s="210" t="s">
        <v>27</v>
      </c>
      <c r="G58" s="210"/>
      <c r="H58" s="205" t="s">
        <v>26</v>
      </c>
      <c r="I58" s="211">
        <v>4093.75</v>
      </c>
      <c r="J58" s="211"/>
      <c r="K58" s="208" t="s">
        <v>21</v>
      </c>
      <c r="L58" s="209">
        <v>222360.91</v>
      </c>
    </row>
    <row r="59" spans="1:12" ht="51" x14ac:dyDescent="0.3">
      <c r="A59" s="203" t="s">
        <v>115</v>
      </c>
      <c r="B59" s="204" t="s">
        <v>548</v>
      </c>
      <c r="C59" s="204" t="s">
        <v>33</v>
      </c>
      <c r="D59" s="204" t="s">
        <v>508</v>
      </c>
      <c r="E59" s="205" t="s">
        <v>34</v>
      </c>
      <c r="F59" s="210" t="s">
        <v>27</v>
      </c>
      <c r="G59" s="210"/>
      <c r="H59" s="205" t="s">
        <v>26</v>
      </c>
      <c r="I59" s="211">
        <v>5185.42</v>
      </c>
      <c r="J59" s="211"/>
      <c r="K59" s="208" t="s">
        <v>21</v>
      </c>
      <c r="L59" s="209">
        <v>217175.49</v>
      </c>
    </row>
    <row r="60" spans="1:12" ht="51" x14ac:dyDescent="0.3">
      <c r="A60" s="203" t="s">
        <v>115</v>
      </c>
      <c r="B60" s="204" t="s">
        <v>548</v>
      </c>
      <c r="C60" s="204" t="s">
        <v>33</v>
      </c>
      <c r="D60" s="204" t="s">
        <v>540</v>
      </c>
      <c r="E60" s="205" t="s">
        <v>34</v>
      </c>
      <c r="F60" s="210" t="s">
        <v>27</v>
      </c>
      <c r="G60" s="210"/>
      <c r="H60" s="205" t="s">
        <v>26</v>
      </c>
      <c r="I60" s="211">
        <v>30971.200000000001</v>
      </c>
      <c r="J60" s="211"/>
      <c r="K60" s="208" t="s">
        <v>21</v>
      </c>
      <c r="L60" s="209">
        <v>186204.29</v>
      </c>
    </row>
    <row r="61" spans="1:12" ht="51" x14ac:dyDescent="0.3">
      <c r="A61" s="203" t="s">
        <v>115</v>
      </c>
      <c r="B61" s="204" t="s">
        <v>548</v>
      </c>
      <c r="C61" s="204" t="s">
        <v>33</v>
      </c>
      <c r="D61" s="204" t="s">
        <v>549</v>
      </c>
      <c r="E61" s="205" t="s">
        <v>34</v>
      </c>
      <c r="F61" s="210" t="s">
        <v>27</v>
      </c>
      <c r="G61" s="210"/>
      <c r="H61" s="205" t="s">
        <v>26</v>
      </c>
      <c r="I61" s="211">
        <v>8687.7000000000007</v>
      </c>
      <c r="J61" s="211"/>
      <c r="K61" s="208" t="s">
        <v>21</v>
      </c>
      <c r="L61" s="209">
        <v>177516.59</v>
      </c>
    </row>
    <row r="62" spans="1:12" ht="51" x14ac:dyDescent="0.3">
      <c r="A62" s="203" t="s">
        <v>115</v>
      </c>
      <c r="B62" s="204" t="s">
        <v>548</v>
      </c>
      <c r="C62" s="204" t="s">
        <v>33</v>
      </c>
      <c r="D62" s="204" t="s">
        <v>294</v>
      </c>
      <c r="E62" s="205" t="s">
        <v>34</v>
      </c>
      <c r="F62" s="210" t="s">
        <v>27</v>
      </c>
      <c r="G62" s="210"/>
      <c r="H62" s="205" t="s">
        <v>26</v>
      </c>
      <c r="I62" s="211">
        <v>6817.01</v>
      </c>
      <c r="J62" s="211"/>
      <c r="K62" s="208" t="s">
        <v>21</v>
      </c>
      <c r="L62" s="209">
        <v>170699.58</v>
      </c>
    </row>
    <row r="63" spans="1:12" ht="51" x14ac:dyDescent="0.3">
      <c r="A63" s="203" t="s">
        <v>115</v>
      </c>
      <c r="B63" s="204" t="s">
        <v>548</v>
      </c>
      <c r="C63" s="204" t="s">
        <v>33</v>
      </c>
      <c r="D63" s="204" t="s">
        <v>358</v>
      </c>
      <c r="E63" s="205" t="s">
        <v>34</v>
      </c>
      <c r="F63" s="210" t="s">
        <v>27</v>
      </c>
      <c r="G63" s="210"/>
      <c r="H63" s="205" t="s">
        <v>26</v>
      </c>
      <c r="I63" s="211">
        <v>5960.55</v>
      </c>
      <c r="J63" s="211"/>
      <c r="K63" s="208" t="s">
        <v>21</v>
      </c>
      <c r="L63" s="209">
        <v>164739.03</v>
      </c>
    </row>
    <row r="64" spans="1:12" ht="51" hidden="1" x14ac:dyDescent="0.3">
      <c r="A64" s="203" t="s">
        <v>129</v>
      </c>
      <c r="B64" s="204" t="s">
        <v>368</v>
      </c>
      <c r="C64" s="204" t="s">
        <v>369</v>
      </c>
      <c r="D64" s="204" t="s">
        <v>136</v>
      </c>
      <c r="E64" s="205" t="s">
        <v>26</v>
      </c>
      <c r="F64" s="206">
        <v>4015</v>
      </c>
      <c r="G64" s="206"/>
      <c r="H64" s="205" t="s">
        <v>26</v>
      </c>
      <c r="I64" s="207" t="s">
        <v>27</v>
      </c>
      <c r="J64" s="207"/>
      <c r="K64" s="208" t="s">
        <v>21</v>
      </c>
      <c r="L64" s="209">
        <v>168754.03</v>
      </c>
    </row>
    <row r="65" spans="1:12" ht="51" hidden="1" x14ac:dyDescent="0.3">
      <c r="A65" s="203" t="s">
        <v>129</v>
      </c>
      <c r="B65" s="204" t="s">
        <v>373</v>
      </c>
      <c r="C65" s="204" t="s">
        <v>374</v>
      </c>
      <c r="D65" s="204" t="s">
        <v>139</v>
      </c>
      <c r="E65" s="205" t="s">
        <v>26</v>
      </c>
      <c r="F65" s="206">
        <v>10298.67</v>
      </c>
      <c r="G65" s="206"/>
      <c r="H65" s="205" t="s">
        <v>26</v>
      </c>
      <c r="I65" s="207" t="s">
        <v>27</v>
      </c>
      <c r="J65" s="207"/>
      <c r="K65" s="208" t="s">
        <v>21</v>
      </c>
      <c r="L65" s="209">
        <v>179052.7</v>
      </c>
    </row>
    <row r="66" spans="1:12" ht="51" hidden="1" x14ac:dyDescent="0.3">
      <c r="A66" s="203" t="s">
        <v>550</v>
      </c>
      <c r="B66" s="204" t="s">
        <v>551</v>
      </c>
      <c r="C66" s="204" t="s">
        <v>552</v>
      </c>
      <c r="D66" s="204" t="s">
        <v>553</v>
      </c>
      <c r="E66" s="205" t="s">
        <v>26</v>
      </c>
      <c r="F66" s="206">
        <v>4075.5</v>
      </c>
      <c r="G66" s="206"/>
      <c r="H66" s="205" t="s">
        <v>45</v>
      </c>
      <c r="I66" s="207" t="s">
        <v>27</v>
      </c>
      <c r="J66" s="207"/>
      <c r="K66" s="208" t="s">
        <v>21</v>
      </c>
      <c r="L66" s="209">
        <v>183128.2</v>
      </c>
    </row>
    <row r="67" spans="1:12" ht="51" hidden="1" x14ac:dyDescent="0.3">
      <c r="A67" s="203" t="s">
        <v>140</v>
      </c>
      <c r="B67" s="204" t="s">
        <v>554</v>
      </c>
      <c r="C67" s="204" t="s">
        <v>555</v>
      </c>
      <c r="D67" s="204" t="s">
        <v>556</v>
      </c>
      <c r="E67" s="205" t="s">
        <v>26</v>
      </c>
      <c r="F67" s="206">
        <v>8011.67</v>
      </c>
      <c r="G67" s="206"/>
      <c r="H67" s="205" t="s">
        <v>45</v>
      </c>
      <c r="I67" s="207" t="s">
        <v>27</v>
      </c>
      <c r="J67" s="207"/>
      <c r="K67" s="208" t="s">
        <v>21</v>
      </c>
      <c r="L67" s="209">
        <v>191139.87</v>
      </c>
    </row>
    <row r="68" spans="1:12" hidden="1" x14ac:dyDescent="0.3">
      <c r="A68" s="214" t="s">
        <v>146</v>
      </c>
      <c r="B68" s="214"/>
      <c r="C68" s="214"/>
      <c r="D68" s="214"/>
      <c r="E68" s="215">
        <v>578404.57999999996</v>
      </c>
      <c r="F68" s="215"/>
      <c r="G68" s="215"/>
      <c r="H68" s="215">
        <v>577438.51</v>
      </c>
      <c r="I68" s="215"/>
      <c r="J68" s="215"/>
      <c r="K68" s="216" t="s">
        <v>21</v>
      </c>
      <c r="L68" s="217">
        <v>191139.87</v>
      </c>
    </row>
    <row r="70" spans="1:12" x14ac:dyDescent="0.3">
      <c r="J70" s="351">
        <f>SUBTOTAL(9,I19:J63)</f>
        <v>477448.43000000005</v>
      </c>
    </row>
  </sheetData>
  <autoFilter ref="A1:L68" xr:uid="{BE5F33A8-B2D1-465F-AF1E-C1DE168FE985}">
    <filterColumn colId="1">
      <filters>
        <filter val="Вимога-накладна ІБ00-000454 від 19.06.2025 10:16:23_x000a_Списаны ТМЦ"/>
        <filter val="Вимога-накладна ІБ00-000473 від 20.06.2025 15:18:10_x000a_Списаны ТМЦ"/>
        <filter val="Вимога-накладна ІБ00-000487 від 21.06.2025 18:07:03_x000a_Списаны ТМЦ"/>
        <filter val="Вимога-накладна ІБ00-000508 від 25.06.2025 23:13:00_x000a_Списаны ТМЦ"/>
        <filter val="Списання товарів ІБ00-000326 від 20.06.2025 15:20:29_x000a_Списаны ТМЦ"/>
        <filter val="Списання товарів ІБ00-000332 від 20.06.2025 18:07:04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42">
    <mergeCell ref="F67:G67"/>
    <mergeCell ref="I67:J67"/>
    <mergeCell ref="A68:D68"/>
    <mergeCell ref="E68:G68"/>
    <mergeCell ref="H68:J68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27E4-D1B9-42FA-8FDA-55769DABC44A}">
  <sheetPr filterMode="1"/>
  <dimension ref="A1:L42"/>
  <sheetViews>
    <sheetView topLeftCell="A22" workbookViewId="0">
      <selection activeCell="J42" sqref="J42"/>
    </sheetView>
  </sheetViews>
  <sheetFormatPr defaultRowHeight="14.4" x14ac:dyDescent="0.3"/>
  <cols>
    <col min="2" max="4" width="34.33203125" customWidth="1"/>
    <col min="10" max="10" width="9.88671875" bestFit="1" customWidth="1"/>
  </cols>
  <sheetData>
    <row r="1" spans="1:12" x14ac:dyDescent="0.3">
      <c r="A1" s="218" t="s">
        <v>13</v>
      </c>
      <c r="B1" s="219" t="s">
        <v>14</v>
      </c>
      <c r="C1" s="219" t="s">
        <v>15</v>
      </c>
      <c r="D1" s="220" t="s">
        <v>16</v>
      </c>
      <c r="E1" s="221" t="s">
        <v>17</v>
      </c>
      <c r="F1" s="221"/>
      <c r="G1" s="221"/>
      <c r="H1" s="222" t="s">
        <v>18</v>
      </c>
      <c r="I1" s="222"/>
      <c r="J1" s="222"/>
      <c r="K1" s="219" t="s">
        <v>19</v>
      </c>
      <c r="L1" s="219"/>
    </row>
    <row r="2" spans="1:12" hidden="1" x14ac:dyDescent="0.3">
      <c r="A2" s="223"/>
      <c r="B2" s="224"/>
      <c r="C2" s="224"/>
      <c r="D2" s="225"/>
      <c r="E2" s="226" t="s">
        <v>20</v>
      </c>
      <c r="F2" s="227"/>
      <c r="G2" s="227"/>
      <c r="H2" s="228" t="s">
        <v>20</v>
      </c>
      <c r="I2" s="229"/>
      <c r="J2" s="229"/>
      <c r="K2" s="223"/>
      <c r="L2" s="230"/>
    </row>
    <row r="3" spans="1:12" ht="61.2" hidden="1" x14ac:dyDescent="0.3">
      <c r="A3" s="231" t="s">
        <v>22</v>
      </c>
      <c r="B3" s="232" t="s">
        <v>28</v>
      </c>
      <c r="C3" s="232" t="s">
        <v>29</v>
      </c>
      <c r="D3" s="232" t="s">
        <v>30</v>
      </c>
      <c r="E3" s="233" t="s">
        <v>26</v>
      </c>
      <c r="F3" s="234" t="s">
        <v>27</v>
      </c>
      <c r="G3" s="234"/>
      <c r="H3" s="233" t="s">
        <v>26</v>
      </c>
      <c r="I3" s="235">
        <v>2557.5</v>
      </c>
      <c r="J3" s="235"/>
      <c r="K3" s="236" t="s">
        <v>21</v>
      </c>
      <c r="L3" s="237">
        <v>52130.46</v>
      </c>
    </row>
    <row r="4" spans="1:12" ht="61.2" hidden="1" x14ac:dyDescent="0.3">
      <c r="A4" s="231" t="s">
        <v>22</v>
      </c>
      <c r="B4" s="232" t="s">
        <v>557</v>
      </c>
      <c r="C4" s="232" t="s">
        <v>558</v>
      </c>
      <c r="D4" s="232" t="s">
        <v>559</v>
      </c>
      <c r="E4" s="233" t="s">
        <v>26</v>
      </c>
      <c r="F4" s="234" t="s">
        <v>27</v>
      </c>
      <c r="G4" s="234"/>
      <c r="H4" s="233" t="s">
        <v>26</v>
      </c>
      <c r="I4" s="235">
        <v>1941.13</v>
      </c>
      <c r="J4" s="235"/>
      <c r="K4" s="236" t="s">
        <v>21</v>
      </c>
      <c r="L4" s="237">
        <v>50189.33</v>
      </c>
    </row>
    <row r="5" spans="1:12" ht="61.2" hidden="1" x14ac:dyDescent="0.3">
      <c r="A5" s="231" t="s">
        <v>248</v>
      </c>
      <c r="B5" s="232" t="s">
        <v>262</v>
      </c>
      <c r="C5" s="232" t="s">
        <v>263</v>
      </c>
      <c r="D5" s="232" t="s">
        <v>252</v>
      </c>
      <c r="E5" s="233" t="s">
        <v>26</v>
      </c>
      <c r="F5" s="238">
        <v>1891.72</v>
      </c>
      <c r="G5" s="238"/>
      <c r="H5" s="233" t="s">
        <v>26</v>
      </c>
      <c r="I5" s="239" t="s">
        <v>27</v>
      </c>
      <c r="J5" s="239"/>
      <c r="K5" s="236" t="s">
        <v>21</v>
      </c>
      <c r="L5" s="237">
        <v>52081.05</v>
      </c>
    </row>
    <row r="6" spans="1:12" ht="61.2" hidden="1" x14ac:dyDescent="0.3">
      <c r="A6" s="231" t="s">
        <v>488</v>
      </c>
      <c r="B6" s="232" t="s">
        <v>560</v>
      </c>
      <c r="C6" s="232" t="s">
        <v>88</v>
      </c>
      <c r="D6" s="232" t="s">
        <v>561</v>
      </c>
      <c r="E6" s="233" t="s">
        <v>26</v>
      </c>
      <c r="F6" s="238">
        <v>7747.67</v>
      </c>
      <c r="G6" s="238"/>
      <c r="H6" s="233" t="s">
        <v>45</v>
      </c>
      <c r="I6" s="239" t="s">
        <v>27</v>
      </c>
      <c r="J6" s="239"/>
      <c r="K6" s="236" t="s">
        <v>21</v>
      </c>
      <c r="L6" s="237">
        <v>59828.72</v>
      </c>
    </row>
    <row r="7" spans="1:12" ht="61.2" hidden="1" x14ac:dyDescent="0.3">
      <c r="A7" s="231" t="s">
        <v>497</v>
      </c>
      <c r="B7" s="232" t="s">
        <v>562</v>
      </c>
      <c r="C7" s="232" t="s">
        <v>563</v>
      </c>
      <c r="D7" s="232" t="s">
        <v>564</v>
      </c>
      <c r="E7" s="233" t="s">
        <v>26</v>
      </c>
      <c r="F7" s="238">
        <v>7619.33</v>
      </c>
      <c r="G7" s="238"/>
      <c r="H7" s="233" t="s">
        <v>45</v>
      </c>
      <c r="I7" s="239" t="s">
        <v>27</v>
      </c>
      <c r="J7" s="239"/>
      <c r="K7" s="236" t="s">
        <v>21</v>
      </c>
      <c r="L7" s="237">
        <v>67448.05</v>
      </c>
    </row>
    <row r="8" spans="1:12" ht="61.2" hidden="1" x14ac:dyDescent="0.3">
      <c r="A8" s="231" t="s">
        <v>57</v>
      </c>
      <c r="B8" s="232" t="s">
        <v>276</v>
      </c>
      <c r="C8" s="232" t="s">
        <v>277</v>
      </c>
      <c r="D8" s="232" t="s">
        <v>60</v>
      </c>
      <c r="E8" s="233" t="s">
        <v>26</v>
      </c>
      <c r="F8" s="238">
        <v>3930.67</v>
      </c>
      <c r="G8" s="238"/>
      <c r="H8" s="233" t="s">
        <v>26</v>
      </c>
      <c r="I8" s="239" t="s">
        <v>27</v>
      </c>
      <c r="J8" s="239"/>
      <c r="K8" s="236" t="s">
        <v>21</v>
      </c>
      <c r="L8" s="237">
        <v>71378.720000000001</v>
      </c>
    </row>
    <row r="9" spans="1:12" ht="61.2" hidden="1" x14ac:dyDescent="0.3">
      <c r="A9" s="231" t="s">
        <v>61</v>
      </c>
      <c r="B9" s="232" t="s">
        <v>287</v>
      </c>
      <c r="C9" s="232" t="s">
        <v>288</v>
      </c>
      <c r="D9" s="232" t="s">
        <v>64</v>
      </c>
      <c r="E9" s="233" t="s">
        <v>26</v>
      </c>
      <c r="F9" s="238">
        <v>4044.33</v>
      </c>
      <c r="G9" s="238"/>
      <c r="H9" s="233" t="s">
        <v>26</v>
      </c>
      <c r="I9" s="239" t="s">
        <v>27</v>
      </c>
      <c r="J9" s="239"/>
      <c r="K9" s="236" t="s">
        <v>21</v>
      </c>
      <c r="L9" s="237">
        <v>75423.05</v>
      </c>
    </row>
    <row r="10" spans="1:12" ht="61.2" hidden="1" x14ac:dyDescent="0.3">
      <c r="A10" s="231" t="s">
        <v>297</v>
      </c>
      <c r="B10" s="232" t="s">
        <v>565</v>
      </c>
      <c r="C10" s="232" t="s">
        <v>566</v>
      </c>
      <c r="D10" s="232" t="s">
        <v>567</v>
      </c>
      <c r="E10" s="233" t="s">
        <v>26</v>
      </c>
      <c r="F10" s="238">
        <v>3782.72</v>
      </c>
      <c r="G10" s="238"/>
      <c r="H10" s="233" t="s">
        <v>26</v>
      </c>
      <c r="I10" s="239" t="s">
        <v>27</v>
      </c>
      <c r="J10" s="239"/>
      <c r="K10" s="236" t="s">
        <v>21</v>
      </c>
      <c r="L10" s="237">
        <v>79205.77</v>
      </c>
    </row>
    <row r="11" spans="1:12" ht="61.2" hidden="1" x14ac:dyDescent="0.3">
      <c r="A11" s="231" t="s">
        <v>297</v>
      </c>
      <c r="B11" s="232" t="s">
        <v>565</v>
      </c>
      <c r="C11" s="232" t="s">
        <v>568</v>
      </c>
      <c r="D11" s="232" t="s">
        <v>569</v>
      </c>
      <c r="E11" s="233" t="s">
        <v>26</v>
      </c>
      <c r="F11" s="238">
        <v>1685.95</v>
      </c>
      <c r="G11" s="238"/>
      <c r="H11" s="233" t="s">
        <v>26</v>
      </c>
      <c r="I11" s="239" t="s">
        <v>27</v>
      </c>
      <c r="J11" s="239"/>
      <c r="K11" s="236" t="s">
        <v>21</v>
      </c>
      <c r="L11" s="237">
        <v>80891.72</v>
      </c>
    </row>
    <row r="12" spans="1:12" ht="61.2" hidden="1" x14ac:dyDescent="0.3">
      <c r="A12" s="231" t="s">
        <v>147</v>
      </c>
      <c r="B12" s="232" t="s">
        <v>515</v>
      </c>
      <c r="C12" s="232" t="s">
        <v>263</v>
      </c>
      <c r="D12" s="232" t="s">
        <v>79</v>
      </c>
      <c r="E12" s="233" t="s">
        <v>26</v>
      </c>
      <c r="F12" s="238">
        <v>55200.26</v>
      </c>
      <c r="G12" s="238"/>
      <c r="H12" s="233" t="s">
        <v>26</v>
      </c>
      <c r="I12" s="239" t="s">
        <v>27</v>
      </c>
      <c r="J12" s="239"/>
      <c r="K12" s="236" t="s">
        <v>21</v>
      </c>
      <c r="L12" s="237">
        <v>136091.98000000001</v>
      </c>
    </row>
    <row r="13" spans="1:12" ht="61.2" x14ac:dyDescent="0.3">
      <c r="A13" s="231" t="s">
        <v>68</v>
      </c>
      <c r="B13" s="232" t="s">
        <v>570</v>
      </c>
      <c r="C13" s="232" t="s">
        <v>33</v>
      </c>
      <c r="D13" s="232" t="s">
        <v>559</v>
      </c>
      <c r="E13" s="233" t="s">
        <v>34</v>
      </c>
      <c r="F13" s="234" t="s">
        <v>27</v>
      </c>
      <c r="G13" s="234"/>
      <c r="H13" s="233" t="s">
        <v>26</v>
      </c>
      <c r="I13" s="235">
        <v>28689.83</v>
      </c>
      <c r="J13" s="235"/>
      <c r="K13" s="236" t="s">
        <v>21</v>
      </c>
      <c r="L13" s="237">
        <v>107402.15</v>
      </c>
    </row>
    <row r="14" spans="1:12" ht="61.2" x14ac:dyDescent="0.3">
      <c r="A14" s="231" t="s">
        <v>68</v>
      </c>
      <c r="B14" s="232" t="s">
        <v>570</v>
      </c>
      <c r="C14" s="232" t="s">
        <v>33</v>
      </c>
      <c r="D14" s="232" t="s">
        <v>571</v>
      </c>
      <c r="E14" s="233" t="s">
        <v>34</v>
      </c>
      <c r="F14" s="234" t="s">
        <v>27</v>
      </c>
      <c r="G14" s="234"/>
      <c r="H14" s="233" t="s">
        <v>26</v>
      </c>
      <c r="I14" s="235">
        <v>17590</v>
      </c>
      <c r="J14" s="235"/>
      <c r="K14" s="236" t="s">
        <v>21</v>
      </c>
      <c r="L14" s="237">
        <v>89812.15</v>
      </c>
    </row>
    <row r="15" spans="1:12" ht="61.2" x14ac:dyDescent="0.3">
      <c r="A15" s="231" t="s">
        <v>68</v>
      </c>
      <c r="B15" s="232" t="s">
        <v>570</v>
      </c>
      <c r="C15" s="232" t="s">
        <v>33</v>
      </c>
      <c r="D15" s="232" t="s">
        <v>263</v>
      </c>
      <c r="E15" s="233" t="s">
        <v>34</v>
      </c>
      <c r="F15" s="234" t="s">
        <v>27</v>
      </c>
      <c r="G15" s="234"/>
      <c r="H15" s="233" t="s">
        <v>26</v>
      </c>
      <c r="I15" s="235">
        <v>1891.72</v>
      </c>
      <c r="J15" s="235"/>
      <c r="K15" s="236" t="s">
        <v>21</v>
      </c>
      <c r="L15" s="237">
        <v>87920.43</v>
      </c>
    </row>
    <row r="16" spans="1:12" ht="61.2" x14ac:dyDescent="0.3">
      <c r="A16" s="231" t="s">
        <v>68</v>
      </c>
      <c r="B16" s="232" t="s">
        <v>570</v>
      </c>
      <c r="C16" s="232" t="s">
        <v>33</v>
      </c>
      <c r="D16" s="232" t="s">
        <v>263</v>
      </c>
      <c r="E16" s="233" t="s">
        <v>34</v>
      </c>
      <c r="F16" s="234" t="s">
        <v>27</v>
      </c>
      <c r="G16" s="234"/>
      <c r="H16" s="233" t="s">
        <v>26</v>
      </c>
      <c r="I16" s="235">
        <v>55200.26</v>
      </c>
      <c r="J16" s="235"/>
      <c r="K16" s="236" t="s">
        <v>21</v>
      </c>
      <c r="L16" s="237">
        <v>32720.17</v>
      </c>
    </row>
    <row r="17" spans="1:12" ht="61.2" hidden="1" x14ac:dyDescent="0.3">
      <c r="A17" s="231" t="s">
        <v>76</v>
      </c>
      <c r="B17" s="232" t="s">
        <v>86</v>
      </c>
      <c r="C17" s="232" t="s">
        <v>87</v>
      </c>
      <c r="D17" s="232" t="s">
        <v>88</v>
      </c>
      <c r="E17" s="233" t="s">
        <v>26</v>
      </c>
      <c r="F17" s="234" t="s">
        <v>27</v>
      </c>
      <c r="G17" s="234"/>
      <c r="H17" s="233" t="s">
        <v>26</v>
      </c>
      <c r="I17" s="235">
        <v>2918.67</v>
      </c>
      <c r="J17" s="235"/>
      <c r="K17" s="236" t="s">
        <v>21</v>
      </c>
      <c r="L17" s="237">
        <v>29801.5</v>
      </c>
    </row>
    <row r="18" spans="1:12" ht="61.2" hidden="1" x14ac:dyDescent="0.3">
      <c r="A18" s="231" t="s">
        <v>76</v>
      </c>
      <c r="B18" s="232" t="s">
        <v>332</v>
      </c>
      <c r="C18" s="232" t="s">
        <v>333</v>
      </c>
      <c r="D18" s="232" t="s">
        <v>334</v>
      </c>
      <c r="E18" s="233" t="s">
        <v>26</v>
      </c>
      <c r="F18" s="238">
        <v>1910.22</v>
      </c>
      <c r="G18" s="238"/>
      <c r="H18" s="233" t="s">
        <v>26</v>
      </c>
      <c r="I18" s="239" t="s">
        <v>27</v>
      </c>
      <c r="J18" s="239"/>
      <c r="K18" s="236" t="s">
        <v>21</v>
      </c>
      <c r="L18" s="237">
        <v>31711.72</v>
      </c>
    </row>
    <row r="19" spans="1:12" ht="61.2" hidden="1" x14ac:dyDescent="0.3">
      <c r="A19" s="231" t="s">
        <v>76</v>
      </c>
      <c r="B19" s="232" t="s">
        <v>92</v>
      </c>
      <c r="C19" s="232" t="s">
        <v>93</v>
      </c>
      <c r="D19" s="232" t="s">
        <v>94</v>
      </c>
      <c r="E19" s="233" t="s">
        <v>26</v>
      </c>
      <c r="F19" s="238">
        <v>36573.949999999997</v>
      </c>
      <c r="G19" s="238"/>
      <c r="H19" s="233" t="s">
        <v>26</v>
      </c>
      <c r="I19" s="239" t="s">
        <v>27</v>
      </c>
      <c r="J19" s="239"/>
      <c r="K19" s="236" t="s">
        <v>21</v>
      </c>
      <c r="L19" s="237">
        <v>68285.67</v>
      </c>
    </row>
    <row r="20" spans="1:12" ht="61.2" x14ac:dyDescent="0.3">
      <c r="A20" s="231" t="s">
        <v>76</v>
      </c>
      <c r="B20" s="232" t="s">
        <v>572</v>
      </c>
      <c r="C20" s="232" t="s">
        <v>33</v>
      </c>
      <c r="D20" s="232" t="s">
        <v>88</v>
      </c>
      <c r="E20" s="233" t="s">
        <v>34</v>
      </c>
      <c r="F20" s="234" t="s">
        <v>27</v>
      </c>
      <c r="G20" s="234"/>
      <c r="H20" s="233" t="s">
        <v>26</v>
      </c>
      <c r="I20" s="235">
        <v>4829</v>
      </c>
      <c r="J20" s="235"/>
      <c r="K20" s="236" t="s">
        <v>21</v>
      </c>
      <c r="L20" s="237">
        <v>63456.67</v>
      </c>
    </row>
    <row r="21" spans="1:12" ht="61.2" x14ac:dyDescent="0.3">
      <c r="A21" s="231" t="s">
        <v>76</v>
      </c>
      <c r="B21" s="232" t="s">
        <v>572</v>
      </c>
      <c r="C21" s="232" t="s">
        <v>33</v>
      </c>
      <c r="D21" s="232" t="s">
        <v>563</v>
      </c>
      <c r="E21" s="233" t="s">
        <v>34</v>
      </c>
      <c r="F21" s="234" t="s">
        <v>27</v>
      </c>
      <c r="G21" s="234"/>
      <c r="H21" s="233" t="s">
        <v>26</v>
      </c>
      <c r="I21" s="235">
        <v>3720.75</v>
      </c>
      <c r="J21" s="235"/>
      <c r="K21" s="236" t="s">
        <v>21</v>
      </c>
      <c r="L21" s="237">
        <v>59735.92</v>
      </c>
    </row>
    <row r="22" spans="1:12" ht="61.2" x14ac:dyDescent="0.3">
      <c r="A22" s="231" t="s">
        <v>76</v>
      </c>
      <c r="B22" s="232" t="s">
        <v>572</v>
      </c>
      <c r="C22" s="232" t="s">
        <v>33</v>
      </c>
      <c r="D22" s="232" t="s">
        <v>333</v>
      </c>
      <c r="E22" s="233" t="s">
        <v>34</v>
      </c>
      <c r="F22" s="234" t="s">
        <v>27</v>
      </c>
      <c r="G22" s="234"/>
      <c r="H22" s="233" t="s">
        <v>26</v>
      </c>
      <c r="I22" s="235">
        <v>1910.22</v>
      </c>
      <c r="J22" s="235"/>
      <c r="K22" s="236" t="s">
        <v>21</v>
      </c>
      <c r="L22" s="237">
        <v>57825.7</v>
      </c>
    </row>
    <row r="23" spans="1:12" ht="61.2" x14ac:dyDescent="0.3">
      <c r="A23" s="231" t="s">
        <v>76</v>
      </c>
      <c r="B23" s="232" t="s">
        <v>572</v>
      </c>
      <c r="C23" s="232" t="s">
        <v>33</v>
      </c>
      <c r="D23" s="232" t="s">
        <v>93</v>
      </c>
      <c r="E23" s="233" t="s">
        <v>34</v>
      </c>
      <c r="F23" s="234" t="s">
        <v>27</v>
      </c>
      <c r="G23" s="234"/>
      <c r="H23" s="233" t="s">
        <v>26</v>
      </c>
      <c r="I23" s="235">
        <v>36573.949999999997</v>
      </c>
      <c r="J23" s="235"/>
      <c r="K23" s="236" t="s">
        <v>21</v>
      </c>
      <c r="L23" s="237">
        <v>21251.75</v>
      </c>
    </row>
    <row r="24" spans="1:12" ht="61.2" hidden="1" x14ac:dyDescent="0.3">
      <c r="A24" s="231" t="s">
        <v>76</v>
      </c>
      <c r="B24" s="232" t="s">
        <v>573</v>
      </c>
      <c r="C24" s="232" t="s">
        <v>574</v>
      </c>
      <c r="D24" s="232" t="s">
        <v>563</v>
      </c>
      <c r="E24" s="233" t="s">
        <v>26</v>
      </c>
      <c r="F24" s="234" t="s">
        <v>27</v>
      </c>
      <c r="G24" s="234"/>
      <c r="H24" s="233" t="s">
        <v>26</v>
      </c>
      <c r="I24" s="235">
        <v>3898.58</v>
      </c>
      <c r="J24" s="235"/>
      <c r="K24" s="236" t="s">
        <v>21</v>
      </c>
      <c r="L24" s="237">
        <v>17353.169999999998</v>
      </c>
    </row>
    <row r="25" spans="1:12" ht="61.2" hidden="1" x14ac:dyDescent="0.3">
      <c r="A25" s="231" t="s">
        <v>76</v>
      </c>
      <c r="B25" s="232" t="s">
        <v>573</v>
      </c>
      <c r="C25" s="232" t="s">
        <v>575</v>
      </c>
      <c r="D25" s="232" t="s">
        <v>277</v>
      </c>
      <c r="E25" s="233" t="s">
        <v>26</v>
      </c>
      <c r="F25" s="234" t="s">
        <v>27</v>
      </c>
      <c r="G25" s="234"/>
      <c r="H25" s="233" t="s">
        <v>26</v>
      </c>
      <c r="I25" s="235">
        <v>2554.75</v>
      </c>
      <c r="J25" s="235"/>
      <c r="K25" s="236" t="s">
        <v>21</v>
      </c>
      <c r="L25" s="237">
        <v>14798.42</v>
      </c>
    </row>
    <row r="26" spans="1:12" ht="61.2" hidden="1" x14ac:dyDescent="0.3">
      <c r="A26" s="231" t="s">
        <v>183</v>
      </c>
      <c r="B26" s="232" t="s">
        <v>576</v>
      </c>
      <c r="C26" s="232" t="s">
        <v>577</v>
      </c>
      <c r="D26" s="232" t="s">
        <v>578</v>
      </c>
      <c r="E26" s="233" t="s">
        <v>26</v>
      </c>
      <c r="F26" s="238">
        <v>8041</v>
      </c>
      <c r="G26" s="238"/>
      <c r="H26" s="233" t="s">
        <v>45</v>
      </c>
      <c r="I26" s="239" t="s">
        <v>27</v>
      </c>
      <c r="J26" s="239"/>
      <c r="K26" s="236" t="s">
        <v>21</v>
      </c>
      <c r="L26" s="237">
        <v>22839.42</v>
      </c>
    </row>
    <row r="27" spans="1:12" ht="61.2" hidden="1" x14ac:dyDescent="0.3">
      <c r="A27" s="231" t="s">
        <v>107</v>
      </c>
      <c r="B27" s="232" t="s">
        <v>579</v>
      </c>
      <c r="C27" s="232" t="s">
        <v>580</v>
      </c>
      <c r="D27" s="232" t="s">
        <v>581</v>
      </c>
      <c r="E27" s="233" t="s">
        <v>26</v>
      </c>
      <c r="F27" s="238">
        <v>3917.83</v>
      </c>
      <c r="G27" s="238"/>
      <c r="H27" s="233" t="s">
        <v>45</v>
      </c>
      <c r="I27" s="239" t="s">
        <v>27</v>
      </c>
      <c r="J27" s="239"/>
      <c r="K27" s="236" t="s">
        <v>21</v>
      </c>
      <c r="L27" s="237">
        <v>26757.25</v>
      </c>
    </row>
    <row r="28" spans="1:12" ht="61.2" x14ac:dyDescent="0.3">
      <c r="A28" s="231" t="s">
        <v>115</v>
      </c>
      <c r="B28" s="232" t="s">
        <v>582</v>
      </c>
      <c r="C28" s="232" t="s">
        <v>33</v>
      </c>
      <c r="D28" s="232" t="s">
        <v>277</v>
      </c>
      <c r="E28" s="233" t="s">
        <v>34</v>
      </c>
      <c r="F28" s="234" t="s">
        <v>27</v>
      </c>
      <c r="G28" s="234"/>
      <c r="H28" s="233" t="s">
        <v>26</v>
      </c>
      <c r="I28" s="235">
        <v>1375.92</v>
      </c>
      <c r="J28" s="235"/>
      <c r="K28" s="236" t="s">
        <v>21</v>
      </c>
      <c r="L28" s="237">
        <v>25381.33</v>
      </c>
    </row>
    <row r="29" spans="1:12" ht="61.2" x14ac:dyDescent="0.3">
      <c r="A29" s="231" t="s">
        <v>115</v>
      </c>
      <c r="B29" s="232" t="s">
        <v>582</v>
      </c>
      <c r="C29" s="232" t="s">
        <v>33</v>
      </c>
      <c r="D29" s="232" t="s">
        <v>288</v>
      </c>
      <c r="E29" s="233" t="s">
        <v>34</v>
      </c>
      <c r="F29" s="234" t="s">
        <v>27</v>
      </c>
      <c r="G29" s="234"/>
      <c r="H29" s="233" t="s">
        <v>26</v>
      </c>
      <c r="I29" s="235">
        <v>4044.33</v>
      </c>
      <c r="J29" s="235"/>
      <c r="K29" s="236" t="s">
        <v>21</v>
      </c>
      <c r="L29" s="237">
        <v>21337</v>
      </c>
    </row>
    <row r="30" spans="1:12" ht="61.2" x14ac:dyDescent="0.3">
      <c r="A30" s="231" t="s">
        <v>115</v>
      </c>
      <c r="B30" s="232" t="s">
        <v>582</v>
      </c>
      <c r="C30" s="232" t="s">
        <v>33</v>
      </c>
      <c r="D30" s="232" t="s">
        <v>577</v>
      </c>
      <c r="E30" s="233" t="s">
        <v>34</v>
      </c>
      <c r="F30" s="234" t="s">
        <v>27</v>
      </c>
      <c r="G30" s="234"/>
      <c r="H30" s="233" t="s">
        <v>26</v>
      </c>
      <c r="I30" s="235">
        <v>3769.33</v>
      </c>
      <c r="J30" s="235"/>
      <c r="K30" s="236" t="s">
        <v>21</v>
      </c>
      <c r="L30" s="237">
        <v>17567.669999999998</v>
      </c>
    </row>
    <row r="31" spans="1:12" ht="61.2" hidden="1" x14ac:dyDescent="0.3">
      <c r="A31" s="231" t="s">
        <v>115</v>
      </c>
      <c r="B31" s="232" t="s">
        <v>583</v>
      </c>
      <c r="C31" s="232" t="s">
        <v>584</v>
      </c>
      <c r="D31" s="232" t="s">
        <v>585</v>
      </c>
      <c r="E31" s="233" t="s">
        <v>26</v>
      </c>
      <c r="F31" s="238">
        <v>4007.67</v>
      </c>
      <c r="G31" s="238"/>
      <c r="H31" s="233" t="s">
        <v>45</v>
      </c>
      <c r="I31" s="239" t="s">
        <v>27</v>
      </c>
      <c r="J31" s="239"/>
      <c r="K31" s="236" t="s">
        <v>21</v>
      </c>
      <c r="L31" s="237">
        <v>21575.34</v>
      </c>
    </row>
    <row r="32" spans="1:12" ht="61.2" hidden="1" x14ac:dyDescent="0.3">
      <c r="A32" s="231" t="s">
        <v>119</v>
      </c>
      <c r="B32" s="232" t="s">
        <v>586</v>
      </c>
      <c r="C32" s="232" t="s">
        <v>587</v>
      </c>
      <c r="D32" s="232" t="s">
        <v>588</v>
      </c>
      <c r="E32" s="233" t="s">
        <v>26</v>
      </c>
      <c r="F32" s="238">
        <v>6086.67</v>
      </c>
      <c r="G32" s="238"/>
      <c r="H32" s="233" t="s">
        <v>45</v>
      </c>
      <c r="I32" s="239" t="s">
        <v>27</v>
      </c>
      <c r="J32" s="239"/>
      <c r="K32" s="236" t="s">
        <v>21</v>
      </c>
      <c r="L32" s="237">
        <v>27662.01</v>
      </c>
    </row>
    <row r="33" spans="1:12" ht="61.2" hidden="1" x14ac:dyDescent="0.3">
      <c r="A33" s="231" t="s">
        <v>129</v>
      </c>
      <c r="B33" s="232" t="s">
        <v>371</v>
      </c>
      <c r="C33" s="232" t="s">
        <v>372</v>
      </c>
      <c r="D33" s="232" t="s">
        <v>139</v>
      </c>
      <c r="E33" s="233" t="s">
        <v>26</v>
      </c>
      <c r="F33" s="238">
        <v>31008</v>
      </c>
      <c r="G33" s="238"/>
      <c r="H33" s="233" t="s">
        <v>26</v>
      </c>
      <c r="I33" s="239" t="s">
        <v>27</v>
      </c>
      <c r="J33" s="239"/>
      <c r="K33" s="236" t="s">
        <v>21</v>
      </c>
      <c r="L33" s="237">
        <v>58670.01</v>
      </c>
    </row>
    <row r="34" spans="1:12" ht="61.2" hidden="1" x14ac:dyDescent="0.3">
      <c r="A34" s="231" t="s">
        <v>140</v>
      </c>
      <c r="B34" s="232" t="s">
        <v>589</v>
      </c>
      <c r="C34" s="232" t="s">
        <v>590</v>
      </c>
      <c r="D34" s="232" t="s">
        <v>591</v>
      </c>
      <c r="E34" s="233" t="s">
        <v>26</v>
      </c>
      <c r="F34" s="238">
        <v>26964</v>
      </c>
      <c r="G34" s="238"/>
      <c r="H34" s="233" t="s">
        <v>45</v>
      </c>
      <c r="I34" s="239" t="s">
        <v>27</v>
      </c>
      <c r="J34" s="239"/>
      <c r="K34" s="236" t="s">
        <v>21</v>
      </c>
      <c r="L34" s="237">
        <v>85634.01</v>
      </c>
    </row>
    <row r="35" spans="1:12" ht="61.2" hidden="1" x14ac:dyDescent="0.3">
      <c r="A35" s="231" t="s">
        <v>140</v>
      </c>
      <c r="B35" s="232" t="s">
        <v>592</v>
      </c>
      <c r="C35" s="232" t="s">
        <v>593</v>
      </c>
      <c r="D35" s="232" t="s">
        <v>591</v>
      </c>
      <c r="E35" s="233" t="s">
        <v>26</v>
      </c>
      <c r="F35" s="238">
        <v>49245</v>
      </c>
      <c r="G35" s="238"/>
      <c r="H35" s="233" t="s">
        <v>45</v>
      </c>
      <c r="I35" s="239" t="s">
        <v>27</v>
      </c>
      <c r="J35" s="239"/>
      <c r="K35" s="236" t="s">
        <v>21</v>
      </c>
      <c r="L35" s="237">
        <v>134879.01</v>
      </c>
    </row>
    <row r="36" spans="1:12" ht="61.2" hidden="1" x14ac:dyDescent="0.3">
      <c r="A36" s="231" t="s">
        <v>140</v>
      </c>
      <c r="B36" s="232" t="s">
        <v>592</v>
      </c>
      <c r="C36" s="232" t="s">
        <v>594</v>
      </c>
      <c r="D36" s="232" t="s">
        <v>591</v>
      </c>
      <c r="E36" s="233" t="s">
        <v>26</v>
      </c>
      <c r="F36" s="238">
        <v>35754</v>
      </c>
      <c r="G36" s="238"/>
      <c r="H36" s="233" t="s">
        <v>45</v>
      </c>
      <c r="I36" s="239" t="s">
        <v>27</v>
      </c>
      <c r="J36" s="239"/>
      <c r="K36" s="236" t="s">
        <v>21</v>
      </c>
      <c r="L36" s="237">
        <v>170633.01</v>
      </c>
    </row>
    <row r="37" spans="1:12" ht="61.2" hidden="1" x14ac:dyDescent="0.3">
      <c r="A37" s="231" t="s">
        <v>140</v>
      </c>
      <c r="B37" s="232" t="s">
        <v>592</v>
      </c>
      <c r="C37" s="232" t="s">
        <v>595</v>
      </c>
      <c r="D37" s="232" t="s">
        <v>591</v>
      </c>
      <c r="E37" s="233" t="s">
        <v>26</v>
      </c>
      <c r="F37" s="238">
        <v>37159</v>
      </c>
      <c r="G37" s="238"/>
      <c r="H37" s="233" t="s">
        <v>45</v>
      </c>
      <c r="I37" s="239" t="s">
        <v>27</v>
      </c>
      <c r="J37" s="239"/>
      <c r="K37" s="236" t="s">
        <v>21</v>
      </c>
      <c r="L37" s="237">
        <v>207792.01</v>
      </c>
    </row>
    <row r="38" spans="1:12" ht="61.2" hidden="1" x14ac:dyDescent="0.3">
      <c r="A38" s="231" t="s">
        <v>140</v>
      </c>
      <c r="B38" s="232" t="s">
        <v>592</v>
      </c>
      <c r="C38" s="232" t="s">
        <v>596</v>
      </c>
      <c r="D38" s="232" t="s">
        <v>591</v>
      </c>
      <c r="E38" s="233" t="s">
        <v>26</v>
      </c>
      <c r="F38" s="238">
        <v>36847</v>
      </c>
      <c r="G38" s="238"/>
      <c r="H38" s="233" t="s">
        <v>45</v>
      </c>
      <c r="I38" s="239" t="s">
        <v>27</v>
      </c>
      <c r="J38" s="239"/>
      <c r="K38" s="236" t="s">
        <v>21</v>
      </c>
      <c r="L38" s="237">
        <v>244639.01</v>
      </c>
    </row>
    <row r="39" spans="1:12" ht="61.2" hidden="1" x14ac:dyDescent="0.3">
      <c r="A39" s="231" t="s">
        <v>140</v>
      </c>
      <c r="B39" s="232" t="s">
        <v>592</v>
      </c>
      <c r="C39" s="232" t="s">
        <v>597</v>
      </c>
      <c r="D39" s="232" t="s">
        <v>591</v>
      </c>
      <c r="E39" s="233" t="s">
        <v>26</v>
      </c>
      <c r="F39" s="238">
        <v>36847</v>
      </c>
      <c r="G39" s="238"/>
      <c r="H39" s="233" t="s">
        <v>45</v>
      </c>
      <c r="I39" s="239" t="s">
        <v>27</v>
      </c>
      <c r="J39" s="239"/>
      <c r="K39" s="236" t="s">
        <v>21</v>
      </c>
      <c r="L39" s="237">
        <v>281486.01</v>
      </c>
    </row>
    <row r="40" spans="1:12" hidden="1" x14ac:dyDescent="0.3">
      <c r="A40" s="240" t="s">
        <v>146</v>
      </c>
      <c r="B40" s="240"/>
      <c r="C40" s="240"/>
      <c r="D40" s="240"/>
      <c r="E40" s="241">
        <v>400263.99</v>
      </c>
      <c r="F40" s="241"/>
      <c r="G40" s="241"/>
      <c r="H40" s="241">
        <v>173465.94</v>
      </c>
      <c r="I40" s="241"/>
      <c r="J40" s="241"/>
      <c r="K40" s="242" t="s">
        <v>21</v>
      </c>
      <c r="L40" s="243">
        <v>281486.01</v>
      </c>
    </row>
    <row r="42" spans="1:12" x14ac:dyDescent="0.3">
      <c r="J42" s="351">
        <f>SUBTOTAL(9,I13:J30)</f>
        <v>159595.30999999997</v>
      </c>
    </row>
  </sheetData>
  <autoFilter ref="A1:L40" xr:uid="{9FEDAC4D-AE10-4532-BAA4-7ED917E81FBA}">
    <filterColumn colId="1">
      <filters>
        <filter val="Вимога-накладна ІБ00-000452 від 19.06.2025 09:59:19_x000a_Списаны ТМЦ"/>
        <filter val="Вимога-накладна ІБ00-000489 від 20.06.2025 10:51:40_x000a_Списаны ТМЦ"/>
        <filter val="Вимога-накладна ІБ00-000511 від 25.06.2025 0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86">
    <mergeCell ref="A40:D40"/>
    <mergeCell ref="E40:G40"/>
    <mergeCell ref="H40:J40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F5A6-8E6D-4340-964C-2EE8B7A66C0C}">
  <sheetPr filterMode="1"/>
  <dimension ref="A1:L32"/>
  <sheetViews>
    <sheetView topLeftCell="A24" workbookViewId="0">
      <selection activeCell="J32" sqref="J32"/>
    </sheetView>
  </sheetViews>
  <sheetFormatPr defaultRowHeight="14.4" x14ac:dyDescent="0.3"/>
  <cols>
    <col min="2" max="4" width="34.33203125" customWidth="1"/>
    <col min="10" max="10" width="9.88671875" bestFit="1" customWidth="1"/>
  </cols>
  <sheetData>
    <row r="1" spans="1:12" x14ac:dyDescent="0.3">
      <c r="A1" s="244" t="s">
        <v>13</v>
      </c>
      <c r="B1" s="245" t="s">
        <v>14</v>
      </c>
      <c r="C1" s="245" t="s">
        <v>15</v>
      </c>
      <c r="D1" s="246" t="s">
        <v>16</v>
      </c>
      <c r="E1" s="247" t="s">
        <v>17</v>
      </c>
      <c r="F1" s="247"/>
      <c r="G1" s="247"/>
      <c r="H1" s="248" t="s">
        <v>18</v>
      </c>
      <c r="I1" s="248"/>
      <c r="J1" s="248"/>
      <c r="K1" s="245" t="s">
        <v>19</v>
      </c>
      <c r="L1" s="245"/>
    </row>
    <row r="2" spans="1:12" hidden="1" x14ac:dyDescent="0.3">
      <c r="A2" s="249"/>
      <c r="B2" s="250"/>
      <c r="C2" s="250"/>
      <c r="D2" s="251"/>
      <c r="E2" s="252" t="s">
        <v>20</v>
      </c>
      <c r="F2" s="253"/>
      <c r="G2" s="253"/>
      <c r="H2" s="254" t="s">
        <v>20</v>
      </c>
      <c r="I2" s="255"/>
      <c r="J2" s="255"/>
      <c r="K2" s="249"/>
      <c r="L2" s="256"/>
    </row>
    <row r="3" spans="1:12" ht="51" hidden="1" x14ac:dyDescent="0.3">
      <c r="A3" s="257" t="s">
        <v>488</v>
      </c>
      <c r="B3" s="258" t="s">
        <v>492</v>
      </c>
      <c r="C3" s="258" t="s">
        <v>493</v>
      </c>
      <c r="D3" s="258" t="s">
        <v>490</v>
      </c>
      <c r="E3" s="259" t="s">
        <v>26</v>
      </c>
      <c r="F3" s="260">
        <v>2746.62</v>
      </c>
      <c r="G3" s="260"/>
      <c r="H3" s="259" t="s">
        <v>26</v>
      </c>
      <c r="I3" s="261" t="s">
        <v>27</v>
      </c>
      <c r="J3" s="261"/>
      <c r="K3" s="262" t="s">
        <v>21</v>
      </c>
      <c r="L3" s="263">
        <v>121645.48</v>
      </c>
    </row>
    <row r="4" spans="1:12" ht="51" x14ac:dyDescent="0.3">
      <c r="A4" s="257" t="s">
        <v>488</v>
      </c>
      <c r="B4" s="258" t="s">
        <v>598</v>
      </c>
      <c r="C4" s="258" t="s">
        <v>33</v>
      </c>
      <c r="D4" s="258" t="s">
        <v>493</v>
      </c>
      <c r="E4" s="259" t="s">
        <v>34</v>
      </c>
      <c r="F4" s="264" t="s">
        <v>27</v>
      </c>
      <c r="G4" s="264"/>
      <c r="H4" s="259" t="s">
        <v>26</v>
      </c>
      <c r="I4" s="265">
        <v>2746.62</v>
      </c>
      <c r="J4" s="265"/>
      <c r="K4" s="262" t="s">
        <v>21</v>
      </c>
      <c r="L4" s="263">
        <v>118898.86</v>
      </c>
    </row>
    <row r="5" spans="1:12" ht="51" hidden="1" x14ac:dyDescent="0.3">
      <c r="A5" s="257" t="s">
        <v>53</v>
      </c>
      <c r="B5" s="258" t="s">
        <v>272</v>
      </c>
      <c r="C5" s="258" t="s">
        <v>273</v>
      </c>
      <c r="D5" s="258" t="s">
        <v>56</v>
      </c>
      <c r="E5" s="259" t="s">
        <v>26</v>
      </c>
      <c r="F5" s="260">
        <v>4007.66</v>
      </c>
      <c r="G5" s="260"/>
      <c r="H5" s="259" t="s">
        <v>26</v>
      </c>
      <c r="I5" s="261" t="s">
        <v>27</v>
      </c>
      <c r="J5" s="261"/>
      <c r="K5" s="262" t="s">
        <v>21</v>
      </c>
      <c r="L5" s="263">
        <v>122906.52</v>
      </c>
    </row>
    <row r="6" spans="1:12" ht="51" hidden="1" x14ac:dyDescent="0.3">
      <c r="A6" s="257" t="s">
        <v>61</v>
      </c>
      <c r="B6" s="258" t="s">
        <v>291</v>
      </c>
      <c r="C6" s="258" t="s">
        <v>292</v>
      </c>
      <c r="D6" s="258" t="s">
        <v>279</v>
      </c>
      <c r="E6" s="259" t="s">
        <v>26</v>
      </c>
      <c r="F6" s="260">
        <v>24739.17</v>
      </c>
      <c r="G6" s="260"/>
      <c r="H6" s="259" t="s">
        <v>26</v>
      </c>
      <c r="I6" s="261" t="s">
        <v>27</v>
      </c>
      <c r="J6" s="261"/>
      <c r="K6" s="262" t="s">
        <v>21</v>
      </c>
      <c r="L6" s="263">
        <v>147645.69</v>
      </c>
    </row>
    <row r="7" spans="1:12" ht="51" hidden="1" x14ac:dyDescent="0.3">
      <c r="A7" s="257" t="s">
        <v>68</v>
      </c>
      <c r="B7" s="258" t="s">
        <v>323</v>
      </c>
      <c r="C7" s="258" t="s">
        <v>324</v>
      </c>
      <c r="D7" s="258" t="s">
        <v>75</v>
      </c>
      <c r="E7" s="259" t="s">
        <v>26</v>
      </c>
      <c r="F7" s="260">
        <v>25684.35</v>
      </c>
      <c r="G7" s="260"/>
      <c r="H7" s="259" t="s">
        <v>26</v>
      </c>
      <c r="I7" s="261" t="s">
        <v>27</v>
      </c>
      <c r="J7" s="261"/>
      <c r="K7" s="262" t="s">
        <v>21</v>
      </c>
      <c r="L7" s="263">
        <v>173330.04</v>
      </c>
    </row>
    <row r="8" spans="1:12" ht="51" hidden="1" x14ac:dyDescent="0.3">
      <c r="A8" s="257" t="s">
        <v>68</v>
      </c>
      <c r="B8" s="258" t="s">
        <v>323</v>
      </c>
      <c r="C8" s="258" t="s">
        <v>325</v>
      </c>
      <c r="D8" s="258" t="s">
        <v>320</v>
      </c>
      <c r="E8" s="259" t="s">
        <v>26</v>
      </c>
      <c r="F8" s="260">
        <v>130483.39</v>
      </c>
      <c r="G8" s="260"/>
      <c r="H8" s="259" t="s">
        <v>26</v>
      </c>
      <c r="I8" s="261" t="s">
        <v>27</v>
      </c>
      <c r="J8" s="261"/>
      <c r="K8" s="262" t="s">
        <v>21</v>
      </c>
      <c r="L8" s="263">
        <v>303813.43</v>
      </c>
    </row>
    <row r="9" spans="1:12" ht="51" hidden="1" x14ac:dyDescent="0.3">
      <c r="A9" s="257" t="s">
        <v>76</v>
      </c>
      <c r="B9" s="258" t="s">
        <v>521</v>
      </c>
      <c r="C9" s="258" t="s">
        <v>522</v>
      </c>
      <c r="D9" s="258" t="s">
        <v>523</v>
      </c>
      <c r="E9" s="259" t="s">
        <v>26</v>
      </c>
      <c r="F9" s="264" t="s">
        <v>27</v>
      </c>
      <c r="G9" s="264"/>
      <c r="H9" s="259" t="s">
        <v>26</v>
      </c>
      <c r="I9" s="265">
        <v>1145.83</v>
      </c>
      <c r="J9" s="265"/>
      <c r="K9" s="262" t="s">
        <v>21</v>
      </c>
      <c r="L9" s="263">
        <v>302667.59999999998</v>
      </c>
    </row>
    <row r="10" spans="1:12" ht="51" hidden="1" x14ac:dyDescent="0.3">
      <c r="A10" s="257" t="s">
        <v>76</v>
      </c>
      <c r="B10" s="258" t="s">
        <v>89</v>
      </c>
      <c r="C10" s="258" t="s">
        <v>90</v>
      </c>
      <c r="D10" s="258" t="s">
        <v>91</v>
      </c>
      <c r="E10" s="259" t="s">
        <v>26</v>
      </c>
      <c r="F10" s="264" t="s">
        <v>27</v>
      </c>
      <c r="G10" s="264"/>
      <c r="H10" s="259" t="s">
        <v>26</v>
      </c>
      <c r="I10" s="265">
        <v>1187.5</v>
      </c>
      <c r="J10" s="265"/>
      <c r="K10" s="262" t="s">
        <v>21</v>
      </c>
      <c r="L10" s="263">
        <v>301480.09999999998</v>
      </c>
    </row>
    <row r="11" spans="1:12" ht="51" hidden="1" x14ac:dyDescent="0.3">
      <c r="A11" s="257" t="s">
        <v>76</v>
      </c>
      <c r="B11" s="258" t="s">
        <v>525</v>
      </c>
      <c r="C11" s="258" t="s">
        <v>526</v>
      </c>
      <c r="D11" s="258" t="s">
        <v>325</v>
      </c>
      <c r="E11" s="259" t="s">
        <v>26</v>
      </c>
      <c r="F11" s="264" t="s">
        <v>27</v>
      </c>
      <c r="G11" s="264"/>
      <c r="H11" s="259" t="s">
        <v>26</v>
      </c>
      <c r="I11" s="265">
        <v>71370.460000000006</v>
      </c>
      <c r="J11" s="265"/>
      <c r="K11" s="262" t="s">
        <v>21</v>
      </c>
      <c r="L11" s="263">
        <v>230109.64</v>
      </c>
    </row>
    <row r="12" spans="1:12" ht="61.2" hidden="1" x14ac:dyDescent="0.3">
      <c r="A12" s="257" t="s">
        <v>76</v>
      </c>
      <c r="B12" s="258" t="s">
        <v>573</v>
      </c>
      <c r="C12" s="258" t="s">
        <v>574</v>
      </c>
      <c r="D12" s="258" t="s">
        <v>563</v>
      </c>
      <c r="E12" s="259" t="s">
        <v>26</v>
      </c>
      <c r="F12" s="260">
        <v>3898.58</v>
      </c>
      <c r="G12" s="260"/>
      <c r="H12" s="259" t="s">
        <v>26</v>
      </c>
      <c r="I12" s="261" t="s">
        <v>27</v>
      </c>
      <c r="J12" s="261"/>
      <c r="K12" s="262" t="s">
        <v>21</v>
      </c>
      <c r="L12" s="263">
        <v>234008.22</v>
      </c>
    </row>
    <row r="13" spans="1:12" ht="61.2" hidden="1" x14ac:dyDescent="0.3">
      <c r="A13" s="257" t="s">
        <v>76</v>
      </c>
      <c r="B13" s="258" t="s">
        <v>573</v>
      </c>
      <c r="C13" s="258" t="s">
        <v>575</v>
      </c>
      <c r="D13" s="258" t="s">
        <v>277</v>
      </c>
      <c r="E13" s="259" t="s">
        <v>26</v>
      </c>
      <c r="F13" s="260">
        <v>2554.75</v>
      </c>
      <c r="G13" s="260"/>
      <c r="H13" s="259" t="s">
        <v>26</v>
      </c>
      <c r="I13" s="261" t="s">
        <v>27</v>
      </c>
      <c r="J13" s="261"/>
      <c r="K13" s="262" t="s">
        <v>21</v>
      </c>
      <c r="L13" s="263">
        <v>236562.97</v>
      </c>
    </row>
    <row r="14" spans="1:12" ht="51" x14ac:dyDescent="0.3">
      <c r="A14" s="257" t="s">
        <v>76</v>
      </c>
      <c r="B14" s="258" t="s">
        <v>599</v>
      </c>
      <c r="C14" s="258" t="s">
        <v>33</v>
      </c>
      <c r="D14" s="258" t="s">
        <v>574</v>
      </c>
      <c r="E14" s="259" t="s">
        <v>34</v>
      </c>
      <c r="F14" s="264" t="s">
        <v>27</v>
      </c>
      <c r="G14" s="264"/>
      <c r="H14" s="259" t="s">
        <v>26</v>
      </c>
      <c r="I14" s="265">
        <v>3898.58</v>
      </c>
      <c r="J14" s="265"/>
      <c r="K14" s="262" t="s">
        <v>21</v>
      </c>
      <c r="L14" s="263">
        <v>232664.39</v>
      </c>
    </row>
    <row r="15" spans="1:12" ht="51" x14ac:dyDescent="0.3">
      <c r="A15" s="257" t="s">
        <v>76</v>
      </c>
      <c r="B15" s="258" t="s">
        <v>599</v>
      </c>
      <c r="C15" s="258" t="s">
        <v>33</v>
      </c>
      <c r="D15" s="258" t="s">
        <v>273</v>
      </c>
      <c r="E15" s="259" t="s">
        <v>34</v>
      </c>
      <c r="F15" s="264" t="s">
        <v>27</v>
      </c>
      <c r="G15" s="264"/>
      <c r="H15" s="259" t="s">
        <v>26</v>
      </c>
      <c r="I15" s="265">
        <v>2554.75</v>
      </c>
      <c r="J15" s="265"/>
      <c r="K15" s="262" t="s">
        <v>21</v>
      </c>
      <c r="L15" s="263">
        <v>230109.64</v>
      </c>
    </row>
    <row r="16" spans="1:12" ht="51" hidden="1" x14ac:dyDescent="0.3">
      <c r="A16" s="257" t="s">
        <v>107</v>
      </c>
      <c r="B16" s="258" t="s">
        <v>349</v>
      </c>
      <c r="C16" s="258" t="s">
        <v>117</v>
      </c>
      <c r="D16" s="258" t="s">
        <v>113</v>
      </c>
      <c r="E16" s="259" t="s">
        <v>26</v>
      </c>
      <c r="F16" s="260">
        <v>131402.35999999999</v>
      </c>
      <c r="G16" s="260"/>
      <c r="H16" s="259" t="s">
        <v>26</v>
      </c>
      <c r="I16" s="261" t="s">
        <v>27</v>
      </c>
      <c r="J16" s="261"/>
      <c r="K16" s="262" t="s">
        <v>21</v>
      </c>
      <c r="L16" s="263">
        <v>361512</v>
      </c>
    </row>
    <row r="17" spans="1:12" ht="51" hidden="1" x14ac:dyDescent="0.3">
      <c r="A17" s="257" t="s">
        <v>107</v>
      </c>
      <c r="B17" s="258" t="s">
        <v>355</v>
      </c>
      <c r="C17" s="258" t="s">
        <v>356</v>
      </c>
      <c r="D17" s="258" t="s">
        <v>346</v>
      </c>
      <c r="E17" s="259" t="s">
        <v>26</v>
      </c>
      <c r="F17" s="260">
        <v>25507.8</v>
      </c>
      <c r="G17" s="260"/>
      <c r="H17" s="259" t="s">
        <v>26</v>
      </c>
      <c r="I17" s="261" t="s">
        <v>27</v>
      </c>
      <c r="J17" s="261"/>
      <c r="K17" s="262" t="s">
        <v>21</v>
      </c>
      <c r="L17" s="263">
        <v>387019.8</v>
      </c>
    </row>
    <row r="18" spans="1:12" ht="51" hidden="1" x14ac:dyDescent="0.3">
      <c r="A18" s="257" t="s">
        <v>115</v>
      </c>
      <c r="B18" s="258" t="s">
        <v>116</v>
      </c>
      <c r="C18" s="258" t="s">
        <v>117</v>
      </c>
      <c r="D18" s="258" t="s">
        <v>112</v>
      </c>
      <c r="E18" s="259" t="s">
        <v>26</v>
      </c>
      <c r="F18" s="260">
        <v>5713.15</v>
      </c>
      <c r="G18" s="260"/>
      <c r="H18" s="259" t="s">
        <v>26</v>
      </c>
      <c r="I18" s="261" t="s">
        <v>27</v>
      </c>
      <c r="J18" s="261"/>
      <c r="K18" s="262" t="s">
        <v>21</v>
      </c>
      <c r="L18" s="263">
        <v>392732.95</v>
      </c>
    </row>
    <row r="19" spans="1:12" ht="51" hidden="1" x14ac:dyDescent="0.3">
      <c r="A19" s="257" t="s">
        <v>115</v>
      </c>
      <c r="B19" s="258" t="s">
        <v>542</v>
      </c>
      <c r="C19" s="258" t="s">
        <v>117</v>
      </c>
      <c r="D19" s="258" t="s">
        <v>351</v>
      </c>
      <c r="E19" s="259" t="s">
        <v>26</v>
      </c>
      <c r="F19" s="260">
        <v>12645.09</v>
      </c>
      <c r="G19" s="260"/>
      <c r="H19" s="259" t="s">
        <v>26</v>
      </c>
      <c r="I19" s="261" t="s">
        <v>27</v>
      </c>
      <c r="J19" s="261"/>
      <c r="K19" s="262" t="s">
        <v>21</v>
      </c>
      <c r="L19" s="263">
        <v>405378.04</v>
      </c>
    </row>
    <row r="20" spans="1:12" ht="51" x14ac:dyDescent="0.3">
      <c r="A20" s="257" t="s">
        <v>115</v>
      </c>
      <c r="B20" s="258" t="s">
        <v>600</v>
      </c>
      <c r="C20" s="258" t="s">
        <v>33</v>
      </c>
      <c r="D20" s="258" t="s">
        <v>601</v>
      </c>
      <c r="E20" s="259" t="s">
        <v>34</v>
      </c>
      <c r="F20" s="264" t="s">
        <v>27</v>
      </c>
      <c r="G20" s="264"/>
      <c r="H20" s="259" t="s">
        <v>26</v>
      </c>
      <c r="I20" s="265">
        <v>2885.17</v>
      </c>
      <c r="J20" s="265"/>
      <c r="K20" s="262" t="s">
        <v>21</v>
      </c>
      <c r="L20" s="263">
        <v>402492.87</v>
      </c>
    </row>
    <row r="21" spans="1:12" ht="51" x14ac:dyDescent="0.3">
      <c r="A21" s="257" t="s">
        <v>115</v>
      </c>
      <c r="B21" s="258" t="s">
        <v>600</v>
      </c>
      <c r="C21" s="258" t="s">
        <v>33</v>
      </c>
      <c r="D21" s="258" t="s">
        <v>292</v>
      </c>
      <c r="E21" s="259" t="s">
        <v>34</v>
      </c>
      <c r="F21" s="264" t="s">
        <v>27</v>
      </c>
      <c r="G21" s="264"/>
      <c r="H21" s="259" t="s">
        <v>26</v>
      </c>
      <c r="I21" s="265">
        <v>22650.080000000002</v>
      </c>
      <c r="J21" s="265"/>
      <c r="K21" s="262" t="s">
        <v>21</v>
      </c>
      <c r="L21" s="263">
        <v>379842.79</v>
      </c>
    </row>
    <row r="22" spans="1:12" ht="51" x14ac:dyDescent="0.3">
      <c r="A22" s="257" t="s">
        <v>115</v>
      </c>
      <c r="B22" s="258" t="s">
        <v>600</v>
      </c>
      <c r="C22" s="258" t="s">
        <v>33</v>
      </c>
      <c r="D22" s="258" t="s">
        <v>292</v>
      </c>
      <c r="E22" s="259" t="s">
        <v>34</v>
      </c>
      <c r="F22" s="264" t="s">
        <v>27</v>
      </c>
      <c r="G22" s="264"/>
      <c r="H22" s="259" t="s">
        <v>26</v>
      </c>
      <c r="I22" s="265">
        <v>2089.09</v>
      </c>
      <c r="J22" s="265"/>
      <c r="K22" s="262" t="s">
        <v>21</v>
      </c>
      <c r="L22" s="263">
        <v>377753.7</v>
      </c>
    </row>
    <row r="23" spans="1:12" ht="51" x14ac:dyDescent="0.3">
      <c r="A23" s="257" t="s">
        <v>115</v>
      </c>
      <c r="B23" s="258" t="s">
        <v>600</v>
      </c>
      <c r="C23" s="258" t="s">
        <v>33</v>
      </c>
      <c r="D23" s="258" t="s">
        <v>324</v>
      </c>
      <c r="E23" s="259" t="s">
        <v>34</v>
      </c>
      <c r="F23" s="264" t="s">
        <v>27</v>
      </c>
      <c r="G23" s="264"/>
      <c r="H23" s="259" t="s">
        <v>26</v>
      </c>
      <c r="I23" s="265">
        <v>21631.93</v>
      </c>
      <c r="J23" s="265"/>
      <c r="K23" s="262" t="s">
        <v>21</v>
      </c>
      <c r="L23" s="263">
        <v>356121.77</v>
      </c>
    </row>
    <row r="24" spans="1:12" ht="51" x14ac:dyDescent="0.3">
      <c r="A24" s="257" t="s">
        <v>115</v>
      </c>
      <c r="B24" s="258" t="s">
        <v>600</v>
      </c>
      <c r="C24" s="258" t="s">
        <v>33</v>
      </c>
      <c r="D24" s="258" t="s">
        <v>325</v>
      </c>
      <c r="E24" s="259" t="s">
        <v>34</v>
      </c>
      <c r="F24" s="264" t="s">
        <v>27</v>
      </c>
      <c r="G24" s="264"/>
      <c r="H24" s="259" t="s">
        <v>26</v>
      </c>
      <c r="I24" s="265">
        <v>59112.93</v>
      </c>
      <c r="J24" s="265"/>
      <c r="K24" s="262" t="s">
        <v>21</v>
      </c>
      <c r="L24" s="263">
        <v>297008.84000000003</v>
      </c>
    </row>
    <row r="25" spans="1:12" ht="51" x14ac:dyDescent="0.3">
      <c r="A25" s="257" t="s">
        <v>115</v>
      </c>
      <c r="B25" s="258" t="s">
        <v>600</v>
      </c>
      <c r="C25" s="258" t="s">
        <v>33</v>
      </c>
      <c r="D25" s="258" t="s">
        <v>117</v>
      </c>
      <c r="E25" s="259" t="s">
        <v>34</v>
      </c>
      <c r="F25" s="264" t="s">
        <v>27</v>
      </c>
      <c r="G25" s="264"/>
      <c r="H25" s="259" t="s">
        <v>26</v>
      </c>
      <c r="I25" s="265">
        <v>131402.35999999999</v>
      </c>
      <c r="J25" s="265"/>
      <c r="K25" s="262" t="s">
        <v>21</v>
      </c>
      <c r="L25" s="263">
        <v>165606.48000000001</v>
      </c>
    </row>
    <row r="26" spans="1:12" ht="51" x14ac:dyDescent="0.3">
      <c r="A26" s="257" t="s">
        <v>115</v>
      </c>
      <c r="B26" s="258" t="s">
        <v>600</v>
      </c>
      <c r="C26" s="258" t="s">
        <v>33</v>
      </c>
      <c r="D26" s="258" t="s">
        <v>602</v>
      </c>
      <c r="E26" s="259" t="s">
        <v>34</v>
      </c>
      <c r="F26" s="264" t="s">
        <v>27</v>
      </c>
      <c r="G26" s="264"/>
      <c r="H26" s="259" t="s">
        <v>26</v>
      </c>
      <c r="I26" s="265">
        <v>48295.19</v>
      </c>
      <c r="J26" s="265"/>
      <c r="K26" s="262" t="s">
        <v>21</v>
      </c>
      <c r="L26" s="263">
        <v>117311.29</v>
      </c>
    </row>
    <row r="27" spans="1:12" ht="51" x14ac:dyDescent="0.3">
      <c r="A27" s="257" t="s">
        <v>115</v>
      </c>
      <c r="B27" s="258" t="s">
        <v>600</v>
      </c>
      <c r="C27" s="258" t="s">
        <v>33</v>
      </c>
      <c r="D27" s="258" t="s">
        <v>117</v>
      </c>
      <c r="E27" s="259" t="s">
        <v>34</v>
      </c>
      <c r="F27" s="264" t="s">
        <v>27</v>
      </c>
      <c r="G27" s="264"/>
      <c r="H27" s="259" t="s">
        <v>26</v>
      </c>
      <c r="I27" s="265">
        <v>5713.15</v>
      </c>
      <c r="J27" s="265"/>
      <c r="K27" s="262" t="s">
        <v>21</v>
      </c>
      <c r="L27" s="263">
        <v>111598.14</v>
      </c>
    </row>
    <row r="28" spans="1:12" ht="51" x14ac:dyDescent="0.3">
      <c r="A28" s="257" t="s">
        <v>115</v>
      </c>
      <c r="B28" s="258" t="s">
        <v>600</v>
      </c>
      <c r="C28" s="258" t="s">
        <v>33</v>
      </c>
      <c r="D28" s="258" t="s">
        <v>117</v>
      </c>
      <c r="E28" s="259" t="s">
        <v>34</v>
      </c>
      <c r="F28" s="264" t="s">
        <v>27</v>
      </c>
      <c r="G28" s="264"/>
      <c r="H28" s="259" t="s">
        <v>26</v>
      </c>
      <c r="I28" s="265">
        <v>12645.09</v>
      </c>
      <c r="J28" s="265"/>
      <c r="K28" s="262" t="s">
        <v>21</v>
      </c>
      <c r="L28" s="263">
        <v>98953.05</v>
      </c>
    </row>
    <row r="29" spans="1:12" ht="61.2" x14ac:dyDescent="0.3">
      <c r="A29" s="257" t="s">
        <v>115</v>
      </c>
      <c r="B29" s="258" t="s">
        <v>603</v>
      </c>
      <c r="C29" s="258" t="s">
        <v>33</v>
      </c>
      <c r="D29" s="258" t="s">
        <v>604</v>
      </c>
      <c r="E29" s="259" t="s">
        <v>34</v>
      </c>
      <c r="F29" s="264" t="s">
        <v>27</v>
      </c>
      <c r="G29" s="264"/>
      <c r="H29" s="259" t="s">
        <v>26</v>
      </c>
      <c r="I29" s="265">
        <v>5608.81</v>
      </c>
      <c r="J29" s="265"/>
      <c r="K29" s="262" t="s">
        <v>21</v>
      </c>
      <c r="L29" s="263">
        <v>93344.24</v>
      </c>
    </row>
    <row r="30" spans="1:12" hidden="1" x14ac:dyDescent="0.3">
      <c r="A30" s="266" t="s">
        <v>146</v>
      </c>
      <c r="B30" s="266"/>
      <c r="C30" s="266"/>
      <c r="D30" s="266"/>
      <c r="E30" s="267">
        <v>369382.92</v>
      </c>
      <c r="F30" s="267"/>
      <c r="G30" s="267"/>
      <c r="H30" s="267">
        <v>394937.54</v>
      </c>
      <c r="I30" s="267"/>
      <c r="J30" s="267"/>
      <c r="K30" s="268" t="s">
        <v>21</v>
      </c>
      <c r="L30" s="269">
        <v>93344.24</v>
      </c>
    </row>
    <row r="32" spans="1:12" x14ac:dyDescent="0.3">
      <c r="J32" s="351">
        <f>SUBTOTAL(9,I4:J29)</f>
        <v>321233.75000000006</v>
      </c>
    </row>
  </sheetData>
  <autoFilter ref="A1:L30" xr:uid="{B39D074D-0BDA-4C73-B3E6-962C5F642251}">
    <filterColumn colId="1">
      <filters>
        <filter val="Вимога-накладна ІБ00-000447 від 10.06.2025 23:14:50_x000a_Списаны ТМЦ"/>
        <filter val="Вимога-накладна ІБ00-000488 від 20.06.2025 18:08:07_x000a_Списаны ТМЦ"/>
        <filter val="Вимога-накладна ІБ00-000509 від 25.06.2025 23:13:02_x000a_Списаны ТМЦ"/>
        <filter val="Списання товарів ІБ00-000337 від 25.06.2025 23:13:03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66">
    <mergeCell ref="F28:G28"/>
    <mergeCell ref="I28:J28"/>
    <mergeCell ref="F29:G29"/>
    <mergeCell ref="I29:J29"/>
    <mergeCell ref="A30:D30"/>
    <mergeCell ref="E30:G30"/>
    <mergeCell ref="H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98BF6-8872-4EC7-BE0F-E849CB8DD58D}">
  <sheetPr filterMode="1"/>
  <dimension ref="A1:L207"/>
  <sheetViews>
    <sheetView topLeftCell="A192" workbookViewId="0">
      <selection activeCell="J207" sqref="J207"/>
    </sheetView>
  </sheetViews>
  <sheetFormatPr defaultRowHeight="14.4" x14ac:dyDescent="0.3"/>
  <cols>
    <col min="2" max="4" width="34.33203125" customWidth="1"/>
    <col min="10" max="10" width="11.33203125" bestFit="1" customWidth="1"/>
    <col min="12" max="12" width="11.6640625" bestFit="1" customWidth="1"/>
  </cols>
  <sheetData>
    <row r="1" spans="1:12" x14ac:dyDescent="0.3">
      <c r="A1" s="270" t="s">
        <v>13</v>
      </c>
      <c r="B1" s="271" t="s">
        <v>14</v>
      </c>
      <c r="C1" s="271" t="s">
        <v>15</v>
      </c>
      <c r="D1" s="272" t="s">
        <v>16</v>
      </c>
      <c r="E1" s="273" t="s">
        <v>17</v>
      </c>
      <c r="F1" s="273"/>
      <c r="G1" s="273"/>
      <c r="H1" s="274" t="s">
        <v>18</v>
      </c>
      <c r="I1" s="274"/>
      <c r="J1" s="274"/>
      <c r="K1" s="271" t="s">
        <v>19</v>
      </c>
      <c r="L1" s="271"/>
    </row>
    <row r="2" spans="1:12" hidden="1" x14ac:dyDescent="0.3">
      <c r="A2" s="275"/>
      <c r="B2" s="276"/>
      <c r="C2" s="276"/>
      <c r="D2" s="277"/>
      <c r="E2" s="278" t="s">
        <v>20</v>
      </c>
      <c r="F2" s="279"/>
      <c r="G2" s="279"/>
      <c r="H2" s="280" t="s">
        <v>20</v>
      </c>
      <c r="I2" s="281"/>
      <c r="J2" s="281"/>
      <c r="K2" s="275"/>
      <c r="L2" s="282"/>
    </row>
    <row r="3" spans="1:12" ht="51" hidden="1" x14ac:dyDescent="0.3">
      <c r="A3" s="283" t="s">
        <v>22</v>
      </c>
      <c r="B3" s="284" t="s">
        <v>605</v>
      </c>
      <c r="C3" s="284" t="s">
        <v>606</v>
      </c>
      <c r="D3" s="284" t="s">
        <v>205</v>
      </c>
      <c r="E3" s="285" t="s">
        <v>26</v>
      </c>
      <c r="F3" s="286">
        <v>422202.14</v>
      </c>
      <c r="G3" s="286"/>
      <c r="H3" s="285" t="s">
        <v>45</v>
      </c>
      <c r="I3" s="287" t="s">
        <v>27</v>
      </c>
      <c r="J3" s="287"/>
      <c r="K3" s="288" t="s">
        <v>21</v>
      </c>
      <c r="L3" s="289">
        <v>4624141.24</v>
      </c>
    </row>
    <row r="4" spans="1:12" ht="51" hidden="1" x14ac:dyDescent="0.3">
      <c r="A4" s="283" t="s">
        <v>22</v>
      </c>
      <c r="B4" s="284" t="s">
        <v>607</v>
      </c>
      <c r="C4" s="284" t="s">
        <v>608</v>
      </c>
      <c r="D4" s="284" t="s">
        <v>609</v>
      </c>
      <c r="E4" s="285" t="s">
        <v>26</v>
      </c>
      <c r="F4" s="286">
        <v>553939.03</v>
      </c>
      <c r="G4" s="286"/>
      <c r="H4" s="285" t="s">
        <v>45</v>
      </c>
      <c r="I4" s="287" t="s">
        <v>27</v>
      </c>
      <c r="J4" s="287"/>
      <c r="K4" s="288" t="s">
        <v>21</v>
      </c>
      <c r="L4" s="289">
        <v>5178080.2699999996</v>
      </c>
    </row>
    <row r="5" spans="1:12" ht="51" hidden="1" x14ac:dyDescent="0.3">
      <c r="A5" s="283" t="s">
        <v>22</v>
      </c>
      <c r="B5" s="284" t="s">
        <v>610</v>
      </c>
      <c r="C5" s="284" t="s">
        <v>611</v>
      </c>
      <c r="D5" s="284" t="s">
        <v>612</v>
      </c>
      <c r="E5" s="285" t="s">
        <v>26</v>
      </c>
      <c r="F5" s="286">
        <v>41400</v>
      </c>
      <c r="G5" s="286"/>
      <c r="H5" s="285" t="s">
        <v>45</v>
      </c>
      <c r="I5" s="287" t="s">
        <v>27</v>
      </c>
      <c r="J5" s="287"/>
      <c r="K5" s="288" t="s">
        <v>21</v>
      </c>
      <c r="L5" s="289">
        <v>5219480.2699999996</v>
      </c>
    </row>
    <row r="6" spans="1:12" ht="51" hidden="1" x14ac:dyDescent="0.3">
      <c r="A6" s="283" t="s">
        <v>22</v>
      </c>
      <c r="B6" s="284" t="s">
        <v>613</v>
      </c>
      <c r="C6" s="284" t="s">
        <v>179</v>
      </c>
      <c r="D6" s="284" t="s">
        <v>614</v>
      </c>
      <c r="E6" s="285" t="s">
        <v>26</v>
      </c>
      <c r="F6" s="286">
        <v>12273</v>
      </c>
      <c r="G6" s="286"/>
      <c r="H6" s="285" t="s">
        <v>45</v>
      </c>
      <c r="I6" s="287" t="s">
        <v>27</v>
      </c>
      <c r="J6" s="287"/>
      <c r="K6" s="288" t="s">
        <v>21</v>
      </c>
      <c r="L6" s="289">
        <v>5231753.2699999996</v>
      </c>
    </row>
    <row r="7" spans="1:12" ht="51" hidden="1" x14ac:dyDescent="0.3">
      <c r="A7" s="283" t="s">
        <v>22</v>
      </c>
      <c r="B7" s="284" t="s">
        <v>615</v>
      </c>
      <c r="C7" s="284" t="s">
        <v>181</v>
      </c>
      <c r="D7" s="284" t="s">
        <v>614</v>
      </c>
      <c r="E7" s="285" t="s">
        <v>26</v>
      </c>
      <c r="F7" s="286">
        <v>12147</v>
      </c>
      <c r="G7" s="286"/>
      <c r="H7" s="285" t="s">
        <v>45</v>
      </c>
      <c r="I7" s="287" t="s">
        <v>27</v>
      </c>
      <c r="J7" s="287"/>
      <c r="K7" s="288" t="s">
        <v>21</v>
      </c>
      <c r="L7" s="289">
        <v>5243900.2699999996</v>
      </c>
    </row>
    <row r="8" spans="1:12" ht="51" hidden="1" x14ac:dyDescent="0.3">
      <c r="A8" s="283" t="s">
        <v>22</v>
      </c>
      <c r="B8" s="284" t="s">
        <v>616</v>
      </c>
      <c r="C8" s="284" t="s">
        <v>617</v>
      </c>
      <c r="D8" s="284" t="s">
        <v>618</v>
      </c>
      <c r="E8" s="285" t="s">
        <v>26</v>
      </c>
      <c r="F8" s="286">
        <v>2150</v>
      </c>
      <c r="G8" s="286"/>
      <c r="H8" s="285" t="s">
        <v>45</v>
      </c>
      <c r="I8" s="287" t="s">
        <v>27</v>
      </c>
      <c r="J8" s="287"/>
      <c r="K8" s="288" t="s">
        <v>21</v>
      </c>
      <c r="L8" s="289">
        <v>5246050.2699999996</v>
      </c>
    </row>
    <row r="9" spans="1:12" ht="51" hidden="1" x14ac:dyDescent="0.3">
      <c r="A9" s="283" t="s">
        <v>31</v>
      </c>
      <c r="B9" s="284" t="s">
        <v>619</v>
      </c>
      <c r="C9" s="284" t="s">
        <v>620</v>
      </c>
      <c r="D9" s="284" t="s">
        <v>621</v>
      </c>
      <c r="E9" s="285" t="s">
        <v>26</v>
      </c>
      <c r="F9" s="286">
        <v>94503</v>
      </c>
      <c r="G9" s="286"/>
      <c r="H9" s="285" t="s">
        <v>45</v>
      </c>
      <c r="I9" s="287" t="s">
        <v>27</v>
      </c>
      <c r="J9" s="287"/>
      <c r="K9" s="288" t="s">
        <v>21</v>
      </c>
      <c r="L9" s="289">
        <v>5340553.2699999996</v>
      </c>
    </row>
    <row r="10" spans="1:12" ht="51" hidden="1" x14ac:dyDescent="0.3">
      <c r="A10" s="283" t="s">
        <v>31</v>
      </c>
      <c r="B10" s="284" t="s">
        <v>619</v>
      </c>
      <c r="C10" s="284" t="s">
        <v>622</v>
      </c>
      <c r="D10" s="284" t="s">
        <v>621</v>
      </c>
      <c r="E10" s="285" t="s">
        <v>26</v>
      </c>
      <c r="F10" s="286">
        <v>61581</v>
      </c>
      <c r="G10" s="286"/>
      <c r="H10" s="285" t="s">
        <v>45</v>
      </c>
      <c r="I10" s="287" t="s">
        <v>27</v>
      </c>
      <c r="J10" s="287"/>
      <c r="K10" s="288" t="s">
        <v>21</v>
      </c>
      <c r="L10" s="289">
        <v>5402134.2699999996</v>
      </c>
    </row>
    <row r="11" spans="1:12" ht="51" x14ac:dyDescent="0.3">
      <c r="A11" s="283" t="s">
        <v>31</v>
      </c>
      <c r="B11" s="284" t="s">
        <v>623</v>
      </c>
      <c r="C11" s="284" t="s">
        <v>33</v>
      </c>
      <c r="D11" s="284" t="s">
        <v>624</v>
      </c>
      <c r="E11" s="285" t="s">
        <v>34</v>
      </c>
      <c r="F11" s="290" t="s">
        <v>27</v>
      </c>
      <c r="G11" s="290"/>
      <c r="H11" s="285" t="s">
        <v>26</v>
      </c>
      <c r="I11" s="291">
        <v>29234.46</v>
      </c>
      <c r="J11" s="291"/>
      <c r="K11" s="288" t="s">
        <v>21</v>
      </c>
      <c r="L11" s="289">
        <v>5372899.8099999996</v>
      </c>
    </row>
    <row r="12" spans="1:12" ht="51" x14ac:dyDescent="0.3">
      <c r="A12" s="283" t="s">
        <v>31</v>
      </c>
      <c r="B12" s="284" t="s">
        <v>623</v>
      </c>
      <c r="C12" s="284" t="s">
        <v>33</v>
      </c>
      <c r="D12" s="284" t="s">
        <v>625</v>
      </c>
      <c r="E12" s="285" t="s">
        <v>34</v>
      </c>
      <c r="F12" s="290" t="s">
        <v>27</v>
      </c>
      <c r="G12" s="290"/>
      <c r="H12" s="285" t="s">
        <v>26</v>
      </c>
      <c r="I12" s="291">
        <v>58468.93</v>
      </c>
      <c r="J12" s="291"/>
      <c r="K12" s="288" t="s">
        <v>21</v>
      </c>
      <c r="L12" s="289">
        <v>5314430.88</v>
      </c>
    </row>
    <row r="13" spans="1:12" ht="51" hidden="1" x14ac:dyDescent="0.3">
      <c r="A13" s="283" t="s">
        <v>626</v>
      </c>
      <c r="B13" s="284" t="s">
        <v>627</v>
      </c>
      <c r="C13" s="284" t="s">
        <v>628</v>
      </c>
      <c r="D13" s="284" t="s">
        <v>629</v>
      </c>
      <c r="E13" s="285" t="s">
        <v>26</v>
      </c>
      <c r="F13" s="286">
        <v>27168.83</v>
      </c>
      <c r="G13" s="286"/>
      <c r="H13" s="285" t="s">
        <v>45</v>
      </c>
      <c r="I13" s="287" t="s">
        <v>27</v>
      </c>
      <c r="J13" s="287"/>
      <c r="K13" s="288" t="s">
        <v>21</v>
      </c>
      <c r="L13" s="289">
        <v>5341599.71</v>
      </c>
    </row>
    <row r="14" spans="1:12" ht="51" hidden="1" x14ac:dyDescent="0.3">
      <c r="A14" s="283" t="s">
        <v>626</v>
      </c>
      <c r="B14" s="284" t="s">
        <v>630</v>
      </c>
      <c r="C14" s="284" t="s">
        <v>628</v>
      </c>
      <c r="D14" s="284" t="s">
        <v>629</v>
      </c>
      <c r="E14" s="285" t="s">
        <v>26</v>
      </c>
      <c r="F14" s="286">
        <v>26537</v>
      </c>
      <c r="G14" s="286"/>
      <c r="H14" s="285" t="s">
        <v>45</v>
      </c>
      <c r="I14" s="287" t="s">
        <v>27</v>
      </c>
      <c r="J14" s="287"/>
      <c r="K14" s="288" t="s">
        <v>21</v>
      </c>
      <c r="L14" s="289">
        <v>5368136.71</v>
      </c>
    </row>
    <row r="15" spans="1:12" ht="51" hidden="1" x14ac:dyDescent="0.3">
      <c r="A15" s="283" t="s">
        <v>46</v>
      </c>
      <c r="B15" s="284" t="s">
        <v>631</v>
      </c>
      <c r="C15" s="284" t="s">
        <v>632</v>
      </c>
      <c r="D15" s="284" t="s">
        <v>633</v>
      </c>
      <c r="E15" s="285" t="s">
        <v>26</v>
      </c>
      <c r="F15" s="286">
        <v>9350</v>
      </c>
      <c r="G15" s="286"/>
      <c r="H15" s="285" t="s">
        <v>45</v>
      </c>
      <c r="I15" s="287" t="s">
        <v>27</v>
      </c>
      <c r="J15" s="287"/>
      <c r="K15" s="288" t="s">
        <v>21</v>
      </c>
      <c r="L15" s="289">
        <v>5377486.71</v>
      </c>
    </row>
    <row r="16" spans="1:12" ht="51" hidden="1" x14ac:dyDescent="0.3">
      <c r="A16" s="283" t="s">
        <v>46</v>
      </c>
      <c r="B16" s="284" t="s">
        <v>631</v>
      </c>
      <c r="C16" s="284" t="s">
        <v>634</v>
      </c>
      <c r="D16" s="284" t="s">
        <v>633</v>
      </c>
      <c r="E16" s="285" t="s">
        <v>26</v>
      </c>
      <c r="F16" s="286">
        <v>3035.08</v>
      </c>
      <c r="G16" s="286"/>
      <c r="H16" s="285" t="s">
        <v>45</v>
      </c>
      <c r="I16" s="287" t="s">
        <v>27</v>
      </c>
      <c r="J16" s="287"/>
      <c r="K16" s="288" t="s">
        <v>21</v>
      </c>
      <c r="L16" s="289">
        <v>5380521.79</v>
      </c>
    </row>
    <row r="17" spans="1:12" ht="51" hidden="1" x14ac:dyDescent="0.3">
      <c r="A17" s="283" t="s">
        <v>46</v>
      </c>
      <c r="B17" s="284" t="s">
        <v>631</v>
      </c>
      <c r="C17" s="284" t="s">
        <v>635</v>
      </c>
      <c r="D17" s="284" t="s">
        <v>633</v>
      </c>
      <c r="E17" s="285" t="s">
        <v>26</v>
      </c>
      <c r="F17" s="286">
        <v>216968.78</v>
      </c>
      <c r="G17" s="286"/>
      <c r="H17" s="285" t="s">
        <v>45</v>
      </c>
      <c r="I17" s="287" t="s">
        <v>27</v>
      </c>
      <c r="J17" s="287"/>
      <c r="K17" s="288" t="s">
        <v>21</v>
      </c>
      <c r="L17" s="289">
        <v>5597490.5700000003</v>
      </c>
    </row>
    <row r="18" spans="1:12" ht="51" hidden="1" x14ac:dyDescent="0.3">
      <c r="A18" s="283" t="s">
        <v>46</v>
      </c>
      <c r="B18" s="284" t="s">
        <v>631</v>
      </c>
      <c r="C18" s="284" t="s">
        <v>636</v>
      </c>
      <c r="D18" s="284" t="s">
        <v>633</v>
      </c>
      <c r="E18" s="285" t="s">
        <v>26</v>
      </c>
      <c r="F18" s="286">
        <v>41483.339999999997</v>
      </c>
      <c r="G18" s="286"/>
      <c r="H18" s="285" t="s">
        <v>45</v>
      </c>
      <c r="I18" s="287" t="s">
        <v>27</v>
      </c>
      <c r="J18" s="287"/>
      <c r="K18" s="288" t="s">
        <v>21</v>
      </c>
      <c r="L18" s="289">
        <v>5638973.9100000001</v>
      </c>
    </row>
    <row r="19" spans="1:12" ht="51" hidden="1" x14ac:dyDescent="0.3">
      <c r="A19" s="283" t="s">
        <v>46</v>
      </c>
      <c r="B19" s="284" t="s">
        <v>637</v>
      </c>
      <c r="C19" s="284" t="s">
        <v>638</v>
      </c>
      <c r="D19" s="284" t="s">
        <v>639</v>
      </c>
      <c r="E19" s="285" t="s">
        <v>26</v>
      </c>
      <c r="F19" s="286">
        <v>34791.660000000003</v>
      </c>
      <c r="G19" s="286"/>
      <c r="H19" s="285" t="s">
        <v>45</v>
      </c>
      <c r="I19" s="287" t="s">
        <v>27</v>
      </c>
      <c r="J19" s="287"/>
      <c r="K19" s="288" t="s">
        <v>21</v>
      </c>
      <c r="L19" s="289">
        <v>5673765.5700000003</v>
      </c>
    </row>
    <row r="20" spans="1:12" ht="51" hidden="1" x14ac:dyDescent="0.3">
      <c r="A20" s="283" t="s">
        <v>46</v>
      </c>
      <c r="B20" s="284" t="s">
        <v>640</v>
      </c>
      <c r="C20" s="284" t="s">
        <v>641</v>
      </c>
      <c r="D20" s="284" t="s">
        <v>642</v>
      </c>
      <c r="E20" s="285" t="s">
        <v>26</v>
      </c>
      <c r="F20" s="286">
        <v>63953.34</v>
      </c>
      <c r="G20" s="286"/>
      <c r="H20" s="285" t="s">
        <v>45</v>
      </c>
      <c r="I20" s="287" t="s">
        <v>27</v>
      </c>
      <c r="J20" s="287"/>
      <c r="K20" s="288" t="s">
        <v>21</v>
      </c>
      <c r="L20" s="289">
        <v>5737718.9100000001</v>
      </c>
    </row>
    <row r="21" spans="1:12" ht="51" hidden="1" x14ac:dyDescent="0.3">
      <c r="A21" s="283" t="s">
        <v>46</v>
      </c>
      <c r="B21" s="284" t="s">
        <v>643</v>
      </c>
      <c r="C21" s="284" t="s">
        <v>644</v>
      </c>
      <c r="D21" s="284" t="s">
        <v>645</v>
      </c>
      <c r="E21" s="285" t="s">
        <v>26</v>
      </c>
      <c r="F21" s="286">
        <v>5750</v>
      </c>
      <c r="G21" s="286"/>
      <c r="H21" s="285" t="s">
        <v>45</v>
      </c>
      <c r="I21" s="287" t="s">
        <v>27</v>
      </c>
      <c r="J21" s="287"/>
      <c r="K21" s="288" t="s">
        <v>21</v>
      </c>
      <c r="L21" s="289">
        <v>5743468.9100000001</v>
      </c>
    </row>
    <row r="22" spans="1:12" ht="51" hidden="1" x14ac:dyDescent="0.3">
      <c r="A22" s="283" t="s">
        <v>46</v>
      </c>
      <c r="B22" s="284" t="s">
        <v>643</v>
      </c>
      <c r="C22" s="284" t="s">
        <v>646</v>
      </c>
      <c r="D22" s="284" t="s">
        <v>645</v>
      </c>
      <c r="E22" s="285" t="s">
        <v>26</v>
      </c>
      <c r="F22" s="286">
        <v>16065</v>
      </c>
      <c r="G22" s="286"/>
      <c r="H22" s="285" t="s">
        <v>45</v>
      </c>
      <c r="I22" s="287" t="s">
        <v>27</v>
      </c>
      <c r="J22" s="287"/>
      <c r="K22" s="288" t="s">
        <v>21</v>
      </c>
      <c r="L22" s="289">
        <v>5759533.9100000001</v>
      </c>
    </row>
    <row r="23" spans="1:12" ht="51" hidden="1" x14ac:dyDescent="0.3">
      <c r="A23" s="283" t="s">
        <v>46</v>
      </c>
      <c r="B23" s="284" t="s">
        <v>246</v>
      </c>
      <c r="C23" s="284" t="s">
        <v>247</v>
      </c>
      <c r="D23" s="284" t="s">
        <v>243</v>
      </c>
      <c r="E23" s="285" t="s">
        <v>26</v>
      </c>
      <c r="F23" s="286">
        <v>68999.990000000005</v>
      </c>
      <c r="G23" s="286"/>
      <c r="H23" s="285" t="s">
        <v>26</v>
      </c>
      <c r="I23" s="287" t="s">
        <v>27</v>
      </c>
      <c r="J23" s="287"/>
      <c r="K23" s="288" t="s">
        <v>21</v>
      </c>
      <c r="L23" s="289">
        <v>5828533.9000000004</v>
      </c>
    </row>
    <row r="24" spans="1:12" ht="51" hidden="1" x14ac:dyDescent="0.3">
      <c r="A24" s="283" t="s">
        <v>46</v>
      </c>
      <c r="B24" s="284" t="s">
        <v>647</v>
      </c>
      <c r="C24" s="284" t="s">
        <v>648</v>
      </c>
      <c r="D24" s="284" t="s">
        <v>649</v>
      </c>
      <c r="E24" s="285" t="s">
        <v>26</v>
      </c>
      <c r="F24" s="292">
        <v>455</v>
      </c>
      <c r="G24" s="292"/>
      <c r="H24" s="285" t="s">
        <v>45</v>
      </c>
      <c r="I24" s="287" t="s">
        <v>27</v>
      </c>
      <c r="J24" s="287"/>
      <c r="K24" s="288" t="s">
        <v>21</v>
      </c>
      <c r="L24" s="289">
        <v>5828988.9000000004</v>
      </c>
    </row>
    <row r="25" spans="1:12" ht="51" hidden="1" x14ac:dyDescent="0.3">
      <c r="A25" s="283" t="s">
        <v>46</v>
      </c>
      <c r="B25" s="284" t="s">
        <v>647</v>
      </c>
      <c r="C25" s="284" t="s">
        <v>650</v>
      </c>
      <c r="D25" s="284" t="s">
        <v>649</v>
      </c>
      <c r="E25" s="285" t="s">
        <v>26</v>
      </c>
      <c r="F25" s="292">
        <v>51.03</v>
      </c>
      <c r="G25" s="292"/>
      <c r="H25" s="285" t="s">
        <v>45</v>
      </c>
      <c r="I25" s="287" t="s">
        <v>27</v>
      </c>
      <c r="J25" s="287"/>
      <c r="K25" s="288" t="s">
        <v>21</v>
      </c>
      <c r="L25" s="289">
        <v>5829039.9299999997</v>
      </c>
    </row>
    <row r="26" spans="1:12" ht="51" hidden="1" x14ac:dyDescent="0.3">
      <c r="A26" s="283" t="s">
        <v>46</v>
      </c>
      <c r="B26" s="284" t="s">
        <v>647</v>
      </c>
      <c r="C26" s="284" t="s">
        <v>651</v>
      </c>
      <c r="D26" s="284" t="s">
        <v>649</v>
      </c>
      <c r="E26" s="285" t="s">
        <v>26</v>
      </c>
      <c r="F26" s="292">
        <v>328.52</v>
      </c>
      <c r="G26" s="292"/>
      <c r="H26" s="285" t="s">
        <v>45</v>
      </c>
      <c r="I26" s="287" t="s">
        <v>27</v>
      </c>
      <c r="J26" s="287"/>
      <c r="K26" s="288" t="s">
        <v>21</v>
      </c>
      <c r="L26" s="289">
        <v>5829368.4500000002</v>
      </c>
    </row>
    <row r="27" spans="1:12" ht="51" hidden="1" x14ac:dyDescent="0.3">
      <c r="A27" s="283" t="s">
        <v>46</v>
      </c>
      <c r="B27" s="284" t="s">
        <v>652</v>
      </c>
      <c r="C27" s="284" t="s">
        <v>547</v>
      </c>
      <c r="D27" s="284" t="s">
        <v>653</v>
      </c>
      <c r="E27" s="285" t="s">
        <v>26</v>
      </c>
      <c r="F27" s="286">
        <v>150922.94</v>
      </c>
      <c r="G27" s="286"/>
      <c r="H27" s="285" t="s">
        <v>45</v>
      </c>
      <c r="I27" s="287" t="s">
        <v>27</v>
      </c>
      <c r="J27" s="287"/>
      <c r="K27" s="288" t="s">
        <v>21</v>
      </c>
      <c r="L27" s="289">
        <v>5980291.3899999997</v>
      </c>
    </row>
    <row r="28" spans="1:12" ht="51" hidden="1" x14ac:dyDescent="0.3">
      <c r="A28" s="283" t="s">
        <v>248</v>
      </c>
      <c r="B28" s="284" t="s">
        <v>654</v>
      </c>
      <c r="C28" s="284" t="s">
        <v>655</v>
      </c>
      <c r="D28" s="284" t="s">
        <v>656</v>
      </c>
      <c r="E28" s="285" t="s">
        <v>26</v>
      </c>
      <c r="F28" s="286">
        <v>7729.33</v>
      </c>
      <c r="G28" s="286"/>
      <c r="H28" s="285" t="s">
        <v>45</v>
      </c>
      <c r="I28" s="287" t="s">
        <v>27</v>
      </c>
      <c r="J28" s="287"/>
      <c r="K28" s="288" t="s">
        <v>21</v>
      </c>
      <c r="L28" s="289">
        <v>5988020.7199999997</v>
      </c>
    </row>
    <row r="29" spans="1:12" ht="51" hidden="1" x14ac:dyDescent="0.3">
      <c r="A29" s="283" t="s">
        <v>248</v>
      </c>
      <c r="B29" s="284" t="s">
        <v>657</v>
      </c>
      <c r="C29" s="284" t="s">
        <v>658</v>
      </c>
      <c r="D29" s="284" t="s">
        <v>621</v>
      </c>
      <c r="E29" s="285" t="s">
        <v>26</v>
      </c>
      <c r="F29" s="286">
        <v>35336</v>
      </c>
      <c r="G29" s="286"/>
      <c r="H29" s="285" t="s">
        <v>45</v>
      </c>
      <c r="I29" s="287" t="s">
        <v>27</v>
      </c>
      <c r="J29" s="287"/>
      <c r="K29" s="288" t="s">
        <v>21</v>
      </c>
      <c r="L29" s="289">
        <v>6023356.7199999997</v>
      </c>
    </row>
    <row r="30" spans="1:12" ht="51" hidden="1" x14ac:dyDescent="0.3">
      <c r="A30" s="283" t="s">
        <v>248</v>
      </c>
      <c r="B30" s="284" t="s">
        <v>657</v>
      </c>
      <c r="C30" s="284" t="s">
        <v>659</v>
      </c>
      <c r="D30" s="284" t="s">
        <v>621</v>
      </c>
      <c r="E30" s="285" t="s">
        <v>26</v>
      </c>
      <c r="F30" s="286">
        <v>35336</v>
      </c>
      <c r="G30" s="286"/>
      <c r="H30" s="285" t="s">
        <v>45</v>
      </c>
      <c r="I30" s="287" t="s">
        <v>27</v>
      </c>
      <c r="J30" s="287"/>
      <c r="K30" s="288" t="s">
        <v>21</v>
      </c>
      <c r="L30" s="289">
        <v>6058692.7199999997</v>
      </c>
    </row>
    <row r="31" spans="1:12" ht="51" hidden="1" x14ac:dyDescent="0.3">
      <c r="A31" s="283" t="s">
        <v>248</v>
      </c>
      <c r="B31" s="284" t="s">
        <v>657</v>
      </c>
      <c r="C31" s="284" t="s">
        <v>660</v>
      </c>
      <c r="D31" s="284" t="s">
        <v>621</v>
      </c>
      <c r="E31" s="285" t="s">
        <v>26</v>
      </c>
      <c r="F31" s="286">
        <v>35336</v>
      </c>
      <c r="G31" s="286"/>
      <c r="H31" s="285" t="s">
        <v>45</v>
      </c>
      <c r="I31" s="287" t="s">
        <v>27</v>
      </c>
      <c r="J31" s="287"/>
      <c r="K31" s="288" t="s">
        <v>21</v>
      </c>
      <c r="L31" s="289">
        <v>6094028.7199999997</v>
      </c>
    </row>
    <row r="32" spans="1:12" ht="51" hidden="1" x14ac:dyDescent="0.3">
      <c r="A32" s="283" t="s">
        <v>248</v>
      </c>
      <c r="B32" s="284" t="s">
        <v>657</v>
      </c>
      <c r="C32" s="284" t="s">
        <v>661</v>
      </c>
      <c r="D32" s="284" t="s">
        <v>621</v>
      </c>
      <c r="E32" s="285" t="s">
        <v>26</v>
      </c>
      <c r="F32" s="286">
        <v>35336</v>
      </c>
      <c r="G32" s="286"/>
      <c r="H32" s="285" t="s">
        <v>45</v>
      </c>
      <c r="I32" s="287" t="s">
        <v>27</v>
      </c>
      <c r="J32" s="287"/>
      <c r="K32" s="288" t="s">
        <v>21</v>
      </c>
      <c r="L32" s="289">
        <v>6129364.7199999997</v>
      </c>
    </row>
    <row r="33" spans="1:12" ht="51" hidden="1" x14ac:dyDescent="0.3">
      <c r="A33" s="283" t="s">
        <v>248</v>
      </c>
      <c r="B33" s="284" t="s">
        <v>657</v>
      </c>
      <c r="C33" s="284" t="s">
        <v>662</v>
      </c>
      <c r="D33" s="284" t="s">
        <v>621</v>
      </c>
      <c r="E33" s="285" t="s">
        <v>26</v>
      </c>
      <c r="F33" s="286">
        <v>35904</v>
      </c>
      <c r="G33" s="286"/>
      <c r="H33" s="285" t="s">
        <v>45</v>
      </c>
      <c r="I33" s="287" t="s">
        <v>27</v>
      </c>
      <c r="J33" s="287"/>
      <c r="K33" s="288" t="s">
        <v>21</v>
      </c>
      <c r="L33" s="289">
        <v>6165268.7199999997</v>
      </c>
    </row>
    <row r="34" spans="1:12" ht="51" hidden="1" x14ac:dyDescent="0.3">
      <c r="A34" s="283" t="s">
        <v>248</v>
      </c>
      <c r="B34" s="284" t="s">
        <v>657</v>
      </c>
      <c r="C34" s="284" t="s">
        <v>663</v>
      </c>
      <c r="D34" s="284" t="s">
        <v>621</v>
      </c>
      <c r="E34" s="285" t="s">
        <v>26</v>
      </c>
      <c r="F34" s="286">
        <v>35941</v>
      </c>
      <c r="G34" s="286"/>
      <c r="H34" s="285" t="s">
        <v>45</v>
      </c>
      <c r="I34" s="287" t="s">
        <v>27</v>
      </c>
      <c r="J34" s="287"/>
      <c r="K34" s="288" t="s">
        <v>21</v>
      </c>
      <c r="L34" s="289">
        <v>6201209.7199999997</v>
      </c>
    </row>
    <row r="35" spans="1:12" ht="51" hidden="1" x14ac:dyDescent="0.3">
      <c r="A35" s="283" t="s">
        <v>248</v>
      </c>
      <c r="B35" s="284" t="s">
        <v>267</v>
      </c>
      <c r="C35" s="284" t="s">
        <v>268</v>
      </c>
      <c r="D35" s="284" t="s">
        <v>257</v>
      </c>
      <c r="E35" s="285" t="s">
        <v>26</v>
      </c>
      <c r="F35" s="286">
        <v>12000</v>
      </c>
      <c r="G35" s="286"/>
      <c r="H35" s="285" t="s">
        <v>26</v>
      </c>
      <c r="I35" s="287" t="s">
        <v>27</v>
      </c>
      <c r="J35" s="287"/>
      <c r="K35" s="288" t="s">
        <v>21</v>
      </c>
      <c r="L35" s="289">
        <v>6213209.7199999997</v>
      </c>
    </row>
    <row r="36" spans="1:12" ht="51" hidden="1" x14ac:dyDescent="0.3">
      <c r="A36" s="283" t="s">
        <v>248</v>
      </c>
      <c r="B36" s="284" t="s">
        <v>267</v>
      </c>
      <c r="C36" s="284" t="s">
        <v>269</v>
      </c>
      <c r="D36" s="284" t="s">
        <v>258</v>
      </c>
      <c r="E36" s="285" t="s">
        <v>26</v>
      </c>
      <c r="F36" s="286">
        <v>13134</v>
      </c>
      <c r="G36" s="286"/>
      <c r="H36" s="285" t="s">
        <v>26</v>
      </c>
      <c r="I36" s="287" t="s">
        <v>27</v>
      </c>
      <c r="J36" s="287"/>
      <c r="K36" s="288" t="s">
        <v>21</v>
      </c>
      <c r="L36" s="289">
        <v>6226343.7199999997</v>
      </c>
    </row>
    <row r="37" spans="1:12" ht="51" hidden="1" x14ac:dyDescent="0.3">
      <c r="A37" s="283" t="s">
        <v>488</v>
      </c>
      <c r="B37" s="284" t="s">
        <v>664</v>
      </c>
      <c r="C37" s="284" t="s">
        <v>665</v>
      </c>
      <c r="D37" s="284" t="s">
        <v>621</v>
      </c>
      <c r="E37" s="285" t="s">
        <v>26</v>
      </c>
      <c r="F37" s="286">
        <v>37955</v>
      </c>
      <c r="G37" s="286"/>
      <c r="H37" s="285" t="s">
        <v>45</v>
      </c>
      <c r="I37" s="287" t="s">
        <v>27</v>
      </c>
      <c r="J37" s="287"/>
      <c r="K37" s="288" t="s">
        <v>21</v>
      </c>
      <c r="L37" s="289">
        <v>6264298.7199999997</v>
      </c>
    </row>
    <row r="38" spans="1:12" ht="51" hidden="1" x14ac:dyDescent="0.3">
      <c r="A38" s="283" t="s">
        <v>488</v>
      </c>
      <c r="B38" s="284" t="s">
        <v>664</v>
      </c>
      <c r="C38" s="284" t="s">
        <v>666</v>
      </c>
      <c r="D38" s="284" t="s">
        <v>621</v>
      </c>
      <c r="E38" s="285" t="s">
        <v>26</v>
      </c>
      <c r="F38" s="286">
        <v>37955</v>
      </c>
      <c r="G38" s="286"/>
      <c r="H38" s="285" t="s">
        <v>45</v>
      </c>
      <c r="I38" s="287" t="s">
        <v>27</v>
      </c>
      <c r="J38" s="287"/>
      <c r="K38" s="288" t="s">
        <v>21</v>
      </c>
      <c r="L38" s="289">
        <v>6302253.7199999997</v>
      </c>
    </row>
    <row r="39" spans="1:12" ht="51" hidden="1" x14ac:dyDescent="0.3">
      <c r="A39" s="283" t="s">
        <v>488</v>
      </c>
      <c r="B39" s="284" t="s">
        <v>664</v>
      </c>
      <c r="C39" s="284" t="s">
        <v>667</v>
      </c>
      <c r="D39" s="284" t="s">
        <v>621</v>
      </c>
      <c r="E39" s="285" t="s">
        <v>26</v>
      </c>
      <c r="F39" s="286">
        <v>35336</v>
      </c>
      <c r="G39" s="286"/>
      <c r="H39" s="285" t="s">
        <v>45</v>
      </c>
      <c r="I39" s="287" t="s">
        <v>27</v>
      </c>
      <c r="J39" s="287"/>
      <c r="K39" s="288" t="s">
        <v>21</v>
      </c>
      <c r="L39" s="289">
        <v>6337589.7199999997</v>
      </c>
    </row>
    <row r="40" spans="1:12" ht="51" hidden="1" x14ac:dyDescent="0.3">
      <c r="A40" s="283" t="s">
        <v>488</v>
      </c>
      <c r="B40" s="284" t="s">
        <v>664</v>
      </c>
      <c r="C40" s="284" t="s">
        <v>668</v>
      </c>
      <c r="D40" s="284" t="s">
        <v>621</v>
      </c>
      <c r="E40" s="285" t="s">
        <v>26</v>
      </c>
      <c r="F40" s="286">
        <v>35334</v>
      </c>
      <c r="G40" s="286"/>
      <c r="H40" s="285" t="s">
        <v>45</v>
      </c>
      <c r="I40" s="287" t="s">
        <v>27</v>
      </c>
      <c r="J40" s="287"/>
      <c r="K40" s="288" t="s">
        <v>21</v>
      </c>
      <c r="L40" s="289">
        <v>6372923.7199999997</v>
      </c>
    </row>
    <row r="41" spans="1:12" ht="51" hidden="1" x14ac:dyDescent="0.3">
      <c r="A41" s="283" t="s">
        <v>488</v>
      </c>
      <c r="B41" s="284" t="s">
        <v>664</v>
      </c>
      <c r="C41" s="284" t="s">
        <v>669</v>
      </c>
      <c r="D41" s="284" t="s">
        <v>621</v>
      </c>
      <c r="E41" s="285" t="s">
        <v>26</v>
      </c>
      <c r="F41" s="286">
        <v>35334</v>
      </c>
      <c r="G41" s="286"/>
      <c r="H41" s="285" t="s">
        <v>45</v>
      </c>
      <c r="I41" s="287" t="s">
        <v>27</v>
      </c>
      <c r="J41" s="287"/>
      <c r="K41" s="288" t="s">
        <v>21</v>
      </c>
      <c r="L41" s="289">
        <v>6408257.7199999997</v>
      </c>
    </row>
    <row r="42" spans="1:12" ht="51" hidden="1" x14ac:dyDescent="0.3">
      <c r="A42" s="283" t="s">
        <v>488</v>
      </c>
      <c r="B42" s="284" t="s">
        <v>664</v>
      </c>
      <c r="C42" s="284" t="s">
        <v>670</v>
      </c>
      <c r="D42" s="284" t="s">
        <v>621</v>
      </c>
      <c r="E42" s="285" t="s">
        <v>26</v>
      </c>
      <c r="F42" s="286">
        <v>35904</v>
      </c>
      <c r="G42" s="286"/>
      <c r="H42" s="285" t="s">
        <v>45</v>
      </c>
      <c r="I42" s="287" t="s">
        <v>27</v>
      </c>
      <c r="J42" s="287"/>
      <c r="K42" s="288" t="s">
        <v>21</v>
      </c>
      <c r="L42" s="289">
        <v>6444161.7199999997</v>
      </c>
    </row>
    <row r="43" spans="1:12" ht="51" hidden="1" x14ac:dyDescent="0.3">
      <c r="A43" s="283" t="s">
        <v>488</v>
      </c>
      <c r="B43" s="284" t="s">
        <v>671</v>
      </c>
      <c r="C43" s="284" t="s">
        <v>672</v>
      </c>
      <c r="D43" s="284" t="s">
        <v>621</v>
      </c>
      <c r="E43" s="285" t="s">
        <v>26</v>
      </c>
      <c r="F43" s="286">
        <v>24255</v>
      </c>
      <c r="G43" s="286"/>
      <c r="H43" s="285" t="s">
        <v>45</v>
      </c>
      <c r="I43" s="287" t="s">
        <v>27</v>
      </c>
      <c r="J43" s="287"/>
      <c r="K43" s="288" t="s">
        <v>21</v>
      </c>
      <c r="L43" s="289">
        <v>6468416.7199999997</v>
      </c>
    </row>
    <row r="44" spans="1:12" ht="51" hidden="1" x14ac:dyDescent="0.3">
      <c r="A44" s="283" t="s">
        <v>488</v>
      </c>
      <c r="B44" s="284" t="s">
        <v>671</v>
      </c>
      <c r="C44" s="284" t="s">
        <v>673</v>
      </c>
      <c r="D44" s="284" t="s">
        <v>621</v>
      </c>
      <c r="E44" s="285" t="s">
        <v>26</v>
      </c>
      <c r="F44" s="286">
        <v>9240</v>
      </c>
      <c r="G44" s="286"/>
      <c r="H44" s="285" t="s">
        <v>45</v>
      </c>
      <c r="I44" s="287" t="s">
        <v>27</v>
      </c>
      <c r="J44" s="287"/>
      <c r="K44" s="288" t="s">
        <v>21</v>
      </c>
      <c r="L44" s="289">
        <v>6477656.7199999997</v>
      </c>
    </row>
    <row r="45" spans="1:12" ht="51" hidden="1" x14ac:dyDescent="0.3">
      <c r="A45" s="283" t="s">
        <v>488</v>
      </c>
      <c r="B45" s="284" t="s">
        <v>494</v>
      </c>
      <c r="C45" s="284" t="s">
        <v>495</v>
      </c>
      <c r="D45" s="284" t="s">
        <v>490</v>
      </c>
      <c r="E45" s="285" t="s">
        <v>26</v>
      </c>
      <c r="F45" s="292">
        <v>473</v>
      </c>
      <c r="G45" s="292"/>
      <c r="H45" s="285" t="s">
        <v>26</v>
      </c>
      <c r="I45" s="287" t="s">
        <v>27</v>
      </c>
      <c r="J45" s="287"/>
      <c r="K45" s="288" t="s">
        <v>21</v>
      </c>
      <c r="L45" s="289">
        <v>6478129.7199999997</v>
      </c>
    </row>
    <row r="46" spans="1:12" ht="51" x14ac:dyDescent="0.3">
      <c r="A46" s="283" t="s">
        <v>488</v>
      </c>
      <c r="B46" s="284" t="s">
        <v>674</v>
      </c>
      <c r="C46" s="284" t="s">
        <v>33</v>
      </c>
      <c r="D46" s="284" t="s">
        <v>628</v>
      </c>
      <c r="E46" s="285" t="s">
        <v>34</v>
      </c>
      <c r="F46" s="290" t="s">
        <v>27</v>
      </c>
      <c r="G46" s="290"/>
      <c r="H46" s="285" t="s">
        <v>26</v>
      </c>
      <c r="I46" s="291">
        <v>53705.83</v>
      </c>
      <c r="J46" s="291"/>
      <c r="K46" s="288" t="s">
        <v>21</v>
      </c>
      <c r="L46" s="289">
        <v>6424423.8899999997</v>
      </c>
    </row>
    <row r="47" spans="1:12" ht="51" x14ac:dyDescent="0.3">
      <c r="A47" s="283" t="s">
        <v>488</v>
      </c>
      <c r="B47" s="284" t="s">
        <v>674</v>
      </c>
      <c r="C47" s="284" t="s">
        <v>33</v>
      </c>
      <c r="D47" s="284" t="s">
        <v>495</v>
      </c>
      <c r="E47" s="285" t="s">
        <v>34</v>
      </c>
      <c r="F47" s="290" t="s">
        <v>27</v>
      </c>
      <c r="G47" s="290"/>
      <c r="H47" s="285" t="s">
        <v>26</v>
      </c>
      <c r="I47" s="293">
        <v>473</v>
      </c>
      <c r="J47" s="293"/>
      <c r="K47" s="288" t="s">
        <v>21</v>
      </c>
      <c r="L47" s="289">
        <v>6423950.8899999997</v>
      </c>
    </row>
    <row r="48" spans="1:12" ht="51" hidden="1" x14ac:dyDescent="0.3">
      <c r="A48" s="283" t="s">
        <v>497</v>
      </c>
      <c r="B48" s="284" t="s">
        <v>675</v>
      </c>
      <c r="C48" s="284" t="s">
        <v>676</v>
      </c>
      <c r="D48" s="284" t="s">
        <v>677</v>
      </c>
      <c r="E48" s="285" t="s">
        <v>26</v>
      </c>
      <c r="F48" s="286">
        <v>41400</v>
      </c>
      <c r="G48" s="286"/>
      <c r="H48" s="285" t="s">
        <v>45</v>
      </c>
      <c r="I48" s="287" t="s">
        <v>27</v>
      </c>
      <c r="J48" s="287"/>
      <c r="K48" s="288" t="s">
        <v>21</v>
      </c>
      <c r="L48" s="289">
        <v>6465350.8899999997</v>
      </c>
    </row>
    <row r="49" spans="1:12" ht="51" hidden="1" x14ac:dyDescent="0.3">
      <c r="A49" s="283" t="s">
        <v>53</v>
      </c>
      <c r="B49" s="284" t="s">
        <v>200</v>
      </c>
      <c r="C49" s="284" t="s">
        <v>201</v>
      </c>
      <c r="D49" s="284" t="s">
        <v>202</v>
      </c>
      <c r="E49" s="285" t="s">
        <v>26</v>
      </c>
      <c r="F49" s="286">
        <v>11827.73</v>
      </c>
      <c r="G49" s="286"/>
      <c r="H49" s="285" t="s">
        <v>26</v>
      </c>
      <c r="I49" s="287" t="s">
        <v>27</v>
      </c>
      <c r="J49" s="287"/>
      <c r="K49" s="288" t="s">
        <v>21</v>
      </c>
      <c r="L49" s="289">
        <v>6477178.6200000001</v>
      </c>
    </row>
    <row r="50" spans="1:12" ht="51" hidden="1" x14ac:dyDescent="0.3">
      <c r="A50" s="283" t="s">
        <v>53</v>
      </c>
      <c r="B50" s="284" t="s">
        <v>678</v>
      </c>
      <c r="C50" s="284" t="s">
        <v>679</v>
      </c>
      <c r="D50" s="284" t="s">
        <v>680</v>
      </c>
      <c r="E50" s="285" t="s">
        <v>26</v>
      </c>
      <c r="F50" s="286">
        <v>9240</v>
      </c>
      <c r="G50" s="286"/>
      <c r="H50" s="285" t="s">
        <v>45</v>
      </c>
      <c r="I50" s="287" t="s">
        <v>27</v>
      </c>
      <c r="J50" s="287"/>
      <c r="K50" s="288" t="s">
        <v>21</v>
      </c>
      <c r="L50" s="289">
        <v>6486418.6200000001</v>
      </c>
    </row>
    <row r="51" spans="1:12" ht="51" hidden="1" x14ac:dyDescent="0.3">
      <c r="A51" s="283" t="s">
        <v>53</v>
      </c>
      <c r="B51" s="284" t="s">
        <v>681</v>
      </c>
      <c r="C51" s="284" t="s">
        <v>679</v>
      </c>
      <c r="D51" s="284" t="s">
        <v>682</v>
      </c>
      <c r="E51" s="285" t="s">
        <v>26</v>
      </c>
      <c r="F51" s="286">
        <v>9840.5</v>
      </c>
      <c r="G51" s="286"/>
      <c r="H51" s="285" t="s">
        <v>45</v>
      </c>
      <c r="I51" s="287" t="s">
        <v>27</v>
      </c>
      <c r="J51" s="287"/>
      <c r="K51" s="288" t="s">
        <v>21</v>
      </c>
      <c r="L51" s="289">
        <v>6496259.1200000001</v>
      </c>
    </row>
    <row r="52" spans="1:12" ht="51" x14ac:dyDescent="0.3">
      <c r="A52" s="283" t="s">
        <v>53</v>
      </c>
      <c r="B52" s="284" t="s">
        <v>683</v>
      </c>
      <c r="C52" s="284" t="s">
        <v>33</v>
      </c>
      <c r="D52" s="284" t="s">
        <v>201</v>
      </c>
      <c r="E52" s="285" t="s">
        <v>34</v>
      </c>
      <c r="F52" s="290" t="s">
        <v>27</v>
      </c>
      <c r="G52" s="290"/>
      <c r="H52" s="285" t="s">
        <v>26</v>
      </c>
      <c r="I52" s="291">
        <v>11827.73</v>
      </c>
      <c r="J52" s="291"/>
      <c r="K52" s="288" t="s">
        <v>21</v>
      </c>
      <c r="L52" s="289">
        <v>6484431.3899999997</v>
      </c>
    </row>
    <row r="53" spans="1:12" ht="51" x14ac:dyDescent="0.3">
      <c r="A53" s="283" t="s">
        <v>53</v>
      </c>
      <c r="B53" s="284" t="s">
        <v>683</v>
      </c>
      <c r="C53" s="284" t="s">
        <v>33</v>
      </c>
      <c r="D53" s="284" t="s">
        <v>679</v>
      </c>
      <c r="E53" s="285" t="s">
        <v>34</v>
      </c>
      <c r="F53" s="290" t="s">
        <v>27</v>
      </c>
      <c r="G53" s="290"/>
      <c r="H53" s="285" t="s">
        <v>26</v>
      </c>
      <c r="I53" s="291">
        <v>16536.43</v>
      </c>
      <c r="J53" s="291"/>
      <c r="K53" s="288" t="s">
        <v>21</v>
      </c>
      <c r="L53" s="289">
        <v>6467894.96</v>
      </c>
    </row>
    <row r="54" spans="1:12" ht="51" hidden="1" x14ac:dyDescent="0.3">
      <c r="A54" s="283" t="s">
        <v>57</v>
      </c>
      <c r="B54" s="284" t="s">
        <v>684</v>
      </c>
      <c r="C54" s="284" t="s">
        <v>685</v>
      </c>
      <c r="D54" s="284" t="s">
        <v>390</v>
      </c>
      <c r="E54" s="285" t="s">
        <v>26</v>
      </c>
      <c r="F54" s="286">
        <v>135019.72</v>
      </c>
      <c r="G54" s="286"/>
      <c r="H54" s="285" t="s">
        <v>45</v>
      </c>
      <c r="I54" s="287" t="s">
        <v>27</v>
      </c>
      <c r="J54" s="287"/>
      <c r="K54" s="288" t="s">
        <v>21</v>
      </c>
      <c r="L54" s="289">
        <v>6602914.6799999997</v>
      </c>
    </row>
    <row r="55" spans="1:12" ht="61.2" hidden="1" x14ac:dyDescent="0.3">
      <c r="A55" s="283" t="s">
        <v>57</v>
      </c>
      <c r="B55" s="284" t="s">
        <v>686</v>
      </c>
      <c r="C55" s="284" t="s">
        <v>687</v>
      </c>
      <c r="D55" s="284" t="s">
        <v>688</v>
      </c>
      <c r="E55" s="285" t="s">
        <v>26</v>
      </c>
      <c r="F55" s="286">
        <v>551126.61</v>
      </c>
      <c r="G55" s="286"/>
      <c r="H55" s="285" t="s">
        <v>45</v>
      </c>
      <c r="I55" s="287" t="s">
        <v>27</v>
      </c>
      <c r="J55" s="287"/>
      <c r="K55" s="288" t="s">
        <v>21</v>
      </c>
      <c r="L55" s="289">
        <v>7154041.29</v>
      </c>
    </row>
    <row r="56" spans="1:12" ht="61.2" hidden="1" x14ac:dyDescent="0.3">
      <c r="A56" s="283" t="s">
        <v>57</v>
      </c>
      <c r="B56" s="284" t="s">
        <v>689</v>
      </c>
      <c r="C56" s="284" t="s">
        <v>690</v>
      </c>
      <c r="D56" s="284" t="s">
        <v>691</v>
      </c>
      <c r="E56" s="285" t="s">
        <v>26</v>
      </c>
      <c r="F56" s="286">
        <v>256602.11</v>
      </c>
      <c r="G56" s="286"/>
      <c r="H56" s="285" t="s">
        <v>45</v>
      </c>
      <c r="I56" s="287" t="s">
        <v>27</v>
      </c>
      <c r="J56" s="287"/>
      <c r="K56" s="288" t="s">
        <v>21</v>
      </c>
      <c r="L56" s="289">
        <v>7410643.4000000004</v>
      </c>
    </row>
    <row r="57" spans="1:12" ht="51" hidden="1" x14ac:dyDescent="0.3">
      <c r="A57" s="283" t="s">
        <v>57</v>
      </c>
      <c r="B57" s="284" t="s">
        <v>692</v>
      </c>
      <c r="C57" s="284" t="s">
        <v>545</v>
      </c>
      <c r="D57" s="284" t="s">
        <v>390</v>
      </c>
      <c r="E57" s="285" t="s">
        <v>26</v>
      </c>
      <c r="F57" s="286">
        <v>38204.160000000003</v>
      </c>
      <c r="G57" s="286"/>
      <c r="H57" s="285" t="s">
        <v>45</v>
      </c>
      <c r="I57" s="287" t="s">
        <v>27</v>
      </c>
      <c r="J57" s="287"/>
      <c r="K57" s="288" t="s">
        <v>21</v>
      </c>
      <c r="L57" s="289">
        <v>7448847.5599999996</v>
      </c>
    </row>
    <row r="58" spans="1:12" ht="51" hidden="1" x14ac:dyDescent="0.3">
      <c r="A58" s="283" t="s">
        <v>57</v>
      </c>
      <c r="B58" s="284" t="s">
        <v>692</v>
      </c>
      <c r="C58" s="284" t="s">
        <v>693</v>
      </c>
      <c r="D58" s="284" t="s">
        <v>390</v>
      </c>
      <c r="E58" s="285" t="s">
        <v>26</v>
      </c>
      <c r="F58" s="286">
        <v>34991.25</v>
      </c>
      <c r="G58" s="286"/>
      <c r="H58" s="285" t="s">
        <v>45</v>
      </c>
      <c r="I58" s="287" t="s">
        <v>27</v>
      </c>
      <c r="J58" s="287"/>
      <c r="K58" s="288" t="s">
        <v>21</v>
      </c>
      <c r="L58" s="289">
        <v>7483838.8099999996</v>
      </c>
    </row>
    <row r="59" spans="1:12" ht="61.2" x14ac:dyDescent="0.3">
      <c r="A59" s="283" t="s">
        <v>57</v>
      </c>
      <c r="B59" s="284" t="s">
        <v>694</v>
      </c>
      <c r="C59" s="284" t="s">
        <v>33</v>
      </c>
      <c r="D59" s="284" t="s">
        <v>687</v>
      </c>
      <c r="E59" s="285" t="s">
        <v>34</v>
      </c>
      <c r="F59" s="290" t="s">
        <v>27</v>
      </c>
      <c r="G59" s="290"/>
      <c r="H59" s="285" t="s">
        <v>26</v>
      </c>
      <c r="I59" s="291">
        <v>41189.46</v>
      </c>
      <c r="J59" s="291"/>
      <c r="K59" s="288" t="s">
        <v>21</v>
      </c>
      <c r="L59" s="289">
        <v>7442649.3499999996</v>
      </c>
    </row>
    <row r="60" spans="1:12" ht="51" x14ac:dyDescent="0.3">
      <c r="A60" s="283" t="s">
        <v>57</v>
      </c>
      <c r="B60" s="284" t="s">
        <v>694</v>
      </c>
      <c r="C60" s="284" t="s">
        <v>33</v>
      </c>
      <c r="D60" s="284" t="s">
        <v>611</v>
      </c>
      <c r="E60" s="285" t="s">
        <v>34</v>
      </c>
      <c r="F60" s="290" t="s">
        <v>27</v>
      </c>
      <c r="G60" s="290"/>
      <c r="H60" s="285" t="s">
        <v>26</v>
      </c>
      <c r="I60" s="291">
        <v>9406.08</v>
      </c>
      <c r="J60" s="291"/>
      <c r="K60" s="288" t="s">
        <v>21</v>
      </c>
      <c r="L60" s="289">
        <v>7433243.2699999996</v>
      </c>
    </row>
    <row r="61" spans="1:12" ht="51" hidden="1" x14ac:dyDescent="0.3">
      <c r="A61" s="283" t="s">
        <v>394</v>
      </c>
      <c r="B61" s="284" t="s">
        <v>695</v>
      </c>
      <c r="C61" s="284" t="s">
        <v>696</v>
      </c>
      <c r="D61" s="284" t="s">
        <v>697</v>
      </c>
      <c r="E61" s="285" t="s">
        <v>26</v>
      </c>
      <c r="F61" s="286">
        <v>3983.83</v>
      </c>
      <c r="G61" s="286"/>
      <c r="H61" s="285" t="s">
        <v>45</v>
      </c>
      <c r="I61" s="287" t="s">
        <v>27</v>
      </c>
      <c r="J61" s="287"/>
      <c r="K61" s="288" t="s">
        <v>21</v>
      </c>
      <c r="L61" s="289">
        <v>7437227.0999999996</v>
      </c>
    </row>
    <row r="62" spans="1:12" ht="51" hidden="1" x14ac:dyDescent="0.3">
      <c r="A62" s="283" t="s">
        <v>61</v>
      </c>
      <c r="B62" s="284" t="s">
        <v>698</v>
      </c>
      <c r="C62" s="284" t="s">
        <v>699</v>
      </c>
      <c r="D62" s="284" t="s">
        <v>621</v>
      </c>
      <c r="E62" s="285" t="s">
        <v>26</v>
      </c>
      <c r="F62" s="286">
        <v>37768</v>
      </c>
      <c r="G62" s="286"/>
      <c r="H62" s="285" t="s">
        <v>45</v>
      </c>
      <c r="I62" s="287" t="s">
        <v>27</v>
      </c>
      <c r="J62" s="287"/>
      <c r="K62" s="288" t="s">
        <v>21</v>
      </c>
      <c r="L62" s="289">
        <v>7474995.0999999996</v>
      </c>
    </row>
    <row r="63" spans="1:12" ht="51" hidden="1" x14ac:dyDescent="0.3">
      <c r="A63" s="283" t="s">
        <v>61</v>
      </c>
      <c r="B63" s="284" t="s">
        <v>698</v>
      </c>
      <c r="C63" s="284" t="s">
        <v>700</v>
      </c>
      <c r="D63" s="284" t="s">
        <v>621</v>
      </c>
      <c r="E63" s="285" t="s">
        <v>26</v>
      </c>
      <c r="F63" s="286">
        <v>37768</v>
      </c>
      <c r="G63" s="286"/>
      <c r="H63" s="285" t="s">
        <v>45</v>
      </c>
      <c r="I63" s="287" t="s">
        <v>27</v>
      </c>
      <c r="J63" s="287"/>
      <c r="K63" s="288" t="s">
        <v>21</v>
      </c>
      <c r="L63" s="289">
        <v>7512763.0999999996</v>
      </c>
    </row>
    <row r="64" spans="1:12" ht="51" hidden="1" x14ac:dyDescent="0.3">
      <c r="A64" s="283" t="s">
        <v>61</v>
      </c>
      <c r="B64" s="284" t="s">
        <v>698</v>
      </c>
      <c r="C64" s="284" t="s">
        <v>701</v>
      </c>
      <c r="D64" s="284" t="s">
        <v>621</v>
      </c>
      <c r="E64" s="285" t="s">
        <v>26</v>
      </c>
      <c r="F64" s="286">
        <v>37768</v>
      </c>
      <c r="G64" s="286"/>
      <c r="H64" s="285" t="s">
        <v>45</v>
      </c>
      <c r="I64" s="287" t="s">
        <v>27</v>
      </c>
      <c r="J64" s="287"/>
      <c r="K64" s="288" t="s">
        <v>21</v>
      </c>
      <c r="L64" s="289">
        <v>7550531.0999999996</v>
      </c>
    </row>
    <row r="65" spans="1:12" ht="51" hidden="1" x14ac:dyDescent="0.3">
      <c r="A65" s="283" t="s">
        <v>61</v>
      </c>
      <c r="B65" s="284" t="s">
        <v>698</v>
      </c>
      <c r="C65" s="284" t="s">
        <v>702</v>
      </c>
      <c r="D65" s="284" t="s">
        <v>621</v>
      </c>
      <c r="E65" s="285" t="s">
        <v>26</v>
      </c>
      <c r="F65" s="286">
        <v>35336</v>
      </c>
      <c r="G65" s="286"/>
      <c r="H65" s="285" t="s">
        <v>45</v>
      </c>
      <c r="I65" s="287" t="s">
        <v>27</v>
      </c>
      <c r="J65" s="287"/>
      <c r="K65" s="288" t="s">
        <v>21</v>
      </c>
      <c r="L65" s="289">
        <v>7585867.0999999996</v>
      </c>
    </row>
    <row r="66" spans="1:12" ht="51" hidden="1" x14ac:dyDescent="0.3">
      <c r="A66" s="283" t="s">
        <v>61</v>
      </c>
      <c r="B66" s="284" t="s">
        <v>698</v>
      </c>
      <c r="C66" s="284" t="s">
        <v>703</v>
      </c>
      <c r="D66" s="284" t="s">
        <v>621</v>
      </c>
      <c r="E66" s="285" t="s">
        <v>26</v>
      </c>
      <c r="F66" s="286">
        <v>35336</v>
      </c>
      <c r="G66" s="286"/>
      <c r="H66" s="285" t="s">
        <v>45</v>
      </c>
      <c r="I66" s="287" t="s">
        <v>27</v>
      </c>
      <c r="J66" s="287"/>
      <c r="K66" s="288" t="s">
        <v>21</v>
      </c>
      <c r="L66" s="289">
        <v>7621203.0999999996</v>
      </c>
    </row>
    <row r="67" spans="1:12" ht="51" hidden="1" x14ac:dyDescent="0.3">
      <c r="A67" s="283" t="s">
        <v>61</v>
      </c>
      <c r="B67" s="284" t="s">
        <v>698</v>
      </c>
      <c r="C67" s="284" t="s">
        <v>704</v>
      </c>
      <c r="D67" s="284" t="s">
        <v>621</v>
      </c>
      <c r="E67" s="285" t="s">
        <v>26</v>
      </c>
      <c r="F67" s="286">
        <v>35336</v>
      </c>
      <c r="G67" s="286"/>
      <c r="H67" s="285" t="s">
        <v>45</v>
      </c>
      <c r="I67" s="287" t="s">
        <v>27</v>
      </c>
      <c r="J67" s="287"/>
      <c r="K67" s="288" t="s">
        <v>21</v>
      </c>
      <c r="L67" s="289">
        <v>7656539.0999999996</v>
      </c>
    </row>
    <row r="68" spans="1:12" ht="51" hidden="1" x14ac:dyDescent="0.3">
      <c r="A68" s="283" t="s">
        <v>297</v>
      </c>
      <c r="B68" s="284" t="s">
        <v>705</v>
      </c>
      <c r="C68" s="284" t="s">
        <v>706</v>
      </c>
      <c r="D68" s="284" t="s">
        <v>707</v>
      </c>
      <c r="E68" s="285" t="s">
        <v>26</v>
      </c>
      <c r="F68" s="286">
        <v>241024.33</v>
      </c>
      <c r="G68" s="286"/>
      <c r="H68" s="285" t="s">
        <v>45</v>
      </c>
      <c r="I68" s="287" t="s">
        <v>27</v>
      </c>
      <c r="J68" s="287"/>
      <c r="K68" s="288" t="s">
        <v>21</v>
      </c>
      <c r="L68" s="289">
        <v>7897563.4299999997</v>
      </c>
    </row>
    <row r="69" spans="1:12" ht="51" hidden="1" x14ac:dyDescent="0.3">
      <c r="A69" s="283" t="s">
        <v>297</v>
      </c>
      <c r="B69" s="284" t="s">
        <v>705</v>
      </c>
      <c r="C69" s="284" t="s">
        <v>567</v>
      </c>
      <c r="D69" s="284" t="s">
        <v>707</v>
      </c>
      <c r="E69" s="285" t="s">
        <v>26</v>
      </c>
      <c r="F69" s="286">
        <v>3563.59</v>
      </c>
      <c r="G69" s="286"/>
      <c r="H69" s="285" t="s">
        <v>45</v>
      </c>
      <c r="I69" s="287" t="s">
        <v>27</v>
      </c>
      <c r="J69" s="287"/>
      <c r="K69" s="288" t="s">
        <v>21</v>
      </c>
      <c r="L69" s="289">
        <v>7901127.0199999996</v>
      </c>
    </row>
    <row r="70" spans="1:12" ht="51" hidden="1" x14ac:dyDescent="0.3">
      <c r="A70" s="283" t="s">
        <v>297</v>
      </c>
      <c r="B70" s="284" t="s">
        <v>705</v>
      </c>
      <c r="C70" s="284" t="s">
        <v>569</v>
      </c>
      <c r="D70" s="284" t="s">
        <v>707</v>
      </c>
      <c r="E70" s="285" t="s">
        <v>26</v>
      </c>
      <c r="F70" s="286">
        <v>1588.28</v>
      </c>
      <c r="G70" s="286"/>
      <c r="H70" s="285" t="s">
        <v>45</v>
      </c>
      <c r="I70" s="287" t="s">
        <v>27</v>
      </c>
      <c r="J70" s="287"/>
      <c r="K70" s="288" t="s">
        <v>21</v>
      </c>
      <c r="L70" s="289">
        <v>7902715.2999999998</v>
      </c>
    </row>
    <row r="71" spans="1:12" ht="51" hidden="1" x14ac:dyDescent="0.3">
      <c r="A71" s="283" t="s">
        <v>297</v>
      </c>
      <c r="B71" s="284" t="s">
        <v>708</v>
      </c>
      <c r="C71" s="284" t="s">
        <v>709</v>
      </c>
      <c r="D71" s="284" t="s">
        <v>621</v>
      </c>
      <c r="E71" s="285" t="s">
        <v>26</v>
      </c>
      <c r="F71" s="286">
        <v>35336</v>
      </c>
      <c r="G71" s="286"/>
      <c r="H71" s="285" t="s">
        <v>45</v>
      </c>
      <c r="I71" s="287" t="s">
        <v>27</v>
      </c>
      <c r="J71" s="287"/>
      <c r="K71" s="288" t="s">
        <v>21</v>
      </c>
      <c r="L71" s="289">
        <v>7938051.2999999998</v>
      </c>
    </row>
    <row r="72" spans="1:12" ht="51" hidden="1" x14ac:dyDescent="0.3">
      <c r="A72" s="283" t="s">
        <v>297</v>
      </c>
      <c r="B72" s="284" t="s">
        <v>708</v>
      </c>
      <c r="C72" s="284" t="s">
        <v>710</v>
      </c>
      <c r="D72" s="284" t="s">
        <v>621</v>
      </c>
      <c r="E72" s="285" t="s">
        <v>26</v>
      </c>
      <c r="F72" s="286">
        <v>35336</v>
      </c>
      <c r="G72" s="286"/>
      <c r="H72" s="285" t="s">
        <v>45</v>
      </c>
      <c r="I72" s="287" t="s">
        <v>27</v>
      </c>
      <c r="J72" s="287"/>
      <c r="K72" s="288" t="s">
        <v>21</v>
      </c>
      <c r="L72" s="289">
        <v>7973387.2999999998</v>
      </c>
    </row>
    <row r="73" spans="1:12" ht="51" hidden="1" x14ac:dyDescent="0.3">
      <c r="A73" s="283" t="s">
        <v>297</v>
      </c>
      <c r="B73" s="284" t="s">
        <v>708</v>
      </c>
      <c r="C73" s="284" t="s">
        <v>711</v>
      </c>
      <c r="D73" s="284" t="s">
        <v>621</v>
      </c>
      <c r="E73" s="285" t="s">
        <v>26</v>
      </c>
      <c r="F73" s="286">
        <v>35941</v>
      </c>
      <c r="G73" s="286"/>
      <c r="H73" s="285" t="s">
        <v>45</v>
      </c>
      <c r="I73" s="287" t="s">
        <v>27</v>
      </c>
      <c r="J73" s="287"/>
      <c r="K73" s="288" t="s">
        <v>21</v>
      </c>
      <c r="L73" s="289">
        <v>8009328.2999999998</v>
      </c>
    </row>
    <row r="74" spans="1:12" ht="51" hidden="1" x14ac:dyDescent="0.3">
      <c r="A74" s="283" t="s">
        <v>297</v>
      </c>
      <c r="B74" s="284" t="s">
        <v>708</v>
      </c>
      <c r="C74" s="284" t="s">
        <v>712</v>
      </c>
      <c r="D74" s="284" t="s">
        <v>621</v>
      </c>
      <c r="E74" s="285" t="s">
        <v>26</v>
      </c>
      <c r="F74" s="286">
        <v>37768</v>
      </c>
      <c r="G74" s="286"/>
      <c r="H74" s="285" t="s">
        <v>45</v>
      </c>
      <c r="I74" s="287" t="s">
        <v>27</v>
      </c>
      <c r="J74" s="287"/>
      <c r="K74" s="288" t="s">
        <v>21</v>
      </c>
      <c r="L74" s="289">
        <v>8047096.2999999998</v>
      </c>
    </row>
    <row r="75" spans="1:12" ht="51" hidden="1" x14ac:dyDescent="0.3">
      <c r="A75" s="283" t="s">
        <v>297</v>
      </c>
      <c r="B75" s="284" t="s">
        <v>708</v>
      </c>
      <c r="C75" s="284" t="s">
        <v>713</v>
      </c>
      <c r="D75" s="284" t="s">
        <v>621</v>
      </c>
      <c r="E75" s="285" t="s">
        <v>26</v>
      </c>
      <c r="F75" s="286">
        <v>35904</v>
      </c>
      <c r="G75" s="286"/>
      <c r="H75" s="285" t="s">
        <v>45</v>
      </c>
      <c r="I75" s="287" t="s">
        <v>27</v>
      </c>
      <c r="J75" s="287"/>
      <c r="K75" s="288" t="s">
        <v>21</v>
      </c>
      <c r="L75" s="289">
        <v>8083000.2999999998</v>
      </c>
    </row>
    <row r="76" spans="1:12" ht="51" hidden="1" x14ac:dyDescent="0.3">
      <c r="A76" s="283" t="s">
        <v>297</v>
      </c>
      <c r="B76" s="284" t="s">
        <v>708</v>
      </c>
      <c r="C76" s="284" t="s">
        <v>714</v>
      </c>
      <c r="D76" s="284" t="s">
        <v>621</v>
      </c>
      <c r="E76" s="285" t="s">
        <v>26</v>
      </c>
      <c r="F76" s="286">
        <v>35336</v>
      </c>
      <c r="G76" s="286"/>
      <c r="H76" s="285" t="s">
        <v>45</v>
      </c>
      <c r="I76" s="287" t="s">
        <v>27</v>
      </c>
      <c r="J76" s="287"/>
      <c r="K76" s="288" t="s">
        <v>21</v>
      </c>
      <c r="L76" s="289">
        <v>8118336.2999999998</v>
      </c>
    </row>
    <row r="77" spans="1:12" ht="51" hidden="1" x14ac:dyDescent="0.3">
      <c r="A77" s="283" t="s">
        <v>297</v>
      </c>
      <c r="B77" s="284" t="s">
        <v>715</v>
      </c>
      <c r="C77" s="284" t="s">
        <v>706</v>
      </c>
      <c r="D77" s="284" t="s">
        <v>707</v>
      </c>
      <c r="E77" s="285" t="s">
        <v>26</v>
      </c>
      <c r="F77" s="286">
        <v>14821.2</v>
      </c>
      <c r="G77" s="286"/>
      <c r="H77" s="285" t="s">
        <v>45</v>
      </c>
      <c r="I77" s="287" t="s">
        <v>27</v>
      </c>
      <c r="J77" s="287"/>
      <c r="K77" s="288" t="s">
        <v>21</v>
      </c>
      <c r="L77" s="289">
        <v>8133157.5</v>
      </c>
    </row>
    <row r="78" spans="1:12" ht="51" hidden="1" x14ac:dyDescent="0.3">
      <c r="A78" s="283" t="s">
        <v>297</v>
      </c>
      <c r="B78" s="284" t="s">
        <v>715</v>
      </c>
      <c r="C78" s="284" t="s">
        <v>567</v>
      </c>
      <c r="D78" s="284" t="s">
        <v>707</v>
      </c>
      <c r="E78" s="285" t="s">
        <v>26</v>
      </c>
      <c r="F78" s="292">
        <v>219.13</v>
      </c>
      <c r="G78" s="292"/>
      <c r="H78" s="285" t="s">
        <v>45</v>
      </c>
      <c r="I78" s="287" t="s">
        <v>27</v>
      </c>
      <c r="J78" s="287"/>
      <c r="K78" s="288" t="s">
        <v>21</v>
      </c>
      <c r="L78" s="289">
        <v>8133376.6299999999</v>
      </c>
    </row>
    <row r="79" spans="1:12" ht="51" hidden="1" x14ac:dyDescent="0.3">
      <c r="A79" s="283" t="s">
        <v>297</v>
      </c>
      <c r="B79" s="284" t="s">
        <v>715</v>
      </c>
      <c r="C79" s="284" t="s">
        <v>569</v>
      </c>
      <c r="D79" s="284" t="s">
        <v>707</v>
      </c>
      <c r="E79" s="285" t="s">
        <v>26</v>
      </c>
      <c r="F79" s="292">
        <v>97.67</v>
      </c>
      <c r="G79" s="292"/>
      <c r="H79" s="285" t="s">
        <v>45</v>
      </c>
      <c r="I79" s="287" t="s">
        <v>27</v>
      </c>
      <c r="J79" s="287"/>
      <c r="K79" s="288" t="s">
        <v>21</v>
      </c>
      <c r="L79" s="289">
        <v>8133474.2999999998</v>
      </c>
    </row>
    <row r="80" spans="1:12" ht="51" hidden="1" x14ac:dyDescent="0.3">
      <c r="A80" s="283" t="s">
        <v>297</v>
      </c>
      <c r="B80" s="284" t="s">
        <v>304</v>
      </c>
      <c r="C80" s="284" t="s">
        <v>305</v>
      </c>
      <c r="D80" s="284" t="s">
        <v>299</v>
      </c>
      <c r="E80" s="285" t="s">
        <v>26</v>
      </c>
      <c r="F80" s="286">
        <v>15750.24</v>
      </c>
      <c r="G80" s="286"/>
      <c r="H80" s="285" t="s">
        <v>26</v>
      </c>
      <c r="I80" s="287" t="s">
        <v>27</v>
      </c>
      <c r="J80" s="287"/>
      <c r="K80" s="288" t="s">
        <v>21</v>
      </c>
      <c r="L80" s="289">
        <v>8149224.54</v>
      </c>
    </row>
    <row r="81" spans="1:12" ht="51" hidden="1" x14ac:dyDescent="0.3">
      <c r="A81" s="283" t="s">
        <v>297</v>
      </c>
      <c r="B81" s="284" t="s">
        <v>304</v>
      </c>
      <c r="C81" s="284" t="s">
        <v>306</v>
      </c>
      <c r="D81" s="284" t="s">
        <v>301</v>
      </c>
      <c r="E81" s="285" t="s">
        <v>26</v>
      </c>
      <c r="F81" s="286">
        <v>1983.85</v>
      </c>
      <c r="G81" s="286"/>
      <c r="H81" s="285" t="s">
        <v>26</v>
      </c>
      <c r="I81" s="287" t="s">
        <v>27</v>
      </c>
      <c r="J81" s="287"/>
      <c r="K81" s="288" t="s">
        <v>21</v>
      </c>
      <c r="L81" s="289">
        <v>8151208.3899999997</v>
      </c>
    </row>
    <row r="82" spans="1:12" ht="61.2" hidden="1" x14ac:dyDescent="0.3">
      <c r="A82" s="283" t="s">
        <v>297</v>
      </c>
      <c r="B82" s="284" t="s">
        <v>565</v>
      </c>
      <c r="C82" s="284" t="s">
        <v>566</v>
      </c>
      <c r="D82" s="284" t="s">
        <v>567</v>
      </c>
      <c r="E82" s="285" t="s">
        <v>26</v>
      </c>
      <c r="F82" s="290" t="s">
        <v>27</v>
      </c>
      <c r="G82" s="290"/>
      <c r="H82" s="285" t="s">
        <v>26</v>
      </c>
      <c r="I82" s="291">
        <v>3782.72</v>
      </c>
      <c r="J82" s="291"/>
      <c r="K82" s="288" t="s">
        <v>21</v>
      </c>
      <c r="L82" s="289">
        <v>8147425.6699999999</v>
      </c>
    </row>
    <row r="83" spans="1:12" ht="61.2" hidden="1" x14ac:dyDescent="0.3">
      <c r="A83" s="283" t="s">
        <v>297</v>
      </c>
      <c r="B83" s="284" t="s">
        <v>565</v>
      </c>
      <c r="C83" s="284" t="s">
        <v>568</v>
      </c>
      <c r="D83" s="284" t="s">
        <v>569</v>
      </c>
      <c r="E83" s="285" t="s">
        <v>26</v>
      </c>
      <c r="F83" s="290" t="s">
        <v>27</v>
      </c>
      <c r="G83" s="290"/>
      <c r="H83" s="285" t="s">
        <v>26</v>
      </c>
      <c r="I83" s="291">
        <v>1685.95</v>
      </c>
      <c r="J83" s="291"/>
      <c r="K83" s="288" t="s">
        <v>21</v>
      </c>
      <c r="L83" s="289">
        <v>8145739.7199999997</v>
      </c>
    </row>
    <row r="84" spans="1:12" ht="51" hidden="1" x14ac:dyDescent="0.3">
      <c r="A84" s="283" t="s">
        <v>147</v>
      </c>
      <c r="B84" s="284" t="s">
        <v>716</v>
      </c>
      <c r="C84" s="284" t="s">
        <v>717</v>
      </c>
      <c r="D84" s="284" t="s">
        <v>718</v>
      </c>
      <c r="E84" s="285" t="s">
        <v>26</v>
      </c>
      <c r="F84" s="286">
        <v>29260</v>
      </c>
      <c r="G84" s="286"/>
      <c r="H84" s="285" t="s">
        <v>45</v>
      </c>
      <c r="I84" s="287" t="s">
        <v>27</v>
      </c>
      <c r="J84" s="287"/>
      <c r="K84" s="288" t="s">
        <v>21</v>
      </c>
      <c r="L84" s="289">
        <v>8174999.7199999997</v>
      </c>
    </row>
    <row r="85" spans="1:12" ht="51" hidden="1" x14ac:dyDescent="0.3">
      <c r="A85" s="283" t="s">
        <v>147</v>
      </c>
      <c r="B85" s="284" t="s">
        <v>719</v>
      </c>
      <c r="C85" s="284" t="s">
        <v>720</v>
      </c>
      <c r="D85" s="284" t="s">
        <v>621</v>
      </c>
      <c r="E85" s="285" t="s">
        <v>26</v>
      </c>
      <c r="F85" s="286">
        <v>37684</v>
      </c>
      <c r="G85" s="286"/>
      <c r="H85" s="285" t="s">
        <v>45</v>
      </c>
      <c r="I85" s="287" t="s">
        <v>27</v>
      </c>
      <c r="J85" s="287"/>
      <c r="K85" s="288" t="s">
        <v>21</v>
      </c>
      <c r="L85" s="289">
        <v>8212683.7199999997</v>
      </c>
    </row>
    <row r="86" spans="1:12" ht="51" hidden="1" x14ac:dyDescent="0.3">
      <c r="A86" s="283" t="s">
        <v>147</v>
      </c>
      <c r="B86" s="284" t="s">
        <v>719</v>
      </c>
      <c r="C86" s="284" t="s">
        <v>721</v>
      </c>
      <c r="D86" s="284" t="s">
        <v>621</v>
      </c>
      <c r="E86" s="285" t="s">
        <v>26</v>
      </c>
      <c r="F86" s="286">
        <v>35904</v>
      </c>
      <c r="G86" s="286"/>
      <c r="H86" s="285" t="s">
        <v>45</v>
      </c>
      <c r="I86" s="287" t="s">
        <v>27</v>
      </c>
      <c r="J86" s="287"/>
      <c r="K86" s="288" t="s">
        <v>21</v>
      </c>
      <c r="L86" s="289">
        <v>8248587.7199999997</v>
      </c>
    </row>
    <row r="87" spans="1:12" ht="51" hidden="1" x14ac:dyDescent="0.3">
      <c r="A87" s="283" t="s">
        <v>147</v>
      </c>
      <c r="B87" s="284" t="s">
        <v>719</v>
      </c>
      <c r="C87" s="284" t="s">
        <v>722</v>
      </c>
      <c r="D87" s="284" t="s">
        <v>621</v>
      </c>
      <c r="E87" s="285" t="s">
        <v>26</v>
      </c>
      <c r="F87" s="286">
        <v>35336</v>
      </c>
      <c r="G87" s="286"/>
      <c r="H87" s="285" t="s">
        <v>45</v>
      </c>
      <c r="I87" s="287" t="s">
        <v>27</v>
      </c>
      <c r="J87" s="287"/>
      <c r="K87" s="288" t="s">
        <v>21</v>
      </c>
      <c r="L87" s="289">
        <v>8283923.7199999997</v>
      </c>
    </row>
    <row r="88" spans="1:12" ht="51" hidden="1" x14ac:dyDescent="0.3">
      <c r="A88" s="283" t="s">
        <v>147</v>
      </c>
      <c r="B88" s="284" t="s">
        <v>719</v>
      </c>
      <c r="C88" s="284" t="s">
        <v>723</v>
      </c>
      <c r="D88" s="284" t="s">
        <v>621</v>
      </c>
      <c r="E88" s="285" t="s">
        <v>26</v>
      </c>
      <c r="F88" s="286">
        <v>35336</v>
      </c>
      <c r="G88" s="286"/>
      <c r="H88" s="285" t="s">
        <v>45</v>
      </c>
      <c r="I88" s="287" t="s">
        <v>27</v>
      </c>
      <c r="J88" s="287"/>
      <c r="K88" s="288" t="s">
        <v>21</v>
      </c>
      <c r="L88" s="289">
        <v>8319259.7199999997</v>
      </c>
    </row>
    <row r="89" spans="1:12" ht="51" hidden="1" x14ac:dyDescent="0.3">
      <c r="A89" s="283" t="s">
        <v>147</v>
      </c>
      <c r="B89" s="284" t="s">
        <v>719</v>
      </c>
      <c r="C89" s="284" t="s">
        <v>724</v>
      </c>
      <c r="D89" s="284" t="s">
        <v>621</v>
      </c>
      <c r="E89" s="285" t="s">
        <v>26</v>
      </c>
      <c r="F89" s="286">
        <v>35336</v>
      </c>
      <c r="G89" s="286"/>
      <c r="H89" s="285" t="s">
        <v>45</v>
      </c>
      <c r="I89" s="287" t="s">
        <v>27</v>
      </c>
      <c r="J89" s="287"/>
      <c r="K89" s="288" t="s">
        <v>21</v>
      </c>
      <c r="L89" s="289">
        <v>8354595.7199999997</v>
      </c>
    </row>
    <row r="90" spans="1:12" ht="51" hidden="1" x14ac:dyDescent="0.3">
      <c r="A90" s="283" t="s">
        <v>147</v>
      </c>
      <c r="B90" s="284" t="s">
        <v>725</v>
      </c>
      <c r="C90" s="284" t="s">
        <v>717</v>
      </c>
      <c r="D90" s="284" t="s">
        <v>726</v>
      </c>
      <c r="E90" s="285" t="s">
        <v>26</v>
      </c>
      <c r="F90" s="286">
        <v>19127.5</v>
      </c>
      <c r="G90" s="286"/>
      <c r="H90" s="285" t="s">
        <v>45</v>
      </c>
      <c r="I90" s="287" t="s">
        <v>27</v>
      </c>
      <c r="J90" s="287"/>
      <c r="K90" s="288" t="s">
        <v>21</v>
      </c>
      <c r="L90" s="289">
        <v>8373723.2199999997</v>
      </c>
    </row>
    <row r="91" spans="1:12" ht="51" hidden="1" x14ac:dyDescent="0.3">
      <c r="A91" s="283" t="s">
        <v>147</v>
      </c>
      <c r="B91" s="284" t="s">
        <v>176</v>
      </c>
      <c r="C91" s="284" t="s">
        <v>174</v>
      </c>
      <c r="D91" s="284" t="s">
        <v>177</v>
      </c>
      <c r="E91" s="285" t="s">
        <v>26</v>
      </c>
      <c r="F91" s="290" t="s">
        <v>27</v>
      </c>
      <c r="G91" s="290"/>
      <c r="H91" s="285" t="s">
        <v>26</v>
      </c>
      <c r="I91" s="291">
        <v>13246</v>
      </c>
      <c r="J91" s="291"/>
      <c r="K91" s="288" t="s">
        <v>21</v>
      </c>
      <c r="L91" s="289">
        <v>8360477.2199999997</v>
      </c>
    </row>
    <row r="92" spans="1:12" ht="51" hidden="1" x14ac:dyDescent="0.3">
      <c r="A92" s="283" t="s">
        <v>147</v>
      </c>
      <c r="B92" s="284" t="s">
        <v>176</v>
      </c>
      <c r="C92" s="284" t="s">
        <v>178</v>
      </c>
      <c r="D92" s="284" t="s">
        <v>179</v>
      </c>
      <c r="E92" s="285" t="s">
        <v>26</v>
      </c>
      <c r="F92" s="290" t="s">
        <v>27</v>
      </c>
      <c r="G92" s="290"/>
      <c r="H92" s="285" t="s">
        <v>26</v>
      </c>
      <c r="I92" s="291">
        <v>12273</v>
      </c>
      <c r="J92" s="291"/>
      <c r="K92" s="288" t="s">
        <v>21</v>
      </c>
      <c r="L92" s="289">
        <v>8348204.2199999997</v>
      </c>
    </row>
    <row r="93" spans="1:12" ht="51" hidden="1" x14ac:dyDescent="0.3">
      <c r="A93" s="283" t="s">
        <v>147</v>
      </c>
      <c r="B93" s="284" t="s">
        <v>176</v>
      </c>
      <c r="C93" s="284" t="s">
        <v>180</v>
      </c>
      <c r="D93" s="284" t="s">
        <v>181</v>
      </c>
      <c r="E93" s="285" t="s">
        <v>26</v>
      </c>
      <c r="F93" s="290" t="s">
        <v>27</v>
      </c>
      <c r="G93" s="290"/>
      <c r="H93" s="285" t="s">
        <v>26</v>
      </c>
      <c r="I93" s="291">
        <v>12147</v>
      </c>
      <c r="J93" s="291"/>
      <c r="K93" s="288" t="s">
        <v>21</v>
      </c>
      <c r="L93" s="289">
        <v>8336057.2199999997</v>
      </c>
    </row>
    <row r="94" spans="1:12" ht="61.2" x14ac:dyDescent="0.3">
      <c r="A94" s="283" t="s">
        <v>68</v>
      </c>
      <c r="B94" s="284" t="s">
        <v>727</v>
      </c>
      <c r="C94" s="284" t="s">
        <v>33</v>
      </c>
      <c r="D94" s="284" t="s">
        <v>687</v>
      </c>
      <c r="E94" s="285" t="s">
        <v>34</v>
      </c>
      <c r="F94" s="290" t="s">
        <v>27</v>
      </c>
      <c r="G94" s="290"/>
      <c r="H94" s="285" t="s">
        <v>26</v>
      </c>
      <c r="I94" s="291">
        <v>40517.730000000003</v>
      </c>
      <c r="J94" s="291"/>
      <c r="K94" s="288" t="s">
        <v>21</v>
      </c>
      <c r="L94" s="289">
        <v>8295539.4900000002</v>
      </c>
    </row>
    <row r="95" spans="1:12" ht="51" x14ac:dyDescent="0.3">
      <c r="A95" s="283" t="s">
        <v>68</v>
      </c>
      <c r="B95" s="284" t="s">
        <v>727</v>
      </c>
      <c r="C95" s="284" t="s">
        <v>33</v>
      </c>
      <c r="D95" s="284" t="s">
        <v>247</v>
      </c>
      <c r="E95" s="285" t="s">
        <v>34</v>
      </c>
      <c r="F95" s="290" t="s">
        <v>27</v>
      </c>
      <c r="G95" s="290"/>
      <c r="H95" s="285" t="s">
        <v>26</v>
      </c>
      <c r="I95" s="291">
        <v>68999.990000000005</v>
      </c>
      <c r="J95" s="291"/>
      <c r="K95" s="288" t="s">
        <v>21</v>
      </c>
      <c r="L95" s="289">
        <v>8226539.5</v>
      </c>
    </row>
    <row r="96" spans="1:12" ht="51" x14ac:dyDescent="0.3">
      <c r="A96" s="283" t="s">
        <v>68</v>
      </c>
      <c r="B96" s="284" t="s">
        <v>727</v>
      </c>
      <c r="C96" s="284" t="s">
        <v>33</v>
      </c>
      <c r="D96" s="284" t="s">
        <v>728</v>
      </c>
      <c r="E96" s="285" t="s">
        <v>34</v>
      </c>
      <c r="F96" s="290" t="s">
        <v>27</v>
      </c>
      <c r="G96" s="290"/>
      <c r="H96" s="285" t="s">
        <v>26</v>
      </c>
      <c r="I96" s="291">
        <v>2927.1</v>
      </c>
      <c r="J96" s="291"/>
      <c r="K96" s="288" t="s">
        <v>21</v>
      </c>
      <c r="L96" s="289">
        <v>8223612.4000000004</v>
      </c>
    </row>
    <row r="97" spans="1:12" ht="51" x14ac:dyDescent="0.3">
      <c r="A97" s="283" t="s">
        <v>68</v>
      </c>
      <c r="B97" s="284" t="s">
        <v>727</v>
      </c>
      <c r="C97" s="284" t="s">
        <v>33</v>
      </c>
      <c r="D97" s="284" t="s">
        <v>611</v>
      </c>
      <c r="E97" s="285" t="s">
        <v>34</v>
      </c>
      <c r="F97" s="290" t="s">
        <v>27</v>
      </c>
      <c r="G97" s="290"/>
      <c r="H97" s="285" t="s">
        <v>26</v>
      </c>
      <c r="I97" s="291">
        <v>14688.72</v>
      </c>
      <c r="J97" s="291"/>
      <c r="K97" s="288" t="s">
        <v>21</v>
      </c>
      <c r="L97" s="289">
        <v>8208923.6799999997</v>
      </c>
    </row>
    <row r="98" spans="1:12" ht="51" x14ac:dyDescent="0.3">
      <c r="A98" s="283" t="s">
        <v>68</v>
      </c>
      <c r="B98" s="284" t="s">
        <v>727</v>
      </c>
      <c r="C98" s="284" t="s">
        <v>33</v>
      </c>
      <c r="D98" s="284" t="s">
        <v>729</v>
      </c>
      <c r="E98" s="285" t="s">
        <v>34</v>
      </c>
      <c r="F98" s="290" t="s">
        <v>27</v>
      </c>
      <c r="G98" s="290"/>
      <c r="H98" s="285" t="s">
        <v>26</v>
      </c>
      <c r="I98" s="291">
        <v>1614.43</v>
      </c>
      <c r="J98" s="291"/>
      <c r="K98" s="288" t="s">
        <v>21</v>
      </c>
      <c r="L98" s="289">
        <v>8207309.25</v>
      </c>
    </row>
    <row r="99" spans="1:12" ht="51" x14ac:dyDescent="0.3">
      <c r="A99" s="283" t="s">
        <v>68</v>
      </c>
      <c r="B99" s="284" t="s">
        <v>730</v>
      </c>
      <c r="C99" s="284" t="s">
        <v>33</v>
      </c>
      <c r="D99" s="284" t="s">
        <v>650</v>
      </c>
      <c r="E99" s="285" t="s">
        <v>34</v>
      </c>
      <c r="F99" s="290" t="s">
        <v>27</v>
      </c>
      <c r="G99" s="290"/>
      <c r="H99" s="285" t="s">
        <v>26</v>
      </c>
      <c r="I99" s="293">
        <v>51.03</v>
      </c>
      <c r="J99" s="293"/>
      <c r="K99" s="288" t="s">
        <v>21</v>
      </c>
      <c r="L99" s="289">
        <v>8207258.2199999997</v>
      </c>
    </row>
    <row r="100" spans="1:12" ht="51" x14ac:dyDescent="0.3">
      <c r="A100" s="283" t="s">
        <v>76</v>
      </c>
      <c r="B100" s="284" t="s">
        <v>731</v>
      </c>
      <c r="C100" s="284" t="s">
        <v>33</v>
      </c>
      <c r="D100" s="284" t="s">
        <v>679</v>
      </c>
      <c r="E100" s="285" t="s">
        <v>34</v>
      </c>
      <c r="F100" s="290" t="s">
        <v>27</v>
      </c>
      <c r="G100" s="290"/>
      <c r="H100" s="285" t="s">
        <v>26</v>
      </c>
      <c r="I100" s="291">
        <v>2544.0700000000002</v>
      </c>
      <c r="J100" s="291"/>
      <c r="K100" s="288" t="s">
        <v>21</v>
      </c>
      <c r="L100" s="289">
        <v>8204714.1500000004</v>
      </c>
    </row>
    <row r="101" spans="1:12" ht="51" x14ac:dyDescent="0.3">
      <c r="A101" s="283" t="s">
        <v>76</v>
      </c>
      <c r="B101" s="284" t="s">
        <v>731</v>
      </c>
      <c r="C101" s="284" t="s">
        <v>33</v>
      </c>
      <c r="D101" s="284" t="s">
        <v>717</v>
      </c>
      <c r="E101" s="285" t="s">
        <v>34</v>
      </c>
      <c r="F101" s="290" t="s">
        <v>27</v>
      </c>
      <c r="G101" s="290"/>
      <c r="H101" s="285" t="s">
        <v>26</v>
      </c>
      <c r="I101" s="291">
        <v>13242.89</v>
      </c>
      <c r="J101" s="291"/>
      <c r="K101" s="288" t="s">
        <v>21</v>
      </c>
      <c r="L101" s="289">
        <v>8191471.2599999998</v>
      </c>
    </row>
    <row r="102" spans="1:12" ht="51" x14ac:dyDescent="0.3">
      <c r="A102" s="283" t="s">
        <v>76</v>
      </c>
      <c r="B102" s="284" t="s">
        <v>731</v>
      </c>
      <c r="C102" s="284" t="s">
        <v>33</v>
      </c>
      <c r="D102" s="284" t="s">
        <v>732</v>
      </c>
      <c r="E102" s="285" t="s">
        <v>34</v>
      </c>
      <c r="F102" s="290" t="s">
        <v>27</v>
      </c>
      <c r="G102" s="290"/>
      <c r="H102" s="285" t="s">
        <v>26</v>
      </c>
      <c r="I102" s="291">
        <v>7911.2</v>
      </c>
      <c r="J102" s="291"/>
      <c r="K102" s="288" t="s">
        <v>21</v>
      </c>
      <c r="L102" s="289">
        <v>8183560.0599999996</v>
      </c>
    </row>
    <row r="103" spans="1:12" ht="51" x14ac:dyDescent="0.3">
      <c r="A103" s="283" t="s">
        <v>76</v>
      </c>
      <c r="B103" s="284" t="s">
        <v>731</v>
      </c>
      <c r="C103" s="284" t="s">
        <v>33</v>
      </c>
      <c r="D103" s="284" t="s">
        <v>673</v>
      </c>
      <c r="E103" s="285" t="s">
        <v>34</v>
      </c>
      <c r="F103" s="290" t="s">
        <v>27</v>
      </c>
      <c r="G103" s="290"/>
      <c r="H103" s="285" t="s">
        <v>26</v>
      </c>
      <c r="I103" s="291">
        <v>1540</v>
      </c>
      <c r="J103" s="291"/>
      <c r="K103" s="288" t="s">
        <v>21</v>
      </c>
      <c r="L103" s="289">
        <v>8182020.0599999996</v>
      </c>
    </row>
    <row r="104" spans="1:12" ht="51" x14ac:dyDescent="0.3">
      <c r="A104" s="283" t="s">
        <v>76</v>
      </c>
      <c r="B104" s="284" t="s">
        <v>731</v>
      </c>
      <c r="C104" s="284" t="s">
        <v>33</v>
      </c>
      <c r="D104" s="284" t="s">
        <v>733</v>
      </c>
      <c r="E104" s="285" t="s">
        <v>34</v>
      </c>
      <c r="F104" s="290" t="s">
        <v>27</v>
      </c>
      <c r="G104" s="290"/>
      <c r="H104" s="285" t="s">
        <v>26</v>
      </c>
      <c r="I104" s="291">
        <v>37847.4</v>
      </c>
      <c r="J104" s="291"/>
      <c r="K104" s="288" t="s">
        <v>21</v>
      </c>
      <c r="L104" s="289">
        <v>8144172.6600000001</v>
      </c>
    </row>
    <row r="105" spans="1:12" ht="51" x14ac:dyDescent="0.3">
      <c r="A105" s="283" t="s">
        <v>76</v>
      </c>
      <c r="B105" s="284" t="s">
        <v>731</v>
      </c>
      <c r="C105" s="284" t="s">
        <v>33</v>
      </c>
      <c r="D105" s="284" t="s">
        <v>734</v>
      </c>
      <c r="E105" s="285" t="s">
        <v>34</v>
      </c>
      <c r="F105" s="290" t="s">
        <v>27</v>
      </c>
      <c r="G105" s="290"/>
      <c r="H105" s="285" t="s">
        <v>26</v>
      </c>
      <c r="I105" s="291">
        <v>39915.620000000003</v>
      </c>
      <c r="J105" s="291"/>
      <c r="K105" s="288" t="s">
        <v>21</v>
      </c>
      <c r="L105" s="289">
        <v>8104257.04</v>
      </c>
    </row>
    <row r="106" spans="1:12" ht="51" x14ac:dyDescent="0.3">
      <c r="A106" s="283" t="s">
        <v>76</v>
      </c>
      <c r="B106" s="284" t="s">
        <v>731</v>
      </c>
      <c r="C106" s="284" t="s">
        <v>33</v>
      </c>
      <c r="D106" s="284" t="s">
        <v>735</v>
      </c>
      <c r="E106" s="285" t="s">
        <v>34</v>
      </c>
      <c r="F106" s="290" t="s">
        <v>27</v>
      </c>
      <c r="G106" s="290"/>
      <c r="H106" s="285" t="s">
        <v>26</v>
      </c>
      <c r="I106" s="291">
        <v>39915.61</v>
      </c>
      <c r="J106" s="291"/>
      <c r="K106" s="288" t="s">
        <v>21</v>
      </c>
      <c r="L106" s="289">
        <v>8064341.4299999997</v>
      </c>
    </row>
    <row r="107" spans="1:12" ht="51" x14ac:dyDescent="0.3">
      <c r="A107" s="283" t="s">
        <v>76</v>
      </c>
      <c r="B107" s="284" t="s">
        <v>731</v>
      </c>
      <c r="C107" s="284" t="s">
        <v>33</v>
      </c>
      <c r="D107" s="284" t="s">
        <v>667</v>
      </c>
      <c r="E107" s="285" t="s">
        <v>34</v>
      </c>
      <c r="F107" s="290" t="s">
        <v>27</v>
      </c>
      <c r="G107" s="290"/>
      <c r="H107" s="285" t="s">
        <v>26</v>
      </c>
      <c r="I107" s="291">
        <v>35336</v>
      </c>
      <c r="J107" s="291"/>
      <c r="K107" s="288" t="s">
        <v>21</v>
      </c>
      <c r="L107" s="289">
        <v>8029005.4299999997</v>
      </c>
    </row>
    <row r="108" spans="1:12" ht="51" x14ac:dyDescent="0.3">
      <c r="A108" s="283" t="s">
        <v>76</v>
      </c>
      <c r="B108" s="284" t="s">
        <v>731</v>
      </c>
      <c r="C108" s="284" t="s">
        <v>33</v>
      </c>
      <c r="D108" s="284" t="s">
        <v>658</v>
      </c>
      <c r="E108" s="285" t="s">
        <v>34</v>
      </c>
      <c r="F108" s="290" t="s">
        <v>27</v>
      </c>
      <c r="G108" s="290"/>
      <c r="H108" s="285" t="s">
        <v>26</v>
      </c>
      <c r="I108" s="291">
        <v>35336</v>
      </c>
      <c r="J108" s="291"/>
      <c r="K108" s="288" t="s">
        <v>21</v>
      </c>
      <c r="L108" s="289">
        <v>7993669.4299999997</v>
      </c>
    </row>
    <row r="109" spans="1:12" ht="51" x14ac:dyDescent="0.3">
      <c r="A109" s="283" t="s">
        <v>76</v>
      </c>
      <c r="B109" s="284" t="s">
        <v>731</v>
      </c>
      <c r="C109" s="284" t="s">
        <v>33</v>
      </c>
      <c r="D109" s="284" t="s">
        <v>659</v>
      </c>
      <c r="E109" s="285" t="s">
        <v>34</v>
      </c>
      <c r="F109" s="290" t="s">
        <v>27</v>
      </c>
      <c r="G109" s="290"/>
      <c r="H109" s="285" t="s">
        <v>26</v>
      </c>
      <c r="I109" s="291">
        <v>35336</v>
      </c>
      <c r="J109" s="291"/>
      <c r="K109" s="288" t="s">
        <v>21</v>
      </c>
      <c r="L109" s="289">
        <v>7958333.4299999997</v>
      </c>
    </row>
    <row r="110" spans="1:12" ht="51" x14ac:dyDescent="0.3">
      <c r="A110" s="283" t="s">
        <v>76</v>
      </c>
      <c r="B110" s="284" t="s">
        <v>731</v>
      </c>
      <c r="C110" s="284" t="s">
        <v>33</v>
      </c>
      <c r="D110" s="284" t="s">
        <v>660</v>
      </c>
      <c r="E110" s="285" t="s">
        <v>34</v>
      </c>
      <c r="F110" s="290" t="s">
        <v>27</v>
      </c>
      <c r="G110" s="290"/>
      <c r="H110" s="285" t="s">
        <v>26</v>
      </c>
      <c r="I110" s="291">
        <v>35336</v>
      </c>
      <c r="J110" s="291"/>
      <c r="K110" s="288" t="s">
        <v>21</v>
      </c>
      <c r="L110" s="289">
        <v>7922997.4299999997</v>
      </c>
    </row>
    <row r="111" spans="1:12" ht="51" x14ac:dyDescent="0.3">
      <c r="A111" s="283" t="s">
        <v>76</v>
      </c>
      <c r="B111" s="284" t="s">
        <v>731</v>
      </c>
      <c r="C111" s="284" t="s">
        <v>33</v>
      </c>
      <c r="D111" s="284" t="s">
        <v>661</v>
      </c>
      <c r="E111" s="285" t="s">
        <v>34</v>
      </c>
      <c r="F111" s="290" t="s">
        <v>27</v>
      </c>
      <c r="G111" s="290"/>
      <c r="H111" s="285" t="s">
        <v>26</v>
      </c>
      <c r="I111" s="291">
        <v>35336</v>
      </c>
      <c r="J111" s="291"/>
      <c r="K111" s="288" t="s">
        <v>21</v>
      </c>
      <c r="L111" s="289">
        <v>7887661.4299999997</v>
      </c>
    </row>
    <row r="112" spans="1:12" ht="51" x14ac:dyDescent="0.3">
      <c r="A112" s="283" t="s">
        <v>76</v>
      </c>
      <c r="B112" s="284" t="s">
        <v>731</v>
      </c>
      <c r="C112" s="284" t="s">
        <v>33</v>
      </c>
      <c r="D112" s="284" t="s">
        <v>662</v>
      </c>
      <c r="E112" s="285" t="s">
        <v>34</v>
      </c>
      <c r="F112" s="290" t="s">
        <v>27</v>
      </c>
      <c r="G112" s="290"/>
      <c r="H112" s="285" t="s">
        <v>26</v>
      </c>
      <c r="I112" s="291">
        <v>35904</v>
      </c>
      <c r="J112" s="291"/>
      <c r="K112" s="288" t="s">
        <v>21</v>
      </c>
      <c r="L112" s="289">
        <v>7851757.4299999997</v>
      </c>
    </row>
    <row r="113" spans="1:12" ht="51" x14ac:dyDescent="0.3">
      <c r="A113" s="283" t="s">
        <v>76</v>
      </c>
      <c r="B113" s="284" t="s">
        <v>731</v>
      </c>
      <c r="C113" s="284" t="s">
        <v>33</v>
      </c>
      <c r="D113" s="284" t="s">
        <v>663</v>
      </c>
      <c r="E113" s="285" t="s">
        <v>34</v>
      </c>
      <c r="F113" s="290" t="s">
        <v>27</v>
      </c>
      <c r="G113" s="290"/>
      <c r="H113" s="285" t="s">
        <v>26</v>
      </c>
      <c r="I113" s="291">
        <v>35941</v>
      </c>
      <c r="J113" s="291"/>
      <c r="K113" s="288" t="s">
        <v>21</v>
      </c>
      <c r="L113" s="289">
        <v>7815816.4299999997</v>
      </c>
    </row>
    <row r="114" spans="1:12" ht="51" hidden="1" x14ac:dyDescent="0.3">
      <c r="A114" s="283" t="s">
        <v>76</v>
      </c>
      <c r="B114" s="284" t="s">
        <v>329</v>
      </c>
      <c r="C114" s="284" t="s">
        <v>330</v>
      </c>
      <c r="D114" s="284" t="s">
        <v>331</v>
      </c>
      <c r="E114" s="285" t="s">
        <v>26</v>
      </c>
      <c r="F114" s="286">
        <v>43619.86</v>
      </c>
      <c r="G114" s="286"/>
      <c r="H114" s="285" t="s">
        <v>26</v>
      </c>
      <c r="I114" s="287" t="s">
        <v>27</v>
      </c>
      <c r="J114" s="287"/>
      <c r="K114" s="288" t="s">
        <v>21</v>
      </c>
      <c r="L114" s="289">
        <v>7859436.29</v>
      </c>
    </row>
    <row r="115" spans="1:12" ht="51" hidden="1" x14ac:dyDescent="0.3">
      <c r="A115" s="283" t="s">
        <v>76</v>
      </c>
      <c r="B115" s="284" t="s">
        <v>524</v>
      </c>
      <c r="C115" s="284" t="s">
        <v>495</v>
      </c>
      <c r="D115" s="284" t="s">
        <v>490</v>
      </c>
      <c r="E115" s="285" t="s">
        <v>26</v>
      </c>
      <c r="F115" s="286">
        <v>9537.4599999999991</v>
      </c>
      <c r="G115" s="286"/>
      <c r="H115" s="285" t="s">
        <v>26</v>
      </c>
      <c r="I115" s="287" t="s">
        <v>27</v>
      </c>
      <c r="J115" s="287"/>
      <c r="K115" s="288" t="s">
        <v>21</v>
      </c>
      <c r="L115" s="289">
        <v>7868973.75</v>
      </c>
    </row>
    <row r="116" spans="1:12" ht="51" x14ac:dyDescent="0.3">
      <c r="A116" s="283" t="s">
        <v>76</v>
      </c>
      <c r="B116" s="284" t="s">
        <v>736</v>
      </c>
      <c r="C116" s="284" t="s">
        <v>33</v>
      </c>
      <c r="D116" s="284" t="s">
        <v>737</v>
      </c>
      <c r="E116" s="285" t="s">
        <v>34</v>
      </c>
      <c r="F116" s="290" t="s">
        <v>27</v>
      </c>
      <c r="G116" s="290"/>
      <c r="H116" s="285" t="s">
        <v>26</v>
      </c>
      <c r="I116" s="291">
        <v>24382.12</v>
      </c>
      <c r="J116" s="291"/>
      <c r="K116" s="288" t="s">
        <v>21</v>
      </c>
      <c r="L116" s="289">
        <v>7844591.6299999999</v>
      </c>
    </row>
    <row r="117" spans="1:12" ht="51" x14ac:dyDescent="0.3">
      <c r="A117" s="283" t="s">
        <v>76</v>
      </c>
      <c r="B117" s="284" t="s">
        <v>736</v>
      </c>
      <c r="C117" s="284" t="s">
        <v>33</v>
      </c>
      <c r="D117" s="284" t="s">
        <v>738</v>
      </c>
      <c r="E117" s="285" t="s">
        <v>34</v>
      </c>
      <c r="F117" s="290" t="s">
        <v>27</v>
      </c>
      <c r="G117" s="290"/>
      <c r="H117" s="285" t="s">
        <v>26</v>
      </c>
      <c r="I117" s="291">
        <v>21790.5</v>
      </c>
      <c r="J117" s="291"/>
      <c r="K117" s="288" t="s">
        <v>21</v>
      </c>
      <c r="L117" s="289">
        <v>7822801.1299999999</v>
      </c>
    </row>
    <row r="118" spans="1:12" ht="51" x14ac:dyDescent="0.3">
      <c r="A118" s="283" t="s">
        <v>76</v>
      </c>
      <c r="B118" s="284" t="s">
        <v>736</v>
      </c>
      <c r="C118" s="284" t="s">
        <v>33</v>
      </c>
      <c r="D118" s="284" t="s">
        <v>673</v>
      </c>
      <c r="E118" s="285" t="s">
        <v>34</v>
      </c>
      <c r="F118" s="290" t="s">
        <v>27</v>
      </c>
      <c r="G118" s="290"/>
      <c r="H118" s="285" t="s">
        <v>26</v>
      </c>
      <c r="I118" s="291">
        <v>7700</v>
      </c>
      <c r="J118" s="291"/>
      <c r="K118" s="288" t="s">
        <v>21</v>
      </c>
      <c r="L118" s="289">
        <v>7815101.1299999999</v>
      </c>
    </row>
    <row r="119" spans="1:12" ht="51" x14ac:dyDescent="0.3">
      <c r="A119" s="283" t="s">
        <v>76</v>
      </c>
      <c r="B119" s="284" t="s">
        <v>736</v>
      </c>
      <c r="C119" s="284" t="s">
        <v>33</v>
      </c>
      <c r="D119" s="284" t="s">
        <v>739</v>
      </c>
      <c r="E119" s="285" t="s">
        <v>34</v>
      </c>
      <c r="F119" s="290" t="s">
        <v>27</v>
      </c>
      <c r="G119" s="290"/>
      <c r="H119" s="285" t="s">
        <v>26</v>
      </c>
      <c r="I119" s="291">
        <v>31501</v>
      </c>
      <c r="J119" s="291"/>
      <c r="K119" s="288" t="s">
        <v>21</v>
      </c>
      <c r="L119" s="289">
        <v>7783600.1299999999</v>
      </c>
    </row>
    <row r="120" spans="1:12" ht="51" x14ac:dyDescent="0.3">
      <c r="A120" s="283" t="s">
        <v>76</v>
      </c>
      <c r="B120" s="284" t="s">
        <v>736</v>
      </c>
      <c r="C120" s="284" t="s">
        <v>33</v>
      </c>
      <c r="D120" s="284" t="s">
        <v>620</v>
      </c>
      <c r="E120" s="285" t="s">
        <v>34</v>
      </c>
      <c r="F120" s="290" t="s">
        <v>27</v>
      </c>
      <c r="G120" s="290"/>
      <c r="H120" s="285" t="s">
        <v>26</v>
      </c>
      <c r="I120" s="291">
        <v>63002</v>
      </c>
      <c r="J120" s="291"/>
      <c r="K120" s="288" t="s">
        <v>21</v>
      </c>
      <c r="L120" s="289">
        <v>7720598.1299999999</v>
      </c>
    </row>
    <row r="121" spans="1:12" ht="51" x14ac:dyDescent="0.3">
      <c r="A121" s="283" t="s">
        <v>76</v>
      </c>
      <c r="B121" s="284" t="s">
        <v>736</v>
      </c>
      <c r="C121" s="284" t="s">
        <v>33</v>
      </c>
      <c r="D121" s="284" t="s">
        <v>620</v>
      </c>
      <c r="E121" s="285" t="s">
        <v>34</v>
      </c>
      <c r="F121" s="290" t="s">
        <v>27</v>
      </c>
      <c r="G121" s="290"/>
      <c r="H121" s="285" t="s">
        <v>26</v>
      </c>
      <c r="I121" s="291">
        <v>31501</v>
      </c>
      <c r="J121" s="291"/>
      <c r="K121" s="288" t="s">
        <v>21</v>
      </c>
      <c r="L121" s="289">
        <v>7689097.1299999999</v>
      </c>
    </row>
    <row r="122" spans="1:12" ht="51" x14ac:dyDescent="0.3">
      <c r="A122" s="283" t="s">
        <v>76</v>
      </c>
      <c r="B122" s="284" t="s">
        <v>736</v>
      </c>
      <c r="C122" s="284" t="s">
        <v>33</v>
      </c>
      <c r="D122" s="284" t="s">
        <v>740</v>
      </c>
      <c r="E122" s="285" t="s">
        <v>34</v>
      </c>
      <c r="F122" s="290" t="s">
        <v>27</v>
      </c>
      <c r="G122" s="290"/>
      <c r="H122" s="285" t="s">
        <v>26</v>
      </c>
      <c r="I122" s="291">
        <v>21090.03</v>
      </c>
      <c r="J122" s="291"/>
      <c r="K122" s="288" t="s">
        <v>21</v>
      </c>
      <c r="L122" s="289">
        <v>7668007.0999999996</v>
      </c>
    </row>
    <row r="123" spans="1:12" ht="51" x14ac:dyDescent="0.3">
      <c r="A123" s="283" t="s">
        <v>76</v>
      </c>
      <c r="B123" s="284" t="s">
        <v>736</v>
      </c>
      <c r="C123" s="284" t="s">
        <v>33</v>
      </c>
      <c r="D123" s="284" t="s">
        <v>741</v>
      </c>
      <c r="E123" s="285" t="s">
        <v>34</v>
      </c>
      <c r="F123" s="290" t="s">
        <v>27</v>
      </c>
      <c r="G123" s="290"/>
      <c r="H123" s="285" t="s">
        <v>26</v>
      </c>
      <c r="I123" s="291">
        <v>21090.03</v>
      </c>
      <c r="J123" s="291"/>
      <c r="K123" s="288" t="s">
        <v>21</v>
      </c>
      <c r="L123" s="289">
        <v>7646917.0700000003</v>
      </c>
    </row>
    <row r="124" spans="1:12" ht="51" x14ac:dyDescent="0.3">
      <c r="A124" s="283" t="s">
        <v>76</v>
      </c>
      <c r="B124" s="284" t="s">
        <v>736</v>
      </c>
      <c r="C124" s="284" t="s">
        <v>33</v>
      </c>
      <c r="D124" s="284" t="s">
        <v>742</v>
      </c>
      <c r="E124" s="285" t="s">
        <v>34</v>
      </c>
      <c r="F124" s="290" t="s">
        <v>27</v>
      </c>
      <c r="G124" s="290"/>
      <c r="H124" s="285" t="s">
        <v>26</v>
      </c>
      <c r="I124" s="291">
        <v>21090.04</v>
      </c>
      <c r="J124" s="291"/>
      <c r="K124" s="288" t="s">
        <v>21</v>
      </c>
      <c r="L124" s="289">
        <v>7625827.0300000003</v>
      </c>
    </row>
    <row r="125" spans="1:12" ht="51" x14ac:dyDescent="0.3">
      <c r="A125" s="283" t="s">
        <v>76</v>
      </c>
      <c r="B125" s="284" t="s">
        <v>736</v>
      </c>
      <c r="C125" s="284" t="s">
        <v>33</v>
      </c>
      <c r="D125" s="284" t="s">
        <v>742</v>
      </c>
      <c r="E125" s="285" t="s">
        <v>34</v>
      </c>
      <c r="F125" s="290" t="s">
        <v>27</v>
      </c>
      <c r="G125" s="290"/>
      <c r="H125" s="285" t="s">
        <v>26</v>
      </c>
      <c r="I125" s="291">
        <v>21090.03</v>
      </c>
      <c r="J125" s="291"/>
      <c r="K125" s="288" t="s">
        <v>21</v>
      </c>
      <c r="L125" s="289">
        <v>7604737</v>
      </c>
    </row>
    <row r="126" spans="1:12" ht="51" x14ac:dyDescent="0.3">
      <c r="A126" s="283" t="s">
        <v>76</v>
      </c>
      <c r="B126" s="284" t="s">
        <v>736</v>
      </c>
      <c r="C126" s="284" t="s">
        <v>33</v>
      </c>
      <c r="D126" s="284" t="s">
        <v>743</v>
      </c>
      <c r="E126" s="285" t="s">
        <v>34</v>
      </c>
      <c r="F126" s="290" t="s">
        <v>27</v>
      </c>
      <c r="G126" s="290"/>
      <c r="H126" s="285" t="s">
        <v>26</v>
      </c>
      <c r="I126" s="291">
        <v>41054</v>
      </c>
      <c r="J126" s="291"/>
      <c r="K126" s="288" t="s">
        <v>21</v>
      </c>
      <c r="L126" s="289">
        <v>7563683</v>
      </c>
    </row>
    <row r="127" spans="1:12" ht="51" x14ac:dyDescent="0.3">
      <c r="A127" s="283" t="s">
        <v>76</v>
      </c>
      <c r="B127" s="284" t="s">
        <v>736</v>
      </c>
      <c r="C127" s="284" t="s">
        <v>33</v>
      </c>
      <c r="D127" s="284" t="s">
        <v>743</v>
      </c>
      <c r="E127" s="285" t="s">
        <v>34</v>
      </c>
      <c r="F127" s="290" t="s">
        <v>27</v>
      </c>
      <c r="G127" s="290"/>
      <c r="H127" s="285" t="s">
        <v>26</v>
      </c>
      <c r="I127" s="291">
        <v>82108</v>
      </c>
      <c r="J127" s="291"/>
      <c r="K127" s="288" t="s">
        <v>21</v>
      </c>
      <c r="L127" s="289">
        <v>7481575</v>
      </c>
    </row>
    <row r="128" spans="1:12" ht="51" x14ac:dyDescent="0.3">
      <c r="A128" s="283" t="s">
        <v>76</v>
      </c>
      <c r="B128" s="284" t="s">
        <v>736</v>
      </c>
      <c r="C128" s="284" t="s">
        <v>33</v>
      </c>
      <c r="D128" s="284" t="s">
        <v>622</v>
      </c>
      <c r="E128" s="285" t="s">
        <v>34</v>
      </c>
      <c r="F128" s="290" t="s">
        <v>27</v>
      </c>
      <c r="G128" s="290"/>
      <c r="H128" s="285" t="s">
        <v>26</v>
      </c>
      <c r="I128" s="291">
        <v>41054</v>
      </c>
      <c r="J128" s="291"/>
      <c r="K128" s="288" t="s">
        <v>21</v>
      </c>
      <c r="L128" s="289">
        <v>7440521</v>
      </c>
    </row>
    <row r="129" spans="1:12" ht="51" x14ac:dyDescent="0.3">
      <c r="A129" s="283" t="s">
        <v>76</v>
      </c>
      <c r="B129" s="284" t="s">
        <v>744</v>
      </c>
      <c r="C129" s="284" t="s">
        <v>33</v>
      </c>
      <c r="D129" s="284" t="s">
        <v>745</v>
      </c>
      <c r="E129" s="285" t="s">
        <v>34</v>
      </c>
      <c r="F129" s="290" t="s">
        <v>27</v>
      </c>
      <c r="G129" s="290"/>
      <c r="H129" s="285" t="s">
        <v>26</v>
      </c>
      <c r="I129" s="291">
        <v>272861.27</v>
      </c>
      <c r="J129" s="291"/>
      <c r="K129" s="288" t="s">
        <v>21</v>
      </c>
      <c r="L129" s="289">
        <v>7167659.7300000004</v>
      </c>
    </row>
    <row r="130" spans="1:12" ht="51" x14ac:dyDescent="0.3">
      <c r="A130" s="283" t="s">
        <v>76</v>
      </c>
      <c r="B130" s="284" t="s">
        <v>744</v>
      </c>
      <c r="C130" s="284" t="s">
        <v>33</v>
      </c>
      <c r="D130" s="284" t="s">
        <v>330</v>
      </c>
      <c r="E130" s="285" t="s">
        <v>34</v>
      </c>
      <c r="F130" s="290" t="s">
        <v>27</v>
      </c>
      <c r="G130" s="290"/>
      <c r="H130" s="285" t="s">
        <v>26</v>
      </c>
      <c r="I130" s="291">
        <v>43619.86</v>
      </c>
      <c r="J130" s="291"/>
      <c r="K130" s="288" t="s">
        <v>21</v>
      </c>
      <c r="L130" s="289">
        <v>7124039.8700000001</v>
      </c>
    </row>
    <row r="131" spans="1:12" ht="51" x14ac:dyDescent="0.3">
      <c r="A131" s="283" t="s">
        <v>76</v>
      </c>
      <c r="B131" s="284" t="s">
        <v>744</v>
      </c>
      <c r="C131" s="284" t="s">
        <v>33</v>
      </c>
      <c r="D131" s="284" t="s">
        <v>746</v>
      </c>
      <c r="E131" s="285" t="s">
        <v>34</v>
      </c>
      <c r="F131" s="290" t="s">
        <v>27</v>
      </c>
      <c r="G131" s="290"/>
      <c r="H131" s="285" t="s">
        <v>26</v>
      </c>
      <c r="I131" s="291">
        <v>12482.32</v>
      </c>
      <c r="J131" s="291"/>
      <c r="K131" s="288" t="s">
        <v>21</v>
      </c>
      <c r="L131" s="289">
        <v>7111557.5499999998</v>
      </c>
    </row>
    <row r="132" spans="1:12" ht="51" x14ac:dyDescent="0.3">
      <c r="A132" s="283" t="s">
        <v>76</v>
      </c>
      <c r="B132" s="284" t="s">
        <v>744</v>
      </c>
      <c r="C132" s="284" t="s">
        <v>33</v>
      </c>
      <c r="D132" s="284" t="s">
        <v>641</v>
      </c>
      <c r="E132" s="285" t="s">
        <v>34</v>
      </c>
      <c r="F132" s="290" t="s">
        <v>27</v>
      </c>
      <c r="G132" s="290"/>
      <c r="H132" s="285" t="s">
        <v>26</v>
      </c>
      <c r="I132" s="291">
        <v>63953.34</v>
      </c>
      <c r="J132" s="291"/>
      <c r="K132" s="288" t="s">
        <v>21</v>
      </c>
      <c r="L132" s="289">
        <v>7047604.21</v>
      </c>
    </row>
    <row r="133" spans="1:12" ht="51" x14ac:dyDescent="0.3">
      <c r="A133" s="283" t="s">
        <v>76</v>
      </c>
      <c r="B133" s="284" t="s">
        <v>744</v>
      </c>
      <c r="C133" s="284" t="s">
        <v>33</v>
      </c>
      <c r="D133" s="284" t="s">
        <v>747</v>
      </c>
      <c r="E133" s="285" t="s">
        <v>34</v>
      </c>
      <c r="F133" s="290" t="s">
        <v>27</v>
      </c>
      <c r="G133" s="290"/>
      <c r="H133" s="285" t="s">
        <v>26</v>
      </c>
      <c r="I133" s="291">
        <v>159013.54999999999</v>
      </c>
      <c r="J133" s="291"/>
      <c r="K133" s="288" t="s">
        <v>21</v>
      </c>
      <c r="L133" s="289">
        <v>6888590.6600000001</v>
      </c>
    </row>
    <row r="134" spans="1:12" ht="51" x14ac:dyDescent="0.3">
      <c r="A134" s="283" t="s">
        <v>76</v>
      </c>
      <c r="B134" s="284" t="s">
        <v>744</v>
      </c>
      <c r="C134" s="284" t="s">
        <v>33</v>
      </c>
      <c r="D134" s="284" t="s">
        <v>748</v>
      </c>
      <c r="E134" s="285" t="s">
        <v>34</v>
      </c>
      <c r="F134" s="290" t="s">
        <v>27</v>
      </c>
      <c r="G134" s="290"/>
      <c r="H134" s="285" t="s">
        <v>26</v>
      </c>
      <c r="I134" s="291">
        <v>483422.48</v>
      </c>
      <c r="J134" s="291"/>
      <c r="K134" s="288" t="s">
        <v>21</v>
      </c>
      <c r="L134" s="289">
        <v>6405168.1799999997</v>
      </c>
    </row>
    <row r="135" spans="1:12" ht="51" x14ac:dyDescent="0.3">
      <c r="A135" s="283" t="s">
        <v>76</v>
      </c>
      <c r="B135" s="284" t="s">
        <v>744</v>
      </c>
      <c r="C135" s="284" t="s">
        <v>33</v>
      </c>
      <c r="D135" s="284" t="s">
        <v>749</v>
      </c>
      <c r="E135" s="285" t="s">
        <v>34</v>
      </c>
      <c r="F135" s="290" t="s">
        <v>27</v>
      </c>
      <c r="G135" s="290"/>
      <c r="H135" s="285" t="s">
        <v>26</v>
      </c>
      <c r="I135" s="291">
        <v>470117.27</v>
      </c>
      <c r="J135" s="291"/>
      <c r="K135" s="288" t="s">
        <v>21</v>
      </c>
      <c r="L135" s="289">
        <v>5935050.9100000001</v>
      </c>
    </row>
    <row r="136" spans="1:12" ht="51" x14ac:dyDescent="0.3">
      <c r="A136" s="283" t="s">
        <v>76</v>
      </c>
      <c r="B136" s="284" t="s">
        <v>744</v>
      </c>
      <c r="C136" s="284" t="s">
        <v>33</v>
      </c>
      <c r="D136" s="284" t="s">
        <v>750</v>
      </c>
      <c r="E136" s="285" t="s">
        <v>34</v>
      </c>
      <c r="F136" s="290" t="s">
        <v>27</v>
      </c>
      <c r="G136" s="290"/>
      <c r="H136" s="285" t="s">
        <v>26</v>
      </c>
      <c r="I136" s="291">
        <v>636432.34</v>
      </c>
      <c r="J136" s="291"/>
      <c r="K136" s="288" t="s">
        <v>21</v>
      </c>
      <c r="L136" s="289">
        <v>5298618.57</v>
      </c>
    </row>
    <row r="137" spans="1:12" ht="51" x14ac:dyDescent="0.3">
      <c r="A137" s="283" t="s">
        <v>76</v>
      </c>
      <c r="B137" s="284" t="s">
        <v>744</v>
      </c>
      <c r="C137" s="284" t="s">
        <v>33</v>
      </c>
      <c r="D137" s="284" t="s">
        <v>728</v>
      </c>
      <c r="E137" s="285" t="s">
        <v>34</v>
      </c>
      <c r="F137" s="290" t="s">
        <v>27</v>
      </c>
      <c r="G137" s="290"/>
      <c r="H137" s="285" t="s">
        <v>26</v>
      </c>
      <c r="I137" s="291">
        <v>4903.8</v>
      </c>
      <c r="J137" s="291"/>
      <c r="K137" s="288" t="s">
        <v>21</v>
      </c>
      <c r="L137" s="289">
        <v>5293714.7699999996</v>
      </c>
    </row>
    <row r="138" spans="1:12" ht="51" x14ac:dyDescent="0.3">
      <c r="A138" s="283" t="s">
        <v>76</v>
      </c>
      <c r="B138" s="284" t="s">
        <v>744</v>
      </c>
      <c r="C138" s="284" t="s">
        <v>33</v>
      </c>
      <c r="D138" s="284" t="s">
        <v>611</v>
      </c>
      <c r="E138" s="285" t="s">
        <v>34</v>
      </c>
      <c r="F138" s="290" t="s">
        <v>27</v>
      </c>
      <c r="G138" s="290"/>
      <c r="H138" s="285" t="s">
        <v>26</v>
      </c>
      <c r="I138" s="291">
        <v>17305.2</v>
      </c>
      <c r="J138" s="291"/>
      <c r="K138" s="288" t="s">
        <v>21</v>
      </c>
      <c r="L138" s="289">
        <v>5276409.57</v>
      </c>
    </row>
    <row r="139" spans="1:12" ht="51" x14ac:dyDescent="0.3">
      <c r="A139" s="283" t="s">
        <v>76</v>
      </c>
      <c r="B139" s="284" t="s">
        <v>744</v>
      </c>
      <c r="C139" s="284" t="s">
        <v>33</v>
      </c>
      <c r="D139" s="284" t="s">
        <v>676</v>
      </c>
      <c r="E139" s="285" t="s">
        <v>34</v>
      </c>
      <c r="F139" s="290" t="s">
        <v>27</v>
      </c>
      <c r="G139" s="290"/>
      <c r="H139" s="285" t="s">
        <v>26</v>
      </c>
      <c r="I139" s="291">
        <v>7302.96</v>
      </c>
      <c r="J139" s="291"/>
      <c r="K139" s="288" t="s">
        <v>21</v>
      </c>
      <c r="L139" s="289">
        <v>5269106.6100000003</v>
      </c>
    </row>
    <row r="140" spans="1:12" ht="51" x14ac:dyDescent="0.3">
      <c r="A140" s="283" t="s">
        <v>76</v>
      </c>
      <c r="B140" s="284" t="s">
        <v>744</v>
      </c>
      <c r="C140" s="284" t="s">
        <v>33</v>
      </c>
      <c r="D140" s="284" t="s">
        <v>729</v>
      </c>
      <c r="E140" s="285" t="s">
        <v>34</v>
      </c>
      <c r="F140" s="290" t="s">
        <v>27</v>
      </c>
      <c r="G140" s="290"/>
      <c r="H140" s="285" t="s">
        <v>26</v>
      </c>
      <c r="I140" s="293">
        <v>385.25</v>
      </c>
      <c r="J140" s="293"/>
      <c r="K140" s="288" t="s">
        <v>21</v>
      </c>
      <c r="L140" s="289">
        <v>5268721.3600000003</v>
      </c>
    </row>
    <row r="141" spans="1:12" ht="51" x14ac:dyDescent="0.3">
      <c r="A141" s="283" t="s">
        <v>76</v>
      </c>
      <c r="B141" s="284" t="s">
        <v>744</v>
      </c>
      <c r="C141" s="284" t="s">
        <v>33</v>
      </c>
      <c r="D141" s="284" t="s">
        <v>751</v>
      </c>
      <c r="E141" s="285" t="s">
        <v>34</v>
      </c>
      <c r="F141" s="290" t="s">
        <v>27</v>
      </c>
      <c r="G141" s="290"/>
      <c r="H141" s="285" t="s">
        <v>26</v>
      </c>
      <c r="I141" s="291">
        <v>2510.56</v>
      </c>
      <c r="J141" s="291"/>
      <c r="K141" s="288" t="s">
        <v>21</v>
      </c>
      <c r="L141" s="289">
        <v>5266210.8</v>
      </c>
    </row>
    <row r="142" spans="1:12" ht="51" x14ac:dyDescent="0.3">
      <c r="A142" s="283" t="s">
        <v>76</v>
      </c>
      <c r="B142" s="284" t="s">
        <v>752</v>
      </c>
      <c r="C142" s="284" t="s">
        <v>33</v>
      </c>
      <c r="D142" s="284" t="s">
        <v>753</v>
      </c>
      <c r="E142" s="285" t="s">
        <v>34</v>
      </c>
      <c r="F142" s="290" t="s">
        <v>27</v>
      </c>
      <c r="G142" s="290"/>
      <c r="H142" s="285" t="s">
        <v>26</v>
      </c>
      <c r="I142" s="291">
        <v>6048.48</v>
      </c>
      <c r="J142" s="291"/>
      <c r="K142" s="288" t="s">
        <v>21</v>
      </c>
      <c r="L142" s="289">
        <v>5260162.32</v>
      </c>
    </row>
    <row r="143" spans="1:12" ht="51" x14ac:dyDescent="0.3">
      <c r="A143" s="283" t="s">
        <v>76</v>
      </c>
      <c r="B143" s="284" t="s">
        <v>754</v>
      </c>
      <c r="C143" s="284" t="s">
        <v>33</v>
      </c>
      <c r="D143" s="284" t="s">
        <v>495</v>
      </c>
      <c r="E143" s="285" t="s">
        <v>34</v>
      </c>
      <c r="F143" s="290" t="s">
        <v>27</v>
      </c>
      <c r="G143" s="290"/>
      <c r="H143" s="285" t="s">
        <v>26</v>
      </c>
      <c r="I143" s="291">
        <v>9537.4599999999991</v>
      </c>
      <c r="J143" s="291"/>
      <c r="K143" s="288" t="s">
        <v>21</v>
      </c>
      <c r="L143" s="289">
        <v>5250624.8600000003</v>
      </c>
    </row>
    <row r="144" spans="1:12" ht="51" x14ac:dyDescent="0.3">
      <c r="A144" s="283" t="s">
        <v>76</v>
      </c>
      <c r="B144" s="284" t="s">
        <v>755</v>
      </c>
      <c r="C144" s="284" t="s">
        <v>33</v>
      </c>
      <c r="D144" s="284" t="s">
        <v>756</v>
      </c>
      <c r="E144" s="285" t="s">
        <v>34</v>
      </c>
      <c r="F144" s="290" t="s">
        <v>27</v>
      </c>
      <c r="G144" s="290"/>
      <c r="H144" s="285" t="s">
        <v>26</v>
      </c>
      <c r="I144" s="291">
        <v>171402.35</v>
      </c>
      <c r="J144" s="291"/>
      <c r="K144" s="288" t="s">
        <v>21</v>
      </c>
      <c r="L144" s="289">
        <v>5079222.51</v>
      </c>
    </row>
    <row r="145" spans="1:12" ht="51" x14ac:dyDescent="0.3">
      <c r="A145" s="283" t="s">
        <v>76</v>
      </c>
      <c r="B145" s="284" t="s">
        <v>757</v>
      </c>
      <c r="C145" s="284" t="s">
        <v>33</v>
      </c>
      <c r="D145" s="284" t="s">
        <v>360</v>
      </c>
      <c r="E145" s="285" t="s">
        <v>34</v>
      </c>
      <c r="F145" s="290" t="s">
        <v>27</v>
      </c>
      <c r="G145" s="290"/>
      <c r="H145" s="285" t="s">
        <v>26</v>
      </c>
      <c r="I145" s="293">
        <v>646</v>
      </c>
      <c r="J145" s="293"/>
      <c r="K145" s="288" t="s">
        <v>21</v>
      </c>
      <c r="L145" s="289">
        <v>5078576.51</v>
      </c>
    </row>
    <row r="146" spans="1:12" ht="51" hidden="1" x14ac:dyDescent="0.3">
      <c r="A146" s="283" t="s">
        <v>107</v>
      </c>
      <c r="B146" s="284" t="s">
        <v>758</v>
      </c>
      <c r="C146" s="284" t="s">
        <v>759</v>
      </c>
      <c r="D146" s="284" t="s">
        <v>621</v>
      </c>
      <c r="E146" s="285" t="s">
        <v>26</v>
      </c>
      <c r="F146" s="286">
        <v>13860</v>
      </c>
      <c r="G146" s="286"/>
      <c r="H146" s="285" t="s">
        <v>45</v>
      </c>
      <c r="I146" s="287" t="s">
        <v>27</v>
      </c>
      <c r="J146" s="287"/>
      <c r="K146" s="288" t="s">
        <v>21</v>
      </c>
      <c r="L146" s="289">
        <v>5092436.51</v>
      </c>
    </row>
    <row r="147" spans="1:12" ht="51" hidden="1" x14ac:dyDescent="0.3">
      <c r="A147" s="283" t="s">
        <v>107</v>
      </c>
      <c r="B147" s="284" t="s">
        <v>760</v>
      </c>
      <c r="C147" s="284" t="s">
        <v>761</v>
      </c>
      <c r="D147" s="284" t="s">
        <v>621</v>
      </c>
      <c r="E147" s="285" t="s">
        <v>26</v>
      </c>
      <c r="F147" s="286">
        <v>131894</v>
      </c>
      <c r="G147" s="286"/>
      <c r="H147" s="285" t="s">
        <v>45</v>
      </c>
      <c r="I147" s="287" t="s">
        <v>27</v>
      </c>
      <c r="J147" s="287"/>
      <c r="K147" s="288" t="s">
        <v>21</v>
      </c>
      <c r="L147" s="289">
        <v>5224330.51</v>
      </c>
    </row>
    <row r="148" spans="1:12" ht="51" hidden="1" x14ac:dyDescent="0.3">
      <c r="A148" s="283" t="s">
        <v>107</v>
      </c>
      <c r="B148" s="284" t="s">
        <v>762</v>
      </c>
      <c r="C148" s="284" t="s">
        <v>763</v>
      </c>
      <c r="D148" s="284" t="s">
        <v>621</v>
      </c>
      <c r="E148" s="285" t="s">
        <v>26</v>
      </c>
      <c r="F148" s="286">
        <v>65717.3</v>
      </c>
      <c r="G148" s="286"/>
      <c r="H148" s="285" t="s">
        <v>45</v>
      </c>
      <c r="I148" s="287" t="s">
        <v>27</v>
      </c>
      <c r="J148" s="287"/>
      <c r="K148" s="288" t="s">
        <v>21</v>
      </c>
      <c r="L148" s="289">
        <v>5290047.8099999996</v>
      </c>
    </row>
    <row r="149" spans="1:12" ht="51" x14ac:dyDescent="0.3">
      <c r="A149" s="283" t="s">
        <v>115</v>
      </c>
      <c r="B149" s="284" t="s">
        <v>764</v>
      </c>
      <c r="C149" s="284" t="s">
        <v>33</v>
      </c>
      <c r="D149" s="284" t="s">
        <v>305</v>
      </c>
      <c r="E149" s="285" t="s">
        <v>34</v>
      </c>
      <c r="F149" s="290" t="s">
        <v>27</v>
      </c>
      <c r="G149" s="290"/>
      <c r="H149" s="285" t="s">
        <v>26</v>
      </c>
      <c r="I149" s="291">
        <v>15750.24</v>
      </c>
      <c r="J149" s="291"/>
      <c r="K149" s="288" t="s">
        <v>21</v>
      </c>
      <c r="L149" s="289">
        <v>5274297.57</v>
      </c>
    </row>
    <row r="150" spans="1:12" ht="51" hidden="1" x14ac:dyDescent="0.3">
      <c r="A150" s="283" t="s">
        <v>115</v>
      </c>
      <c r="B150" s="284" t="s">
        <v>463</v>
      </c>
      <c r="C150" s="284" t="s">
        <v>360</v>
      </c>
      <c r="D150" s="284" t="s">
        <v>464</v>
      </c>
      <c r="E150" s="285" t="s">
        <v>26</v>
      </c>
      <c r="F150" s="286">
        <v>1841.1</v>
      </c>
      <c r="G150" s="286"/>
      <c r="H150" s="285" t="s">
        <v>26</v>
      </c>
      <c r="I150" s="287" t="s">
        <v>27</v>
      </c>
      <c r="J150" s="287"/>
      <c r="K150" s="288" t="s">
        <v>21</v>
      </c>
      <c r="L150" s="289">
        <v>5276138.67</v>
      </c>
    </row>
    <row r="151" spans="1:12" ht="51" hidden="1" x14ac:dyDescent="0.3">
      <c r="A151" s="283" t="s">
        <v>115</v>
      </c>
      <c r="B151" s="284" t="s">
        <v>359</v>
      </c>
      <c r="C151" s="284" t="s">
        <v>360</v>
      </c>
      <c r="D151" s="284" t="s">
        <v>311</v>
      </c>
      <c r="E151" s="285" t="s">
        <v>26</v>
      </c>
      <c r="F151" s="286">
        <v>2842.4</v>
      </c>
      <c r="G151" s="286"/>
      <c r="H151" s="285" t="s">
        <v>26</v>
      </c>
      <c r="I151" s="287" t="s">
        <v>27</v>
      </c>
      <c r="J151" s="287"/>
      <c r="K151" s="288" t="s">
        <v>21</v>
      </c>
      <c r="L151" s="289">
        <v>5278981.07</v>
      </c>
    </row>
    <row r="152" spans="1:12" ht="51" hidden="1" x14ac:dyDescent="0.3">
      <c r="A152" s="283" t="s">
        <v>115</v>
      </c>
      <c r="B152" s="284" t="s">
        <v>765</v>
      </c>
      <c r="C152" s="284" t="s">
        <v>360</v>
      </c>
      <c r="D152" s="284" t="s">
        <v>766</v>
      </c>
      <c r="E152" s="285" t="s">
        <v>26</v>
      </c>
      <c r="F152" s="286">
        <v>1615</v>
      </c>
      <c r="G152" s="286"/>
      <c r="H152" s="285" t="s">
        <v>26</v>
      </c>
      <c r="I152" s="287" t="s">
        <v>27</v>
      </c>
      <c r="J152" s="287"/>
      <c r="K152" s="288" t="s">
        <v>21</v>
      </c>
      <c r="L152" s="289">
        <v>5280596.07</v>
      </c>
    </row>
    <row r="153" spans="1:12" ht="51" hidden="1" x14ac:dyDescent="0.3">
      <c r="A153" s="283" t="s">
        <v>115</v>
      </c>
      <c r="B153" s="284" t="s">
        <v>543</v>
      </c>
      <c r="C153" s="284" t="s">
        <v>544</v>
      </c>
      <c r="D153" s="284" t="s">
        <v>545</v>
      </c>
      <c r="E153" s="285" t="s">
        <v>26</v>
      </c>
      <c r="F153" s="290" t="s">
        <v>27</v>
      </c>
      <c r="G153" s="290"/>
      <c r="H153" s="285" t="s">
        <v>26</v>
      </c>
      <c r="I153" s="291">
        <v>17588.330000000002</v>
      </c>
      <c r="J153" s="291"/>
      <c r="K153" s="288" t="s">
        <v>21</v>
      </c>
      <c r="L153" s="289">
        <v>5263007.74</v>
      </c>
    </row>
    <row r="154" spans="1:12" ht="51" hidden="1" x14ac:dyDescent="0.3">
      <c r="A154" s="283" t="s">
        <v>115</v>
      </c>
      <c r="B154" s="284" t="s">
        <v>543</v>
      </c>
      <c r="C154" s="284" t="s">
        <v>546</v>
      </c>
      <c r="D154" s="284" t="s">
        <v>547</v>
      </c>
      <c r="E154" s="285" t="s">
        <v>26</v>
      </c>
      <c r="F154" s="290" t="s">
        <v>27</v>
      </c>
      <c r="G154" s="290"/>
      <c r="H154" s="285" t="s">
        <v>26</v>
      </c>
      <c r="I154" s="291">
        <v>4093.75</v>
      </c>
      <c r="J154" s="291"/>
      <c r="K154" s="288" t="s">
        <v>21</v>
      </c>
      <c r="L154" s="289">
        <v>5258913.99</v>
      </c>
    </row>
    <row r="155" spans="1:12" ht="51" hidden="1" x14ac:dyDescent="0.3">
      <c r="A155" s="283" t="s">
        <v>115</v>
      </c>
      <c r="B155" s="284" t="s">
        <v>767</v>
      </c>
      <c r="C155" s="284" t="s">
        <v>768</v>
      </c>
      <c r="D155" s="284" t="s">
        <v>621</v>
      </c>
      <c r="E155" s="285" t="s">
        <v>26</v>
      </c>
      <c r="F155" s="286">
        <v>75368</v>
      </c>
      <c r="G155" s="286"/>
      <c r="H155" s="285" t="s">
        <v>45</v>
      </c>
      <c r="I155" s="287" t="s">
        <v>27</v>
      </c>
      <c r="J155" s="287"/>
      <c r="K155" s="288" t="s">
        <v>21</v>
      </c>
      <c r="L155" s="289">
        <v>5334281.99</v>
      </c>
    </row>
    <row r="156" spans="1:12" ht="51" hidden="1" x14ac:dyDescent="0.3">
      <c r="A156" s="283" t="s">
        <v>115</v>
      </c>
      <c r="B156" s="284" t="s">
        <v>767</v>
      </c>
      <c r="C156" s="284" t="s">
        <v>769</v>
      </c>
      <c r="D156" s="284" t="s">
        <v>621</v>
      </c>
      <c r="E156" s="285" t="s">
        <v>26</v>
      </c>
      <c r="F156" s="286">
        <v>94503</v>
      </c>
      <c r="G156" s="286"/>
      <c r="H156" s="285" t="s">
        <v>45</v>
      </c>
      <c r="I156" s="287" t="s">
        <v>27</v>
      </c>
      <c r="J156" s="287"/>
      <c r="K156" s="288" t="s">
        <v>21</v>
      </c>
      <c r="L156" s="289">
        <v>5428784.9900000002</v>
      </c>
    </row>
    <row r="157" spans="1:12" ht="51" x14ac:dyDescent="0.3">
      <c r="A157" s="283" t="s">
        <v>115</v>
      </c>
      <c r="B157" s="284" t="s">
        <v>770</v>
      </c>
      <c r="C157" s="284" t="s">
        <v>33</v>
      </c>
      <c r="D157" s="284" t="s">
        <v>771</v>
      </c>
      <c r="E157" s="285" t="s">
        <v>34</v>
      </c>
      <c r="F157" s="290" t="s">
        <v>27</v>
      </c>
      <c r="G157" s="290"/>
      <c r="H157" s="285" t="s">
        <v>26</v>
      </c>
      <c r="I157" s="291">
        <v>5741.82</v>
      </c>
      <c r="J157" s="291"/>
      <c r="K157" s="288" t="s">
        <v>21</v>
      </c>
      <c r="L157" s="289">
        <v>5423043.1699999999</v>
      </c>
    </row>
    <row r="158" spans="1:12" ht="51" x14ac:dyDescent="0.3">
      <c r="A158" s="283" t="s">
        <v>115</v>
      </c>
      <c r="B158" s="284" t="s">
        <v>770</v>
      </c>
      <c r="C158" s="284" t="s">
        <v>33</v>
      </c>
      <c r="D158" s="284" t="s">
        <v>772</v>
      </c>
      <c r="E158" s="285" t="s">
        <v>34</v>
      </c>
      <c r="F158" s="290" t="s">
        <v>27</v>
      </c>
      <c r="G158" s="290"/>
      <c r="H158" s="285" t="s">
        <v>26</v>
      </c>
      <c r="I158" s="291">
        <v>4306.3599999999997</v>
      </c>
      <c r="J158" s="291"/>
      <c r="K158" s="288" t="s">
        <v>21</v>
      </c>
      <c r="L158" s="289">
        <v>5418736.8099999996</v>
      </c>
    </row>
    <row r="159" spans="1:12" ht="51" x14ac:dyDescent="0.3">
      <c r="A159" s="283" t="s">
        <v>115</v>
      </c>
      <c r="B159" s="284" t="s">
        <v>770</v>
      </c>
      <c r="C159" s="284" t="s">
        <v>33</v>
      </c>
      <c r="D159" s="284" t="s">
        <v>773</v>
      </c>
      <c r="E159" s="285" t="s">
        <v>34</v>
      </c>
      <c r="F159" s="290" t="s">
        <v>27</v>
      </c>
      <c r="G159" s="290"/>
      <c r="H159" s="285" t="s">
        <v>26</v>
      </c>
      <c r="I159" s="291">
        <v>1126.95</v>
      </c>
      <c r="J159" s="291"/>
      <c r="K159" s="288" t="s">
        <v>21</v>
      </c>
      <c r="L159" s="289">
        <v>5417609.8600000003</v>
      </c>
    </row>
    <row r="160" spans="1:12" ht="51" x14ac:dyDescent="0.3">
      <c r="A160" s="283" t="s">
        <v>115</v>
      </c>
      <c r="B160" s="284" t="s">
        <v>770</v>
      </c>
      <c r="C160" s="284" t="s">
        <v>33</v>
      </c>
      <c r="D160" s="284" t="s">
        <v>774</v>
      </c>
      <c r="E160" s="285" t="s">
        <v>34</v>
      </c>
      <c r="F160" s="290" t="s">
        <v>27</v>
      </c>
      <c r="G160" s="290"/>
      <c r="H160" s="285" t="s">
        <v>26</v>
      </c>
      <c r="I160" s="291">
        <v>2487.4</v>
      </c>
      <c r="J160" s="291"/>
      <c r="K160" s="288" t="s">
        <v>21</v>
      </c>
      <c r="L160" s="289">
        <v>5415122.46</v>
      </c>
    </row>
    <row r="161" spans="1:12" ht="51" x14ac:dyDescent="0.3">
      <c r="A161" s="283" t="s">
        <v>115</v>
      </c>
      <c r="B161" s="284" t="s">
        <v>770</v>
      </c>
      <c r="C161" s="284" t="s">
        <v>33</v>
      </c>
      <c r="D161" s="284" t="s">
        <v>775</v>
      </c>
      <c r="E161" s="285" t="s">
        <v>34</v>
      </c>
      <c r="F161" s="290" t="s">
        <v>27</v>
      </c>
      <c r="G161" s="290"/>
      <c r="H161" s="285" t="s">
        <v>26</v>
      </c>
      <c r="I161" s="291">
        <v>3969.49</v>
      </c>
      <c r="J161" s="291"/>
      <c r="K161" s="288" t="s">
        <v>21</v>
      </c>
      <c r="L161" s="289">
        <v>5411152.9699999997</v>
      </c>
    </row>
    <row r="162" spans="1:12" ht="51" x14ac:dyDescent="0.3">
      <c r="A162" s="283" t="s">
        <v>115</v>
      </c>
      <c r="B162" s="284" t="s">
        <v>770</v>
      </c>
      <c r="C162" s="284" t="s">
        <v>33</v>
      </c>
      <c r="D162" s="284" t="s">
        <v>776</v>
      </c>
      <c r="E162" s="285" t="s">
        <v>34</v>
      </c>
      <c r="F162" s="290" t="s">
        <v>27</v>
      </c>
      <c r="G162" s="290"/>
      <c r="H162" s="285" t="s">
        <v>26</v>
      </c>
      <c r="I162" s="291">
        <v>3154.04</v>
      </c>
      <c r="J162" s="291"/>
      <c r="K162" s="288" t="s">
        <v>21</v>
      </c>
      <c r="L162" s="289">
        <v>5407998.9299999997</v>
      </c>
    </row>
    <row r="163" spans="1:12" ht="51" x14ac:dyDescent="0.3">
      <c r="A163" s="283" t="s">
        <v>115</v>
      </c>
      <c r="B163" s="284" t="s">
        <v>770</v>
      </c>
      <c r="C163" s="284" t="s">
        <v>33</v>
      </c>
      <c r="D163" s="284" t="s">
        <v>777</v>
      </c>
      <c r="E163" s="285" t="s">
        <v>34</v>
      </c>
      <c r="F163" s="290" t="s">
        <v>27</v>
      </c>
      <c r="G163" s="290"/>
      <c r="H163" s="285" t="s">
        <v>26</v>
      </c>
      <c r="I163" s="291">
        <v>1375.08</v>
      </c>
      <c r="J163" s="291"/>
      <c r="K163" s="288" t="s">
        <v>21</v>
      </c>
      <c r="L163" s="289">
        <v>5406623.8499999996</v>
      </c>
    </row>
    <row r="164" spans="1:12" ht="51" x14ac:dyDescent="0.3">
      <c r="A164" s="283" t="s">
        <v>115</v>
      </c>
      <c r="B164" s="284" t="s">
        <v>770</v>
      </c>
      <c r="C164" s="284" t="s">
        <v>33</v>
      </c>
      <c r="D164" s="284" t="s">
        <v>778</v>
      </c>
      <c r="E164" s="285" t="s">
        <v>34</v>
      </c>
      <c r="F164" s="290" t="s">
        <v>27</v>
      </c>
      <c r="G164" s="290"/>
      <c r="H164" s="285" t="s">
        <v>26</v>
      </c>
      <c r="I164" s="291">
        <v>1643.74</v>
      </c>
      <c r="J164" s="291"/>
      <c r="K164" s="288" t="s">
        <v>21</v>
      </c>
      <c r="L164" s="289">
        <v>5404980.1100000003</v>
      </c>
    </row>
    <row r="165" spans="1:12" ht="51" x14ac:dyDescent="0.3">
      <c r="A165" s="283" t="s">
        <v>115</v>
      </c>
      <c r="B165" s="284" t="s">
        <v>770</v>
      </c>
      <c r="C165" s="284" t="s">
        <v>33</v>
      </c>
      <c r="D165" s="284" t="s">
        <v>779</v>
      </c>
      <c r="E165" s="285" t="s">
        <v>34</v>
      </c>
      <c r="F165" s="290" t="s">
        <v>27</v>
      </c>
      <c r="G165" s="290"/>
      <c r="H165" s="285" t="s">
        <v>26</v>
      </c>
      <c r="I165" s="291">
        <v>1563.48</v>
      </c>
      <c r="J165" s="291"/>
      <c r="K165" s="288" t="s">
        <v>21</v>
      </c>
      <c r="L165" s="289">
        <v>5403416.6299999999</v>
      </c>
    </row>
    <row r="166" spans="1:12" ht="51" x14ac:dyDescent="0.3">
      <c r="A166" s="283" t="s">
        <v>115</v>
      </c>
      <c r="B166" s="284" t="s">
        <v>770</v>
      </c>
      <c r="C166" s="284" t="s">
        <v>33</v>
      </c>
      <c r="D166" s="284" t="s">
        <v>780</v>
      </c>
      <c r="E166" s="285" t="s">
        <v>34</v>
      </c>
      <c r="F166" s="290" t="s">
        <v>27</v>
      </c>
      <c r="G166" s="290"/>
      <c r="H166" s="285" t="s">
        <v>26</v>
      </c>
      <c r="I166" s="293">
        <v>368.49</v>
      </c>
      <c r="J166" s="293"/>
      <c r="K166" s="288" t="s">
        <v>21</v>
      </c>
      <c r="L166" s="289">
        <v>5403048.1399999997</v>
      </c>
    </row>
    <row r="167" spans="1:12" ht="51" x14ac:dyDescent="0.3">
      <c r="A167" s="283" t="s">
        <v>115</v>
      </c>
      <c r="B167" s="284" t="s">
        <v>770</v>
      </c>
      <c r="C167" s="284" t="s">
        <v>33</v>
      </c>
      <c r="D167" s="284" t="s">
        <v>685</v>
      </c>
      <c r="E167" s="285" t="s">
        <v>34</v>
      </c>
      <c r="F167" s="290" t="s">
        <v>27</v>
      </c>
      <c r="G167" s="290"/>
      <c r="H167" s="285" t="s">
        <v>26</v>
      </c>
      <c r="I167" s="291">
        <v>135019.72</v>
      </c>
      <c r="J167" s="291"/>
      <c r="K167" s="288" t="s">
        <v>21</v>
      </c>
      <c r="L167" s="289">
        <v>5268028.42</v>
      </c>
    </row>
    <row r="168" spans="1:12" ht="51" x14ac:dyDescent="0.3">
      <c r="A168" s="283" t="s">
        <v>115</v>
      </c>
      <c r="B168" s="284" t="s">
        <v>770</v>
      </c>
      <c r="C168" s="284" t="s">
        <v>33</v>
      </c>
      <c r="D168" s="284" t="s">
        <v>636</v>
      </c>
      <c r="E168" s="285" t="s">
        <v>34</v>
      </c>
      <c r="F168" s="290" t="s">
        <v>27</v>
      </c>
      <c r="G168" s="290"/>
      <c r="H168" s="285" t="s">
        <v>26</v>
      </c>
      <c r="I168" s="291">
        <v>41483.339999999997</v>
      </c>
      <c r="J168" s="291"/>
      <c r="K168" s="288" t="s">
        <v>21</v>
      </c>
      <c r="L168" s="289">
        <v>5226545.08</v>
      </c>
    </row>
    <row r="169" spans="1:12" ht="51" x14ac:dyDescent="0.3">
      <c r="A169" s="283" t="s">
        <v>115</v>
      </c>
      <c r="B169" s="284" t="s">
        <v>770</v>
      </c>
      <c r="C169" s="284" t="s">
        <v>33</v>
      </c>
      <c r="D169" s="284" t="s">
        <v>606</v>
      </c>
      <c r="E169" s="285" t="s">
        <v>34</v>
      </c>
      <c r="F169" s="290" t="s">
        <v>27</v>
      </c>
      <c r="G169" s="290"/>
      <c r="H169" s="285" t="s">
        <v>26</v>
      </c>
      <c r="I169" s="291">
        <v>216968.78</v>
      </c>
      <c r="J169" s="291"/>
      <c r="K169" s="288" t="s">
        <v>21</v>
      </c>
      <c r="L169" s="289">
        <v>5009576.3</v>
      </c>
    </row>
    <row r="170" spans="1:12" ht="51" x14ac:dyDescent="0.3">
      <c r="A170" s="283" t="s">
        <v>115</v>
      </c>
      <c r="B170" s="284" t="s">
        <v>770</v>
      </c>
      <c r="C170" s="284" t="s">
        <v>33</v>
      </c>
      <c r="D170" s="284" t="s">
        <v>606</v>
      </c>
      <c r="E170" s="285" t="s">
        <v>34</v>
      </c>
      <c r="F170" s="290" t="s">
        <v>27</v>
      </c>
      <c r="G170" s="290"/>
      <c r="H170" s="285" t="s">
        <v>26</v>
      </c>
      <c r="I170" s="291">
        <v>205233.36</v>
      </c>
      <c r="J170" s="291"/>
      <c r="K170" s="288" t="s">
        <v>21</v>
      </c>
      <c r="L170" s="289">
        <v>4804342.9400000004</v>
      </c>
    </row>
    <row r="171" spans="1:12" ht="51" x14ac:dyDescent="0.3">
      <c r="A171" s="283" t="s">
        <v>115</v>
      </c>
      <c r="B171" s="284" t="s">
        <v>770</v>
      </c>
      <c r="C171" s="284" t="s">
        <v>33</v>
      </c>
      <c r="D171" s="284" t="s">
        <v>608</v>
      </c>
      <c r="E171" s="285" t="s">
        <v>34</v>
      </c>
      <c r="F171" s="290" t="s">
        <v>27</v>
      </c>
      <c r="G171" s="290"/>
      <c r="H171" s="285" t="s">
        <v>26</v>
      </c>
      <c r="I171" s="291">
        <v>348705.67</v>
      </c>
      <c r="J171" s="291"/>
      <c r="K171" s="288" t="s">
        <v>21</v>
      </c>
      <c r="L171" s="289">
        <v>4455637.2699999996</v>
      </c>
    </row>
    <row r="172" spans="1:12" ht="51" x14ac:dyDescent="0.3">
      <c r="A172" s="283" t="s">
        <v>115</v>
      </c>
      <c r="B172" s="284" t="s">
        <v>770</v>
      </c>
      <c r="C172" s="284" t="s">
        <v>33</v>
      </c>
      <c r="D172" s="284" t="s">
        <v>608</v>
      </c>
      <c r="E172" s="285" t="s">
        <v>34</v>
      </c>
      <c r="F172" s="290" t="s">
        <v>27</v>
      </c>
      <c r="G172" s="290"/>
      <c r="H172" s="285" t="s">
        <v>26</v>
      </c>
      <c r="I172" s="291">
        <v>205233.36</v>
      </c>
      <c r="J172" s="291"/>
      <c r="K172" s="288" t="s">
        <v>21</v>
      </c>
      <c r="L172" s="289">
        <v>4250403.91</v>
      </c>
    </row>
    <row r="173" spans="1:12" ht="51" x14ac:dyDescent="0.3">
      <c r="A173" s="283" t="s">
        <v>115</v>
      </c>
      <c r="B173" s="284" t="s">
        <v>770</v>
      </c>
      <c r="C173" s="284" t="s">
        <v>33</v>
      </c>
      <c r="D173" s="284" t="s">
        <v>635</v>
      </c>
      <c r="E173" s="285" t="s">
        <v>34</v>
      </c>
      <c r="F173" s="290" t="s">
        <v>27</v>
      </c>
      <c r="G173" s="290"/>
      <c r="H173" s="285" t="s">
        <v>26</v>
      </c>
      <c r="I173" s="291">
        <v>216968.78</v>
      </c>
      <c r="J173" s="291"/>
      <c r="K173" s="288" t="s">
        <v>21</v>
      </c>
      <c r="L173" s="289">
        <v>4033435.13</v>
      </c>
    </row>
    <row r="174" spans="1:12" ht="51" x14ac:dyDescent="0.3">
      <c r="A174" s="283" t="s">
        <v>115</v>
      </c>
      <c r="B174" s="284" t="s">
        <v>770</v>
      </c>
      <c r="C174" s="284" t="s">
        <v>33</v>
      </c>
      <c r="D174" s="284" t="s">
        <v>547</v>
      </c>
      <c r="E174" s="285" t="s">
        <v>34</v>
      </c>
      <c r="F174" s="290" t="s">
        <v>27</v>
      </c>
      <c r="G174" s="290"/>
      <c r="H174" s="285" t="s">
        <v>26</v>
      </c>
      <c r="I174" s="291">
        <v>42902.51</v>
      </c>
      <c r="J174" s="291"/>
      <c r="K174" s="288" t="s">
        <v>21</v>
      </c>
      <c r="L174" s="289">
        <v>3990532.62</v>
      </c>
    </row>
    <row r="175" spans="1:12" ht="51" x14ac:dyDescent="0.3">
      <c r="A175" s="283" t="s">
        <v>115</v>
      </c>
      <c r="B175" s="284" t="s">
        <v>770</v>
      </c>
      <c r="C175" s="284" t="s">
        <v>33</v>
      </c>
      <c r="D175" s="284" t="s">
        <v>545</v>
      </c>
      <c r="E175" s="285" t="s">
        <v>34</v>
      </c>
      <c r="F175" s="290" t="s">
        <v>27</v>
      </c>
      <c r="G175" s="290"/>
      <c r="H175" s="285" t="s">
        <v>26</v>
      </c>
      <c r="I175" s="291">
        <v>20615.830000000002</v>
      </c>
      <c r="J175" s="291"/>
      <c r="K175" s="288" t="s">
        <v>21</v>
      </c>
      <c r="L175" s="289">
        <v>3969916.79</v>
      </c>
    </row>
    <row r="176" spans="1:12" ht="51" x14ac:dyDescent="0.3">
      <c r="A176" s="283" t="s">
        <v>115</v>
      </c>
      <c r="B176" s="284" t="s">
        <v>770</v>
      </c>
      <c r="C176" s="284" t="s">
        <v>33</v>
      </c>
      <c r="D176" s="284" t="s">
        <v>360</v>
      </c>
      <c r="E176" s="285" t="s">
        <v>34</v>
      </c>
      <c r="F176" s="290" t="s">
        <v>27</v>
      </c>
      <c r="G176" s="290"/>
      <c r="H176" s="285" t="s">
        <v>26</v>
      </c>
      <c r="I176" s="291">
        <v>2584</v>
      </c>
      <c r="J176" s="291"/>
      <c r="K176" s="288" t="s">
        <v>21</v>
      </c>
      <c r="L176" s="289">
        <v>3967332.79</v>
      </c>
    </row>
    <row r="177" spans="1:12" ht="51" x14ac:dyDescent="0.3">
      <c r="A177" s="283" t="s">
        <v>115</v>
      </c>
      <c r="B177" s="284" t="s">
        <v>770</v>
      </c>
      <c r="C177" s="284" t="s">
        <v>33</v>
      </c>
      <c r="D177" s="284" t="s">
        <v>360</v>
      </c>
      <c r="E177" s="285" t="s">
        <v>34</v>
      </c>
      <c r="F177" s="290" t="s">
        <v>27</v>
      </c>
      <c r="G177" s="290"/>
      <c r="H177" s="285" t="s">
        <v>26</v>
      </c>
      <c r="I177" s="291">
        <v>1841.1</v>
      </c>
      <c r="J177" s="291"/>
      <c r="K177" s="288" t="s">
        <v>21</v>
      </c>
      <c r="L177" s="289">
        <v>3965491.69</v>
      </c>
    </row>
    <row r="178" spans="1:12" ht="51" x14ac:dyDescent="0.3">
      <c r="A178" s="283" t="s">
        <v>115</v>
      </c>
      <c r="B178" s="284" t="s">
        <v>770</v>
      </c>
      <c r="C178" s="284" t="s">
        <v>33</v>
      </c>
      <c r="D178" s="284" t="s">
        <v>360</v>
      </c>
      <c r="E178" s="285" t="s">
        <v>34</v>
      </c>
      <c r="F178" s="290" t="s">
        <v>27</v>
      </c>
      <c r="G178" s="290"/>
      <c r="H178" s="285" t="s">
        <v>26</v>
      </c>
      <c r="I178" s="291">
        <v>2842.4</v>
      </c>
      <c r="J178" s="291"/>
      <c r="K178" s="288" t="s">
        <v>21</v>
      </c>
      <c r="L178" s="289">
        <v>3962649.29</v>
      </c>
    </row>
    <row r="179" spans="1:12" ht="51" x14ac:dyDescent="0.3">
      <c r="A179" s="283" t="s">
        <v>115</v>
      </c>
      <c r="B179" s="284" t="s">
        <v>770</v>
      </c>
      <c r="C179" s="284" t="s">
        <v>33</v>
      </c>
      <c r="D179" s="284" t="s">
        <v>360</v>
      </c>
      <c r="E179" s="285" t="s">
        <v>34</v>
      </c>
      <c r="F179" s="290" t="s">
        <v>27</v>
      </c>
      <c r="G179" s="290"/>
      <c r="H179" s="285" t="s">
        <v>26</v>
      </c>
      <c r="I179" s="291">
        <v>1615</v>
      </c>
      <c r="J179" s="291"/>
      <c r="K179" s="288" t="s">
        <v>21</v>
      </c>
      <c r="L179" s="289">
        <v>3961034.29</v>
      </c>
    </row>
    <row r="180" spans="1:12" ht="51" x14ac:dyDescent="0.3">
      <c r="A180" s="283" t="s">
        <v>115</v>
      </c>
      <c r="B180" s="284" t="s">
        <v>781</v>
      </c>
      <c r="C180" s="284" t="s">
        <v>33</v>
      </c>
      <c r="D180" s="284" t="s">
        <v>717</v>
      </c>
      <c r="E180" s="285" t="s">
        <v>34</v>
      </c>
      <c r="F180" s="290" t="s">
        <v>27</v>
      </c>
      <c r="G180" s="290"/>
      <c r="H180" s="285" t="s">
        <v>26</v>
      </c>
      <c r="I180" s="291">
        <v>35144.61</v>
      </c>
      <c r="J180" s="291"/>
      <c r="K180" s="288" t="s">
        <v>21</v>
      </c>
      <c r="L180" s="289">
        <v>3925889.68</v>
      </c>
    </row>
    <row r="181" spans="1:12" ht="51" x14ac:dyDescent="0.3">
      <c r="A181" s="283" t="s">
        <v>115</v>
      </c>
      <c r="B181" s="284" t="s">
        <v>781</v>
      </c>
      <c r="C181" s="284" t="s">
        <v>33</v>
      </c>
      <c r="D181" s="284" t="s">
        <v>721</v>
      </c>
      <c r="E181" s="285" t="s">
        <v>34</v>
      </c>
      <c r="F181" s="290" t="s">
        <v>27</v>
      </c>
      <c r="G181" s="290"/>
      <c r="H181" s="285" t="s">
        <v>26</v>
      </c>
      <c r="I181" s="291">
        <v>35904</v>
      </c>
      <c r="J181" s="291"/>
      <c r="K181" s="288" t="s">
        <v>21</v>
      </c>
      <c r="L181" s="289">
        <v>3889985.68</v>
      </c>
    </row>
    <row r="182" spans="1:12" ht="51" x14ac:dyDescent="0.3">
      <c r="A182" s="283" t="s">
        <v>115</v>
      </c>
      <c r="B182" s="284" t="s">
        <v>781</v>
      </c>
      <c r="C182" s="284" t="s">
        <v>33</v>
      </c>
      <c r="D182" s="284" t="s">
        <v>722</v>
      </c>
      <c r="E182" s="285" t="s">
        <v>34</v>
      </c>
      <c r="F182" s="290" t="s">
        <v>27</v>
      </c>
      <c r="G182" s="290"/>
      <c r="H182" s="285" t="s">
        <v>26</v>
      </c>
      <c r="I182" s="291">
        <v>35336</v>
      </c>
      <c r="J182" s="291"/>
      <c r="K182" s="288" t="s">
        <v>21</v>
      </c>
      <c r="L182" s="289">
        <v>3854649.68</v>
      </c>
    </row>
    <row r="183" spans="1:12" ht="51" x14ac:dyDescent="0.3">
      <c r="A183" s="283" t="s">
        <v>115</v>
      </c>
      <c r="B183" s="284" t="s">
        <v>781</v>
      </c>
      <c r="C183" s="284" t="s">
        <v>33</v>
      </c>
      <c r="D183" s="284" t="s">
        <v>723</v>
      </c>
      <c r="E183" s="285" t="s">
        <v>34</v>
      </c>
      <c r="F183" s="290" t="s">
        <v>27</v>
      </c>
      <c r="G183" s="290"/>
      <c r="H183" s="285" t="s">
        <v>26</v>
      </c>
      <c r="I183" s="291">
        <v>35336</v>
      </c>
      <c r="J183" s="291"/>
      <c r="K183" s="288" t="s">
        <v>21</v>
      </c>
      <c r="L183" s="289">
        <v>3819313.68</v>
      </c>
    </row>
    <row r="184" spans="1:12" ht="51" x14ac:dyDescent="0.3">
      <c r="A184" s="283" t="s">
        <v>115</v>
      </c>
      <c r="B184" s="284" t="s">
        <v>781</v>
      </c>
      <c r="C184" s="284" t="s">
        <v>33</v>
      </c>
      <c r="D184" s="284" t="s">
        <v>724</v>
      </c>
      <c r="E184" s="285" t="s">
        <v>34</v>
      </c>
      <c r="F184" s="290" t="s">
        <v>27</v>
      </c>
      <c r="G184" s="290"/>
      <c r="H184" s="285" t="s">
        <v>26</v>
      </c>
      <c r="I184" s="291">
        <v>35336</v>
      </c>
      <c r="J184" s="291"/>
      <c r="K184" s="288" t="s">
        <v>21</v>
      </c>
      <c r="L184" s="289">
        <v>3783977.68</v>
      </c>
    </row>
    <row r="185" spans="1:12" ht="51" x14ac:dyDescent="0.3">
      <c r="A185" s="283" t="s">
        <v>115</v>
      </c>
      <c r="B185" s="284" t="s">
        <v>781</v>
      </c>
      <c r="C185" s="284" t="s">
        <v>33</v>
      </c>
      <c r="D185" s="284" t="s">
        <v>709</v>
      </c>
      <c r="E185" s="285" t="s">
        <v>34</v>
      </c>
      <c r="F185" s="290" t="s">
        <v>27</v>
      </c>
      <c r="G185" s="290"/>
      <c r="H185" s="285" t="s">
        <v>26</v>
      </c>
      <c r="I185" s="291">
        <v>35336</v>
      </c>
      <c r="J185" s="291"/>
      <c r="K185" s="288" t="s">
        <v>21</v>
      </c>
      <c r="L185" s="289">
        <v>3748641.68</v>
      </c>
    </row>
    <row r="186" spans="1:12" ht="51" x14ac:dyDescent="0.3">
      <c r="A186" s="283" t="s">
        <v>115</v>
      </c>
      <c r="B186" s="284" t="s">
        <v>781</v>
      </c>
      <c r="C186" s="284" t="s">
        <v>33</v>
      </c>
      <c r="D186" s="284" t="s">
        <v>710</v>
      </c>
      <c r="E186" s="285" t="s">
        <v>34</v>
      </c>
      <c r="F186" s="290" t="s">
        <v>27</v>
      </c>
      <c r="G186" s="290"/>
      <c r="H186" s="285" t="s">
        <v>26</v>
      </c>
      <c r="I186" s="291">
        <v>35336</v>
      </c>
      <c r="J186" s="291"/>
      <c r="K186" s="288" t="s">
        <v>21</v>
      </c>
      <c r="L186" s="289">
        <v>3713305.68</v>
      </c>
    </row>
    <row r="187" spans="1:12" ht="51" x14ac:dyDescent="0.3">
      <c r="A187" s="283" t="s">
        <v>115</v>
      </c>
      <c r="B187" s="284" t="s">
        <v>781</v>
      </c>
      <c r="C187" s="284" t="s">
        <v>33</v>
      </c>
      <c r="D187" s="284" t="s">
        <v>711</v>
      </c>
      <c r="E187" s="285" t="s">
        <v>34</v>
      </c>
      <c r="F187" s="290" t="s">
        <v>27</v>
      </c>
      <c r="G187" s="290"/>
      <c r="H187" s="285" t="s">
        <v>26</v>
      </c>
      <c r="I187" s="291">
        <v>35941</v>
      </c>
      <c r="J187" s="291"/>
      <c r="K187" s="288" t="s">
        <v>21</v>
      </c>
      <c r="L187" s="289">
        <v>3677364.68</v>
      </c>
    </row>
    <row r="188" spans="1:12" ht="51" x14ac:dyDescent="0.3">
      <c r="A188" s="283" t="s">
        <v>115</v>
      </c>
      <c r="B188" s="284" t="s">
        <v>781</v>
      </c>
      <c r="C188" s="284" t="s">
        <v>33</v>
      </c>
      <c r="D188" s="284" t="s">
        <v>712</v>
      </c>
      <c r="E188" s="285" t="s">
        <v>34</v>
      </c>
      <c r="F188" s="290" t="s">
        <v>27</v>
      </c>
      <c r="G188" s="290"/>
      <c r="H188" s="285" t="s">
        <v>26</v>
      </c>
      <c r="I188" s="291">
        <v>37768</v>
      </c>
      <c r="J188" s="291"/>
      <c r="K188" s="288" t="s">
        <v>21</v>
      </c>
      <c r="L188" s="289">
        <v>3639596.68</v>
      </c>
    </row>
    <row r="189" spans="1:12" ht="51" x14ac:dyDescent="0.3">
      <c r="A189" s="283" t="s">
        <v>115</v>
      </c>
      <c r="B189" s="284" t="s">
        <v>781</v>
      </c>
      <c r="C189" s="284" t="s">
        <v>33</v>
      </c>
      <c r="D189" s="284" t="s">
        <v>699</v>
      </c>
      <c r="E189" s="285" t="s">
        <v>34</v>
      </c>
      <c r="F189" s="290" t="s">
        <v>27</v>
      </c>
      <c r="G189" s="290"/>
      <c r="H189" s="285" t="s">
        <v>26</v>
      </c>
      <c r="I189" s="291">
        <v>37768</v>
      </c>
      <c r="J189" s="291"/>
      <c r="K189" s="288" t="s">
        <v>21</v>
      </c>
      <c r="L189" s="289">
        <v>3601828.68</v>
      </c>
    </row>
    <row r="190" spans="1:12" ht="51" x14ac:dyDescent="0.3">
      <c r="A190" s="283" t="s">
        <v>115</v>
      </c>
      <c r="B190" s="284" t="s">
        <v>781</v>
      </c>
      <c r="C190" s="284" t="s">
        <v>33</v>
      </c>
      <c r="D190" s="284" t="s">
        <v>700</v>
      </c>
      <c r="E190" s="285" t="s">
        <v>34</v>
      </c>
      <c r="F190" s="290" t="s">
        <v>27</v>
      </c>
      <c r="G190" s="290"/>
      <c r="H190" s="285" t="s">
        <v>26</v>
      </c>
      <c r="I190" s="291">
        <v>37768</v>
      </c>
      <c r="J190" s="291"/>
      <c r="K190" s="288" t="s">
        <v>21</v>
      </c>
      <c r="L190" s="289">
        <v>3564060.68</v>
      </c>
    </row>
    <row r="191" spans="1:12" ht="51" x14ac:dyDescent="0.3">
      <c r="A191" s="283" t="s">
        <v>115</v>
      </c>
      <c r="B191" s="284" t="s">
        <v>781</v>
      </c>
      <c r="C191" s="284" t="s">
        <v>33</v>
      </c>
      <c r="D191" s="284" t="s">
        <v>701</v>
      </c>
      <c r="E191" s="285" t="s">
        <v>34</v>
      </c>
      <c r="F191" s="290" t="s">
        <v>27</v>
      </c>
      <c r="G191" s="290"/>
      <c r="H191" s="285" t="s">
        <v>26</v>
      </c>
      <c r="I191" s="291">
        <v>37768</v>
      </c>
      <c r="J191" s="291"/>
      <c r="K191" s="288" t="s">
        <v>21</v>
      </c>
      <c r="L191" s="289">
        <v>3526292.68</v>
      </c>
    </row>
    <row r="192" spans="1:12" ht="51" x14ac:dyDescent="0.3">
      <c r="A192" s="283" t="s">
        <v>115</v>
      </c>
      <c r="B192" s="284" t="s">
        <v>781</v>
      </c>
      <c r="C192" s="284" t="s">
        <v>33</v>
      </c>
      <c r="D192" s="284" t="s">
        <v>713</v>
      </c>
      <c r="E192" s="285" t="s">
        <v>34</v>
      </c>
      <c r="F192" s="290" t="s">
        <v>27</v>
      </c>
      <c r="G192" s="290"/>
      <c r="H192" s="285" t="s">
        <v>26</v>
      </c>
      <c r="I192" s="291">
        <v>35904</v>
      </c>
      <c r="J192" s="291"/>
      <c r="K192" s="288" t="s">
        <v>21</v>
      </c>
      <c r="L192" s="289">
        <v>3490388.68</v>
      </c>
    </row>
    <row r="193" spans="1:12" ht="51" x14ac:dyDescent="0.3">
      <c r="A193" s="283" t="s">
        <v>115</v>
      </c>
      <c r="B193" s="284" t="s">
        <v>781</v>
      </c>
      <c r="C193" s="284" t="s">
        <v>33</v>
      </c>
      <c r="D193" s="284" t="s">
        <v>714</v>
      </c>
      <c r="E193" s="285" t="s">
        <v>34</v>
      </c>
      <c r="F193" s="290" t="s">
        <v>27</v>
      </c>
      <c r="G193" s="290"/>
      <c r="H193" s="285" t="s">
        <v>26</v>
      </c>
      <c r="I193" s="291">
        <v>35336</v>
      </c>
      <c r="J193" s="291"/>
      <c r="K193" s="288" t="s">
        <v>21</v>
      </c>
      <c r="L193" s="289">
        <v>3455052.68</v>
      </c>
    </row>
    <row r="194" spans="1:12" ht="51" x14ac:dyDescent="0.3">
      <c r="A194" s="283" t="s">
        <v>115</v>
      </c>
      <c r="B194" s="284" t="s">
        <v>781</v>
      </c>
      <c r="C194" s="284" t="s">
        <v>33</v>
      </c>
      <c r="D194" s="284" t="s">
        <v>702</v>
      </c>
      <c r="E194" s="285" t="s">
        <v>34</v>
      </c>
      <c r="F194" s="290" t="s">
        <v>27</v>
      </c>
      <c r="G194" s="290"/>
      <c r="H194" s="285" t="s">
        <v>26</v>
      </c>
      <c r="I194" s="291">
        <v>35336</v>
      </c>
      <c r="J194" s="291"/>
      <c r="K194" s="288" t="s">
        <v>21</v>
      </c>
      <c r="L194" s="289">
        <v>3419716.68</v>
      </c>
    </row>
    <row r="195" spans="1:12" ht="51" x14ac:dyDescent="0.3">
      <c r="A195" s="283" t="s">
        <v>115</v>
      </c>
      <c r="B195" s="284" t="s">
        <v>781</v>
      </c>
      <c r="C195" s="284" t="s">
        <v>33</v>
      </c>
      <c r="D195" s="284" t="s">
        <v>703</v>
      </c>
      <c r="E195" s="285" t="s">
        <v>34</v>
      </c>
      <c r="F195" s="290" t="s">
        <v>27</v>
      </c>
      <c r="G195" s="290"/>
      <c r="H195" s="285" t="s">
        <v>26</v>
      </c>
      <c r="I195" s="291">
        <v>35336</v>
      </c>
      <c r="J195" s="291"/>
      <c r="K195" s="288" t="s">
        <v>21</v>
      </c>
      <c r="L195" s="289">
        <v>3384380.68</v>
      </c>
    </row>
    <row r="196" spans="1:12" ht="51" x14ac:dyDescent="0.3">
      <c r="A196" s="283" t="s">
        <v>115</v>
      </c>
      <c r="B196" s="284" t="s">
        <v>781</v>
      </c>
      <c r="C196" s="284" t="s">
        <v>33</v>
      </c>
      <c r="D196" s="284" t="s">
        <v>704</v>
      </c>
      <c r="E196" s="285" t="s">
        <v>34</v>
      </c>
      <c r="F196" s="290" t="s">
        <v>27</v>
      </c>
      <c r="G196" s="290"/>
      <c r="H196" s="285" t="s">
        <v>26</v>
      </c>
      <c r="I196" s="291">
        <v>35336</v>
      </c>
      <c r="J196" s="291"/>
      <c r="K196" s="288" t="s">
        <v>21</v>
      </c>
      <c r="L196" s="289">
        <v>3349044.68</v>
      </c>
    </row>
    <row r="197" spans="1:12" ht="51" x14ac:dyDescent="0.3">
      <c r="A197" s="283" t="s">
        <v>115</v>
      </c>
      <c r="B197" s="284" t="s">
        <v>781</v>
      </c>
      <c r="C197" s="284" t="s">
        <v>33</v>
      </c>
      <c r="D197" s="284" t="s">
        <v>720</v>
      </c>
      <c r="E197" s="285" t="s">
        <v>34</v>
      </c>
      <c r="F197" s="290" t="s">
        <v>27</v>
      </c>
      <c r="G197" s="290"/>
      <c r="H197" s="285" t="s">
        <v>26</v>
      </c>
      <c r="I197" s="291">
        <v>37684</v>
      </c>
      <c r="J197" s="291"/>
      <c r="K197" s="288" t="s">
        <v>21</v>
      </c>
      <c r="L197" s="289">
        <v>3311360.68</v>
      </c>
    </row>
    <row r="198" spans="1:12" ht="51" hidden="1" x14ac:dyDescent="0.3">
      <c r="A198" s="283" t="s">
        <v>119</v>
      </c>
      <c r="B198" s="284" t="s">
        <v>782</v>
      </c>
      <c r="C198" s="284" t="s">
        <v>783</v>
      </c>
      <c r="D198" s="284" t="s">
        <v>621</v>
      </c>
      <c r="E198" s="285" t="s">
        <v>26</v>
      </c>
      <c r="F198" s="286">
        <v>74220</v>
      </c>
      <c r="G198" s="286"/>
      <c r="H198" s="285" t="s">
        <v>45</v>
      </c>
      <c r="I198" s="287" t="s">
        <v>27</v>
      </c>
      <c r="J198" s="287"/>
      <c r="K198" s="288" t="s">
        <v>21</v>
      </c>
      <c r="L198" s="289">
        <v>3385580.68</v>
      </c>
    </row>
    <row r="199" spans="1:12" ht="51" hidden="1" x14ac:dyDescent="0.3">
      <c r="A199" s="283" t="s">
        <v>119</v>
      </c>
      <c r="B199" s="284" t="s">
        <v>782</v>
      </c>
      <c r="C199" s="284" t="s">
        <v>784</v>
      </c>
      <c r="D199" s="284" t="s">
        <v>621</v>
      </c>
      <c r="E199" s="285" t="s">
        <v>26</v>
      </c>
      <c r="F199" s="286">
        <v>94503</v>
      </c>
      <c r="G199" s="286"/>
      <c r="H199" s="285" t="s">
        <v>45</v>
      </c>
      <c r="I199" s="287" t="s">
        <v>27</v>
      </c>
      <c r="J199" s="287"/>
      <c r="K199" s="288" t="s">
        <v>21</v>
      </c>
      <c r="L199" s="289">
        <v>3480083.68</v>
      </c>
    </row>
    <row r="200" spans="1:12" ht="51" hidden="1" x14ac:dyDescent="0.3">
      <c r="A200" s="283" t="s">
        <v>119</v>
      </c>
      <c r="B200" s="284" t="s">
        <v>785</v>
      </c>
      <c r="C200" s="284" t="s">
        <v>786</v>
      </c>
      <c r="D200" s="284" t="s">
        <v>621</v>
      </c>
      <c r="E200" s="285" t="s">
        <v>26</v>
      </c>
      <c r="F200" s="286">
        <v>19716</v>
      </c>
      <c r="G200" s="286"/>
      <c r="H200" s="285" t="s">
        <v>45</v>
      </c>
      <c r="I200" s="287" t="s">
        <v>27</v>
      </c>
      <c r="J200" s="287"/>
      <c r="K200" s="288" t="s">
        <v>21</v>
      </c>
      <c r="L200" s="289">
        <v>3499799.68</v>
      </c>
    </row>
    <row r="201" spans="1:12" ht="51" hidden="1" x14ac:dyDescent="0.3">
      <c r="A201" s="283" t="s">
        <v>119</v>
      </c>
      <c r="B201" s="284" t="s">
        <v>785</v>
      </c>
      <c r="C201" s="284" t="s">
        <v>787</v>
      </c>
      <c r="D201" s="284" t="s">
        <v>621</v>
      </c>
      <c r="E201" s="285" t="s">
        <v>26</v>
      </c>
      <c r="F201" s="286">
        <v>19735</v>
      </c>
      <c r="G201" s="286"/>
      <c r="H201" s="285" t="s">
        <v>45</v>
      </c>
      <c r="I201" s="287" t="s">
        <v>27</v>
      </c>
      <c r="J201" s="287"/>
      <c r="K201" s="288" t="s">
        <v>21</v>
      </c>
      <c r="L201" s="289">
        <v>3519534.68</v>
      </c>
    </row>
    <row r="202" spans="1:12" ht="51" hidden="1" x14ac:dyDescent="0.3">
      <c r="A202" s="283" t="s">
        <v>119</v>
      </c>
      <c r="B202" s="284" t="s">
        <v>785</v>
      </c>
      <c r="C202" s="284" t="s">
        <v>788</v>
      </c>
      <c r="D202" s="284" t="s">
        <v>621</v>
      </c>
      <c r="E202" s="285" t="s">
        <v>26</v>
      </c>
      <c r="F202" s="286">
        <v>157505</v>
      </c>
      <c r="G202" s="286"/>
      <c r="H202" s="285" t="s">
        <v>45</v>
      </c>
      <c r="I202" s="287" t="s">
        <v>27</v>
      </c>
      <c r="J202" s="287"/>
      <c r="K202" s="288" t="s">
        <v>21</v>
      </c>
      <c r="L202" s="289">
        <v>3677039.68</v>
      </c>
    </row>
    <row r="203" spans="1:12" ht="51" hidden="1" x14ac:dyDescent="0.3">
      <c r="A203" s="283" t="s">
        <v>119</v>
      </c>
      <c r="B203" s="284" t="s">
        <v>789</v>
      </c>
      <c r="C203" s="284" t="s">
        <v>790</v>
      </c>
      <c r="D203" s="284" t="s">
        <v>621</v>
      </c>
      <c r="E203" s="285" t="s">
        <v>26</v>
      </c>
      <c r="F203" s="286">
        <v>74220</v>
      </c>
      <c r="G203" s="286"/>
      <c r="H203" s="285" t="s">
        <v>45</v>
      </c>
      <c r="I203" s="287" t="s">
        <v>27</v>
      </c>
      <c r="J203" s="287"/>
      <c r="K203" s="288" t="s">
        <v>21</v>
      </c>
      <c r="L203" s="289">
        <v>3751259.68</v>
      </c>
    </row>
    <row r="204" spans="1:12" ht="51" hidden="1" x14ac:dyDescent="0.3">
      <c r="A204" s="283" t="s">
        <v>119</v>
      </c>
      <c r="B204" s="284" t="s">
        <v>789</v>
      </c>
      <c r="C204" s="284" t="s">
        <v>791</v>
      </c>
      <c r="D204" s="284" t="s">
        <v>621</v>
      </c>
      <c r="E204" s="285" t="s">
        <v>26</v>
      </c>
      <c r="F204" s="286">
        <v>94503</v>
      </c>
      <c r="G204" s="286"/>
      <c r="H204" s="285" t="s">
        <v>45</v>
      </c>
      <c r="I204" s="287" t="s">
        <v>27</v>
      </c>
      <c r="J204" s="287"/>
      <c r="K204" s="288" t="s">
        <v>21</v>
      </c>
      <c r="L204" s="289">
        <v>3845762.68</v>
      </c>
    </row>
    <row r="205" spans="1:12" hidden="1" x14ac:dyDescent="0.3">
      <c r="A205" s="294" t="s">
        <v>146</v>
      </c>
      <c r="B205" s="294"/>
      <c r="C205" s="294"/>
      <c r="D205" s="294"/>
      <c r="E205" s="295">
        <v>5373294.8300000001</v>
      </c>
      <c r="F205" s="295"/>
      <c r="G205" s="295"/>
      <c r="H205" s="295">
        <v>5729471.25</v>
      </c>
      <c r="I205" s="295"/>
      <c r="J205" s="295"/>
      <c r="K205" s="296" t="s">
        <v>21</v>
      </c>
      <c r="L205" s="297">
        <v>3845762.68</v>
      </c>
    </row>
    <row r="207" spans="1:12" x14ac:dyDescent="0.3">
      <c r="J207" s="351">
        <f>SUBTOTAL(9,I11:J197)</f>
        <v>5664654.5000000019</v>
      </c>
    </row>
  </sheetData>
  <autoFilter ref="A1:L205" xr:uid="{8E34C6A3-E78A-44F1-A2C3-D0BA4EC15F70}">
    <filterColumn colId="1">
      <filters>
        <filter val="Вимога-накладна ІБ00-000443 від 02.06.2025 11:06:31_x000a_Списаны ТМЦ"/>
        <filter val="Вимога-накладна ІБ00-000448 від 12.06.2025 20:30:53_x000a_Списаны ТМЦ"/>
        <filter val="Вимога-накладна ІБ00-000449 від 10.06.2025 15:35:02_x000a_Списаны ТМЦ"/>
        <filter val="Вимога-накладна ІБ00-000450 від 13.06.2025 11:17:10_x000a_Списаны ТМЦ"/>
        <filter val="Вимога-накладна ІБ00-000456 від 19.06.2025 10:35:47_x000a_Списаны ТМЦ"/>
        <filter val="Вимога-накладна ІБ00-000482 від 20.06.2025 18:06:35_x000a_Списаны ТМЦ"/>
        <filter val="Вимога-накладна ІБ00-000483 від 20.06.2025 16:13:20_x000a_Списаны ТМЦ"/>
        <filter val="Вимога-накладна ІБ00-000484 від 20.06.2025 18:06:48_x000a_Списаны ТМЦ"/>
        <filter val="Вимога-накладна ІБ00-000502 від 20.06.2025 21:00:08_x000a_Списаны ТМЦ"/>
        <filter val="Вимога-накладна ІБ00-000503 від 20.06.2025 00:00:00_x000a_Списаны ТМЦ"/>
        <filter val="Вимога-накладна ІБ00-000510 від 25.06.2025 23:00:00_x000a_Списаны ТМЦ"/>
        <filter val="Вимога-накладна ІБ00-000512 від 25.06.2025 23:13:08_x000a_Списаны ТМЦ"/>
        <filter val="Вимога-накладна ІБ00-000513 від 25.06.2025 00:00:00_x000a_Списаны ТМЦ"/>
        <filter val="Списання товарів ІБ00-000319 від 19.06.2025 10:45:07_x000a_Списаны ТМЦ"/>
        <filter val="Списання товарів ІБ00-000330 від 20.06.2025 18:06:36_x000a_Списаны ТМЦ"/>
        <filter val="Списання товарів ІБ00-000334 від 20.06.2025 21:00:15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416">
    <mergeCell ref="A205:D205"/>
    <mergeCell ref="E205:G205"/>
    <mergeCell ref="H205:J205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BB31-3DDD-4DFB-A775-8A32F4C3ECB8}">
  <sheetPr filterMode="1"/>
  <dimension ref="A1:L14"/>
  <sheetViews>
    <sheetView workbookViewId="0">
      <selection activeCell="J14" sqref="J14"/>
    </sheetView>
  </sheetViews>
  <sheetFormatPr defaultRowHeight="14.4" x14ac:dyDescent="0.3"/>
  <cols>
    <col min="2" max="4" width="34.33203125" customWidth="1"/>
    <col min="12" max="12" width="10.109375" bestFit="1" customWidth="1"/>
  </cols>
  <sheetData>
    <row r="1" spans="1:12" x14ac:dyDescent="0.3">
      <c r="A1" s="298" t="s">
        <v>13</v>
      </c>
      <c r="B1" s="299" t="s">
        <v>14</v>
      </c>
      <c r="C1" s="299" t="s">
        <v>15</v>
      </c>
      <c r="D1" s="300" t="s">
        <v>16</v>
      </c>
      <c r="E1" s="301" t="s">
        <v>17</v>
      </c>
      <c r="F1" s="301"/>
      <c r="G1" s="301"/>
      <c r="H1" s="302" t="s">
        <v>18</v>
      </c>
      <c r="I1" s="302"/>
      <c r="J1" s="302"/>
      <c r="K1" s="299" t="s">
        <v>19</v>
      </c>
      <c r="L1" s="299"/>
    </row>
    <row r="2" spans="1:12" hidden="1" x14ac:dyDescent="0.3">
      <c r="A2" s="303"/>
      <c r="B2" s="304"/>
      <c r="C2" s="304"/>
      <c r="D2" s="305"/>
      <c r="E2" s="306" t="s">
        <v>20</v>
      </c>
      <c r="F2" s="307"/>
      <c r="G2" s="307"/>
      <c r="H2" s="308" t="s">
        <v>20</v>
      </c>
      <c r="I2" s="309"/>
      <c r="J2" s="309"/>
      <c r="K2" s="303"/>
      <c r="L2" s="310"/>
    </row>
    <row r="3" spans="1:12" ht="51" hidden="1" x14ac:dyDescent="0.3">
      <c r="A3" s="311" t="s">
        <v>22</v>
      </c>
      <c r="B3" s="312" t="s">
        <v>23</v>
      </c>
      <c r="C3" s="312" t="s">
        <v>24</v>
      </c>
      <c r="D3" s="312" t="s">
        <v>25</v>
      </c>
      <c r="E3" s="313" t="s">
        <v>26</v>
      </c>
      <c r="F3" s="314" t="s">
        <v>27</v>
      </c>
      <c r="G3" s="314"/>
      <c r="H3" s="313" t="s">
        <v>26</v>
      </c>
      <c r="I3" s="315">
        <v>4098.41</v>
      </c>
      <c r="J3" s="315"/>
      <c r="K3" s="316" t="s">
        <v>21</v>
      </c>
      <c r="L3" s="317">
        <v>110910.56</v>
      </c>
    </row>
    <row r="4" spans="1:12" ht="51" hidden="1" x14ac:dyDescent="0.3">
      <c r="A4" s="311" t="s">
        <v>22</v>
      </c>
      <c r="B4" s="312" t="s">
        <v>197</v>
      </c>
      <c r="C4" s="312" t="s">
        <v>198</v>
      </c>
      <c r="D4" s="312" t="s">
        <v>199</v>
      </c>
      <c r="E4" s="313" t="s">
        <v>26</v>
      </c>
      <c r="F4" s="318">
        <v>4676.1000000000004</v>
      </c>
      <c r="G4" s="318"/>
      <c r="H4" s="313" t="s">
        <v>26</v>
      </c>
      <c r="I4" s="319" t="s">
        <v>27</v>
      </c>
      <c r="J4" s="319"/>
      <c r="K4" s="316" t="s">
        <v>21</v>
      </c>
      <c r="L4" s="317">
        <v>115586.66</v>
      </c>
    </row>
    <row r="5" spans="1:12" ht="51" hidden="1" x14ac:dyDescent="0.3">
      <c r="A5" s="311" t="s">
        <v>22</v>
      </c>
      <c r="B5" s="312" t="s">
        <v>197</v>
      </c>
      <c r="C5" s="312" t="s">
        <v>198</v>
      </c>
      <c r="D5" s="312" t="s">
        <v>199</v>
      </c>
      <c r="E5" s="313" t="s">
        <v>26</v>
      </c>
      <c r="F5" s="318">
        <v>2413.9499999999998</v>
      </c>
      <c r="G5" s="318"/>
      <c r="H5" s="313" t="s">
        <v>26</v>
      </c>
      <c r="I5" s="319" t="s">
        <v>27</v>
      </c>
      <c r="J5" s="319"/>
      <c r="K5" s="316" t="s">
        <v>21</v>
      </c>
      <c r="L5" s="317">
        <v>118000.61</v>
      </c>
    </row>
    <row r="6" spans="1:12" ht="51" hidden="1" x14ac:dyDescent="0.3">
      <c r="A6" s="311" t="s">
        <v>22</v>
      </c>
      <c r="B6" s="312" t="s">
        <v>197</v>
      </c>
      <c r="C6" s="312" t="s">
        <v>198</v>
      </c>
      <c r="D6" s="312" t="s">
        <v>199</v>
      </c>
      <c r="E6" s="313" t="s">
        <v>26</v>
      </c>
      <c r="F6" s="318">
        <v>3111.9</v>
      </c>
      <c r="G6" s="318"/>
      <c r="H6" s="313" t="s">
        <v>26</v>
      </c>
      <c r="I6" s="319" t="s">
        <v>27</v>
      </c>
      <c r="J6" s="319"/>
      <c r="K6" s="316" t="s">
        <v>21</v>
      </c>
      <c r="L6" s="317">
        <v>121112.51</v>
      </c>
    </row>
    <row r="7" spans="1:12" ht="51" x14ac:dyDescent="0.3">
      <c r="A7" s="311" t="s">
        <v>31</v>
      </c>
      <c r="B7" s="312" t="s">
        <v>792</v>
      </c>
      <c r="C7" s="312" t="s">
        <v>33</v>
      </c>
      <c r="D7" s="312" t="s">
        <v>198</v>
      </c>
      <c r="E7" s="313" t="s">
        <v>34</v>
      </c>
      <c r="F7" s="314" t="s">
        <v>27</v>
      </c>
      <c r="G7" s="314"/>
      <c r="H7" s="313" t="s">
        <v>26</v>
      </c>
      <c r="I7" s="315">
        <v>4676.1000000000004</v>
      </c>
      <c r="J7" s="315"/>
      <c r="K7" s="316" t="s">
        <v>21</v>
      </c>
      <c r="L7" s="317">
        <v>116436.41</v>
      </c>
    </row>
    <row r="8" spans="1:12" ht="51" x14ac:dyDescent="0.3">
      <c r="A8" s="311" t="s">
        <v>31</v>
      </c>
      <c r="B8" s="312" t="s">
        <v>793</v>
      </c>
      <c r="C8" s="312" t="s">
        <v>33</v>
      </c>
      <c r="D8" s="312" t="s">
        <v>198</v>
      </c>
      <c r="E8" s="313" t="s">
        <v>34</v>
      </c>
      <c r="F8" s="314" t="s">
        <v>27</v>
      </c>
      <c r="G8" s="314"/>
      <c r="H8" s="313" t="s">
        <v>26</v>
      </c>
      <c r="I8" s="315">
        <v>2413.9499999999998</v>
      </c>
      <c r="J8" s="315"/>
      <c r="K8" s="316" t="s">
        <v>21</v>
      </c>
      <c r="L8" s="317">
        <v>114022.46</v>
      </c>
    </row>
    <row r="9" spans="1:12" ht="51" x14ac:dyDescent="0.3">
      <c r="A9" s="311" t="s">
        <v>31</v>
      </c>
      <c r="B9" s="312" t="s">
        <v>794</v>
      </c>
      <c r="C9" s="312" t="s">
        <v>33</v>
      </c>
      <c r="D9" s="312" t="s">
        <v>198</v>
      </c>
      <c r="E9" s="313" t="s">
        <v>34</v>
      </c>
      <c r="F9" s="314" t="s">
        <v>27</v>
      </c>
      <c r="G9" s="314"/>
      <c r="H9" s="313" t="s">
        <v>26</v>
      </c>
      <c r="I9" s="315">
        <v>3111.9</v>
      </c>
      <c r="J9" s="315"/>
      <c r="K9" s="316" t="s">
        <v>21</v>
      </c>
      <c r="L9" s="317">
        <v>110910.56</v>
      </c>
    </row>
    <row r="10" spans="1:12" ht="51" hidden="1" x14ac:dyDescent="0.3">
      <c r="A10" s="311" t="s">
        <v>115</v>
      </c>
      <c r="B10" s="312" t="s">
        <v>537</v>
      </c>
      <c r="C10" s="312" t="s">
        <v>538</v>
      </c>
      <c r="D10" s="312" t="s">
        <v>539</v>
      </c>
      <c r="E10" s="313" t="s">
        <v>26</v>
      </c>
      <c r="F10" s="314" t="s">
        <v>27</v>
      </c>
      <c r="G10" s="314"/>
      <c r="H10" s="313" t="s">
        <v>26</v>
      </c>
      <c r="I10" s="315">
        <v>3923.95</v>
      </c>
      <c r="J10" s="315"/>
      <c r="K10" s="316" t="s">
        <v>21</v>
      </c>
      <c r="L10" s="317">
        <v>106986.61</v>
      </c>
    </row>
    <row r="11" spans="1:12" ht="51" hidden="1" x14ac:dyDescent="0.3">
      <c r="A11" s="311" t="s">
        <v>115</v>
      </c>
      <c r="B11" s="312" t="s">
        <v>537</v>
      </c>
      <c r="C11" s="312" t="s">
        <v>540</v>
      </c>
      <c r="D11" s="312" t="s">
        <v>541</v>
      </c>
      <c r="E11" s="313" t="s">
        <v>26</v>
      </c>
      <c r="F11" s="314" t="s">
        <v>27</v>
      </c>
      <c r="G11" s="314"/>
      <c r="H11" s="313" t="s">
        <v>26</v>
      </c>
      <c r="I11" s="315">
        <v>30971.200000000001</v>
      </c>
      <c r="J11" s="315"/>
      <c r="K11" s="316" t="s">
        <v>21</v>
      </c>
      <c r="L11" s="317">
        <v>76015.41</v>
      </c>
    </row>
    <row r="12" spans="1:12" hidden="1" x14ac:dyDescent="0.3">
      <c r="A12" s="320" t="s">
        <v>146</v>
      </c>
      <c r="B12" s="320"/>
      <c r="C12" s="320"/>
      <c r="D12" s="320"/>
      <c r="E12" s="321">
        <v>10201.950000000001</v>
      </c>
      <c r="F12" s="321"/>
      <c r="G12" s="321"/>
      <c r="H12" s="321">
        <v>49195.51</v>
      </c>
      <c r="I12" s="321"/>
      <c r="J12" s="321"/>
      <c r="K12" s="322" t="s">
        <v>21</v>
      </c>
      <c r="L12" s="323">
        <v>76015.41</v>
      </c>
    </row>
    <row r="14" spans="1:12" x14ac:dyDescent="0.3">
      <c r="J14" s="351">
        <f>SUBTOTAL(9,I7:J9)</f>
        <v>10201.950000000001</v>
      </c>
    </row>
  </sheetData>
  <autoFilter ref="A1:L12" xr:uid="{5D25B243-AA19-4D6A-BE2B-0A725967D956}">
    <filterColumn colId="1">
      <filters>
        <filter val="Вимога-накладна ІБ00-000441 від 02.06.2025 10:58:09_x000a_Списаны ТМЦ"/>
        <filter val="Вимога-накладна ІБ00-000442 від 02.06.2025 11:03:45_x000a_Списаны ТМЦ"/>
        <filter val="Вимога-накладна ІБ00-000444 від 02.06.2025 11:11:16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30">
    <mergeCell ref="F10:G10"/>
    <mergeCell ref="I10:J10"/>
    <mergeCell ref="F11:G11"/>
    <mergeCell ref="I11:J11"/>
    <mergeCell ref="A12:D12"/>
    <mergeCell ref="E12:G12"/>
    <mergeCell ref="H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7A035-A955-4203-9583-EFFBBA506BD8}">
  <sheetPr filterMode="1"/>
  <dimension ref="A1:L323"/>
  <sheetViews>
    <sheetView topLeftCell="A311" workbookViewId="0">
      <selection activeCell="J323" sqref="J323"/>
    </sheetView>
  </sheetViews>
  <sheetFormatPr defaultRowHeight="14.4" x14ac:dyDescent="0.3"/>
  <cols>
    <col min="2" max="4" width="34.33203125" customWidth="1"/>
    <col min="10" max="10" width="11.33203125" bestFit="1" customWidth="1"/>
  </cols>
  <sheetData>
    <row r="1" spans="1:12" x14ac:dyDescent="0.3">
      <c r="A1" s="324" t="s">
        <v>13</v>
      </c>
      <c r="B1" s="325" t="s">
        <v>14</v>
      </c>
      <c r="C1" s="325" t="s">
        <v>15</v>
      </c>
      <c r="D1" s="326" t="s">
        <v>16</v>
      </c>
      <c r="E1" s="327" t="s">
        <v>17</v>
      </c>
      <c r="F1" s="327"/>
      <c r="G1" s="327"/>
      <c r="H1" s="328" t="s">
        <v>18</v>
      </c>
      <c r="I1" s="328"/>
      <c r="J1" s="328"/>
      <c r="K1" s="325" t="s">
        <v>19</v>
      </c>
      <c r="L1" s="325"/>
    </row>
    <row r="2" spans="1:12" hidden="1" x14ac:dyDescent="0.3">
      <c r="A2" s="329"/>
      <c r="B2" s="330"/>
      <c r="C2" s="330"/>
      <c r="D2" s="331"/>
      <c r="E2" s="332" t="s">
        <v>20</v>
      </c>
      <c r="F2" s="333"/>
      <c r="G2" s="333"/>
      <c r="H2" s="334" t="s">
        <v>20</v>
      </c>
      <c r="I2" s="335"/>
      <c r="J2" s="335"/>
      <c r="K2" s="329"/>
      <c r="L2" s="336"/>
    </row>
    <row r="3" spans="1:12" ht="51" hidden="1" x14ac:dyDescent="0.3">
      <c r="A3" s="337" t="s">
        <v>22</v>
      </c>
      <c r="B3" s="338" t="s">
        <v>795</v>
      </c>
      <c r="C3" s="338" t="s">
        <v>796</v>
      </c>
      <c r="D3" s="338" t="s">
        <v>797</v>
      </c>
      <c r="E3" s="339" t="s">
        <v>26</v>
      </c>
      <c r="F3" s="340">
        <v>22171.67</v>
      </c>
      <c r="G3" s="340"/>
      <c r="H3" s="339" t="s">
        <v>45</v>
      </c>
      <c r="I3" s="341" t="s">
        <v>27</v>
      </c>
      <c r="J3" s="341"/>
      <c r="K3" s="342" t="s">
        <v>21</v>
      </c>
      <c r="L3" s="343">
        <v>2161885.69</v>
      </c>
    </row>
    <row r="4" spans="1:12" ht="61.2" hidden="1" x14ac:dyDescent="0.3">
      <c r="A4" s="337" t="s">
        <v>22</v>
      </c>
      <c r="B4" s="338" t="s">
        <v>557</v>
      </c>
      <c r="C4" s="338" t="s">
        <v>558</v>
      </c>
      <c r="D4" s="338" t="s">
        <v>559</v>
      </c>
      <c r="E4" s="339" t="s">
        <v>26</v>
      </c>
      <c r="F4" s="340">
        <v>1941.13</v>
      </c>
      <c r="G4" s="340"/>
      <c r="H4" s="339" t="s">
        <v>26</v>
      </c>
      <c r="I4" s="341" t="s">
        <v>27</v>
      </c>
      <c r="J4" s="341"/>
      <c r="K4" s="342" t="s">
        <v>21</v>
      </c>
      <c r="L4" s="343">
        <v>2163826.8199999998</v>
      </c>
    </row>
    <row r="5" spans="1:12" ht="61.2" hidden="1" x14ac:dyDescent="0.3">
      <c r="A5" s="337" t="s">
        <v>22</v>
      </c>
      <c r="B5" s="338" t="s">
        <v>557</v>
      </c>
      <c r="C5" s="338" t="s">
        <v>798</v>
      </c>
      <c r="D5" s="338" t="s">
        <v>799</v>
      </c>
      <c r="E5" s="339" t="s">
        <v>26</v>
      </c>
      <c r="F5" s="340">
        <v>40848</v>
      </c>
      <c r="G5" s="340"/>
      <c r="H5" s="339" t="s">
        <v>800</v>
      </c>
      <c r="I5" s="341" t="s">
        <v>27</v>
      </c>
      <c r="J5" s="341"/>
      <c r="K5" s="342" t="s">
        <v>21</v>
      </c>
      <c r="L5" s="343">
        <v>2204674.8199999998</v>
      </c>
    </row>
    <row r="6" spans="1:12" ht="51" hidden="1" x14ac:dyDescent="0.3">
      <c r="A6" s="337" t="s">
        <v>22</v>
      </c>
      <c r="B6" s="338" t="s">
        <v>194</v>
      </c>
      <c r="C6" s="338" t="s">
        <v>195</v>
      </c>
      <c r="D6" s="338" t="s">
        <v>196</v>
      </c>
      <c r="E6" s="339" t="s">
        <v>26</v>
      </c>
      <c r="F6" s="340">
        <v>1495.18</v>
      </c>
      <c r="G6" s="340"/>
      <c r="H6" s="339" t="s">
        <v>26</v>
      </c>
      <c r="I6" s="341" t="s">
        <v>27</v>
      </c>
      <c r="J6" s="341"/>
      <c r="K6" s="342" t="s">
        <v>21</v>
      </c>
      <c r="L6" s="343">
        <v>2206170</v>
      </c>
    </row>
    <row r="7" spans="1:12" ht="51" x14ac:dyDescent="0.3">
      <c r="A7" s="337" t="s">
        <v>31</v>
      </c>
      <c r="B7" s="338" t="s">
        <v>801</v>
      </c>
      <c r="C7" s="338" t="s">
        <v>33</v>
      </c>
      <c r="D7" s="338" t="s">
        <v>195</v>
      </c>
      <c r="E7" s="339" t="s">
        <v>34</v>
      </c>
      <c r="F7" s="344" t="s">
        <v>27</v>
      </c>
      <c r="G7" s="344"/>
      <c r="H7" s="339" t="s">
        <v>26</v>
      </c>
      <c r="I7" s="345">
        <v>1495.18</v>
      </c>
      <c r="J7" s="345"/>
      <c r="K7" s="342" t="s">
        <v>21</v>
      </c>
      <c r="L7" s="343">
        <v>2204674.8199999998</v>
      </c>
    </row>
    <row r="8" spans="1:12" ht="51" x14ac:dyDescent="0.3">
      <c r="A8" s="337" t="s">
        <v>31</v>
      </c>
      <c r="B8" s="338" t="s">
        <v>801</v>
      </c>
      <c r="C8" s="338" t="s">
        <v>33</v>
      </c>
      <c r="D8" s="338" t="s">
        <v>558</v>
      </c>
      <c r="E8" s="339" t="s">
        <v>34</v>
      </c>
      <c r="F8" s="344" t="s">
        <v>27</v>
      </c>
      <c r="G8" s="344"/>
      <c r="H8" s="339" t="s">
        <v>26</v>
      </c>
      <c r="I8" s="345">
        <v>1941.13</v>
      </c>
      <c r="J8" s="345"/>
      <c r="K8" s="342" t="s">
        <v>21</v>
      </c>
      <c r="L8" s="343">
        <v>2202733.69</v>
      </c>
    </row>
    <row r="9" spans="1:12" ht="51" x14ac:dyDescent="0.3">
      <c r="A9" s="337" t="s">
        <v>31</v>
      </c>
      <c r="B9" s="338" t="s">
        <v>801</v>
      </c>
      <c r="C9" s="338" t="s">
        <v>33</v>
      </c>
      <c r="D9" s="338" t="s">
        <v>798</v>
      </c>
      <c r="E9" s="339" t="s">
        <v>34</v>
      </c>
      <c r="F9" s="344" t="s">
        <v>27</v>
      </c>
      <c r="G9" s="344"/>
      <c r="H9" s="339" t="s">
        <v>26</v>
      </c>
      <c r="I9" s="345">
        <v>40848</v>
      </c>
      <c r="J9" s="345"/>
      <c r="K9" s="342" t="s">
        <v>21</v>
      </c>
      <c r="L9" s="343">
        <v>2161885.69</v>
      </c>
    </row>
    <row r="10" spans="1:12" ht="51" x14ac:dyDescent="0.3">
      <c r="A10" s="337" t="s">
        <v>31</v>
      </c>
      <c r="B10" s="338" t="s">
        <v>801</v>
      </c>
      <c r="C10" s="338" t="s">
        <v>33</v>
      </c>
      <c r="D10" s="338" t="s">
        <v>802</v>
      </c>
      <c r="E10" s="339" t="s">
        <v>34</v>
      </c>
      <c r="F10" s="344" t="s">
        <v>27</v>
      </c>
      <c r="G10" s="344"/>
      <c r="H10" s="339" t="s">
        <v>26</v>
      </c>
      <c r="I10" s="345">
        <v>2067.9499999999998</v>
      </c>
      <c r="J10" s="345"/>
      <c r="K10" s="342" t="s">
        <v>21</v>
      </c>
      <c r="L10" s="343">
        <v>2159817.7400000002</v>
      </c>
    </row>
    <row r="11" spans="1:12" ht="51" x14ac:dyDescent="0.3">
      <c r="A11" s="337" t="s">
        <v>31</v>
      </c>
      <c r="B11" s="338" t="s">
        <v>801</v>
      </c>
      <c r="C11" s="338" t="s">
        <v>33</v>
      </c>
      <c r="D11" s="338" t="s">
        <v>803</v>
      </c>
      <c r="E11" s="339" t="s">
        <v>34</v>
      </c>
      <c r="F11" s="344" t="s">
        <v>27</v>
      </c>
      <c r="G11" s="344"/>
      <c r="H11" s="339" t="s">
        <v>26</v>
      </c>
      <c r="I11" s="345">
        <v>4881.55</v>
      </c>
      <c r="J11" s="345"/>
      <c r="K11" s="342" t="s">
        <v>21</v>
      </c>
      <c r="L11" s="343">
        <v>2154936.19</v>
      </c>
    </row>
    <row r="12" spans="1:12" ht="51" hidden="1" x14ac:dyDescent="0.3">
      <c r="A12" s="337" t="s">
        <v>61</v>
      </c>
      <c r="B12" s="338" t="s">
        <v>295</v>
      </c>
      <c r="C12" s="338" t="s">
        <v>296</v>
      </c>
      <c r="D12" s="338" t="s">
        <v>67</v>
      </c>
      <c r="E12" s="339" t="s">
        <v>26</v>
      </c>
      <c r="F12" s="340">
        <v>3046.83</v>
      </c>
      <c r="G12" s="340"/>
      <c r="H12" s="339" t="s">
        <v>26</v>
      </c>
      <c r="I12" s="341" t="s">
        <v>27</v>
      </c>
      <c r="J12" s="341"/>
      <c r="K12" s="342" t="s">
        <v>21</v>
      </c>
      <c r="L12" s="343">
        <v>2157983.02</v>
      </c>
    </row>
    <row r="13" spans="1:12" ht="51" x14ac:dyDescent="0.3">
      <c r="A13" s="337" t="s">
        <v>68</v>
      </c>
      <c r="B13" s="338" t="s">
        <v>804</v>
      </c>
      <c r="C13" s="338" t="s">
        <v>33</v>
      </c>
      <c r="D13" s="338" t="s">
        <v>805</v>
      </c>
      <c r="E13" s="339" t="s">
        <v>34</v>
      </c>
      <c r="F13" s="344" t="s">
        <v>27</v>
      </c>
      <c r="G13" s="344"/>
      <c r="H13" s="339" t="s">
        <v>26</v>
      </c>
      <c r="I13" s="345">
        <v>25620</v>
      </c>
      <c r="J13" s="345"/>
      <c r="K13" s="342" t="s">
        <v>21</v>
      </c>
      <c r="L13" s="343">
        <v>2132363.02</v>
      </c>
    </row>
    <row r="14" spans="1:12" ht="51" x14ac:dyDescent="0.3">
      <c r="A14" s="337" t="s">
        <v>68</v>
      </c>
      <c r="B14" s="338" t="s">
        <v>804</v>
      </c>
      <c r="C14" s="338" t="s">
        <v>33</v>
      </c>
      <c r="D14" s="338" t="s">
        <v>806</v>
      </c>
      <c r="E14" s="339" t="s">
        <v>34</v>
      </c>
      <c r="F14" s="344" t="s">
        <v>27</v>
      </c>
      <c r="G14" s="344"/>
      <c r="H14" s="339" t="s">
        <v>26</v>
      </c>
      <c r="I14" s="345">
        <v>58560</v>
      </c>
      <c r="J14" s="345"/>
      <c r="K14" s="342" t="s">
        <v>21</v>
      </c>
      <c r="L14" s="343">
        <v>2073803.02</v>
      </c>
    </row>
    <row r="15" spans="1:12" ht="51" hidden="1" x14ac:dyDescent="0.3">
      <c r="A15" s="337" t="s">
        <v>68</v>
      </c>
      <c r="B15" s="338" t="s">
        <v>326</v>
      </c>
      <c r="C15" s="338" t="s">
        <v>327</v>
      </c>
      <c r="D15" s="338" t="s">
        <v>320</v>
      </c>
      <c r="E15" s="339" t="s">
        <v>26</v>
      </c>
      <c r="F15" s="340">
        <v>1977.02</v>
      </c>
      <c r="G15" s="340"/>
      <c r="H15" s="339" t="s">
        <v>26</v>
      </c>
      <c r="I15" s="341" t="s">
        <v>27</v>
      </c>
      <c r="J15" s="341"/>
      <c r="K15" s="342" t="s">
        <v>21</v>
      </c>
      <c r="L15" s="343">
        <v>2075780.04</v>
      </c>
    </row>
    <row r="16" spans="1:12" ht="51" x14ac:dyDescent="0.3">
      <c r="A16" s="337" t="s">
        <v>76</v>
      </c>
      <c r="B16" s="338" t="s">
        <v>807</v>
      </c>
      <c r="C16" s="338" t="s">
        <v>33</v>
      </c>
      <c r="D16" s="338" t="s">
        <v>808</v>
      </c>
      <c r="E16" s="339" t="s">
        <v>34</v>
      </c>
      <c r="F16" s="344" t="s">
        <v>27</v>
      </c>
      <c r="G16" s="344"/>
      <c r="H16" s="339" t="s">
        <v>26</v>
      </c>
      <c r="I16" s="345">
        <v>8506.0300000000007</v>
      </c>
      <c r="J16" s="345"/>
      <c r="K16" s="342" t="s">
        <v>21</v>
      </c>
      <c r="L16" s="343">
        <v>2067274.01</v>
      </c>
    </row>
    <row r="17" spans="1:12" ht="51" x14ac:dyDescent="0.3">
      <c r="A17" s="337" t="s">
        <v>76</v>
      </c>
      <c r="B17" s="338" t="s">
        <v>807</v>
      </c>
      <c r="C17" s="338" t="s">
        <v>33</v>
      </c>
      <c r="D17" s="338" t="s">
        <v>809</v>
      </c>
      <c r="E17" s="339" t="s">
        <v>34</v>
      </c>
      <c r="F17" s="344" t="s">
        <v>27</v>
      </c>
      <c r="G17" s="344"/>
      <c r="H17" s="339" t="s">
        <v>26</v>
      </c>
      <c r="I17" s="345">
        <v>2732.45</v>
      </c>
      <c r="J17" s="345"/>
      <c r="K17" s="342" t="s">
        <v>21</v>
      </c>
      <c r="L17" s="343">
        <v>2064541.56</v>
      </c>
    </row>
    <row r="18" spans="1:12" ht="51" x14ac:dyDescent="0.3">
      <c r="A18" s="337" t="s">
        <v>76</v>
      </c>
      <c r="B18" s="338" t="s">
        <v>807</v>
      </c>
      <c r="C18" s="338" t="s">
        <v>33</v>
      </c>
      <c r="D18" s="338" t="s">
        <v>809</v>
      </c>
      <c r="E18" s="339" t="s">
        <v>34</v>
      </c>
      <c r="F18" s="344" t="s">
        <v>27</v>
      </c>
      <c r="G18" s="344"/>
      <c r="H18" s="339" t="s">
        <v>26</v>
      </c>
      <c r="I18" s="345">
        <v>39879</v>
      </c>
      <c r="J18" s="345"/>
      <c r="K18" s="342" t="s">
        <v>21</v>
      </c>
      <c r="L18" s="343">
        <v>2024662.56</v>
      </c>
    </row>
    <row r="19" spans="1:12" ht="51" x14ac:dyDescent="0.3">
      <c r="A19" s="337" t="s">
        <v>76</v>
      </c>
      <c r="B19" s="338" t="s">
        <v>807</v>
      </c>
      <c r="C19" s="338" t="s">
        <v>33</v>
      </c>
      <c r="D19" s="338" t="s">
        <v>810</v>
      </c>
      <c r="E19" s="339" t="s">
        <v>34</v>
      </c>
      <c r="F19" s="344" t="s">
        <v>27</v>
      </c>
      <c r="G19" s="344"/>
      <c r="H19" s="339" t="s">
        <v>26</v>
      </c>
      <c r="I19" s="345">
        <v>2750.58</v>
      </c>
      <c r="J19" s="345"/>
      <c r="K19" s="342" t="s">
        <v>21</v>
      </c>
      <c r="L19" s="343">
        <v>2021911.98</v>
      </c>
    </row>
    <row r="20" spans="1:12" ht="51" x14ac:dyDescent="0.3">
      <c r="A20" s="337" t="s">
        <v>76</v>
      </c>
      <c r="B20" s="338" t="s">
        <v>807</v>
      </c>
      <c r="C20" s="338" t="s">
        <v>33</v>
      </c>
      <c r="D20" s="338" t="s">
        <v>811</v>
      </c>
      <c r="E20" s="339" t="s">
        <v>34</v>
      </c>
      <c r="F20" s="344" t="s">
        <v>27</v>
      </c>
      <c r="G20" s="344"/>
      <c r="H20" s="339" t="s">
        <v>26</v>
      </c>
      <c r="I20" s="345">
        <v>1200.1500000000001</v>
      </c>
      <c r="J20" s="345"/>
      <c r="K20" s="342" t="s">
        <v>21</v>
      </c>
      <c r="L20" s="343">
        <v>2020711.83</v>
      </c>
    </row>
    <row r="21" spans="1:12" ht="51" x14ac:dyDescent="0.3">
      <c r="A21" s="337" t="s">
        <v>76</v>
      </c>
      <c r="B21" s="338" t="s">
        <v>807</v>
      </c>
      <c r="C21" s="338" t="s">
        <v>33</v>
      </c>
      <c r="D21" s="338" t="s">
        <v>812</v>
      </c>
      <c r="E21" s="339" t="s">
        <v>34</v>
      </c>
      <c r="F21" s="344" t="s">
        <v>27</v>
      </c>
      <c r="G21" s="344"/>
      <c r="H21" s="339" t="s">
        <v>26</v>
      </c>
      <c r="I21" s="345">
        <v>28470.400000000001</v>
      </c>
      <c r="J21" s="345"/>
      <c r="K21" s="342" t="s">
        <v>21</v>
      </c>
      <c r="L21" s="343">
        <v>1992241.43</v>
      </c>
    </row>
    <row r="22" spans="1:12" ht="51" x14ac:dyDescent="0.3">
      <c r="A22" s="337" t="s">
        <v>76</v>
      </c>
      <c r="B22" s="338" t="s">
        <v>807</v>
      </c>
      <c r="C22" s="338" t="s">
        <v>33</v>
      </c>
      <c r="D22" s="338" t="s">
        <v>813</v>
      </c>
      <c r="E22" s="339" t="s">
        <v>34</v>
      </c>
      <c r="F22" s="344" t="s">
        <v>27</v>
      </c>
      <c r="G22" s="344"/>
      <c r="H22" s="339" t="s">
        <v>26</v>
      </c>
      <c r="I22" s="345">
        <v>24040.63</v>
      </c>
      <c r="J22" s="345"/>
      <c r="K22" s="342" t="s">
        <v>21</v>
      </c>
      <c r="L22" s="343">
        <v>1968200.8</v>
      </c>
    </row>
    <row r="23" spans="1:12" ht="51" x14ac:dyDescent="0.3">
      <c r="A23" s="337" t="s">
        <v>76</v>
      </c>
      <c r="B23" s="338" t="s">
        <v>807</v>
      </c>
      <c r="C23" s="338" t="s">
        <v>33</v>
      </c>
      <c r="D23" s="338" t="s">
        <v>814</v>
      </c>
      <c r="E23" s="339" t="s">
        <v>34</v>
      </c>
      <c r="F23" s="344" t="s">
        <v>27</v>
      </c>
      <c r="G23" s="344"/>
      <c r="H23" s="339" t="s">
        <v>26</v>
      </c>
      <c r="I23" s="345">
        <v>15512.02</v>
      </c>
      <c r="J23" s="345"/>
      <c r="K23" s="342" t="s">
        <v>21</v>
      </c>
      <c r="L23" s="343">
        <v>1952688.78</v>
      </c>
    </row>
    <row r="24" spans="1:12" ht="51" x14ac:dyDescent="0.3">
      <c r="A24" s="337" t="s">
        <v>76</v>
      </c>
      <c r="B24" s="338" t="s">
        <v>807</v>
      </c>
      <c r="C24" s="338" t="s">
        <v>33</v>
      </c>
      <c r="D24" s="338" t="s">
        <v>815</v>
      </c>
      <c r="E24" s="339" t="s">
        <v>34</v>
      </c>
      <c r="F24" s="344" t="s">
        <v>27</v>
      </c>
      <c r="G24" s="344"/>
      <c r="H24" s="339" t="s">
        <v>26</v>
      </c>
      <c r="I24" s="345">
        <v>30488.5</v>
      </c>
      <c r="J24" s="345"/>
      <c r="K24" s="342" t="s">
        <v>21</v>
      </c>
      <c r="L24" s="343">
        <v>1922200.28</v>
      </c>
    </row>
    <row r="25" spans="1:12" ht="51" x14ac:dyDescent="0.3">
      <c r="A25" s="337" t="s">
        <v>76</v>
      </c>
      <c r="B25" s="338" t="s">
        <v>807</v>
      </c>
      <c r="C25" s="338" t="s">
        <v>33</v>
      </c>
      <c r="D25" s="338" t="s">
        <v>816</v>
      </c>
      <c r="E25" s="339" t="s">
        <v>34</v>
      </c>
      <c r="F25" s="344" t="s">
        <v>27</v>
      </c>
      <c r="G25" s="344"/>
      <c r="H25" s="339" t="s">
        <v>26</v>
      </c>
      <c r="I25" s="345">
        <v>60068.61</v>
      </c>
      <c r="J25" s="345"/>
      <c r="K25" s="342" t="s">
        <v>21</v>
      </c>
      <c r="L25" s="343">
        <v>1862131.67</v>
      </c>
    </row>
    <row r="26" spans="1:12" ht="51" x14ac:dyDescent="0.3">
      <c r="A26" s="337" t="s">
        <v>76</v>
      </c>
      <c r="B26" s="338" t="s">
        <v>807</v>
      </c>
      <c r="C26" s="338" t="s">
        <v>33</v>
      </c>
      <c r="D26" s="338" t="s">
        <v>817</v>
      </c>
      <c r="E26" s="339" t="s">
        <v>34</v>
      </c>
      <c r="F26" s="344" t="s">
        <v>27</v>
      </c>
      <c r="G26" s="344"/>
      <c r="H26" s="339" t="s">
        <v>26</v>
      </c>
      <c r="I26" s="345">
        <v>22053.18</v>
      </c>
      <c r="J26" s="345"/>
      <c r="K26" s="342" t="s">
        <v>21</v>
      </c>
      <c r="L26" s="343">
        <v>1840078.49</v>
      </c>
    </row>
    <row r="27" spans="1:12" ht="51" x14ac:dyDescent="0.3">
      <c r="A27" s="337" t="s">
        <v>76</v>
      </c>
      <c r="B27" s="338" t="s">
        <v>807</v>
      </c>
      <c r="C27" s="338" t="s">
        <v>33</v>
      </c>
      <c r="D27" s="338" t="s">
        <v>818</v>
      </c>
      <c r="E27" s="339" t="s">
        <v>34</v>
      </c>
      <c r="F27" s="344" t="s">
        <v>27</v>
      </c>
      <c r="G27" s="344"/>
      <c r="H27" s="339" t="s">
        <v>26</v>
      </c>
      <c r="I27" s="345">
        <v>11639.09</v>
      </c>
      <c r="J27" s="345"/>
      <c r="K27" s="342" t="s">
        <v>21</v>
      </c>
      <c r="L27" s="343">
        <v>1828439.4</v>
      </c>
    </row>
    <row r="28" spans="1:12" ht="51" x14ac:dyDescent="0.3">
      <c r="A28" s="337" t="s">
        <v>76</v>
      </c>
      <c r="B28" s="338" t="s">
        <v>807</v>
      </c>
      <c r="C28" s="338" t="s">
        <v>33</v>
      </c>
      <c r="D28" s="338" t="s">
        <v>818</v>
      </c>
      <c r="E28" s="339" t="s">
        <v>34</v>
      </c>
      <c r="F28" s="344" t="s">
        <v>27</v>
      </c>
      <c r="G28" s="344"/>
      <c r="H28" s="339" t="s">
        <v>26</v>
      </c>
      <c r="I28" s="345">
        <v>7172.55</v>
      </c>
      <c r="J28" s="345"/>
      <c r="K28" s="342" t="s">
        <v>21</v>
      </c>
      <c r="L28" s="343">
        <v>1821266.85</v>
      </c>
    </row>
    <row r="29" spans="1:12" ht="51" x14ac:dyDescent="0.3">
      <c r="A29" s="337" t="s">
        <v>76</v>
      </c>
      <c r="B29" s="338" t="s">
        <v>807</v>
      </c>
      <c r="C29" s="338" t="s">
        <v>33</v>
      </c>
      <c r="D29" s="338" t="s">
        <v>819</v>
      </c>
      <c r="E29" s="339" t="s">
        <v>34</v>
      </c>
      <c r="F29" s="344" t="s">
        <v>27</v>
      </c>
      <c r="G29" s="344"/>
      <c r="H29" s="339" t="s">
        <v>26</v>
      </c>
      <c r="I29" s="345">
        <v>8999.31</v>
      </c>
      <c r="J29" s="345"/>
      <c r="K29" s="342" t="s">
        <v>21</v>
      </c>
      <c r="L29" s="343">
        <v>1812267.54</v>
      </c>
    </row>
    <row r="30" spans="1:12" ht="51" x14ac:dyDescent="0.3">
      <c r="A30" s="337" t="s">
        <v>76</v>
      </c>
      <c r="B30" s="338" t="s">
        <v>807</v>
      </c>
      <c r="C30" s="338" t="s">
        <v>33</v>
      </c>
      <c r="D30" s="338" t="s">
        <v>820</v>
      </c>
      <c r="E30" s="339" t="s">
        <v>34</v>
      </c>
      <c r="F30" s="344" t="s">
        <v>27</v>
      </c>
      <c r="G30" s="344"/>
      <c r="H30" s="339" t="s">
        <v>26</v>
      </c>
      <c r="I30" s="345">
        <v>18978.189999999999</v>
      </c>
      <c r="J30" s="345"/>
      <c r="K30" s="342" t="s">
        <v>21</v>
      </c>
      <c r="L30" s="343">
        <v>1793289.35</v>
      </c>
    </row>
    <row r="31" spans="1:12" ht="51" x14ac:dyDescent="0.3">
      <c r="A31" s="337" t="s">
        <v>76</v>
      </c>
      <c r="B31" s="338" t="s">
        <v>807</v>
      </c>
      <c r="C31" s="338" t="s">
        <v>33</v>
      </c>
      <c r="D31" s="338" t="s">
        <v>821</v>
      </c>
      <c r="E31" s="339" t="s">
        <v>34</v>
      </c>
      <c r="F31" s="344" t="s">
        <v>27</v>
      </c>
      <c r="G31" s="344"/>
      <c r="H31" s="339" t="s">
        <v>26</v>
      </c>
      <c r="I31" s="345">
        <v>7759.39</v>
      </c>
      <c r="J31" s="345"/>
      <c r="K31" s="342" t="s">
        <v>21</v>
      </c>
      <c r="L31" s="343">
        <v>1785529.96</v>
      </c>
    </row>
    <row r="32" spans="1:12" ht="51" x14ac:dyDescent="0.3">
      <c r="A32" s="337" t="s">
        <v>76</v>
      </c>
      <c r="B32" s="338" t="s">
        <v>807</v>
      </c>
      <c r="C32" s="338" t="s">
        <v>33</v>
      </c>
      <c r="D32" s="338" t="s">
        <v>821</v>
      </c>
      <c r="E32" s="339" t="s">
        <v>34</v>
      </c>
      <c r="F32" s="344" t="s">
        <v>27</v>
      </c>
      <c r="G32" s="344"/>
      <c r="H32" s="339" t="s">
        <v>26</v>
      </c>
      <c r="I32" s="345">
        <v>4781.7</v>
      </c>
      <c r="J32" s="345"/>
      <c r="K32" s="342" t="s">
        <v>21</v>
      </c>
      <c r="L32" s="343">
        <v>1780748.26</v>
      </c>
    </row>
    <row r="33" spans="1:12" ht="51" x14ac:dyDescent="0.3">
      <c r="A33" s="337" t="s">
        <v>76</v>
      </c>
      <c r="B33" s="338" t="s">
        <v>807</v>
      </c>
      <c r="C33" s="338" t="s">
        <v>33</v>
      </c>
      <c r="D33" s="338" t="s">
        <v>822</v>
      </c>
      <c r="E33" s="339" t="s">
        <v>34</v>
      </c>
      <c r="F33" s="344" t="s">
        <v>27</v>
      </c>
      <c r="G33" s="344"/>
      <c r="H33" s="339" t="s">
        <v>26</v>
      </c>
      <c r="I33" s="345">
        <v>7846.86</v>
      </c>
      <c r="J33" s="345"/>
      <c r="K33" s="342" t="s">
        <v>21</v>
      </c>
      <c r="L33" s="343">
        <v>1772901.4</v>
      </c>
    </row>
    <row r="34" spans="1:12" ht="51" x14ac:dyDescent="0.3">
      <c r="A34" s="337" t="s">
        <v>76</v>
      </c>
      <c r="B34" s="338" t="s">
        <v>807</v>
      </c>
      <c r="C34" s="338" t="s">
        <v>33</v>
      </c>
      <c r="D34" s="338" t="s">
        <v>823</v>
      </c>
      <c r="E34" s="339" t="s">
        <v>34</v>
      </c>
      <c r="F34" s="344" t="s">
        <v>27</v>
      </c>
      <c r="G34" s="344"/>
      <c r="H34" s="339" t="s">
        <v>26</v>
      </c>
      <c r="I34" s="345">
        <v>40174.32</v>
      </c>
      <c r="J34" s="345"/>
      <c r="K34" s="342" t="s">
        <v>21</v>
      </c>
      <c r="L34" s="343">
        <v>1732727.08</v>
      </c>
    </row>
    <row r="35" spans="1:12" ht="51" x14ac:dyDescent="0.3">
      <c r="A35" s="337" t="s">
        <v>76</v>
      </c>
      <c r="B35" s="338" t="s">
        <v>807</v>
      </c>
      <c r="C35" s="338" t="s">
        <v>33</v>
      </c>
      <c r="D35" s="338" t="s">
        <v>824</v>
      </c>
      <c r="E35" s="339" t="s">
        <v>34</v>
      </c>
      <c r="F35" s="344" t="s">
        <v>27</v>
      </c>
      <c r="G35" s="344"/>
      <c r="H35" s="339" t="s">
        <v>26</v>
      </c>
      <c r="I35" s="345">
        <v>18463.689999999999</v>
      </c>
      <c r="J35" s="345"/>
      <c r="K35" s="342" t="s">
        <v>21</v>
      </c>
      <c r="L35" s="343">
        <v>1714263.39</v>
      </c>
    </row>
    <row r="36" spans="1:12" ht="51" x14ac:dyDescent="0.3">
      <c r="A36" s="337" t="s">
        <v>76</v>
      </c>
      <c r="B36" s="338" t="s">
        <v>807</v>
      </c>
      <c r="C36" s="338" t="s">
        <v>33</v>
      </c>
      <c r="D36" s="338" t="s">
        <v>825</v>
      </c>
      <c r="E36" s="339" t="s">
        <v>34</v>
      </c>
      <c r="F36" s="344" t="s">
        <v>27</v>
      </c>
      <c r="G36" s="344"/>
      <c r="H36" s="339" t="s">
        <v>26</v>
      </c>
      <c r="I36" s="346">
        <v>51</v>
      </c>
      <c r="J36" s="346"/>
      <c r="K36" s="342" t="s">
        <v>21</v>
      </c>
      <c r="L36" s="343">
        <v>1714212.39</v>
      </c>
    </row>
    <row r="37" spans="1:12" ht="51" hidden="1" x14ac:dyDescent="0.3">
      <c r="A37" s="337" t="s">
        <v>183</v>
      </c>
      <c r="B37" s="338" t="s">
        <v>826</v>
      </c>
      <c r="C37" s="338" t="s">
        <v>827</v>
      </c>
      <c r="D37" s="338" t="s">
        <v>828</v>
      </c>
      <c r="E37" s="339" t="s">
        <v>26</v>
      </c>
      <c r="F37" s="340">
        <v>2617.5</v>
      </c>
      <c r="G37" s="340"/>
      <c r="H37" s="339" t="s">
        <v>45</v>
      </c>
      <c r="I37" s="341" t="s">
        <v>27</v>
      </c>
      <c r="J37" s="341"/>
      <c r="K37" s="342" t="s">
        <v>21</v>
      </c>
      <c r="L37" s="343">
        <v>1716829.89</v>
      </c>
    </row>
    <row r="38" spans="1:12" ht="51" hidden="1" x14ac:dyDescent="0.3">
      <c r="A38" s="337" t="s">
        <v>183</v>
      </c>
      <c r="B38" s="338" t="s">
        <v>826</v>
      </c>
      <c r="C38" s="338" t="s">
        <v>829</v>
      </c>
      <c r="D38" s="338" t="s">
        <v>828</v>
      </c>
      <c r="E38" s="339" t="s">
        <v>26</v>
      </c>
      <c r="F38" s="340">
        <v>4188</v>
      </c>
      <c r="G38" s="340"/>
      <c r="H38" s="339" t="s">
        <v>45</v>
      </c>
      <c r="I38" s="341" t="s">
        <v>27</v>
      </c>
      <c r="J38" s="341"/>
      <c r="K38" s="342" t="s">
        <v>21</v>
      </c>
      <c r="L38" s="343">
        <v>1721017.89</v>
      </c>
    </row>
    <row r="39" spans="1:12" ht="51" hidden="1" x14ac:dyDescent="0.3">
      <c r="A39" s="337" t="s">
        <v>183</v>
      </c>
      <c r="B39" s="338" t="s">
        <v>826</v>
      </c>
      <c r="C39" s="338" t="s">
        <v>830</v>
      </c>
      <c r="D39" s="338" t="s">
        <v>828</v>
      </c>
      <c r="E39" s="339" t="s">
        <v>26</v>
      </c>
      <c r="F39" s="340">
        <v>11138.83</v>
      </c>
      <c r="G39" s="340"/>
      <c r="H39" s="339" t="s">
        <v>45</v>
      </c>
      <c r="I39" s="341" t="s">
        <v>27</v>
      </c>
      <c r="J39" s="341"/>
      <c r="K39" s="342" t="s">
        <v>21</v>
      </c>
      <c r="L39" s="343">
        <v>1732156.72</v>
      </c>
    </row>
    <row r="40" spans="1:12" ht="51" hidden="1" x14ac:dyDescent="0.3">
      <c r="A40" s="337" t="s">
        <v>183</v>
      </c>
      <c r="B40" s="338" t="s">
        <v>826</v>
      </c>
      <c r="C40" s="338" t="s">
        <v>831</v>
      </c>
      <c r="D40" s="338" t="s">
        <v>828</v>
      </c>
      <c r="E40" s="339" t="s">
        <v>26</v>
      </c>
      <c r="F40" s="340">
        <v>9192.5300000000007</v>
      </c>
      <c r="G40" s="340"/>
      <c r="H40" s="339" t="s">
        <v>45</v>
      </c>
      <c r="I40" s="341" t="s">
        <v>27</v>
      </c>
      <c r="J40" s="341"/>
      <c r="K40" s="342" t="s">
        <v>21</v>
      </c>
      <c r="L40" s="343">
        <v>1741349.25</v>
      </c>
    </row>
    <row r="41" spans="1:12" ht="51" hidden="1" x14ac:dyDescent="0.3">
      <c r="A41" s="337" t="s">
        <v>183</v>
      </c>
      <c r="B41" s="338" t="s">
        <v>826</v>
      </c>
      <c r="C41" s="338" t="s">
        <v>832</v>
      </c>
      <c r="D41" s="338" t="s">
        <v>828</v>
      </c>
      <c r="E41" s="339" t="s">
        <v>26</v>
      </c>
      <c r="F41" s="340">
        <v>11498.15</v>
      </c>
      <c r="G41" s="340"/>
      <c r="H41" s="339" t="s">
        <v>45</v>
      </c>
      <c r="I41" s="341" t="s">
        <v>27</v>
      </c>
      <c r="J41" s="341"/>
      <c r="K41" s="342" t="s">
        <v>21</v>
      </c>
      <c r="L41" s="343">
        <v>1752847.4</v>
      </c>
    </row>
    <row r="42" spans="1:12" ht="51" hidden="1" x14ac:dyDescent="0.3">
      <c r="A42" s="337" t="s">
        <v>183</v>
      </c>
      <c r="B42" s="338" t="s">
        <v>833</v>
      </c>
      <c r="C42" s="338" t="s">
        <v>827</v>
      </c>
      <c r="D42" s="338" t="s">
        <v>828</v>
      </c>
      <c r="E42" s="339" t="s">
        <v>26</v>
      </c>
      <c r="F42" s="340">
        <v>3897.58</v>
      </c>
      <c r="G42" s="340"/>
      <c r="H42" s="339" t="s">
        <v>45</v>
      </c>
      <c r="I42" s="341" t="s">
        <v>27</v>
      </c>
      <c r="J42" s="341"/>
      <c r="K42" s="342" t="s">
        <v>21</v>
      </c>
      <c r="L42" s="343">
        <v>1756744.98</v>
      </c>
    </row>
    <row r="43" spans="1:12" ht="51" hidden="1" x14ac:dyDescent="0.3">
      <c r="A43" s="337" t="s">
        <v>183</v>
      </c>
      <c r="B43" s="338" t="s">
        <v>833</v>
      </c>
      <c r="C43" s="338" t="s">
        <v>829</v>
      </c>
      <c r="D43" s="338" t="s">
        <v>828</v>
      </c>
      <c r="E43" s="339" t="s">
        <v>26</v>
      </c>
      <c r="F43" s="340">
        <v>6236.13</v>
      </c>
      <c r="G43" s="340"/>
      <c r="H43" s="339" t="s">
        <v>45</v>
      </c>
      <c r="I43" s="341" t="s">
        <v>27</v>
      </c>
      <c r="J43" s="341"/>
      <c r="K43" s="342" t="s">
        <v>21</v>
      </c>
      <c r="L43" s="343">
        <v>1762981.11</v>
      </c>
    </row>
    <row r="44" spans="1:12" ht="51" hidden="1" x14ac:dyDescent="0.3">
      <c r="A44" s="337" t="s">
        <v>183</v>
      </c>
      <c r="B44" s="338" t="s">
        <v>833</v>
      </c>
      <c r="C44" s="338" t="s">
        <v>830</v>
      </c>
      <c r="D44" s="338" t="s">
        <v>828</v>
      </c>
      <c r="E44" s="339" t="s">
        <v>26</v>
      </c>
      <c r="F44" s="340">
        <v>16586.240000000002</v>
      </c>
      <c r="G44" s="340"/>
      <c r="H44" s="339" t="s">
        <v>45</v>
      </c>
      <c r="I44" s="341" t="s">
        <v>27</v>
      </c>
      <c r="J44" s="341"/>
      <c r="K44" s="342" t="s">
        <v>21</v>
      </c>
      <c r="L44" s="343">
        <v>1779567.35</v>
      </c>
    </row>
    <row r="45" spans="1:12" ht="51" hidden="1" x14ac:dyDescent="0.3">
      <c r="A45" s="337" t="s">
        <v>183</v>
      </c>
      <c r="B45" s="338" t="s">
        <v>833</v>
      </c>
      <c r="C45" s="338" t="s">
        <v>831</v>
      </c>
      <c r="D45" s="338" t="s">
        <v>828</v>
      </c>
      <c r="E45" s="339" t="s">
        <v>26</v>
      </c>
      <c r="F45" s="340">
        <v>13688.11</v>
      </c>
      <c r="G45" s="340"/>
      <c r="H45" s="339" t="s">
        <v>45</v>
      </c>
      <c r="I45" s="341" t="s">
        <v>27</v>
      </c>
      <c r="J45" s="341"/>
      <c r="K45" s="342" t="s">
        <v>21</v>
      </c>
      <c r="L45" s="343">
        <v>1793255.46</v>
      </c>
    </row>
    <row r="46" spans="1:12" ht="51" hidden="1" x14ac:dyDescent="0.3">
      <c r="A46" s="337" t="s">
        <v>183</v>
      </c>
      <c r="B46" s="338" t="s">
        <v>833</v>
      </c>
      <c r="C46" s="338" t="s">
        <v>832</v>
      </c>
      <c r="D46" s="338" t="s">
        <v>828</v>
      </c>
      <c r="E46" s="339" t="s">
        <v>26</v>
      </c>
      <c r="F46" s="340">
        <v>17121.28</v>
      </c>
      <c r="G46" s="340"/>
      <c r="H46" s="339" t="s">
        <v>45</v>
      </c>
      <c r="I46" s="341" t="s">
        <v>27</v>
      </c>
      <c r="J46" s="341"/>
      <c r="K46" s="342" t="s">
        <v>21</v>
      </c>
      <c r="L46" s="343">
        <v>1810376.74</v>
      </c>
    </row>
    <row r="47" spans="1:12" ht="51" hidden="1" x14ac:dyDescent="0.3">
      <c r="A47" s="337" t="s">
        <v>107</v>
      </c>
      <c r="B47" s="338" t="s">
        <v>834</v>
      </c>
      <c r="C47" s="338" t="s">
        <v>835</v>
      </c>
      <c r="D47" s="338" t="s">
        <v>836</v>
      </c>
      <c r="E47" s="339" t="s">
        <v>26</v>
      </c>
      <c r="F47" s="340">
        <v>34500</v>
      </c>
      <c r="G47" s="340"/>
      <c r="H47" s="339" t="s">
        <v>45</v>
      </c>
      <c r="I47" s="341" t="s">
        <v>27</v>
      </c>
      <c r="J47" s="341"/>
      <c r="K47" s="342" t="s">
        <v>21</v>
      </c>
      <c r="L47" s="343">
        <v>1844876.74</v>
      </c>
    </row>
    <row r="48" spans="1:12" ht="51" hidden="1" x14ac:dyDescent="0.3">
      <c r="A48" s="337" t="s">
        <v>107</v>
      </c>
      <c r="B48" s="338" t="s">
        <v>837</v>
      </c>
      <c r="C48" s="338" t="s">
        <v>835</v>
      </c>
      <c r="D48" s="338" t="s">
        <v>836</v>
      </c>
      <c r="E48" s="339" t="s">
        <v>26</v>
      </c>
      <c r="F48" s="340">
        <v>24367.5</v>
      </c>
      <c r="G48" s="340"/>
      <c r="H48" s="339" t="s">
        <v>45</v>
      </c>
      <c r="I48" s="341" t="s">
        <v>27</v>
      </c>
      <c r="J48" s="341"/>
      <c r="K48" s="342" t="s">
        <v>21</v>
      </c>
      <c r="L48" s="343">
        <v>1869244.24</v>
      </c>
    </row>
    <row r="49" spans="1:12" ht="51" hidden="1" x14ac:dyDescent="0.3">
      <c r="A49" s="337" t="s">
        <v>107</v>
      </c>
      <c r="B49" s="338" t="s">
        <v>834</v>
      </c>
      <c r="C49" s="338" t="s">
        <v>838</v>
      </c>
      <c r="D49" s="338" t="s">
        <v>836</v>
      </c>
      <c r="E49" s="339" t="s">
        <v>26</v>
      </c>
      <c r="F49" s="340">
        <v>8820</v>
      </c>
      <c r="G49" s="340"/>
      <c r="H49" s="339" t="s">
        <v>45</v>
      </c>
      <c r="I49" s="341" t="s">
        <v>27</v>
      </c>
      <c r="J49" s="341"/>
      <c r="K49" s="342" t="s">
        <v>21</v>
      </c>
      <c r="L49" s="343">
        <v>1878064.24</v>
      </c>
    </row>
    <row r="50" spans="1:12" ht="51" hidden="1" x14ac:dyDescent="0.3">
      <c r="A50" s="337" t="s">
        <v>107</v>
      </c>
      <c r="B50" s="338" t="s">
        <v>353</v>
      </c>
      <c r="C50" s="338" t="s">
        <v>354</v>
      </c>
      <c r="D50" s="338" t="s">
        <v>346</v>
      </c>
      <c r="E50" s="339" t="s">
        <v>26</v>
      </c>
      <c r="F50" s="340">
        <v>26053.3</v>
      </c>
      <c r="G50" s="340"/>
      <c r="H50" s="339" t="s">
        <v>26</v>
      </c>
      <c r="I50" s="341" t="s">
        <v>27</v>
      </c>
      <c r="J50" s="341"/>
      <c r="K50" s="342" t="s">
        <v>21</v>
      </c>
      <c r="L50" s="343">
        <v>1904117.54</v>
      </c>
    </row>
    <row r="51" spans="1:12" ht="51" hidden="1" x14ac:dyDescent="0.3">
      <c r="A51" s="337" t="s">
        <v>115</v>
      </c>
      <c r="B51" s="338" t="s">
        <v>765</v>
      </c>
      <c r="C51" s="338" t="s">
        <v>360</v>
      </c>
      <c r="D51" s="338" t="s">
        <v>766</v>
      </c>
      <c r="E51" s="339" t="s">
        <v>26</v>
      </c>
      <c r="F51" s="344" t="s">
        <v>27</v>
      </c>
      <c r="G51" s="344"/>
      <c r="H51" s="339" t="s">
        <v>26</v>
      </c>
      <c r="I51" s="345">
        <v>1615</v>
      </c>
      <c r="J51" s="345"/>
      <c r="K51" s="342" t="s">
        <v>21</v>
      </c>
      <c r="L51" s="343">
        <v>1902502.54</v>
      </c>
    </row>
    <row r="52" spans="1:12" ht="51" hidden="1" x14ac:dyDescent="0.3">
      <c r="A52" s="337" t="s">
        <v>115</v>
      </c>
      <c r="B52" s="338" t="s">
        <v>839</v>
      </c>
      <c r="C52" s="338" t="s">
        <v>840</v>
      </c>
      <c r="D52" s="338" t="s">
        <v>841</v>
      </c>
      <c r="E52" s="339" t="s">
        <v>26</v>
      </c>
      <c r="F52" s="340">
        <v>21585</v>
      </c>
      <c r="G52" s="340"/>
      <c r="H52" s="339" t="s">
        <v>45</v>
      </c>
      <c r="I52" s="341" t="s">
        <v>27</v>
      </c>
      <c r="J52" s="341"/>
      <c r="K52" s="342" t="s">
        <v>21</v>
      </c>
      <c r="L52" s="343">
        <v>1924087.54</v>
      </c>
    </row>
    <row r="53" spans="1:12" ht="51" hidden="1" x14ac:dyDescent="0.3">
      <c r="A53" s="337" t="s">
        <v>115</v>
      </c>
      <c r="B53" s="338" t="s">
        <v>839</v>
      </c>
      <c r="C53" s="338" t="s">
        <v>842</v>
      </c>
      <c r="D53" s="338" t="s">
        <v>841</v>
      </c>
      <c r="E53" s="339" t="s">
        <v>26</v>
      </c>
      <c r="F53" s="340">
        <v>15690</v>
      </c>
      <c r="G53" s="340"/>
      <c r="H53" s="339" t="s">
        <v>45</v>
      </c>
      <c r="I53" s="341" t="s">
        <v>27</v>
      </c>
      <c r="J53" s="341"/>
      <c r="K53" s="342" t="s">
        <v>21</v>
      </c>
      <c r="L53" s="343">
        <v>1939777.54</v>
      </c>
    </row>
    <row r="54" spans="1:12" ht="51" hidden="1" x14ac:dyDescent="0.3">
      <c r="A54" s="337" t="s">
        <v>115</v>
      </c>
      <c r="B54" s="338" t="s">
        <v>839</v>
      </c>
      <c r="C54" s="338" t="s">
        <v>843</v>
      </c>
      <c r="D54" s="338" t="s">
        <v>841</v>
      </c>
      <c r="E54" s="339" t="s">
        <v>26</v>
      </c>
      <c r="F54" s="340">
        <v>2795</v>
      </c>
      <c r="G54" s="340"/>
      <c r="H54" s="339" t="s">
        <v>45</v>
      </c>
      <c r="I54" s="341" t="s">
        <v>27</v>
      </c>
      <c r="J54" s="341"/>
      <c r="K54" s="342" t="s">
        <v>21</v>
      </c>
      <c r="L54" s="343">
        <v>1942572.54</v>
      </c>
    </row>
    <row r="55" spans="1:12" ht="61.2" x14ac:dyDescent="0.3">
      <c r="A55" s="337" t="s">
        <v>115</v>
      </c>
      <c r="B55" s="338" t="s">
        <v>844</v>
      </c>
      <c r="C55" s="338" t="s">
        <v>33</v>
      </c>
      <c r="D55" s="338" t="s">
        <v>845</v>
      </c>
      <c r="E55" s="339" t="s">
        <v>34</v>
      </c>
      <c r="F55" s="344" t="s">
        <v>27</v>
      </c>
      <c r="G55" s="344"/>
      <c r="H55" s="339" t="s">
        <v>26</v>
      </c>
      <c r="I55" s="345">
        <v>2293.4</v>
      </c>
      <c r="J55" s="345"/>
      <c r="K55" s="342" t="s">
        <v>21</v>
      </c>
      <c r="L55" s="343">
        <v>1940279.14</v>
      </c>
    </row>
    <row r="56" spans="1:12" ht="61.2" x14ac:dyDescent="0.3">
      <c r="A56" s="337" t="s">
        <v>115</v>
      </c>
      <c r="B56" s="338" t="s">
        <v>844</v>
      </c>
      <c r="C56" s="338" t="s">
        <v>33</v>
      </c>
      <c r="D56" s="338" t="s">
        <v>846</v>
      </c>
      <c r="E56" s="339" t="s">
        <v>34</v>
      </c>
      <c r="F56" s="344" t="s">
        <v>27</v>
      </c>
      <c r="G56" s="344"/>
      <c r="H56" s="339" t="s">
        <v>26</v>
      </c>
      <c r="I56" s="345">
        <v>2312.1</v>
      </c>
      <c r="J56" s="345"/>
      <c r="K56" s="342" t="s">
        <v>21</v>
      </c>
      <c r="L56" s="343">
        <v>1937967.04</v>
      </c>
    </row>
    <row r="57" spans="1:12" ht="61.2" x14ac:dyDescent="0.3">
      <c r="A57" s="337" t="s">
        <v>115</v>
      </c>
      <c r="B57" s="338" t="s">
        <v>844</v>
      </c>
      <c r="C57" s="338" t="s">
        <v>33</v>
      </c>
      <c r="D57" s="338" t="s">
        <v>847</v>
      </c>
      <c r="E57" s="339" t="s">
        <v>34</v>
      </c>
      <c r="F57" s="344" t="s">
        <v>27</v>
      </c>
      <c r="G57" s="344"/>
      <c r="H57" s="339" t="s">
        <v>26</v>
      </c>
      <c r="I57" s="345">
        <v>3362.2</v>
      </c>
      <c r="J57" s="345"/>
      <c r="K57" s="342" t="s">
        <v>21</v>
      </c>
      <c r="L57" s="343">
        <v>1934604.84</v>
      </c>
    </row>
    <row r="58" spans="1:12" ht="51" x14ac:dyDescent="0.3">
      <c r="A58" s="337" t="s">
        <v>115</v>
      </c>
      <c r="B58" s="338" t="s">
        <v>844</v>
      </c>
      <c r="C58" s="338" t="s">
        <v>33</v>
      </c>
      <c r="D58" s="338" t="s">
        <v>848</v>
      </c>
      <c r="E58" s="339" t="s">
        <v>34</v>
      </c>
      <c r="F58" s="344" t="s">
        <v>27</v>
      </c>
      <c r="G58" s="344"/>
      <c r="H58" s="339" t="s">
        <v>26</v>
      </c>
      <c r="I58" s="346">
        <v>751.8</v>
      </c>
      <c r="J58" s="346"/>
      <c r="K58" s="342" t="s">
        <v>21</v>
      </c>
      <c r="L58" s="343">
        <v>1933853.04</v>
      </c>
    </row>
    <row r="59" spans="1:12" ht="51" x14ac:dyDescent="0.3">
      <c r="A59" s="337" t="s">
        <v>115</v>
      </c>
      <c r="B59" s="338" t="s">
        <v>844</v>
      </c>
      <c r="C59" s="338" t="s">
        <v>33</v>
      </c>
      <c r="D59" s="338" t="s">
        <v>849</v>
      </c>
      <c r="E59" s="339" t="s">
        <v>34</v>
      </c>
      <c r="F59" s="344" t="s">
        <v>27</v>
      </c>
      <c r="G59" s="344"/>
      <c r="H59" s="339" t="s">
        <v>26</v>
      </c>
      <c r="I59" s="345">
        <v>1057.5999999999999</v>
      </c>
      <c r="J59" s="345"/>
      <c r="K59" s="342" t="s">
        <v>21</v>
      </c>
      <c r="L59" s="343">
        <v>1932795.44</v>
      </c>
    </row>
    <row r="60" spans="1:12" ht="51" x14ac:dyDescent="0.3">
      <c r="A60" s="337" t="s">
        <v>115</v>
      </c>
      <c r="B60" s="338" t="s">
        <v>844</v>
      </c>
      <c r="C60" s="338" t="s">
        <v>33</v>
      </c>
      <c r="D60" s="338" t="s">
        <v>850</v>
      </c>
      <c r="E60" s="339" t="s">
        <v>34</v>
      </c>
      <c r="F60" s="344" t="s">
        <v>27</v>
      </c>
      <c r="G60" s="344"/>
      <c r="H60" s="339" t="s">
        <v>26</v>
      </c>
      <c r="I60" s="345">
        <v>2077.1</v>
      </c>
      <c r="J60" s="345"/>
      <c r="K60" s="342" t="s">
        <v>21</v>
      </c>
      <c r="L60" s="343">
        <v>1930718.34</v>
      </c>
    </row>
    <row r="61" spans="1:12" ht="61.2" x14ac:dyDescent="0.3">
      <c r="A61" s="337" t="s">
        <v>115</v>
      </c>
      <c r="B61" s="338" t="s">
        <v>844</v>
      </c>
      <c r="C61" s="338" t="s">
        <v>33</v>
      </c>
      <c r="D61" s="338" t="s">
        <v>851</v>
      </c>
      <c r="E61" s="339" t="s">
        <v>34</v>
      </c>
      <c r="F61" s="344" t="s">
        <v>27</v>
      </c>
      <c r="G61" s="344"/>
      <c r="H61" s="339" t="s">
        <v>26</v>
      </c>
      <c r="I61" s="345">
        <v>28722</v>
      </c>
      <c r="J61" s="345"/>
      <c r="K61" s="342" t="s">
        <v>21</v>
      </c>
      <c r="L61" s="343">
        <v>1901996.34</v>
      </c>
    </row>
    <row r="62" spans="1:12" ht="61.2" x14ac:dyDescent="0.3">
      <c r="A62" s="337" t="s">
        <v>115</v>
      </c>
      <c r="B62" s="338" t="s">
        <v>844</v>
      </c>
      <c r="C62" s="338" t="s">
        <v>33</v>
      </c>
      <c r="D62" s="338" t="s">
        <v>852</v>
      </c>
      <c r="E62" s="339" t="s">
        <v>34</v>
      </c>
      <c r="F62" s="344" t="s">
        <v>27</v>
      </c>
      <c r="G62" s="344"/>
      <c r="H62" s="339" t="s">
        <v>26</v>
      </c>
      <c r="I62" s="345">
        <v>6014.4</v>
      </c>
      <c r="J62" s="345"/>
      <c r="K62" s="342" t="s">
        <v>21</v>
      </c>
      <c r="L62" s="343">
        <v>1895981.94</v>
      </c>
    </row>
    <row r="63" spans="1:12" ht="61.2" x14ac:dyDescent="0.3">
      <c r="A63" s="337" t="s">
        <v>115</v>
      </c>
      <c r="B63" s="338" t="s">
        <v>844</v>
      </c>
      <c r="C63" s="338" t="s">
        <v>33</v>
      </c>
      <c r="D63" s="338" t="s">
        <v>853</v>
      </c>
      <c r="E63" s="339" t="s">
        <v>34</v>
      </c>
      <c r="F63" s="344" t="s">
        <v>27</v>
      </c>
      <c r="G63" s="344"/>
      <c r="H63" s="339" t="s">
        <v>26</v>
      </c>
      <c r="I63" s="345">
        <v>19628</v>
      </c>
      <c r="J63" s="345"/>
      <c r="K63" s="342" t="s">
        <v>21</v>
      </c>
      <c r="L63" s="343">
        <v>1876353.94</v>
      </c>
    </row>
    <row r="64" spans="1:12" ht="61.2" x14ac:dyDescent="0.3">
      <c r="A64" s="337" t="s">
        <v>115</v>
      </c>
      <c r="B64" s="338" t="s">
        <v>844</v>
      </c>
      <c r="C64" s="338" t="s">
        <v>33</v>
      </c>
      <c r="D64" s="338" t="s">
        <v>854</v>
      </c>
      <c r="E64" s="339" t="s">
        <v>34</v>
      </c>
      <c r="F64" s="344" t="s">
        <v>27</v>
      </c>
      <c r="G64" s="344"/>
      <c r="H64" s="339" t="s">
        <v>26</v>
      </c>
      <c r="I64" s="345">
        <v>46829.9</v>
      </c>
      <c r="J64" s="345"/>
      <c r="K64" s="342" t="s">
        <v>21</v>
      </c>
      <c r="L64" s="343">
        <v>1829524.04</v>
      </c>
    </row>
    <row r="65" spans="1:12" ht="61.2" x14ac:dyDescent="0.3">
      <c r="A65" s="337" t="s">
        <v>115</v>
      </c>
      <c r="B65" s="338" t="s">
        <v>844</v>
      </c>
      <c r="C65" s="338" t="s">
        <v>33</v>
      </c>
      <c r="D65" s="338" t="s">
        <v>855</v>
      </c>
      <c r="E65" s="339" t="s">
        <v>34</v>
      </c>
      <c r="F65" s="344" t="s">
        <v>27</v>
      </c>
      <c r="G65" s="344"/>
      <c r="H65" s="339" t="s">
        <v>26</v>
      </c>
      <c r="I65" s="345">
        <v>88008.6</v>
      </c>
      <c r="J65" s="345"/>
      <c r="K65" s="342" t="s">
        <v>21</v>
      </c>
      <c r="L65" s="343">
        <v>1741515.44</v>
      </c>
    </row>
    <row r="66" spans="1:12" ht="61.2" x14ac:dyDescent="0.3">
      <c r="A66" s="337" t="s">
        <v>115</v>
      </c>
      <c r="B66" s="338" t="s">
        <v>844</v>
      </c>
      <c r="C66" s="338" t="s">
        <v>33</v>
      </c>
      <c r="D66" s="338" t="s">
        <v>856</v>
      </c>
      <c r="E66" s="339" t="s">
        <v>34</v>
      </c>
      <c r="F66" s="344" t="s">
        <v>27</v>
      </c>
      <c r="G66" s="344"/>
      <c r="H66" s="339" t="s">
        <v>26</v>
      </c>
      <c r="I66" s="345">
        <v>3533.8</v>
      </c>
      <c r="J66" s="345"/>
      <c r="K66" s="342" t="s">
        <v>21</v>
      </c>
      <c r="L66" s="343">
        <v>1737981.64</v>
      </c>
    </row>
    <row r="67" spans="1:12" ht="51" x14ac:dyDescent="0.3">
      <c r="A67" s="337" t="s">
        <v>115</v>
      </c>
      <c r="B67" s="338" t="s">
        <v>844</v>
      </c>
      <c r="C67" s="338" t="s">
        <v>33</v>
      </c>
      <c r="D67" s="338" t="s">
        <v>857</v>
      </c>
      <c r="E67" s="339" t="s">
        <v>34</v>
      </c>
      <c r="F67" s="344" t="s">
        <v>27</v>
      </c>
      <c r="G67" s="344"/>
      <c r="H67" s="339" t="s">
        <v>26</v>
      </c>
      <c r="I67" s="345">
        <v>2825.2</v>
      </c>
      <c r="J67" s="345"/>
      <c r="K67" s="342" t="s">
        <v>21</v>
      </c>
      <c r="L67" s="343">
        <v>1735156.44</v>
      </c>
    </row>
    <row r="68" spans="1:12" ht="51" x14ac:dyDescent="0.3">
      <c r="A68" s="337" t="s">
        <v>115</v>
      </c>
      <c r="B68" s="338" t="s">
        <v>844</v>
      </c>
      <c r="C68" s="338" t="s">
        <v>33</v>
      </c>
      <c r="D68" s="338" t="s">
        <v>858</v>
      </c>
      <c r="E68" s="339" t="s">
        <v>34</v>
      </c>
      <c r="F68" s="344" t="s">
        <v>27</v>
      </c>
      <c r="G68" s="344"/>
      <c r="H68" s="339" t="s">
        <v>26</v>
      </c>
      <c r="I68" s="345">
        <v>2318.8000000000002</v>
      </c>
      <c r="J68" s="345"/>
      <c r="K68" s="342" t="s">
        <v>21</v>
      </c>
      <c r="L68" s="343">
        <v>1732837.64</v>
      </c>
    </row>
    <row r="69" spans="1:12" ht="61.2" x14ac:dyDescent="0.3">
      <c r="A69" s="337" t="s">
        <v>115</v>
      </c>
      <c r="B69" s="338" t="s">
        <v>844</v>
      </c>
      <c r="C69" s="338" t="s">
        <v>33</v>
      </c>
      <c r="D69" s="338" t="s">
        <v>859</v>
      </c>
      <c r="E69" s="339" t="s">
        <v>34</v>
      </c>
      <c r="F69" s="344" t="s">
        <v>27</v>
      </c>
      <c r="G69" s="344"/>
      <c r="H69" s="339" t="s">
        <v>26</v>
      </c>
      <c r="I69" s="345">
        <v>2185.3000000000002</v>
      </c>
      <c r="J69" s="345"/>
      <c r="K69" s="342" t="s">
        <v>21</v>
      </c>
      <c r="L69" s="343">
        <v>1730652.34</v>
      </c>
    </row>
    <row r="70" spans="1:12" ht="61.2" x14ac:dyDescent="0.3">
      <c r="A70" s="337" t="s">
        <v>115</v>
      </c>
      <c r="B70" s="338" t="s">
        <v>844</v>
      </c>
      <c r="C70" s="338" t="s">
        <v>33</v>
      </c>
      <c r="D70" s="338" t="s">
        <v>860</v>
      </c>
      <c r="E70" s="339" t="s">
        <v>34</v>
      </c>
      <c r="F70" s="344" t="s">
        <v>27</v>
      </c>
      <c r="G70" s="344"/>
      <c r="H70" s="339" t="s">
        <v>26</v>
      </c>
      <c r="I70" s="345">
        <v>17247.5</v>
      </c>
      <c r="J70" s="345"/>
      <c r="K70" s="342" t="s">
        <v>21</v>
      </c>
      <c r="L70" s="343">
        <v>1713404.84</v>
      </c>
    </row>
    <row r="71" spans="1:12" ht="61.2" x14ac:dyDescent="0.3">
      <c r="A71" s="337" t="s">
        <v>115</v>
      </c>
      <c r="B71" s="338" t="s">
        <v>844</v>
      </c>
      <c r="C71" s="338" t="s">
        <v>33</v>
      </c>
      <c r="D71" s="338" t="s">
        <v>861</v>
      </c>
      <c r="E71" s="339" t="s">
        <v>34</v>
      </c>
      <c r="F71" s="344" t="s">
        <v>27</v>
      </c>
      <c r="G71" s="344"/>
      <c r="H71" s="339" t="s">
        <v>26</v>
      </c>
      <c r="I71" s="345">
        <v>3504.7</v>
      </c>
      <c r="J71" s="345"/>
      <c r="K71" s="342" t="s">
        <v>21</v>
      </c>
      <c r="L71" s="343">
        <v>1709900.14</v>
      </c>
    </row>
    <row r="72" spans="1:12" ht="51" x14ac:dyDescent="0.3">
      <c r="A72" s="337" t="s">
        <v>115</v>
      </c>
      <c r="B72" s="338" t="s">
        <v>844</v>
      </c>
      <c r="C72" s="338" t="s">
        <v>33</v>
      </c>
      <c r="D72" s="338" t="s">
        <v>862</v>
      </c>
      <c r="E72" s="339" t="s">
        <v>34</v>
      </c>
      <c r="F72" s="344" t="s">
        <v>27</v>
      </c>
      <c r="G72" s="344"/>
      <c r="H72" s="339" t="s">
        <v>26</v>
      </c>
      <c r="I72" s="345">
        <v>1460.3</v>
      </c>
      <c r="J72" s="345"/>
      <c r="K72" s="342" t="s">
        <v>21</v>
      </c>
      <c r="L72" s="343">
        <v>1708439.84</v>
      </c>
    </row>
    <row r="73" spans="1:12" ht="61.2" x14ac:dyDescent="0.3">
      <c r="A73" s="337" t="s">
        <v>115</v>
      </c>
      <c r="B73" s="338" t="s">
        <v>844</v>
      </c>
      <c r="C73" s="338" t="s">
        <v>33</v>
      </c>
      <c r="D73" s="338" t="s">
        <v>863</v>
      </c>
      <c r="E73" s="339" t="s">
        <v>34</v>
      </c>
      <c r="F73" s="344" t="s">
        <v>27</v>
      </c>
      <c r="G73" s="344"/>
      <c r="H73" s="339" t="s">
        <v>26</v>
      </c>
      <c r="I73" s="345">
        <v>3669.5</v>
      </c>
      <c r="J73" s="345"/>
      <c r="K73" s="342" t="s">
        <v>21</v>
      </c>
      <c r="L73" s="343">
        <v>1704770.34</v>
      </c>
    </row>
    <row r="74" spans="1:12" ht="61.2" x14ac:dyDescent="0.3">
      <c r="A74" s="337" t="s">
        <v>115</v>
      </c>
      <c r="B74" s="338" t="s">
        <v>844</v>
      </c>
      <c r="C74" s="338" t="s">
        <v>33</v>
      </c>
      <c r="D74" s="338" t="s">
        <v>864</v>
      </c>
      <c r="E74" s="339" t="s">
        <v>34</v>
      </c>
      <c r="F74" s="344" t="s">
        <v>27</v>
      </c>
      <c r="G74" s="344"/>
      <c r="H74" s="339" t="s">
        <v>26</v>
      </c>
      <c r="I74" s="345">
        <v>3706.8</v>
      </c>
      <c r="J74" s="345"/>
      <c r="K74" s="342" t="s">
        <v>21</v>
      </c>
      <c r="L74" s="343">
        <v>1701063.54</v>
      </c>
    </row>
    <row r="75" spans="1:12" ht="51" x14ac:dyDescent="0.3">
      <c r="A75" s="337" t="s">
        <v>115</v>
      </c>
      <c r="B75" s="338" t="s">
        <v>844</v>
      </c>
      <c r="C75" s="338" t="s">
        <v>33</v>
      </c>
      <c r="D75" s="338" t="s">
        <v>865</v>
      </c>
      <c r="E75" s="339" t="s">
        <v>34</v>
      </c>
      <c r="F75" s="344" t="s">
        <v>27</v>
      </c>
      <c r="G75" s="344"/>
      <c r="H75" s="339" t="s">
        <v>26</v>
      </c>
      <c r="I75" s="345">
        <v>2391.9</v>
      </c>
      <c r="J75" s="345"/>
      <c r="K75" s="342" t="s">
        <v>21</v>
      </c>
      <c r="L75" s="343">
        <v>1698671.64</v>
      </c>
    </row>
    <row r="76" spans="1:12" ht="51" x14ac:dyDescent="0.3">
      <c r="A76" s="337" t="s">
        <v>115</v>
      </c>
      <c r="B76" s="338" t="s">
        <v>844</v>
      </c>
      <c r="C76" s="338" t="s">
        <v>33</v>
      </c>
      <c r="D76" s="338" t="s">
        <v>866</v>
      </c>
      <c r="E76" s="339" t="s">
        <v>34</v>
      </c>
      <c r="F76" s="344" t="s">
        <v>27</v>
      </c>
      <c r="G76" s="344"/>
      <c r="H76" s="339" t="s">
        <v>26</v>
      </c>
      <c r="I76" s="345">
        <v>2685.7</v>
      </c>
      <c r="J76" s="345"/>
      <c r="K76" s="342" t="s">
        <v>21</v>
      </c>
      <c r="L76" s="343">
        <v>1695985.94</v>
      </c>
    </row>
    <row r="77" spans="1:12" ht="61.2" x14ac:dyDescent="0.3">
      <c r="A77" s="337" t="s">
        <v>115</v>
      </c>
      <c r="B77" s="338" t="s">
        <v>844</v>
      </c>
      <c r="C77" s="338" t="s">
        <v>33</v>
      </c>
      <c r="D77" s="338" t="s">
        <v>867</v>
      </c>
      <c r="E77" s="339" t="s">
        <v>34</v>
      </c>
      <c r="F77" s="344" t="s">
        <v>27</v>
      </c>
      <c r="G77" s="344"/>
      <c r="H77" s="339" t="s">
        <v>26</v>
      </c>
      <c r="I77" s="345">
        <v>11229.9</v>
      </c>
      <c r="J77" s="345"/>
      <c r="K77" s="342" t="s">
        <v>21</v>
      </c>
      <c r="L77" s="343">
        <v>1684756.04</v>
      </c>
    </row>
    <row r="78" spans="1:12" ht="61.2" x14ac:dyDescent="0.3">
      <c r="A78" s="337" t="s">
        <v>115</v>
      </c>
      <c r="B78" s="338" t="s">
        <v>844</v>
      </c>
      <c r="C78" s="338" t="s">
        <v>33</v>
      </c>
      <c r="D78" s="338" t="s">
        <v>868</v>
      </c>
      <c r="E78" s="339" t="s">
        <v>34</v>
      </c>
      <c r="F78" s="344" t="s">
        <v>27</v>
      </c>
      <c r="G78" s="344"/>
      <c r="H78" s="339" t="s">
        <v>26</v>
      </c>
      <c r="I78" s="345">
        <v>4460.8</v>
      </c>
      <c r="J78" s="345"/>
      <c r="K78" s="342" t="s">
        <v>21</v>
      </c>
      <c r="L78" s="343">
        <v>1680295.24</v>
      </c>
    </row>
    <row r="79" spans="1:12" ht="61.2" x14ac:dyDescent="0.3">
      <c r="A79" s="337" t="s">
        <v>115</v>
      </c>
      <c r="B79" s="338" t="s">
        <v>844</v>
      </c>
      <c r="C79" s="338" t="s">
        <v>33</v>
      </c>
      <c r="D79" s="338" t="s">
        <v>869</v>
      </c>
      <c r="E79" s="339" t="s">
        <v>34</v>
      </c>
      <c r="F79" s="344" t="s">
        <v>27</v>
      </c>
      <c r="G79" s="344"/>
      <c r="H79" s="339" t="s">
        <v>26</v>
      </c>
      <c r="I79" s="345">
        <v>23122.2</v>
      </c>
      <c r="J79" s="345"/>
      <c r="K79" s="342" t="s">
        <v>21</v>
      </c>
      <c r="L79" s="343">
        <v>1657173.04</v>
      </c>
    </row>
    <row r="80" spans="1:12" ht="61.2" x14ac:dyDescent="0.3">
      <c r="A80" s="337" t="s">
        <v>115</v>
      </c>
      <c r="B80" s="338" t="s">
        <v>844</v>
      </c>
      <c r="C80" s="338" t="s">
        <v>33</v>
      </c>
      <c r="D80" s="338" t="s">
        <v>870</v>
      </c>
      <c r="E80" s="339" t="s">
        <v>34</v>
      </c>
      <c r="F80" s="344" t="s">
        <v>27</v>
      </c>
      <c r="G80" s="344"/>
      <c r="H80" s="339" t="s">
        <v>26</v>
      </c>
      <c r="I80" s="345">
        <v>4381.8</v>
      </c>
      <c r="J80" s="345"/>
      <c r="K80" s="342" t="s">
        <v>21</v>
      </c>
      <c r="L80" s="343">
        <v>1652791.24</v>
      </c>
    </row>
    <row r="81" spans="1:12" ht="61.2" x14ac:dyDescent="0.3">
      <c r="A81" s="337" t="s">
        <v>115</v>
      </c>
      <c r="B81" s="338" t="s">
        <v>844</v>
      </c>
      <c r="C81" s="338" t="s">
        <v>33</v>
      </c>
      <c r="D81" s="338" t="s">
        <v>871</v>
      </c>
      <c r="E81" s="339" t="s">
        <v>34</v>
      </c>
      <c r="F81" s="344" t="s">
        <v>27</v>
      </c>
      <c r="G81" s="344"/>
      <c r="H81" s="339" t="s">
        <v>26</v>
      </c>
      <c r="I81" s="345">
        <v>11836.5</v>
      </c>
      <c r="J81" s="345"/>
      <c r="K81" s="342" t="s">
        <v>21</v>
      </c>
      <c r="L81" s="343">
        <v>1640954.74</v>
      </c>
    </row>
    <row r="82" spans="1:12" ht="61.2" x14ac:dyDescent="0.3">
      <c r="A82" s="337" t="s">
        <v>115</v>
      </c>
      <c r="B82" s="338" t="s">
        <v>844</v>
      </c>
      <c r="C82" s="338" t="s">
        <v>33</v>
      </c>
      <c r="D82" s="338" t="s">
        <v>872</v>
      </c>
      <c r="E82" s="339" t="s">
        <v>34</v>
      </c>
      <c r="F82" s="344" t="s">
        <v>27</v>
      </c>
      <c r="G82" s="344"/>
      <c r="H82" s="339" t="s">
        <v>26</v>
      </c>
      <c r="I82" s="345">
        <v>4681.6000000000004</v>
      </c>
      <c r="J82" s="345"/>
      <c r="K82" s="342" t="s">
        <v>21</v>
      </c>
      <c r="L82" s="343">
        <v>1636273.14</v>
      </c>
    </row>
    <row r="83" spans="1:12" ht="61.2" x14ac:dyDescent="0.3">
      <c r="A83" s="337" t="s">
        <v>115</v>
      </c>
      <c r="B83" s="338" t="s">
        <v>844</v>
      </c>
      <c r="C83" s="338" t="s">
        <v>33</v>
      </c>
      <c r="D83" s="338" t="s">
        <v>873</v>
      </c>
      <c r="E83" s="339" t="s">
        <v>34</v>
      </c>
      <c r="F83" s="344" t="s">
        <v>27</v>
      </c>
      <c r="G83" s="344"/>
      <c r="H83" s="339" t="s">
        <v>26</v>
      </c>
      <c r="I83" s="345">
        <v>4548.8</v>
      </c>
      <c r="J83" s="345"/>
      <c r="K83" s="342" t="s">
        <v>21</v>
      </c>
      <c r="L83" s="343">
        <v>1631724.34</v>
      </c>
    </row>
    <row r="84" spans="1:12" ht="61.2" x14ac:dyDescent="0.3">
      <c r="A84" s="337" t="s">
        <v>115</v>
      </c>
      <c r="B84" s="338" t="s">
        <v>844</v>
      </c>
      <c r="C84" s="338" t="s">
        <v>33</v>
      </c>
      <c r="D84" s="338" t="s">
        <v>874</v>
      </c>
      <c r="E84" s="339" t="s">
        <v>34</v>
      </c>
      <c r="F84" s="344" t="s">
        <v>27</v>
      </c>
      <c r="G84" s="344"/>
      <c r="H84" s="339" t="s">
        <v>26</v>
      </c>
      <c r="I84" s="345">
        <v>18049.2</v>
      </c>
      <c r="J84" s="345"/>
      <c r="K84" s="342" t="s">
        <v>21</v>
      </c>
      <c r="L84" s="343">
        <v>1613675.14</v>
      </c>
    </row>
    <row r="85" spans="1:12" ht="61.2" x14ac:dyDescent="0.3">
      <c r="A85" s="337" t="s">
        <v>115</v>
      </c>
      <c r="B85" s="338" t="s">
        <v>844</v>
      </c>
      <c r="C85" s="338" t="s">
        <v>33</v>
      </c>
      <c r="D85" s="338" t="s">
        <v>875</v>
      </c>
      <c r="E85" s="339" t="s">
        <v>34</v>
      </c>
      <c r="F85" s="344" t="s">
        <v>27</v>
      </c>
      <c r="G85" s="344"/>
      <c r="H85" s="339" t="s">
        <v>26</v>
      </c>
      <c r="I85" s="345">
        <v>3884.3</v>
      </c>
      <c r="J85" s="345"/>
      <c r="K85" s="342" t="s">
        <v>21</v>
      </c>
      <c r="L85" s="343">
        <v>1609790.84</v>
      </c>
    </row>
    <row r="86" spans="1:12" ht="61.2" x14ac:dyDescent="0.3">
      <c r="A86" s="337" t="s">
        <v>115</v>
      </c>
      <c r="B86" s="338" t="s">
        <v>844</v>
      </c>
      <c r="C86" s="338" t="s">
        <v>33</v>
      </c>
      <c r="D86" s="338" t="s">
        <v>876</v>
      </c>
      <c r="E86" s="339" t="s">
        <v>34</v>
      </c>
      <c r="F86" s="344" t="s">
        <v>27</v>
      </c>
      <c r="G86" s="344"/>
      <c r="H86" s="339" t="s">
        <v>26</v>
      </c>
      <c r="I86" s="345">
        <v>3819.4</v>
      </c>
      <c r="J86" s="345"/>
      <c r="K86" s="342" t="s">
        <v>21</v>
      </c>
      <c r="L86" s="343">
        <v>1605971.44</v>
      </c>
    </row>
    <row r="87" spans="1:12" ht="61.2" x14ac:dyDescent="0.3">
      <c r="A87" s="337" t="s">
        <v>115</v>
      </c>
      <c r="B87" s="338" t="s">
        <v>844</v>
      </c>
      <c r="C87" s="338" t="s">
        <v>33</v>
      </c>
      <c r="D87" s="338" t="s">
        <v>877</v>
      </c>
      <c r="E87" s="339" t="s">
        <v>34</v>
      </c>
      <c r="F87" s="344" t="s">
        <v>27</v>
      </c>
      <c r="G87" s="344"/>
      <c r="H87" s="339" t="s">
        <v>26</v>
      </c>
      <c r="I87" s="345">
        <v>9038.7000000000007</v>
      </c>
      <c r="J87" s="345"/>
      <c r="K87" s="342" t="s">
        <v>21</v>
      </c>
      <c r="L87" s="343">
        <v>1596932.74</v>
      </c>
    </row>
    <row r="88" spans="1:12" ht="61.2" x14ac:dyDescent="0.3">
      <c r="A88" s="337" t="s">
        <v>115</v>
      </c>
      <c r="B88" s="338" t="s">
        <v>844</v>
      </c>
      <c r="C88" s="338" t="s">
        <v>33</v>
      </c>
      <c r="D88" s="338" t="s">
        <v>878</v>
      </c>
      <c r="E88" s="339" t="s">
        <v>34</v>
      </c>
      <c r="F88" s="344" t="s">
        <v>27</v>
      </c>
      <c r="G88" s="344"/>
      <c r="H88" s="339" t="s">
        <v>26</v>
      </c>
      <c r="I88" s="345">
        <v>9261</v>
      </c>
      <c r="J88" s="345"/>
      <c r="K88" s="342" t="s">
        <v>21</v>
      </c>
      <c r="L88" s="343">
        <v>1587671.74</v>
      </c>
    </row>
    <row r="89" spans="1:12" ht="61.2" x14ac:dyDescent="0.3">
      <c r="A89" s="337" t="s">
        <v>115</v>
      </c>
      <c r="B89" s="338" t="s">
        <v>844</v>
      </c>
      <c r="C89" s="338" t="s">
        <v>33</v>
      </c>
      <c r="D89" s="338" t="s">
        <v>879</v>
      </c>
      <c r="E89" s="339" t="s">
        <v>34</v>
      </c>
      <c r="F89" s="344" t="s">
        <v>27</v>
      </c>
      <c r="G89" s="344"/>
      <c r="H89" s="339" t="s">
        <v>26</v>
      </c>
      <c r="I89" s="345">
        <v>4472.8</v>
      </c>
      <c r="J89" s="345"/>
      <c r="K89" s="342" t="s">
        <v>21</v>
      </c>
      <c r="L89" s="343">
        <v>1583198.94</v>
      </c>
    </row>
    <row r="90" spans="1:12" ht="51" x14ac:dyDescent="0.3">
      <c r="A90" s="337" t="s">
        <v>115</v>
      </c>
      <c r="B90" s="338" t="s">
        <v>844</v>
      </c>
      <c r="C90" s="338" t="s">
        <v>33</v>
      </c>
      <c r="D90" s="338" t="s">
        <v>880</v>
      </c>
      <c r="E90" s="339" t="s">
        <v>34</v>
      </c>
      <c r="F90" s="344" t="s">
        <v>27</v>
      </c>
      <c r="G90" s="344"/>
      <c r="H90" s="339" t="s">
        <v>26</v>
      </c>
      <c r="I90" s="345">
        <v>1819.8</v>
      </c>
      <c r="J90" s="345"/>
      <c r="K90" s="342" t="s">
        <v>21</v>
      </c>
      <c r="L90" s="343">
        <v>1581379.14</v>
      </c>
    </row>
    <row r="91" spans="1:12" ht="61.2" x14ac:dyDescent="0.3">
      <c r="A91" s="337" t="s">
        <v>115</v>
      </c>
      <c r="B91" s="338" t="s">
        <v>844</v>
      </c>
      <c r="C91" s="338" t="s">
        <v>33</v>
      </c>
      <c r="D91" s="338" t="s">
        <v>881</v>
      </c>
      <c r="E91" s="339" t="s">
        <v>34</v>
      </c>
      <c r="F91" s="344" t="s">
        <v>27</v>
      </c>
      <c r="G91" s="344"/>
      <c r="H91" s="339" t="s">
        <v>26</v>
      </c>
      <c r="I91" s="345">
        <v>3900.7</v>
      </c>
      <c r="J91" s="345"/>
      <c r="K91" s="342" t="s">
        <v>21</v>
      </c>
      <c r="L91" s="343">
        <v>1577478.44</v>
      </c>
    </row>
    <row r="92" spans="1:12" ht="51" x14ac:dyDescent="0.3">
      <c r="A92" s="337" t="s">
        <v>115</v>
      </c>
      <c r="B92" s="338" t="s">
        <v>844</v>
      </c>
      <c r="C92" s="338" t="s">
        <v>33</v>
      </c>
      <c r="D92" s="338" t="s">
        <v>882</v>
      </c>
      <c r="E92" s="339" t="s">
        <v>34</v>
      </c>
      <c r="F92" s="344" t="s">
        <v>27</v>
      </c>
      <c r="G92" s="344"/>
      <c r="H92" s="339" t="s">
        <v>26</v>
      </c>
      <c r="I92" s="345">
        <v>1752.7</v>
      </c>
      <c r="J92" s="345"/>
      <c r="K92" s="342" t="s">
        <v>21</v>
      </c>
      <c r="L92" s="343">
        <v>1575725.74</v>
      </c>
    </row>
    <row r="93" spans="1:12" ht="51" x14ac:dyDescent="0.3">
      <c r="A93" s="337" t="s">
        <v>115</v>
      </c>
      <c r="B93" s="338" t="s">
        <v>844</v>
      </c>
      <c r="C93" s="338" t="s">
        <v>33</v>
      </c>
      <c r="D93" s="338" t="s">
        <v>883</v>
      </c>
      <c r="E93" s="339" t="s">
        <v>34</v>
      </c>
      <c r="F93" s="344" t="s">
        <v>27</v>
      </c>
      <c r="G93" s="344"/>
      <c r="H93" s="339" t="s">
        <v>26</v>
      </c>
      <c r="I93" s="345">
        <v>1872</v>
      </c>
      <c r="J93" s="345"/>
      <c r="K93" s="342" t="s">
        <v>21</v>
      </c>
      <c r="L93" s="343">
        <v>1573853.74</v>
      </c>
    </row>
    <row r="94" spans="1:12" ht="51" x14ac:dyDescent="0.3">
      <c r="A94" s="337" t="s">
        <v>115</v>
      </c>
      <c r="B94" s="338" t="s">
        <v>844</v>
      </c>
      <c r="C94" s="338" t="s">
        <v>33</v>
      </c>
      <c r="D94" s="338" t="s">
        <v>884</v>
      </c>
      <c r="E94" s="339" t="s">
        <v>34</v>
      </c>
      <c r="F94" s="344" t="s">
        <v>27</v>
      </c>
      <c r="G94" s="344"/>
      <c r="H94" s="339" t="s">
        <v>26</v>
      </c>
      <c r="I94" s="346">
        <v>889</v>
      </c>
      <c r="J94" s="346"/>
      <c r="K94" s="342" t="s">
        <v>21</v>
      </c>
      <c r="L94" s="343">
        <v>1572964.74</v>
      </c>
    </row>
    <row r="95" spans="1:12" ht="51" x14ac:dyDescent="0.3">
      <c r="A95" s="337" t="s">
        <v>115</v>
      </c>
      <c r="B95" s="338" t="s">
        <v>844</v>
      </c>
      <c r="C95" s="338" t="s">
        <v>33</v>
      </c>
      <c r="D95" s="338" t="s">
        <v>885</v>
      </c>
      <c r="E95" s="339" t="s">
        <v>34</v>
      </c>
      <c r="F95" s="344" t="s">
        <v>27</v>
      </c>
      <c r="G95" s="344"/>
      <c r="H95" s="339" t="s">
        <v>26</v>
      </c>
      <c r="I95" s="345">
        <v>1579.7</v>
      </c>
      <c r="J95" s="345"/>
      <c r="K95" s="342" t="s">
        <v>21</v>
      </c>
      <c r="L95" s="343">
        <v>1571385.04</v>
      </c>
    </row>
    <row r="96" spans="1:12" ht="51" x14ac:dyDescent="0.3">
      <c r="A96" s="337" t="s">
        <v>115</v>
      </c>
      <c r="B96" s="338" t="s">
        <v>844</v>
      </c>
      <c r="C96" s="338" t="s">
        <v>33</v>
      </c>
      <c r="D96" s="338" t="s">
        <v>886</v>
      </c>
      <c r="E96" s="339" t="s">
        <v>34</v>
      </c>
      <c r="F96" s="344" t="s">
        <v>27</v>
      </c>
      <c r="G96" s="344"/>
      <c r="H96" s="339" t="s">
        <v>26</v>
      </c>
      <c r="I96" s="345">
        <v>2154</v>
      </c>
      <c r="J96" s="345"/>
      <c r="K96" s="342" t="s">
        <v>21</v>
      </c>
      <c r="L96" s="343">
        <v>1569231.04</v>
      </c>
    </row>
    <row r="97" spans="1:12" ht="51" x14ac:dyDescent="0.3">
      <c r="A97" s="337" t="s">
        <v>115</v>
      </c>
      <c r="B97" s="338" t="s">
        <v>844</v>
      </c>
      <c r="C97" s="338" t="s">
        <v>33</v>
      </c>
      <c r="D97" s="338" t="s">
        <v>887</v>
      </c>
      <c r="E97" s="339" t="s">
        <v>34</v>
      </c>
      <c r="F97" s="344" t="s">
        <v>27</v>
      </c>
      <c r="G97" s="344"/>
      <c r="H97" s="339" t="s">
        <v>26</v>
      </c>
      <c r="I97" s="345">
        <v>1801.9</v>
      </c>
      <c r="J97" s="345"/>
      <c r="K97" s="342" t="s">
        <v>21</v>
      </c>
      <c r="L97" s="343">
        <v>1567429.14</v>
      </c>
    </row>
    <row r="98" spans="1:12" ht="51" x14ac:dyDescent="0.3">
      <c r="A98" s="337" t="s">
        <v>115</v>
      </c>
      <c r="B98" s="338" t="s">
        <v>844</v>
      </c>
      <c r="C98" s="338" t="s">
        <v>33</v>
      </c>
      <c r="D98" s="338" t="s">
        <v>888</v>
      </c>
      <c r="E98" s="339" t="s">
        <v>34</v>
      </c>
      <c r="F98" s="344" t="s">
        <v>27</v>
      </c>
      <c r="G98" s="344"/>
      <c r="H98" s="339" t="s">
        <v>26</v>
      </c>
      <c r="I98" s="345">
        <v>1851.2</v>
      </c>
      <c r="J98" s="345"/>
      <c r="K98" s="342" t="s">
        <v>21</v>
      </c>
      <c r="L98" s="343">
        <v>1565577.94</v>
      </c>
    </row>
    <row r="99" spans="1:12" ht="51" x14ac:dyDescent="0.3">
      <c r="A99" s="337" t="s">
        <v>115</v>
      </c>
      <c r="B99" s="338" t="s">
        <v>844</v>
      </c>
      <c r="C99" s="338" t="s">
        <v>33</v>
      </c>
      <c r="D99" s="338" t="s">
        <v>889</v>
      </c>
      <c r="E99" s="339" t="s">
        <v>34</v>
      </c>
      <c r="F99" s="344" t="s">
        <v>27</v>
      </c>
      <c r="G99" s="344"/>
      <c r="H99" s="339" t="s">
        <v>26</v>
      </c>
      <c r="I99" s="345">
        <v>1044.9000000000001</v>
      </c>
      <c r="J99" s="345"/>
      <c r="K99" s="342" t="s">
        <v>21</v>
      </c>
      <c r="L99" s="343">
        <v>1564533.04</v>
      </c>
    </row>
    <row r="100" spans="1:12" ht="51" x14ac:dyDescent="0.3">
      <c r="A100" s="337" t="s">
        <v>115</v>
      </c>
      <c r="B100" s="338" t="s">
        <v>844</v>
      </c>
      <c r="C100" s="338" t="s">
        <v>33</v>
      </c>
      <c r="D100" s="338" t="s">
        <v>890</v>
      </c>
      <c r="E100" s="339" t="s">
        <v>34</v>
      </c>
      <c r="F100" s="344" t="s">
        <v>27</v>
      </c>
      <c r="G100" s="344"/>
      <c r="H100" s="339" t="s">
        <v>26</v>
      </c>
      <c r="I100" s="345">
        <v>6963.2</v>
      </c>
      <c r="J100" s="345"/>
      <c r="K100" s="342" t="s">
        <v>21</v>
      </c>
      <c r="L100" s="343">
        <v>1557569.84</v>
      </c>
    </row>
    <row r="101" spans="1:12" ht="51" x14ac:dyDescent="0.3">
      <c r="A101" s="337" t="s">
        <v>115</v>
      </c>
      <c r="B101" s="338" t="s">
        <v>844</v>
      </c>
      <c r="C101" s="338" t="s">
        <v>33</v>
      </c>
      <c r="D101" s="338" t="s">
        <v>891</v>
      </c>
      <c r="E101" s="339" t="s">
        <v>34</v>
      </c>
      <c r="F101" s="344" t="s">
        <v>27</v>
      </c>
      <c r="G101" s="344"/>
      <c r="H101" s="339" t="s">
        <v>26</v>
      </c>
      <c r="I101" s="345">
        <v>2198.6999999999998</v>
      </c>
      <c r="J101" s="345"/>
      <c r="K101" s="342" t="s">
        <v>21</v>
      </c>
      <c r="L101" s="343">
        <v>1555371.14</v>
      </c>
    </row>
    <row r="102" spans="1:12" ht="51" x14ac:dyDescent="0.3">
      <c r="A102" s="337" t="s">
        <v>115</v>
      </c>
      <c r="B102" s="338" t="s">
        <v>844</v>
      </c>
      <c r="C102" s="338" t="s">
        <v>33</v>
      </c>
      <c r="D102" s="338" t="s">
        <v>892</v>
      </c>
      <c r="E102" s="339" t="s">
        <v>34</v>
      </c>
      <c r="F102" s="344" t="s">
        <v>27</v>
      </c>
      <c r="G102" s="344"/>
      <c r="H102" s="339" t="s">
        <v>26</v>
      </c>
      <c r="I102" s="345">
        <v>2209.1999999999998</v>
      </c>
      <c r="J102" s="345"/>
      <c r="K102" s="342" t="s">
        <v>21</v>
      </c>
      <c r="L102" s="343">
        <v>1553161.94</v>
      </c>
    </row>
    <row r="103" spans="1:12" ht="51" x14ac:dyDescent="0.3">
      <c r="A103" s="337" t="s">
        <v>115</v>
      </c>
      <c r="B103" s="338" t="s">
        <v>844</v>
      </c>
      <c r="C103" s="338" t="s">
        <v>33</v>
      </c>
      <c r="D103" s="338" t="s">
        <v>893</v>
      </c>
      <c r="E103" s="339" t="s">
        <v>34</v>
      </c>
      <c r="F103" s="344" t="s">
        <v>27</v>
      </c>
      <c r="G103" s="344"/>
      <c r="H103" s="339" t="s">
        <v>26</v>
      </c>
      <c r="I103" s="345">
        <v>2483.6</v>
      </c>
      <c r="J103" s="345"/>
      <c r="K103" s="342" t="s">
        <v>21</v>
      </c>
      <c r="L103" s="343">
        <v>1550678.34</v>
      </c>
    </row>
    <row r="104" spans="1:12" ht="51" x14ac:dyDescent="0.3">
      <c r="A104" s="337" t="s">
        <v>115</v>
      </c>
      <c r="B104" s="338" t="s">
        <v>844</v>
      </c>
      <c r="C104" s="338" t="s">
        <v>33</v>
      </c>
      <c r="D104" s="338" t="s">
        <v>894</v>
      </c>
      <c r="E104" s="339" t="s">
        <v>34</v>
      </c>
      <c r="F104" s="344" t="s">
        <v>27</v>
      </c>
      <c r="G104" s="344"/>
      <c r="H104" s="339" t="s">
        <v>26</v>
      </c>
      <c r="I104" s="345">
        <v>1226.2</v>
      </c>
      <c r="J104" s="345"/>
      <c r="K104" s="342" t="s">
        <v>21</v>
      </c>
      <c r="L104" s="343">
        <v>1549452.14</v>
      </c>
    </row>
    <row r="105" spans="1:12" ht="51" x14ac:dyDescent="0.3">
      <c r="A105" s="337" t="s">
        <v>115</v>
      </c>
      <c r="B105" s="338" t="s">
        <v>844</v>
      </c>
      <c r="C105" s="338" t="s">
        <v>33</v>
      </c>
      <c r="D105" s="338" t="s">
        <v>895</v>
      </c>
      <c r="E105" s="339" t="s">
        <v>34</v>
      </c>
      <c r="F105" s="344" t="s">
        <v>27</v>
      </c>
      <c r="G105" s="344"/>
      <c r="H105" s="339" t="s">
        <v>26</v>
      </c>
      <c r="I105" s="345">
        <v>1924.3</v>
      </c>
      <c r="J105" s="345"/>
      <c r="K105" s="342" t="s">
        <v>21</v>
      </c>
      <c r="L105" s="343">
        <v>1547527.84</v>
      </c>
    </row>
    <row r="106" spans="1:12" ht="51" x14ac:dyDescent="0.3">
      <c r="A106" s="337" t="s">
        <v>115</v>
      </c>
      <c r="B106" s="338" t="s">
        <v>844</v>
      </c>
      <c r="C106" s="338" t="s">
        <v>33</v>
      </c>
      <c r="D106" s="338" t="s">
        <v>896</v>
      </c>
      <c r="E106" s="339" t="s">
        <v>34</v>
      </c>
      <c r="F106" s="344" t="s">
        <v>27</v>
      </c>
      <c r="G106" s="344"/>
      <c r="H106" s="339" t="s">
        <v>26</v>
      </c>
      <c r="I106" s="345">
        <v>5772.9</v>
      </c>
      <c r="J106" s="345"/>
      <c r="K106" s="342" t="s">
        <v>21</v>
      </c>
      <c r="L106" s="343">
        <v>1541754.94</v>
      </c>
    </row>
    <row r="107" spans="1:12" ht="51" x14ac:dyDescent="0.3">
      <c r="A107" s="337" t="s">
        <v>115</v>
      </c>
      <c r="B107" s="338" t="s">
        <v>844</v>
      </c>
      <c r="C107" s="338" t="s">
        <v>33</v>
      </c>
      <c r="D107" s="338" t="s">
        <v>897</v>
      </c>
      <c r="E107" s="339" t="s">
        <v>34</v>
      </c>
      <c r="F107" s="344" t="s">
        <v>27</v>
      </c>
      <c r="G107" s="344"/>
      <c r="H107" s="339" t="s">
        <v>26</v>
      </c>
      <c r="I107" s="345">
        <v>12936.7</v>
      </c>
      <c r="J107" s="345"/>
      <c r="K107" s="342" t="s">
        <v>21</v>
      </c>
      <c r="L107" s="343">
        <v>1528818.24</v>
      </c>
    </row>
    <row r="108" spans="1:12" ht="51" x14ac:dyDescent="0.3">
      <c r="A108" s="337" t="s">
        <v>115</v>
      </c>
      <c r="B108" s="338" t="s">
        <v>844</v>
      </c>
      <c r="C108" s="338" t="s">
        <v>33</v>
      </c>
      <c r="D108" s="338" t="s">
        <v>898</v>
      </c>
      <c r="E108" s="339" t="s">
        <v>34</v>
      </c>
      <c r="F108" s="344" t="s">
        <v>27</v>
      </c>
      <c r="G108" s="344"/>
      <c r="H108" s="339" t="s">
        <v>26</v>
      </c>
      <c r="I108" s="345">
        <v>1944.4</v>
      </c>
      <c r="J108" s="345"/>
      <c r="K108" s="342" t="s">
        <v>21</v>
      </c>
      <c r="L108" s="343">
        <v>1526873.84</v>
      </c>
    </row>
    <row r="109" spans="1:12" ht="51" x14ac:dyDescent="0.3">
      <c r="A109" s="337" t="s">
        <v>115</v>
      </c>
      <c r="B109" s="338" t="s">
        <v>844</v>
      </c>
      <c r="C109" s="338" t="s">
        <v>33</v>
      </c>
      <c r="D109" s="338" t="s">
        <v>899</v>
      </c>
      <c r="E109" s="339" t="s">
        <v>34</v>
      </c>
      <c r="F109" s="344" t="s">
        <v>27</v>
      </c>
      <c r="G109" s="344"/>
      <c r="H109" s="339" t="s">
        <v>26</v>
      </c>
      <c r="I109" s="345">
        <v>2275.5</v>
      </c>
      <c r="J109" s="345"/>
      <c r="K109" s="342" t="s">
        <v>21</v>
      </c>
      <c r="L109" s="343">
        <v>1524598.34</v>
      </c>
    </row>
    <row r="110" spans="1:12" ht="51" x14ac:dyDescent="0.3">
      <c r="A110" s="337" t="s">
        <v>115</v>
      </c>
      <c r="B110" s="338" t="s">
        <v>844</v>
      </c>
      <c r="C110" s="338" t="s">
        <v>33</v>
      </c>
      <c r="D110" s="338" t="s">
        <v>900</v>
      </c>
      <c r="E110" s="339" t="s">
        <v>34</v>
      </c>
      <c r="F110" s="344" t="s">
        <v>27</v>
      </c>
      <c r="G110" s="344"/>
      <c r="H110" s="339" t="s">
        <v>26</v>
      </c>
      <c r="I110" s="345">
        <v>2817</v>
      </c>
      <c r="J110" s="345"/>
      <c r="K110" s="342" t="s">
        <v>21</v>
      </c>
      <c r="L110" s="343">
        <v>1521781.34</v>
      </c>
    </row>
    <row r="111" spans="1:12" ht="51" x14ac:dyDescent="0.3">
      <c r="A111" s="337" t="s">
        <v>115</v>
      </c>
      <c r="B111" s="338" t="s">
        <v>844</v>
      </c>
      <c r="C111" s="338" t="s">
        <v>33</v>
      </c>
      <c r="D111" s="338" t="s">
        <v>901</v>
      </c>
      <c r="E111" s="339" t="s">
        <v>34</v>
      </c>
      <c r="F111" s="344" t="s">
        <v>27</v>
      </c>
      <c r="G111" s="344"/>
      <c r="H111" s="339" t="s">
        <v>26</v>
      </c>
      <c r="I111" s="345">
        <v>3206.3</v>
      </c>
      <c r="J111" s="345"/>
      <c r="K111" s="342" t="s">
        <v>21</v>
      </c>
      <c r="L111" s="343">
        <v>1518575.04</v>
      </c>
    </row>
    <row r="112" spans="1:12" ht="51" x14ac:dyDescent="0.3">
      <c r="A112" s="337" t="s">
        <v>115</v>
      </c>
      <c r="B112" s="338" t="s">
        <v>844</v>
      </c>
      <c r="C112" s="338" t="s">
        <v>33</v>
      </c>
      <c r="D112" s="338" t="s">
        <v>902</v>
      </c>
      <c r="E112" s="339" t="s">
        <v>34</v>
      </c>
      <c r="F112" s="344" t="s">
        <v>27</v>
      </c>
      <c r="G112" s="344"/>
      <c r="H112" s="339" t="s">
        <v>26</v>
      </c>
      <c r="I112" s="346">
        <v>907.7</v>
      </c>
      <c r="J112" s="346"/>
      <c r="K112" s="342" t="s">
        <v>21</v>
      </c>
      <c r="L112" s="343">
        <v>1517667.34</v>
      </c>
    </row>
    <row r="113" spans="1:12" ht="51" x14ac:dyDescent="0.3">
      <c r="A113" s="337" t="s">
        <v>115</v>
      </c>
      <c r="B113" s="338" t="s">
        <v>844</v>
      </c>
      <c r="C113" s="338" t="s">
        <v>33</v>
      </c>
      <c r="D113" s="338" t="s">
        <v>903</v>
      </c>
      <c r="E113" s="339" t="s">
        <v>34</v>
      </c>
      <c r="F113" s="344" t="s">
        <v>27</v>
      </c>
      <c r="G113" s="344"/>
      <c r="H113" s="339" t="s">
        <v>26</v>
      </c>
      <c r="I113" s="345">
        <v>1170.2</v>
      </c>
      <c r="J113" s="345"/>
      <c r="K113" s="342" t="s">
        <v>21</v>
      </c>
      <c r="L113" s="343">
        <v>1516497.14</v>
      </c>
    </row>
    <row r="114" spans="1:12" ht="51" x14ac:dyDescent="0.3">
      <c r="A114" s="337" t="s">
        <v>115</v>
      </c>
      <c r="B114" s="338" t="s">
        <v>844</v>
      </c>
      <c r="C114" s="338" t="s">
        <v>33</v>
      </c>
      <c r="D114" s="338" t="s">
        <v>904</v>
      </c>
      <c r="E114" s="339" t="s">
        <v>34</v>
      </c>
      <c r="F114" s="344" t="s">
        <v>27</v>
      </c>
      <c r="G114" s="344"/>
      <c r="H114" s="339" t="s">
        <v>26</v>
      </c>
      <c r="I114" s="345">
        <v>1170.2</v>
      </c>
      <c r="J114" s="345"/>
      <c r="K114" s="342" t="s">
        <v>21</v>
      </c>
      <c r="L114" s="343">
        <v>1515326.94</v>
      </c>
    </row>
    <row r="115" spans="1:12" ht="51" x14ac:dyDescent="0.3">
      <c r="A115" s="337" t="s">
        <v>115</v>
      </c>
      <c r="B115" s="338" t="s">
        <v>844</v>
      </c>
      <c r="C115" s="338" t="s">
        <v>33</v>
      </c>
      <c r="D115" s="338" t="s">
        <v>905</v>
      </c>
      <c r="E115" s="339" t="s">
        <v>34</v>
      </c>
      <c r="F115" s="344" t="s">
        <v>27</v>
      </c>
      <c r="G115" s="344"/>
      <c r="H115" s="339" t="s">
        <v>26</v>
      </c>
      <c r="I115" s="345">
        <v>2273.3000000000002</v>
      </c>
      <c r="J115" s="345"/>
      <c r="K115" s="342" t="s">
        <v>21</v>
      </c>
      <c r="L115" s="343">
        <v>1513053.64</v>
      </c>
    </row>
    <row r="116" spans="1:12" ht="51" x14ac:dyDescent="0.3">
      <c r="A116" s="337" t="s">
        <v>115</v>
      </c>
      <c r="B116" s="338" t="s">
        <v>844</v>
      </c>
      <c r="C116" s="338" t="s">
        <v>33</v>
      </c>
      <c r="D116" s="338" t="s">
        <v>906</v>
      </c>
      <c r="E116" s="339" t="s">
        <v>34</v>
      </c>
      <c r="F116" s="344" t="s">
        <v>27</v>
      </c>
      <c r="G116" s="344"/>
      <c r="H116" s="339" t="s">
        <v>26</v>
      </c>
      <c r="I116" s="345">
        <v>3923</v>
      </c>
      <c r="J116" s="345"/>
      <c r="K116" s="342" t="s">
        <v>21</v>
      </c>
      <c r="L116" s="343">
        <v>1509130.64</v>
      </c>
    </row>
    <row r="117" spans="1:12" ht="51" x14ac:dyDescent="0.3">
      <c r="A117" s="337" t="s">
        <v>115</v>
      </c>
      <c r="B117" s="338" t="s">
        <v>844</v>
      </c>
      <c r="C117" s="338" t="s">
        <v>33</v>
      </c>
      <c r="D117" s="338" t="s">
        <v>907</v>
      </c>
      <c r="E117" s="339" t="s">
        <v>34</v>
      </c>
      <c r="F117" s="344" t="s">
        <v>27</v>
      </c>
      <c r="G117" s="344"/>
      <c r="H117" s="339" t="s">
        <v>26</v>
      </c>
      <c r="I117" s="345">
        <v>3454.7</v>
      </c>
      <c r="J117" s="345"/>
      <c r="K117" s="342" t="s">
        <v>21</v>
      </c>
      <c r="L117" s="343">
        <v>1505675.94</v>
      </c>
    </row>
    <row r="118" spans="1:12" ht="51" x14ac:dyDescent="0.3">
      <c r="A118" s="337" t="s">
        <v>115</v>
      </c>
      <c r="B118" s="338" t="s">
        <v>844</v>
      </c>
      <c r="C118" s="338" t="s">
        <v>33</v>
      </c>
      <c r="D118" s="338" t="s">
        <v>908</v>
      </c>
      <c r="E118" s="339" t="s">
        <v>34</v>
      </c>
      <c r="F118" s="344" t="s">
        <v>27</v>
      </c>
      <c r="G118" s="344"/>
      <c r="H118" s="339" t="s">
        <v>26</v>
      </c>
      <c r="I118" s="345">
        <v>7989.2</v>
      </c>
      <c r="J118" s="345"/>
      <c r="K118" s="342" t="s">
        <v>21</v>
      </c>
      <c r="L118" s="343">
        <v>1497686.74</v>
      </c>
    </row>
    <row r="119" spans="1:12" ht="51" x14ac:dyDescent="0.3">
      <c r="A119" s="337" t="s">
        <v>115</v>
      </c>
      <c r="B119" s="338" t="s">
        <v>844</v>
      </c>
      <c r="C119" s="338" t="s">
        <v>33</v>
      </c>
      <c r="D119" s="338" t="s">
        <v>909</v>
      </c>
      <c r="E119" s="339" t="s">
        <v>34</v>
      </c>
      <c r="F119" s="344" t="s">
        <v>27</v>
      </c>
      <c r="G119" s="344"/>
      <c r="H119" s="339" t="s">
        <v>26</v>
      </c>
      <c r="I119" s="345">
        <v>1929.5</v>
      </c>
      <c r="J119" s="345"/>
      <c r="K119" s="342" t="s">
        <v>21</v>
      </c>
      <c r="L119" s="343">
        <v>1495757.24</v>
      </c>
    </row>
    <row r="120" spans="1:12" ht="51" x14ac:dyDescent="0.3">
      <c r="A120" s="337" t="s">
        <v>115</v>
      </c>
      <c r="B120" s="338" t="s">
        <v>844</v>
      </c>
      <c r="C120" s="338" t="s">
        <v>33</v>
      </c>
      <c r="D120" s="338" t="s">
        <v>910</v>
      </c>
      <c r="E120" s="339" t="s">
        <v>34</v>
      </c>
      <c r="F120" s="344" t="s">
        <v>27</v>
      </c>
      <c r="G120" s="344"/>
      <c r="H120" s="339" t="s">
        <v>26</v>
      </c>
      <c r="I120" s="345">
        <v>4032</v>
      </c>
      <c r="J120" s="345"/>
      <c r="K120" s="342" t="s">
        <v>21</v>
      </c>
      <c r="L120" s="343">
        <v>1491725.24</v>
      </c>
    </row>
    <row r="121" spans="1:12" ht="51" x14ac:dyDescent="0.3">
      <c r="A121" s="337" t="s">
        <v>115</v>
      </c>
      <c r="B121" s="338" t="s">
        <v>844</v>
      </c>
      <c r="C121" s="338" t="s">
        <v>33</v>
      </c>
      <c r="D121" s="338" t="s">
        <v>911</v>
      </c>
      <c r="E121" s="339" t="s">
        <v>34</v>
      </c>
      <c r="F121" s="344" t="s">
        <v>27</v>
      </c>
      <c r="G121" s="344"/>
      <c r="H121" s="339" t="s">
        <v>26</v>
      </c>
      <c r="I121" s="345">
        <v>4846.3999999999996</v>
      </c>
      <c r="J121" s="345"/>
      <c r="K121" s="342" t="s">
        <v>21</v>
      </c>
      <c r="L121" s="343">
        <v>1486878.84</v>
      </c>
    </row>
    <row r="122" spans="1:12" ht="51" x14ac:dyDescent="0.3">
      <c r="A122" s="337" t="s">
        <v>115</v>
      </c>
      <c r="B122" s="338" t="s">
        <v>844</v>
      </c>
      <c r="C122" s="338" t="s">
        <v>33</v>
      </c>
      <c r="D122" s="338" t="s">
        <v>912</v>
      </c>
      <c r="E122" s="339" t="s">
        <v>34</v>
      </c>
      <c r="F122" s="344" t="s">
        <v>27</v>
      </c>
      <c r="G122" s="344"/>
      <c r="H122" s="339" t="s">
        <v>26</v>
      </c>
      <c r="I122" s="345">
        <v>1276.0999999999999</v>
      </c>
      <c r="J122" s="345"/>
      <c r="K122" s="342" t="s">
        <v>21</v>
      </c>
      <c r="L122" s="343">
        <v>1485602.74</v>
      </c>
    </row>
    <row r="123" spans="1:12" ht="51" x14ac:dyDescent="0.3">
      <c r="A123" s="337" t="s">
        <v>115</v>
      </c>
      <c r="B123" s="338" t="s">
        <v>844</v>
      </c>
      <c r="C123" s="338" t="s">
        <v>33</v>
      </c>
      <c r="D123" s="338" t="s">
        <v>913</v>
      </c>
      <c r="E123" s="339" t="s">
        <v>34</v>
      </c>
      <c r="F123" s="344" t="s">
        <v>27</v>
      </c>
      <c r="G123" s="344"/>
      <c r="H123" s="339" t="s">
        <v>26</v>
      </c>
      <c r="I123" s="345">
        <v>1524.5</v>
      </c>
      <c r="J123" s="345"/>
      <c r="K123" s="342" t="s">
        <v>21</v>
      </c>
      <c r="L123" s="343">
        <v>1484078.24</v>
      </c>
    </row>
    <row r="124" spans="1:12" ht="51" x14ac:dyDescent="0.3">
      <c r="A124" s="337" t="s">
        <v>115</v>
      </c>
      <c r="B124" s="338" t="s">
        <v>844</v>
      </c>
      <c r="C124" s="338" t="s">
        <v>33</v>
      </c>
      <c r="D124" s="338" t="s">
        <v>914</v>
      </c>
      <c r="E124" s="339" t="s">
        <v>34</v>
      </c>
      <c r="F124" s="344" t="s">
        <v>27</v>
      </c>
      <c r="G124" s="344"/>
      <c r="H124" s="339" t="s">
        <v>26</v>
      </c>
      <c r="I124" s="345">
        <v>2167.4</v>
      </c>
      <c r="J124" s="345"/>
      <c r="K124" s="342" t="s">
        <v>21</v>
      </c>
      <c r="L124" s="343">
        <v>1481910.84</v>
      </c>
    </row>
    <row r="125" spans="1:12" ht="51" x14ac:dyDescent="0.3">
      <c r="A125" s="337" t="s">
        <v>115</v>
      </c>
      <c r="B125" s="338" t="s">
        <v>844</v>
      </c>
      <c r="C125" s="338" t="s">
        <v>33</v>
      </c>
      <c r="D125" s="338" t="s">
        <v>915</v>
      </c>
      <c r="E125" s="339" t="s">
        <v>34</v>
      </c>
      <c r="F125" s="344" t="s">
        <v>27</v>
      </c>
      <c r="G125" s="344"/>
      <c r="H125" s="339" t="s">
        <v>26</v>
      </c>
      <c r="I125" s="345">
        <v>2399.3000000000002</v>
      </c>
      <c r="J125" s="345"/>
      <c r="K125" s="342" t="s">
        <v>21</v>
      </c>
      <c r="L125" s="343">
        <v>1479511.54</v>
      </c>
    </row>
    <row r="126" spans="1:12" ht="51" x14ac:dyDescent="0.3">
      <c r="A126" s="337" t="s">
        <v>115</v>
      </c>
      <c r="B126" s="338" t="s">
        <v>844</v>
      </c>
      <c r="C126" s="338" t="s">
        <v>33</v>
      </c>
      <c r="D126" s="338" t="s">
        <v>916</v>
      </c>
      <c r="E126" s="339" t="s">
        <v>34</v>
      </c>
      <c r="F126" s="344" t="s">
        <v>27</v>
      </c>
      <c r="G126" s="344"/>
      <c r="H126" s="339" t="s">
        <v>26</v>
      </c>
      <c r="I126" s="345">
        <v>1468.5</v>
      </c>
      <c r="J126" s="345"/>
      <c r="K126" s="342" t="s">
        <v>21</v>
      </c>
      <c r="L126" s="343">
        <v>1478043.04</v>
      </c>
    </row>
    <row r="127" spans="1:12" ht="51" x14ac:dyDescent="0.3">
      <c r="A127" s="337" t="s">
        <v>115</v>
      </c>
      <c r="B127" s="338" t="s">
        <v>844</v>
      </c>
      <c r="C127" s="338" t="s">
        <v>33</v>
      </c>
      <c r="D127" s="338" t="s">
        <v>917</v>
      </c>
      <c r="E127" s="339" t="s">
        <v>34</v>
      </c>
      <c r="F127" s="344" t="s">
        <v>27</v>
      </c>
      <c r="G127" s="344"/>
      <c r="H127" s="339" t="s">
        <v>26</v>
      </c>
      <c r="I127" s="345">
        <v>2089.8000000000002</v>
      </c>
      <c r="J127" s="345"/>
      <c r="K127" s="342" t="s">
        <v>21</v>
      </c>
      <c r="L127" s="343">
        <v>1475953.24</v>
      </c>
    </row>
    <row r="128" spans="1:12" ht="51" x14ac:dyDescent="0.3">
      <c r="A128" s="337" t="s">
        <v>115</v>
      </c>
      <c r="B128" s="338" t="s">
        <v>844</v>
      </c>
      <c r="C128" s="338" t="s">
        <v>33</v>
      </c>
      <c r="D128" s="338" t="s">
        <v>918</v>
      </c>
      <c r="E128" s="339" t="s">
        <v>34</v>
      </c>
      <c r="F128" s="344" t="s">
        <v>27</v>
      </c>
      <c r="G128" s="344"/>
      <c r="H128" s="339" t="s">
        <v>26</v>
      </c>
      <c r="I128" s="345">
        <v>2515</v>
      </c>
      <c r="J128" s="345"/>
      <c r="K128" s="342" t="s">
        <v>21</v>
      </c>
      <c r="L128" s="343">
        <v>1473438.24</v>
      </c>
    </row>
    <row r="129" spans="1:12" ht="51" x14ac:dyDescent="0.3">
      <c r="A129" s="337" t="s">
        <v>115</v>
      </c>
      <c r="B129" s="338" t="s">
        <v>844</v>
      </c>
      <c r="C129" s="338" t="s">
        <v>33</v>
      </c>
      <c r="D129" s="338" t="s">
        <v>919</v>
      </c>
      <c r="E129" s="339" t="s">
        <v>34</v>
      </c>
      <c r="F129" s="344" t="s">
        <v>27</v>
      </c>
      <c r="G129" s="344"/>
      <c r="H129" s="339" t="s">
        <v>26</v>
      </c>
      <c r="I129" s="345">
        <v>2089.8000000000002</v>
      </c>
      <c r="J129" s="345"/>
      <c r="K129" s="342" t="s">
        <v>21</v>
      </c>
      <c r="L129" s="343">
        <v>1471348.44</v>
      </c>
    </row>
    <row r="130" spans="1:12" ht="51" x14ac:dyDescent="0.3">
      <c r="A130" s="337" t="s">
        <v>115</v>
      </c>
      <c r="B130" s="338" t="s">
        <v>844</v>
      </c>
      <c r="C130" s="338" t="s">
        <v>33</v>
      </c>
      <c r="D130" s="338" t="s">
        <v>920</v>
      </c>
      <c r="E130" s="339" t="s">
        <v>34</v>
      </c>
      <c r="F130" s="344" t="s">
        <v>27</v>
      </c>
      <c r="G130" s="344"/>
      <c r="H130" s="339" t="s">
        <v>26</v>
      </c>
      <c r="I130" s="345">
        <v>2107.6999999999998</v>
      </c>
      <c r="J130" s="345"/>
      <c r="K130" s="342" t="s">
        <v>21</v>
      </c>
      <c r="L130" s="343">
        <v>1469240.74</v>
      </c>
    </row>
    <row r="131" spans="1:12" ht="51" x14ac:dyDescent="0.3">
      <c r="A131" s="337" t="s">
        <v>115</v>
      </c>
      <c r="B131" s="338" t="s">
        <v>844</v>
      </c>
      <c r="C131" s="338" t="s">
        <v>33</v>
      </c>
      <c r="D131" s="338" t="s">
        <v>921</v>
      </c>
      <c r="E131" s="339" t="s">
        <v>34</v>
      </c>
      <c r="F131" s="344" t="s">
        <v>27</v>
      </c>
      <c r="G131" s="344"/>
      <c r="H131" s="339" t="s">
        <v>26</v>
      </c>
      <c r="I131" s="345">
        <v>1514.8</v>
      </c>
      <c r="J131" s="345"/>
      <c r="K131" s="342" t="s">
        <v>21</v>
      </c>
      <c r="L131" s="343">
        <v>1467725.94</v>
      </c>
    </row>
    <row r="132" spans="1:12" ht="51" x14ac:dyDescent="0.3">
      <c r="A132" s="337" t="s">
        <v>115</v>
      </c>
      <c r="B132" s="338" t="s">
        <v>844</v>
      </c>
      <c r="C132" s="338" t="s">
        <v>33</v>
      </c>
      <c r="D132" s="338" t="s">
        <v>922</v>
      </c>
      <c r="E132" s="339" t="s">
        <v>34</v>
      </c>
      <c r="F132" s="344" t="s">
        <v>27</v>
      </c>
      <c r="G132" s="344"/>
      <c r="H132" s="339" t="s">
        <v>26</v>
      </c>
      <c r="I132" s="345">
        <v>2108.4499999999998</v>
      </c>
      <c r="J132" s="345"/>
      <c r="K132" s="342" t="s">
        <v>21</v>
      </c>
      <c r="L132" s="343">
        <v>1465617.49</v>
      </c>
    </row>
    <row r="133" spans="1:12" ht="51" x14ac:dyDescent="0.3">
      <c r="A133" s="337" t="s">
        <v>115</v>
      </c>
      <c r="B133" s="338" t="s">
        <v>844</v>
      </c>
      <c r="C133" s="338" t="s">
        <v>33</v>
      </c>
      <c r="D133" s="338" t="s">
        <v>922</v>
      </c>
      <c r="E133" s="339" t="s">
        <v>34</v>
      </c>
      <c r="F133" s="344" t="s">
        <v>27</v>
      </c>
      <c r="G133" s="344"/>
      <c r="H133" s="339" t="s">
        <v>26</v>
      </c>
      <c r="I133" s="345">
        <v>10542.25</v>
      </c>
      <c r="J133" s="345"/>
      <c r="K133" s="342" t="s">
        <v>21</v>
      </c>
      <c r="L133" s="343">
        <v>1455075.24</v>
      </c>
    </row>
    <row r="134" spans="1:12" ht="51" x14ac:dyDescent="0.3">
      <c r="A134" s="337" t="s">
        <v>115</v>
      </c>
      <c r="B134" s="338" t="s">
        <v>844</v>
      </c>
      <c r="C134" s="338" t="s">
        <v>33</v>
      </c>
      <c r="D134" s="338" t="s">
        <v>923</v>
      </c>
      <c r="E134" s="339" t="s">
        <v>34</v>
      </c>
      <c r="F134" s="344" t="s">
        <v>27</v>
      </c>
      <c r="G134" s="344"/>
      <c r="H134" s="339" t="s">
        <v>26</v>
      </c>
      <c r="I134" s="345">
        <v>2087.6</v>
      </c>
      <c r="J134" s="345"/>
      <c r="K134" s="342" t="s">
        <v>21</v>
      </c>
      <c r="L134" s="343">
        <v>1452987.64</v>
      </c>
    </row>
    <row r="135" spans="1:12" ht="51" x14ac:dyDescent="0.3">
      <c r="A135" s="337" t="s">
        <v>115</v>
      </c>
      <c r="B135" s="338" t="s">
        <v>844</v>
      </c>
      <c r="C135" s="338" t="s">
        <v>33</v>
      </c>
      <c r="D135" s="338" t="s">
        <v>924</v>
      </c>
      <c r="E135" s="339" t="s">
        <v>34</v>
      </c>
      <c r="F135" s="344" t="s">
        <v>27</v>
      </c>
      <c r="G135" s="344"/>
      <c r="H135" s="339" t="s">
        <v>26</v>
      </c>
      <c r="I135" s="345">
        <v>4287</v>
      </c>
      <c r="J135" s="345"/>
      <c r="K135" s="342" t="s">
        <v>21</v>
      </c>
      <c r="L135" s="343">
        <v>1448700.64</v>
      </c>
    </row>
    <row r="136" spans="1:12" ht="51" x14ac:dyDescent="0.3">
      <c r="A136" s="337" t="s">
        <v>115</v>
      </c>
      <c r="B136" s="338" t="s">
        <v>844</v>
      </c>
      <c r="C136" s="338" t="s">
        <v>33</v>
      </c>
      <c r="D136" s="338" t="s">
        <v>925</v>
      </c>
      <c r="E136" s="339" t="s">
        <v>34</v>
      </c>
      <c r="F136" s="344" t="s">
        <v>27</v>
      </c>
      <c r="G136" s="344"/>
      <c r="H136" s="339" t="s">
        <v>26</v>
      </c>
      <c r="I136" s="345">
        <v>2513.5</v>
      </c>
      <c r="J136" s="345"/>
      <c r="K136" s="342" t="s">
        <v>21</v>
      </c>
      <c r="L136" s="343">
        <v>1446187.14</v>
      </c>
    </row>
    <row r="137" spans="1:12" ht="51" x14ac:dyDescent="0.3">
      <c r="A137" s="337" t="s">
        <v>115</v>
      </c>
      <c r="B137" s="338" t="s">
        <v>844</v>
      </c>
      <c r="C137" s="338" t="s">
        <v>33</v>
      </c>
      <c r="D137" s="338" t="s">
        <v>926</v>
      </c>
      <c r="E137" s="339" t="s">
        <v>34</v>
      </c>
      <c r="F137" s="344" t="s">
        <v>27</v>
      </c>
      <c r="G137" s="344"/>
      <c r="H137" s="339" t="s">
        <v>26</v>
      </c>
      <c r="I137" s="345">
        <v>2877.4</v>
      </c>
      <c r="J137" s="345"/>
      <c r="K137" s="342" t="s">
        <v>21</v>
      </c>
      <c r="L137" s="343">
        <v>1443309.74</v>
      </c>
    </row>
    <row r="138" spans="1:12" ht="51" x14ac:dyDescent="0.3">
      <c r="A138" s="337" t="s">
        <v>115</v>
      </c>
      <c r="B138" s="338" t="s">
        <v>844</v>
      </c>
      <c r="C138" s="338" t="s">
        <v>33</v>
      </c>
      <c r="D138" s="338" t="s">
        <v>927</v>
      </c>
      <c r="E138" s="339" t="s">
        <v>34</v>
      </c>
      <c r="F138" s="344" t="s">
        <v>27</v>
      </c>
      <c r="G138" s="344"/>
      <c r="H138" s="339" t="s">
        <v>26</v>
      </c>
      <c r="I138" s="345">
        <v>1352.9</v>
      </c>
      <c r="J138" s="345"/>
      <c r="K138" s="342" t="s">
        <v>21</v>
      </c>
      <c r="L138" s="343">
        <v>1441956.84</v>
      </c>
    </row>
    <row r="139" spans="1:12" ht="51" x14ac:dyDescent="0.3">
      <c r="A139" s="337" t="s">
        <v>115</v>
      </c>
      <c r="B139" s="338" t="s">
        <v>844</v>
      </c>
      <c r="C139" s="338" t="s">
        <v>33</v>
      </c>
      <c r="D139" s="338" t="s">
        <v>928</v>
      </c>
      <c r="E139" s="339" t="s">
        <v>34</v>
      </c>
      <c r="F139" s="344" t="s">
        <v>27</v>
      </c>
      <c r="G139" s="344"/>
      <c r="H139" s="339" t="s">
        <v>26</v>
      </c>
      <c r="I139" s="345">
        <v>1987.6</v>
      </c>
      <c r="J139" s="345"/>
      <c r="K139" s="342" t="s">
        <v>21</v>
      </c>
      <c r="L139" s="343">
        <v>1439969.24</v>
      </c>
    </row>
    <row r="140" spans="1:12" ht="51" x14ac:dyDescent="0.3">
      <c r="A140" s="337" t="s">
        <v>115</v>
      </c>
      <c r="B140" s="338" t="s">
        <v>844</v>
      </c>
      <c r="C140" s="338" t="s">
        <v>33</v>
      </c>
      <c r="D140" s="338" t="s">
        <v>929</v>
      </c>
      <c r="E140" s="339" t="s">
        <v>34</v>
      </c>
      <c r="F140" s="344" t="s">
        <v>27</v>
      </c>
      <c r="G140" s="344"/>
      <c r="H140" s="339" t="s">
        <v>26</v>
      </c>
      <c r="I140" s="345">
        <v>2493.3000000000002</v>
      </c>
      <c r="J140" s="345"/>
      <c r="K140" s="342" t="s">
        <v>21</v>
      </c>
      <c r="L140" s="343">
        <v>1437475.94</v>
      </c>
    </row>
    <row r="141" spans="1:12" ht="51" x14ac:dyDescent="0.3">
      <c r="A141" s="337" t="s">
        <v>115</v>
      </c>
      <c r="B141" s="338" t="s">
        <v>844</v>
      </c>
      <c r="C141" s="338" t="s">
        <v>33</v>
      </c>
      <c r="D141" s="338" t="s">
        <v>930</v>
      </c>
      <c r="E141" s="339" t="s">
        <v>34</v>
      </c>
      <c r="F141" s="344" t="s">
        <v>27</v>
      </c>
      <c r="G141" s="344"/>
      <c r="H141" s="339" t="s">
        <v>26</v>
      </c>
      <c r="I141" s="345">
        <v>3125</v>
      </c>
      <c r="J141" s="345"/>
      <c r="K141" s="342" t="s">
        <v>21</v>
      </c>
      <c r="L141" s="343">
        <v>1434350.94</v>
      </c>
    </row>
    <row r="142" spans="1:12" ht="51" x14ac:dyDescent="0.3">
      <c r="A142" s="337" t="s">
        <v>115</v>
      </c>
      <c r="B142" s="338" t="s">
        <v>844</v>
      </c>
      <c r="C142" s="338" t="s">
        <v>33</v>
      </c>
      <c r="D142" s="338" t="s">
        <v>931</v>
      </c>
      <c r="E142" s="339" t="s">
        <v>34</v>
      </c>
      <c r="F142" s="344" t="s">
        <v>27</v>
      </c>
      <c r="G142" s="344"/>
      <c r="H142" s="339" t="s">
        <v>26</v>
      </c>
      <c r="I142" s="345">
        <v>1352.2</v>
      </c>
      <c r="J142" s="345"/>
      <c r="K142" s="342" t="s">
        <v>21</v>
      </c>
      <c r="L142" s="343">
        <v>1432998.74</v>
      </c>
    </row>
    <row r="143" spans="1:12" ht="51" x14ac:dyDescent="0.3">
      <c r="A143" s="337" t="s">
        <v>115</v>
      </c>
      <c r="B143" s="338" t="s">
        <v>844</v>
      </c>
      <c r="C143" s="338" t="s">
        <v>33</v>
      </c>
      <c r="D143" s="338" t="s">
        <v>932</v>
      </c>
      <c r="E143" s="339" t="s">
        <v>34</v>
      </c>
      <c r="F143" s="344" t="s">
        <v>27</v>
      </c>
      <c r="G143" s="344"/>
      <c r="H143" s="339" t="s">
        <v>26</v>
      </c>
      <c r="I143" s="345">
        <v>3893.3</v>
      </c>
      <c r="J143" s="345"/>
      <c r="K143" s="342" t="s">
        <v>21</v>
      </c>
      <c r="L143" s="343">
        <v>1429105.44</v>
      </c>
    </row>
    <row r="144" spans="1:12" ht="51" x14ac:dyDescent="0.3">
      <c r="A144" s="337" t="s">
        <v>115</v>
      </c>
      <c r="B144" s="338" t="s">
        <v>844</v>
      </c>
      <c r="C144" s="338" t="s">
        <v>33</v>
      </c>
      <c r="D144" s="338" t="s">
        <v>933</v>
      </c>
      <c r="E144" s="339" t="s">
        <v>34</v>
      </c>
      <c r="F144" s="344" t="s">
        <v>27</v>
      </c>
      <c r="G144" s="344"/>
      <c r="H144" s="339" t="s">
        <v>26</v>
      </c>
      <c r="I144" s="345">
        <v>2274</v>
      </c>
      <c r="J144" s="345"/>
      <c r="K144" s="342" t="s">
        <v>21</v>
      </c>
      <c r="L144" s="343">
        <v>1426831.44</v>
      </c>
    </row>
    <row r="145" spans="1:12" ht="51" x14ac:dyDescent="0.3">
      <c r="A145" s="337" t="s">
        <v>115</v>
      </c>
      <c r="B145" s="338" t="s">
        <v>844</v>
      </c>
      <c r="C145" s="338" t="s">
        <v>33</v>
      </c>
      <c r="D145" s="338" t="s">
        <v>934</v>
      </c>
      <c r="E145" s="339" t="s">
        <v>34</v>
      </c>
      <c r="F145" s="344" t="s">
        <v>27</v>
      </c>
      <c r="G145" s="344"/>
      <c r="H145" s="339" t="s">
        <v>26</v>
      </c>
      <c r="I145" s="345">
        <v>2276.3000000000002</v>
      </c>
      <c r="J145" s="345"/>
      <c r="K145" s="342" t="s">
        <v>21</v>
      </c>
      <c r="L145" s="343">
        <v>1424555.14</v>
      </c>
    </row>
    <row r="146" spans="1:12" ht="51" x14ac:dyDescent="0.3">
      <c r="A146" s="337" t="s">
        <v>115</v>
      </c>
      <c r="B146" s="338" t="s">
        <v>844</v>
      </c>
      <c r="C146" s="338" t="s">
        <v>33</v>
      </c>
      <c r="D146" s="338" t="s">
        <v>935</v>
      </c>
      <c r="E146" s="339" t="s">
        <v>34</v>
      </c>
      <c r="F146" s="344" t="s">
        <v>27</v>
      </c>
      <c r="G146" s="344"/>
      <c r="H146" s="339" t="s">
        <v>26</v>
      </c>
      <c r="I146" s="345">
        <v>1745.3</v>
      </c>
      <c r="J146" s="345"/>
      <c r="K146" s="342" t="s">
        <v>21</v>
      </c>
      <c r="L146" s="343">
        <v>1422809.84</v>
      </c>
    </row>
    <row r="147" spans="1:12" ht="51" x14ac:dyDescent="0.3">
      <c r="A147" s="337" t="s">
        <v>115</v>
      </c>
      <c r="B147" s="338" t="s">
        <v>844</v>
      </c>
      <c r="C147" s="338" t="s">
        <v>33</v>
      </c>
      <c r="D147" s="338" t="s">
        <v>936</v>
      </c>
      <c r="E147" s="339" t="s">
        <v>34</v>
      </c>
      <c r="F147" s="344" t="s">
        <v>27</v>
      </c>
      <c r="G147" s="344"/>
      <c r="H147" s="339" t="s">
        <v>26</v>
      </c>
      <c r="I147" s="345">
        <v>2383.6999999999998</v>
      </c>
      <c r="J147" s="345"/>
      <c r="K147" s="342" t="s">
        <v>21</v>
      </c>
      <c r="L147" s="343">
        <v>1420426.14</v>
      </c>
    </row>
    <row r="148" spans="1:12" ht="51" x14ac:dyDescent="0.3">
      <c r="A148" s="337" t="s">
        <v>115</v>
      </c>
      <c r="B148" s="338" t="s">
        <v>844</v>
      </c>
      <c r="C148" s="338" t="s">
        <v>33</v>
      </c>
      <c r="D148" s="338" t="s">
        <v>937</v>
      </c>
      <c r="E148" s="339" t="s">
        <v>34</v>
      </c>
      <c r="F148" s="344" t="s">
        <v>27</v>
      </c>
      <c r="G148" s="344"/>
      <c r="H148" s="339" t="s">
        <v>26</v>
      </c>
      <c r="I148" s="345">
        <v>2402.3000000000002</v>
      </c>
      <c r="J148" s="345"/>
      <c r="K148" s="342" t="s">
        <v>21</v>
      </c>
      <c r="L148" s="343">
        <v>1418023.84</v>
      </c>
    </row>
    <row r="149" spans="1:12" ht="51" x14ac:dyDescent="0.3">
      <c r="A149" s="337" t="s">
        <v>115</v>
      </c>
      <c r="B149" s="338" t="s">
        <v>844</v>
      </c>
      <c r="C149" s="338" t="s">
        <v>33</v>
      </c>
      <c r="D149" s="338" t="s">
        <v>938</v>
      </c>
      <c r="E149" s="339" t="s">
        <v>34</v>
      </c>
      <c r="F149" s="344" t="s">
        <v>27</v>
      </c>
      <c r="G149" s="344"/>
      <c r="H149" s="339" t="s">
        <v>26</v>
      </c>
      <c r="I149" s="345">
        <v>4950.8</v>
      </c>
      <c r="J149" s="345"/>
      <c r="K149" s="342" t="s">
        <v>21</v>
      </c>
      <c r="L149" s="343">
        <v>1413073.04</v>
      </c>
    </row>
    <row r="150" spans="1:12" ht="51" x14ac:dyDescent="0.3">
      <c r="A150" s="337" t="s">
        <v>115</v>
      </c>
      <c r="B150" s="338" t="s">
        <v>844</v>
      </c>
      <c r="C150" s="338" t="s">
        <v>33</v>
      </c>
      <c r="D150" s="338" t="s">
        <v>939</v>
      </c>
      <c r="E150" s="339" t="s">
        <v>34</v>
      </c>
      <c r="F150" s="344" t="s">
        <v>27</v>
      </c>
      <c r="G150" s="344"/>
      <c r="H150" s="339" t="s">
        <v>26</v>
      </c>
      <c r="I150" s="345">
        <v>14728.6</v>
      </c>
      <c r="J150" s="345"/>
      <c r="K150" s="342" t="s">
        <v>21</v>
      </c>
      <c r="L150" s="343">
        <v>1398344.44</v>
      </c>
    </row>
    <row r="151" spans="1:12" ht="51" x14ac:dyDescent="0.3">
      <c r="A151" s="337" t="s">
        <v>115</v>
      </c>
      <c r="B151" s="338" t="s">
        <v>844</v>
      </c>
      <c r="C151" s="338" t="s">
        <v>33</v>
      </c>
      <c r="D151" s="338" t="s">
        <v>940</v>
      </c>
      <c r="E151" s="339" t="s">
        <v>34</v>
      </c>
      <c r="F151" s="344" t="s">
        <v>27</v>
      </c>
      <c r="G151" s="344"/>
      <c r="H151" s="339" t="s">
        <v>26</v>
      </c>
      <c r="I151" s="345">
        <v>2571.6</v>
      </c>
      <c r="J151" s="345"/>
      <c r="K151" s="342" t="s">
        <v>21</v>
      </c>
      <c r="L151" s="343">
        <v>1395772.84</v>
      </c>
    </row>
    <row r="152" spans="1:12" ht="51" x14ac:dyDescent="0.3">
      <c r="A152" s="337" t="s">
        <v>115</v>
      </c>
      <c r="B152" s="338" t="s">
        <v>844</v>
      </c>
      <c r="C152" s="338" t="s">
        <v>33</v>
      </c>
      <c r="D152" s="338" t="s">
        <v>941</v>
      </c>
      <c r="E152" s="339" t="s">
        <v>34</v>
      </c>
      <c r="F152" s="344" t="s">
        <v>27</v>
      </c>
      <c r="G152" s="344"/>
      <c r="H152" s="339" t="s">
        <v>26</v>
      </c>
      <c r="I152" s="345">
        <v>2128.6</v>
      </c>
      <c r="J152" s="345"/>
      <c r="K152" s="342" t="s">
        <v>21</v>
      </c>
      <c r="L152" s="343">
        <v>1393644.24</v>
      </c>
    </row>
    <row r="153" spans="1:12" ht="51" x14ac:dyDescent="0.3">
      <c r="A153" s="337" t="s">
        <v>115</v>
      </c>
      <c r="B153" s="338" t="s">
        <v>844</v>
      </c>
      <c r="C153" s="338" t="s">
        <v>33</v>
      </c>
      <c r="D153" s="338" t="s">
        <v>942</v>
      </c>
      <c r="E153" s="339" t="s">
        <v>34</v>
      </c>
      <c r="F153" s="344" t="s">
        <v>27</v>
      </c>
      <c r="G153" s="344"/>
      <c r="H153" s="339" t="s">
        <v>26</v>
      </c>
      <c r="I153" s="345">
        <v>1487.9</v>
      </c>
      <c r="J153" s="345"/>
      <c r="K153" s="342" t="s">
        <v>21</v>
      </c>
      <c r="L153" s="343">
        <v>1392156.34</v>
      </c>
    </row>
    <row r="154" spans="1:12" ht="51" x14ac:dyDescent="0.3">
      <c r="A154" s="337" t="s">
        <v>115</v>
      </c>
      <c r="B154" s="338" t="s">
        <v>844</v>
      </c>
      <c r="C154" s="338" t="s">
        <v>33</v>
      </c>
      <c r="D154" s="338" t="s">
        <v>943</v>
      </c>
      <c r="E154" s="339" t="s">
        <v>34</v>
      </c>
      <c r="F154" s="344" t="s">
        <v>27</v>
      </c>
      <c r="G154" s="344"/>
      <c r="H154" s="339" t="s">
        <v>26</v>
      </c>
      <c r="I154" s="345">
        <v>1840</v>
      </c>
      <c r="J154" s="345"/>
      <c r="K154" s="342" t="s">
        <v>21</v>
      </c>
      <c r="L154" s="343">
        <v>1390316.34</v>
      </c>
    </row>
    <row r="155" spans="1:12" ht="51" x14ac:dyDescent="0.3">
      <c r="A155" s="337" t="s">
        <v>115</v>
      </c>
      <c r="B155" s="338" t="s">
        <v>844</v>
      </c>
      <c r="C155" s="338" t="s">
        <v>33</v>
      </c>
      <c r="D155" s="338" t="s">
        <v>944</v>
      </c>
      <c r="E155" s="339" t="s">
        <v>34</v>
      </c>
      <c r="F155" s="344" t="s">
        <v>27</v>
      </c>
      <c r="G155" s="344"/>
      <c r="H155" s="339" t="s">
        <v>26</v>
      </c>
      <c r="I155" s="345">
        <v>1830.3</v>
      </c>
      <c r="J155" s="345"/>
      <c r="K155" s="342" t="s">
        <v>21</v>
      </c>
      <c r="L155" s="343">
        <v>1388486.04</v>
      </c>
    </row>
    <row r="156" spans="1:12" ht="51" x14ac:dyDescent="0.3">
      <c r="A156" s="337" t="s">
        <v>115</v>
      </c>
      <c r="B156" s="338" t="s">
        <v>844</v>
      </c>
      <c r="C156" s="338" t="s">
        <v>33</v>
      </c>
      <c r="D156" s="338" t="s">
        <v>945</v>
      </c>
      <c r="E156" s="339" t="s">
        <v>34</v>
      </c>
      <c r="F156" s="344" t="s">
        <v>27</v>
      </c>
      <c r="G156" s="344"/>
      <c r="H156" s="339" t="s">
        <v>26</v>
      </c>
      <c r="I156" s="345">
        <v>2091.3000000000002</v>
      </c>
      <c r="J156" s="345"/>
      <c r="K156" s="342" t="s">
        <v>21</v>
      </c>
      <c r="L156" s="343">
        <v>1386394.74</v>
      </c>
    </row>
    <row r="157" spans="1:12" ht="51" x14ac:dyDescent="0.3">
      <c r="A157" s="337" t="s">
        <v>115</v>
      </c>
      <c r="B157" s="338" t="s">
        <v>844</v>
      </c>
      <c r="C157" s="338" t="s">
        <v>33</v>
      </c>
      <c r="D157" s="338" t="s">
        <v>946</v>
      </c>
      <c r="E157" s="339" t="s">
        <v>34</v>
      </c>
      <c r="F157" s="344" t="s">
        <v>27</v>
      </c>
      <c r="G157" s="344"/>
      <c r="H157" s="339" t="s">
        <v>26</v>
      </c>
      <c r="I157" s="345">
        <v>3101.2</v>
      </c>
      <c r="J157" s="345"/>
      <c r="K157" s="342" t="s">
        <v>21</v>
      </c>
      <c r="L157" s="343">
        <v>1383293.54</v>
      </c>
    </row>
    <row r="158" spans="1:12" ht="51" x14ac:dyDescent="0.3">
      <c r="A158" s="337" t="s">
        <v>115</v>
      </c>
      <c r="B158" s="338" t="s">
        <v>844</v>
      </c>
      <c r="C158" s="338" t="s">
        <v>33</v>
      </c>
      <c r="D158" s="338" t="s">
        <v>947</v>
      </c>
      <c r="E158" s="339" t="s">
        <v>34</v>
      </c>
      <c r="F158" s="344" t="s">
        <v>27</v>
      </c>
      <c r="G158" s="344"/>
      <c r="H158" s="339" t="s">
        <v>26</v>
      </c>
      <c r="I158" s="345">
        <v>15543.1</v>
      </c>
      <c r="J158" s="345"/>
      <c r="K158" s="342" t="s">
        <v>21</v>
      </c>
      <c r="L158" s="343">
        <v>1367750.44</v>
      </c>
    </row>
    <row r="159" spans="1:12" ht="51" x14ac:dyDescent="0.3">
      <c r="A159" s="337" t="s">
        <v>115</v>
      </c>
      <c r="B159" s="338" t="s">
        <v>844</v>
      </c>
      <c r="C159" s="338" t="s">
        <v>33</v>
      </c>
      <c r="D159" s="338" t="s">
        <v>948</v>
      </c>
      <c r="E159" s="339" t="s">
        <v>34</v>
      </c>
      <c r="F159" s="344" t="s">
        <v>27</v>
      </c>
      <c r="G159" s="344"/>
      <c r="H159" s="339" t="s">
        <v>26</v>
      </c>
      <c r="I159" s="345">
        <v>4194.6000000000004</v>
      </c>
      <c r="J159" s="345"/>
      <c r="K159" s="342" t="s">
        <v>21</v>
      </c>
      <c r="L159" s="343">
        <v>1363555.84</v>
      </c>
    </row>
    <row r="160" spans="1:12" ht="51" x14ac:dyDescent="0.3">
      <c r="A160" s="337" t="s">
        <v>115</v>
      </c>
      <c r="B160" s="338" t="s">
        <v>844</v>
      </c>
      <c r="C160" s="338" t="s">
        <v>33</v>
      </c>
      <c r="D160" s="338" t="s">
        <v>949</v>
      </c>
      <c r="E160" s="339" t="s">
        <v>34</v>
      </c>
      <c r="F160" s="344" t="s">
        <v>27</v>
      </c>
      <c r="G160" s="344"/>
      <c r="H160" s="339" t="s">
        <v>26</v>
      </c>
      <c r="I160" s="345">
        <v>6314.2</v>
      </c>
      <c r="J160" s="345"/>
      <c r="K160" s="342" t="s">
        <v>21</v>
      </c>
      <c r="L160" s="343">
        <v>1357241.64</v>
      </c>
    </row>
    <row r="161" spans="1:12" ht="51" x14ac:dyDescent="0.3">
      <c r="A161" s="337" t="s">
        <v>115</v>
      </c>
      <c r="B161" s="338" t="s">
        <v>844</v>
      </c>
      <c r="C161" s="338" t="s">
        <v>33</v>
      </c>
      <c r="D161" s="338" t="s">
        <v>950</v>
      </c>
      <c r="E161" s="339" t="s">
        <v>34</v>
      </c>
      <c r="F161" s="344" t="s">
        <v>27</v>
      </c>
      <c r="G161" s="344"/>
      <c r="H161" s="339" t="s">
        <v>26</v>
      </c>
      <c r="I161" s="345">
        <v>2235.3000000000002</v>
      </c>
      <c r="J161" s="345"/>
      <c r="K161" s="342" t="s">
        <v>21</v>
      </c>
      <c r="L161" s="343">
        <v>1355006.34</v>
      </c>
    </row>
    <row r="162" spans="1:12" ht="51" x14ac:dyDescent="0.3">
      <c r="A162" s="337" t="s">
        <v>115</v>
      </c>
      <c r="B162" s="338" t="s">
        <v>844</v>
      </c>
      <c r="C162" s="338" t="s">
        <v>33</v>
      </c>
      <c r="D162" s="338" t="s">
        <v>951</v>
      </c>
      <c r="E162" s="339" t="s">
        <v>34</v>
      </c>
      <c r="F162" s="344" t="s">
        <v>27</v>
      </c>
      <c r="G162" s="344"/>
      <c r="H162" s="339" t="s">
        <v>26</v>
      </c>
      <c r="I162" s="345">
        <v>2235.3000000000002</v>
      </c>
      <c r="J162" s="345"/>
      <c r="K162" s="342" t="s">
        <v>21</v>
      </c>
      <c r="L162" s="343">
        <v>1352771.04</v>
      </c>
    </row>
    <row r="163" spans="1:12" ht="51" x14ac:dyDescent="0.3">
      <c r="A163" s="337" t="s">
        <v>115</v>
      </c>
      <c r="B163" s="338" t="s">
        <v>844</v>
      </c>
      <c r="C163" s="338" t="s">
        <v>33</v>
      </c>
      <c r="D163" s="338" t="s">
        <v>952</v>
      </c>
      <c r="E163" s="339" t="s">
        <v>34</v>
      </c>
      <c r="F163" s="344" t="s">
        <v>27</v>
      </c>
      <c r="G163" s="344"/>
      <c r="H163" s="339" t="s">
        <v>26</v>
      </c>
      <c r="I163" s="345">
        <v>2776</v>
      </c>
      <c r="J163" s="345"/>
      <c r="K163" s="342" t="s">
        <v>21</v>
      </c>
      <c r="L163" s="343">
        <v>1349995.04</v>
      </c>
    </row>
    <row r="164" spans="1:12" ht="51" x14ac:dyDescent="0.3">
      <c r="A164" s="337" t="s">
        <v>115</v>
      </c>
      <c r="B164" s="338" t="s">
        <v>844</v>
      </c>
      <c r="C164" s="338" t="s">
        <v>33</v>
      </c>
      <c r="D164" s="338" t="s">
        <v>953</v>
      </c>
      <c r="E164" s="339" t="s">
        <v>34</v>
      </c>
      <c r="F164" s="344" t="s">
        <v>27</v>
      </c>
      <c r="G164" s="344"/>
      <c r="H164" s="339" t="s">
        <v>26</v>
      </c>
      <c r="I164" s="345">
        <v>1784</v>
      </c>
      <c r="J164" s="345"/>
      <c r="K164" s="342" t="s">
        <v>21</v>
      </c>
      <c r="L164" s="343">
        <v>1348211.04</v>
      </c>
    </row>
    <row r="165" spans="1:12" ht="51" x14ac:dyDescent="0.3">
      <c r="A165" s="337" t="s">
        <v>115</v>
      </c>
      <c r="B165" s="338" t="s">
        <v>844</v>
      </c>
      <c r="C165" s="338" t="s">
        <v>33</v>
      </c>
      <c r="D165" s="338" t="s">
        <v>954</v>
      </c>
      <c r="E165" s="339" t="s">
        <v>34</v>
      </c>
      <c r="F165" s="344" t="s">
        <v>27</v>
      </c>
      <c r="G165" s="344"/>
      <c r="H165" s="339" t="s">
        <v>26</v>
      </c>
      <c r="I165" s="345">
        <v>16092.9</v>
      </c>
      <c r="J165" s="345"/>
      <c r="K165" s="342" t="s">
        <v>21</v>
      </c>
      <c r="L165" s="343">
        <v>1332118.1399999999</v>
      </c>
    </row>
    <row r="166" spans="1:12" ht="51" x14ac:dyDescent="0.3">
      <c r="A166" s="337" t="s">
        <v>115</v>
      </c>
      <c r="B166" s="338" t="s">
        <v>844</v>
      </c>
      <c r="C166" s="338" t="s">
        <v>33</v>
      </c>
      <c r="D166" s="338" t="s">
        <v>955</v>
      </c>
      <c r="E166" s="339" t="s">
        <v>34</v>
      </c>
      <c r="F166" s="344" t="s">
        <v>27</v>
      </c>
      <c r="G166" s="344"/>
      <c r="H166" s="339" t="s">
        <v>26</v>
      </c>
      <c r="I166" s="345">
        <v>13267.6</v>
      </c>
      <c r="J166" s="345"/>
      <c r="K166" s="342" t="s">
        <v>21</v>
      </c>
      <c r="L166" s="343">
        <v>1318850.54</v>
      </c>
    </row>
    <row r="167" spans="1:12" ht="51" x14ac:dyDescent="0.3">
      <c r="A167" s="337" t="s">
        <v>115</v>
      </c>
      <c r="B167" s="338" t="s">
        <v>844</v>
      </c>
      <c r="C167" s="338" t="s">
        <v>33</v>
      </c>
      <c r="D167" s="338" t="s">
        <v>956</v>
      </c>
      <c r="E167" s="339" t="s">
        <v>34</v>
      </c>
      <c r="F167" s="344" t="s">
        <v>27</v>
      </c>
      <c r="G167" s="344"/>
      <c r="H167" s="339" t="s">
        <v>26</v>
      </c>
      <c r="I167" s="345">
        <v>3250.3</v>
      </c>
      <c r="J167" s="345"/>
      <c r="K167" s="342" t="s">
        <v>21</v>
      </c>
      <c r="L167" s="343">
        <v>1315600.24</v>
      </c>
    </row>
    <row r="168" spans="1:12" ht="51" x14ac:dyDescent="0.3">
      <c r="A168" s="337" t="s">
        <v>115</v>
      </c>
      <c r="B168" s="338" t="s">
        <v>844</v>
      </c>
      <c r="C168" s="338" t="s">
        <v>33</v>
      </c>
      <c r="D168" s="338" t="s">
        <v>957</v>
      </c>
      <c r="E168" s="339" t="s">
        <v>34</v>
      </c>
      <c r="F168" s="344" t="s">
        <v>27</v>
      </c>
      <c r="G168" s="344"/>
      <c r="H168" s="339" t="s">
        <v>26</v>
      </c>
      <c r="I168" s="345">
        <v>2234.5</v>
      </c>
      <c r="J168" s="345"/>
      <c r="K168" s="342" t="s">
        <v>21</v>
      </c>
      <c r="L168" s="343">
        <v>1313365.74</v>
      </c>
    </row>
    <row r="169" spans="1:12" ht="51" x14ac:dyDescent="0.3">
      <c r="A169" s="337" t="s">
        <v>115</v>
      </c>
      <c r="B169" s="338" t="s">
        <v>844</v>
      </c>
      <c r="C169" s="338" t="s">
        <v>33</v>
      </c>
      <c r="D169" s="338" t="s">
        <v>958</v>
      </c>
      <c r="E169" s="339" t="s">
        <v>34</v>
      </c>
      <c r="F169" s="344" t="s">
        <v>27</v>
      </c>
      <c r="G169" s="344"/>
      <c r="H169" s="339" t="s">
        <v>26</v>
      </c>
      <c r="I169" s="345">
        <v>10534.9</v>
      </c>
      <c r="J169" s="345"/>
      <c r="K169" s="342" t="s">
        <v>21</v>
      </c>
      <c r="L169" s="343">
        <v>1302830.8400000001</v>
      </c>
    </row>
    <row r="170" spans="1:12" ht="51" x14ac:dyDescent="0.3">
      <c r="A170" s="337" t="s">
        <v>115</v>
      </c>
      <c r="B170" s="338" t="s">
        <v>844</v>
      </c>
      <c r="C170" s="338" t="s">
        <v>33</v>
      </c>
      <c r="D170" s="338" t="s">
        <v>959</v>
      </c>
      <c r="E170" s="339" t="s">
        <v>34</v>
      </c>
      <c r="F170" s="344" t="s">
        <v>27</v>
      </c>
      <c r="G170" s="344"/>
      <c r="H170" s="339" t="s">
        <v>26</v>
      </c>
      <c r="I170" s="345">
        <v>16934.099999999999</v>
      </c>
      <c r="J170" s="345"/>
      <c r="K170" s="342" t="s">
        <v>21</v>
      </c>
      <c r="L170" s="343">
        <v>1285896.74</v>
      </c>
    </row>
    <row r="171" spans="1:12" ht="51" x14ac:dyDescent="0.3">
      <c r="A171" s="337" t="s">
        <v>115</v>
      </c>
      <c r="B171" s="338" t="s">
        <v>844</v>
      </c>
      <c r="C171" s="338" t="s">
        <v>33</v>
      </c>
      <c r="D171" s="338" t="s">
        <v>960</v>
      </c>
      <c r="E171" s="339" t="s">
        <v>34</v>
      </c>
      <c r="F171" s="344" t="s">
        <v>27</v>
      </c>
      <c r="G171" s="344"/>
      <c r="H171" s="339" t="s">
        <v>26</v>
      </c>
      <c r="I171" s="345">
        <v>2741.7</v>
      </c>
      <c r="J171" s="345"/>
      <c r="K171" s="342" t="s">
        <v>21</v>
      </c>
      <c r="L171" s="343">
        <v>1283155.04</v>
      </c>
    </row>
    <row r="172" spans="1:12" ht="51" x14ac:dyDescent="0.3">
      <c r="A172" s="337" t="s">
        <v>115</v>
      </c>
      <c r="B172" s="338" t="s">
        <v>844</v>
      </c>
      <c r="C172" s="338" t="s">
        <v>33</v>
      </c>
      <c r="D172" s="338" t="s">
        <v>961</v>
      </c>
      <c r="E172" s="339" t="s">
        <v>34</v>
      </c>
      <c r="F172" s="344" t="s">
        <v>27</v>
      </c>
      <c r="G172" s="344"/>
      <c r="H172" s="339" t="s">
        <v>26</v>
      </c>
      <c r="I172" s="345">
        <v>2315.1</v>
      </c>
      <c r="J172" s="345"/>
      <c r="K172" s="342" t="s">
        <v>21</v>
      </c>
      <c r="L172" s="343">
        <v>1280839.94</v>
      </c>
    </row>
    <row r="173" spans="1:12" ht="51" x14ac:dyDescent="0.3">
      <c r="A173" s="337" t="s">
        <v>115</v>
      </c>
      <c r="B173" s="338" t="s">
        <v>844</v>
      </c>
      <c r="C173" s="338" t="s">
        <v>33</v>
      </c>
      <c r="D173" s="338" t="s">
        <v>962</v>
      </c>
      <c r="E173" s="339" t="s">
        <v>34</v>
      </c>
      <c r="F173" s="344" t="s">
        <v>27</v>
      </c>
      <c r="G173" s="344"/>
      <c r="H173" s="339" t="s">
        <v>26</v>
      </c>
      <c r="I173" s="345">
        <v>2541.1</v>
      </c>
      <c r="J173" s="345"/>
      <c r="K173" s="342" t="s">
        <v>21</v>
      </c>
      <c r="L173" s="343">
        <v>1278298.8400000001</v>
      </c>
    </row>
    <row r="174" spans="1:12" ht="51" x14ac:dyDescent="0.3">
      <c r="A174" s="337" t="s">
        <v>115</v>
      </c>
      <c r="B174" s="338" t="s">
        <v>844</v>
      </c>
      <c r="C174" s="338" t="s">
        <v>33</v>
      </c>
      <c r="D174" s="338" t="s">
        <v>963</v>
      </c>
      <c r="E174" s="339" t="s">
        <v>34</v>
      </c>
      <c r="F174" s="344" t="s">
        <v>27</v>
      </c>
      <c r="G174" s="344"/>
      <c r="H174" s="339" t="s">
        <v>26</v>
      </c>
      <c r="I174" s="345">
        <v>8596.4</v>
      </c>
      <c r="J174" s="345"/>
      <c r="K174" s="342" t="s">
        <v>21</v>
      </c>
      <c r="L174" s="343">
        <v>1269702.44</v>
      </c>
    </row>
    <row r="175" spans="1:12" ht="51" x14ac:dyDescent="0.3">
      <c r="A175" s="337" t="s">
        <v>115</v>
      </c>
      <c r="B175" s="338" t="s">
        <v>844</v>
      </c>
      <c r="C175" s="338" t="s">
        <v>33</v>
      </c>
      <c r="D175" s="338" t="s">
        <v>964</v>
      </c>
      <c r="E175" s="339" t="s">
        <v>34</v>
      </c>
      <c r="F175" s="344" t="s">
        <v>27</v>
      </c>
      <c r="G175" s="344"/>
      <c r="H175" s="339" t="s">
        <v>26</v>
      </c>
      <c r="I175" s="345">
        <v>9010.35</v>
      </c>
      <c r="J175" s="345"/>
      <c r="K175" s="342" t="s">
        <v>21</v>
      </c>
      <c r="L175" s="343">
        <v>1260692.0900000001</v>
      </c>
    </row>
    <row r="176" spans="1:12" ht="51" x14ac:dyDescent="0.3">
      <c r="A176" s="337" t="s">
        <v>115</v>
      </c>
      <c r="B176" s="338" t="s">
        <v>844</v>
      </c>
      <c r="C176" s="338" t="s">
        <v>33</v>
      </c>
      <c r="D176" s="338" t="s">
        <v>964</v>
      </c>
      <c r="E176" s="339" t="s">
        <v>34</v>
      </c>
      <c r="F176" s="344" t="s">
        <v>27</v>
      </c>
      <c r="G176" s="344"/>
      <c r="H176" s="339" t="s">
        <v>26</v>
      </c>
      <c r="I176" s="345">
        <v>9010.35</v>
      </c>
      <c r="J176" s="345"/>
      <c r="K176" s="342" t="s">
        <v>21</v>
      </c>
      <c r="L176" s="343">
        <v>1251681.74</v>
      </c>
    </row>
    <row r="177" spans="1:12" ht="51" x14ac:dyDescent="0.3">
      <c r="A177" s="337" t="s">
        <v>115</v>
      </c>
      <c r="B177" s="338" t="s">
        <v>844</v>
      </c>
      <c r="C177" s="338" t="s">
        <v>33</v>
      </c>
      <c r="D177" s="338" t="s">
        <v>965</v>
      </c>
      <c r="E177" s="339" t="s">
        <v>34</v>
      </c>
      <c r="F177" s="344" t="s">
        <v>27</v>
      </c>
      <c r="G177" s="344"/>
      <c r="H177" s="339" t="s">
        <v>26</v>
      </c>
      <c r="I177" s="345">
        <v>3404</v>
      </c>
      <c r="J177" s="345"/>
      <c r="K177" s="342" t="s">
        <v>21</v>
      </c>
      <c r="L177" s="343">
        <v>1248277.74</v>
      </c>
    </row>
    <row r="178" spans="1:12" ht="51" x14ac:dyDescent="0.3">
      <c r="A178" s="337" t="s">
        <v>115</v>
      </c>
      <c r="B178" s="338" t="s">
        <v>844</v>
      </c>
      <c r="C178" s="338" t="s">
        <v>33</v>
      </c>
      <c r="D178" s="338" t="s">
        <v>966</v>
      </c>
      <c r="E178" s="339" t="s">
        <v>34</v>
      </c>
      <c r="F178" s="344" t="s">
        <v>27</v>
      </c>
      <c r="G178" s="344"/>
      <c r="H178" s="339" t="s">
        <v>26</v>
      </c>
      <c r="I178" s="345">
        <v>2596.1999999999998</v>
      </c>
      <c r="J178" s="345"/>
      <c r="K178" s="342" t="s">
        <v>21</v>
      </c>
      <c r="L178" s="343">
        <v>1245681.54</v>
      </c>
    </row>
    <row r="179" spans="1:12" ht="51" x14ac:dyDescent="0.3">
      <c r="A179" s="337" t="s">
        <v>115</v>
      </c>
      <c r="B179" s="338" t="s">
        <v>844</v>
      </c>
      <c r="C179" s="338" t="s">
        <v>33</v>
      </c>
      <c r="D179" s="338" t="s">
        <v>967</v>
      </c>
      <c r="E179" s="339" t="s">
        <v>34</v>
      </c>
      <c r="F179" s="344" t="s">
        <v>27</v>
      </c>
      <c r="G179" s="344"/>
      <c r="H179" s="339" t="s">
        <v>26</v>
      </c>
      <c r="I179" s="345">
        <v>2060</v>
      </c>
      <c r="J179" s="345"/>
      <c r="K179" s="342" t="s">
        <v>21</v>
      </c>
      <c r="L179" s="343">
        <v>1243621.54</v>
      </c>
    </row>
    <row r="180" spans="1:12" ht="51" x14ac:dyDescent="0.3">
      <c r="A180" s="337" t="s">
        <v>115</v>
      </c>
      <c r="B180" s="338" t="s">
        <v>844</v>
      </c>
      <c r="C180" s="338" t="s">
        <v>33</v>
      </c>
      <c r="D180" s="338" t="s">
        <v>968</v>
      </c>
      <c r="E180" s="339" t="s">
        <v>34</v>
      </c>
      <c r="F180" s="344" t="s">
        <v>27</v>
      </c>
      <c r="G180" s="344"/>
      <c r="H180" s="339" t="s">
        <v>26</v>
      </c>
      <c r="I180" s="345">
        <v>2382.9</v>
      </c>
      <c r="J180" s="345"/>
      <c r="K180" s="342" t="s">
        <v>21</v>
      </c>
      <c r="L180" s="343">
        <v>1241238.6399999999</v>
      </c>
    </row>
    <row r="181" spans="1:12" ht="51" x14ac:dyDescent="0.3">
      <c r="A181" s="337" t="s">
        <v>115</v>
      </c>
      <c r="B181" s="338" t="s">
        <v>844</v>
      </c>
      <c r="C181" s="338" t="s">
        <v>33</v>
      </c>
      <c r="D181" s="338" t="s">
        <v>969</v>
      </c>
      <c r="E181" s="339" t="s">
        <v>34</v>
      </c>
      <c r="F181" s="344" t="s">
        <v>27</v>
      </c>
      <c r="G181" s="344"/>
      <c r="H181" s="339" t="s">
        <v>26</v>
      </c>
      <c r="I181" s="345">
        <v>17946.400000000001</v>
      </c>
      <c r="J181" s="345"/>
      <c r="K181" s="342" t="s">
        <v>21</v>
      </c>
      <c r="L181" s="343">
        <v>1223292.24</v>
      </c>
    </row>
    <row r="182" spans="1:12" ht="51" x14ac:dyDescent="0.3">
      <c r="A182" s="337" t="s">
        <v>115</v>
      </c>
      <c r="B182" s="338" t="s">
        <v>844</v>
      </c>
      <c r="C182" s="338" t="s">
        <v>33</v>
      </c>
      <c r="D182" s="338" t="s">
        <v>970</v>
      </c>
      <c r="E182" s="339" t="s">
        <v>34</v>
      </c>
      <c r="F182" s="344" t="s">
        <v>27</v>
      </c>
      <c r="G182" s="344"/>
      <c r="H182" s="339" t="s">
        <v>26</v>
      </c>
      <c r="I182" s="345">
        <v>12700</v>
      </c>
      <c r="J182" s="345"/>
      <c r="K182" s="342" t="s">
        <v>21</v>
      </c>
      <c r="L182" s="343">
        <v>1210592.24</v>
      </c>
    </row>
    <row r="183" spans="1:12" ht="51" x14ac:dyDescent="0.3">
      <c r="A183" s="337" t="s">
        <v>115</v>
      </c>
      <c r="B183" s="338" t="s">
        <v>844</v>
      </c>
      <c r="C183" s="338" t="s">
        <v>33</v>
      </c>
      <c r="D183" s="338" t="s">
        <v>971</v>
      </c>
      <c r="E183" s="339" t="s">
        <v>34</v>
      </c>
      <c r="F183" s="344" t="s">
        <v>27</v>
      </c>
      <c r="G183" s="344"/>
      <c r="H183" s="339" t="s">
        <v>26</v>
      </c>
      <c r="I183" s="345">
        <v>2046.6</v>
      </c>
      <c r="J183" s="345"/>
      <c r="K183" s="342" t="s">
        <v>21</v>
      </c>
      <c r="L183" s="343">
        <v>1208545.6399999999</v>
      </c>
    </row>
    <row r="184" spans="1:12" ht="51" x14ac:dyDescent="0.3">
      <c r="A184" s="337" t="s">
        <v>115</v>
      </c>
      <c r="B184" s="338" t="s">
        <v>844</v>
      </c>
      <c r="C184" s="338" t="s">
        <v>33</v>
      </c>
      <c r="D184" s="338" t="s">
        <v>972</v>
      </c>
      <c r="E184" s="339" t="s">
        <v>34</v>
      </c>
      <c r="F184" s="344" t="s">
        <v>27</v>
      </c>
      <c r="G184" s="344"/>
      <c r="H184" s="339" t="s">
        <v>26</v>
      </c>
      <c r="I184" s="345">
        <v>1171</v>
      </c>
      <c r="J184" s="345"/>
      <c r="K184" s="342" t="s">
        <v>21</v>
      </c>
      <c r="L184" s="343">
        <v>1207374.6399999999</v>
      </c>
    </row>
    <row r="185" spans="1:12" ht="51" x14ac:dyDescent="0.3">
      <c r="A185" s="337" t="s">
        <v>115</v>
      </c>
      <c r="B185" s="338" t="s">
        <v>844</v>
      </c>
      <c r="C185" s="338" t="s">
        <v>33</v>
      </c>
      <c r="D185" s="338" t="s">
        <v>973</v>
      </c>
      <c r="E185" s="339" t="s">
        <v>34</v>
      </c>
      <c r="F185" s="344" t="s">
        <v>27</v>
      </c>
      <c r="G185" s="344"/>
      <c r="H185" s="339" t="s">
        <v>26</v>
      </c>
      <c r="I185" s="345">
        <v>2611.1999999999998</v>
      </c>
      <c r="J185" s="345"/>
      <c r="K185" s="342" t="s">
        <v>21</v>
      </c>
      <c r="L185" s="343">
        <v>1204763.44</v>
      </c>
    </row>
    <row r="186" spans="1:12" ht="51" x14ac:dyDescent="0.3">
      <c r="A186" s="337" t="s">
        <v>115</v>
      </c>
      <c r="B186" s="338" t="s">
        <v>844</v>
      </c>
      <c r="C186" s="338" t="s">
        <v>33</v>
      </c>
      <c r="D186" s="338" t="s">
        <v>974</v>
      </c>
      <c r="E186" s="339" t="s">
        <v>34</v>
      </c>
      <c r="F186" s="344" t="s">
        <v>27</v>
      </c>
      <c r="G186" s="344"/>
      <c r="H186" s="339" t="s">
        <v>26</v>
      </c>
      <c r="I186" s="345">
        <v>3078.8</v>
      </c>
      <c r="J186" s="345"/>
      <c r="K186" s="342" t="s">
        <v>21</v>
      </c>
      <c r="L186" s="343">
        <v>1201684.6399999999</v>
      </c>
    </row>
    <row r="187" spans="1:12" ht="51" x14ac:dyDescent="0.3">
      <c r="A187" s="337" t="s">
        <v>115</v>
      </c>
      <c r="B187" s="338" t="s">
        <v>844</v>
      </c>
      <c r="C187" s="338" t="s">
        <v>33</v>
      </c>
      <c r="D187" s="338" t="s">
        <v>975</v>
      </c>
      <c r="E187" s="339" t="s">
        <v>34</v>
      </c>
      <c r="F187" s="344" t="s">
        <v>27</v>
      </c>
      <c r="G187" s="344"/>
      <c r="H187" s="339" t="s">
        <v>26</v>
      </c>
      <c r="I187" s="345">
        <v>2699.9</v>
      </c>
      <c r="J187" s="345"/>
      <c r="K187" s="342" t="s">
        <v>21</v>
      </c>
      <c r="L187" s="343">
        <v>1198984.74</v>
      </c>
    </row>
    <row r="188" spans="1:12" ht="51" x14ac:dyDescent="0.3">
      <c r="A188" s="337" t="s">
        <v>115</v>
      </c>
      <c r="B188" s="338" t="s">
        <v>844</v>
      </c>
      <c r="C188" s="338" t="s">
        <v>33</v>
      </c>
      <c r="D188" s="338" t="s">
        <v>976</v>
      </c>
      <c r="E188" s="339" t="s">
        <v>34</v>
      </c>
      <c r="F188" s="344" t="s">
        <v>27</v>
      </c>
      <c r="G188" s="344"/>
      <c r="H188" s="339" t="s">
        <v>26</v>
      </c>
      <c r="I188" s="345">
        <v>6863.2</v>
      </c>
      <c r="J188" s="345"/>
      <c r="K188" s="342" t="s">
        <v>21</v>
      </c>
      <c r="L188" s="343">
        <v>1192121.54</v>
      </c>
    </row>
    <row r="189" spans="1:12" ht="51" x14ac:dyDescent="0.3">
      <c r="A189" s="337" t="s">
        <v>115</v>
      </c>
      <c r="B189" s="338" t="s">
        <v>844</v>
      </c>
      <c r="C189" s="338" t="s">
        <v>33</v>
      </c>
      <c r="D189" s="338" t="s">
        <v>977</v>
      </c>
      <c r="E189" s="339" t="s">
        <v>34</v>
      </c>
      <c r="F189" s="344" t="s">
        <v>27</v>
      </c>
      <c r="G189" s="344"/>
      <c r="H189" s="339" t="s">
        <v>26</v>
      </c>
      <c r="I189" s="345">
        <v>5003</v>
      </c>
      <c r="J189" s="345"/>
      <c r="K189" s="342" t="s">
        <v>21</v>
      </c>
      <c r="L189" s="343">
        <v>1187118.54</v>
      </c>
    </row>
    <row r="190" spans="1:12" ht="51" x14ac:dyDescent="0.3">
      <c r="A190" s="337" t="s">
        <v>115</v>
      </c>
      <c r="B190" s="338" t="s">
        <v>844</v>
      </c>
      <c r="C190" s="338" t="s">
        <v>33</v>
      </c>
      <c r="D190" s="338" t="s">
        <v>978</v>
      </c>
      <c r="E190" s="339" t="s">
        <v>34</v>
      </c>
      <c r="F190" s="344" t="s">
        <v>27</v>
      </c>
      <c r="G190" s="344"/>
      <c r="H190" s="339" t="s">
        <v>26</v>
      </c>
      <c r="I190" s="345">
        <v>5566.9</v>
      </c>
      <c r="J190" s="345"/>
      <c r="K190" s="342" t="s">
        <v>21</v>
      </c>
      <c r="L190" s="343">
        <v>1181551.6399999999</v>
      </c>
    </row>
    <row r="191" spans="1:12" ht="51" x14ac:dyDescent="0.3">
      <c r="A191" s="337" t="s">
        <v>115</v>
      </c>
      <c r="B191" s="338" t="s">
        <v>844</v>
      </c>
      <c r="C191" s="338" t="s">
        <v>33</v>
      </c>
      <c r="D191" s="338" t="s">
        <v>979</v>
      </c>
      <c r="E191" s="339" t="s">
        <v>34</v>
      </c>
      <c r="F191" s="344" t="s">
        <v>27</v>
      </c>
      <c r="G191" s="344"/>
      <c r="H191" s="339" t="s">
        <v>26</v>
      </c>
      <c r="I191" s="345">
        <v>23599.5</v>
      </c>
      <c r="J191" s="345"/>
      <c r="K191" s="342" t="s">
        <v>21</v>
      </c>
      <c r="L191" s="343">
        <v>1157952.1399999999</v>
      </c>
    </row>
    <row r="192" spans="1:12" ht="51" x14ac:dyDescent="0.3">
      <c r="A192" s="337" t="s">
        <v>115</v>
      </c>
      <c r="B192" s="338" t="s">
        <v>844</v>
      </c>
      <c r="C192" s="338" t="s">
        <v>33</v>
      </c>
      <c r="D192" s="338" t="s">
        <v>980</v>
      </c>
      <c r="E192" s="339" t="s">
        <v>34</v>
      </c>
      <c r="F192" s="344" t="s">
        <v>27</v>
      </c>
      <c r="G192" s="344"/>
      <c r="H192" s="339" t="s">
        <v>26</v>
      </c>
      <c r="I192" s="345">
        <v>4016.3</v>
      </c>
      <c r="J192" s="345"/>
      <c r="K192" s="342" t="s">
        <v>21</v>
      </c>
      <c r="L192" s="343">
        <v>1153935.8400000001</v>
      </c>
    </row>
    <row r="193" spans="1:12" ht="51" x14ac:dyDescent="0.3">
      <c r="A193" s="337" t="s">
        <v>115</v>
      </c>
      <c r="B193" s="338" t="s">
        <v>844</v>
      </c>
      <c r="C193" s="338" t="s">
        <v>33</v>
      </c>
      <c r="D193" s="338" t="s">
        <v>981</v>
      </c>
      <c r="E193" s="339" t="s">
        <v>34</v>
      </c>
      <c r="F193" s="344" t="s">
        <v>27</v>
      </c>
      <c r="G193" s="344"/>
      <c r="H193" s="339" t="s">
        <v>26</v>
      </c>
      <c r="I193" s="345">
        <v>3395</v>
      </c>
      <c r="J193" s="345"/>
      <c r="K193" s="342" t="s">
        <v>21</v>
      </c>
      <c r="L193" s="343">
        <v>1150540.8400000001</v>
      </c>
    </row>
    <row r="194" spans="1:12" ht="51" x14ac:dyDescent="0.3">
      <c r="A194" s="337" t="s">
        <v>115</v>
      </c>
      <c r="B194" s="338" t="s">
        <v>844</v>
      </c>
      <c r="C194" s="338" t="s">
        <v>33</v>
      </c>
      <c r="D194" s="338" t="s">
        <v>982</v>
      </c>
      <c r="E194" s="339" t="s">
        <v>34</v>
      </c>
      <c r="F194" s="344" t="s">
        <v>27</v>
      </c>
      <c r="G194" s="344"/>
      <c r="H194" s="339" t="s">
        <v>26</v>
      </c>
      <c r="I194" s="345">
        <v>4148.3</v>
      </c>
      <c r="J194" s="345"/>
      <c r="K194" s="342" t="s">
        <v>21</v>
      </c>
      <c r="L194" s="343">
        <v>1146392.54</v>
      </c>
    </row>
    <row r="195" spans="1:12" ht="51" x14ac:dyDescent="0.3">
      <c r="A195" s="337" t="s">
        <v>115</v>
      </c>
      <c r="B195" s="338" t="s">
        <v>844</v>
      </c>
      <c r="C195" s="338" t="s">
        <v>33</v>
      </c>
      <c r="D195" s="338" t="s">
        <v>983</v>
      </c>
      <c r="E195" s="339" t="s">
        <v>34</v>
      </c>
      <c r="F195" s="344" t="s">
        <v>27</v>
      </c>
      <c r="G195" s="344"/>
      <c r="H195" s="339" t="s">
        <v>26</v>
      </c>
      <c r="I195" s="345">
        <v>3070.6</v>
      </c>
      <c r="J195" s="345"/>
      <c r="K195" s="342" t="s">
        <v>21</v>
      </c>
      <c r="L195" s="343">
        <v>1143321.94</v>
      </c>
    </row>
    <row r="196" spans="1:12" ht="51" x14ac:dyDescent="0.3">
      <c r="A196" s="337" t="s">
        <v>115</v>
      </c>
      <c r="B196" s="338" t="s">
        <v>844</v>
      </c>
      <c r="C196" s="338" t="s">
        <v>33</v>
      </c>
      <c r="D196" s="338" t="s">
        <v>984</v>
      </c>
      <c r="E196" s="339" t="s">
        <v>34</v>
      </c>
      <c r="F196" s="344" t="s">
        <v>27</v>
      </c>
      <c r="G196" s="344"/>
      <c r="H196" s="339" t="s">
        <v>26</v>
      </c>
      <c r="I196" s="345">
        <v>7009.4</v>
      </c>
      <c r="J196" s="345"/>
      <c r="K196" s="342" t="s">
        <v>21</v>
      </c>
      <c r="L196" s="343">
        <v>1136312.54</v>
      </c>
    </row>
    <row r="197" spans="1:12" ht="51" x14ac:dyDescent="0.3">
      <c r="A197" s="337" t="s">
        <v>115</v>
      </c>
      <c r="B197" s="338" t="s">
        <v>844</v>
      </c>
      <c r="C197" s="338" t="s">
        <v>33</v>
      </c>
      <c r="D197" s="338" t="s">
        <v>985</v>
      </c>
      <c r="E197" s="339" t="s">
        <v>34</v>
      </c>
      <c r="F197" s="344" t="s">
        <v>27</v>
      </c>
      <c r="G197" s="344"/>
      <c r="H197" s="339" t="s">
        <v>26</v>
      </c>
      <c r="I197" s="345">
        <v>3559.9</v>
      </c>
      <c r="J197" s="345"/>
      <c r="K197" s="342" t="s">
        <v>21</v>
      </c>
      <c r="L197" s="343">
        <v>1132752.6399999999</v>
      </c>
    </row>
    <row r="198" spans="1:12" ht="51" x14ac:dyDescent="0.3">
      <c r="A198" s="337" t="s">
        <v>115</v>
      </c>
      <c r="B198" s="338" t="s">
        <v>844</v>
      </c>
      <c r="C198" s="338" t="s">
        <v>33</v>
      </c>
      <c r="D198" s="338" t="s">
        <v>986</v>
      </c>
      <c r="E198" s="339" t="s">
        <v>34</v>
      </c>
      <c r="F198" s="344" t="s">
        <v>27</v>
      </c>
      <c r="G198" s="344"/>
      <c r="H198" s="339" t="s">
        <v>26</v>
      </c>
      <c r="I198" s="345">
        <v>6972.1</v>
      </c>
      <c r="J198" s="345"/>
      <c r="K198" s="342" t="s">
        <v>21</v>
      </c>
      <c r="L198" s="343">
        <v>1125780.54</v>
      </c>
    </row>
    <row r="199" spans="1:12" ht="51" x14ac:dyDescent="0.3">
      <c r="A199" s="337" t="s">
        <v>115</v>
      </c>
      <c r="B199" s="338" t="s">
        <v>844</v>
      </c>
      <c r="C199" s="338" t="s">
        <v>33</v>
      </c>
      <c r="D199" s="338" t="s">
        <v>986</v>
      </c>
      <c r="E199" s="339" t="s">
        <v>34</v>
      </c>
      <c r="F199" s="344" t="s">
        <v>27</v>
      </c>
      <c r="G199" s="344"/>
      <c r="H199" s="339" t="s">
        <v>26</v>
      </c>
      <c r="I199" s="345">
        <v>35505</v>
      </c>
      <c r="J199" s="345"/>
      <c r="K199" s="342" t="s">
        <v>21</v>
      </c>
      <c r="L199" s="343">
        <v>1090275.54</v>
      </c>
    </row>
    <row r="200" spans="1:12" ht="51" x14ac:dyDescent="0.3">
      <c r="A200" s="337" t="s">
        <v>115</v>
      </c>
      <c r="B200" s="338" t="s">
        <v>844</v>
      </c>
      <c r="C200" s="338" t="s">
        <v>33</v>
      </c>
      <c r="D200" s="338" t="s">
        <v>987</v>
      </c>
      <c r="E200" s="339" t="s">
        <v>34</v>
      </c>
      <c r="F200" s="344" t="s">
        <v>27</v>
      </c>
      <c r="G200" s="344"/>
      <c r="H200" s="339" t="s">
        <v>26</v>
      </c>
      <c r="I200" s="345">
        <v>3964.9</v>
      </c>
      <c r="J200" s="345"/>
      <c r="K200" s="342" t="s">
        <v>21</v>
      </c>
      <c r="L200" s="343">
        <v>1086310.6399999999</v>
      </c>
    </row>
    <row r="201" spans="1:12" ht="51" x14ac:dyDescent="0.3">
      <c r="A201" s="337" t="s">
        <v>115</v>
      </c>
      <c r="B201" s="338" t="s">
        <v>844</v>
      </c>
      <c r="C201" s="338" t="s">
        <v>33</v>
      </c>
      <c r="D201" s="338" t="s">
        <v>988</v>
      </c>
      <c r="E201" s="339" t="s">
        <v>34</v>
      </c>
      <c r="F201" s="344" t="s">
        <v>27</v>
      </c>
      <c r="G201" s="344"/>
      <c r="H201" s="339" t="s">
        <v>26</v>
      </c>
      <c r="I201" s="345">
        <v>4229.6000000000004</v>
      </c>
      <c r="J201" s="345"/>
      <c r="K201" s="342" t="s">
        <v>21</v>
      </c>
      <c r="L201" s="343">
        <v>1082081.04</v>
      </c>
    </row>
    <row r="202" spans="1:12" ht="51" x14ac:dyDescent="0.3">
      <c r="A202" s="337" t="s">
        <v>115</v>
      </c>
      <c r="B202" s="338" t="s">
        <v>844</v>
      </c>
      <c r="C202" s="338" t="s">
        <v>33</v>
      </c>
      <c r="D202" s="338" t="s">
        <v>989</v>
      </c>
      <c r="E202" s="339" t="s">
        <v>34</v>
      </c>
      <c r="F202" s="344" t="s">
        <v>27</v>
      </c>
      <c r="G202" s="344"/>
      <c r="H202" s="339" t="s">
        <v>26</v>
      </c>
      <c r="I202" s="345">
        <v>16305.5</v>
      </c>
      <c r="J202" s="345"/>
      <c r="K202" s="342" t="s">
        <v>21</v>
      </c>
      <c r="L202" s="343">
        <v>1065775.54</v>
      </c>
    </row>
    <row r="203" spans="1:12" ht="51" x14ac:dyDescent="0.3">
      <c r="A203" s="337" t="s">
        <v>115</v>
      </c>
      <c r="B203" s="338" t="s">
        <v>844</v>
      </c>
      <c r="C203" s="338" t="s">
        <v>33</v>
      </c>
      <c r="D203" s="338" t="s">
        <v>990</v>
      </c>
      <c r="E203" s="339" t="s">
        <v>34</v>
      </c>
      <c r="F203" s="344" t="s">
        <v>27</v>
      </c>
      <c r="G203" s="344"/>
      <c r="H203" s="339" t="s">
        <v>26</v>
      </c>
      <c r="I203" s="345">
        <v>4189.3</v>
      </c>
      <c r="J203" s="345"/>
      <c r="K203" s="342" t="s">
        <v>21</v>
      </c>
      <c r="L203" s="343">
        <v>1061586.24</v>
      </c>
    </row>
    <row r="204" spans="1:12" ht="51" x14ac:dyDescent="0.3">
      <c r="A204" s="337" t="s">
        <v>115</v>
      </c>
      <c r="B204" s="338" t="s">
        <v>844</v>
      </c>
      <c r="C204" s="338" t="s">
        <v>33</v>
      </c>
      <c r="D204" s="338" t="s">
        <v>991</v>
      </c>
      <c r="E204" s="339" t="s">
        <v>34</v>
      </c>
      <c r="F204" s="344" t="s">
        <v>27</v>
      </c>
      <c r="G204" s="344"/>
      <c r="H204" s="339" t="s">
        <v>26</v>
      </c>
      <c r="I204" s="345">
        <v>21484.7</v>
      </c>
      <c r="J204" s="345"/>
      <c r="K204" s="342" t="s">
        <v>21</v>
      </c>
      <c r="L204" s="343">
        <v>1040101.54</v>
      </c>
    </row>
    <row r="205" spans="1:12" ht="51" x14ac:dyDescent="0.3">
      <c r="A205" s="337" t="s">
        <v>115</v>
      </c>
      <c r="B205" s="338" t="s">
        <v>844</v>
      </c>
      <c r="C205" s="338" t="s">
        <v>33</v>
      </c>
      <c r="D205" s="338" t="s">
        <v>992</v>
      </c>
      <c r="E205" s="339" t="s">
        <v>34</v>
      </c>
      <c r="F205" s="344" t="s">
        <v>27</v>
      </c>
      <c r="G205" s="344"/>
      <c r="H205" s="339" t="s">
        <v>26</v>
      </c>
      <c r="I205" s="345">
        <v>4240.1000000000004</v>
      </c>
      <c r="J205" s="345"/>
      <c r="K205" s="342" t="s">
        <v>21</v>
      </c>
      <c r="L205" s="343">
        <v>1035861.44</v>
      </c>
    </row>
    <row r="206" spans="1:12" ht="51" x14ac:dyDescent="0.3">
      <c r="A206" s="337" t="s">
        <v>115</v>
      </c>
      <c r="B206" s="338" t="s">
        <v>844</v>
      </c>
      <c r="C206" s="338" t="s">
        <v>33</v>
      </c>
      <c r="D206" s="338" t="s">
        <v>993</v>
      </c>
      <c r="E206" s="339" t="s">
        <v>34</v>
      </c>
      <c r="F206" s="344" t="s">
        <v>27</v>
      </c>
      <c r="G206" s="344"/>
      <c r="H206" s="339" t="s">
        <v>26</v>
      </c>
      <c r="I206" s="345">
        <v>3178.7</v>
      </c>
      <c r="J206" s="345"/>
      <c r="K206" s="342" t="s">
        <v>21</v>
      </c>
      <c r="L206" s="343">
        <v>1032682.74</v>
      </c>
    </row>
    <row r="207" spans="1:12" ht="51" x14ac:dyDescent="0.3">
      <c r="A207" s="337" t="s">
        <v>115</v>
      </c>
      <c r="B207" s="338" t="s">
        <v>844</v>
      </c>
      <c r="C207" s="338" t="s">
        <v>33</v>
      </c>
      <c r="D207" s="338" t="s">
        <v>994</v>
      </c>
      <c r="E207" s="339" t="s">
        <v>34</v>
      </c>
      <c r="F207" s="344" t="s">
        <v>27</v>
      </c>
      <c r="G207" s="344"/>
      <c r="H207" s="339" t="s">
        <v>26</v>
      </c>
      <c r="I207" s="345">
        <v>40099</v>
      </c>
      <c r="J207" s="345"/>
      <c r="K207" s="342" t="s">
        <v>21</v>
      </c>
      <c r="L207" s="343">
        <v>992583.74</v>
      </c>
    </row>
    <row r="208" spans="1:12" ht="51" x14ac:dyDescent="0.3">
      <c r="A208" s="337" t="s">
        <v>115</v>
      </c>
      <c r="B208" s="338" t="s">
        <v>844</v>
      </c>
      <c r="C208" s="338" t="s">
        <v>33</v>
      </c>
      <c r="D208" s="338" t="s">
        <v>995</v>
      </c>
      <c r="E208" s="339" t="s">
        <v>34</v>
      </c>
      <c r="F208" s="344" t="s">
        <v>27</v>
      </c>
      <c r="G208" s="344"/>
      <c r="H208" s="339" t="s">
        <v>26</v>
      </c>
      <c r="I208" s="345">
        <v>3761.2</v>
      </c>
      <c r="J208" s="345"/>
      <c r="K208" s="342" t="s">
        <v>21</v>
      </c>
      <c r="L208" s="343">
        <v>988822.54</v>
      </c>
    </row>
    <row r="209" spans="1:12" ht="51" x14ac:dyDescent="0.3">
      <c r="A209" s="337" t="s">
        <v>115</v>
      </c>
      <c r="B209" s="338" t="s">
        <v>844</v>
      </c>
      <c r="C209" s="338" t="s">
        <v>33</v>
      </c>
      <c r="D209" s="338" t="s">
        <v>996</v>
      </c>
      <c r="E209" s="339" t="s">
        <v>34</v>
      </c>
      <c r="F209" s="344" t="s">
        <v>27</v>
      </c>
      <c r="G209" s="344"/>
      <c r="H209" s="339" t="s">
        <v>26</v>
      </c>
      <c r="I209" s="345">
        <v>4442.2</v>
      </c>
      <c r="J209" s="345"/>
      <c r="K209" s="342" t="s">
        <v>21</v>
      </c>
      <c r="L209" s="343">
        <v>984380.34</v>
      </c>
    </row>
    <row r="210" spans="1:12" ht="51" x14ac:dyDescent="0.3">
      <c r="A210" s="337" t="s">
        <v>115</v>
      </c>
      <c r="B210" s="338" t="s">
        <v>844</v>
      </c>
      <c r="C210" s="338" t="s">
        <v>33</v>
      </c>
      <c r="D210" s="338" t="s">
        <v>997</v>
      </c>
      <c r="E210" s="339" t="s">
        <v>34</v>
      </c>
      <c r="F210" s="344" t="s">
        <v>27</v>
      </c>
      <c r="G210" s="344"/>
      <c r="H210" s="339" t="s">
        <v>26</v>
      </c>
      <c r="I210" s="345">
        <v>3299.6</v>
      </c>
      <c r="J210" s="345"/>
      <c r="K210" s="342" t="s">
        <v>21</v>
      </c>
      <c r="L210" s="343">
        <v>981080.74</v>
      </c>
    </row>
    <row r="211" spans="1:12" ht="51" x14ac:dyDescent="0.3">
      <c r="A211" s="337" t="s">
        <v>115</v>
      </c>
      <c r="B211" s="338" t="s">
        <v>844</v>
      </c>
      <c r="C211" s="338" t="s">
        <v>33</v>
      </c>
      <c r="D211" s="338" t="s">
        <v>998</v>
      </c>
      <c r="E211" s="339" t="s">
        <v>34</v>
      </c>
      <c r="F211" s="344" t="s">
        <v>27</v>
      </c>
      <c r="G211" s="344"/>
      <c r="H211" s="339" t="s">
        <v>26</v>
      </c>
      <c r="I211" s="345">
        <v>7524</v>
      </c>
      <c r="J211" s="345"/>
      <c r="K211" s="342" t="s">
        <v>21</v>
      </c>
      <c r="L211" s="343">
        <v>973556.74</v>
      </c>
    </row>
    <row r="212" spans="1:12" ht="51" x14ac:dyDescent="0.3">
      <c r="A212" s="337" t="s">
        <v>115</v>
      </c>
      <c r="B212" s="338" t="s">
        <v>844</v>
      </c>
      <c r="C212" s="338" t="s">
        <v>33</v>
      </c>
      <c r="D212" s="338" t="s">
        <v>999</v>
      </c>
      <c r="E212" s="339" t="s">
        <v>34</v>
      </c>
      <c r="F212" s="344" t="s">
        <v>27</v>
      </c>
      <c r="G212" s="344"/>
      <c r="H212" s="339" t="s">
        <v>26</v>
      </c>
      <c r="I212" s="345">
        <v>4328.1000000000004</v>
      </c>
      <c r="J212" s="345"/>
      <c r="K212" s="342" t="s">
        <v>21</v>
      </c>
      <c r="L212" s="343">
        <v>969228.64</v>
      </c>
    </row>
    <row r="213" spans="1:12" ht="51" x14ac:dyDescent="0.3">
      <c r="A213" s="337" t="s">
        <v>115</v>
      </c>
      <c r="B213" s="338" t="s">
        <v>844</v>
      </c>
      <c r="C213" s="338" t="s">
        <v>33</v>
      </c>
      <c r="D213" s="338" t="s">
        <v>1000</v>
      </c>
      <c r="E213" s="339" t="s">
        <v>34</v>
      </c>
      <c r="F213" s="344" t="s">
        <v>27</v>
      </c>
      <c r="G213" s="344"/>
      <c r="H213" s="339" t="s">
        <v>26</v>
      </c>
      <c r="I213" s="345">
        <v>14485.6</v>
      </c>
      <c r="J213" s="345"/>
      <c r="K213" s="342" t="s">
        <v>21</v>
      </c>
      <c r="L213" s="343">
        <v>954743.04</v>
      </c>
    </row>
    <row r="214" spans="1:12" ht="51" x14ac:dyDescent="0.3">
      <c r="A214" s="337" t="s">
        <v>115</v>
      </c>
      <c r="B214" s="338" t="s">
        <v>844</v>
      </c>
      <c r="C214" s="338" t="s">
        <v>33</v>
      </c>
      <c r="D214" s="338" t="s">
        <v>1001</v>
      </c>
      <c r="E214" s="339" t="s">
        <v>34</v>
      </c>
      <c r="F214" s="344" t="s">
        <v>27</v>
      </c>
      <c r="G214" s="344"/>
      <c r="H214" s="339" t="s">
        <v>26</v>
      </c>
      <c r="I214" s="345">
        <v>2402.3000000000002</v>
      </c>
      <c r="J214" s="345"/>
      <c r="K214" s="342" t="s">
        <v>21</v>
      </c>
      <c r="L214" s="343">
        <v>952340.74</v>
      </c>
    </row>
    <row r="215" spans="1:12" ht="51" x14ac:dyDescent="0.3">
      <c r="A215" s="337" t="s">
        <v>115</v>
      </c>
      <c r="B215" s="338" t="s">
        <v>844</v>
      </c>
      <c r="C215" s="338" t="s">
        <v>33</v>
      </c>
      <c r="D215" s="338" t="s">
        <v>1002</v>
      </c>
      <c r="E215" s="339" t="s">
        <v>34</v>
      </c>
      <c r="F215" s="344" t="s">
        <v>27</v>
      </c>
      <c r="G215" s="344"/>
      <c r="H215" s="339" t="s">
        <v>26</v>
      </c>
      <c r="I215" s="345">
        <v>3166.1</v>
      </c>
      <c r="J215" s="345"/>
      <c r="K215" s="342" t="s">
        <v>21</v>
      </c>
      <c r="L215" s="343">
        <v>949174.64</v>
      </c>
    </row>
    <row r="216" spans="1:12" ht="51" x14ac:dyDescent="0.3">
      <c r="A216" s="337" t="s">
        <v>115</v>
      </c>
      <c r="B216" s="338" t="s">
        <v>844</v>
      </c>
      <c r="C216" s="338" t="s">
        <v>33</v>
      </c>
      <c r="D216" s="338" t="s">
        <v>1003</v>
      </c>
      <c r="E216" s="339" t="s">
        <v>34</v>
      </c>
      <c r="F216" s="344" t="s">
        <v>27</v>
      </c>
      <c r="G216" s="344"/>
      <c r="H216" s="339" t="s">
        <v>26</v>
      </c>
      <c r="I216" s="345">
        <v>3445</v>
      </c>
      <c r="J216" s="345"/>
      <c r="K216" s="342" t="s">
        <v>21</v>
      </c>
      <c r="L216" s="343">
        <v>945729.64</v>
      </c>
    </row>
    <row r="217" spans="1:12" ht="51" x14ac:dyDescent="0.3">
      <c r="A217" s="337" t="s">
        <v>115</v>
      </c>
      <c r="B217" s="338" t="s">
        <v>844</v>
      </c>
      <c r="C217" s="338" t="s">
        <v>33</v>
      </c>
      <c r="D217" s="338" t="s">
        <v>1004</v>
      </c>
      <c r="E217" s="339" t="s">
        <v>34</v>
      </c>
      <c r="F217" s="344" t="s">
        <v>27</v>
      </c>
      <c r="G217" s="344"/>
      <c r="H217" s="339" t="s">
        <v>26</v>
      </c>
      <c r="I217" s="345">
        <v>4335.5</v>
      </c>
      <c r="J217" s="345"/>
      <c r="K217" s="342" t="s">
        <v>21</v>
      </c>
      <c r="L217" s="343">
        <v>941394.14</v>
      </c>
    </row>
    <row r="218" spans="1:12" ht="51" x14ac:dyDescent="0.3">
      <c r="A218" s="337" t="s">
        <v>115</v>
      </c>
      <c r="B218" s="338" t="s">
        <v>844</v>
      </c>
      <c r="C218" s="338" t="s">
        <v>33</v>
      </c>
      <c r="D218" s="338" t="s">
        <v>1005</v>
      </c>
      <c r="E218" s="339" t="s">
        <v>34</v>
      </c>
      <c r="F218" s="344" t="s">
        <v>27</v>
      </c>
      <c r="G218" s="344"/>
      <c r="H218" s="339" t="s">
        <v>26</v>
      </c>
      <c r="I218" s="345">
        <v>3376.4</v>
      </c>
      <c r="J218" s="345"/>
      <c r="K218" s="342" t="s">
        <v>21</v>
      </c>
      <c r="L218" s="343">
        <v>938017.74</v>
      </c>
    </row>
    <row r="219" spans="1:12" ht="51" x14ac:dyDescent="0.3">
      <c r="A219" s="337" t="s">
        <v>115</v>
      </c>
      <c r="B219" s="338" t="s">
        <v>844</v>
      </c>
      <c r="C219" s="338" t="s">
        <v>33</v>
      </c>
      <c r="D219" s="338" t="s">
        <v>1006</v>
      </c>
      <c r="E219" s="339" t="s">
        <v>34</v>
      </c>
      <c r="F219" s="344" t="s">
        <v>27</v>
      </c>
      <c r="G219" s="344"/>
      <c r="H219" s="339" t="s">
        <v>26</v>
      </c>
      <c r="I219" s="345">
        <v>4546.6000000000004</v>
      </c>
      <c r="J219" s="345"/>
      <c r="K219" s="342" t="s">
        <v>21</v>
      </c>
      <c r="L219" s="343">
        <v>933471.14</v>
      </c>
    </row>
    <row r="220" spans="1:12" ht="51" x14ac:dyDescent="0.3">
      <c r="A220" s="337" t="s">
        <v>115</v>
      </c>
      <c r="B220" s="338" t="s">
        <v>844</v>
      </c>
      <c r="C220" s="338" t="s">
        <v>33</v>
      </c>
      <c r="D220" s="338" t="s">
        <v>1007</v>
      </c>
      <c r="E220" s="339" t="s">
        <v>34</v>
      </c>
      <c r="F220" s="344" t="s">
        <v>27</v>
      </c>
      <c r="G220" s="344"/>
      <c r="H220" s="339" t="s">
        <v>26</v>
      </c>
      <c r="I220" s="345">
        <v>3963.4</v>
      </c>
      <c r="J220" s="345"/>
      <c r="K220" s="342" t="s">
        <v>21</v>
      </c>
      <c r="L220" s="343">
        <v>929507.74</v>
      </c>
    </row>
    <row r="221" spans="1:12" ht="51" x14ac:dyDescent="0.3">
      <c r="A221" s="337" t="s">
        <v>115</v>
      </c>
      <c r="B221" s="338" t="s">
        <v>844</v>
      </c>
      <c r="C221" s="338" t="s">
        <v>33</v>
      </c>
      <c r="D221" s="338" t="s">
        <v>1008</v>
      </c>
      <c r="E221" s="339" t="s">
        <v>34</v>
      </c>
      <c r="F221" s="344" t="s">
        <v>27</v>
      </c>
      <c r="G221" s="344"/>
      <c r="H221" s="339" t="s">
        <v>26</v>
      </c>
      <c r="I221" s="345">
        <v>1294.8</v>
      </c>
      <c r="J221" s="345"/>
      <c r="K221" s="342" t="s">
        <v>21</v>
      </c>
      <c r="L221" s="343">
        <v>928212.94</v>
      </c>
    </row>
    <row r="222" spans="1:12" ht="51" x14ac:dyDescent="0.3">
      <c r="A222" s="337" t="s">
        <v>115</v>
      </c>
      <c r="B222" s="338" t="s">
        <v>844</v>
      </c>
      <c r="C222" s="338" t="s">
        <v>33</v>
      </c>
      <c r="D222" s="338" t="s">
        <v>1009</v>
      </c>
      <c r="E222" s="339" t="s">
        <v>34</v>
      </c>
      <c r="F222" s="344" t="s">
        <v>27</v>
      </c>
      <c r="G222" s="344"/>
      <c r="H222" s="339" t="s">
        <v>26</v>
      </c>
      <c r="I222" s="345">
        <v>3470.4</v>
      </c>
      <c r="J222" s="345"/>
      <c r="K222" s="342" t="s">
        <v>21</v>
      </c>
      <c r="L222" s="343">
        <v>924742.54</v>
      </c>
    </row>
    <row r="223" spans="1:12" ht="51" x14ac:dyDescent="0.3">
      <c r="A223" s="337" t="s">
        <v>115</v>
      </c>
      <c r="B223" s="338" t="s">
        <v>844</v>
      </c>
      <c r="C223" s="338" t="s">
        <v>33</v>
      </c>
      <c r="D223" s="338" t="s">
        <v>1010</v>
      </c>
      <c r="E223" s="339" t="s">
        <v>34</v>
      </c>
      <c r="F223" s="344" t="s">
        <v>27</v>
      </c>
      <c r="G223" s="344"/>
      <c r="H223" s="339" t="s">
        <v>26</v>
      </c>
      <c r="I223" s="345">
        <v>3824.6</v>
      </c>
      <c r="J223" s="345"/>
      <c r="K223" s="342" t="s">
        <v>21</v>
      </c>
      <c r="L223" s="343">
        <v>920917.94</v>
      </c>
    </row>
    <row r="224" spans="1:12" ht="51" x14ac:dyDescent="0.3">
      <c r="A224" s="337" t="s">
        <v>115</v>
      </c>
      <c r="B224" s="338" t="s">
        <v>844</v>
      </c>
      <c r="C224" s="338" t="s">
        <v>33</v>
      </c>
      <c r="D224" s="338" t="s">
        <v>1011</v>
      </c>
      <c r="E224" s="339" t="s">
        <v>34</v>
      </c>
      <c r="F224" s="344" t="s">
        <v>27</v>
      </c>
      <c r="G224" s="344"/>
      <c r="H224" s="339" t="s">
        <v>26</v>
      </c>
      <c r="I224" s="345">
        <v>12238.4</v>
      </c>
      <c r="J224" s="345"/>
      <c r="K224" s="342" t="s">
        <v>21</v>
      </c>
      <c r="L224" s="343">
        <v>908679.54</v>
      </c>
    </row>
    <row r="225" spans="1:12" ht="51" x14ac:dyDescent="0.3">
      <c r="A225" s="337" t="s">
        <v>115</v>
      </c>
      <c r="B225" s="338" t="s">
        <v>844</v>
      </c>
      <c r="C225" s="338" t="s">
        <v>33</v>
      </c>
      <c r="D225" s="338" t="s">
        <v>1012</v>
      </c>
      <c r="E225" s="339" t="s">
        <v>34</v>
      </c>
      <c r="F225" s="344" t="s">
        <v>27</v>
      </c>
      <c r="G225" s="344"/>
      <c r="H225" s="339" t="s">
        <v>26</v>
      </c>
      <c r="I225" s="345">
        <v>5147.7</v>
      </c>
      <c r="J225" s="345"/>
      <c r="K225" s="342" t="s">
        <v>21</v>
      </c>
      <c r="L225" s="343">
        <v>903531.84</v>
      </c>
    </row>
    <row r="226" spans="1:12" ht="51" x14ac:dyDescent="0.3">
      <c r="A226" s="337" t="s">
        <v>115</v>
      </c>
      <c r="B226" s="338" t="s">
        <v>844</v>
      </c>
      <c r="C226" s="338" t="s">
        <v>33</v>
      </c>
      <c r="D226" s="338" t="s">
        <v>1013</v>
      </c>
      <c r="E226" s="339" t="s">
        <v>34</v>
      </c>
      <c r="F226" s="344" t="s">
        <v>27</v>
      </c>
      <c r="G226" s="344"/>
      <c r="H226" s="339" t="s">
        <v>26</v>
      </c>
      <c r="I226" s="345">
        <v>5977.9</v>
      </c>
      <c r="J226" s="345"/>
      <c r="K226" s="342" t="s">
        <v>21</v>
      </c>
      <c r="L226" s="343">
        <v>897553.94</v>
      </c>
    </row>
    <row r="227" spans="1:12" ht="51" x14ac:dyDescent="0.3">
      <c r="A227" s="337" t="s">
        <v>115</v>
      </c>
      <c r="B227" s="338" t="s">
        <v>844</v>
      </c>
      <c r="C227" s="338" t="s">
        <v>33</v>
      </c>
      <c r="D227" s="338" t="s">
        <v>1014</v>
      </c>
      <c r="E227" s="339" t="s">
        <v>34</v>
      </c>
      <c r="F227" s="344" t="s">
        <v>27</v>
      </c>
      <c r="G227" s="344"/>
      <c r="H227" s="339" t="s">
        <v>26</v>
      </c>
      <c r="I227" s="345">
        <v>2961.7</v>
      </c>
      <c r="J227" s="345"/>
      <c r="K227" s="342" t="s">
        <v>21</v>
      </c>
      <c r="L227" s="343">
        <v>894592.24</v>
      </c>
    </row>
    <row r="228" spans="1:12" ht="51" x14ac:dyDescent="0.3">
      <c r="A228" s="337" t="s">
        <v>115</v>
      </c>
      <c r="B228" s="338" t="s">
        <v>844</v>
      </c>
      <c r="C228" s="338" t="s">
        <v>33</v>
      </c>
      <c r="D228" s="338" t="s">
        <v>1015</v>
      </c>
      <c r="E228" s="339" t="s">
        <v>34</v>
      </c>
      <c r="F228" s="344" t="s">
        <v>27</v>
      </c>
      <c r="G228" s="344"/>
      <c r="H228" s="339" t="s">
        <v>26</v>
      </c>
      <c r="I228" s="345">
        <v>3806</v>
      </c>
      <c r="J228" s="345"/>
      <c r="K228" s="342" t="s">
        <v>21</v>
      </c>
      <c r="L228" s="343">
        <v>890786.24</v>
      </c>
    </row>
    <row r="229" spans="1:12" ht="51" x14ac:dyDescent="0.3">
      <c r="A229" s="337" t="s">
        <v>115</v>
      </c>
      <c r="B229" s="338" t="s">
        <v>844</v>
      </c>
      <c r="C229" s="338" t="s">
        <v>33</v>
      </c>
      <c r="D229" s="338" t="s">
        <v>1016</v>
      </c>
      <c r="E229" s="339" t="s">
        <v>34</v>
      </c>
      <c r="F229" s="344" t="s">
        <v>27</v>
      </c>
      <c r="G229" s="344"/>
      <c r="H229" s="339" t="s">
        <v>26</v>
      </c>
      <c r="I229" s="345">
        <v>12297.4</v>
      </c>
      <c r="J229" s="345"/>
      <c r="K229" s="342" t="s">
        <v>21</v>
      </c>
      <c r="L229" s="343">
        <v>878488.84</v>
      </c>
    </row>
    <row r="230" spans="1:12" ht="51" x14ac:dyDescent="0.3">
      <c r="A230" s="337" t="s">
        <v>115</v>
      </c>
      <c r="B230" s="338" t="s">
        <v>844</v>
      </c>
      <c r="C230" s="338" t="s">
        <v>33</v>
      </c>
      <c r="D230" s="338" t="s">
        <v>1017</v>
      </c>
      <c r="E230" s="339" t="s">
        <v>34</v>
      </c>
      <c r="F230" s="344" t="s">
        <v>27</v>
      </c>
      <c r="G230" s="344"/>
      <c r="H230" s="339" t="s">
        <v>26</v>
      </c>
      <c r="I230" s="345">
        <v>4861.3</v>
      </c>
      <c r="J230" s="345"/>
      <c r="K230" s="342" t="s">
        <v>21</v>
      </c>
      <c r="L230" s="343">
        <v>873627.54</v>
      </c>
    </row>
    <row r="231" spans="1:12" ht="51" x14ac:dyDescent="0.3">
      <c r="A231" s="337" t="s">
        <v>115</v>
      </c>
      <c r="B231" s="338" t="s">
        <v>844</v>
      </c>
      <c r="C231" s="338" t="s">
        <v>33</v>
      </c>
      <c r="D231" s="338" t="s">
        <v>1018</v>
      </c>
      <c r="E231" s="339" t="s">
        <v>34</v>
      </c>
      <c r="F231" s="344" t="s">
        <v>27</v>
      </c>
      <c r="G231" s="344"/>
      <c r="H231" s="339" t="s">
        <v>26</v>
      </c>
      <c r="I231" s="345">
        <v>4880.7</v>
      </c>
      <c r="J231" s="345"/>
      <c r="K231" s="342" t="s">
        <v>21</v>
      </c>
      <c r="L231" s="343">
        <v>868746.84</v>
      </c>
    </row>
    <row r="232" spans="1:12" ht="51" x14ac:dyDescent="0.3">
      <c r="A232" s="337" t="s">
        <v>115</v>
      </c>
      <c r="B232" s="338" t="s">
        <v>844</v>
      </c>
      <c r="C232" s="338" t="s">
        <v>33</v>
      </c>
      <c r="D232" s="338" t="s">
        <v>1019</v>
      </c>
      <c r="E232" s="339" t="s">
        <v>34</v>
      </c>
      <c r="F232" s="344" t="s">
        <v>27</v>
      </c>
      <c r="G232" s="344"/>
      <c r="H232" s="339" t="s">
        <v>26</v>
      </c>
      <c r="I232" s="345">
        <v>3717.2</v>
      </c>
      <c r="J232" s="345"/>
      <c r="K232" s="342" t="s">
        <v>21</v>
      </c>
      <c r="L232" s="343">
        <v>865029.64</v>
      </c>
    </row>
    <row r="233" spans="1:12" ht="51" x14ac:dyDescent="0.3">
      <c r="A233" s="337" t="s">
        <v>115</v>
      </c>
      <c r="B233" s="338" t="s">
        <v>844</v>
      </c>
      <c r="C233" s="338" t="s">
        <v>33</v>
      </c>
      <c r="D233" s="338" t="s">
        <v>1020</v>
      </c>
      <c r="E233" s="339" t="s">
        <v>34</v>
      </c>
      <c r="F233" s="344" t="s">
        <v>27</v>
      </c>
      <c r="G233" s="344"/>
      <c r="H233" s="339" t="s">
        <v>26</v>
      </c>
      <c r="I233" s="345">
        <v>20771.400000000001</v>
      </c>
      <c r="J233" s="345"/>
      <c r="K233" s="342" t="s">
        <v>21</v>
      </c>
      <c r="L233" s="343">
        <v>844258.24</v>
      </c>
    </row>
    <row r="234" spans="1:12" ht="51" x14ac:dyDescent="0.3">
      <c r="A234" s="337" t="s">
        <v>115</v>
      </c>
      <c r="B234" s="338" t="s">
        <v>844</v>
      </c>
      <c r="C234" s="338" t="s">
        <v>33</v>
      </c>
      <c r="D234" s="338" t="s">
        <v>1021</v>
      </c>
      <c r="E234" s="339" t="s">
        <v>34</v>
      </c>
      <c r="F234" s="344" t="s">
        <v>27</v>
      </c>
      <c r="G234" s="344"/>
      <c r="H234" s="339" t="s">
        <v>26</v>
      </c>
      <c r="I234" s="345">
        <v>4752.5</v>
      </c>
      <c r="J234" s="345"/>
      <c r="K234" s="342" t="s">
        <v>21</v>
      </c>
      <c r="L234" s="343">
        <v>839505.74</v>
      </c>
    </row>
    <row r="235" spans="1:12" ht="51" x14ac:dyDescent="0.3">
      <c r="A235" s="337" t="s">
        <v>115</v>
      </c>
      <c r="B235" s="338" t="s">
        <v>844</v>
      </c>
      <c r="C235" s="338" t="s">
        <v>33</v>
      </c>
      <c r="D235" s="338" t="s">
        <v>1022</v>
      </c>
      <c r="E235" s="339" t="s">
        <v>34</v>
      </c>
      <c r="F235" s="344" t="s">
        <v>27</v>
      </c>
      <c r="G235" s="344"/>
      <c r="H235" s="339" t="s">
        <v>26</v>
      </c>
      <c r="I235" s="345">
        <v>3183.2</v>
      </c>
      <c r="J235" s="345"/>
      <c r="K235" s="342" t="s">
        <v>21</v>
      </c>
      <c r="L235" s="343">
        <v>836322.54</v>
      </c>
    </row>
    <row r="236" spans="1:12" ht="51" x14ac:dyDescent="0.3">
      <c r="A236" s="337" t="s">
        <v>115</v>
      </c>
      <c r="B236" s="338" t="s">
        <v>844</v>
      </c>
      <c r="C236" s="338" t="s">
        <v>33</v>
      </c>
      <c r="D236" s="338" t="s">
        <v>1023</v>
      </c>
      <c r="E236" s="339" t="s">
        <v>34</v>
      </c>
      <c r="F236" s="344" t="s">
        <v>27</v>
      </c>
      <c r="G236" s="344"/>
      <c r="H236" s="339" t="s">
        <v>26</v>
      </c>
      <c r="I236" s="345">
        <v>4267.7</v>
      </c>
      <c r="J236" s="345"/>
      <c r="K236" s="342" t="s">
        <v>21</v>
      </c>
      <c r="L236" s="343">
        <v>832054.84</v>
      </c>
    </row>
    <row r="237" spans="1:12" ht="51" x14ac:dyDescent="0.3">
      <c r="A237" s="337" t="s">
        <v>115</v>
      </c>
      <c r="B237" s="338" t="s">
        <v>844</v>
      </c>
      <c r="C237" s="338" t="s">
        <v>33</v>
      </c>
      <c r="D237" s="338" t="s">
        <v>1024</v>
      </c>
      <c r="E237" s="339" t="s">
        <v>34</v>
      </c>
      <c r="F237" s="344" t="s">
        <v>27</v>
      </c>
      <c r="G237" s="344"/>
      <c r="H237" s="339" t="s">
        <v>26</v>
      </c>
      <c r="I237" s="345">
        <v>11889.3</v>
      </c>
      <c r="J237" s="345"/>
      <c r="K237" s="342" t="s">
        <v>21</v>
      </c>
      <c r="L237" s="343">
        <v>820165.54</v>
      </c>
    </row>
    <row r="238" spans="1:12" ht="51" x14ac:dyDescent="0.3">
      <c r="A238" s="337" t="s">
        <v>115</v>
      </c>
      <c r="B238" s="338" t="s">
        <v>844</v>
      </c>
      <c r="C238" s="338" t="s">
        <v>33</v>
      </c>
      <c r="D238" s="338" t="s">
        <v>1025</v>
      </c>
      <c r="E238" s="339" t="s">
        <v>34</v>
      </c>
      <c r="F238" s="344" t="s">
        <v>27</v>
      </c>
      <c r="G238" s="344"/>
      <c r="H238" s="339" t="s">
        <v>26</v>
      </c>
      <c r="I238" s="345">
        <v>25642</v>
      </c>
      <c r="J238" s="345"/>
      <c r="K238" s="342" t="s">
        <v>21</v>
      </c>
      <c r="L238" s="343">
        <v>794523.54</v>
      </c>
    </row>
    <row r="239" spans="1:12" ht="51" x14ac:dyDescent="0.3">
      <c r="A239" s="337" t="s">
        <v>115</v>
      </c>
      <c r="B239" s="338" t="s">
        <v>844</v>
      </c>
      <c r="C239" s="338" t="s">
        <v>33</v>
      </c>
      <c r="D239" s="338" t="s">
        <v>1026</v>
      </c>
      <c r="E239" s="339" t="s">
        <v>34</v>
      </c>
      <c r="F239" s="344" t="s">
        <v>27</v>
      </c>
      <c r="G239" s="344"/>
      <c r="H239" s="339" t="s">
        <v>26</v>
      </c>
      <c r="I239" s="345">
        <v>5006</v>
      </c>
      <c r="J239" s="345"/>
      <c r="K239" s="342" t="s">
        <v>21</v>
      </c>
      <c r="L239" s="343">
        <v>789517.54</v>
      </c>
    </row>
    <row r="240" spans="1:12" ht="51" x14ac:dyDescent="0.3">
      <c r="A240" s="337" t="s">
        <v>115</v>
      </c>
      <c r="B240" s="338" t="s">
        <v>844</v>
      </c>
      <c r="C240" s="338" t="s">
        <v>33</v>
      </c>
      <c r="D240" s="338" t="s">
        <v>1027</v>
      </c>
      <c r="E240" s="339" t="s">
        <v>34</v>
      </c>
      <c r="F240" s="344" t="s">
        <v>27</v>
      </c>
      <c r="G240" s="344"/>
      <c r="H240" s="339" t="s">
        <v>26</v>
      </c>
      <c r="I240" s="345">
        <v>4295.3</v>
      </c>
      <c r="J240" s="345"/>
      <c r="K240" s="342" t="s">
        <v>21</v>
      </c>
      <c r="L240" s="343">
        <v>785222.24</v>
      </c>
    </row>
    <row r="241" spans="1:12" ht="51" x14ac:dyDescent="0.3">
      <c r="A241" s="337" t="s">
        <v>115</v>
      </c>
      <c r="B241" s="338" t="s">
        <v>844</v>
      </c>
      <c r="C241" s="338" t="s">
        <v>33</v>
      </c>
      <c r="D241" s="338" t="s">
        <v>1028</v>
      </c>
      <c r="E241" s="339" t="s">
        <v>34</v>
      </c>
      <c r="F241" s="344" t="s">
        <v>27</v>
      </c>
      <c r="G241" s="344"/>
      <c r="H241" s="339" t="s">
        <v>26</v>
      </c>
      <c r="I241" s="345">
        <v>2809.6</v>
      </c>
      <c r="J241" s="345"/>
      <c r="K241" s="342" t="s">
        <v>21</v>
      </c>
      <c r="L241" s="343">
        <v>782412.64</v>
      </c>
    </row>
    <row r="242" spans="1:12" ht="51" x14ac:dyDescent="0.3">
      <c r="A242" s="337" t="s">
        <v>115</v>
      </c>
      <c r="B242" s="338" t="s">
        <v>844</v>
      </c>
      <c r="C242" s="338" t="s">
        <v>33</v>
      </c>
      <c r="D242" s="338" t="s">
        <v>1029</v>
      </c>
      <c r="E242" s="339" t="s">
        <v>34</v>
      </c>
      <c r="F242" s="344" t="s">
        <v>27</v>
      </c>
      <c r="G242" s="344"/>
      <c r="H242" s="339" t="s">
        <v>26</v>
      </c>
      <c r="I242" s="345">
        <v>3507.7</v>
      </c>
      <c r="J242" s="345"/>
      <c r="K242" s="342" t="s">
        <v>21</v>
      </c>
      <c r="L242" s="343">
        <v>778904.94</v>
      </c>
    </row>
    <row r="243" spans="1:12" ht="51" x14ac:dyDescent="0.3">
      <c r="A243" s="337" t="s">
        <v>115</v>
      </c>
      <c r="B243" s="338" t="s">
        <v>844</v>
      </c>
      <c r="C243" s="338" t="s">
        <v>33</v>
      </c>
      <c r="D243" s="338" t="s">
        <v>1030</v>
      </c>
      <c r="E243" s="339" t="s">
        <v>34</v>
      </c>
      <c r="F243" s="344" t="s">
        <v>27</v>
      </c>
      <c r="G243" s="344"/>
      <c r="H243" s="339" t="s">
        <v>26</v>
      </c>
      <c r="I243" s="345">
        <v>1933.9</v>
      </c>
      <c r="J243" s="345"/>
      <c r="K243" s="342" t="s">
        <v>21</v>
      </c>
      <c r="L243" s="343">
        <v>776971.04</v>
      </c>
    </row>
    <row r="244" spans="1:12" ht="51" x14ac:dyDescent="0.3">
      <c r="A244" s="337" t="s">
        <v>115</v>
      </c>
      <c r="B244" s="338" t="s">
        <v>844</v>
      </c>
      <c r="C244" s="338" t="s">
        <v>33</v>
      </c>
      <c r="D244" s="338" t="s">
        <v>1031</v>
      </c>
      <c r="E244" s="339" t="s">
        <v>34</v>
      </c>
      <c r="F244" s="344" t="s">
        <v>27</v>
      </c>
      <c r="G244" s="344"/>
      <c r="H244" s="339" t="s">
        <v>26</v>
      </c>
      <c r="I244" s="345">
        <v>4283.3</v>
      </c>
      <c r="J244" s="345"/>
      <c r="K244" s="342" t="s">
        <v>21</v>
      </c>
      <c r="L244" s="343">
        <v>772687.74</v>
      </c>
    </row>
    <row r="245" spans="1:12" ht="51" x14ac:dyDescent="0.3">
      <c r="A245" s="337" t="s">
        <v>115</v>
      </c>
      <c r="B245" s="338" t="s">
        <v>844</v>
      </c>
      <c r="C245" s="338" t="s">
        <v>33</v>
      </c>
      <c r="D245" s="338" t="s">
        <v>1032</v>
      </c>
      <c r="E245" s="339" t="s">
        <v>34</v>
      </c>
      <c r="F245" s="344" t="s">
        <v>27</v>
      </c>
      <c r="G245" s="344"/>
      <c r="H245" s="339" t="s">
        <v>26</v>
      </c>
      <c r="I245" s="345">
        <v>3994.7</v>
      </c>
      <c r="J245" s="345"/>
      <c r="K245" s="342" t="s">
        <v>21</v>
      </c>
      <c r="L245" s="343">
        <v>768693.04</v>
      </c>
    </row>
    <row r="246" spans="1:12" ht="51" x14ac:dyDescent="0.3">
      <c r="A246" s="337" t="s">
        <v>115</v>
      </c>
      <c r="B246" s="338" t="s">
        <v>844</v>
      </c>
      <c r="C246" s="338" t="s">
        <v>33</v>
      </c>
      <c r="D246" s="338" t="s">
        <v>1033</v>
      </c>
      <c r="E246" s="339" t="s">
        <v>34</v>
      </c>
      <c r="F246" s="344" t="s">
        <v>27</v>
      </c>
      <c r="G246" s="344"/>
      <c r="H246" s="339" t="s">
        <v>26</v>
      </c>
      <c r="I246" s="346">
        <v>968.8</v>
      </c>
      <c r="J246" s="346"/>
      <c r="K246" s="342" t="s">
        <v>21</v>
      </c>
      <c r="L246" s="343">
        <v>767724.24</v>
      </c>
    </row>
    <row r="247" spans="1:12" ht="51" x14ac:dyDescent="0.3">
      <c r="A247" s="337" t="s">
        <v>115</v>
      </c>
      <c r="B247" s="338" t="s">
        <v>844</v>
      </c>
      <c r="C247" s="338" t="s">
        <v>33</v>
      </c>
      <c r="D247" s="338" t="s">
        <v>1034</v>
      </c>
      <c r="E247" s="339" t="s">
        <v>34</v>
      </c>
      <c r="F247" s="344" t="s">
        <v>27</v>
      </c>
      <c r="G247" s="344"/>
      <c r="H247" s="339" t="s">
        <v>26</v>
      </c>
      <c r="I247" s="345">
        <v>1097.9000000000001</v>
      </c>
      <c r="J247" s="345"/>
      <c r="K247" s="342" t="s">
        <v>21</v>
      </c>
      <c r="L247" s="343">
        <v>766626.34</v>
      </c>
    </row>
    <row r="248" spans="1:12" ht="51" x14ac:dyDescent="0.3">
      <c r="A248" s="337" t="s">
        <v>115</v>
      </c>
      <c r="B248" s="338" t="s">
        <v>844</v>
      </c>
      <c r="C248" s="338" t="s">
        <v>33</v>
      </c>
      <c r="D248" s="338" t="s">
        <v>1035</v>
      </c>
      <c r="E248" s="339" t="s">
        <v>34</v>
      </c>
      <c r="F248" s="344" t="s">
        <v>27</v>
      </c>
      <c r="G248" s="344"/>
      <c r="H248" s="339" t="s">
        <v>26</v>
      </c>
      <c r="I248" s="345">
        <v>1482.7</v>
      </c>
      <c r="J248" s="345"/>
      <c r="K248" s="342" t="s">
        <v>21</v>
      </c>
      <c r="L248" s="343">
        <v>765143.64</v>
      </c>
    </row>
    <row r="249" spans="1:12" ht="51" x14ac:dyDescent="0.3">
      <c r="A249" s="337" t="s">
        <v>115</v>
      </c>
      <c r="B249" s="338" t="s">
        <v>844</v>
      </c>
      <c r="C249" s="338" t="s">
        <v>33</v>
      </c>
      <c r="D249" s="338" t="s">
        <v>1036</v>
      </c>
      <c r="E249" s="339" t="s">
        <v>34</v>
      </c>
      <c r="F249" s="344" t="s">
        <v>27</v>
      </c>
      <c r="G249" s="344"/>
      <c r="H249" s="339" t="s">
        <v>26</v>
      </c>
      <c r="I249" s="345">
        <v>1591.6</v>
      </c>
      <c r="J249" s="345"/>
      <c r="K249" s="342" t="s">
        <v>21</v>
      </c>
      <c r="L249" s="343">
        <v>763552.04</v>
      </c>
    </row>
    <row r="250" spans="1:12" ht="51" x14ac:dyDescent="0.3">
      <c r="A250" s="337" t="s">
        <v>115</v>
      </c>
      <c r="B250" s="338" t="s">
        <v>844</v>
      </c>
      <c r="C250" s="338" t="s">
        <v>33</v>
      </c>
      <c r="D250" s="338" t="s">
        <v>1037</v>
      </c>
      <c r="E250" s="339" t="s">
        <v>34</v>
      </c>
      <c r="F250" s="344" t="s">
        <v>27</v>
      </c>
      <c r="G250" s="344"/>
      <c r="H250" s="339" t="s">
        <v>26</v>
      </c>
      <c r="I250" s="345">
        <v>3568.8</v>
      </c>
      <c r="J250" s="345"/>
      <c r="K250" s="342" t="s">
        <v>21</v>
      </c>
      <c r="L250" s="343">
        <v>759983.24</v>
      </c>
    </row>
    <row r="251" spans="1:12" ht="51" x14ac:dyDescent="0.3">
      <c r="A251" s="337" t="s">
        <v>115</v>
      </c>
      <c r="B251" s="338" t="s">
        <v>844</v>
      </c>
      <c r="C251" s="338" t="s">
        <v>33</v>
      </c>
      <c r="D251" s="338" t="s">
        <v>1038</v>
      </c>
      <c r="E251" s="339" t="s">
        <v>34</v>
      </c>
      <c r="F251" s="344" t="s">
        <v>27</v>
      </c>
      <c r="G251" s="344"/>
      <c r="H251" s="339" t="s">
        <v>26</v>
      </c>
      <c r="I251" s="345">
        <v>1281.3</v>
      </c>
      <c r="J251" s="345"/>
      <c r="K251" s="342" t="s">
        <v>21</v>
      </c>
      <c r="L251" s="343">
        <v>758701.94</v>
      </c>
    </row>
    <row r="252" spans="1:12" ht="51" x14ac:dyDescent="0.3">
      <c r="A252" s="337" t="s">
        <v>115</v>
      </c>
      <c r="B252" s="338" t="s">
        <v>844</v>
      </c>
      <c r="C252" s="338" t="s">
        <v>33</v>
      </c>
      <c r="D252" s="338" t="s">
        <v>1039</v>
      </c>
      <c r="E252" s="339" t="s">
        <v>34</v>
      </c>
      <c r="F252" s="344" t="s">
        <v>27</v>
      </c>
      <c r="G252" s="344"/>
      <c r="H252" s="339" t="s">
        <v>26</v>
      </c>
      <c r="I252" s="346">
        <v>879.3</v>
      </c>
      <c r="J252" s="346"/>
      <c r="K252" s="342" t="s">
        <v>21</v>
      </c>
      <c r="L252" s="343">
        <v>757822.64</v>
      </c>
    </row>
    <row r="253" spans="1:12" ht="51" x14ac:dyDescent="0.3">
      <c r="A253" s="337" t="s">
        <v>115</v>
      </c>
      <c r="B253" s="338" t="s">
        <v>844</v>
      </c>
      <c r="C253" s="338" t="s">
        <v>33</v>
      </c>
      <c r="D253" s="338" t="s">
        <v>1040</v>
      </c>
      <c r="E253" s="339" t="s">
        <v>34</v>
      </c>
      <c r="F253" s="344" t="s">
        <v>27</v>
      </c>
      <c r="G253" s="344"/>
      <c r="H253" s="339" t="s">
        <v>26</v>
      </c>
      <c r="I253" s="345">
        <v>1355.2</v>
      </c>
      <c r="J253" s="345"/>
      <c r="K253" s="342" t="s">
        <v>21</v>
      </c>
      <c r="L253" s="343">
        <v>756467.44</v>
      </c>
    </row>
    <row r="254" spans="1:12" ht="51" x14ac:dyDescent="0.3">
      <c r="A254" s="337" t="s">
        <v>115</v>
      </c>
      <c r="B254" s="338" t="s">
        <v>844</v>
      </c>
      <c r="C254" s="338" t="s">
        <v>33</v>
      </c>
      <c r="D254" s="338" t="s">
        <v>1041</v>
      </c>
      <c r="E254" s="339" t="s">
        <v>34</v>
      </c>
      <c r="F254" s="344" t="s">
        <v>27</v>
      </c>
      <c r="G254" s="344"/>
      <c r="H254" s="339" t="s">
        <v>26</v>
      </c>
      <c r="I254" s="346">
        <v>991.2</v>
      </c>
      <c r="J254" s="346"/>
      <c r="K254" s="342" t="s">
        <v>21</v>
      </c>
      <c r="L254" s="343">
        <v>755476.24</v>
      </c>
    </row>
    <row r="255" spans="1:12" ht="51" x14ac:dyDescent="0.3">
      <c r="A255" s="337" t="s">
        <v>115</v>
      </c>
      <c r="B255" s="338" t="s">
        <v>844</v>
      </c>
      <c r="C255" s="338" t="s">
        <v>33</v>
      </c>
      <c r="D255" s="338" t="s">
        <v>1042</v>
      </c>
      <c r="E255" s="339" t="s">
        <v>34</v>
      </c>
      <c r="F255" s="344" t="s">
        <v>27</v>
      </c>
      <c r="G255" s="344"/>
      <c r="H255" s="339" t="s">
        <v>26</v>
      </c>
      <c r="I255" s="345">
        <v>4119.3</v>
      </c>
      <c r="J255" s="345"/>
      <c r="K255" s="342" t="s">
        <v>21</v>
      </c>
      <c r="L255" s="343">
        <v>751356.94</v>
      </c>
    </row>
    <row r="256" spans="1:12" ht="51" x14ac:dyDescent="0.3">
      <c r="A256" s="337" t="s">
        <v>115</v>
      </c>
      <c r="B256" s="338" t="s">
        <v>844</v>
      </c>
      <c r="C256" s="338" t="s">
        <v>33</v>
      </c>
      <c r="D256" s="338" t="s">
        <v>1043</v>
      </c>
      <c r="E256" s="339" t="s">
        <v>34</v>
      </c>
      <c r="F256" s="344" t="s">
        <v>27</v>
      </c>
      <c r="G256" s="344"/>
      <c r="H256" s="339" t="s">
        <v>26</v>
      </c>
      <c r="I256" s="345">
        <v>4175.1000000000004</v>
      </c>
      <c r="J256" s="345"/>
      <c r="K256" s="342" t="s">
        <v>21</v>
      </c>
      <c r="L256" s="343">
        <v>747181.84</v>
      </c>
    </row>
    <row r="257" spans="1:12" ht="51" x14ac:dyDescent="0.3">
      <c r="A257" s="337" t="s">
        <v>115</v>
      </c>
      <c r="B257" s="338" t="s">
        <v>844</v>
      </c>
      <c r="C257" s="338" t="s">
        <v>33</v>
      </c>
      <c r="D257" s="338" t="s">
        <v>1044</v>
      </c>
      <c r="E257" s="339" t="s">
        <v>34</v>
      </c>
      <c r="F257" s="344" t="s">
        <v>27</v>
      </c>
      <c r="G257" s="344"/>
      <c r="H257" s="339" t="s">
        <v>26</v>
      </c>
      <c r="I257" s="345">
        <v>1834</v>
      </c>
      <c r="J257" s="345"/>
      <c r="K257" s="342" t="s">
        <v>21</v>
      </c>
      <c r="L257" s="343">
        <v>745347.84</v>
      </c>
    </row>
    <row r="258" spans="1:12" ht="51" x14ac:dyDescent="0.3">
      <c r="A258" s="337" t="s">
        <v>115</v>
      </c>
      <c r="B258" s="338" t="s">
        <v>844</v>
      </c>
      <c r="C258" s="338" t="s">
        <v>33</v>
      </c>
      <c r="D258" s="338" t="s">
        <v>1045</v>
      </c>
      <c r="E258" s="339" t="s">
        <v>34</v>
      </c>
      <c r="F258" s="344" t="s">
        <v>27</v>
      </c>
      <c r="G258" s="344"/>
      <c r="H258" s="339" t="s">
        <v>26</v>
      </c>
      <c r="I258" s="345">
        <v>1465.6</v>
      </c>
      <c r="J258" s="345"/>
      <c r="K258" s="342" t="s">
        <v>21</v>
      </c>
      <c r="L258" s="343">
        <v>743882.23999999999</v>
      </c>
    </row>
    <row r="259" spans="1:12" ht="51" x14ac:dyDescent="0.3">
      <c r="A259" s="337" t="s">
        <v>115</v>
      </c>
      <c r="B259" s="338" t="s">
        <v>844</v>
      </c>
      <c r="C259" s="338" t="s">
        <v>33</v>
      </c>
      <c r="D259" s="338" t="s">
        <v>1046</v>
      </c>
      <c r="E259" s="339" t="s">
        <v>34</v>
      </c>
      <c r="F259" s="344" t="s">
        <v>27</v>
      </c>
      <c r="G259" s="344"/>
      <c r="H259" s="339" t="s">
        <v>26</v>
      </c>
      <c r="I259" s="346">
        <v>791.3</v>
      </c>
      <c r="J259" s="346"/>
      <c r="K259" s="342" t="s">
        <v>21</v>
      </c>
      <c r="L259" s="343">
        <v>743090.94</v>
      </c>
    </row>
    <row r="260" spans="1:12" ht="51" x14ac:dyDescent="0.3">
      <c r="A260" s="337" t="s">
        <v>115</v>
      </c>
      <c r="B260" s="338" t="s">
        <v>844</v>
      </c>
      <c r="C260" s="338" t="s">
        <v>33</v>
      </c>
      <c r="D260" s="338" t="s">
        <v>1047</v>
      </c>
      <c r="E260" s="339" t="s">
        <v>34</v>
      </c>
      <c r="F260" s="344" t="s">
        <v>27</v>
      </c>
      <c r="G260" s="344"/>
      <c r="H260" s="339" t="s">
        <v>26</v>
      </c>
      <c r="I260" s="345">
        <v>2255.4</v>
      </c>
      <c r="J260" s="345"/>
      <c r="K260" s="342" t="s">
        <v>21</v>
      </c>
      <c r="L260" s="343">
        <v>740835.54</v>
      </c>
    </row>
    <row r="261" spans="1:12" ht="51" x14ac:dyDescent="0.3">
      <c r="A261" s="337" t="s">
        <v>115</v>
      </c>
      <c r="B261" s="338" t="s">
        <v>844</v>
      </c>
      <c r="C261" s="338" t="s">
        <v>33</v>
      </c>
      <c r="D261" s="338" t="s">
        <v>1048</v>
      </c>
      <c r="E261" s="339" t="s">
        <v>34</v>
      </c>
      <c r="F261" s="344" t="s">
        <v>27</v>
      </c>
      <c r="G261" s="344"/>
      <c r="H261" s="339" t="s">
        <v>26</v>
      </c>
      <c r="I261" s="345">
        <v>1207.5</v>
      </c>
      <c r="J261" s="345"/>
      <c r="K261" s="342" t="s">
        <v>21</v>
      </c>
      <c r="L261" s="343">
        <v>739628.04</v>
      </c>
    </row>
    <row r="262" spans="1:12" ht="51" x14ac:dyDescent="0.3">
      <c r="A262" s="337" t="s">
        <v>115</v>
      </c>
      <c r="B262" s="338" t="s">
        <v>844</v>
      </c>
      <c r="C262" s="338" t="s">
        <v>33</v>
      </c>
      <c r="D262" s="338" t="s">
        <v>1049</v>
      </c>
      <c r="E262" s="339" t="s">
        <v>34</v>
      </c>
      <c r="F262" s="344" t="s">
        <v>27</v>
      </c>
      <c r="G262" s="344"/>
      <c r="H262" s="339" t="s">
        <v>26</v>
      </c>
      <c r="I262" s="345">
        <v>3234</v>
      </c>
      <c r="J262" s="345"/>
      <c r="K262" s="342" t="s">
        <v>21</v>
      </c>
      <c r="L262" s="343">
        <v>736394.04</v>
      </c>
    </row>
    <row r="263" spans="1:12" ht="51" x14ac:dyDescent="0.3">
      <c r="A263" s="337" t="s">
        <v>115</v>
      </c>
      <c r="B263" s="338" t="s">
        <v>844</v>
      </c>
      <c r="C263" s="338" t="s">
        <v>33</v>
      </c>
      <c r="D263" s="338" t="s">
        <v>1050</v>
      </c>
      <c r="E263" s="339" t="s">
        <v>34</v>
      </c>
      <c r="F263" s="344" t="s">
        <v>27</v>
      </c>
      <c r="G263" s="344"/>
      <c r="H263" s="339" t="s">
        <v>26</v>
      </c>
      <c r="I263" s="345">
        <v>10901.1</v>
      </c>
      <c r="J263" s="345"/>
      <c r="K263" s="342" t="s">
        <v>21</v>
      </c>
      <c r="L263" s="343">
        <v>725492.94</v>
      </c>
    </row>
    <row r="264" spans="1:12" ht="51" x14ac:dyDescent="0.3">
      <c r="A264" s="337" t="s">
        <v>115</v>
      </c>
      <c r="B264" s="338" t="s">
        <v>844</v>
      </c>
      <c r="C264" s="338" t="s">
        <v>33</v>
      </c>
      <c r="D264" s="338" t="s">
        <v>1051</v>
      </c>
      <c r="E264" s="339" t="s">
        <v>34</v>
      </c>
      <c r="F264" s="344" t="s">
        <v>27</v>
      </c>
      <c r="G264" s="344"/>
      <c r="H264" s="339" t="s">
        <v>26</v>
      </c>
      <c r="I264" s="345">
        <v>1575.2</v>
      </c>
      <c r="J264" s="345"/>
      <c r="K264" s="342" t="s">
        <v>21</v>
      </c>
      <c r="L264" s="343">
        <v>723917.74</v>
      </c>
    </row>
    <row r="265" spans="1:12" ht="51" x14ac:dyDescent="0.3">
      <c r="A265" s="337" t="s">
        <v>115</v>
      </c>
      <c r="B265" s="338" t="s">
        <v>844</v>
      </c>
      <c r="C265" s="338" t="s">
        <v>33</v>
      </c>
      <c r="D265" s="338" t="s">
        <v>1052</v>
      </c>
      <c r="E265" s="339" t="s">
        <v>34</v>
      </c>
      <c r="F265" s="344" t="s">
        <v>27</v>
      </c>
      <c r="G265" s="344"/>
      <c r="H265" s="339" t="s">
        <v>26</v>
      </c>
      <c r="I265" s="346">
        <v>718.2</v>
      </c>
      <c r="J265" s="346"/>
      <c r="K265" s="342" t="s">
        <v>21</v>
      </c>
      <c r="L265" s="343">
        <v>723199.54</v>
      </c>
    </row>
    <row r="266" spans="1:12" ht="51" x14ac:dyDescent="0.3">
      <c r="A266" s="337" t="s">
        <v>115</v>
      </c>
      <c r="B266" s="338" t="s">
        <v>844</v>
      </c>
      <c r="C266" s="338" t="s">
        <v>33</v>
      </c>
      <c r="D266" s="338" t="s">
        <v>1053</v>
      </c>
      <c r="E266" s="339" t="s">
        <v>34</v>
      </c>
      <c r="F266" s="344" t="s">
        <v>27</v>
      </c>
      <c r="G266" s="344"/>
      <c r="H266" s="339" t="s">
        <v>26</v>
      </c>
      <c r="I266" s="346">
        <v>889</v>
      </c>
      <c r="J266" s="346"/>
      <c r="K266" s="342" t="s">
        <v>21</v>
      </c>
      <c r="L266" s="343">
        <v>722310.54</v>
      </c>
    </row>
    <row r="267" spans="1:12" ht="51" x14ac:dyDescent="0.3">
      <c r="A267" s="337" t="s">
        <v>115</v>
      </c>
      <c r="B267" s="338" t="s">
        <v>844</v>
      </c>
      <c r="C267" s="338" t="s">
        <v>33</v>
      </c>
      <c r="D267" s="338" t="s">
        <v>1054</v>
      </c>
      <c r="E267" s="339" t="s">
        <v>34</v>
      </c>
      <c r="F267" s="344" t="s">
        <v>27</v>
      </c>
      <c r="G267" s="344"/>
      <c r="H267" s="339" t="s">
        <v>26</v>
      </c>
      <c r="I267" s="345">
        <v>1593.8</v>
      </c>
      <c r="J267" s="345"/>
      <c r="K267" s="342" t="s">
        <v>21</v>
      </c>
      <c r="L267" s="343">
        <v>720716.74</v>
      </c>
    </row>
    <row r="268" spans="1:12" ht="51" x14ac:dyDescent="0.3">
      <c r="A268" s="337" t="s">
        <v>115</v>
      </c>
      <c r="B268" s="338" t="s">
        <v>844</v>
      </c>
      <c r="C268" s="338" t="s">
        <v>33</v>
      </c>
      <c r="D268" s="338" t="s">
        <v>1055</v>
      </c>
      <c r="E268" s="339" t="s">
        <v>34</v>
      </c>
      <c r="F268" s="344" t="s">
        <v>27</v>
      </c>
      <c r="G268" s="344"/>
      <c r="H268" s="339" t="s">
        <v>26</v>
      </c>
      <c r="I268" s="345">
        <v>1869.1</v>
      </c>
      <c r="J268" s="345"/>
      <c r="K268" s="342" t="s">
        <v>21</v>
      </c>
      <c r="L268" s="343">
        <v>718847.64</v>
      </c>
    </row>
    <row r="269" spans="1:12" ht="51" x14ac:dyDescent="0.3">
      <c r="A269" s="337" t="s">
        <v>115</v>
      </c>
      <c r="B269" s="338" t="s">
        <v>844</v>
      </c>
      <c r="C269" s="338" t="s">
        <v>33</v>
      </c>
      <c r="D269" s="338" t="s">
        <v>1056</v>
      </c>
      <c r="E269" s="339" t="s">
        <v>34</v>
      </c>
      <c r="F269" s="344" t="s">
        <v>27</v>
      </c>
      <c r="G269" s="344"/>
      <c r="H269" s="339" t="s">
        <v>26</v>
      </c>
      <c r="I269" s="345">
        <v>3335.4</v>
      </c>
      <c r="J269" s="345"/>
      <c r="K269" s="342" t="s">
        <v>21</v>
      </c>
      <c r="L269" s="343">
        <v>715512.24</v>
      </c>
    </row>
    <row r="270" spans="1:12" ht="51" x14ac:dyDescent="0.3">
      <c r="A270" s="337" t="s">
        <v>115</v>
      </c>
      <c r="B270" s="338" t="s">
        <v>844</v>
      </c>
      <c r="C270" s="338" t="s">
        <v>33</v>
      </c>
      <c r="D270" s="338" t="s">
        <v>1057</v>
      </c>
      <c r="E270" s="339" t="s">
        <v>34</v>
      </c>
      <c r="F270" s="344" t="s">
        <v>27</v>
      </c>
      <c r="G270" s="344"/>
      <c r="H270" s="339" t="s">
        <v>26</v>
      </c>
      <c r="I270" s="345">
        <v>2625.3</v>
      </c>
      <c r="J270" s="345"/>
      <c r="K270" s="342" t="s">
        <v>21</v>
      </c>
      <c r="L270" s="343">
        <v>712886.94</v>
      </c>
    </row>
    <row r="271" spans="1:12" ht="51" x14ac:dyDescent="0.3">
      <c r="A271" s="337" t="s">
        <v>115</v>
      </c>
      <c r="B271" s="338" t="s">
        <v>844</v>
      </c>
      <c r="C271" s="338" t="s">
        <v>33</v>
      </c>
      <c r="D271" s="338" t="s">
        <v>1058</v>
      </c>
      <c r="E271" s="339" t="s">
        <v>34</v>
      </c>
      <c r="F271" s="344" t="s">
        <v>27</v>
      </c>
      <c r="G271" s="344"/>
      <c r="H271" s="339" t="s">
        <v>26</v>
      </c>
      <c r="I271" s="346">
        <v>834.6</v>
      </c>
      <c r="J271" s="346"/>
      <c r="K271" s="342" t="s">
        <v>21</v>
      </c>
      <c r="L271" s="343">
        <v>712052.34</v>
      </c>
    </row>
    <row r="272" spans="1:12" ht="51" x14ac:dyDescent="0.3">
      <c r="A272" s="337" t="s">
        <v>115</v>
      </c>
      <c r="B272" s="338" t="s">
        <v>844</v>
      </c>
      <c r="C272" s="338" t="s">
        <v>33</v>
      </c>
      <c r="D272" s="338" t="s">
        <v>1059</v>
      </c>
      <c r="E272" s="339" t="s">
        <v>34</v>
      </c>
      <c r="F272" s="344" t="s">
        <v>27</v>
      </c>
      <c r="G272" s="344"/>
      <c r="H272" s="339" t="s">
        <v>26</v>
      </c>
      <c r="I272" s="345">
        <v>3407</v>
      </c>
      <c r="J272" s="345"/>
      <c r="K272" s="342" t="s">
        <v>21</v>
      </c>
      <c r="L272" s="343">
        <v>708645.34</v>
      </c>
    </row>
    <row r="273" spans="1:12" ht="51" x14ac:dyDescent="0.3">
      <c r="A273" s="337" t="s">
        <v>115</v>
      </c>
      <c r="B273" s="338" t="s">
        <v>844</v>
      </c>
      <c r="C273" s="338" t="s">
        <v>33</v>
      </c>
      <c r="D273" s="338" t="s">
        <v>1060</v>
      </c>
      <c r="E273" s="339" t="s">
        <v>34</v>
      </c>
      <c r="F273" s="344" t="s">
        <v>27</v>
      </c>
      <c r="G273" s="344"/>
      <c r="H273" s="339" t="s">
        <v>26</v>
      </c>
      <c r="I273" s="345">
        <v>1996.6</v>
      </c>
      <c r="J273" s="345"/>
      <c r="K273" s="342" t="s">
        <v>21</v>
      </c>
      <c r="L273" s="343">
        <v>706648.74</v>
      </c>
    </row>
    <row r="274" spans="1:12" ht="51" x14ac:dyDescent="0.3">
      <c r="A274" s="337" t="s">
        <v>115</v>
      </c>
      <c r="B274" s="338" t="s">
        <v>844</v>
      </c>
      <c r="C274" s="338" t="s">
        <v>33</v>
      </c>
      <c r="D274" s="338" t="s">
        <v>1061</v>
      </c>
      <c r="E274" s="339" t="s">
        <v>34</v>
      </c>
      <c r="F274" s="344" t="s">
        <v>27</v>
      </c>
      <c r="G274" s="344"/>
      <c r="H274" s="339" t="s">
        <v>26</v>
      </c>
      <c r="I274" s="345">
        <v>2055.5</v>
      </c>
      <c r="J274" s="345"/>
      <c r="K274" s="342" t="s">
        <v>21</v>
      </c>
      <c r="L274" s="343">
        <v>704593.24</v>
      </c>
    </row>
    <row r="275" spans="1:12" ht="51" x14ac:dyDescent="0.3">
      <c r="A275" s="337" t="s">
        <v>115</v>
      </c>
      <c r="B275" s="338" t="s">
        <v>844</v>
      </c>
      <c r="C275" s="338" t="s">
        <v>33</v>
      </c>
      <c r="D275" s="338" t="s">
        <v>1062</v>
      </c>
      <c r="E275" s="339" t="s">
        <v>34</v>
      </c>
      <c r="F275" s="344" t="s">
        <v>27</v>
      </c>
      <c r="G275" s="344"/>
      <c r="H275" s="339" t="s">
        <v>26</v>
      </c>
      <c r="I275" s="346">
        <v>926.3</v>
      </c>
      <c r="J275" s="346"/>
      <c r="K275" s="342" t="s">
        <v>21</v>
      </c>
      <c r="L275" s="343">
        <v>703666.94</v>
      </c>
    </row>
    <row r="276" spans="1:12" ht="51" x14ac:dyDescent="0.3">
      <c r="A276" s="337" t="s">
        <v>115</v>
      </c>
      <c r="B276" s="338" t="s">
        <v>844</v>
      </c>
      <c r="C276" s="338" t="s">
        <v>33</v>
      </c>
      <c r="D276" s="338" t="s">
        <v>1063</v>
      </c>
      <c r="E276" s="339" t="s">
        <v>34</v>
      </c>
      <c r="F276" s="344" t="s">
        <v>27</v>
      </c>
      <c r="G276" s="344"/>
      <c r="H276" s="339" t="s">
        <v>26</v>
      </c>
      <c r="I276" s="346">
        <v>998.7</v>
      </c>
      <c r="J276" s="346"/>
      <c r="K276" s="342" t="s">
        <v>21</v>
      </c>
      <c r="L276" s="343">
        <v>702668.24</v>
      </c>
    </row>
    <row r="277" spans="1:12" ht="51" x14ac:dyDescent="0.3">
      <c r="A277" s="337" t="s">
        <v>115</v>
      </c>
      <c r="B277" s="338" t="s">
        <v>844</v>
      </c>
      <c r="C277" s="338" t="s">
        <v>33</v>
      </c>
      <c r="D277" s="338" t="s">
        <v>1064</v>
      </c>
      <c r="E277" s="339" t="s">
        <v>34</v>
      </c>
      <c r="F277" s="344" t="s">
        <v>27</v>
      </c>
      <c r="G277" s="344"/>
      <c r="H277" s="339" t="s">
        <v>26</v>
      </c>
      <c r="I277" s="345">
        <v>1124</v>
      </c>
      <c r="J277" s="345"/>
      <c r="K277" s="342" t="s">
        <v>21</v>
      </c>
      <c r="L277" s="343">
        <v>701544.24</v>
      </c>
    </row>
    <row r="278" spans="1:12" ht="51" x14ac:dyDescent="0.3">
      <c r="A278" s="337" t="s">
        <v>115</v>
      </c>
      <c r="B278" s="338" t="s">
        <v>844</v>
      </c>
      <c r="C278" s="338" t="s">
        <v>33</v>
      </c>
      <c r="D278" s="338" t="s">
        <v>1065</v>
      </c>
      <c r="E278" s="339" t="s">
        <v>34</v>
      </c>
      <c r="F278" s="344" t="s">
        <v>27</v>
      </c>
      <c r="G278" s="344"/>
      <c r="H278" s="339" t="s">
        <v>26</v>
      </c>
      <c r="I278" s="345">
        <v>1527.5</v>
      </c>
      <c r="J278" s="345"/>
      <c r="K278" s="342" t="s">
        <v>21</v>
      </c>
      <c r="L278" s="343">
        <v>700016.74</v>
      </c>
    </row>
    <row r="279" spans="1:12" ht="51" x14ac:dyDescent="0.3">
      <c r="A279" s="337" t="s">
        <v>115</v>
      </c>
      <c r="B279" s="338" t="s">
        <v>844</v>
      </c>
      <c r="C279" s="338" t="s">
        <v>33</v>
      </c>
      <c r="D279" s="338" t="s">
        <v>1066</v>
      </c>
      <c r="E279" s="339" t="s">
        <v>34</v>
      </c>
      <c r="F279" s="344" t="s">
        <v>27</v>
      </c>
      <c r="G279" s="344"/>
      <c r="H279" s="339" t="s">
        <v>26</v>
      </c>
      <c r="I279" s="346">
        <v>751.1</v>
      </c>
      <c r="J279" s="346"/>
      <c r="K279" s="342" t="s">
        <v>21</v>
      </c>
      <c r="L279" s="343">
        <v>699265.64</v>
      </c>
    </row>
    <row r="280" spans="1:12" ht="51" x14ac:dyDescent="0.3">
      <c r="A280" s="337" t="s">
        <v>115</v>
      </c>
      <c r="B280" s="338" t="s">
        <v>844</v>
      </c>
      <c r="C280" s="338" t="s">
        <v>33</v>
      </c>
      <c r="D280" s="338" t="s">
        <v>1067</v>
      </c>
      <c r="E280" s="339" t="s">
        <v>34</v>
      </c>
      <c r="F280" s="344" t="s">
        <v>27</v>
      </c>
      <c r="G280" s="344"/>
      <c r="H280" s="339" t="s">
        <v>26</v>
      </c>
      <c r="I280" s="345">
        <v>1044.2</v>
      </c>
      <c r="J280" s="345"/>
      <c r="K280" s="342" t="s">
        <v>21</v>
      </c>
      <c r="L280" s="343">
        <v>698221.44</v>
      </c>
    </row>
    <row r="281" spans="1:12" ht="51" x14ac:dyDescent="0.3">
      <c r="A281" s="337" t="s">
        <v>115</v>
      </c>
      <c r="B281" s="338" t="s">
        <v>844</v>
      </c>
      <c r="C281" s="338" t="s">
        <v>33</v>
      </c>
      <c r="D281" s="338" t="s">
        <v>1068</v>
      </c>
      <c r="E281" s="339" t="s">
        <v>34</v>
      </c>
      <c r="F281" s="344" t="s">
        <v>27</v>
      </c>
      <c r="G281" s="344"/>
      <c r="H281" s="339" t="s">
        <v>26</v>
      </c>
      <c r="I281" s="345">
        <v>1083.7</v>
      </c>
      <c r="J281" s="345"/>
      <c r="K281" s="342" t="s">
        <v>21</v>
      </c>
      <c r="L281" s="343">
        <v>697137.74</v>
      </c>
    </row>
    <row r="282" spans="1:12" ht="51" x14ac:dyDescent="0.3">
      <c r="A282" s="337" t="s">
        <v>115</v>
      </c>
      <c r="B282" s="338" t="s">
        <v>844</v>
      </c>
      <c r="C282" s="338" t="s">
        <v>33</v>
      </c>
      <c r="D282" s="338" t="s">
        <v>1069</v>
      </c>
      <c r="E282" s="339" t="s">
        <v>34</v>
      </c>
      <c r="F282" s="344" t="s">
        <v>27</v>
      </c>
      <c r="G282" s="344"/>
      <c r="H282" s="339" t="s">
        <v>26</v>
      </c>
      <c r="I282" s="345">
        <v>1892.2</v>
      </c>
      <c r="J282" s="345"/>
      <c r="K282" s="342" t="s">
        <v>21</v>
      </c>
      <c r="L282" s="343">
        <v>695245.54</v>
      </c>
    </row>
    <row r="283" spans="1:12" ht="51" x14ac:dyDescent="0.3">
      <c r="A283" s="337" t="s">
        <v>115</v>
      </c>
      <c r="B283" s="338" t="s">
        <v>844</v>
      </c>
      <c r="C283" s="338" t="s">
        <v>33</v>
      </c>
      <c r="D283" s="338" t="s">
        <v>1070</v>
      </c>
      <c r="E283" s="339" t="s">
        <v>34</v>
      </c>
      <c r="F283" s="344" t="s">
        <v>27</v>
      </c>
      <c r="G283" s="344"/>
      <c r="H283" s="339" t="s">
        <v>26</v>
      </c>
      <c r="I283" s="345">
        <v>1832.5</v>
      </c>
      <c r="J283" s="345"/>
      <c r="K283" s="342" t="s">
        <v>21</v>
      </c>
      <c r="L283" s="343">
        <v>693413.04</v>
      </c>
    </row>
    <row r="284" spans="1:12" ht="51" x14ac:dyDescent="0.3">
      <c r="A284" s="337" t="s">
        <v>115</v>
      </c>
      <c r="B284" s="338" t="s">
        <v>844</v>
      </c>
      <c r="C284" s="338" t="s">
        <v>33</v>
      </c>
      <c r="D284" s="338" t="s">
        <v>1071</v>
      </c>
      <c r="E284" s="339" t="s">
        <v>34</v>
      </c>
      <c r="F284" s="344" t="s">
        <v>27</v>
      </c>
      <c r="G284" s="344"/>
      <c r="H284" s="339" t="s">
        <v>26</v>
      </c>
      <c r="I284" s="345">
        <v>1910.1</v>
      </c>
      <c r="J284" s="345"/>
      <c r="K284" s="342" t="s">
        <v>21</v>
      </c>
      <c r="L284" s="343">
        <v>691502.94</v>
      </c>
    </row>
    <row r="285" spans="1:12" ht="51" x14ac:dyDescent="0.3">
      <c r="A285" s="337" t="s">
        <v>115</v>
      </c>
      <c r="B285" s="338" t="s">
        <v>844</v>
      </c>
      <c r="C285" s="338" t="s">
        <v>33</v>
      </c>
      <c r="D285" s="338" t="s">
        <v>1072</v>
      </c>
      <c r="E285" s="339" t="s">
        <v>34</v>
      </c>
      <c r="F285" s="344" t="s">
        <v>27</v>
      </c>
      <c r="G285" s="344"/>
      <c r="H285" s="339" t="s">
        <v>26</v>
      </c>
      <c r="I285" s="345">
        <v>2475.4</v>
      </c>
      <c r="J285" s="345"/>
      <c r="K285" s="342" t="s">
        <v>21</v>
      </c>
      <c r="L285" s="343">
        <v>689027.54</v>
      </c>
    </row>
    <row r="286" spans="1:12" ht="51" x14ac:dyDescent="0.3">
      <c r="A286" s="337" t="s">
        <v>115</v>
      </c>
      <c r="B286" s="338" t="s">
        <v>844</v>
      </c>
      <c r="C286" s="338" t="s">
        <v>33</v>
      </c>
      <c r="D286" s="338" t="s">
        <v>1073</v>
      </c>
      <c r="E286" s="339" t="s">
        <v>34</v>
      </c>
      <c r="F286" s="344" t="s">
        <v>27</v>
      </c>
      <c r="G286" s="344"/>
      <c r="H286" s="339" t="s">
        <v>26</v>
      </c>
      <c r="I286" s="345">
        <v>1238.8</v>
      </c>
      <c r="J286" s="345"/>
      <c r="K286" s="342" t="s">
        <v>21</v>
      </c>
      <c r="L286" s="343">
        <v>687788.74</v>
      </c>
    </row>
    <row r="287" spans="1:12" ht="51" x14ac:dyDescent="0.3">
      <c r="A287" s="337" t="s">
        <v>115</v>
      </c>
      <c r="B287" s="338" t="s">
        <v>844</v>
      </c>
      <c r="C287" s="338" t="s">
        <v>33</v>
      </c>
      <c r="D287" s="338" t="s">
        <v>1074</v>
      </c>
      <c r="E287" s="339" t="s">
        <v>34</v>
      </c>
      <c r="F287" s="344" t="s">
        <v>27</v>
      </c>
      <c r="G287" s="344"/>
      <c r="H287" s="339" t="s">
        <v>26</v>
      </c>
      <c r="I287" s="345">
        <v>1851.2</v>
      </c>
      <c r="J287" s="345"/>
      <c r="K287" s="342" t="s">
        <v>21</v>
      </c>
      <c r="L287" s="343">
        <v>685937.54</v>
      </c>
    </row>
    <row r="288" spans="1:12" ht="51" x14ac:dyDescent="0.3">
      <c r="A288" s="337" t="s">
        <v>115</v>
      </c>
      <c r="B288" s="338" t="s">
        <v>844</v>
      </c>
      <c r="C288" s="338" t="s">
        <v>33</v>
      </c>
      <c r="D288" s="338" t="s">
        <v>1075</v>
      </c>
      <c r="E288" s="339" t="s">
        <v>34</v>
      </c>
      <c r="F288" s="344" t="s">
        <v>27</v>
      </c>
      <c r="G288" s="344"/>
      <c r="H288" s="339" t="s">
        <v>26</v>
      </c>
      <c r="I288" s="345">
        <v>1869.8</v>
      </c>
      <c r="J288" s="345"/>
      <c r="K288" s="342" t="s">
        <v>21</v>
      </c>
      <c r="L288" s="343">
        <v>684067.74</v>
      </c>
    </row>
    <row r="289" spans="1:12" ht="51" x14ac:dyDescent="0.3">
      <c r="A289" s="337" t="s">
        <v>115</v>
      </c>
      <c r="B289" s="338" t="s">
        <v>844</v>
      </c>
      <c r="C289" s="338" t="s">
        <v>33</v>
      </c>
      <c r="D289" s="338" t="s">
        <v>1076</v>
      </c>
      <c r="E289" s="339" t="s">
        <v>34</v>
      </c>
      <c r="F289" s="344" t="s">
        <v>27</v>
      </c>
      <c r="G289" s="344"/>
      <c r="H289" s="339" t="s">
        <v>26</v>
      </c>
      <c r="I289" s="346">
        <v>868.2</v>
      </c>
      <c r="J289" s="346"/>
      <c r="K289" s="342" t="s">
        <v>21</v>
      </c>
      <c r="L289" s="343">
        <v>683199.54</v>
      </c>
    </row>
    <row r="290" spans="1:12" ht="51" x14ac:dyDescent="0.3">
      <c r="A290" s="337" t="s">
        <v>115</v>
      </c>
      <c r="B290" s="338" t="s">
        <v>844</v>
      </c>
      <c r="C290" s="338" t="s">
        <v>33</v>
      </c>
      <c r="D290" s="338" t="s">
        <v>1077</v>
      </c>
      <c r="E290" s="339" t="s">
        <v>34</v>
      </c>
      <c r="F290" s="344" t="s">
        <v>27</v>
      </c>
      <c r="G290" s="344"/>
      <c r="H290" s="339" t="s">
        <v>26</v>
      </c>
      <c r="I290" s="345">
        <v>1103.0999999999999</v>
      </c>
      <c r="J290" s="345"/>
      <c r="K290" s="342" t="s">
        <v>21</v>
      </c>
      <c r="L290" s="343">
        <v>682096.44</v>
      </c>
    </row>
    <row r="291" spans="1:12" ht="51" x14ac:dyDescent="0.3">
      <c r="A291" s="337" t="s">
        <v>115</v>
      </c>
      <c r="B291" s="338" t="s">
        <v>844</v>
      </c>
      <c r="C291" s="338" t="s">
        <v>33</v>
      </c>
      <c r="D291" s="338" t="s">
        <v>1078</v>
      </c>
      <c r="E291" s="339" t="s">
        <v>34</v>
      </c>
      <c r="F291" s="344" t="s">
        <v>27</v>
      </c>
      <c r="G291" s="344"/>
      <c r="H291" s="339" t="s">
        <v>26</v>
      </c>
      <c r="I291" s="345">
        <v>1433.5</v>
      </c>
      <c r="J291" s="345"/>
      <c r="K291" s="342" t="s">
        <v>21</v>
      </c>
      <c r="L291" s="343">
        <v>680662.94</v>
      </c>
    </row>
    <row r="292" spans="1:12" ht="51" x14ac:dyDescent="0.3">
      <c r="A292" s="337" t="s">
        <v>115</v>
      </c>
      <c r="B292" s="338" t="s">
        <v>844</v>
      </c>
      <c r="C292" s="338" t="s">
        <v>33</v>
      </c>
      <c r="D292" s="338" t="s">
        <v>1079</v>
      </c>
      <c r="E292" s="339" t="s">
        <v>34</v>
      </c>
      <c r="F292" s="344" t="s">
        <v>27</v>
      </c>
      <c r="G292" s="344"/>
      <c r="H292" s="339" t="s">
        <v>26</v>
      </c>
      <c r="I292" s="345">
        <v>1782.5</v>
      </c>
      <c r="J292" s="345"/>
      <c r="K292" s="342" t="s">
        <v>21</v>
      </c>
      <c r="L292" s="343">
        <v>678880.44</v>
      </c>
    </row>
    <row r="293" spans="1:12" ht="61.2" x14ac:dyDescent="0.3">
      <c r="A293" s="337" t="s">
        <v>115</v>
      </c>
      <c r="B293" s="338" t="s">
        <v>844</v>
      </c>
      <c r="C293" s="338" t="s">
        <v>33</v>
      </c>
      <c r="D293" s="338" t="s">
        <v>1080</v>
      </c>
      <c r="E293" s="339" t="s">
        <v>34</v>
      </c>
      <c r="F293" s="344" t="s">
        <v>27</v>
      </c>
      <c r="G293" s="344"/>
      <c r="H293" s="339" t="s">
        <v>26</v>
      </c>
      <c r="I293" s="345">
        <v>6863.2</v>
      </c>
      <c r="J293" s="345"/>
      <c r="K293" s="342" t="s">
        <v>21</v>
      </c>
      <c r="L293" s="343">
        <v>672017.24</v>
      </c>
    </row>
    <row r="294" spans="1:12" ht="61.2" x14ac:dyDescent="0.3">
      <c r="A294" s="337" t="s">
        <v>115</v>
      </c>
      <c r="B294" s="338" t="s">
        <v>844</v>
      </c>
      <c r="C294" s="338" t="s">
        <v>33</v>
      </c>
      <c r="D294" s="338" t="s">
        <v>1081</v>
      </c>
      <c r="E294" s="339" t="s">
        <v>34</v>
      </c>
      <c r="F294" s="344" t="s">
        <v>27</v>
      </c>
      <c r="G294" s="344"/>
      <c r="H294" s="339" t="s">
        <v>26</v>
      </c>
      <c r="I294" s="345">
        <v>4075.2</v>
      </c>
      <c r="J294" s="345"/>
      <c r="K294" s="342" t="s">
        <v>21</v>
      </c>
      <c r="L294" s="343">
        <v>667942.04</v>
      </c>
    </row>
    <row r="295" spans="1:12" ht="61.2" x14ac:dyDescent="0.3">
      <c r="A295" s="337" t="s">
        <v>115</v>
      </c>
      <c r="B295" s="338" t="s">
        <v>844</v>
      </c>
      <c r="C295" s="338" t="s">
        <v>33</v>
      </c>
      <c r="D295" s="338" t="s">
        <v>1082</v>
      </c>
      <c r="E295" s="339" t="s">
        <v>34</v>
      </c>
      <c r="F295" s="344" t="s">
        <v>27</v>
      </c>
      <c r="G295" s="344"/>
      <c r="H295" s="339" t="s">
        <v>26</v>
      </c>
      <c r="I295" s="345">
        <v>3692.6</v>
      </c>
      <c r="J295" s="345"/>
      <c r="K295" s="342" t="s">
        <v>21</v>
      </c>
      <c r="L295" s="343">
        <v>664249.43999999994</v>
      </c>
    </row>
    <row r="296" spans="1:12" ht="61.2" x14ac:dyDescent="0.3">
      <c r="A296" s="337" t="s">
        <v>115</v>
      </c>
      <c r="B296" s="338" t="s">
        <v>844</v>
      </c>
      <c r="C296" s="338" t="s">
        <v>33</v>
      </c>
      <c r="D296" s="338" t="s">
        <v>1083</v>
      </c>
      <c r="E296" s="339" t="s">
        <v>34</v>
      </c>
      <c r="F296" s="344" t="s">
        <v>27</v>
      </c>
      <c r="G296" s="344"/>
      <c r="H296" s="339" t="s">
        <v>26</v>
      </c>
      <c r="I296" s="345">
        <v>3819.4</v>
      </c>
      <c r="J296" s="345"/>
      <c r="K296" s="342" t="s">
        <v>21</v>
      </c>
      <c r="L296" s="343">
        <v>660430.04</v>
      </c>
    </row>
    <row r="297" spans="1:12" ht="51" x14ac:dyDescent="0.3">
      <c r="A297" s="337" t="s">
        <v>115</v>
      </c>
      <c r="B297" s="338" t="s">
        <v>844</v>
      </c>
      <c r="C297" s="338" t="s">
        <v>33</v>
      </c>
      <c r="D297" s="338" t="s">
        <v>1084</v>
      </c>
      <c r="E297" s="339" t="s">
        <v>34</v>
      </c>
      <c r="F297" s="344" t="s">
        <v>27</v>
      </c>
      <c r="G297" s="344"/>
      <c r="H297" s="339" t="s">
        <v>26</v>
      </c>
      <c r="I297" s="345">
        <v>1152.3</v>
      </c>
      <c r="J297" s="345"/>
      <c r="K297" s="342" t="s">
        <v>21</v>
      </c>
      <c r="L297" s="343">
        <v>659277.74</v>
      </c>
    </row>
    <row r="298" spans="1:12" ht="51" x14ac:dyDescent="0.3">
      <c r="A298" s="337" t="s">
        <v>115</v>
      </c>
      <c r="B298" s="338" t="s">
        <v>844</v>
      </c>
      <c r="C298" s="338" t="s">
        <v>33</v>
      </c>
      <c r="D298" s="338" t="s">
        <v>1085</v>
      </c>
      <c r="E298" s="339" t="s">
        <v>34</v>
      </c>
      <c r="F298" s="344" t="s">
        <v>27</v>
      </c>
      <c r="G298" s="344"/>
      <c r="H298" s="339" t="s">
        <v>26</v>
      </c>
      <c r="I298" s="345">
        <v>1740.8</v>
      </c>
      <c r="J298" s="345"/>
      <c r="K298" s="342" t="s">
        <v>21</v>
      </c>
      <c r="L298" s="343">
        <v>657536.93999999994</v>
      </c>
    </row>
    <row r="299" spans="1:12" ht="61.2" x14ac:dyDescent="0.3">
      <c r="A299" s="337" t="s">
        <v>115</v>
      </c>
      <c r="B299" s="338" t="s">
        <v>844</v>
      </c>
      <c r="C299" s="338" t="s">
        <v>33</v>
      </c>
      <c r="D299" s="338" t="s">
        <v>1086</v>
      </c>
      <c r="E299" s="339" t="s">
        <v>34</v>
      </c>
      <c r="F299" s="344" t="s">
        <v>27</v>
      </c>
      <c r="G299" s="344"/>
      <c r="H299" s="339" t="s">
        <v>26</v>
      </c>
      <c r="I299" s="345">
        <v>14827.2</v>
      </c>
      <c r="J299" s="345"/>
      <c r="K299" s="342" t="s">
        <v>21</v>
      </c>
      <c r="L299" s="343">
        <v>642709.74</v>
      </c>
    </row>
    <row r="300" spans="1:12" ht="61.2" x14ac:dyDescent="0.3">
      <c r="A300" s="337" t="s">
        <v>115</v>
      </c>
      <c r="B300" s="338" t="s">
        <v>844</v>
      </c>
      <c r="C300" s="338" t="s">
        <v>33</v>
      </c>
      <c r="D300" s="338" t="s">
        <v>1087</v>
      </c>
      <c r="E300" s="339" t="s">
        <v>34</v>
      </c>
      <c r="F300" s="344" t="s">
        <v>27</v>
      </c>
      <c r="G300" s="344"/>
      <c r="H300" s="339" t="s">
        <v>26</v>
      </c>
      <c r="I300" s="345">
        <v>26406.799999999999</v>
      </c>
      <c r="J300" s="345"/>
      <c r="K300" s="342" t="s">
        <v>21</v>
      </c>
      <c r="L300" s="343">
        <v>616302.93999999994</v>
      </c>
    </row>
    <row r="301" spans="1:12" ht="61.2" x14ac:dyDescent="0.3">
      <c r="A301" s="337" t="s">
        <v>115</v>
      </c>
      <c r="B301" s="338" t="s">
        <v>844</v>
      </c>
      <c r="C301" s="338" t="s">
        <v>33</v>
      </c>
      <c r="D301" s="338" t="s">
        <v>1088</v>
      </c>
      <c r="E301" s="339" t="s">
        <v>34</v>
      </c>
      <c r="F301" s="344" t="s">
        <v>27</v>
      </c>
      <c r="G301" s="344"/>
      <c r="H301" s="339" t="s">
        <v>26</v>
      </c>
      <c r="I301" s="345">
        <v>10830.3</v>
      </c>
      <c r="J301" s="345"/>
      <c r="K301" s="342" t="s">
        <v>21</v>
      </c>
      <c r="L301" s="343">
        <v>605472.64</v>
      </c>
    </row>
    <row r="302" spans="1:12" ht="61.2" x14ac:dyDescent="0.3">
      <c r="A302" s="337" t="s">
        <v>115</v>
      </c>
      <c r="B302" s="338" t="s">
        <v>844</v>
      </c>
      <c r="C302" s="338" t="s">
        <v>33</v>
      </c>
      <c r="D302" s="338" t="s">
        <v>1089</v>
      </c>
      <c r="E302" s="339" t="s">
        <v>34</v>
      </c>
      <c r="F302" s="344" t="s">
        <v>27</v>
      </c>
      <c r="G302" s="344"/>
      <c r="H302" s="339" t="s">
        <v>26</v>
      </c>
      <c r="I302" s="345">
        <v>3775.4</v>
      </c>
      <c r="J302" s="345"/>
      <c r="K302" s="342" t="s">
        <v>21</v>
      </c>
      <c r="L302" s="343">
        <v>601697.24</v>
      </c>
    </row>
    <row r="303" spans="1:12" ht="61.2" x14ac:dyDescent="0.3">
      <c r="A303" s="337" t="s">
        <v>115</v>
      </c>
      <c r="B303" s="338" t="s">
        <v>844</v>
      </c>
      <c r="C303" s="338" t="s">
        <v>33</v>
      </c>
      <c r="D303" s="338" t="s">
        <v>1090</v>
      </c>
      <c r="E303" s="339" t="s">
        <v>34</v>
      </c>
      <c r="F303" s="344" t="s">
        <v>27</v>
      </c>
      <c r="G303" s="344"/>
      <c r="H303" s="339" t="s">
        <v>26</v>
      </c>
      <c r="I303" s="345">
        <v>2875.9</v>
      </c>
      <c r="J303" s="345"/>
      <c r="K303" s="342" t="s">
        <v>21</v>
      </c>
      <c r="L303" s="343">
        <v>598821.34</v>
      </c>
    </row>
    <row r="304" spans="1:12" ht="61.2" x14ac:dyDescent="0.3">
      <c r="A304" s="337" t="s">
        <v>115</v>
      </c>
      <c r="B304" s="338" t="s">
        <v>844</v>
      </c>
      <c r="C304" s="338" t="s">
        <v>33</v>
      </c>
      <c r="D304" s="338" t="s">
        <v>1091</v>
      </c>
      <c r="E304" s="339" t="s">
        <v>34</v>
      </c>
      <c r="F304" s="344" t="s">
        <v>27</v>
      </c>
      <c r="G304" s="344"/>
      <c r="H304" s="339" t="s">
        <v>26</v>
      </c>
      <c r="I304" s="345">
        <v>1705.7</v>
      </c>
      <c r="J304" s="345"/>
      <c r="K304" s="342" t="s">
        <v>21</v>
      </c>
      <c r="L304" s="343">
        <v>597115.64</v>
      </c>
    </row>
    <row r="305" spans="1:12" ht="61.2" x14ac:dyDescent="0.3">
      <c r="A305" s="337" t="s">
        <v>115</v>
      </c>
      <c r="B305" s="338" t="s">
        <v>844</v>
      </c>
      <c r="C305" s="338" t="s">
        <v>33</v>
      </c>
      <c r="D305" s="338" t="s">
        <v>1092</v>
      </c>
      <c r="E305" s="339" t="s">
        <v>34</v>
      </c>
      <c r="F305" s="344" t="s">
        <v>27</v>
      </c>
      <c r="G305" s="344"/>
      <c r="H305" s="339" t="s">
        <v>26</v>
      </c>
      <c r="I305" s="345">
        <v>2157.6999999999998</v>
      </c>
      <c r="J305" s="345"/>
      <c r="K305" s="342" t="s">
        <v>21</v>
      </c>
      <c r="L305" s="343">
        <v>594957.93999999994</v>
      </c>
    </row>
    <row r="306" spans="1:12" ht="61.2" x14ac:dyDescent="0.3">
      <c r="A306" s="337" t="s">
        <v>115</v>
      </c>
      <c r="B306" s="338" t="s">
        <v>844</v>
      </c>
      <c r="C306" s="338" t="s">
        <v>33</v>
      </c>
      <c r="D306" s="338" t="s">
        <v>1093</v>
      </c>
      <c r="E306" s="339" t="s">
        <v>34</v>
      </c>
      <c r="F306" s="344" t="s">
        <v>27</v>
      </c>
      <c r="G306" s="344"/>
      <c r="H306" s="339" t="s">
        <v>26</v>
      </c>
      <c r="I306" s="345">
        <v>22391.200000000001</v>
      </c>
      <c r="J306" s="345"/>
      <c r="K306" s="342" t="s">
        <v>21</v>
      </c>
      <c r="L306" s="343">
        <v>572566.74</v>
      </c>
    </row>
    <row r="307" spans="1:12" ht="61.2" x14ac:dyDescent="0.3">
      <c r="A307" s="337" t="s">
        <v>115</v>
      </c>
      <c r="B307" s="338" t="s">
        <v>844</v>
      </c>
      <c r="C307" s="338" t="s">
        <v>33</v>
      </c>
      <c r="D307" s="338" t="s">
        <v>1094</v>
      </c>
      <c r="E307" s="339" t="s">
        <v>34</v>
      </c>
      <c r="F307" s="344" t="s">
        <v>27</v>
      </c>
      <c r="G307" s="344"/>
      <c r="H307" s="339" t="s">
        <v>26</v>
      </c>
      <c r="I307" s="345">
        <v>4087.2</v>
      </c>
      <c r="J307" s="345"/>
      <c r="K307" s="342" t="s">
        <v>21</v>
      </c>
      <c r="L307" s="343">
        <v>568479.54</v>
      </c>
    </row>
    <row r="308" spans="1:12" ht="61.2" x14ac:dyDescent="0.3">
      <c r="A308" s="337" t="s">
        <v>115</v>
      </c>
      <c r="B308" s="338" t="s">
        <v>844</v>
      </c>
      <c r="C308" s="338" t="s">
        <v>33</v>
      </c>
      <c r="D308" s="338" t="s">
        <v>1095</v>
      </c>
      <c r="E308" s="339" t="s">
        <v>34</v>
      </c>
      <c r="F308" s="344" t="s">
        <v>27</v>
      </c>
      <c r="G308" s="344"/>
      <c r="H308" s="339" t="s">
        <v>26</v>
      </c>
      <c r="I308" s="345">
        <v>29822.3</v>
      </c>
      <c r="J308" s="345"/>
      <c r="K308" s="342" t="s">
        <v>21</v>
      </c>
      <c r="L308" s="343">
        <v>538657.24</v>
      </c>
    </row>
    <row r="309" spans="1:12" ht="61.2" x14ac:dyDescent="0.3">
      <c r="A309" s="337" t="s">
        <v>115</v>
      </c>
      <c r="B309" s="338" t="s">
        <v>844</v>
      </c>
      <c r="C309" s="338" t="s">
        <v>33</v>
      </c>
      <c r="D309" s="338" t="s">
        <v>1096</v>
      </c>
      <c r="E309" s="339" t="s">
        <v>34</v>
      </c>
      <c r="F309" s="344" t="s">
        <v>27</v>
      </c>
      <c r="G309" s="344"/>
      <c r="H309" s="339" t="s">
        <v>26</v>
      </c>
      <c r="I309" s="345">
        <v>2982.6</v>
      </c>
      <c r="J309" s="345"/>
      <c r="K309" s="342" t="s">
        <v>21</v>
      </c>
      <c r="L309" s="343">
        <v>535674.64</v>
      </c>
    </row>
    <row r="310" spans="1:12" ht="61.2" x14ac:dyDescent="0.3">
      <c r="A310" s="337" t="s">
        <v>115</v>
      </c>
      <c r="B310" s="338" t="s">
        <v>844</v>
      </c>
      <c r="C310" s="338" t="s">
        <v>33</v>
      </c>
      <c r="D310" s="338" t="s">
        <v>1097</v>
      </c>
      <c r="E310" s="339" t="s">
        <v>34</v>
      </c>
      <c r="F310" s="344" t="s">
        <v>27</v>
      </c>
      <c r="G310" s="344"/>
      <c r="H310" s="339" t="s">
        <v>26</v>
      </c>
      <c r="I310" s="345">
        <v>7773</v>
      </c>
      <c r="J310" s="345"/>
      <c r="K310" s="342" t="s">
        <v>21</v>
      </c>
      <c r="L310" s="343">
        <v>527901.64</v>
      </c>
    </row>
    <row r="311" spans="1:12" ht="61.2" x14ac:dyDescent="0.3">
      <c r="A311" s="337" t="s">
        <v>115</v>
      </c>
      <c r="B311" s="338" t="s">
        <v>844</v>
      </c>
      <c r="C311" s="338" t="s">
        <v>33</v>
      </c>
      <c r="D311" s="338" t="s">
        <v>1098</v>
      </c>
      <c r="E311" s="339" t="s">
        <v>34</v>
      </c>
      <c r="F311" s="344" t="s">
        <v>27</v>
      </c>
      <c r="G311" s="344"/>
      <c r="H311" s="339" t="s">
        <v>26</v>
      </c>
      <c r="I311" s="345">
        <v>5751.1</v>
      </c>
      <c r="J311" s="345"/>
      <c r="K311" s="342" t="s">
        <v>21</v>
      </c>
      <c r="L311" s="343">
        <v>522150.54</v>
      </c>
    </row>
    <row r="312" spans="1:12" ht="61.2" x14ac:dyDescent="0.3">
      <c r="A312" s="337" t="s">
        <v>115</v>
      </c>
      <c r="B312" s="338" t="s">
        <v>844</v>
      </c>
      <c r="C312" s="338" t="s">
        <v>33</v>
      </c>
      <c r="D312" s="338" t="s">
        <v>1099</v>
      </c>
      <c r="E312" s="339" t="s">
        <v>34</v>
      </c>
      <c r="F312" s="344" t="s">
        <v>27</v>
      </c>
      <c r="G312" s="344"/>
      <c r="H312" s="339" t="s">
        <v>26</v>
      </c>
      <c r="I312" s="345">
        <v>5759.4</v>
      </c>
      <c r="J312" s="345"/>
      <c r="K312" s="342" t="s">
        <v>21</v>
      </c>
      <c r="L312" s="343">
        <v>516391.14</v>
      </c>
    </row>
    <row r="313" spans="1:12" ht="61.2" x14ac:dyDescent="0.3">
      <c r="A313" s="337" t="s">
        <v>115</v>
      </c>
      <c r="B313" s="338" t="s">
        <v>844</v>
      </c>
      <c r="C313" s="338" t="s">
        <v>33</v>
      </c>
      <c r="D313" s="338" t="s">
        <v>1100</v>
      </c>
      <c r="E313" s="339" t="s">
        <v>34</v>
      </c>
      <c r="F313" s="344" t="s">
        <v>27</v>
      </c>
      <c r="G313" s="344"/>
      <c r="H313" s="339" t="s">
        <v>26</v>
      </c>
      <c r="I313" s="345">
        <v>1648.3</v>
      </c>
      <c r="J313" s="345"/>
      <c r="K313" s="342" t="s">
        <v>21</v>
      </c>
      <c r="L313" s="343">
        <v>514742.84</v>
      </c>
    </row>
    <row r="314" spans="1:12" ht="51" x14ac:dyDescent="0.3">
      <c r="A314" s="337" t="s">
        <v>115</v>
      </c>
      <c r="B314" s="338" t="s">
        <v>844</v>
      </c>
      <c r="C314" s="338" t="s">
        <v>33</v>
      </c>
      <c r="D314" s="338" t="s">
        <v>1101</v>
      </c>
      <c r="E314" s="339" t="s">
        <v>34</v>
      </c>
      <c r="F314" s="344" t="s">
        <v>27</v>
      </c>
      <c r="G314" s="344"/>
      <c r="H314" s="339" t="s">
        <v>26</v>
      </c>
      <c r="I314" s="345">
        <v>32089.599999999999</v>
      </c>
      <c r="J314" s="345"/>
      <c r="K314" s="342" t="s">
        <v>21</v>
      </c>
      <c r="L314" s="343">
        <v>482653.24</v>
      </c>
    </row>
    <row r="315" spans="1:12" ht="51" x14ac:dyDescent="0.3">
      <c r="A315" s="337" t="s">
        <v>115</v>
      </c>
      <c r="B315" s="338" t="s">
        <v>844</v>
      </c>
      <c r="C315" s="338" t="s">
        <v>33</v>
      </c>
      <c r="D315" s="338" t="s">
        <v>1102</v>
      </c>
      <c r="E315" s="339" t="s">
        <v>34</v>
      </c>
      <c r="F315" s="344" t="s">
        <v>27</v>
      </c>
      <c r="G315" s="344"/>
      <c r="H315" s="339" t="s">
        <v>26</v>
      </c>
      <c r="I315" s="345">
        <v>62560</v>
      </c>
      <c r="J315" s="345"/>
      <c r="K315" s="342" t="s">
        <v>21</v>
      </c>
      <c r="L315" s="343">
        <v>420093.24</v>
      </c>
    </row>
    <row r="316" spans="1:12" ht="51" hidden="1" x14ac:dyDescent="0.3">
      <c r="A316" s="337" t="s">
        <v>119</v>
      </c>
      <c r="B316" s="338" t="s">
        <v>1103</v>
      </c>
      <c r="C316" s="338" t="s">
        <v>1104</v>
      </c>
      <c r="D316" s="338" t="s">
        <v>1105</v>
      </c>
      <c r="E316" s="339" t="s">
        <v>26</v>
      </c>
      <c r="F316" s="340">
        <v>18114.8</v>
      </c>
      <c r="G316" s="340"/>
      <c r="H316" s="339" t="s">
        <v>45</v>
      </c>
      <c r="I316" s="341" t="s">
        <v>27</v>
      </c>
      <c r="J316" s="341"/>
      <c r="K316" s="342" t="s">
        <v>21</v>
      </c>
      <c r="L316" s="343">
        <v>438208.04</v>
      </c>
    </row>
    <row r="317" spans="1:12" ht="51" hidden="1" x14ac:dyDescent="0.3">
      <c r="A317" s="337" t="s">
        <v>119</v>
      </c>
      <c r="B317" s="338" t="s">
        <v>1106</v>
      </c>
      <c r="C317" s="338" t="s">
        <v>1107</v>
      </c>
      <c r="D317" s="338" t="s">
        <v>1108</v>
      </c>
      <c r="E317" s="339" t="s">
        <v>26</v>
      </c>
      <c r="F317" s="340">
        <v>18114.8</v>
      </c>
      <c r="G317" s="340"/>
      <c r="H317" s="339" t="s">
        <v>45</v>
      </c>
      <c r="I317" s="341" t="s">
        <v>27</v>
      </c>
      <c r="J317" s="341"/>
      <c r="K317" s="342" t="s">
        <v>21</v>
      </c>
      <c r="L317" s="343">
        <v>456322.84</v>
      </c>
    </row>
    <row r="318" spans="1:12" ht="51" hidden="1" x14ac:dyDescent="0.3">
      <c r="A318" s="337" t="s">
        <v>119</v>
      </c>
      <c r="B318" s="338" t="s">
        <v>1109</v>
      </c>
      <c r="C318" s="338" t="s">
        <v>1110</v>
      </c>
      <c r="D318" s="338" t="s">
        <v>1111</v>
      </c>
      <c r="E318" s="339" t="s">
        <v>26</v>
      </c>
      <c r="F318" s="340">
        <v>18114.8</v>
      </c>
      <c r="G318" s="340"/>
      <c r="H318" s="339" t="s">
        <v>45</v>
      </c>
      <c r="I318" s="341" t="s">
        <v>27</v>
      </c>
      <c r="J318" s="341"/>
      <c r="K318" s="342" t="s">
        <v>21</v>
      </c>
      <c r="L318" s="343">
        <v>474437.64</v>
      </c>
    </row>
    <row r="319" spans="1:12" ht="51" hidden="1" x14ac:dyDescent="0.3">
      <c r="A319" s="337" t="s">
        <v>119</v>
      </c>
      <c r="B319" s="338" t="s">
        <v>1112</v>
      </c>
      <c r="C319" s="338" t="s">
        <v>1113</v>
      </c>
      <c r="D319" s="338" t="s">
        <v>1114</v>
      </c>
      <c r="E319" s="339" t="s">
        <v>26</v>
      </c>
      <c r="F319" s="340">
        <v>18114.8</v>
      </c>
      <c r="G319" s="340"/>
      <c r="H319" s="339" t="s">
        <v>45</v>
      </c>
      <c r="I319" s="341" t="s">
        <v>27</v>
      </c>
      <c r="J319" s="341"/>
      <c r="K319" s="342" t="s">
        <v>21</v>
      </c>
      <c r="L319" s="343">
        <v>492552.44</v>
      </c>
    </row>
    <row r="320" spans="1:12" ht="51" hidden="1" x14ac:dyDescent="0.3">
      <c r="A320" s="337" t="s">
        <v>119</v>
      </c>
      <c r="B320" s="338" t="s">
        <v>1115</v>
      </c>
      <c r="C320" s="338" t="s">
        <v>1116</v>
      </c>
      <c r="D320" s="338" t="s">
        <v>1117</v>
      </c>
      <c r="E320" s="339" t="s">
        <v>26</v>
      </c>
      <c r="F320" s="340">
        <v>19613.099999999999</v>
      </c>
      <c r="G320" s="340"/>
      <c r="H320" s="339" t="s">
        <v>45</v>
      </c>
      <c r="I320" s="341" t="s">
        <v>27</v>
      </c>
      <c r="J320" s="341"/>
      <c r="K320" s="342" t="s">
        <v>21</v>
      </c>
      <c r="L320" s="343">
        <v>512165.54</v>
      </c>
    </row>
    <row r="321" spans="1:12" hidden="1" x14ac:dyDescent="0.3">
      <c r="A321" s="347" t="s">
        <v>146</v>
      </c>
      <c r="B321" s="347"/>
      <c r="C321" s="347"/>
      <c r="D321" s="347"/>
      <c r="E321" s="348">
        <v>393527.28</v>
      </c>
      <c r="F321" s="348"/>
      <c r="G321" s="348"/>
      <c r="H321" s="348">
        <v>2021075.76</v>
      </c>
      <c r="I321" s="348"/>
      <c r="J321" s="348"/>
      <c r="K321" s="349" t="s">
        <v>21</v>
      </c>
      <c r="L321" s="350">
        <v>512165.54</v>
      </c>
    </row>
    <row r="323" spans="1:12" x14ac:dyDescent="0.3">
      <c r="J323" s="351">
        <f>SUBTOTAL(9,I7:J315)</f>
        <v>2019460.7600000007</v>
      </c>
    </row>
  </sheetData>
  <autoFilter ref="A1:L321" xr:uid="{D3A3D362-3788-43D2-989D-F90E921D7FB2}">
    <filterColumn colId="1">
      <filters>
        <filter val="Вимога-накладна ІБ00-000422 від 19.06.2025 00:00:00_x000a_Списаны ТМЦ"/>
        <filter val="Вимога-накладна ІБ00-000440 від 02.06.2025 10:51:57_x000a_Списаны ТМЦ"/>
        <filter val="Вимога-накладна ІБ00-000481 від 20.06.2025 13:23:14_x000a_Списаны ТМЦ"/>
        <filter val="Вимога-накладна ІБ00-000517 від 25.06.2025 23:13:2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648">
    <mergeCell ref="F319:G319"/>
    <mergeCell ref="I319:J319"/>
    <mergeCell ref="F320:G320"/>
    <mergeCell ref="I320:J320"/>
    <mergeCell ref="A321:D321"/>
    <mergeCell ref="E321:G321"/>
    <mergeCell ref="H321:J321"/>
    <mergeCell ref="F316:G316"/>
    <mergeCell ref="I316:J316"/>
    <mergeCell ref="F317:G317"/>
    <mergeCell ref="I317:J317"/>
    <mergeCell ref="F318:G318"/>
    <mergeCell ref="I318:J318"/>
    <mergeCell ref="F313:G313"/>
    <mergeCell ref="I313:J313"/>
    <mergeCell ref="F314:G314"/>
    <mergeCell ref="I314:J314"/>
    <mergeCell ref="F315:G315"/>
    <mergeCell ref="I315:J315"/>
    <mergeCell ref="F310:G310"/>
    <mergeCell ref="I310:J310"/>
    <mergeCell ref="F311:G311"/>
    <mergeCell ref="I311:J311"/>
    <mergeCell ref="F312:G312"/>
    <mergeCell ref="I312:J312"/>
    <mergeCell ref="F307:G307"/>
    <mergeCell ref="I307:J307"/>
    <mergeCell ref="F308:G308"/>
    <mergeCell ref="I308:J308"/>
    <mergeCell ref="F309:G309"/>
    <mergeCell ref="I309:J309"/>
    <mergeCell ref="F304:G304"/>
    <mergeCell ref="I304:J304"/>
    <mergeCell ref="F305:G305"/>
    <mergeCell ref="I305:J305"/>
    <mergeCell ref="F306:G306"/>
    <mergeCell ref="I306:J306"/>
    <mergeCell ref="F301:G301"/>
    <mergeCell ref="I301:J301"/>
    <mergeCell ref="F302:G302"/>
    <mergeCell ref="I302:J302"/>
    <mergeCell ref="F303:G303"/>
    <mergeCell ref="I303:J303"/>
    <mergeCell ref="F298:G298"/>
    <mergeCell ref="I298:J298"/>
    <mergeCell ref="F299:G299"/>
    <mergeCell ref="I299:J299"/>
    <mergeCell ref="F300:G300"/>
    <mergeCell ref="I300:J300"/>
    <mergeCell ref="F295:G295"/>
    <mergeCell ref="I295:J295"/>
    <mergeCell ref="F296:G296"/>
    <mergeCell ref="I296:J296"/>
    <mergeCell ref="F297:G297"/>
    <mergeCell ref="I297:J297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286:G286"/>
    <mergeCell ref="I286:J286"/>
    <mergeCell ref="F287:G287"/>
    <mergeCell ref="I287:J287"/>
    <mergeCell ref="F288:G288"/>
    <mergeCell ref="I288:J288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СВОД</vt:lpstr>
      <vt:lpstr>АПК</vt:lpstr>
      <vt:lpstr>Генплан благоустрій</vt:lpstr>
      <vt:lpstr>Генплан дорога СПК</vt:lpstr>
      <vt:lpstr>Генплан підпірна стінка</vt:lpstr>
      <vt:lpstr>Глобине-2</vt:lpstr>
      <vt:lpstr>Котельна</vt:lpstr>
      <vt:lpstr>Насосна Градирня</vt:lpstr>
      <vt:lpstr>Пожежений резервуар</vt:lpstr>
      <vt:lpstr>в бігбегах</vt:lpstr>
      <vt:lpstr>зберігання розчинника</vt:lpstr>
      <vt:lpstr>СПК</vt:lpstr>
      <vt:lpstr>Транспортна галерея</vt:lpstr>
      <vt:lpstr>Цех екстракції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2025-07-22T08:27:36Z</dcterms:modified>
</cp:coreProperties>
</file>
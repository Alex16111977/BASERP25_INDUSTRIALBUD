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o.zaiets\Desktop\Звіти червень\"/>
    </mc:Choice>
  </mc:AlternateContent>
  <xr:revisionPtr revIDLastSave="0" documentId="13_ncr:1_{72E2DFB1-72A5-4E96-A593-E476700BF93A}" xr6:coauthVersionLast="45" xr6:coauthVersionMax="45" xr10:uidLastSave="{00000000-0000-0000-0000-000000000000}"/>
  <bookViews>
    <workbookView xWindow="-108" yWindow="-108" windowWidth="23256" windowHeight="12600" tabRatio="374" xr2:uid="{00000000-000D-0000-FFFF-FFFF00000000}"/>
  </bookViews>
  <sheets>
    <sheet name="Отчет" sheetId="1" r:id="rId1"/>
    <sheet name="Топливо_200К" sheetId="2" state="hidden" r:id="rId2"/>
  </sheets>
  <definedNames>
    <definedName name="_xlnm._FilterDatabase" localSheetId="1" hidden="1">Топливо_200К!$B$4:$H$4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151" i="1" l="1"/>
  <c r="AA151" i="1"/>
  <c r="Z150" i="1"/>
  <c r="AA150" i="1" s="1"/>
  <c r="O151" i="1" l="1"/>
  <c r="AC151" i="1" s="1"/>
  <c r="AD151" i="1" s="1"/>
  <c r="W151" i="1"/>
  <c r="Y151" i="1" s="1"/>
  <c r="AB151" i="1"/>
  <c r="O150" i="1"/>
  <c r="AC150" i="1" s="1"/>
  <c r="Y150" i="1"/>
  <c r="AB150" i="1"/>
  <c r="AE151" i="1" l="1"/>
  <c r="AF151" i="1" s="1"/>
  <c r="AE150" i="1"/>
  <c r="AD150" i="1"/>
  <c r="Z147" i="1"/>
  <c r="AA147" i="1" s="1"/>
  <c r="Z148" i="1"/>
  <c r="AA148" i="1" s="1"/>
  <c r="Z149" i="1"/>
  <c r="AA149" i="1" s="1"/>
  <c r="AF150" i="1" l="1"/>
  <c r="O147" i="1"/>
  <c r="AC147" i="1" s="1"/>
  <c r="AE147" i="1" s="1"/>
  <c r="X147" i="1"/>
  <c r="W147" i="1"/>
  <c r="AD147" i="1" l="1"/>
  <c r="AF147" i="1" s="1"/>
  <c r="Y147" i="1"/>
  <c r="AB147" i="1"/>
  <c r="O149" i="1"/>
  <c r="AC149" i="1" s="1"/>
  <c r="AE149" i="1" s="1"/>
  <c r="X149" i="1"/>
  <c r="AB149" i="1" s="1"/>
  <c r="W149" i="1"/>
  <c r="O148" i="1"/>
  <c r="AC148" i="1" s="1"/>
  <c r="AE148" i="1" s="1"/>
  <c r="X148" i="1"/>
  <c r="W148" i="1"/>
  <c r="Y149" i="1" l="1"/>
  <c r="AD149" i="1"/>
  <c r="AF149" i="1" s="1"/>
  <c r="AD148" i="1"/>
  <c r="AF148" i="1" s="1"/>
  <c r="Y148" i="1"/>
  <c r="AB148" i="1"/>
  <c r="Z145" i="1" l="1"/>
  <c r="AA145" i="1" s="1"/>
  <c r="Z146" i="1"/>
  <c r="AA146" i="1" s="1"/>
  <c r="O146" i="1" l="1"/>
  <c r="AC146" i="1" s="1"/>
  <c r="AE146" i="1" s="1"/>
  <c r="X146" i="1"/>
  <c r="W146" i="1"/>
  <c r="O145" i="1"/>
  <c r="AC145" i="1" s="1"/>
  <c r="AE145" i="1" s="1"/>
  <c r="W145" i="1"/>
  <c r="X145" i="1"/>
  <c r="AB145" i="1" s="1"/>
  <c r="Y145" i="1" l="1"/>
  <c r="AB146" i="1"/>
  <c r="AD146" i="1"/>
  <c r="AF146" i="1" s="1"/>
  <c r="Y146" i="1"/>
  <c r="AD145" i="1"/>
  <c r="AF145" i="1" s="1"/>
  <c r="Z143" i="1" l="1"/>
  <c r="AA143" i="1" s="1"/>
  <c r="Z144" i="1"/>
  <c r="AA144" i="1" s="1"/>
  <c r="Z141" i="1" l="1"/>
  <c r="AA141" i="1" s="1"/>
  <c r="Z142" i="1"/>
  <c r="AA142" i="1" s="1"/>
  <c r="O144" i="1"/>
  <c r="AC144" i="1" s="1"/>
  <c r="W144" i="1"/>
  <c r="X144" i="1"/>
  <c r="O143" i="1"/>
  <c r="AC143" i="1" s="1"/>
  <c r="W143" i="1"/>
  <c r="X143" i="1"/>
  <c r="Y144" i="1" l="1"/>
  <c r="Y143" i="1"/>
  <c r="AE144" i="1"/>
  <c r="AD144" i="1"/>
  <c r="AB144" i="1"/>
  <c r="AE143" i="1"/>
  <c r="AD143" i="1"/>
  <c r="AB143" i="1"/>
  <c r="AF144" i="1" l="1"/>
  <c r="AF143" i="1"/>
  <c r="O142" i="1" l="1"/>
  <c r="AC142" i="1" s="1"/>
  <c r="AE142" i="1" s="1"/>
  <c r="X142" i="1"/>
  <c r="W142" i="1"/>
  <c r="O141" i="1"/>
  <c r="AC141" i="1" s="1"/>
  <c r="AE141" i="1" s="1"/>
  <c r="X141" i="1"/>
  <c r="AB141" i="1" s="1"/>
  <c r="W141" i="1"/>
  <c r="Y142" i="1" l="1"/>
  <c r="AB142" i="1"/>
  <c r="AD142" i="1"/>
  <c r="AF142" i="1" s="1"/>
  <c r="Y141" i="1"/>
  <c r="AD141" i="1"/>
  <c r="AF141" i="1" s="1"/>
  <c r="Z140" i="1"/>
  <c r="AA140" i="1" s="1"/>
  <c r="AB140" i="1" s="1"/>
  <c r="O140" i="1"/>
  <c r="AC140" i="1" s="1"/>
  <c r="W140" i="1"/>
  <c r="Y140" i="1" s="1"/>
  <c r="AE140" i="1" l="1"/>
  <c r="AD140" i="1"/>
  <c r="Z139" i="1"/>
  <c r="AA139" i="1" s="1"/>
  <c r="Z138" i="1"/>
  <c r="AA138" i="1" s="1"/>
  <c r="AF140" i="1" l="1"/>
  <c r="O139" i="1"/>
  <c r="AC139" i="1" s="1"/>
  <c r="AE139" i="1" s="1"/>
  <c r="W139" i="1"/>
  <c r="Y139" i="1" s="1"/>
  <c r="AD139" i="1" l="1"/>
  <c r="AF139" i="1" s="1"/>
  <c r="AB139" i="1"/>
  <c r="Z135" i="1"/>
  <c r="AA135" i="1" s="1"/>
  <c r="Z136" i="1"/>
  <c r="AA136" i="1" s="1"/>
  <c r="Z137" i="1"/>
  <c r="AA137" i="1" s="1"/>
  <c r="Y135" i="1"/>
  <c r="O138" i="1" l="1"/>
  <c r="AC138" i="1" s="1"/>
  <c r="W138" i="1"/>
  <c r="X138" i="1"/>
  <c r="AB138" i="1" s="1"/>
  <c r="O137" i="1"/>
  <c r="AC137" i="1" s="1"/>
  <c r="AE137" i="1" s="1"/>
  <c r="X137" i="1"/>
  <c r="Y138" i="1" l="1"/>
  <c r="AE138" i="1"/>
  <c r="AD138" i="1"/>
  <c r="AD137" i="1"/>
  <c r="AF137" i="1" s="1"/>
  <c r="Y137" i="1"/>
  <c r="AB137" i="1"/>
  <c r="O136" i="1"/>
  <c r="AC136" i="1" s="1"/>
  <c r="AE136" i="1" s="1"/>
  <c r="W136" i="1"/>
  <c r="X136" i="1"/>
  <c r="AB136" i="1" s="1"/>
  <c r="Y136" i="1" l="1"/>
  <c r="AF138" i="1"/>
  <c r="AD136" i="1"/>
  <c r="AF136" i="1" s="1"/>
  <c r="Z125" i="1"/>
  <c r="Y134" i="1" l="1"/>
  <c r="Y133" i="1"/>
  <c r="Y132" i="1"/>
  <c r="Z133" i="1"/>
  <c r="AA133" i="1" s="1"/>
  <c r="Z134" i="1" l="1"/>
  <c r="AA134" i="1" s="1"/>
  <c r="O135" i="1"/>
  <c r="AC135" i="1" s="1"/>
  <c r="O134" i="1"/>
  <c r="AC134" i="1" s="1"/>
  <c r="Z132" i="1"/>
  <c r="O133" i="1"/>
  <c r="AC133" i="1" s="1"/>
  <c r="AE133" i="1" s="1"/>
  <c r="AB133" i="1"/>
  <c r="AA132" i="1"/>
  <c r="O132" i="1"/>
  <c r="AC132" i="1" s="1"/>
  <c r="AE135" i="1" l="1"/>
  <c r="AE134" i="1"/>
  <c r="AD135" i="1"/>
  <c r="AB135" i="1"/>
  <c r="AB134" i="1"/>
  <c r="AD134" i="1"/>
  <c r="AD133" i="1"/>
  <c r="AF133" i="1" s="1"/>
  <c r="AE132" i="1"/>
  <c r="AD132" i="1"/>
  <c r="AB132" i="1"/>
  <c r="AF135" i="1" l="1"/>
  <c r="AF134" i="1"/>
  <c r="AF132" i="1"/>
  <c r="Z130" i="1" l="1"/>
  <c r="Z131" i="1"/>
  <c r="AA131" i="1" s="1"/>
  <c r="O131" i="1"/>
  <c r="AC131" i="1" s="1"/>
  <c r="X131" i="1"/>
  <c r="W131" i="1"/>
  <c r="AE131" i="1" l="1"/>
  <c r="AD131" i="1"/>
  <c r="AB131" i="1"/>
  <c r="Y131" i="1"/>
  <c r="AA130" i="1"/>
  <c r="AB130" i="1" s="1"/>
  <c r="O130" i="1"/>
  <c r="AC130" i="1" s="1"/>
  <c r="Y130" i="1"/>
  <c r="AF131" i="1" l="1"/>
  <c r="AD130" i="1"/>
  <c r="AE130" i="1"/>
  <c r="AF130" i="1" l="1"/>
  <c r="Z129" i="1" l="1"/>
  <c r="AA129" i="1" s="1"/>
  <c r="O129" i="1" l="1"/>
  <c r="AC129" i="1" s="1"/>
  <c r="W129" i="1"/>
  <c r="X129" i="1"/>
  <c r="AB129" i="1" s="1"/>
  <c r="AD129" i="1" l="1"/>
  <c r="Y129" i="1"/>
  <c r="AE129" i="1"/>
  <c r="AF129" i="1" l="1"/>
  <c r="Z127" i="1"/>
  <c r="AA127" i="1" s="1"/>
  <c r="Z128" i="1"/>
  <c r="AA128" i="1" s="1"/>
  <c r="O128" i="1" l="1"/>
  <c r="AC128" i="1" s="1"/>
  <c r="AE128" i="1" s="1"/>
  <c r="X128" i="1"/>
  <c r="W128" i="1"/>
  <c r="O127" i="1"/>
  <c r="AC127" i="1" s="1"/>
  <c r="AE127" i="1" s="1"/>
  <c r="X127" i="1"/>
  <c r="W127" i="1"/>
  <c r="AB128" i="1" l="1"/>
  <c r="Y128" i="1"/>
  <c r="AD128" i="1"/>
  <c r="AF128" i="1" s="1"/>
  <c r="AD127" i="1"/>
  <c r="AF127" i="1" s="1"/>
  <c r="Y127" i="1"/>
  <c r="AB127" i="1"/>
  <c r="Z126" i="1"/>
  <c r="AA126" i="1" s="1"/>
  <c r="O126" i="1"/>
  <c r="AC126" i="1" s="1"/>
  <c r="W126" i="1"/>
  <c r="X126" i="1"/>
  <c r="Y126" i="1" l="1"/>
  <c r="AD126" i="1"/>
  <c r="AE126" i="1"/>
  <c r="AB126" i="1"/>
  <c r="AF126" i="1" l="1"/>
  <c r="AA125" i="1" l="1"/>
  <c r="O125" i="1"/>
  <c r="AC125" i="1" s="1"/>
  <c r="AE125" i="1" l="1"/>
  <c r="Y125" i="1"/>
  <c r="AB125" i="1"/>
  <c r="AD125" i="1"/>
  <c r="Z124" i="1"/>
  <c r="AA124" i="1" s="1"/>
  <c r="AF125" i="1" l="1"/>
  <c r="O124" i="1"/>
  <c r="AC124" i="1" s="1"/>
  <c r="AE124" i="1" s="1"/>
  <c r="X124" i="1"/>
  <c r="AB124" i="1" s="1"/>
  <c r="W124" i="1"/>
  <c r="Y124" i="1" l="1"/>
  <c r="AD124" i="1"/>
  <c r="AF124" i="1" s="1"/>
  <c r="Z121" i="1" l="1"/>
  <c r="Z122" i="1"/>
  <c r="AA122" i="1" s="1"/>
  <c r="Z123" i="1"/>
  <c r="AA123" i="1" s="1"/>
  <c r="Y121" i="1"/>
  <c r="Y122" i="1"/>
  <c r="O123" i="1" l="1"/>
  <c r="AC123" i="1" s="1"/>
  <c r="AE123" i="1" s="1"/>
  <c r="W123" i="1"/>
  <c r="X123" i="1"/>
  <c r="Y123" i="1" l="1"/>
  <c r="AB123" i="1"/>
  <c r="AD123" i="1"/>
  <c r="AF123" i="1" s="1"/>
  <c r="O122" i="1" l="1"/>
  <c r="AC122" i="1" s="1"/>
  <c r="AE122" i="1" s="1"/>
  <c r="AD122" i="1" l="1"/>
  <c r="AF122" i="1" s="1"/>
  <c r="AB122" i="1"/>
  <c r="AA121" i="1"/>
  <c r="O121" i="1"/>
  <c r="AC121" i="1" s="1"/>
  <c r="Z120" i="1"/>
  <c r="AA120" i="1" s="1"/>
  <c r="AB121" i="1" l="1"/>
  <c r="AE121" i="1"/>
  <c r="AD121" i="1"/>
  <c r="O120" i="1"/>
  <c r="AC120" i="1" s="1"/>
  <c r="AE120" i="1" s="1"/>
  <c r="X120" i="1"/>
  <c r="W120" i="1"/>
  <c r="AF121" i="1" l="1"/>
  <c r="AD120" i="1"/>
  <c r="AF120" i="1" s="1"/>
  <c r="Y120" i="1"/>
  <c r="AB120" i="1"/>
  <c r="Z119" i="1"/>
  <c r="AA119" i="1" s="1"/>
  <c r="AB119" i="1" s="1"/>
  <c r="O119" i="1"/>
  <c r="AC119" i="1" s="1"/>
  <c r="W119" i="1"/>
  <c r="Y119" i="1" s="1"/>
  <c r="AD119" i="1" l="1"/>
  <c r="AE119" i="1"/>
  <c r="O118" i="1"/>
  <c r="AC118" i="1" s="1"/>
  <c r="AD118" i="1" s="1"/>
  <c r="O117" i="1"/>
  <c r="AC117" i="1" s="1"/>
  <c r="AF119" i="1" l="1"/>
  <c r="AE117" i="1"/>
  <c r="AE118" i="1"/>
  <c r="AF118" i="1" s="1"/>
  <c r="AD117" i="1"/>
  <c r="Z116" i="1"/>
  <c r="AA116" i="1" s="1"/>
  <c r="O116" i="1"/>
  <c r="AC116" i="1" s="1"/>
  <c r="W116" i="1"/>
  <c r="AF117" i="1" l="1"/>
  <c r="AE116" i="1"/>
  <c r="Y116" i="1"/>
  <c r="AB116" i="1"/>
  <c r="AD116" i="1"/>
  <c r="Y114" i="1"/>
  <c r="AF116" i="1" l="1"/>
  <c r="H85" i="1"/>
  <c r="Z115" i="1" l="1"/>
  <c r="AA115" i="1" s="1"/>
  <c r="O115" i="1"/>
  <c r="AC115" i="1" s="1"/>
  <c r="W115" i="1"/>
  <c r="Z114" i="1"/>
  <c r="O114" i="1"/>
  <c r="AC114" i="1" s="1"/>
  <c r="AA114" i="1" l="1"/>
  <c r="AB114" i="1" s="1"/>
  <c r="AE115" i="1"/>
  <c r="Y115" i="1"/>
  <c r="AD115" i="1"/>
  <c r="AB115" i="1"/>
  <c r="AD114" i="1"/>
  <c r="Z111" i="1"/>
  <c r="AA111" i="1" s="1"/>
  <c r="Z112" i="1"/>
  <c r="AA112" i="1" s="1"/>
  <c r="Z113" i="1"/>
  <c r="AA113" i="1" s="1"/>
  <c r="O113" i="1"/>
  <c r="AC113" i="1" s="1"/>
  <c r="O112" i="1"/>
  <c r="AC112" i="1" s="1"/>
  <c r="W112" i="1"/>
  <c r="X112" i="1"/>
  <c r="AE114" i="1" l="1"/>
  <c r="AF114" i="1" s="1"/>
  <c r="AF115" i="1"/>
  <c r="AE113" i="1"/>
  <c r="AB113" i="1"/>
  <c r="Y113" i="1"/>
  <c r="AD113" i="1"/>
  <c r="AE112" i="1"/>
  <c r="AD112" i="1"/>
  <c r="Y112" i="1"/>
  <c r="AB112" i="1"/>
  <c r="O111" i="1"/>
  <c r="AC111" i="1" s="1"/>
  <c r="X111" i="1"/>
  <c r="W111" i="1"/>
  <c r="Z110" i="1"/>
  <c r="AA110" i="1" s="1"/>
  <c r="O110" i="1"/>
  <c r="AC110" i="1" s="1"/>
  <c r="X110" i="1"/>
  <c r="AF113" i="1" l="1"/>
  <c r="AF112" i="1"/>
  <c r="AE111" i="1"/>
  <c r="AD111" i="1"/>
  <c r="AF111" i="1" s="1"/>
  <c r="Y111" i="1"/>
  <c r="AB111" i="1"/>
  <c r="AB110" i="1"/>
  <c r="Y110" i="1"/>
  <c r="AD110" i="1"/>
  <c r="AE110" i="1"/>
  <c r="Z109" i="1"/>
  <c r="AA109" i="1" s="1"/>
  <c r="O109" i="1"/>
  <c r="AC109" i="1" s="1"/>
  <c r="AD109" i="1" s="1"/>
  <c r="W109" i="1"/>
  <c r="Y109" i="1" s="1"/>
  <c r="Z107" i="1"/>
  <c r="AA107" i="1" s="1"/>
  <c r="Z108" i="1"/>
  <c r="AA108" i="1" s="1"/>
  <c r="O107" i="1"/>
  <c r="AC107" i="1" s="1"/>
  <c r="O108" i="1"/>
  <c r="AC108" i="1" s="1"/>
  <c r="W107" i="1"/>
  <c r="W108" i="1"/>
  <c r="X107" i="1"/>
  <c r="X108" i="1"/>
  <c r="Y108" i="1" l="1"/>
  <c r="AB108" i="1"/>
  <c r="AB107" i="1"/>
  <c r="AF110" i="1"/>
  <c r="AE109" i="1"/>
  <c r="AF109" i="1" s="1"/>
  <c r="AB109" i="1"/>
  <c r="Y107" i="1"/>
  <c r="AD108" i="1"/>
  <c r="AE108" i="1"/>
  <c r="AD107" i="1"/>
  <c r="AE107" i="1"/>
  <c r="O102" i="1"/>
  <c r="AC102" i="1" s="1"/>
  <c r="T102" i="1"/>
  <c r="X102" i="1" s="1"/>
  <c r="W102" i="1"/>
  <c r="Z106" i="1"/>
  <c r="AA106" i="1" s="1"/>
  <c r="Z105" i="1"/>
  <c r="AA105" i="1" s="1"/>
  <c r="AF108" i="1" l="1"/>
  <c r="AF107" i="1"/>
  <c r="Y102" i="1"/>
  <c r="AD102" i="1"/>
  <c r="AE102" i="1"/>
  <c r="AB102" i="1"/>
  <c r="O106" i="1"/>
  <c r="AC106" i="1" s="1"/>
  <c r="Y106" i="1"/>
  <c r="AB106" i="1"/>
  <c r="O105" i="1"/>
  <c r="AC105" i="1" s="1"/>
  <c r="W105" i="1"/>
  <c r="AB105" i="1"/>
  <c r="Z104" i="1"/>
  <c r="AA104" i="1" s="1"/>
  <c r="AF102" i="1" l="1"/>
  <c r="Y105" i="1"/>
  <c r="AD106" i="1"/>
  <c r="AE106" i="1"/>
  <c r="AD105" i="1"/>
  <c r="AE105" i="1"/>
  <c r="O104" i="1"/>
  <c r="AC104" i="1" s="1"/>
  <c r="AE104" i="1" s="1"/>
  <c r="W104" i="1"/>
  <c r="X104" i="1"/>
  <c r="Z103" i="1"/>
  <c r="AA103" i="1" s="1"/>
  <c r="AF106" i="1" l="1"/>
  <c r="AF105" i="1"/>
  <c r="Y104" i="1"/>
  <c r="AD104" i="1"/>
  <c r="AF104" i="1" s="1"/>
  <c r="AB104" i="1"/>
  <c r="O103" i="1"/>
  <c r="AC103" i="1" s="1"/>
  <c r="AE103" i="1" s="1"/>
  <c r="X103" i="1"/>
  <c r="Z100" i="1"/>
  <c r="AA100" i="1" s="1"/>
  <c r="AD103" i="1" l="1"/>
  <c r="AF103" i="1" s="1"/>
  <c r="Y103" i="1"/>
  <c r="AB103" i="1"/>
  <c r="Z101" i="1"/>
  <c r="AA101" i="1" s="1"/>
  <c r="O101" i="1" l="1"/>
  <c r="AC101" i="1" s="1"/>
  <c r="W101" i="1"/>
  <c r="X101" i="1"/>
  <c r="O100" i="1"/>
  <c r="AC100" i="1" s="1"/>
  <c r="AE100" i="1" s="1"/>
  <c r="X100" i="1"/>
  <c r="Y101" i="1" l="1"/>
  <c r="Y100" i="1"/>
  <c r="AD100" i="1"/>
  <c r="AF100" i="1" s="1"/>
  <c r="AE101" i="1"/>
  <c r="AD101" i="1"/>
  <c r="AB101" i="1"/>
  <c r="AB100" i="1"/>
  <c r="AF101" i="1" l="1"/>
  <c r="Z99" i="1" l="1"/>
  <c r="AA99" i="1" s="1"/>
  <c r="O99" i="1"/>
  <c r="AC99" i="1" s="1"/>
  <c r="Z95" i="1"/>
  <c r="AA95" i="1" s="1"/>
  <c r="Z96" i="1"/>
  <c r="AA96" i="1" s="1"/>
  <c r="Z97" i="1"/>
  <c r="AA97" i="1" s="1"/>
  <c r="Z98" i="1"/>
  <c r="AA98" i="1" s="1"/>
  <c r="O98" i="1"/>
  <c r="AC98" i="1" s="1"/>
  <c r="W98" i="1"/>
  <c r="Y98" i="1" s="1"/>
  <c r="O97" i="1"/>
  <c r="AC97" i="1" s="1"/>
  <c r="W97" i="1"/>
  <c r="AE97" i="1" l="1"/>
  <c r="AE99" i="1"/>
  <c r="AD99" i="1"/>
  <c r="Y99" i="1"/>
  <c r="AB99" i="1"/>
  <c r="AE98" i="1"/>
  <c r="AD98" i="1"/>
  <c r="AB98" i="1"/>
  <c r="AD97" i="1"/>
  <c r="Y97" i="1"/>
  <c r="AB97" i="1"/>
  <c r="O95" i="1"/>
  <c r="AC95" i="1" s="1"/>
  <c r="O96" i="1"/>
  <c r="AC96" i="1" s="1"/>
  <c r="W95" i="1"/>
  <c r="W96" i="1"/>
  <c r="X95" i="1"/>
  <c r="AB95" i="1" s="1"/>
  <c r="X96" i="1"/>
  <c r="AB96" i="1" s="1"/>
  <c r="AF97" i="1" l="1"/>
  <c r="AF99" i="1"/>
  <c r="AF98" i="1"/>
  <c r="Y95" i="1"/>
  <c r="AD96" i="1"/>
  <c r="AE96" i="1"/>
  <c r="AD95" i="1"/>
  <c r="AE95" i="1"/>
  <c r="Y96" i="1"/>
  <c r="Z94" i="1"/>
  <c r="AA94" i="1" s="1"/>
  <c r="AF95" i="1" l="1"/>
  <c r="AF96" i="1"/>
  <c r="O94" i="1"/>
  <c r="AC94" i="1" s="1"/>
  <c r="X94" i="1"/>
  <c r="AB94" i="1" s="1"/>
  <c r="W94" i="1"/>
  <c r="Y94" i="1" l="1"/>
  <c r="AE94" i="1"/>
  <c r="AD94" i="1"/>
  <c r="AF94" i="1" l="1"/>
  <c r="Z93" i="1" l="1"/>
  <c r="AA93" i="1" s="1"/>
  <c r="AB93" i="1" s="1"/>
  <c r="O93" i="1"/>
  <c r="AC93" i="1" s="1"/>
  <c r="Y93" i="1"/>
  <c r="AD93" i="1" l="1"/>
  <c r="AE93" i="1"/>
  <c r="Z90" i="1"/>
  <c r="AA90" i="1" s="1"/>
  <c r="AB90" i="1" s="1"/>
  <c r="Z91" i="1"/>
  <c r="AA91" i="1" s="1"/>
  <c r="Z92" i="1"/>
  <c r="AA92" i="1" s="1"/>
  <c r="AB92" i="1" s="1"/>
  <c r="O92" i="1"/>
  <c r="AC92" i="1" s="1"/>
  <c r="W92" i="1"/>
  <c r="AF93" i="1" l="1"/>
  <c r="AE92" i="1"/>
  <c r="AD92" i="1"/>
  <c r="Y92" i="1"/>
  <c r="AF92" i="1" l="1"/>
  <c r="O91" i="1"/>
  <c r="AC91" i="1" s="1"/>
  <c r="X91" i="1"/>
  <c r="AB91" i="1" s="1"/>
  <c r="AE91" i="1" l="1"/>
  <c r="AD91" i="1"/>
  <c r="Y91" i="1"/>
  <c r="Y90" i="1"/>
  <c r="O90" i="1"/>
  <c r="AC90" i="1" s="1"/>
  <c r="AF91" i="1" l="1"/>
  <c r="AE90" i="1"/>
  <c r="AD90" i="1"/>
  <c r="Z89" i="1"/>
  <c r="AA89" i="1" s="1"/>
  <c r="O89" i="1"/>
  <c r="AC89" i="1" s="1"/>
  <c r="AF90" i="1" l="1"/>
  <c r="AE89" i="1"/>
  <c r="AB89" i="1"/>
  <c r="AD89" i="1"/>
  <c r="Y89" i="1"/>
  <c r="Z88" i="1"/>
  <c r="AA88" i="1" s="1"/>
  <c r="O88" i="1"/>
  <c r="AC88" i="1" s="1"/>
  <c r="W88" i="1"/>
  <c r="X88" i="1"/>
  <c r="AF89" i="1" l="1"/>
  <c r="AB88" i="1"/>
  <c r="Y88" i="1"/>
  <c r="AD88" i="1"/>
  <c r="AE88" i="1"/>
  <c r="Z87" i="1"/>
  <c r="AA87" i="1" s="1"/>
  <c r="AF88" i="1" l="1"/>
  <c r="O87" i="1"/>
  <c r="AC87" i="1" s="1"/>
  <c r="W87" i="1"/>
  <c r="X87" i="1"/>
  <c r="AE87" i="1" l="1"/>
  <c r="AD87" i="1"/>
  <c r="Y87" i="1"/>
  <c r="AB87" i="1"/>
  <c r="AF87" i="1" l="1"/>
  <c r="Z86" i="1" l="1"/>
  <c r="AA86" i="1" s="1"/>
  <c r="O86" i="1"/>
  <c r="AC86" i="1" s="1"/>
  <c r="W86" i="1"/>
  <c r="Y86" i="1" s="1"/>
  <c r="Z80" i="1"/>
  <c r="AA80" i="1" s="1"/>
  <c r="AB80" i="1" s="1"/>
  <c r="Z79" i="1"/>
  <c r="AA79" i="1" s="1"/>
  <c r="AB79" i="1" s="1"/>
  <c r="AE86" i="1" l="1"/>
  <c r="AD86" i="1"/>
  <c r="AB86" i="1"/>
  <c r="AF86" i="1" l="1"/>
  <c r="O79" i="1" l="1"/>
  <c r="AC79" i="1" s="1"/>
  <c r="AE79" i="1" s="1"/>
  <c r="O80" i="1"/>
  <c r="AC80" i="1" s="1"/>
  <c r="AE80" i="1" s="1"/>
  <c r="O81" i="1"/>
  <c r="AC81" i="1" s="1"/>
  <c r="AE81" i="1" s="1"/>
  <c r="O82" i="1"/>
  <c r="AC82" i="1" s="1"/>
  <c r="O83" i="1"/>
  <c r="AC83" i="1" s="1"/>
  <c r="AE83" i="1" s="1"/>
  <c r="O84" i="1"/>
  <c r="AC84" i="1" s="1"/>
  <c r="AE84" i="1" s="1"/>
  <c r="O85" i="1"/>
  <c r="AC85" i="1" s="1"/>
  <c r="AE85" i="1" s="1"/>
  <c r="T81" i="1"/>
  <c r="X81" i="1" s="1"/>
  <c r="T82" i="1"/>
  <c r="X82" i="1" s="1"/>
  <c r="AB82" i="1" s="1"/>
  <c r="T83" i="1"/>
  <c r="X83" i="1" s="1"/>
  <c r="T84" i="1"/>
  <c r="X84" i="1" s="1"/>
  <c r="AB84" i="1" s="1"/>
  <c r="T85" i="1"/>
  <c r="X85" i="1" s="1"/>
  <c r="AB85" i="1" s="1"/>
  <c r="W79" i="1"/>
  <c r="Y79" i="1" s="1"/>
  <c r="W80" i="1"/>
  <c r="Y80" i="1" s="1"/>
  <c r="W81" i="1"/>
  <c r="W82" i="1"/>
  <c r="W83" i="1"/>
  <c r="W84" i="1"/>
  <c r="W85" i="1"/>
  <c r="Y82" i="1" l="1"/>
  <c r="AB81" i="1"/>
  <c r="AD81" i="1"/>
  <c r="AF81" i="1" s="1"/>
  <c r="Y84" i="1"/>
  <c r="AD85" i="1"/>
  <c r="AF85" i="1" s="1"/>
  <c r="Y83" i="1"/>
  <c r="AB83" i="1"/>
  <c r="AD83" i="1"/>
  <c r="AF83" i="1" s="1"/>
  <c r="AD79" i="1"/>
  <c r="AF79" i="1" s="1"/>
  <c r="AD82" i="1"/>
  <c r="AE82" i="1"/>
  <c r="AD84" i="1"/>
  <c r="AF84" i="1" s="1"/>
  <c r="AD80" i="1"/>
  <c r="AF80" i="1" s="1"/>
  <c r="Y85" i="1"/>
  <c r="Y81" i="1"/>
  <c r="AF82" i="1" l="1"/>
  <c r="Z73" i="1"/>
  <c r="AA73" i="1" s="1"/>
  <c r="Z74" i="1"/>
  <c r="AA74" i="1" s="1"/>
  <c r="Z78" i="1" l="1"/>
  <c r="AA78" i="1" s="1"/>
  <c r="O73" i="1" l="1"/>
  <c r="AC73" i="1" s="1"/>
  <c r="X73" i="1"/>
  <c r="O74" i="1"/>
  <c r="AC74" i="1" s="1"/>
  <c r="AE74" i="1" s="1"/>
  <c r="Y73" i="1" l="1"/>
  <c r="AE73" i="1"/>
  <c r="AD73" i="1"/>
  <c r="AB73" i="1"/>
  <c r="Y74" i="1"/>
  <c r="AB74" i="1"/>
  <c r="AD74" i="1"/>
  <c r="AF74" i="1" s="1"/>
  <c r="Z77" i="1"/>
  <c r="AA77" i="1" s="1"/>
  <c r="AF73" i="1" l="1"/>
  <c r="Z76" i="1"/>
  <c r="AA76" i="1" s="1"/>
  <c r="Z75" i="1" l="1"/>
  <c r="AA75" i="1" s="1"/>
  <c r="Z72" i="1" l="1"/>
  <c r="AA72" i="1" s="1"/>
  <c r="AB72" i="1" s="1"/>
  <c r="O72" i="1"/>
  <c r="AC72" i="1" s="1"/>
  <c r="AD72" i="1" s="1"/>
  <c r="O75" i="1"/>
  <c r="AC75" i="1" s="1"/>
  <c r="AE75" i="1" s="1"/>
  <c r="O76" i="1"/>
  <c r="AC76" i="1" s="1"/>
  <c r="AE76" i="1" s="1"/>
  <c r="O77" i="1"/>
  <c r="AC77" i="1" s="1"/>
  <c r="AD77" i="1" s="1"/>
  <c r="O78" i="1"/>
  <c r="AC78" i="1" s="1"/>
  <c r="AE78" i="1" s="1"/>
  <c r="T78" i="1"/>
  <c r="X78" i="1" s="1"/>
  <c r="W72" i="1"/>
  <c r="Y72" i="1" s="1"/>
  <c r="W75" i="1"/>
  <c r="Y77" i="1"/>
  <c r="W78" i="1"/>
  <c r="AB77" i="1"/>
  <c r="Y78" i="1" l="1"/>
  <c r="AD78" i="1"/>
  <c r="AF78" i="1" s="1"/>
  <c r="AB78" i="1"/>
  <c r="AE72" i="1"/>
  <c r="AF72" i="1" s="1"/>
  <c r="Y76" i="1"/>
  <c r="AD76" i="1"/>
  <c r="AF76" i="1" s="1"/>
  <c r="AB76" i="1"/>
  <c r="AB75" i="1"/>
  <c r="AD75" i="1"/>
  <c r="AF75" i="1" s="1"/>
  <c r="Y75" i="1"/>
  <c r="AE77" i="1"/>
  <c r="AF77" i="1" s="1"/>
  <c r="Z62" i="1"/>
  <c r="AA62" i="1" s="1"/>
  <c r="O62" i="1" l="1"/>
  <c r="AC62" i="1" s="1"/>
  <c r="O63" i="1"/>
  <c r="AC63" i="1" s="1"/>
  <c r="AE63" i="1" s="1"/>
  <c r="O64" i="1"/>
  <c r="AC64" i="1" s="1"/>
  <c r="O65" i="1"/>
  <c r="AC65" i="1" s="1"/>
  <c r="O66" i="1"/>
  <c r="AC66" i="1" s="1"/>
  <c r="O67" i="1"/>
  <c r="AC67" i="1" s="1"/>
  <c r="AE67" i="1" s="1"/>
  <c r="O68" i="1"/>
  <c r="AC68" i="1" s="1"/>
  <c r="O69" i="1"/>
  <c r="AC69" i="1" s="1"/>
  <c r="O70" i="1"/>
  <c r="AC70" i="1" s="1"/>
  <c r="O71" i="1"/>
  <c r="AC71" i="1" s="1"/>
  <c r="AE71" i="1" s="1"/>
  <c r="T63" i="1"/>
  <c r="X63" i="1" s="1"/>
  <c r="T64" i="1"/>
  <c r="X64" i="1" s="1"/>
  <c r="AB64" i="1" s="1"/>
  <c r="T65" i="1"/>
  <c r="X65" i="1" s="1"/>
  <c r="AB65" i="1" s="1"/>
  <c r="T66" i="1"/>
  <c r="X66" i="1" s="1"/>
  <c r="AB66" i="1" s="1"/>
  <c r="T67" i="1"/>
  <c r="X67" i="1" s="1"/>
  <c r="T68" i="1"/>
  <c r="X68" i="1" s="1"/>
  <c r="T69" i="1"/>
  <c r="X69" i="1" s="1"/>
  <c r="AB69" i="1" s="1"/>
  <c r="T70" i="1"/>
  <c r="X70" i="1" s="1"/>
  <c r="T71" i="1"/>
  <c r="X71" i="1" s="1"/>
  <c r="W62" i="1"/>
  <c r="W63" i="1"/>
  <c r="W64" i="1"/>
  <c r="W65" i="1"/>
  <c r="W66" i="1"/>
  <c r="W67" i="1"/>
  <c r="W68" i="1"/>
  <c r="W69" i="1"/>
  <c r="W70" i="1"/>
  <c r="W71" i="1"/>
  <c r="X62" i="1"/>
  <c r="AB62" i="1" s="1"/>
  <c r="Y66" i="1" l="1"/>
  <c r="Y68" i="1"/>
  <c r="Y71" i="1"/>
  <c r="Y67" i="1"/>
  <c r="Y63" i="1"/>
  <c r="Y69" i="1"/>
  <c r="Y65" i="1"/>
  <c r="AD70" i="1"/>
  <c r="AD66" i="1"/>
  <c r="AE68" i="1"/>
  <c r="AD68" i="1"/>
  <c r="Y70" i="1"/>
  <c r="AB70" i="1"/>
  <c r="AD69" i="1"/>
  <c r="AE69" i="1"/>
  <c r="AD65" i="1"/>
  <c r="AE65" i="1"/>
  <c r="AB68" i="1"/>
  <c r="AE70" i="1"/>
  <c r="AE66" i="1"/>
  <c r="AD67" i="1"/>
  <c r="AF67" i="1" s="1"/>
  <c r="AD63" i="1"/>
  <c r="AF63" i="1" s="1"/>
  <c r="AD71" i="1"/>
  <c r="AF71" i="1" s="1"/>
  <c r="AB71" i="1"/>
  <c r="AB67" i="1"/>
  <c r="AB63" i="1"/>
  <c r="Y62" i="1"/>
  <c r="AE64" i="1"/>
  <c r="AD64" i="1"/>
  <c r="Y64" i="1"/>
  <c r="AD62" i="1"/>
  <c r="AE62" i="1"/>
  <c r="Z58" i="1"/>
  <c r="AA58" i="1" s="1"/>
  <c r="Z59" i="1"/>
  <c r="AA59" i="1" s="1"/>
  <c r="AF65" i="1" l="1"/>
  <c r="AF70" i="1"/>
  <c r="AF69" i="1"/>
  <c r="AF66" i="1"/>
  <c r="AF64" i="1"/>
  <c r="AF68" i="1"/>
  <c r="AF62" i="1"/>
  <c r="Z54" i="1"/>
  <c r="AA54" i="1" s="1"/>
  <c r="Z55" i="1"/>
  <c r="AA55" i="1" s="1"/>
  <c r="Z56" i="1"/>
  <c r="AA56" i="1" s="1"/>
  <c r="Z45" i="1" l="1"/>
  <c r="AA45" i="1" s="1"/>
  <c r="O45" i="1"/>
  <c r="AC45" i="1" s="1"/>
  <c r="W45" i="1"/>
  <c r="X45" i="1"/>
  <c r="AE45" i="1" l="1"/>
  <c r="Y45" i="1"/>
  <c r="AD45" i="1"/>
  <c r="AB45" i="1"/>
  <c r="AB58" i="1"/>
  <c r="O58" i="1"/>
  <c r="AC58" i="1" s="1"/>
  <c r="O59" i="1"/>
  <c r="AC59" i="1" s="1"/>
  <c r="O60" i="1"/>
  <c r="AC60" i="1" s="1"/>
  <c r="AE60" i="1" s="1"/>
  <c r="O61" i="1"/>
  <c r="AC61" i="1" s="1"/>
  <c r="AE61" i="1" s="1"/>
  <c r="T60" i="1"/>
  <c r="X60" i="1" s="1"/>
  <c r="T61" i="1"/>
  <c r="X61" i="1" s="1"/>
  <c r="AB61" i="1" s="1"/>
  <c r="W60" i="1"/>
  <c r="W61" i="1"/>
  <c r="AF45" i="1" l="1"/>
  <c r="AD59" i="1"/>
  <c r="Y60" i="1"/>
  <c r="AD60" i="1"/>
  <c r="AF60" i="1" s="1"/>
  <c r="AB60" i="1"/>
  <c r="Y59" i="1"/>
  <c r="AB59" i="1"/>
  <c r="AD61" i="1"/>
  <c r="AF61" i="1" s="1"/>
  <c r="Y61" i="1"/>
  <c r="AE58" i="1"/>
  <c r="Y58" i="1"/>
  <c r="AE59" i="1"/>
  <c r="AD58" i="1"/>
  <c r="Z25" i="1"/>
  <c r="Z26" i="1"/>
  <c r="Y26" i="1"/>
  <c r="AF59" i="1" l="1"/>
  <c r="AF58" i="1"/>
  <c r="O8" i="1"/>
  <c r="O9" i="1"/>
  <c r="W4" i="1" l="1"/>
  <c r="X4" i="1"/>
  <c r="Z4" i="1"/>
  <c r="AA4" i="1" s="1"/>
  <c r="W5" i="1"/>
  <c r="X5" i="1"/>
  <c r="Z5" i="1"/>
  <c r="AA5" i="1" s="1"/>
  <c r="W6" i="1"/>
  <c r="X6" i="1"/>
  <c r="Z6" i="1"/>
  <c r="AA6" i="1" s="1"/>
  <c r="W7" i="1"/>
  <c r="X7" i="1"/>
  <c r="Z7" i="1"/>
  <c r="AA7" i="1" s="1"/>
  <c r="W8" i="1"/>
  <c r="X8" i="1"/>
  <c r="Z8" i="1"/>
  <c r="AA8" i="1" s="1"/>
  <c r="W9" i="1"/>
  <c r="X9" i="1"/>
  <c r="Z9" i="1"/>
  <c r="AA9" i="1" s="1"/>
  <c r="W10" i="1"/>
  <c r="X10" i="1"/>
  <c r="Z10" i="1"/>
  <c r="AA10" i="1" s="1"/>
  <c r="W11" i="1"/>
  <c r="X11" i="1"/>
  <c r="Z11" i="1"/>
  <c r="AA11" i="1" s="1"/>
  <c r="W12" i="1"/>
  <c r="X12" i="1"/>
  <c r="Z12" i="1"/>
  <c r="AA12" i="1" s="1"/>
  <c r="W13" i="1"/>
  <c r="X13" i="1"/>
  <c r="Z13" i="1"/>
  <c r="AA13" i="1" s="1"/>
  <c r="W14" i="1"/>
  <c r="X14" i="1"/>
  <c r="Z14" i="1"/>
  <c r="AA14" i="1" s="1"/>
  <c r="W15" i="1"/>
  <c r="X15" i="1"/>
  <c r="Z15" i="1"/>
  <c r="AA15" i="1" s="1"/>
  <c r="W16" i="1"/>
  <c r="X16" i="1"/>
  <c r="Z16" i="1"/>
  <c r="AA16" i="1" s="1"/>
  <c r="W17" i="1"/>
  <c r="X17" i="1"/>
  <c r="Z17" i="1"/>
  <c r="AA17" i="1" s="1"/>
  <c r="X18" i="1"/>
  <c r="Z18" i="1"/>
  <c r="AA18" i="1" s="1"/>
  <c r="W19" i="1"/>
  <c r="X19" i="1"/>
  <c r="Z19" i="1"/>
  <c r="AA19" i="1" s="1"/>
  <c r="W20" i="1"/>
  <c r="X20" i="1"/>
  <c r="Z20" i="1"/>
  <c r="AA20" i="1" s="1"/>
  <c r="W21" i="1"/>
  <c r="X21" i="1"/>
  <c r="Z21" i="1"/>
  <c r="AA21" i="1" s="1"/>
  <c r="W22" i="1"/>
  <c r="X22" i="1"/>
  <c r="Z22" i="1"/>
  <c r="AA22" i="1" s="1"/>
  <c r="W23" i="1"/>
  <c r="X23" i="1"/>
  <c r="Z23" i="1"/>
  <c r="AA23" i="1" s="1"/>
  <c r="W24" i="1"/>
  <c r="X24" i="1"/>
  <c r="Z24" i="1"/>
  <c r="AA24" i="1" s="1"/>
  <c r="W25" i="1"/>
  <c r="X25" i="1"/>
  <c r="AA25" i="1"/>
  <c r="AA26" i="1"/>
  <c r="W27" i="1"/>
  <c r="X27" i="1"/>
  <c r="Z27" i="1"/>
  <c r="AA27" i="1" s="1"/>
  <c r="W28" i="1"/>
  <c r="Z28" i="1"/>
  <c r="AA28" i="1" s="1"/>
  <c r="W29" i="1"/>
  <c r="X29" i="1"/>
  <c r="Z29" i="1"/>
  <c r="AA29" i="1" s="1"/>
  <c r="W30" i="1"/>
  <c r="X30" i="1"/>
  <c r="Z30" i="1"/>
  <c r="AA30" i="1" s="1"/>
  <c r="W31" i="1"/>
  <c r="X31" i="1"/>
  <c r="Z31" i="1"/>
  <c r="AA31" i="1" s="1"/>
  <c r="Z32" i="1"/>
  <c r="AA32" i="1" s="1"/>
  <c r="W33" i="1"/>
  <c r="X33" i="1"/>
  <c r="Z33" i="1"/>
  <c r="AA33" i="1" s="1"/>
  <c r="W34" i="1"/>
  <c r="X34" i="1"/>
  <c r="Z34" i="1"/>
  <c r="AA34" i="1" s="1"/>
  <c r="W35" i="1"/>
  <c r="X35" i="1"/>
  <c r="Z35" i="1"/>
  <c r="AA35" i="1" s="1"/>
  <c r="W36" i="1"/>
  <c r="X36" i="1"/>
  <c r="Z36" i="1"/>
  <c r="AA36" i="1" s="1"/>
  <c r="X37" i="1"/>
  <c r="Z37" i="1"/>
  <c r="AA37" i="1" s="1"/>
  <c r="W38" i="1"/>
  <c r="X38" i="1"/>
  <c r="Z38" i="1"/>
  <c r="AA38" i="1" s="1"/>
  <c r="W39" i="1"/>
  <c r="X39" i="1"/>
  <c r="Z39" i="1"/>
  <c r="AA39" i="1" s="1"/>
  <c r="W40" i="1"/>
  <c r="X40" i="1"/>
  <c r="Z40" i="1"/>
  <c r="AA40" i="1" s="1"/>
  <c r="W41" i="1"/>
  <c r="X41" i="1"/>
  <c r="Z41" i="1"/>
  <c r="AA41" i="1" s="1"/>
  <c r="W42" i="1"/>
  <c r="X42" i="1"/>
  <c r="Z42" i="1"/>
  <c r="AA42" i="1" s="1"/>
  <c r="Z43" i="1"/>
  <c r="AA43" i="1" s="1"/>
  <c r="Z44" i="1"/>
  <c r="AA44" i="1" s="1"/>
  <c r="W46" i="1"/>
  <c r="Z46" i="1"/>
  <c r="AA46" i="1" s="1"/>
  <c r="AB46" i="1" s="1"/>
  <c r="Z47" i="1"/>
  <c r="AA47" i="1" s="1"/>
  <c r="W48" i="1"/>
  <c r="Z48" i="1"/>
  <c r="AA48" i="1" s="1"/>
  <c r="W49" i="1"/>
  <c r="Z49" i="1"/>
  <c r="AA49" i="1" s="1"/>
  <c r="X50" i="1"/>
  <c r="Z50" i="1"/>
  <c r="AA50" i="1" s="1"/>
  <c r="Z51" i="1"/>
  <c r="AA51" i="1" s="1"/>
  <c r="W52" i="1"/>
  <c r="X52" i="1"/>
  <c r="Z52" i="1"/>
  <c r="AA52" i="1" s="1"/>
  <c r="W53" i="1"/>
  <c r="X53" i="1"/>
  <c r="Z53" i="1"/>
  <c r="AA53" i="1" s="1"/>
  <c r="Y25" i="1" l="1"/>
  <c r="Y44" i="1"/>
  <c r="AB47" i="1"/>
  <c r="Y29" i="1"/>
  <c r="AB17" i="1"/>
  <c r="AB34" i="1"/>
  <c r="Y27" i="1"/>
  <c r="AB21" i="1"/>
  <c r="Y19" i="1"/>
  <c r="Y36" i="1"/>
  <c r="Y52" i="1"/>
  <c r="Y23" i="1"/>
  <c r="Y21" i="1"/>
  <c r="Y40" i="1"/>
  <c r="Y35" i="1"/>
  <c r="Y13" i="1"/>
  <c r="Y46" i="1"/>
  <c r="Y5" i="1"/>
  <c r="Y28" i="1"/>
  <c r="AB26" i="1"/>
  <c r="Y42" i="1"/>
  <c r="Y33" i="1"/>
  <c r="Y49" i="1"/>
  <c r="Y43" i="1"/>
  <c r="Y31" i="1"/>
  <c r="Y16" i="1"/>
  <c r="AB6" i="1"/>
  <c r="AB41" i="1"/>
  <c r="AB10" i="1"/>
  <c r="Y10" i="1"/>
  <c r="AB9" i="1"/>
  <c r="AB50" i="1"/>
  <c r="Y24" i="1"/>
  <c r="AB8" i="1"/>
  <c r="Y34" i="1"/>
  <c r="Y37" i="1"/>
  <c r="AB20" i="1"/>
  <c r="Y11" i="1"/>
  <c r="Y4" i="1"/>
  <c r="AB14" i="1"/>
  <c r="Y9" i="1"/>
  <c r="AB25" i="1"/>
  <c r="Y17" i="1"/>
  <c r="AB51" i="1"/>
  <c r="AB40" i="1"/>
  <c r="AB38" i="1"/>
  <c r="AB30" i="1"/>
  <c r="Y8" i="1"/>
  <c r="Y41" i="1"/>
  <c r="AB53" i="1"/>
  <c r="Y32" i="1"/>
  <c r="AB22" i="1"/>
  <c r="Y12" i="1"/>
  <c r="AB33" i="1"/>
  <c r="Y50" i="1"/>
  <c r="AB29" i="1"/>
  <c r="AB13" i="1"/>
  <c r="AB42" i="1"/>
  <c r="AB18" i="1"/>
  <c r="Y30" i="1"/>
  <c r="Y51" i="1"/>
  <c r="Y18" i="1"/>
  <c r="Y38" i="1"/>
  <c r="AB37" i="1"/>
  <c r="AB5" i="1"/>
  <c r="Y6" i="1"/>
  <c r="Y47" i="1"/>
  <c r="Y39" i="1"/>
  <c r="Y14" i="1"/>
  <c r="Y7" i="1"/>
  <c r="Y53" i="1"/>
  <c r="Y48" i="1"/>
  <c r="Y22" i="1"/>
  <c r="Y20" i="1"/>
  <c r="Y15" i="1"/>
  <c r="AB4" i="1"/>
  <c r="AB24" i="1"/>
  <c r="AB28" i="1"/>
  <c r="AB16" i="1"/>
  <c r="AB44" i="1"/>
  <c r="AB12" i="1"/>
  <c r="AB49" i="1"/>
  <c r="AB36" i="1"/>
  <c r="AB32" i="1"/>
  <c r="AB52" i="1"/>
  <c r="AB48" i="1"/>
  <c r="AB43" i="1"/>
  <c r="AB39" i="1"/>
  <c r="AB35" i="1"/>
  <c r="AB31" i="1"/>
  <c r="AB27" i="1"/>
  <c r="AB23" i="1"/>
  <c r="AB19" i="1"/>
  <c r="AB15" i="1"/>
  <c r="AB11" i="1"/>
  <c r="AB7" i="1"/>
  <c r="AC4" i="1" l="1"/>
  <c r="AC5" i="1"/>
  <c r="AC6" i="1"/>
  <c r="AC7" i="1"/>
  <c r="AC8" i="1"/>
  <c r="AC9" i="1"/>
  <c r="O10" i="1"/>
  <c r="AC10" i="1" s="1"/>
  <c r="O11" i="1"/>
  <c r="AC11" i="1" s="1"/>
  <c r="O12" i="1"/>
  <c r="AC12" i="1" s="1"/>
  <c r="O13" i="1"/>
  <c r="AC13" i="1" s="1"/>
  <c r="O14" i="1"/>
  <c r="AC14" i="1" s="1"/>
  <c r="O15" i="1"/>
  <c r="AC15" i="1" s="1"/>
  <c r="O16" i="1"/>
  <c r="AC16" i="1" s="1"/>
  <c r="O17" i="1"/>
  <c r="AC17" i="1" s="1"/>
  <c r="O18" i="1"/>
  <c r="AC18" i="1" s="1"/>
  <c r="O19" i="1"/>
  <c r="AC19" i="1" s="1"/>
  <c r="AC20" i="1"/>
  <c r="AC21" i="1"/>
  <c r="AC22" i="1"/>
  <c r="AC23" i="1"/>
  <c r="AC24" i="1"/>
  <c r="O25" i="1"/>
  <c r="AC25" i="1" s="1"/>
  <c r="O26" i="1"/>
  <c r="AC26" i="1" s="1"/>
  <c r="O27" i="1"/>
  <c r="AC27" i="1" s="1"/>
  <c r="O28" i="1"/>
  <c r="AC28" i="1" s="1"/>
  <c r="O29" i="1"/>
  <c r="AC29" i="1" s="1"/>
  <c r="O30" i="1"/>
  <c r="AC30" i="1" s="1"/>
  <c r="O31" i="1"/>
  <c r="AC31" i="1" s="1"/>
  <c r="O32" i="1"/>
  <c r="AC32" i="1" s="1"/>
  <c r="O33" i="1"/>
  <c r="AC33" i="1" s="1"/>
  <c r="O34" i="1"/>
  <c r="AC34" i="1" s="1"/>
  <c r="O35" i="1"/>
  <c r="AC35" i="1" s="1"/>
  <c r="O36" i="1"/>
  <c r="AC36" i="1" s="1"/>
  <c r="O37" i="1"/>
  <c r="AC37" i="1" s="1"/>
  <c r="O38" i="1"/>
  <c r="AC38" i="1" s="1"/>
  <c r="O39" i="1"/>
  <c r="AC39" i="1" s="1"/>
  <c r="O40" i="1"/>
  <c r="AC40" i="1" s="1"/>
  <c r="O41" i="1"/>
  <c r="AC41" i="1" s="1"/>
  <c r="O42" i="1"/>
  <c r="AC42" i="1" s="1"/>
  <c r="O43" i="1"/>
  <c r="AC43" i="1" s="1"/>
  <c r="O44" i="1"/>
  <c r="AC44" i="1" s="1"/>
  <c r="O46" i="1"/>
  <c r="AC46" i="1" s="1"/>
  <c r="O47" i="1"/>
  <c r="AC47" i="1" s="1"/>
  <c r="O48" i="1"/>
  <c r="AC48" i="1" s="1"/>
  <c r="O49" i="1"/>
  <c r="AC49" i="1" s="1"/>
  <c r="O50" i="1"/>
  <c r="AC50" i="1" s="1"/>
  <c r="O51" i="1"/>
  <c r="AC51" i="1" s="1"/>
  <c r="O52" i="1"/>
  <c r="AC52" i="1" s="1"/>
  <c r="O53" i="1"/>
  <c r="AC53" i="1" s="1"/>
  <c r="O54" i="1"/>
  <c r="AC54" i="1" s="1"/>
  <c r="W54" i="1"/>
  <c r="X54" i="1"/>
  <c r="AB54" i="1" s="1"/>
  <c r="O55" i="1"/>
  <c r="AC55" i="1" s="1"/>
  <c r="X55" i="1"/>
  <c r="O56" i="1"/>
  <c r="AC56" i="1" s="1"/>
  <c r="X56" i="1"/>
  <c r="O57" i="1"/>
  <c r="AC57" i="1" s="1"/>
  <c r="Z57" i="1"/>
  <c r="AA57" i="1" s="1"/>
  <c r="Y55" i="1" l="1"/>
  <c r="AB55" i="1"/>
  <c r="Y56" i="1"/>
  <c r="AB56" i="1"/>
  <c r="Y54" i="1"/>
  <c r="AD34" i="1"/>
  <c r="AE34" i="1"/>
  <c r="AE50" i="1"/>
  <c r="AD50" i="1"/>
  <c r="AE9" i="1"/>
  <c r="AD9" i="1"/>
  <c r="AE40" i="1"/>
  <c r="AD40" i="1"/>
  <c r="AE16" i="1"/>
  <c r="AD16" i="1"/>
  <c r="AE8" i="1"/>
  <c r="AD8" i="1"/>
  <c r="AD18" i="1"/>
  <c r="AE18" i="1"/>
  <c r="AE55" i="1"/>
  <c r="AD55" i="1"/>
  <c r="AE25" i="1"/>
  <c r="AD25" i="1"/>
  <c r="AE32" i="1"/>
  <c r="AD32" i="1"/>
  <c r="AE31" i="1"/>
  <c r="AD31" i="1"/>
  <c r="AE7" i="1"/>
  <c r="AD7" i="1"/>
  <c r="AD26" i="1"/>
  <c r="AE26" i="1"/>
  <c r="AD10" i="1"/>
  <c r="AE10" i="1"/>
  <c r="AE41" i="1"/>
  <c r="AD41" i="1"/>
  <c r="AE33" i="1"/>
  <c r="AD33" i="1"/>
  <c r="AE17" i="1"/>
  <c r="AD17" i="1"/>
  <c r="AE49" i="1"/>
  <c r="AD49" i="1"/>
  <c r="AD24" i="1"/>
  <c r="AE24" i="1"/>
  <c r="AE48" i="1"/>
  <c r="AD48" i="1"/>
  <c r="AE39" i="1"/>
  <c r="AD39" i="1"/>
  <c r="AD23" i="1"/>
  <c r="AE23" i="1"/>
  <c r="AE15" i="1"/>
  <c r="AD15" i="1"/>
  <c r="AE47" i="1"/>
  <c r="AD47" i="1"/>
  <c r="AE38" i="1"/>
  <c r="AD38" i="1"/>
  <c r="AE30" i="1"/>
  <c r="AD30" i="1"/>
  <c r="AE22" i="1"/>
  <c r="AD22" i="1"/>
  <c r="AE14" i="1"/>
  <c r="AD14" i="1"/>
  <c r="AE6" i="1"/>
  <c r="AD6" i="1"/>
  <c r="AD42" i="1"/>
  <c r="AE42" i="1"/>
  <c r="AD57" i="1"/>
  <c r="AE57" i="1"/>
  <c r="AD46" i="1"/>
  <c r="AE46" i="1"/>
  <c r="AD29" i="1"/>
  <c r="AE29" i="1"/>
  <c r="AD13" i="1"/>
  <c r="AE13" i="1"/>
  <c r="AE53" i="1"/>
  <c r="AD53" i="1"/>
  <c r="AD28" i="1"/>
  <c r="AE28" i="1"/>
  <c r="AE4" i="1"/>
  <c r="AD4" i="1"/>
  <c r="AD51" i="1"/>
  <c r="AE51" i="1"/>
  <c r="AD54" i="1"/>
  <c r="AE54" i="1"/>
  <c r="AD37" i="1"/>
  <c r="AE37" i="1"/>
  <c r="AD21" i="1"/>
  <c r="AE21" i="1"/>
  <c r="AD5" i="1"/>
  <c r="AE5" i="1"/>
  <c r="AD44" i="1"/>
  <c r="AE44" i="1"/>
  <c r="AE36" i="1"/>
  <c r="AD36" i="1"/>
  <c r="AD20" i="1"/>
  <c r="AE20" i="1"/>
  <c r="AE12" i="1"/>
  <c r="AD12" i="1"/>
  <c r="AE56" i="1"/>
  <c r="AD56" i="1"/>
  <c r="AD52" i="1"/>
  <c r="AE52" i="1"/>
  <c r="AE43" i="1"/>
  <c r="AD43" i="1"/>
  <c r="AD35" i="1"/>
  <c r="AE35" i="1"/>
  <c r="AD27" i="1"/>
  <c r="AE27" i="1"/>
  <c r="AD19" i="1"/>
  <c r="AE19" i="1"/>
  <c r="AE11" i="1"/>
  <c r="AD11" i="1"/>
  <c r="Y57" i="1"/>
  <c r="AB57" i="1"/>
  <c r="AF33" i="1" l="1"/>
  <c r="AF49" i="1"/>
  <c r="AF8" i="1"/>
  <c r="AF6" i="1"/>
  <c r="AF38" i="1"/>
  <c r="AF12" i="1"/>
  <c r="AF32" i="1"/>
  <c r="AF55" i="1"/>
  <c r="AF11" i="1"/>
  <c r="AF43" i="1"/>
  <c r="AF56" i="1"/>
  <c r="AF36" i="1"/>
  <c r="AF22" i="1"/>
  <c r="AF48" i="1"/>
  <c r="AF9" i="1"/>
  <c r="AF7" i="1"/>
  <c r="AF40" i="1"/>
  <c r="AF4" i="1"/>
  <c r="AF14" i="1"/>
  <c r="AF47" i="1"/>
  <c r="AF39" i="1"/>
  <c r="AF41" i="1"/>
  <c r="AF16" i="1"/>
  <c r="AF50" i="1"/>
  <c r="AF53" i="1"/>
  <c r="AF30" i="1"/>
  <c r="AF15" i="1"/>
  <c r="AF17" i="1"/>
  <c r="AF31" i="1"/>
  <c r="AF25" i="1"/>
  <c r="AF35" i="1"/>
  <c r="AF44" i="1"/>
  <c r="AF5" i="1"/>
  <c r="AF34" i="1"/>
  <c r="AF21" i="1"/>
  <c r="AF52" i="1"/>
  <c r="AF37" i="1"/>
  <c r="AF57" i="1"/>
  <c r="AF27" i="1"/>
  <c r="AF54" i="1"/>
  <c r="AF28" i="1"/>
  <c r="AF13" i="1"/>
  <c r="AF42" i="1"/>
  <c r="AF18" i="1"/>
  <c r="AF10" i="1"/>
  <c r="AF19" i="1"/>
  <c r="AF20" i="1"/>
  <c r="AF26" i="1"/>
  <c r="AF51" i="1"/>
  <c r="AF46" i="1"/>
  <c r="AF23" i="1"/>
  <c r="AF29" i="1"/>
  <c r="AF24" i="1"/>
  <c r="F3" i="2"/>
  <c r="H5" i="2" l="1"/>
  <c r="D29" i="2"/>
  <c r="D16" i="2"/>
  <c r="B2" i="2"/>
  <c r="B6" i="2"/>
  <c r="C6" i="2" s="1"/>
  <c r="B7" i="2" l="1"/>
  <c r="B8" i="2" s="1"/>
  <c r="B9" i="2" s="1"/>
  <c r="B10" i="2" s="1"/>
  <c r="E6" i="2"/>
  <c r="H6" i="2" s="1"/>
  <c r="E7" i="2" l="1"/>
  <c r="H7" i="2" s="1"/>
  <c r="E8" i="2" s="1"/>
  <c r="C7" i="2"/>
  <c r="C8" i="2" s="1"/>
  <c r="C9" i="2" s="1"/>
  <c r="C10" i="2" s="1"/>
  <c r="B11" i="2"/>
  <c r="C11" i="2" l="1"/>
  <c r="H8" i="2"/>
  <c r="E9" i="2" s="1"/>
  <c r="H9" i="2" s="1"/>
  <c r="E10" i="2" s="1"/>
  <c r="H10" i="2" s="1"/>
  <c r="E11" i="2" s="1"/>
  <c r="H11" i="2" s="1"/>
  <c r="B12" i="2"/>
  <c r="C12" i="2" l="1"/>
  <c r="E12" i="2"/>
  <c r="H12" i="2" s="1"/>
  <c r="B13" i="2"/>
  <c r="C13" i="2" l="1"/>
  <c r="B14" i="2"/>
  <c r="E13" i="2"/>
  <c r="H13" i="2" s="1"/>
  <c r="C14" i="2" l="1"/>
  <c r="E14" i="2"/>
  <c r="H14" i="2" s="1"/>
  <c r="B15" i="2"/>
  <c r="C15" i="2" l="1"/>
  <c r="E15" i="2"/>
  <c r="H15" i="2" s="1"/>
  <c r="B16" i="2"/>
  <c r="C16" i="2" l="1"/>
  <c r="E16" i="2"/>
  <c r="H16" i="2" s="1"/>
  <c r="B17" i="2"/>
  <c r="C17" i="2" l="1"/>
  <c r="E17" i="2"/>
  <c r="H17" i="2" s="1"/>
  <c r="B18" i="2"/>
  <c r="C18" i="2" l="1"/>
  <c r="E18" i="2"/>
  <c r="H18" i="2" s="1"/>
  <c r="B19" i="2"/>
  <c r="C19" i="2" l="1"/>
  <c r="E19" i="2"/>
  <c r="H19" i="2" s="1"/>
  <c r="B20" i="2"/>
  <c r="C20" i="2" l="1"/>
  <c r="E20" i="2"/>
  <c r="H20" i="2" s="1"/>
  <c r="B21" i="2"/>
  <c r="C21" i="2" l="1"/>
  <c r="E21" i="2"/>
  <c r="H21" i="2" s="1"/>
  <c r="B22" i="2"/>
  <c r="C22" i="2" l="1"/>
  <c r="E22" i="2"/>
  <c r="H22" i="2" s="1"/>
  <c r="B23" i="2"/>
  <c r="C23" i="2" l="1"/>
  <c r="E23" i="2"/>
  <c r="H23" i="2" s="1"/>
  <c r="B24" i="2"/>
  <c r="C24" i="2" l="1"/>
  <c r="E24" i="2"/>
  <c r="H24" i="2" s="1"/>
  <c r="B25" i="2"/>
  <c r="C25" i="2" l="1"/>
  <c r="E25" i="2"/>
  <c r="H25" i="2" s="1"/>
  <c r="B26" i="2"/>
  <c r="C26" i="2" l="1"/>
  <c r="E26" i="2"/>
  <c r="H26" i="2" s="1"/>
  <c r="B27" i="2"/>
  <c r="C27" i="2" l="1"/>
  <c r="E27" i="2"/>
  <c r="H27" i="2" s="1"/>
  <c r="B28" i="2"/>
  <c r="C28" i="2" l="1"/>
  <c r="E28" i="2"/>
  <c r="H28" i="2" s="1"/>
  <c r="B29" i="2"/>
  <c r="C29" i="2" l="1"/>
  <c r="E29" i="2"/>
  <c r="H29" i="2" s="1"/>
  <c r="B30" i="2"/>
  <c r="C30" i="2" l="1"/>
  <c r="E30" i="2"/>
  <c r="H30" i="2" s="1"/>
  <c r="B31" i="2"/>
  <c r="C31" i="2" l="1"/>
  <c r="E31" i="2"/>
  <c r="H31" i="2" s="1"/>
  <c r="B32" i="2"/>
  <c r="C32" i="2" l="1"/>
  <c r="E32" i="2"/>
  <c r="H32" i="2" s="1"/>
  <c r="B33" i="2"/>
  <c r="C33" i="2" l="1"/>
  <c r="E33" i="2"/>
  <c r="H33" i="2" s="1"/>
  <c r="B34" i="2"/>
  <c r="C34" i="2" l="1"/>
  <c r="E34" i="2"/>
  <c r="H34" i="2" s="1"/>
  <c r="B35" i="2"/>
  <c r="C35" i="2" l="1"/>
  <c r="E35" i="2"/>
  <c r="H35" i="2" s="1"/>
  <c r="B36" i="2"/>
  <c r="C36" i="2" l="1"/>
  <c r="E36" i="2"/>
  <c r="H36" i="2" s="1"/>
  <c r="B37" i="2"/>
  <c r="C37" i="2" l="1"/>
  <c r="E37" i="2"/>
  <c r="H37" i="2" s="1"/>
  <c r="B38" i="2"/>
  <c r="C38" i="2" l="1"/>
  <c r="E38" i="2"/>
  <c r="H38" i="2" s="1"/>
  <c r="B39" i="2"/>
  <c r="C39" i="2" l="1"/>
  <c r="E39" i="2"/>
  <c r="H39" i="2" s="1"/>
  <c r="B40" i="2"/>
  <c r="C40" i="2" l="1"/>
  <c r="E40" i="2"/>
  <c r="H40" i="2" s="1"/>
  <c r="B41" i="2"/>
  <c r="C41" i="2" l="1"/>
  <c r="E41" i="2"/>
  <c r="H41" i="2" s="1"/>
  <c r="B42" i="2"/>
  <c r="C42" i="2" l="1"/>
  <c r="E42" i="2"/>
  <c r="H42" i="2" s="1"/>
  <c r="B43" i="2"/>
  <c r="C43" i="2" l="1"/>
  <c r="E43" i="2"/>
  <c r="H43" i="2" s="1"/>
  <c r="B44" i="2"/>
  <c r="C44" i="2" l="1"/>
  <c r="E44" i="2"/>
  <c r="H44" i="2" s="1"/>
  <c r="B45" i="2"/>
  <c r="C45" i="2" l="1"/>
  <c r="E45" i="2"/>
  <c r="H45" i="2" s="1"/>
  <c r="B46" i="2"/>
  <c r="C46" i="2" l="1"/>
  <c r="E46" i="2"/>
  <c r="H46" i="2" s="1"/>
  <c r="B47" i="2"/>
  <c r="C47" i="2" l="1"/>
  <c r="E47" i="2"/>
  <c r="H47" i="2" s="1"/>
  <c r="B48" i="2"/>
  <c r="C48" i="2" l="1"/>
  <c r="E48" i="2"/>
  <c r="H48" i="2" s="1"/>
  <c r="B49" i="2"/>
  <c r="C49" i="2" l="1"/>
  <c r="E49" i="2"/>
  <c r="H49" i="2" s="1"/>
  <c r="B50" i="2"/>
  <c r="C50" i="2" l="1"/>
  <c r="E50" i="2"/>
  <c r="H50" i="2" s="1"/>
  <c r="B51" i="2"/>
  <c r="C51" i="2" l="1"/>
  <c r="E51" i="2"/>
  <c r="H51" i="2" s="1"/>
  <c r="B52" i="2"/>
  <c r="C52" i="2" l="1"/>
  <c r="E52" i="2"/>
  <c r="H52" i="2" s="1"/>
  <c r="B53" i="2"/>
  <c r="C53" i="2" l="1"/>
  <c r="E53" i="2"/>
  <c r="H53" i="2" s="1"/>
  <c r="B54" i="2"/>
  <c r="C54" i="2" l="1"/>
  <c r="E54" i="2"/>
  <c r="H54" i="2" s="1"/>
  <c r="B55" i="2"/>
  <c r="C55" i="2" l="1"/>
  <c r="E55" i="2"/>
  <c r="H55" i="2" s="1"/>
  <c r="B56" i="2"/>
  <c r="C56" i="2" l="1"/>
  <c r="E56" i="2"/>
  <c r="H56" i="2" s="1"/>
  <c r="B57" i="2"/>
  <c r="C57" i="2" l="1"/>
  <c r="E57" i="2"/>
  <c r="H57" i="2" s="1"/>
  <c r="B58" i="2"/>
  <c r="C58" i="2" l="1"/>
  <c r="E58" i="2"/>
  <c r="H58" i="2" s="1"/>
  <c r="B59" i="2"/>
  <c r="C59" i="2" l="1"/>
  <c r="E59" i="2"/>
  <c r="H59" i="2" s="1"/>
  <c r="B60" i="2"/>
  <c r="C60" i="2" l="1"/>
  <c r="E60" i="2"/>
  <c r="H60" i="2" s="1"/>
  <c r="B61" i="2"/>
  <c r="C61" i="2" l="1"/>
  <c r="E61" i="2"/>
  <c r="H61" i="2" s="1"/>
  <c r="B62" i="2"/>
  <c r="C62" i="2" l="1"/>
  <c r="E62" i="2"/>
  <c r="H62" i="2" s="1"/>
  <c r="B63" i="2"/>
  <c r="C63" i="2" l="1"/>
  <c r="E63" i="2"/>
  <c r="H63" i="2" s="1"/>
  <c r="B64" i="2"/>
  <c r="C64" i="2" l="1"/>
  <c r="E64" i="2"/>
  <c r="H64" i="2" s="1"/>
  <c r="B65" i="2"/>
  <c r="C65" i="2" l="1"/>
  <c r="E65" i="2"/>
  <c r="H65" i="2" s="1"/>
  <c r="B66" i="2"/>
  <c r="C66" i="2" l="1"/>
  <c r="E66" i="2"/>
  <c r="H66" i="2" s="1"/>
  <c r="B67" i="2"/>
  <c r="C67" i="2" l="1"/>
  <c r="E67" i="2"/>
  <c r="H67" i="2" s="1"/>
  <c r="B68" i="2"/>
  <c r="C68" i="2" l="1"/>
  <c r="E68" i="2"/>
  <c r="H68" i="2" s="1"/>
  <c r="B69" i="2"/>
  <c r="C69" i="2" l="1"/>
  <c r="E69" i="2"/>
  <c r="H69" i="2" s="1"/>
  <c r="B70" i="2"/>
  <c r="C70" i="2" l="1"/>
  <c r="E70" i="2"/>
  <c r="H70" i="2" s="1"/>
  <c r="B71" i="2"/>
  <c r="C71" i="2" l="1"/>
  <c r="E71" i="2"/>
  <c r="H71" i="2" s="1"/>
  <c r="B72" i="2"/>
  <c r="C72" i="2" l="1"/>
  <c r="E72" i="2"/>
  <c r="H72" i="2" s="1"/>
  <c r="B73" i="2"/>
  <c r="C73" i="2" l="1"/>
  <c r="E73" i="2"/>
  <c r="H73" i="2" s="1"/>
  <c r="B74" i="2"/>
  <c r="C74" i="2" l="1"/>
  <c r="E74" i="2"/>
  <c r="H74" i="2" s="1"/>
  <c r="B75" i="2"/>
  <c r="C75" i="2" l="1"/>
  <c r="E75" i="2"/>
  <c r="H75" i="2" s="1"/>
  <c r="B76" i="2"/>
  <c r="C76" i="2" l="1"/>
  <c r="E76" i="2"/>
  <c r="H76" i="2" s="1"/>
  <c r="B77" i="2"/>
  <c r="C77" i="2" l="1"/>
  <c r="E77" i="2"/>
  <c r="H77" i="2" s="1"/>
  <c r="B78" i="2"/>
  <c r="C78" i="2" l="1"/>
  <c r="E78" i="2"/>
  <c r="H78" i="2" s="1"/>
  <c r="B79" i="2"/>
  <c r="C79" i="2" l="1"/>
  <c r="E79" i="2"/>
  <c r="H79" i="2" s="1"/>
  <c r="B80" i="2"/>
  <c r="C80" i="2" l="1"/>
  <c r="E80" i="2"/>
  <c r="H80" i="2" s="1"/>
  <c r="B81" i="2"/>
  <c r="C81" i="2" l="1"/>
  <c r="E81" i="2"/>
  <c r="H81" i="2" s="1"/>
  <c r="B82" i="2"/>
  <c r="C82" i="2" l="1"/>
  <c r="E82" i="2"/>
  <c r="H82" i="2" s="1"/>
  <c r="B83" i="2"/>
  <c r="C83" i="2" l="1"/>
  <c r="E83" i="2"/>
  <c r="H83" i="2" s="1"/>
  <c r="B84" i="2"/>
  <c r="C84" i="2" l="1"/>
  <c r="E84" i="2"/>
  <c r="H84" i="2" s="1"/>
  <c r="B85" i="2"/>
  <c r="C85" i="2" l="1"/>
  <c r="E85" i="2"/>
  <c r="H85" i="2" s="1"/>
  <c r="B86" i="2"/>
  <c r="C86" i="2" l="1"/>
  <c r="E86" i="2"/>
  <c r="H86" i="2" s="1"/>
  <c r="B87" i="2"/>
  <c r="C87" i="2" l="1"/>
  <c r="E87" i="2"/>
  <c r="H87" i="2" s="1"/>
  <c r="B88" i="2"/>
  <c r="C88" i="2" l="1"/>
  <c r="E88" i="2"/>
  <c r="H88" i="2" s="1"/>
  <c r="B89" i="2"/>
  <c r="C89" i="2" l="1"/>
  <c r="E89" i="2"/>
  <c r="H89" i="2" s="1"/>
  <c r="B90" i="2"/>
  <c r="C90" i="2" l="1"/>
  <c r="E90" i="2"/>
  <c r="H90" i="2" s="1"/>
  <c r="B91" i="2"/>
  <c r="C91" i="2" l="1"/>
  <c r="E91" i="2"/>
  <c r="H91" i="2" s="1"/>
  <c r="B92" i="2"/>
  <c r="C92" i="2" l="1"/>
  <c r="E92" i="2"/>
  <c r="H92" i="2" s="1"/>
  <c r="B93" i="2"/>
  <c r="C93" i="2" l="1"/>
  <c r="E93" i="2"/>
  <c r="H93" i="2" s="1"/>
  <c r="B94" i="2"/>
  <c r="C94" i="2" l="1"/>
  <c r="E94" i="2"/>
  <c r="H94" i="2" s="1"/>
  <c r="B95" i="2"/>
  <c r="C95" i="2" l="1"/>
  <c r="E95" i="2"/>
  <c r="H95" i="2" s="1"/>
  <c r="B96" i="2"/>
  <c r="C96" i="2" l="1"/>
  <c r="E96" i="2"/>
  <c r="H96" i="2" s="1"/>
  <c r="B97" i="2"/>
  <c r="C97" i="2" l="1"/>
  <c r="E97" i="2"/>
  <c r="H97" i="2" s="1"/>
  <c r="B98" i="2"/>
  <c r="C98" i="2" l="1"/>
  <c r="E98" i="2"/>
  <c r="H98" i="2" s="1"/>
  <c r="B99" i="2"/>
  <c r="C99" i="2" l="1"/>
  <c r="E99" i="2"/>
  <c r="H99" i="2" s="1"/>
  <c r="B100" i="2"/>
  <c r="C100" i="2" l="1"/>
  <c r="E100" i="2"/>
  <c r="H100" i="2" s="1"/>
  <c r="B101" i="2"/>
  <c r="C101" i="2" l="1"/>
  <c r="E101" i="2"/>
  <c r="H101" i="2" s="1"/>
  <c r="B102" i="2"/>
  <c r="C102" i="2" l="1"/>
  <c r="E102" i="2"/>
  <c r="H102" i="2" s="1"/>
  <c r="B103" i="2"/>
  <c r="C103" i="2" l="1"/>
  <c r="E103" i="2"/>
  <c r="H103" i="2" s="1"/>
  <c r="B104" i="2"/>
  <c r="C104" i="2" l="1"/>
  <c r="E104" i="2"/>
  <c r="H104" i="2" s="1"/>
  <c r="B105" i="2"/>
  <c r="C105" i="2" l="1"/>
  <c r="E105" i="2"/>
  <c r="H105" i="2" s="1"/>
  <c r="B106" i="2"/>
  <c r="C106" i="2" l="1"/>
  <c r="E106" i="2"/>
  <c r="H106" i="2" s="1"/>
  <c r="B107" i="2"/>
  <c r="C107" i="2" l="1"/>
  <c r="E107" i="2"/>
  <c r="H107" i="2" s="1"/>
  <c r="B108" i="2"/>
  <c r="C108" i="2" l="1"/>
  <c r="E108" i="2"/>
  <c r="H108" i="2" s="1"/>
  <c r="B109" i="2"/>
  <c r="C109" i="2" l="1"/>
  <c r="E109" i="2"/>
  <c r="H109" i="2" s="1"/>
  <c r="B110" i="2"/>
  <c r="C110" i="2" l="1"/>
  <c r="E110" i="2"/>
  <c r="H110" i="2" s="1"/>
  <c r="B111" i="2"/>
  <c r="C111" i="2" l="1"/>
  <c r="E111" i="2"/>
  <c r="H111" i="2" s="1"/>
  <c r="B112" i="2"/>
  <c r="C112" i="2" l="1"/>
  <c r="E112" i="2"/>
  <c r="H112" i="2" s="1"/>
  <c r="B113" i="2"/>
  <c r="C113" i="2" l="1"/>
  <c r="E113" i="2"/>
  <c r="H113" i="2" s="1"/>
  <c r="B114" i="2"/>
  <c r="C114" i="2" l="1"/>
  <c r="E114" i="2"/>
  <c r="H114" i="2" s="1"/>
  <c r="B115" i="2"/>
  <c r="C115" i="2" l="1"/>
  <c r="E115" i="2"/>
  <c r="H115" i="2" s="1"/>
  <c r="B116" i="2"/>
  <c r="C116" i="2" l="1"/>
  <c r="E116" i="2"/>
  <c r="H116" i="2" s="1"/>
  <c r="B117" i="2"/>
  <c r="C117" i="2" l="1"/>
  <c r="E117" i="2"/>
  <c r="H117" i="2" s="1"/>
  <c r="B118" i="2"/>
  <c r="C118" i="2" l="1"/>
  <c r="E118" i="2"/>
  <c r="H118" i="2" s="1"/>
  <c r="B119" i="2"/>
  <c r="C119" i="2" l="1"/>
  <c r="E119" i="2"/>
  <c r="H119" i="2" s="1"/>
  <c r="B120" i="2"/>
  <c r="C120" i="2" l="1"/>
  <c r="E120" i="2"/>
  <c r="H120" i="2" s="1"/>
  <c r="B121" i="2"/>
  <c r="C121" i="2" l="1"/>
  <c r="E121" i="2"/>
  <c r="H121" i="2" s="1"/>
  <c r="B122" i="2"/>
  <c r="C122" i="2" l="1"/>
  <c r="E122" i="2"/>
  <c r="H122" i="2" s="1"/>
  <c r="B123" i="2"/>
  <c r="C123" i="2" l="1"/>
  <c r="E123" i="2"/>
  <c r="H123" i="2" s="1"/>
  <c r="B124" i="2"/>
  <c r="C124" i="2" l="1"/>
  <c r="E124" i="2"/>
  <c r="H124" i="2" s="1"/>
  <c r="B125" i="2"/>
  <c r="C125" i="2" l="1"/>
  <c r="E125" i="2"/>
  <c r="H125" i="2" s="1"/>
  <c r="B126" i="2"/>
  <c r="C126" i="2" l="1"/>
  <c r="E126" i="2"/>
  <c r="H126" i="2" s="1"/>
  <c r="B127" i="2"/>
  <c r="C127" i="2" l="1"/>
  <c r="E127" i="2"/>
  <c r="H127" i="2" s="1"/>
  <c r="B128" i="2"/>
  <c r="C128" i="2" l="1"/>
  <c r="E128" i="2"/>
  <c r="H128" i="2" s="1"/>
  <c r="B129" i="2"/>
  <c r="C129" i="2" l="1"/>
  <c r="E129" i="2"/>
  <c r="H129" i="2" s="1"/>
  <c r="B130" i="2"/>
  <c r="C130" i="2" l="1"/>
  <c r="E130" i="2"/>
  <c r="H130" i="2" s="1"/>
  <c r="B131" i="2"/>
  <c r="C131" i="2" l="1"/>
  <c r="E131" i="2"/>
  <c r="H131" i="2" s="1"/>
  <c r="B132" i="2"/>
  <c r="C132" i="2" l="1"/>
  <c r="E132" i="2"/>
  <c r="H132" i="2" s="1"/>
  <c r="B133" i="2"/>
  <c r="C133" i="2" l="1"/>
  <c r="E133" i="2"/>
  <c r="H133" i="2" s="1"/>
  <c r="B134" i="2"/>
  <c r="C134" i="2" l="1"/>
  <c r="E134" i="2"/>
  <c r="H134" i="2" s="1"/>
  <c r="B135" i="2"/>
  <c r="C135" i="2" l="1"/>
  <c r="E135" i="2"/>
  <c r="H135" i="2" s="1"/>
  <c r="B136" i="2"/>
  <c r="C136" i="2" l="1"/>
  <c r="E136" i="2"/>
  <c r="H136" i="2" s="1"/>
  <c r="B137" i="2"/>
  <c r="C137" i="2" l="1"/>
  <c r="E137" i="2"/>
  <c r="H137" i="2" s="1"/>
  <c r="B138" i="2"/>
  <c r="C138" i="2" l="1"/>
  <c r="E138" i="2"/>
  <c r="H138" i="2" s="1"/>
  <c r="B139" i="2"/>
  <c r="C139" i="2" l="1"/>
  <c r="E139" i="2"/>
  <c r="H139" i="2" s="1"/>
  <c r="B140" i="2"/>
  <c r="C140" i="2" l="1"/>
  <c r="E140" i="2"/>
  <c r="H140" i="2" s="1"/>
  <c r="B141" i="2"/>
  <c r="C141" i="2" l="1"/>
  <c r="E141" i="2"/>
  <c r="H141" i="2" s="1"/>
  <c r="B142" i="2"/>
  <c r="C142" i="2" l="1"/>
  <c r="E142" i="2"/>
  <c r="H142" i="2" s="1"/>
  <c r="B143" i="2"/>
  <c r="C143" i="2" l="1"/>
  <c r="E143" i="2"/>
  <c r="H143" i="2" s="1"/>
  <c r="B144" i="2"/>
  <c r="C144" i="2" l="1"/>
  <c r="E144" i="2"/>
  <c r="H144" i="2" s="1"/>
  <c r="B145" i="2"/>
  <c r="C145" i="2" l="1"/>
  <c r="E145" i="2"/>
  <c r="H145" i="2" s="1"/>
  <c r="B146" i="2"/>
  <c r="C146" i="2" l="1"/>
  <c r="E146" i="2"/>
  <c r="H146" i="2" s="1"/>
  <c r="B147" i="2"/>
  <c r="C147" i="2" l="1"/>
  <c r="E147" i="2"/>
  <c r="H147" i="2" s="1"/>
  <c r="B148" i="2"/>
  <c r="C148" i="2" l="1"/>
  <c r="E148" i="2"/>
  <c r="H148" i="2" s="1"/>
  <c r="B149" i="2"/>
  <c r="C149" i="2" l="1"/>
  <c r="E149" i="2"/>
  <c r="H149" i="2" s="1"/>
  <c r="B150" i="2"/>
  <c r="C150" i="2" l="1"/>
  <c r="E150" i="2"/>
  <c r="H150" i="2" s="1"/>
  <c r="B151" i="2"/>
  <c r="C151" i="2" l="1"/>
  <c r="E151" i="2"/>
  <c r="H151" i="2" s="1"/>
  <c r="B152" i="2"/>
  <c r="C152" i="2" l="1"/>
  <c r="E152" i="2"/>
  <c r="H152" i="2" s="1"/>
  <c r="B153" i="2"/>
  <c r="C153" i="2" l="1"/>
  <c r="E153" i="2"/>
  <c r="H153" i="2" s="1"/>
  <c r="B154" i="2"/>
  <c r="C154" i="2" l="1"/>
  <c r="E154" i="2"/>
  <c r="H154" i="2" s="1"/>
  <c r="B155" i="2"/>
  <c r="C155" i="2" l="1"/>
  <c r="E155" i="2"/>
  <c r="H155" i="2" s="1"/>
  <c r="B156" i="2"/>
  <c r="C156" i="2" l="1"/>
  <c r="E156" i="2"/>
  <c r="H156" i="2" s="1"/>
  <c r="B157" i="2"/>
  <c r="C157" i="2" l="1"/>
  <c r="E157" i="2"/>
  <c r="H157" i="2" s="1"/>
  <c r="B158" i="2"/>
  <c r="C158" i="2" l="1"/>
  <c r="E158" i="2"/>
  <c r="H158" i="2" s="1"/>
  <c r="B159" i="2"/>
  <c r="C159" i="2" l="1"/>
  <c r="E159" i="2"/>
  <c r="H159" i="2" s="1"/>
  <c r="B160" i="2"/>
  <c r="C160" i="2" l="1"/>
  <c r="E160" i="2"/>
  <c r="H160" i="2" s="1"/>
  <c r="B161" i="2"/>
  <c r="C161" i="2" l="1"/>
  <c r="E161" i="2"/>
  <c r="H161" i="2" s="1"/>
  <c r="B162" i="2"/>
  <c r="C162" i="2" l="1"/>
  <c r="E162" i="2"/>
  <c r="H162" i="2" s="1"/>
  <c r="B163" i="2"/>
  <c r="C163" i="2" l="1"/>
  <c r="E163" i="2"/>
  <c r="H163" i="2" s="1"/>
  <c r="B164" i="2"/>
  <c r="C164" i="2" l="1"/>
  <c r="E164" i="2"/>
  <c r="H164" i="2" s="1"/>
  <c r="B165" i="2"/>
  <c r="C165" i="2" l="1"/>
  <c r="E165" i="2"/>
  <c r="H165" i="2" s="1"/>
  <c r="B166" i="2"/>
  <c r="C166" i="2" l="1"/>
  <c r="E166" i="2"/>
  <c r="H166" i="2" s="1"/>
  <c r="B167" i="2"/>
  <c r="C167" i="2" l="1"/>
  <c r="E167" i="2"/>
  <c r="H167" i="2" s="1"/>
  <c r="B168" i="2"/>
  <c r="C168" i="2" l="1"/>
  <c r="E168" i="2"/>
  <c r="H168" i="2" s="1"/>
  <c r="B169" i="2"/>
  <c r="C169" i="2" l="1"/>
  <c r="E169" i="2"/>
  <c r="H169" i="2" s="1"/>
  <c r="B170" i="2"/>
  <c r="C170" i="2" l="1"/>
  <c r="E170" i="2"/>
  <c r="H170" i="2" s="1"/>
  <c r="B171" i="2"/>
  <c r="C171" i="2" l="1"/>
  <c r="E171" i="2"/>
  <c r="H171" i="2" s="1"/>
  <c r="B172" i="2"/>
  <c r="C172" i="2" l="1"/>
  <c r="E172" i="2"/>
  <c r="H172" i="2" s="1"/>
  <c r="B173" i="2"/>
  <c r="C173" i="2" l="1"/>
  <c r="E173" i="2"/>
  <c r="H173" i="2" s="1"/>
  <c r="B174" i="2"/>
  <c r="C174" i="2" l="1"/>
  <c r="E174" i="2"/>
  <c r="H174" i="2" s="1"/>
  <c r="B175" i="2"/>
  <c r="C175" i="2" l="1"/>
  <c r="E175" i="2"/>
  <c r="H175" i="2" s="1"/>
  <c r="B176" i="2"/>
  <c r="C176" i="2" l="1"/>
  <c r="E176" i="2"/>
  <c r="H176" i="2" s="1"/>
  <c r="B177" i="2"/>
  <c r="C177" i="2" l="1"/>
  <c r="E177" i="2"/>
  <c r="H177" i="2" s="1"/>
  <c r="B178" i="2"/>
  <c r="C178" i="2" l="1"/>
  <c r="E178" i="2"/>
  <c r="H178" i="2" s="1"/>
  <c r="B179" i="2"/>
  <c r="C179" i="2" l="1"/>
  <c r="E179" i="2"/>
  <c r="H179" i="2" s="1"/>
  <c r="B180" i="2"/>
  <c r="C180" i="2" l="1"/>
  <c r="E180" i="2"/>
  <c r="H180" i="2" s="1"/>
  <c r="B181" i="2"/>
  <c r="C181" i="2" l="1"/>
  <c r="E181" i="2"/>
  <c r="H181" i="2" s="1"/>
  <c r="B182" i="2"/>
  <c r="C182" i="2" l="1"/>
  <c r="E182" i="2"/>
  <c r="H182" i="2" s="1"/>
  <c r="B183" i="2"/>
  <c r="C183" i="2" l="1"/>
  <c r="E183" i="2"/>
  <c r="H183" i="2" s="1"/>
  <c r="B184" i="2"/>
  <c r="C184" i="2" l="1"/>
  <c r="E184" i="2"/>
  <c r="H184" i="2" s="1"/>
  <c r="B185" i="2"/>
  <c r="C185" i="2" l="1"/>
  <c r="E185" i="2"/>
  <c r="H185" i="2" s="1"/>
  <c r="B186" i="2"/>
  <c r="C186" i="2" l="1"/>
  <c r="E186" i="2"/>
  <c r="H186" i="2" s="1"/>
  <c r="B187" i="2"/>
  <c r="C187" i="2" l="1"/>
  <c r="E187" i="2"/>
  <c r="H187" i="2" s="1"/>
  <c r="B188" i="2"/>
  <c r="C188" i="2" l="1"/>
  <c r="E188" i="2"/>
  <c r="H188" i="2" s="1"/>
  <c r="B189" i="2"/>
  <c r="C189" i="2" l="1"/>
  <c r="E189" i="2"/>
  <c r="H189" i="2" s="1"/>
  <c r="B190" i="2"/>
  <c r="C190" i="2" l="1"/>
  <c r="E190" i="2"/>
  <c r="H190" i="2" s="1"/>
  <c r="B191" i="2"/>
  <c r="C191" i="2" l="1"/>
  <c r="E191" i="2"/>
  <c r="H191" i="2" s="1"/>
  <c r="B192" i="2"/>
  <c r="C192" i="2" l="1"/>
  <c r="E192" i="2"/>
  <c r="H192" i="2" s="1"/>
  <c r="B193" i="2"/>
  <c r="C193" i="2" l="1"/>
  <c r="E193" i="2"/>
  <c r="H193" i="2" s="1"/>
  <c r="B194" i="2"/>
  <c r="C194" i="2" l="1"/>
  <c r="E194" i="2"/>
  <c r="H194" i="2" s="1"/>
  <c r="B195" i="2"/>
  <c r="C195" i="2" l="1"/>
  <c r="E195" i="2"/>
  <c r="H195" i="2" s="1"/>
  <c r="B196" i="2"/>
  <c r="C196" i="2" l="1"/>
  <c r="E196" i="2"/>
  <c r="H196" i="2" s="1"/>
  <c r="B197" i="2"/>
  <c r="C197" i="2" l="1"/>
  <c r="E197" i="2"/>
  <c r="H197" i="2" s="1"/>
  <c r="B198" i="2"/>
  <c r="C198" i="2" l="1"/>
  <c r="E198" i="2"/>
  <c r="H198" i="2" s="1"/>
  <c r="B199" i="2"/>
  <c r="C199" i="2" l="1"/>
  <c r="E199" i="2"/>
  <c r="H199" i="2" s="1"/>
  <c r="B200" i="2"/>
  <c r="C200" i="2" l="1"/>
  <c r="E200" i="2"/>
  <c r="H200" i="2" s="1"/>
  <c r="B201" i="2"/>
  <c r="C201" i="2" l="1"/>
  <c r="E201" i="2"/>
  <c r="H201" i="2" s="1"/>
  <c r="B202" i="2"/>
  <c r="C202" i="2" l="1"/>
  <c r="E202" i="2"/>
  <c r="H202" i="2" s="1"/>
  <c r="B203" i="2"/>
  <c r="C203" i="2" l="1"/>
  <c r="E203" i="2"/>
  <c r="H203" i="2" s="1"/>
  <c r="B204" i="2"/>
  <c r="C204" i="2" l="1"/>
  <c r="E204" i="2"/>
  <c r="H204" i="2" s="1"/>
  <c r="B205" i="2"/>
  <c r="C205" i="2" l="1"/>
  <c r="E205" i="2"/>
  <c r="H205" i="2" s="1"/>
  <c r="B206" i="2"/>
  <c r="C206" i="2" l="1"/>
  <c r="E206" i="2"/>
  <c r="H206" i="2" s="1"/>
  <c r="B207" i="2"/>
  <c r="C207" i="2" l="1"/>
  <c r="E207" i="2"/>
  <c r="H207" i="2" s="1"/>
  <c r="B208" i="2"/>
  <c r="C208" i="2" l="1"/>
  <c r="E208" i="2"/>
  <c r="H208" i="2" s="1"/>
  <c r="B209" i="2"/>
  <c r="C209" i="2" l="1"/>
  <c r="E209" i="2"/>
  <c r="H209" i="2" s="1"/>
  <c r="B210" i="2"/>
  <c r="C210" i="2" l="1"/>
  <c r="E210" i="2"/>
  <c r="H210" i="2" s="1"/>
  <c r="B211" i="2"/>
  <c r="C211" i="2" l="1"/>
  <c r="E211" i="2"/>
  <c r="H211" i="2" s="1"/>
  <c r="B212" i="2"/>
  <c r="C212" i="2" l="1"/>
  <c r="E212" i="2"/>
  <c r="H212" i="2" s="1"/>
  <c r="B213" i="2"/>
  <c r="C213" i="2" l="1"/>
  <c r="E213" i="2"/>
  <c r="H213" i="2" s="1"/>
  <c r="B214" i="2"/>
  <c r="C214" i="2" l="1"/>
  <c r="E214" i="2"/>
  <c r="H214" i="2" s="1"/>
  <c r="B215" i="2"/>
  <c r="C215" i="2" l="1"/>
  <c r="E215" i="2"/>
  <c r="H215" i="2" s="1"/>
  <c r="B216" i="2"/>
  <c r="C216" i="2" l="1"/>
  <c r="E216" i="2"/>
  <c r="H216" i="2" s="1"/>
  <c r="B217" i="2"/>
  <c r="C217" i="2" l="1"/>
  <c r="E217" i="2"/>
  <c r="H217" i="2" s="1"/>
  <c r="B218" i="2"/>
  <c r="C218" i="2" l="1"/>
  <c r="E218" i="2"/>
  <c r="H218" i="2" s="1"/>
  <c r="B219" i="2"/>
  <c r="C219" i="2" l="1"/>
  <c r="E219" i="2"/>
  <c r="H219" i="2" s="1"/>
  <c r="B220" i="2"/>
  <c r="C220" i="2" l="1"/>
  <c r="E220" i="2"/>
  <c r="H220" i="2" s="1"/>
  <c r="B221" i="2"/>
  <c r="C221" i="2" l="1"/>
  <c r="E221" i="2"/>
  <c r="H221" i="2" s="1"/>
  <c r="B222" i="2"/>
  <c r="C222" i="2" l="1"/>
  <c r="E222" i="2"/>
  <c r="H222" i="2" s="1"/>
  <c r="B223" i="2"/>
  <c r="C223" i="2" l="1"/>
  <c r="E223" i="2"/>
  <c r="H223" i="2" s="1"/>
  <c r="B224" i="2"/>
  <c r="C224" i="2" l="1"/>
  <c r="E224" i="2"/>
  <c r="H224" i="2" s="1"/>
  <c r="B225" i="2"/>
  <c r="C225" i="2" l="1"/>
  <c r="E225" i="2"/>
  <c r="H225" i="2" s="1"/>
  <c r="B226" i="2"/>
  <c r="C226" i="2" l="1"/>
  <c r="E226" i="2"/>
  <c r="H226" i="2" s="1"/>
  <c r="B227" i="2"/>
  <c r="C227" i="2" l="1"/>
  <c r="E227" i="2"/>
  <c r="H227" i="2" s="1"/>
  <c r="B228" i="2"/>
  <c r="C228" i="2" l="1"/>
  <c r="E228" i="2"/>
  <c r="H228" i="2" s="1"/>
  <c r="B229" i="2"/>
  <c r="C229" i="2" l="1"/>
  <c r="E229" i="2"/>
  <c r="H229" i="2" s="1"/>
  <c r="B230" i="2"/>
  <c r="C230" i="2" l="1"/>
  <c r="E230" i="2"/>
  <c r="H230" i="2" s="1"/>
  <c r="B231" i="2"/>
  <c r="C231" i="2" l="1"/>
  <c r="E231" i="2"/>
  <c r="H231" i="2" s="1"/>
  <c r="B232" i="2"/>
  <c r="C232" i="2" l="1"/>
  <c r="E232" i="2"/>
  <c r="H232" i="2" s="1"/>
  <c r="B233" i="2"/>
  <c r="C233" i="2" l="1"/>
  <c r="E233" i="2"/>
  <c r="H233" i="2" s="1"/>
  <c r="B234" i="2"/>
  <c r="C234" i="2" l="1"/>
  <c r="E234" i="2"/>
  <c r="H234" i="2" s="1"/>
  <c r="B235" i="2"/>
  <c r="C235" i="2" l="1"/>
  <c r="E235" i="2"/>
  <c r="H235" i="2" s="1"/>
  <c r="B236" i="2"/>
  <c r="C236" i="2" l="1"/>
  <c r="E236" i="2"/>
  <c r="H236" i="2" s="1"/>
  <c r="B237" i="2"/>
  <c r="C237" i="2" l="1"/>
  <c r="E237" i="2"/>
  <c r="H237" i="2" s="1"/>
  <c r="B238" i="2"/>
  <c r="C238" i="2" l="1"/>
  <c r="E238" i="2"/>
  <c r="H238" i="2" s="1"/>
  <c r="B239" i="2"/>
  <c r="C239" i="2" l="1"/>
  <c r="E239" i="2"/>
  <c r="H239" i="2" s="1"/>
  <c r="B240" i="2"/>
  <c r="C240" i="2" l="1"/>
  <c r="E240" i="2"/>
  <c r="H240" i="2" s="1"/>
  <c r="B241" i="2"/>
  <c r="C241" i="2" l="1"/>
  <c r="E241" i="2"/>
  <c r="H241" i="2" s="1"/>
  <c r="B242" i="2"/>
  <c r="C242" i="2" l="1"/>
  <c r="E242" i="2"/>
  <c r="H242" i="2" s="1"/>
  <c r="B243" i="2"/>
  <c r="C243" i="2" l="1"/>
  <c r="E243" i="2"/>
  <c r="H243" i="2" s="1"/>
  <c r="B244" i="2"/>
  <c r="C244" i="2" l="1"/>
  <c r="E244" i="2"/>
  <c r="H244" i="2" s="1"/>
  <c r="B245" i="2"/>
  <c r="C245" i="2" l="1"/>
  <c r="E245" i="2"/>
  <c r="H245" i="2" s="1"/>
  <c r="B246" i="2"/>
  <c r="C246" i="2" l="1"/>
  <c r="E246" i="2"/>
  <c r="H246" i="2" s="1"/>
  <c r="B247" i="2"/>
  <c r="C247" i="2" l="1"/>
  <c r="E247" i="2"/>
  <c r="H247" i="2" s="1"/>
  <c r="B248" i="2"/>
  <c r="C248" i="2" l="1"/>
  <c r="E248" i="2"/>
  <c r="H248" i="2" s="1"/>
  <c r="B249" i="2"/>
  <c r="C249" i="2" l="1"/>
  <c r="E249" i="2"/>
  <c r="H249" i="2" s="1"/>
  <c r="B250" i="2"/>
  <c r="C250" i="2" l="1"/>
  <c r="E250" i="2"/>
  <c r="H250" i="2" s="1"/>
  <c r="B251" i="2"/>
  <c r="C251" i="2" l="1"/>
  <c r="E251" i="2"/>
  <c r="H251" i="2" s="1"/>
  <c r="B252" i="2"/>
  <c r="C252" i="2" l="1"/>
  <c r="E252" i="2"/>
  <c r="H252" i="2" s="1"/>
  <c r="B253" i="2"/>
  <c r="C253" i="2" l="1"/>
  <c r="E253" i="2"/>
  <c r="H253" i="2" s="1"/>
  <c r="B254" i="2"/>
  <c r="C254" i="2" l="1"/>
  <c r="E254" i="2"/>
  <c r="H254" i="2" s="1"/>
  <c r="B255" i="2"/>
  <c r="C255" i="2" l="1"/>
  <c r="E255" i="2"/>
  <c r="H255" i="2" s="1"/>
  <c r="B256" i="2"/>
  <c r="C256" i="2" l="1"/>
  <c r="E256" i="2"/>
  <c r="H256" i="2" s="1"/>
  <c r="B257" i="2"/>
  <c r="C257" i="2" l="1"/>
  <c r="E257" i="2"/>
  <c r="H257" i="2" s="1"/>
  <c r="B258" i="2"/>
  <c r="C258" i="2" l="1"/>
  <c r="E258" i="2"/>
  <c r="H258" i="2" s="1"/>
  <c r="B259" i="2"/>
  <c r="C259" i="2" l="1"/>
  <c r="E259" i="2"/>
  <c r="H259" i="2" s="1"/>
  <c r="B260" i="2"/>
  <c r="C260" i="2" l="1"/>
  <c r="E260" i="2"/>
  <c r="H260" i="2" s="1"/>
  <c r="B261" i="2"/>
  <c r="C261" i="2" l="1"/>
  <c r="E261" i="2"/>
  <c r="H261" i="2" s="1"/>
  <c r="B262" i="2"/>
  <c r="C262" i="2" l="1"/>
  <c r="E262" i="2"/>
  <c r="H262" i="2" s="1"/>
  <c r="B263" i="2"/>
  <c r="C263" i="2" l="1"/>
  <c r="E263" i="2"/>
  <c r="H263" i="2" s="1"/>
  <c r="B264" i="2"/>
  <c r="C264" i="2" l="1"/>
  <c r="E264" i="2"/>
  <c r="H264" i="2" s="1"/>
  <c r="B265" i="2"/>
  <c r="C265" i="2" l="1"/>
  <c r="E265" i="2"/>
  <c r="H265" i="2" s="1"/>
  <c r="B266" i="2"/>
  <c r="C266" i="2" l="1"/>
  <c r="E266" i="2"/>
  <c r="H266" i="2" s="1"/>
  <c r="B267" i="2"/>
  <c r="C267" i="2" l="1"/>
  <c r="E267" i="2"/>
  <c r="H267" i="2" s="1"/>
  <c r="B268" i="2"/>
  <c r="C268" i="2" l="1"/>
  <c r="E268" i="2"/>
  <c r="H268" i="2" s="1"/>
  <c r="B269" i="2"/>
  <c r="C269" i="2" l="1"/>
  <c r="E269" i="2"/>
  <c r="H269" i="2" s="1"/>
  <c r="B270" i="2"/>
  <c r="C270" i="2" l="1"/>
  <c r="E270" i="2"/>
  <c r="H270" i="2" s="1"/>
  <c r="B271" i="2"/>
  <c r="C271" i="2" l="1"/>
  <c r="E271" i="2"/>
  <c r="H271" i="2" s="1"/>
  <c r="B272" i="2"/>
  <c r="C272" i="2" l="1"/>
  <c r="E272" i="2"/>
  <c r="H272" i="2" s="1"/>
  <c r="B273" i="2"/>
  <c r="C273" i="2" l="1"/>
  <c r="E273" i="2"/>
  <c r="H273" i="2" s="1"/>
  <c r="B274" i="2"/>
  <c r="C274" i="2" l="1"/>
  <c r="E274" i="2"/>
  <c r="H274" i="2" s="1"/>
  <c r="B275" i="2"/>
  <c r="C275" i="2" l="1"/>
  <c r="E275" i="2"/>
  <c r="H275" i="2" s="1"/>
  <c r="B276" i="2"/>
  <c r="C276" i="2" l="1"/>
  <c r="E276" i="2"/>
  <c r="H276" i="2" s="1"/>
  <c r="B277" i="2"/>
  <c r="C277" i="2" l="1"/>
  <c r="E277" i="2"/>
  <c r="H277" i="2" s="1"/>
  <c r="B278" i="2"/>
  <c r="C278" i="2" l="1"/>
  <c r="E278" i="2"/>
  <c r="H278" i="2" s="1"/>
  <c r="B279" i="2"/>
  <c r="C279" i="2" l="1"/>
  <c r="E279" i="2"/>
  <c r="H279" i="2" s="1"/>
  <c r="B280" i="2"/>
  <c r="C280" i="2" l="1"/>
  <c r="E280" i="2"/>
  <c r="H280" i="2" s="1"/>
  <c r="B281" i="2"/>
  <c r="C281" i="2" l="1"/>
  <c r="E281" i="2"/>
  <c r="H281" i="2" s="1"/>
  <c r="B282" i="2"/>
  <c r="C282" i="2" l="1"/>
  <c r="E282" i="2"/>
  <c r="H282" i="2" s="1"/>
  <c r="B283" i="2"/>
  <c r="C283" i="2" l="1"/>
  <c r="E283" i="2"/>
  <c r="H283" i="2" s="1"/>
  <c r="B284" i="2"/>
  <c r="C284" i="2" l="1"/>
  <c r="E284" i="2"/>
  <c r="H284" i="2" s="1"/>
  <c r="B285" i="2"/>
  <c r="C285" i="2" l="1"/>
  <c r="E285" i="2"/>
  <c r="H285" i="2" s="1"/>
  <c r="B286" i="2"/>
  <c r="C286" i="2" l="1"/>
  <c r="E286" i="2"/>
  <c r="H286" i="2" s="1"/>
  <c r="B287" i="2"/>
  <c r="C287" i="2" l="1"/>
  <c r="E287" i="2"/>
  <c r="H287" i="2" s="1"/>
  <c r="B288" i="2"/>
  <c r="C288" i="2" l="1"/>
  <c r="E288" i="2"/>
  <c r="H288" i="2" s="1"/>
  <c r="B289" i="2"/>
  <c r="C289" i="2" l="1"/>
  <c r="E289" i="2"/>
  <c r="H289" i="2" s="1"/>
  <c r="B290" i="2"/>
  <c r="C290" i="2" l="1"/>
  <c r="E290" i="2"/>
  <c r="H290" i="2" s="1"/>
  <c r="B291" i="2"/>
  <c r="C291" i="2" l="1"/>
  <c r="E291" i="2"/>
  <c r="H291" i="2" s="1"/>
  <c r="B292" i="2"/>
  <c r="C292" i="2" l="1"/>
  <c r="E292" i="2"/>
  <c r="H292" i="2" s="1"/>
  <c r="B293" i="2"/>
  <c r="C293" i="2" l="1"/>
  <c r="E293" i="2"/>
  <c r="H293" i="2" s="1"/>
  <c r="B294" i="2"/>
  <c r="C294" i="2" l="1"/>
  <c r="E294" i="2"/>
  <c r="H294" i="2" s="1"/>
  <c r="B295" i="2"/>
  <c r="C295" i="2" l="1"/>
  <c r="E295" i="2"/>
  <c r="H295" i="2" s="1"/>
  <c r="B296" i="2"/>
  <c r="C296" i="2" l="1"/>
  <c r="E296" i="2"/>
  <c r="H296" i="2" s="1"/>
  <c r="B297" i="2"/>
  <c r="C297" i="2" l="1"/>
  <c r="E297" i="2"/>
  <c r="H297" i="2" s="1"/>
  <c r="B298" i="2"/>
  <c r="C298" i="2" l="1"/>
  <c r="E298" i="2"/>
  <c r="H298" i="2" s="1"/>
  <c r="B299" i="2"/>
  <c r="C299" i="2" l="1"/>
  <c r="E299" i="2"/>
  <c r="H299" i="2" s="1"/>
  <c r="B300" i="2"/>
  <c r="C300" i="2" l="1"/>
  <c r="E300" i="2"/>
  <c r="H300" i="2" s="1"/>
  <c r="B301" i="2"/>
  <c r="C301" i="2" l="1"/>
  <c r="E301" i="2"/>
  <c r="H301" i="2" s="1"/>
  <c r="B302" i="2"/>
  <c r="C302" i="2" l="1"/>
  <c r="E302" i="2"/>
  <c r="H302" i="2" s="1"/>
  <c r="B303" i="2"/>
  <c r="C303" i="2" l="1"/>
  <c r="E303" i="2"/>
  <c r="H303" i="2" s="1"/>
  <c r="B304" i="2"/>
  <c r="C304" i="2" l="1"/>
  <c r="E304" i="2"/>
  <c r="H304" i="2" s="1"/>
  <c r="B305" i="2"/>
  <c r="C305" i="2" l="1"/>
  <c r="E305" i="2"/>
  <c r="H305" i="2" s="1"/>
  <c r="B306" i="2"/>
  <c r="C306" i="2" l="1"/>
  <c r="E306" i="2"/>
  <c r="H306" i="2" s="1"/>
  <c r="B307" i="2"/>
  <c r="C307" i="2" l="1"/>
  <c r="E307" i="2"/>
  <c r="H307" i="2" s="1"/>
  <c r="B308" i="2"/>
  <c r="C308" i="2" l="1"/>
  <c r="E308" i="2"/>
  <c r="H308" i="2" s="1"/>
  <c r="B309" i="2"/>
  <c r="C309" i="2" l="1"/>
  <c r="E309" i="2"/>
  <c r="H309" i="2" s="1"/>
  <c r="B310" i="2"/>
  <c r="C310" i="2" l="1"/>
  <c r="E310" i="2"/>
  <c r="H310" i="2" s="1"/>
  <c r="B311" i="2"/>
  <c r="C311" i="2" l="1"/>
  <c r="E311" i="2"/>
  <c r="H311" i="2" s="1"/>
  <c r="B312" i="2"/>
  <c r="C312" i="2" l="1"/>
  <c r="E312" i="2"/>
  <c r="H312" i="2" s="1"/>
  <c r="B313" i="2"/>
  <c r="C313" i="2" l="1"/>
  <c r="E313" i="2"/>
  <c r="H313" i="2" s="1"/>
  <c r="B314" i="2"/>
  <c r="C314" i="2" l="1"/>
  <c r="E314" i="2"/>
  <c r="H314" i="2" s="1"/>
  <c r="B315" i="2"/>
  <c r="C315" i="2" l="1"/>
  <c r="E315" i="2"/>
  <c r="H315" i="2" s="1"/>
  <c r="B316" i="2"/>
  <c r="C316" i="2" l="1"/>
  <c r="E316" i="2"/>
  <c r="H316" i="2" s="1"/>
  <c r="B317" i="2"/>
  <c r="C317" i="2" l="1"/>
  <c r="E317" i="2"/>
  <c r="H317" i="2" s="1"/>
  <c r="B318" i="2"/>
  <c r="C318" i="2" l="1"/>
  <c r="E318" i="2"/>
  <c r="H318" i="2" s="1"/>
  <c r="B319" i="2"/>
  <c r="C319" i="2" l="1"/>
  <c r="E319" i="2"/>
  <c r="H319" i="2" s="1"/>
  <c r="B320" i="2"/>
  <c r="C320" i="2" l="1"/>
  <c r="E320" i="2"/>
  <c r="H320" i="2" s="1"/>
  <c r="B321" i="2"/>
  <c r="C321" i="2" l="1"/>
  <c r="E321" i="2"/>
  <c r="H321" i="2" s="1"/>
  <c r="B322" i="2"/>
  <c r="C322" i="2" l="1"/>
  <c r="E322" i="2"/>
  <c r="H322" i="2" s="1"/>
  <c r="B323" i="2"/>
  <c r="C323" i="2" l="1"/>
  <c r="E323" i="2"/>
  <c r="H323" i="2" s="1"/>
  <c r="B324" i="2"/>
  <c r="C324" i="2" l="1"/>
  <c r="E324" i="2"/>
  <c r="H324" i="2" s="1"/>
  <c r="B325" i="2"/>
  <c r="C325" i="2" l="1"/>
  <c r="E325" i="2"/>
  <c r="H325" i="2" s="1"/>
  <c r="B326" i="2"/>
  <c r="C326" i="2" l="1"/>
  <c r="E326" i="2"/>
  <c r="H326" i="2" s="1"/>
  <c r="B327" i="2"/>
  <c r="C327" i="2" l="1"/>
  <c r="E327" i="2"/>
  <c r="H327" i="2" s="1"/>
  <c r="B328" i="2"/>
  <c r="C328" i="2" l="1"/>
  <c r="E328" i="2"/>
  <c r="H328" i="2" s="1"/>
  <c r="B329" i="2"/>
  <c r="C329" i="2" l="1"/>
  <c r="E329" i="2"/>
  <c r="H329" i="2" s="1"/>
  <c r="B330" i="2"/>
  <c r="C330" i="2" l="1"/>
  <c r="E330" i="2"/>
  <c r="H330" i="2" s="1"/>
  <c r="B331" i="2"/>
  <c r="C331" i="2" l="1"/>
  <c r="E331" i="2"/>
  <c r="H331" i="2" s="1"/>
  <c r="B332" i="2"/>
  <c r="C332" i="2" l="1"/>
  <c r="E332" i="2"/>
  <c r="H332" i="2" s="1"/>
  <c r="B333" i="2"/>
  <c r="C333" i="2" l="1"/>
  <c r="E333" i="2"/>
  <c r="H333" i="2" s="1"/>
  <c r="B334" i="2"/>
  <c r="C334" i="2" l="1"/>
  <c r="E334" i="2"/>
  <c r="H334" i="2" s="1"/>
  <c r="B335" i="2"/>
  <c r="C335" i="2" l="1"/>
  <c r="E335" i="2"/>
  <c r="H335" i="2" s="1"/>
  <c r="B336" i="2"/>
  <c r="C336" i="2" l="1"/>
  <c r="E336" i="2"/>
  <c r="H336" i="2" s="1"/>
  <c r="B337" i="2"/>
  <c r="C337" i="2" l="1"/>
  <c r="E337" i="2"/>
  <c r="H337" i="2" s="1"/>
  <c r="B338" i="2"/>
  <c r="C338" i="2" l="1"/>
  <c r="E338" i="2"/>
  <c r="H338" i="2" s="1"/>
  <c r="B339" i="2"/>
  <c r="C339" i="2" l="1"/>
  <c r="E339" i="2"/>
  <c r="H339" i="2" s="1"/>
  <c r="B340" i="2"/>
  <c r="C340" i="2" l="1"/>
  <c r="E340" i="2"/>
  <c r="H340" i="2" s="1"/>
  <c r="B341" i="2"/>
  <c r="C341" i="2" l="1"/>
  <c r="E341" i="2"/>
  <c r="H341" i="2" s="1"/>
  <c r="B342" i="2"/>
  <c r="C342" i="2" l="1"/>
  <c r="E342" i="2"/>
  <c r="H342" i="2" s="1"/>
  <c r="B343" i="2"/>
  <c r="C343" i="2" l="1"/>
  <c r="E343" i="2"/>
  <c r="H343" i="2" s="1"/>
  <c r="B344" i="2"/>
  <c r="C344" i="2" l="1"/>
  <c r="E344" i="2"/>
  <c r="H344" i="2" s="1"/>
  <c r="B345" i="2"/>
  <c r="C345" i="2" l="1"/>
  <c r="E345" i="2"/>
  <c r="H345" i="2" s="1"/>
  <c r="B346" i="2"/>
  <c r="C346" i="2" l="1"/>
  <c r="E346" i="2"/>
  <c r="H346" i="2" s="1"/>
  <c r="B347" i="2"/>
  <c r="C347" i="2" l="1"/>
  <c r="E347" i="2"/>
  <c r="H347" i="2" s="1"/>
  <c r="B348" i="2"/>
  <c r="C348" i="2" l="1"/>
  <c r="E348" i="2"/>
  <c r="H348" i="2" s="1"/>
  <c r="B349" i="2"/>
  <c r="C349" i="2" l="1"/>
  <c r="E349" i="2"/>
  <c r="H349" i="2" s="1"/>
  <c r="B350" i="2"/>
  <c r="C350" i="2" l="1"/>
  <c r="E350" i="2"/>
  <c r="H350" i="2" s="1"/>
  <c r="B351" i="2"/>
  <c r="C351" i="2" l="1"/>
  <c r="E351" i="2"/>
  <c r="H351" i="2" s="1"/>
  <c r="B352" i="2"/>
  <c r="C352" i="2" l="1"/>
  <c r="E352" i="2"/>
  <c r="H352" i="2" s="1"/>
  <c r="B353" i="2"/>
  <c r="C353" i="2" l="1"/>
  <c r="E353" i="2"/>
  <c r="H353" i="2" s="1"/>
  <c r="B354" i="2"/>
  <c r="C354" i="2" l="1"/>
  <c r="E354" i="2"/>
  <c r="H354" i="2" s="1"/>
  <c r="B355" i="2"/>
  <c r="C355" i="2" l="1"/>
  <c r="E355" i="2"/>
  <c r="H355" i="2" s="1"/>
  <c r="B356" i="2"/>
  <c r="C356" i="2" l="1"/>
  <c r="E356" i="2"/>
  <c r="H356" i="2" s="1"/>
  <c r="B357" i="2"/>
  <c r="C357" i="2" l="1"/>
  <c r="E357" i="2"/>
  <c r="H357" i="2" s="1"/>
  <c r="B358" i="2"/>
  <c r="C358" i="2" l="1"/>
  <c r="E358" i="2"/>
  <c r="H358" i="2" s="1"/>
  <c r="B359" i="2"/>
  <c r="C359" i="2" l="1"/>
  <c r="E359" i="2"/>
  <c r="H359" i="2" s="1"/>
  <c r="B360" i="2"/>
  <c r="C360" i="2" l="1"/>
  <c r="E360" i="2"/>
  <c r="H360" i="2" s="1"/>
  <c r="B361" i="2"/>
  <c r="C361" i="2" l="1"/>
  <c r="E361" i="2"/>
  <c r="H361" i="2" s="1"/>
  <c r="B362" i="2"/>
  <c r="C362" i="2" l="1"/>
  <c r="E362" i="2"/>
  <c r="H362" i="2" s="1"/>
  <c r="B363" i="2"/>
  <c r="C363" i="2" l="1"/>
  <c r="E363" i="2"/>
  <c r="H363" i="2" s="1"/>
  <c r="B364" i="2"/>
  <c r="C364" i="2" l="1"/>
  <c r="E364" i="2"/>
  <c r="H364" i="2" s="1"/>
  <c r="B365" i="2"/>
  <c r="C365" i="2" l="1"/>
  <c r="E365" i="2"/>
  <c r="H365" i="2" s="1"/>
  <c r="B366" i="2"/>
  <c r="C366" i="2" l="1"/>
  <c r="E366" i="2"/>
  <c r="H366" i="2" s="1"/>
  <c r="B367" i="2"/>
  <c r="C367" i="2" l="1"/>
  <c r="E367" i="2"/>
  <c r="H367" i="2" s="1"/>
  <c r="B368" i="2"/>
  <c r="C368" i="2" l="1"/>
  <c r="E368" i="2"/>
  <c r="H368" i="2" s="1"/>
  <c r="B369" i="2"/>
  <c r="C369" i="2" l="1"/>
  <c r="E369" i="2"/>
  <c r="H369" i="2" s="1"/>
  <c r="B370" i="2"/>
  <c r="C370" i="2" l="1"/>
  <c r="E370" i="2"/>
  <c r="H370" i="2" s="1"/>
  <c r="B371" i="2"/>
  <c r="C371" i="2" l="1"/>
  <c r="E371" i="2"/>
  <c r="H371" i="2" s="1"/>
  <c r="B372" i="2"/>
  <c r="C372" i="2" l="1"/>
  <c r="E372" i="2"/>
  <c r="H372" i="2" s="1"/>
  <c r="B373" i="2"/>
  <c r="C373" i="2" l="1"/>
  <c r="E373" i="2"/>
  <c r="H373" i="2" s="1"/>
  <c r="B374" i="2"/>
  <c r="C374" i="2" l="1"/>
  <c r="E374" i="2"/>
  <c r="H374" i="2" s="1"/>
  <c r="B375" i="2"/>
  <c r="C375" i="2" l="1"/>
  <c r="E375" i="2"/>
  <c r="H375" i="2" s="1"/>
  <c r="B376" i="2"/>
  <c r="C376" i="2" l="1"/>
  <c r="E376" i="2"/>
  <c r="H376" i="2" s="1"/>
  <c r="B377" i="2"/>
  <c r="C377" i="2" l="1"/>
  <c r="E377" i="2"/>
  <c r="H377" i="2" s="1"/>
  <c r="B378" i="2"/>
  <c r="C378" i="2" l="1"/>
  <c r="E378" i="2"/>
  <c r="H378" i="2" s="1"/>
  <c r="B379" i="2"/>
  <c r="C379" i="2" l="1"/>
  <c r="E379" i="2"/>
  <c r="H379" i="2" s="1"/>
  <c r="B380" i="2"/>
  <c r="C380" i="2" l="1"/>
  <c r="E380" i="2"/>
  <c r="H380" i="2" s="1"/>
  <c r="B381" i="2"/>
  <c r="C381" i="2" l="1"/>
  <c r="E381" i="2"/>
  <c r="H381" i="2" s="1"/>
  <c r="B382" i="2"/>
  <c r="C382" i="2" l="1"/>
  <c r="E382" i="2"/>
  <c r="H382" i="2" s="1"/>
  <c r="B383" i="2"/>
  <c r="C383" i="2" l="1"/>
  <c r="E383" i="2"/>
  <c r="H383" i="2" s="1"/>
  <c r="B384" i="2"/>
  <c r="C384" i="2" l="1"/>
  <c r="E384" i="2"/>
  <c r="H384" i="2" s="1"/>
  <c r="B385" i="2"/>
  <c r="C385" i="2" l="1"/>
  <c r="E385" i="2"/>
  <c r="H385" i="2" s="1"/>
  <c r="B386" i="2"/>
  <c r="C386" i="2" l="1"/>
  <c r="E386" i="2"/>
  <c r="H386" i="2" s="1"/>
  <c r="B387" i="2"/>
  <c r="C387" i="2" l="1"/>
  <c r="E387" i="2"/>
  <c r="H387" i="2" s="1"/>
  <c r="B388" i="2"/>
  <c r="C388" i="2" l="1"/>
  <c r="E388" i="2"/>
  <c r="H388" i="2" s="1"/>
  <c r="B389" i="2"/>
  <c r="C389" i="2" l="1"/>
  <c r="E389" i="2"/>
  <c r="H389" i="2" s="1"/>
  <c r="B390" i="2"/>
  <c r="C390" i="2" l="1"/>
  <c r="E390" i="2"/>
  <c r="H390" i="2" s="1"/>
  <c r="B391" i="2"/>
  <c r="C391" i="2" l="1"/>
  <c r="E391" i="2"/>
  <c r="H391" i="2" s="1"/>
  <c r="B392" i="2"/>
  <c r="C392" i="2" l="1"/>
  <c r="E392" i="2"/>
  <c r="H392" i="2" s="1"/>
  <c r="B393" i="2"/>
  <c r="C393" i="2" l="1"/>
  <c r="E393" i="2"/>
  <c r="H393" i="2" s="1"/>
  <c r="B394" i="2"/>
  <c r="C394" i="2" l="1"/>
  <c r="E394" i="2"/>
  <c r="H394" i="2" s="1"/>
  <c r="B395" i="2"/>
  <c r="C395" i="2" l="1"/>
  <c r="E395" i="2"/>
  <c r="H395" i="2" s="1"/>
  <c r="B396" i="2"/>
  <c r="C396" i="2" l="1"/>
  <c r="E396" i="2"/>
  <c r="H396" i="2" s="1"/>
  <c r="B397" i="2"/>
  <c r="C397" i="2" l="1"/>
  <c r="E397" i="2"/>
  <c r="H397" i="2" s="1"/>
  <c r="B398" i="2"/>
  <c r="C398" i="2" l="1"/>
  <c r="E398" i="2"/>
  <c r="H398" i="2" s="1"/>
  <c r="B399" i="2"/>
  <c r="C399" i="2" l="1"/>
  <c r="E399" i="2"/>
  <c r="H399" i="2" s="1"/>
  <c r="B400" i="2"/>
  <c r="C400" i="2" l="1"/>
  <c r="E400" i="2"/>
  <c r="H400" i="2" s="1"/>
  <c r="B401" i="2"/>
  <c r="C401" i="2" l="1"/>
  <c r="E401" i="2"/>
  <c r="H401" i="2" s="1"/>
  <c r="B402" i="2"/>
  <c r="C402" i="2" l="1"/>
  <c r="E402" i="2"/>
  <c r="H402" i="2" s="1"/>
  <c r="B403" i="2"/>
  <c r="C403" i="2" l="1"/>
  <c r="E403" i="2"/>
  <c r="H403" i="2" s="1"/>
  <c r="B404" i="2"/>
  <c r="C404" i="2" l="1"/>
  <c r="E404" i="2"/>
  <c r="H404" i="2" s="1"/>
  <c r="B405" i="2"/>
  <c r="C405" i="2" l="1"/>
  <c r="E405" i="2"/>
  <c r="H405" i="2" s="1"/>
  <c r="B406" i="2"/>
  <c r="C406" i="2" l="1"/>
  <c r="E406" i="2"/>
  <c r="H406" i="2" s="1"/>
  <c r="B407" i="2"/>
  <c r="C407" i="2" l="1"/>
  <c r="E407" i="2"/>
  <c r="H407" i="2" s="1"/>
  <c r="B408" i="2"/>
  <c r="C408" i="2" l="1"/>
  <c r="E408" i="2"/>
  <c r="H408" i="2" s="1"/>
  <c r="B409" i="2"/>
  <c r="C409" i="2" l="1"/>
  <c r="E409" i="2"/>
  <c r="H409" i="2" s="1"/>
  <c r="B410" i="2"/>
  <c r="C410" i="2" l="1"/>
  <c r="E410" i="2"/>
  <c r="H410" i="2" s="1"/>
  <c r="B411" i="2"/>
  <c r="C411" i="2" l="1"/>
  <c r="E411" i="2"/>
  <c r="H411" i="2" s="1"/>
  <c r="B412" i="2"/>
  <c r="C412" i="2" l="1"/>
  <c r="E412" i="2"/>
  <c r="H412" i="2" s="1"/>
  <c r="B413" i="2"/>
  <c r="C413" i="2" l="1"/>
  <c r="E413" i="2"/>
  <c r="H413" i="2" s="1"/>
  <c r="B414" i="2"/>
  <c r="C414" i="2" l="1"/>
  <c r="E414" i="2"/>
  <c r="H414" i="2" s="1"/>
  <c r="B415" i="2"/>
  <c r="C415" i="2" l="1"/>
  <c r="E415" i="2"/>
  <c r="H415" i="2" s="1"/>
  <c r="B416" i="2"/>
  <c r="C416" i="2" l="1"/>
  <c r="E416" i="2"/>
  <c r="H416" i="2" s="1"/>
  <c r="B417" i="2"/>
  <c r="C417" i="2" l="1"/>
  <c r="E417" i="2"/>
  <c r="H417" i="2" s="1"/>
  <c r="B418" i="2"/>
  <c r="C418" i="2" l="1"/>
  <c r="E418" i="2"/>
  <c r="H418" i="2" s="1"/>
  <c r="B419" i="2"/>
  <c r="C419" i="2" l="1"/>
  <c r="E419" i="2"/>
  <c r="H419" i="2" s="1"/>
  <c r="B420" i="2"/>
  <c r="C420" i="2" l="1"/>
  <c r="E420" i="2"/>
  <c r="H420" i="2" s="1"/>
  <c r="B421" i="2"/>
  <c r="C421" i="2" l="1"/>
  <c r="E421" i="2"/>
  <c r="H421" i="2" s="1"/>
  <c r="B422" i="2"/>
  <c r="C422" i="2" l="1"/>
  <c r="E422" i="2"/>
  <c r="H422" i="2" s="1"/>
  <c r="B423" i="2"/>
  <c r="C423" i="2" l="1"/>
  <c r="E423" i="2"/>
  <c r="H423" i="2" s="1"/>
  <c r="B424" i="2"/>
  <c r="C424" i="2" l="1"/>
  <c r="E424" i="2"/>
  <c r="H424" i="2" s="1"/>
  <c r="B425" i="2"/>
  <c r="C425" i="2" l="1"/>
  <c r="E425" i="2"/>
  <c r="H425" i="2" s="1"/>
  <c r="B426" i="2"/>
  <c r="C426" i="2" l="1"/>
  <c r="E426" i="2"/>
  <c r="H426" i="2" s="1"/>
  <c r="B427" i="2"/>
  <c r="C427" i="2" l="1"/>
  <c r="E427" i="2"/>
  <c r="H427" i="2" s="1"/>
  <c r="B428" i="2"/>
  <c r="C428" i="2" l="1"/>
  <c r="E428" i="2"/>
  <c r="H428" i="2" s="1"/>
  <c r="B429" i="2"/>
  <c r="C429" i="2" l="1"/>
  <c r="E429" i="2"/>
  <c r="H429" i="2" s="1"/>
  <c r="B430" i="2"/>
  <c r="C430" i="2" l="1"/>
  <c r="E430" i="2"/>
  <c r="H430" i="2" s="1"/>
  <c r="B431" i="2"/>
  <c r="C431" i="2" l="1"/>
  <c r="E431" i="2"/>
  <c r="H431" i="2" s="1"/>
  <c r="B432" i="2"/>
  <c r="C432" i="2" l="1"/>
  <c r="E432" i="2"/>
  <c r="H432" i="2" s="1"/>
  <c r="B433" i="2"/>
  <c r="C433" i="2" l="1"/>
  <c r="E433" i="2"/>
  <c r="H433" i="2" s="1"/>
  <c r="B434" i="2"/>
  <c r="C434" i="2" l="1"/>
  <c r="E434" i="2"/>
  <c r="H434" i="2" s="1"/>
  <c r="B435" i="2"/>
  <c r="C435" i="2" l="1"/>
  <c r="E435" i="2"/>
  <c r="H435" i="2" s="1"/>
  <c r="B436" i="2"/>
  <c r="C436" i="2" l="1"/>
  <c r="E436" i="2"/>
  <c r="H436" i="2" s="1"/>
  <c r="B437" i="2"/>
  <c r="C437" i="2" l="1"/>
  <c r="E437" i="2"/>
  <c r="H437" i="2" s="1"/>
  <c r="B438" i="2"/>
  <c r="C438" i="2" l="1"/>
  <c r="E438" i="2"/>
  <c r="H438" i="2" s="1"/>
  <c r="B439" i="2"/>
  <c r="C439" i="2" l="1"/>
  <c r="E439" i="2"/>
  <c r="H439" i="2" s="1"/>
  <c r="B440" i="2"/>
  <c r="C440" i="2" l="1"/>
  <c r="E440" i="2"/>
  <c r="H440" i="2" s="1"/>
  <c r="B441" i="2"/>
  <c r="C441" i="2" l="1"/>
  <c r="E441" i="2"/>
  <c r="H441" i="2" s="1"/>
  <c r="B442" i="2"/>
  <c r="C442" i="2" l="1"/>
  <c r="E442" i="2"/>
  <c r="H442" i="2" s="1"/>
  <c r="B443" i="2"/>
  <c r="C443" i="2" l="1"/>
  <c r="E443" i="2"/>
  <c r="H443" i="2" s="1"/>
  <c r="B444" i="2"/>
  <c r="C444" i="2" l="1"/>
  <c r="E444" i="2"/>
  <c r="H444" i="2" s="1"/>
  <c r="B445" i="2"/>
  <c r="C445" i="2" l="1"/>
  <c r="E445" i="2"/>
  <c r="H445" i="2" s="1"/>
  <c r="B446" i="2"/>
  <c r="C446" i="2" l="1"/>
  <c r="E446" i="2"/>
  <c r="H446" i="2" s="1"/>
  <c r="B447" i="2"/>
  <c r="C447" i="2" l="1"/>
  <c r="E447" i="2"/>
  <c r="H447" i="2" s="1"/>
  <c r="B448" i="2"/>
  <c r="C448" i="2" l="1"/>
  <c r="E448" i="2"/>
  <c r="H448" i="2" s="1"/>
  <c r="B449" i="2"/>
  <c r="C449" i="2" l="1"/>
  <c r="E449" i="2"/>
  <c r="H44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o.zaiets</author>
  </authors>
  <commentList>
    <comment ref="U14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По маршруту 735</t>
        </r>
      </text>
    </comment>
    <comment ref="T16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192 км * 70 грн = 13440</t>
        </r>
      </text>
    </comment>
    <comment ref="U19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570 км * 60 грн =     34 200 грн</t>
        </r>
      </text>
    </comment>
    <comment ref="U29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475 по маршруту</t>
        </r>
      </text>
    </comment>
    <comment ref="U34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198 км * 80 = 15840</t>
        </r>
      </text>
    </comment>
    <comment ref="U35" authorId="0" shapeId="0" xr:uid="{00000000-0006-0000-0000-000006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198 км * 80 = 15840</t>
        </r>
      </text>
    </comment>
    <comment ref="U36" authorId="0" shapeId="0" xr:uid="{00000000-0006-0000-0000-000007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198 км * 80 = 15840</t>
        </r>
      </text>
    </comment>
    <comment ref="U41" authorId="0" shapeId="0" xr:uid="{00000000-0006-0000-0000-000008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Пробег по маршруту 335 км</t>
        </r>
      </text>
    </comment>
    <comment ref="T52" authorId="0" shapeId="0" xr:uid="{00000000-0006-0000-0000-000009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U103" authorId="0" shapeId="0" xr:uid="{00000000-0006-0000-0000-00000A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16 км заезд на АЗС
225 км по бюджету</t>
        </r>
      </text>
    </comment>
    <comment ref="Z125" authorId="1" shapeId="0" xr:uid="{3C77F729-6F34-40A8-AD55-8C72F40B648F}">
      <text>
        <r>
          <rPr>
            <b/>
            <sz val="9"/>
            <color indexed="81"/>
            <rFont val="Tahoma"/>
            <family val="2"/>
            <charset val="204"/>
          </rPr>
          <t>o.zaiets:</t>
        </r>
        <r>
          <rPr>
            <sz val="9"/>
            <color indexed="81"/>
            <rFont val="Tahoma"/>
            <family val="2"/>
            <charset val="204"/>
          </rPr>
          <t xml:space="preserve">
591 км = 5910
5,5 смен * 1500 = 8250</t>
        </r>
      </text>
    </comment>
  </commentList>
</comments>
</file>

<file path=xl/sharedStrings.xml><?xml version="1.0" encoding="utf-8"?>
<sst xmlns="http://schemas.openxmlformats.org/spreadsheetml/2006/main" count="783" uniqueCount="225">
  <si>
    <t>Расчет планового дохода с рейса</t>
  </si>
  <si>
    <t>Заказчик</t>
  </si>
  <si>
    <t>Статус</t>
  </si>
  <si>
    <t>Форма оплаты</t>
  </si>
  <si>
    <t>Оплата</t>
  </si>
  <si>
    <t>Дата оплаты</t>
  </si>
  <si>
    <t>Месяц</t>
  </si>
  <si>
    <t>Дата начала рейса</t>
  </si>
  <si>
    <t>Дата выгрузки</t>
  </si>
  <si>
    <t>Маршрут</t>
  </si>
  <si>
    <t>Плановое время в дороге, 
сутки</t>
  </si>
  <si>
    <t xml:space="preserve">Плановое время на прохождение граници, 
сутки </t>
  </si>
  <si>
    <t>Плановое время на растаможку / затаможку, сутки</t>
  </si>
  <si>
    <t>Плановое время на погрузку / разгрузку, 
сутки</t>
  </si>
  <si>
    <t>Плановое время простоя, 
сутки</t>
  </si>
  <si>
    <t>Плановое время в рейсе, 
сутки</t>
  </si>
  <si>
    <t>Автомобиль</t>
  </si>
  <si>
    <t>Груз</t>
  </si>
  <si>
    <t>Вес, т</t>
  </si>
  <si>
    <t>Стоимость, 
EUR/т</t>
  </si>
  <si>
    <t>Стоимость, 
грн/т</t>
  </si>
  <si>
    <t>Километраж по Украине, 
км</t>
  </si>
  <si>
    <t>Километраж по Европе,
км</t>
  </si>
  <si>
    <t>Общий километраж, 
км</t>
  </si>
  <si>
    <t>Доход, 
грн/рейс</t>
  </si>
  <si>
    <t>Фактический доход,
грн/км</t>
  </si>
  <si>
    <t>Зарплата водителя, грн</t>
  </si>
  <si>
    <t>СС 1-го рейса, 
грн/рейс</t>
  </si>
  <si>
    <t>Маржинальная прибыль с одного рейса, 
грн/рейс</t>
  </si>
  <si>
    <t>Возможное количество рейсов в месяц</t>
  </si>
  <si>
    <t>Доход в месяц, 
грн</t>
  </si>
  <si>
    <t>Затраты на предполагаемые рейсы за месяц, 
грн</t>
  </si>
  <si>
    <t>Маржинальная  прибыль за месяц,
грн</t>
  </si>
  <si>
    <t>Водитель</t>
  </si>
  <si>
    <t>выполнен</t>
  </si>
  <si>
    <t>Собственный груз</t>
  </si>
  <si>
    <t>Посторонний Груз</t>
  </si>
  <si>
    <t>Комментарии</t>
  </si>
  <si>
    <t>Пробег</t>
  </si>
  <si>
    <t>Расход, л.</t>
  </si>
  <si>
    <t>Начало по GPS</t>
  </si>
  <si>
    <t>Окончание по GPS</t>
  </si>
  <si>
    <t>Расход на л./100 км.</t>
  </si>
  <si>
    <t>ф2</t>
  </si>
  <si>
    <t>Дата</t>
  </si>
  <si>
    <t>Лимита на начало</t>
  </si>
  <si>
    <t>Закупки</t>
  </si>
  <si>
    <t>Возврат Лимита</t>
  </si>
  <si>
    <t>Лимит на конец</t>
  </si>
  <si>
    <t>Остаток (от 200К)</t>
  </si>
  <si>
    <t>ВОГ РЕСУРС ТОВ</t>
  </si>
  <si>
    <t>Согласованный в бюджете декабря 2023 резерв для топлива (покупка ВОГ РЕСУРС ТОВ)</t>
  </si>
  <si>
    <t>МАН 5</t>
  </si>
  <si>
    <t>Голуб Игорь</t>
  </si>
  <si>
    <t>МАН 3</t>
  </si>
  <si>
    <t>ООН</t>
  </si>
  <si>
    <t>Біла Церква - Харків</t>
  </si>
  <si>
    <t>ФОП Солодовник Т.М.</t>
  </si>
  <si>
    <t>Белая Церковь - Глобино</t>
  </si>
  <si>
    <t>ТОВ "ПРОМО ТРАНС"</t>
  </si>
  <si>
    <t>Днепр - Ольшаница</t>
  </si>
  <si>
    <t>gps 61 км не фиксировал,действие РЕБ</t>
  </si>
  <si>
    <t>Полтава - Лубни - Біла Церква</t>
  </si>
  <si>
    <t>ТОВ "Шляхбуд ЗБВ"</t>
  </si>
  <si>
    <t>Полтава - Вешневе</t>
  </si>
  <si>
    <t>Индепт Стил</t>
  </si>
  <si>
    <t>ТОВ "Хоббіт Хаус"</t>
  </si>
  <si>
    <t>Сміла - Бориспіль</t>
  </si>
  <si>
    <t>оплачено 06,.12</t>
  </si>
  <si>
    <t>Біла Церква - Залиман Харьковская обл</t>
  </si>
  <si>
    <t>ТОВ "Об'єднання Дніпроенергобудпром"</t>
  </si>
  <si>
    <t>Власовка - Логвин</t>
  </si>
  <si>
    <t>Белая Церковь - Киев</t>
  </si>
  <si>
    <t>ФОП Вербицька Н.Г.</t>
  </si>
  <si>
    <t>Харков - Бровары</t>
  </si>
  <si>
    <t>оплачено 16.12</t>
  </si>
  <si>
    <t>gps 48 км не фиксировал,действие РЕБ</t>
  </si>
  <si>
    <t>gps 80 км не фиксировал,действие РЕБ</t>
  </si>
  <si>
    <t>оплачено 17.12</t>
  </si>
  <si>
    <t>gps 79 км не фиксировал,действие РЕБ</t>
  </si>
  <si>
    <t>Глобине - Біла Церква</t>
  </si>
  <si>
    <t>Біла Церква - Первомайське</t>
  </si>
  <si>
    <t>gps 34 км не фиксировал,действие РЕБ</t>
  </si>
  <si>
    <t>gps 17 км не фиксировал,действие РЕБ</t>
  </si>
  <si>
    <t>gps 13 км не фиксировал,действие РЕБ, оплачено 27.12</t>
  </si>
  <si>
    <t>gps 36 км не фиксировал,действие РЕБ, оплачено 25.12</t>
  </si>
  <si>
    <t>gps 46 км не фиксировал,действие РЕБ, оплачено 26.12</t>
  </si>
  <si>
    <t>оплачено 27.12</t>
  </si>
  <si>
    <t>Полтава - Белая Церковь</t>
  </si>
  <si>
    <t>АБ Технолоджи</t>
  </si>
  <si>
    <t>Кропивницький - Умань</t>
  </si>
  <si>
    <t>оплачено 30.12</t>
  </si>
  <si>
    <t>gps 20 км не фиксировал,действие РЕБ</t>
  </si>
  <si>
    <t>Перегон</t>
  </si>
  <si>
    <t>Житомир - Біла Церква</t>
  </si>
  <si>
    <t>МАН 4</t>
  </si>
  <si>
    <t>Индеп Транс</t>
  </si>
  <si>
    <t>Белая Церковь - Сумы</t>
  </si>
  <si>
    <r>
      <t xml:space="preserve">Белая Церковь - Сумы </t>
    </r>
    <r>
      <rPr>
        <sz val="10"/>
        <color rgb="FFFF0000"/>
        <rFont val="Arial"/>
        <family val="2"/>
        <charset val="204"/>
      </rPr>
      <t>поломка ТС</t>
    </r>
  </si>
  <si>
    <t>поломка ТС</t>
  </si>
  <si>
    <t>Белая Церковь - Токарі</t>
  </si>
  <si>
    <t>gps 63 км не фиксировал,действие РЕБ</t>
  </si>
  <si>
    <t>Нежин - Глобино</t>
  </si>
  <si>
    <t>Глобино</t>
  </si>
  <si>
    <t>gps 74 км не фиксировал,действие РЕБ</t>
  </si>
  <si>
    <t>Біла Церква - Розважів</t>
  </si>
  <si>
    <t>ІОМ</t>
  </si>
  <si>
    <t>Томченко Олег</t>
  </si>
  <si>
    <t>Дружня - Мала Антонівка</t>
  </si>
  <si>
    <t>Спецагропромпостач</t>
  </si>
  <si>
    <t>на карте Гриценко Сергей</t>
  </si>
  <si>
    <t>gps 29 км не фиксировал,действие РЕБ</t>
  </si>
  <si>
    <t>gps 12 км не фиксировал,действие РЕБ</t>
  </si>
  <si>
    <t>Лубни - Гвоздів</t>
  </si>
  <si>
    <t>gps 217 км не фиксировал,действие РЕБ  оплачено 05.02</t>
  </si>
  <si>
    <t>gps 138 км не фиксировал,действие РЕБ оплачено 05.02</t>
  </si>
  <si>
    <t>оплачено 05.02</t>
  </si>
  <si>
    <t>на карту Гриценко Сергей до10.02</t>
  </si>
  <si>
    <t>Путровка - Глобино</t>
  </si>
  <si>
    <t>Путровка - Белая Церковь</t>
  </si>
  <si>
    <t>Путровка - Ерки</t>
  </si>
  <si>
    <t xml:space="preserve">Путровка </t>
  </si>
  <si>
    <t>Ерки</t>
  </si>
  <si>
    <t>Белая Церковь - Ерки</t>
  </si>
  <si>
    <t>Вільковець - Жажків</t>
  </si>
  <si>
    <t>Побузьке - Біла Церква</t>
  </si>
  <si>
    <t>ФОП Д'яконов А.В.</t>
  </si>
  <si>
    <t xml:space="preserve">на карте Гриценко Сергей </t>
  </si>
  <si>
    <t>на карту Гриценко Сергей до21.02</t>
  </si>
  <si>
    <t>Ракитне - Плесецьке</t>
  </si>
  <si>
    <t>АТГ Груп</t>
  </si>
  <si>
    <t>gps 150 км не фиксировал,действие РЕБ</t>
  </si>
  <si>
    <t>gps 54 км не фиксировал,действие РЕБ</t>
  </si>
  <si>
    <t>gps 8 км не фиксировал,действие РЕБ</t>
  </si>
  <si>
    <t>gps 90 км не фиксировал,действие РЕБ</t>
  </si>
  <si>
    <t>gps 14 км не фиксировал,действие РЕБ</t>
  </si>
  <si>
    <t>Кузьминці - Горенечи - Бишів</t>
  </si>
  <si>
    <t>Кузьминці - П. Борщагівка - Глеваха</t>
  </si>
  <si>
    <t>Кузьминці - Біла Церква</t>
  </si>
  <si>
    <t>gps 7 км не фиксировал,действие РЕБ</t>
  </si>
  <si>
    <t>Лисянка - Рокитне</t>
  </si>
  <si>
    <t>оплата на карту Гриценко Сергей 10.03</t>
  </si>
  <si>
    <t>оплата на карту Гриценко Сергей 14.03</t>
  </si>
  <si>
    <t xml:space="preserve">тячев </t>
  </si>
  <si>
    <t>суми</t>
  </si>
  <si>
    <t>ФОП Реверук А.П.</t>
  </si>
  <si>
    <t>Кузьминці - С. Борщагівка - Бишів</t>
  </si>
  <si>
    <t>Белая Церковь - Печеніги</t>
  </si>
  <si>
    <t>ВООЗ</t>
  </si>
  <si>
    <t>gps 28 км не фиксировал,действие РЕБ</t>
  </si>
  <si>
    <t>gps 22 км не фиксировал,действие РЕБ</t>
  </si>
  <si>
    <t>на карте Гриценко Сергей  14.03</t>
  </si>
  <si>
    <t>Власівка - Тарасівка</t>
  </si>
  <si>
    <t>gps 83 км не фиксировал,действие РЕБ</t>
  </si>
  <si>
    <t>gps 3 км не фиксировал,действие РЕБ</t>
  </si>
  <si>
    <t>Кузьминці - Макарів - Бишів</t>
  </si>
  <si>
    <t xml:space="preserve">оплата на карте Гриценко Сергей </t>
  </si>
  <si>
    <t>Белая Церковь - Солоное</t>
  </si>
  <si>
    <t>Кривий Ріг - Українка</t>
  </si>
  <si>
    <t>gps 62 км не фиксировал,действие РЕБ</t>
  </si>
  <si>
    <t>gps 274 км не фиксировал,действие РЕБ</t>
  </si>
  <si>
    <t>gps 4 км не фиксировал,действие РЕБ</t>
  </si>
  <si>
    <t>Днепр - Гайсин - Жажков</t>
  </si>
  <si>
    <t>ТОВ "Негабаритні перевезення України"</t>
  </si>
  <si>
    <t>ФОП Пилянець С.О.</t>
  </si>
  <si>
    <t xml:space="preserve">при выгрузке у водителя Голуб </t>
  </si>
  <si>
    <t>при выгрузке у водителя Томченко</t>
  </si>
  <si>
    <t>ТО и ремонт</t>
  </si>
  <si>
    <t>Біла Церква</t>
  </si>
  <si>
    <t>ТО</t>
  </si>
  <si>
    <t>Кузьминці - Узин</t>
  </si>
  <si>
    <t>Белая Церковь - Шелудьковка</t>
  </si>
  <si>
    <t>gps 19 км не фиксировал,действие РЕБ</t>
  </si>
  <si>
    <t>Власівка - Фастів</t>
  </si>
  <si>
    <t>gps 30 км не фиксировал,действие РЕБ</t>
  </si>
  <si>
    <t>Ерки - Белая Церковь</t>
  </si>
  <si>
    <t>Кухня Кернел</t>
  </si>
  <si>
    <t>Белая Церковь - Варва</t>
  </si>
  <si>
    <t>Кузьминці - Фурси</t>
  </si>
  <si>
    <t>Біла Церква - Високопілля Херсон обл</t>
  </si>
  <si>
    <t>gps 26 км не фиксировал,действие РЕБ                                                 оплата на карте Гриценко Сергей (5988,00)</t>
  </si>
  <si>
    <t>Поломка ТС</t>
  </si>
  <si>
    <t>Ремонт</t>
  </si>
  <si>
    <t>gps 13 км не фиксировал,действие РЕБ</t>
  </si>
  <si>
    <t>Белая Церковь - Гостомель</t>
  </si>
  <si>
    <t>Белая Церковь - Андріївка</t>
  </si>
  <si>
    <t>Белая Церковь - Барвінкове</t>
  </si>
  <si>
    <t>Барвінкове - Глобине</t>
  </si>
  <si>
    <t>gps 704 км не фиксировал,действие РЕБ</t>
  </si>
  <si>
    <t>Біла Церква - Гурівщина</t>
  </si>
  <si>
    <t>Бишів - Фастів</t>
  </si>
  <si>
    <t>gps 35 км не фиксировал,действие РЕБ оплата на карту Гриценко Сергей 28.05</t>
  </si>
  <si>
    <t>gps 3 км не фиксировал,действие РЕБ / расчет стоимости работы</t>
  </si>
  <si>
    <t>Біла Церква - Любимівка</t>
  </si>
  <si>
    <t>ФОП Сафоник О.В.</t>
  </si>
  <si>
    <t>Днепр - Мироновка</t>
  </si>
  <si>
    <t>Біла Церква - Кременчук</t>
  </si>
  <si>
    <t>у водія Голуб І.Л.</t>
  </si>
  <si>
    <t>Индепт Стил Ніжин</t>
  </si>
  <si>
    <t>Біла Церква - Ніжин</t>
  </si>
  <si>
    <t>Бобровийя - Зазим'є - Васильків</t>
  </si>
  <si>
    <t>Біла Церква - Глобине</t>
  </si>
  <si>
    <t>ТОВ "ТЕХАГРОПЛЮС"</t>
  </si>
  <si>
    <t>у водія Томченко О.М.</t>
  </si>
  <si>
    <t>Глобине</t>
  </si>
  <si>
    <t xml:space="preserve">gps 144 км не фиксировал,действие РЕБ </t>
  </si>
  <si>
    <t xml:space="preserve">gps 172 км не фиксировал,действие РЕБ </t>
  </si>
  <si>
    <t>gps 153 км не фиксировал,действие РЕБ на карті Гриценко Сергей 06.06</t>
  </si>
  <si>
    <t xml:space="preserve">gps 6 км не фиксировал,действие РЕБ </t>
  </si>
  <si>
    <t xml:space="preserve">gps 432 км не фиксировал,действие РЕБ </t>
  </si>
  <si>
    <t>Біла Церква - Кринички</t>
  </si>
  <si>
    <t xml:space="preserve">gps 10 км не фиксировал,действие РЕБ </t>
  </si>
  <si>
    <t xml:space="preserve">gps 15 км не фиксировал,действие РЕБ </t>
  </si>
  <si>
    <t xml:space="preserve">gps 127 км не фиксировал,действие РЕБ </t>
  </si>
  <si>
    <t xml:space="preserve">gps 195 км не фиксировал,действие РЕБ </t>
  </si>
  <si>
    <t>ф2 у водія</t>
  </si>
  <si>
    <t>Индепт Стил МХП Єрки</t>
  </si>
  <si>
    <t>Кузьменці - Васильків</t>
  </si>
  <si>
    <t>Шевченко - Звенігородка</t>
  </si>
  <si>
    <t>Шевченко - Лисянка</t>
  </si>
  <si>
    <t>Червоний Хрест</t>
  </si>
  <si>
    <t>Біла Церква - Рівне</t>
  </si>
  <si>
    <t>ООО "ТРАНС СФ"</t>
  </si>
  <si>
    <t>текущий</t>
  </si>
  <si>
    <t>Хмельницький - Київ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</si>
</sst>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[$-419]mmmm\ yyyy;@"/>
    <numFmt numFmtId="166" formatCode="#,##0_ ;[Red]\-#,##0\ "/>
    <numFmt numFmtId="167" formatCode="dd/mm/yy\ h:mm;@"/>
  </numFmts>
  <fonts count="48" x14ac:knownFonts="1">
    <font>
      <sz val="11"/>
      <color theme="1"/>
      <name val="Calibri"/>
      <family val="2"/>
      <charset val="204"/>
      <scheme val="minor"/>
    </font>
    <font>
      <b/>
      <u/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rgb="FFC00000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0" tint="-0.499984740745262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color rgb="FF002060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0"/>
      <color rgb="FFFF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double">
        <color auto="1"/>
      </right>
      <top/>
      <bottom style="thin">
        <color theme="8" tint="0.3999450666829432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 style="double">
        <color auto="1"/>
      </left>
      <right style="thin">
        <color theme="8" tint="0.39994506668294322"/>
      </right>
      <top style="thin">
        <color theme="8" tint="0.39994506668294322"/>
      </top>
      <bottom/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/>
      <diagonal/>
    </border>
    <border>
      <left style="thin">
        <color theme="8" tint="0.39994506668294322"/>
      </left>
      <right style="thin">
        <color theme="8" tint="0.39994506668294322"/>
      </right>
      <top/>
      <bottom/>
      <diagonal/>
    </border>
    <border>
      <left style="thin">
        <color theme="8" tint="0.39994506668294322"/>
      </left>
      <right style="double">
        <color auto="1"/>
      </right>
      <top/>
      <bottom/>
      <diagonal/>
    </border>
    <border>
      <left style="double">
        <color auto="1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double">
        <color auto="1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double">
        <color auto="1"/>
      </right>
      <top style="thin">
        <color theme="8" tint="0.39994506668294322"/>
      </top>
      <bottom/>
      <diagonal/>
    </border>
  </borders>
  <cellStyleXfs count="1">
    <xf numFmtId="0" fontId="0" fillId="0" borderId="0"/>
  </cellStyleXfs>
  <cellXfs count="47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4" fontId="2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4" fontId="2" fillId="2" borderId="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6" xfId="0" applyFont="1" applyBorder="1"/>
    <xf numFmtId="0" fontId="2" fillId="0" borderId="5" xfId="0" applyFont="1" applyBorder="1"/>
    <xf numFmtId="164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4" fontId="2" fillId="0" borderId="6" xfId="0" applyNumberFormat="1" applyFont="1" applyBorder="1"/>
    <xf numFmtId="164" fontId="2" fillId="3" borderId="6" xfId="0" applyNumberFormat="1" applyFont="1" applyFill="1" applyBorder="1"/>
    <xf numFmtId="4" fontId="0" fillId="0" borderId="0" xfId="0" applyNumberFormat="1"/>
    <xf numFmtId="165" fontId="3" fillId="0" borderId="0" xfId="0" applyNumberFormat="1" applyFont="1"/>
    <xf numFmtId="165" fontId="2" fillId="0" borderId="0" xfId="0" applyNumberFormat="1" applyFont="1"/>
    <xf numFmtId="14" fontId="3" fillId="0" borderId="0" xfId="0" applyNumberFormat="1" applyFont="1"/>
    <xf numFmtId="14" fontId="2" fillId="0" borderId="0" xfId="0" applyNumberFormat="1" applyFont="1"/>
    <xf numFmtId="165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/>
    <xf numFmtId="165" fontId="4" fillId="0" borderId="7" xfId="0" applyNumberFormat="1" applyFont="1" applyBorder="1"/>
    <xf numFmtId="0" fontId="5" fillId="0" borderId="8" xfId="0" applyFont="1" applyBorder="1"/>
    <xf numFmtId="4" fontId="4" fillId="0" borderId="6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7" fillId="0" borderId="0" xfId="0" applyNumberFormat="1" applyFont="1"/>
    <xf numFmtId="4" fontId="7" fillId="0" borderId="0" xfId="0" applyNumberFormat="1" applyFont="1"/>
    <xf numFmtId="0" fontId="7" fillId="0" borderId="9" xfId="0" applyFont="1" applyBorder="1" applyAlignment="1">
      <alignment horizontal="center" vertical="center" wrapText="1"/>
    </xf>
    <xf numFmtId="3" fontId="7" fillId="0" borderId="9" xfId="0" applyNumberFormat="1" applyFont="1" applyBorder="1" applyAlignment="1">
      <alignment horizontal="center" vertical="center" wrapText="1"/>
    </xf>
    <xf numFmtId="4" fontId="0" fillId="0" borderId="9" xfId="0" applyNumberFormat="1" applyBorder="1" applyAlignment="1">
      <alignment horizontal="center" vertical="center" wrapText="1"/>
    </xf>
    <xf numFmtId="4" fontId="7" fillId="0" borderId="9" xfId="0" applyNumberFormat="1" applyFont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3" fontId="7" fillId="0" borderId="10" xfId="0" applyNumberFormat="1" applyFont="1" applyBorder="1"/>
    <xf numFmtId="4" fontId="0" fillId="0" borderId="10" xfId="0" applyNumberFormat="1" applyBorder="1"/>
    <xf numFmtId="4" fontId="7" fillId="0" borderId="10" xfId="0" applyNumberFormat="1" applyFont="1" applyBorder="1"/>
    <xf numFmtId="14" fontId="0" fillId="0" borderId="11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7" fillId="0" borderId="11" xfId="0" applyNumberFormat="1" applyFont="1" applyBorder="1"/>
    <xf numFmtId="4" fontId="0" fillId="0" borderId="11" xfId="0" applyNumberFormat="1" applyBorder="1"/>
    <xf numFmtId="4" fontId="7" fillId="0" borderId="11" xfId="0" applyNumberFormat="1" applyFont="1" applyBorder="1"/>
    <xf numFmtId="3" fontId="0" fillId="0" borderId="11" xfId="0" applyNumberFormat="1" applyBorder="1"/>
    <xf numFmtId="0" fontId="8" fillId="0" borderId="0" xfId="0" applyFont="1" applyAlignment="1">
      <alignment vertical="center" wrapText="1"/>
    </xf>
    <xf numFmtId="3" fontId="7" fillId="4" borderId="11" xfId="0" applyNumberFormat="1" applyFont="1" applyFill="1" applyBorder="1"/>
    <xf numFmtId="14" fontId="0" fillId="0" borderId="9" xfId="0" applyNumberFormat="1" applyBorder="1" applyAlignment="1">
      <alignment horizontal="center"/>
    </xf>
    <xf numFmtId="3" fontId="7" fillId="0" borderId="9" xfId="0" applyNumberFormat="1" applyFont="1" applyBorder="1"/>
    <xf numFmtId="3" fontId="0" fillId="0" borderId="9" xfId="0" applyNumberFormat="1" applyBorder="1" applyAlignment="1">
      <alignment horizontal="center"/>
    </xf>
    <xf numFmtId="4" fontId="0" fillId="0" borderId="9" xfId="0" applyNumberFormat="1" applyBorder="1"/>
    <xf numFmtId="4" fontId="7" fillId="0" borderId="9" xfId="0" applyNumberFormat="1" applyFont="1" applyBorder="1"/>
    <xf numFmtId="0" fontId="8" fillId="0" borderId="0" xfId="0" applyFont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167" fontId="2" fillId="0" borderId="6" xfId="0" applyNumberFormat="1" applyFont="1" applyBorder="1" applyAlignment="1">
      <alignment horizontal="left"/>
    </xf>
    <xf numFmtId="164" fontId="2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2" fillId="0" borderId="7" xfId="0" applyNumberFormat="1" applyFont="1" applyBorder="1" applyAlignment="1">
      <alignment horizontal="center"/>
    </xf>
    <xf numFmtId="4" fontId="2" fillId="0" borderId="7" xfId="0" applyNumberFormat="1" applyFont="1" applyBorder="1"/>
    <xf numFmtId="3" fontId="4" fillId="0" borderId="0" xfId="0" applyNumberFormat="1" applyFont="1" applyAlignment="1">
      <alignment horizontal="center"/>
    </xf>
    <xf numFmtId="166" fontId="4" fillId="0" borderId="0" xfId="0" applyNumberFormat="1" applyFont="1"/>
    <xf numFmtId="167" fontId="4" fillId="0" borderId="0" xfId="0" applyNumberFormat="1" applyFont="1" applyAlignment="1">
      <alignment horizontal="left"/>
    </xf>
    <xf numFmtId="3" fontId="2" fillId="4" borderId="6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center" vertical="center"/>
    </xf>
    <xf numFmtId="165" fontId="2" fillId="3" borderId="6" xfId="0" applyNumberFormat="1" applyFont="1" applyFill="1" applyBorder="1" applyAlignment="1">
      <alignment horizontal="center"/>
    </xf>
    <xf numFmtId="4" fontId="4" fillId="4" borderId="7" xfId="0" applyNumberFormat="1" applyFont="1" applyFill="1" applyBorder="1"/>
    <xf numFmtId="4" fontId="6" fillId="0" borderId="7" xfId="0" applyNumberFormat="1" applyFont="1" applyBorder="1"/>
    <xf numFmtId="3" fontId="6" fillId="0" borderId="0" xfId="0" applyNumberFormat="1" applyFont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165" fontId="2" fillId="0" borderId="14" xfId="0" applyNumberFormat="1" applyFont="1" applyBorder="1" applyAlignment="1">
      <alignment horizontal="center" vertical="center"/>
    </xf>
    <xf numFmtId="167" fontId="2" fillId="0" borderId="14" xfId="0" applyNumberFormat="1" applyFont="1" applyBorder="1" applyAlignment="1">
      <alignment horizontal="left"/>
    </xf>
    <xf numFmtId="165" fontId="4" fillId="0" borderId="15" xfId="0" applyNumberFormat="1" applyFont="1" applyBorder="1"/>
    <xf numFmtId="0" fontId="2" fillId="0" borderId="15" xfId="0" applyFont="1" applyBorder="1"/>
    <xf numFmtId="164" fontId="2" fillId="0" borderId="14" xfId="0" applyNumberFormat="1" applyFont="1" applyBorder="1" applyAlignment="1">
      <alignment horizontal="center"/>
    </xf>
    <xf numFmtId="165" fontId="2" fillId="3" borderId="14" xfId="0" applyNumberFormat="1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3" fontId="2" fillId="0" borderId="14" xfId="0" applyNumberFormat="1" applyFont="1" applyBorder="1" applyAlignment="1">
      <alignment horizontal="center"/>
    </xf>
    <xf numFmtId="3" fontId="2" fillId="0" borderId="15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164" fontId="2" fillId="3" borderId="14" xfId="0" applyNumberFormat="1" applyFont="1" applyFill="1" applyBorder="1"/>
    <xf numFmtId="4" fontId="6" fillId="0" borderId="15" xfId="0" applyNumberFormat="1" applyFont="1" applyBorder="1"/>
    <xf numFmtId="4" fontId="4" fillId="0" borderId="14" xfId="0" applyNumberFormat="1" applyFont="1" applyBorder="1" applyAlignment="1">
      <alignment horizontal="center"/>
    </xf>
    <xf numFmtId="4" fontId="2" fillId="0" borderId="14" xfId="0" applyNumberFormat="1" applyFont="1" applyBorder="1"/>
    <xf numFmtId="0" fontId="5" fillId="0" borderId="16" xfId="0" applyFont="1" applyBorder="1"/>
    <xf numFmtId="167" fontId="2" fillId="0" borderId="7" xfId="0" applyNumberFormat="1" applyFont="1" applyBorder="1" applyAlignment="1">
      <alignment horizontal="left"/>
    </xf>
    <xf numFmtId="165" fontId="2" fillId="3" borderId="7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164" fontId="2" fillId="3" borderId="7" xfId="0" applyNumberFormat="1" applyFont="1" applyFill="1" applyBorder="1"/>
    <xf numFmtId="4" fontId="4" fillId="0" borderId="7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left"/>
    </xf>
    <xf numFmtId="165" fontId="4" fillId="0" borderId="0" xfId="0" applyNumberFormat="1" applyFont="1"/>
    <xf numFmtId="164" fontId="2" fillId="0" borderId="0" xfId="0" applyNumberFormat="1" applyFont="1" applyAlignment="1">
      <alignment horizontal="center"/>
    </xf>
    <xf numFmtId="165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3" fontId="2" fillId="0" borderId="0" xfId="0" applyNumberFormat="1" applyFont="1" applyAlignment="1">
      <alignment horizontal="center"/>
    </xf>
    <xf numFmtId="164" fontId="2" fillId="3" borderId="0" xfId="0" applyNumberFormat="1" applyFont="1" applyFill="1"/>
    <xf numFmtId="4" fontId="6" fillId="0" borderId="0" xfId="0" applyNumberFormat="1" applyFont="1"/>
    <xf numFmtId="4" fontId="4" fillId="0" borderId="0" xfId="0" applyNumberFormat="1" applyFont="1" applyAlignment="1">
      <alignment horizontal="center"/>
    </xf>
    <xf numFmtId="0" fontId="5" fillId="0" borderId="0" xfId="0" applyFont="1"/>
    <xf numFmtId="3" fontId="2" fillId="4" borderId="0" xfId="0" applyNumberFormat="1" applyFont="1" applyFill="1" applyAlignment="1">
      <alignment horizontal="center"/>
    </xf>
    <xf numFmtId="4" fontId="4" fillId="4" borderId="0" xfId="0" applyNumberFormat="1" applyFont="1" applyFill="1"/>
    <xf numFmtId="0" fontId="12" fillId="0" borderId="5" xfId="0" applyFont="1" applyBorder="1"/>
    <xf numFmtId="0" fontId="12" fillId="0" borderId="6" xfId="0" applyFont="1" applyBorder="1"/>
    <xf numFmtId="0" fontId="12" fillId="0" borderId="6" xfId="0" applyFont="1" applyBorder="1" applyAlignment="1">
      <alignment horizontal="center" vertical="center"/>
    </xf>
    <xf numFmtId="165" fontId="13" fillId="0" borderId="6" xfId="0" applyNumberFormat="1" applyFont="1" applyBorder="1"/>
    <xf numFmtId="14" fontId="12" fillId="0" borderId="6" xfId="0" applyNumberFormat="1" applyFont="1" applyBorder="1"/>
    <xf numFmtId="164" fontId="12" fillId="0" borderId="6" xfId="0" applyNumberFormat="1" applyFont="1" applyBorder="1" applyAlignment="1">
      <alignment horizontal="center"/>
    </xf>
    <xf numFmtId="165" fontId="12" fillId="0" borderId="6" xfId="0" applyNumberFormat="1" applyFont="1" applyBorder="1" applyAlignment="1">
      <alignment horizontal="center"/>
    </xf>
    <xf numFmtId="0" fontId="12" fillId="0" borderId="6" xfId="0" applyNumberFormat="1" applyFont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3" fontId="12" fillId="0" borderId="6" xfId="0" applyNumberFormat="1" applyFont="1" applyBorder="1" applyAlignment="1">
      <alignment horizontal="center"/>
    </xf>
    <xf numFmtId="164" fontId="12" fillId="3" borderId="6" xfId="0" applyNumberFormat="1" applyFont="1" applyFill="1" applyBorder="1"/>
    <xf numFmtId="4" fontId="12" fillId="0" borderId="6" xfId="0" applyNumberFormat="1" applyFont="1" applyFill="1" applyBorder="1"/>
    <xf numFmtId="3" fontId="12" fillId="3" borderId="6" xfId="0" applyNumberFormat="1" applyFont="1" applyFill="1" applyBorder="1" applyAlignment="1">
      <alignment horizontal="center"/>
    </xf>
    <xf numFmtId="4" fontId="12" fillId="0" borderId="6" xfId="0" applyNumberFormat="1" applyFont="1" applyBorder="1" applyAlignment="1">
      <alignment horizontal="center"/>
    </xf>
    <xf numFmtId="166" fontId="12" fillId="0" borderId="6" xfId="0" applyNumberFormat="1" applyFont="1" applyBorder="1"/>
    <xf numFmtId="0" fontId="12" fillId="0" borderId="6" xfId="0" applyNumberFormat="1" applyFont="1" applyBorder="1"/>
    <xf numFmtId="4" fontId="12" fillId="0" borderId="6" xfId="0" applyNumberFormat="1" applyFont="1" applyBorder="1"/>
    <xf numFmtId="0" fontId="14" fillId="0" borderId="18" xfId="0" applyFont="1" applyBorder="1"/>
    <xf numFmtId="0" fontId="12" fillId="0" borderId="13" xfId="0" applyFont="1" applyBorder="1"/>
    <xf numFmtId="0" fontId="12" fillId="0" borderId="14" xfId="0" applyFont="1" applyBorder="1"/>
    <xf numFmtId="0" fontId="12" fillId="0" borderId="14" xfId="0" applyFont="1" applyBorder="1" applyAlignment="1">
      <alignment horizontal="center" vertical="center"/>
    </xf>
    <xf numFmtId="165" fontId="13" fillId="0" borderId="14" xfId="0" applyNumberFormat="1" applyFont="1" applyBorder="1"/>
    <xf numFmtId="14" fontId="12" fillId="0" borderId="14" xfId="0" applyNumberFormat="1" applyFont="1" applyBorder="1"/>
    <xf numFmtId="164" fontId="12" fillId="0" borderId="14" xfId="0" applyNumberFormat="1" applyFont="1" applyBorder="1" applyAlignment="1">
      <alignment horizontal="center"/>
    </xf>
    <xf numFmtId="165" fontId="12" fillId="0" borderId="14" xfId="0" applyNumberFormat="1" applyFont="1" applyBorder="1" applyAlignment="1">
      <alignment horizontal="center"/>
    </xf>
    <xf numFmtId="0" fontId="12" fillId="0" borderId="14" xfId="0" applyNumberFormat="1" applyFont="1" applyBorder="1" applyAlignment="1">
      <alignment horizontal="center"/>
    </xf>
    <xf numFmtId="0" fontId="12" fillId="3" borderId="14" xfId="0" applyFont="1" applyFill="1" applyBorder="1" applyAlignment="1">
      <alignment horizontal="center"/>
    </xf>
    <xf numFmtId="3" fontId="12" fillId="0" borderId="14" xfId="0" applyNumberFormat="1" applyFont="1" applyBorder="1" applyAlignment="1">
      <alignment horizontal="center"/>
    </xf>
    <xf numFmtId="164" fontId="12" fillId="3" borderId="14" xfId="0" applyNumberFormat="1" applyFont="1" applyFill="1" applyBorder="1"/>
    <xf numFmtId="4" fontId="12" fillId="0" borderId="14" xfId="0" applyNumberFormat="1" applyFont="1" applyFill="1" applyBorder="1"/>
    <xf numFmtId="3" fontId="12" fillId="3" borderId="14" xfId="0" applyNumberFormat="1" applyFont="1" applyFill="1" applyBorder="1" applyAlignment="1">
      <alignment horizontal="center"/>
    </xf>
    <xf numFmtId="4" fontId="12" fillId="0" borderId="14" xfId="0" applyNumberFormat="1" applyFont="1" applyBorder="1" applyAlignment="1">
      <alignment horizontal="center"/>
    </xf>
    <xf numFmtId="166" fontId="12" fillId="0" borderId="14" xfId="0" applyNumberFormat="1" applyFont="1" applyBorder="1"/>
    <xf numFmtId="0" fontId="12" fillId="0" borderId="14" xfId="0" applyNumberFormat="1" applyFont="1" applyBorder="1"/>
    <xf numFmtId="4" fontId="12" fillId="0" borderId="14" xfId="0" applyNumberFormat="1" applyFont="1" applyBorder="1"/>
    <xf numFmtId="0" fontId="14" fillId="0" borderId="19" xfId="0" applyFont="1" applyBorder="1"/>
    <xf numFmtId="3" fontId="4" fillId="4" borderId="0" xfId="0" applyNumberFormat="1" applyFont="1" applyFill="1" applyAlignment="1">
      <alignment horizontal="center"/>
    </xf>
    <xf numFmtId="0" fontId="15" fillId="0" borderId="6" xfId="0" applyFont="1" applyBorder="1"/>
    <xf numFmtId="167" fontId="15" fillId="0" borderId="6" xfId="0" applyNumberFormat="1" applyFont="1" applyBorder="1" applyAlignment="1">
      <alignment horizontal="left"/>
    </xf>
    <xf numFmtId="164" fontId="15" fillId="0" borderId="6" xfId="0" applyNumberFormat="1" applyFont="1" applyBorder="1" applyAlignment="1">
      <alignment horizontal="center"/>
    </xf>
    <xf numFmtId="165" fontId="15" fillId="3" borderId="6" xfId="0" applyNumberFormat="1" applyFont="1" applyFill="1" applyBorder="1" applyAlignment="1">
      <alignment horizontal="center"/>
    </xf>
    <xf numFmtId="0" fontId="15" fillId="0" borderId="6" xfId="0" applyNumberFormat="1" applyFont="1" applyBorder="1" applyAlignment="1">
      <alignment horizontal="center"/>
    </xf>
    <xf numFmtId="0" fontId="15" fillId="3" borderId="6" xfId="0" applyFont="1" applyFill="1" applyBorder="1" applyAlignment="1">
      <alignment horizontal="center"/>
    </xf>
    <xf numFmtId="3" fontId="15" fillId="0" borderId="6" xfId="0" applyNumberFormat="1" applyFont="1" applyBorder="1" applyAlignment="1">
      <alignment horizontal="center"/>
    </xf>
    <xf numFmtId="164" fontId="15" fillId="3" borderId="6" xfId="0" applyNumberFormat="1" applyFont="1" applyFill="1" applyBorder="1"/>
    <xf numFmtId="4" fontId="15" fillId="0" borderId="6" xfId="0" applyNumberFormat="1" applyFont="1" applyFill="1" applyBorder="1"/>
    <xf numFmtId="4" fontId="15" fillId="0" borderId="6" xfId="0" applyNumberFormat="1" applyFont="1" applyBorder="1"/>
    <xf numFmtId="3" fontId="15" fillId="3" borderId="6" xfId="0" applyNumberFormat="1" applyFont="1" applyFill="1" applyBorder="1" applyAlignment="1">
      <alignment horizontal="center"/>
    </xf>
    <xf numFmtId="4" fontId="15" fillId="0" borderId="6" xfId="0" applyNumberFormat="1" applyFont="1" applyBorder="1" applyAlignment="1">
      <alignment horizontal="center"/>
    </xf>
    <xf numFmtId="166" fontId="15" fillId="0" borderId="6" xfId="0" applyNumberFormat="1" applyFont="1" applyBorder="1"/>
    <xf numFmtId="0" fontId="15" fillId="0" borderId="6" xfId="0" applyNumberFormat="1" applyFont="1" applyBorder="1"/>
    <xf numFmtId="0" fontId="16" fillId="0" borderId="18" xfId="0" applyFont="1" applyBorder="1"/>
    <xf numFmtId="0" fontId="2" fillId="0" borderId="6" xfId="0" applyFont="1" applyBorder="1" applyAlignment="1">
      <alignment horizontal="center" vertical="center"/>
    </xf>
    <xf numFmtId="165" fontId="4" fillId="0" borderId="6" xfId="0" applyNumberFormat="1" applyFont="1" applyBorder="1"/>
    <xf numFmtId="14" fontId="2" fillId="0" borderId="6" xfId="0" applyNumberFormat="1" applyFont="1" applyBorder="1"/>
    <xf numFmtId="3" fontId="2" fillId="3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166" fontId="2" fillId="0" borderId="6" xfId="0" applyNumberFormat="1" applyFont="1" applyBorder="1"/>
    <xf numFmtId="0" fontId="2" fillId="0" borderId="6" xfId="0" applyNumberFormat="1" applyFont="1" applyBorder="1"/>
    <xf numFmtId="0" fontId="5" fillId="0" borderId="18" xfId="0" applyFont="1" applyBorder="1"/>
    <xf numFmtId="165" fontId="2" fillId="0" borderId="6" xfId="0" applyNumberFormat="1" applyFont="1" applyBorder="1" applyAlignment="1">
      <alignment horizontal="center"/>
    </xf>
    <xf numFmtId="0" fontId="2" fillId="0" borderId="6" xfId="0" applyNumberFormat="1" applyFont="1" applyBorder="1" applyAlignment="1">
      <alignment horizontal="center"/>
    </xf>
    <xf numFmtId="4" fontId="2" fillId="0" borderId="6" xfId="0" applyNumberFormat="1" applyFont="1" applyFill="1" applyBorder="1"/>
    <xf numFmtId="0" fontId="2" fillId="0" borderId="14" xfId="0" applyFont="1" applyBorder="1" applyAlignment="1">
      <alignment horizontal="center" vertical="center"/>
    </xf>
    <xf numFmtId="165" fontId="4" fillId="0" borderId="14" xfId="0" applyNumberFormat="1" applyFont="1" applyBorder="1"/>
    <xf numFmtId="14" fontId="2" fillId="0" borderId="14" xfId="0" applyNumberFormat="1" applyFont="1" applyBorder="1"/>
    <xf numFmtId="165" fontId="2" fillId="0" borderId="14" xfId="0" applyNumberFormat="1" applyFont="1" applyBorder="1" applyAlignment="1">
      <alignment horizontal="center"/>
    </xf>
    <xf numFmtId="0" fontId="2" fillId="0" borderId="14" xfId="0" applyNumberFormat="1" applyFont="1" applyBorder="1" applyAlignment="1">
      <alignment horizontal="center"/>
    </xf>
    <xf numFmtId="4" fontId="2" fillId="0" borderId="14" xfId="0" applyNumberFormat="1" applyFont="1" applyFill="1" applyBorder="1"/>
    <xf numFmtId="3" fontId="2" fillId="3" borderId="14" xfId="0" applyNumberFormat="1" applyFont="1" applyFill="1" applyBorder="1" applyAlignment="1">
      <alignment horizontal="center"/>
    </xf>
    <xf numFmtId="4" fontId="2" fillId="0" borderId="14" xfId="0" applyNumberFormat="1" applyFont="1" applyBorder="1" applyAlignment="1">
      <alignment horizontal="center"/>
    </xf>
    <xf numFmtId="166" fontId="2" fillId="0" borderId="14" xfId="0" applyNumberFormat="1" applyFont="1" applyBorder="1"/>
    <xf numFmtId="0" fontId="2" fillId="0" borderId="14" xfId="0" applyNumberFormat="1" applyFont="1" applyBorder="1"/>
    <xf numFmtId="0" fontId="5" fillId="0" borderId="19" xfId="0" applyFont="1" applyBorder="1"/>
    <xf numFmtId="3" fontId="12" fillId="5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12" fillId="6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6" borderId="14" xfId="0" applyNumberFormat="1" applyFont="1" applyFill="1" applyBorder="1" applyAlignment="1">
      <alignment horizontal="center"/>
    </xf>
    <xf numFmtId="3" fontId="2" fillId="5" borderId="14" xfId="0" applyNumberFormat="1" applyFont="1" applyFill="1" applyBorder="1" applyAlignment="1">
      <alignment horizontal="center"/>
    </xf>
    <xf numFmtId="0" fontId="2" fillId="4" borderId="13" xfId="0" applyFont="1" applyFill="1" applyBorder="1"/>
    <xf numFmtId="0" fontId="2" fillId="4" borderId="5" xfId="0" applyFont="1" applyFill="1" applyBorder="1"/>
    <xf numFmtId="0" fontId="2" fillId="4" borderId="17" xfId="0" applyFont="1" applyFill="1" applyBorder="1"/>
    <xf numFmtId="3" fontId="12" fillId="7" borderId="6" xfId="0" applyNumberFormat="1" applyFont="1" applyFill="1" applyBorder="1" applyAlignment="1">
      <alignment horizontal="center"/>
    </xf>
    <xf numFmtId="3" fontId="2" fillId="7" borderId="6" xfId="0" applyNumberFormat="1" applyFont="1" applyFill="1" applyBorder="1" applyAlignment="1">
      <alignment horizontal="center"/>
    </xf>
    <xf numFmtId="0" fontId="17" fillId="0" borderId="14" xfId="0" applyFont="1" applyBorder="1"/>
    <xf numFmtId="0" fontId="17" fillId="0" borderId="14" xfId="0" applyFont="1" applyBorder="1" applyAlignment="1">
      <alignment horizontal="center" vertical="center"/>
    </xf>
    <xf numFmtId="165" fontId="18" fillId="0" borderId="14" xfId="0" applyNumberFormat="1" applyFont="1" applyBorder="1"/>
    <xf numFmtId="164" fontId="17" fillId="0" borderId="14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NumberFormat="1" applyFont="1" applyBorder="1" applyAlignment="1">
      <alignment horizontal="center"/>
    </xf>
    <xf numFmtId="0" fontId="17" fillId="3" borderId="14" xfId="0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164" fontId="17" fillId="3" borderId="14" xfId="0" applyNumberFormat="1" applyFont="1" applyFill="1" applyBorder="1"/>
    <xf numFmtId="4" fontId="17" fillId="0" borderId="14" xfId="0" applyNumberFormat="1" applyFont="1" applyFill="1" applyBorder="1"/>
    <xf numFmtId="4" fontId="17" fillId="0" borderId="14" xfId="0" applyNumberFormat="1" applyFont="1" applyBorder="1" applyAlignment="1">
      <alignment horizontal="center"/>
    </xf>
    <xf numFmtId="166" fontId="17" fillId="0" borderId="14" xfId="0" applyNumberFormat="1" applyFont="1" applyBorder="1"/>
    <xf numFmtId="0" fontId="17" fillId="0" borderId="14" xfId="0" applyNumberFormat="1" applyFont="1" applyBorder="1"/>
    <xf numFmtId="4" fontId="17" fillId="0" borderId="14" xfId="0" applyNumberFormat="1" applyFont="1" applyBorder="1"/>
    <xf numFmtId="0" fontId="19" fillId="0" borderId="19" xfId="0" applyFont="1" applyBorder="1"/>
    <xf numFmtId="0" fontId="2" fillId="0" borderId="5" xfId="0" applyFont="1" applyBorder="1" applyAlignment="1">
      <alignment wrapText="1"/>
    </xf>
    <xf numFmtId="3" fontId="17" fillId="5" borderId="14" xfId="0" applyNumberFormat="1" applyFont="1" applyFill="1" applyBorder="1" applyAlignment="1">
      <alignment horizontal="center"/>
    </xf>
    <xf numFmtId="3" fontId="17" fillId="6" borderId="14" xfId="0" applyNumberFormat="1" applyFont="1" applyFill="1" applyBorder="1" applyAlignment="1">
      <alignment horizontal="center"/>
    </xf>
    <xf numFmtId="0" fontId="20" fillId="0" borderId="13" xfId="0" applyFont="1" applyBorder="1"/>
    <xf numFmtId="0" fontId="20" fillId="0" borderId="14" xfId="0" applyFont="1" applyBorder="1"/>
    <xf numFmtId="0" fontId="20" fillId="0" borderId="14" xfId="0" applyFont="1" applyBorder="1" applyAlignment="1">
      <alignment horizontal="center" vertical="center"/>
    </xf>
    <xf numFmtId="164" fontId="20" fillId="0" borderId="14" xfId="0" applyNumberFormat="1" applyFont="1" applyBorder="1" applyAlignment="1">
      <alignment horizontal="center"/>
    </xf>
    <xf numFmtId="165" fontId="20" fillId="0" borderId="14" xfId="0" applyNumberFormat="1" applyFont="1" applyBorder="1" applyAlignment="1">
      <alignment horizontal="center"/>
    </xf>
    <xf numFmtId="0" fontId="20" fillId="0" borderId="14" xfId="0" applyNumberFormat="1" applyFont="1" applyBorder="1" applyAlignment="1">
      <alignment horizontal="center"/>
    </xf>
    <xf numFmtId="0" fontId="20" fillId="3" borderId="14" xfId="0" applyFont="1" applyFill="1" applyBorder="1" applyAlignment="1">
      <alignment horizontal="center"/>
    </xf>
    <xf numFmtId="3" fontId="20" fillId="0" borderId="14" xfId="0" applyNumberFormat="1" applyFont="1" applyBorder="1" applyAlignment="1">
      <alignment horizontal="center"/>
    </xf>
    <xf numFmtId="164" fontId="20" fillId="3" borderId="14" xfId="0" applyNumberFormat="1" applyFont="1" applyFill="1" applyBorder="1"/>
    <xf numFmtId="4" fontId="20" fillId="0" borderId="14" xfId="0" applyNumberFormat="1" applyFont="1" applyFill="1" applyBorder="1"/>
    <xf numFmtId="4" fontId="20" fillId="0" borderId="14" xfId="0" applyNumberFormat="1" applyFont="1" applyBorder="1" applyAlignment="1">
      <alignment horizontal="center"/>
    </xf>
    <xf numFmtId="166" fontId="20" fillId="0" borderId="14" xfId="0" applyNumberFormat="1" applyFont="1" applyBorder="1"/>
    <xf numFmtId="0" fontId="20" fillId="0" borderId="14" xfId="0" applyNumberFormat="1" applyFont="1" applyBorder="1"/>
    <xf numFmtId="4" fontId="20" fillId="0" borderId="14" xfId="0" applyNumberFormat="1" applyFont="1" applyBorder="1"/>
    <xf numFmtId="0" fontId="21" fillId="0" borderId="19" xfId="0" applyFont="1" applyBorder="1"/>
    <xf numFmtId="3" fontId="20" fillId="5" borderId="14" xfId="0" applyNumberFormat="1" applyFont="1" applyFill="1" applyBorder="1" applyAlignment="1">
      <alignment horizontal="center"/>
    </xf>
    <xf numFmtId="0" fontId="22" fillId="0" borderId="13" xfId="0" applyFont="1" applyBorder="1"/>
    <xf numFmtId="0" fontId="22" fillId="0" borderId="14" xfId="0" applyFont="1" applyBorder="1"/>
    <xf numFmtId="0" fontId="22" fillId="0" borderId="14" xfId="0" applyFont="1" applyBorder="1" applyAlignment="1">
      <alignment horizontal="center" vertical="center"/>
    </xf>
    <xf numFmtId="164" fontId="22" fillId="0" borderId="14" xfId="0" applyNumberFormat="1" applyFont="1" applyBorder="1" applyAlignment="1">
      <alignment horizontal="center"/>
    </xf>
    <xf numFmtId="165" fontId="22" fillId="0" borderId="14" xfId="0" applyNumberFormat="1" applyFont="1" applyBorder="1" applyAlignment="1">
      <alignment horizontal="center"/>
    </xf>
    <xf numFmtId="0" fontId="22" fillId="0" borderId="14" xfId="0" applyNumberFormat="1" applyFont="1" applyBorder="1" applyAlignment="1">
      <alignment horizontal="center"/>
    </xf>
    <xf numFmtId="0" fontId="22" fillId="3" borderId="14" xfId="0" applyFont="1" applyFill="1" applyBorder="1" applyAlignment="1">
      <alignment horizontal="center"/>
    </xf>
    <xf numFmtId="3" fontId="22" fillId="0" borderId="14" xfId="0" applyNumberFormat="1" applyFont="1" applyBorder="1" applyAlignment="1">
      <alignment horizontal="center"/>
    </xf>
    <xf numFmtId="164" fontId="22" fillId="3" borderId="14" xfId="0" applyNumberFormat="1" applyFont="1" applyFill="1" applyBorder="1"/>
    <xf numFmtId="4" fontId="22" fillId="0" borderId="14" xfId="0" applyNumberFormat="1" applyFont="1" applyFill="1" applyBorder="1"/>
    <xf numFmtId="4" fontId="22" fillId="0" borderId="14" xfId="0" applyNumberFormat="1" applyFont="1" applyBorder="1" applyAlignment="1">
      <alignment horizontal="center"/>
    </xf>
    <xf numFmtId="0" fontId="22" fillId="0" borderId="14" xfId="0" applyNumberFormat="1" applyFont="1" applyBorder="1"/>
    <xf numFmtId="4" fontId="22" fillId="0" borderId="14" xfId="0" applyNumberFormat="1" applyFont="1" applyBorder="1"/>
    <xf numFmtId="0" fontId="23" fillId="0" borderId="19" xfId="0" applyFont="1" applyBorder="1"/>
    <xf numFmtId="0" fontId="22" fillId="0" borderId="6" xfId="0" applyFont="1" applyBorder="1"/>
    <xf numFmtId="0" fontId="22" fillId="0" borderId="6" xfId="0" applyFont="1" applyBorder="1" applyAlignment="1">
      <alignment horizontal="center" vertical="center"/>
    </xf>
    <xf numFmtId="164" fontId="22" fillId="0" borderId="6" xfId="0" applyNumberFormat="1" applyFont="1" applyBorder="1" applyAlignment="1">
      <alignment horizontal="center"/>
    </xf>
    <xf numFmtId="165" fontId="22" fillId="0" borderId="6" xfId="0" applyNumberFormat="1" applyFont="1" applyBorder="1" applyAlignment="1">
      <alignment horizontal="center"/>
    </xf>
    <xf numFmtId="0" fontId="22" fillId="0" borderId="6" xfId="0" applyNumberFormat="1" applyFont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3" fontId="22" fillId="0" borderId="6" xfId="0" applyNumberFormat="1" applyFont="1" applyBorder="1" applyAlignment="1">
      <alignment horizontal="center"/>
    </xf>
    <xf numFmtId="164" fontId="22" fillId="3" borderId="6" xfId="0" applyNumberFormat="1" applyFont="1" applyFill="1" applyBorder="1"/>
    <xf numFmtId="4" fontId="22" fillId="0" borderId="6" xfId="0" applyNumberFormat="1" applyFont="1" applyFill="1" applyBorder="1"/>
    <xf numFmtId="4" fontId="22" fillId="0" borderId="6" xfId="0" applyNumberFormat="1" applyFont="1" applyBorder="1" applyAlignment="1">
      <alignment horizontal="center"/>
    </xf>
    <xf numFmtId="166" fontId="22" fillId="0" borderId="6" xfId="0" applyNumberFormat="1" applyFont="1" applyBorder="1"/>
    <xf numFmtId="0" fontId="22" fillId="0" borderId="6" xfId="0" applyNumberFormat="1" applyFont="1" applyBorder="1"/>
    <xf numFmtId="4" fontId="22" fillId="0" borderId="6" xfId="0" applyNumberFormat="1" applyFont="1" applyBorder="1"/>
    <xf numFmtId="0" fontId="23" fillId="0" borderId="18" xfId="0" applyFont="1" applyBorder="1"/>
    <xf numFmtId="166" fontId="22" fillId="0" borderId="14" xfId="0" applyNumberFormat="1" applyFont="1" applyBorder="1"/>
    <xf numFmtId="0" fontId="24" fillId="0" borderId="6" xfId="0" applyFont="1" applyBorder="1"/>
    <xf numFmtId="0" fontId="24" fillId="0" borderId="6" xfId="0" applyFont="1" applyBorder="1" applyAlignment="1">
      <alignment horizontal="center" vertical="center"/>
    </xf>
    <xf numFmtId="14" fontId="24" fillId="0" borderId="6" xfId="0" applyNumberFormat="1" applyFont="1" applyBorder="1" applyAlignment="1">
      <alignment horizontal="left"/>
    </xf>
    <xf numFmtId="164" fontId="24" fillId="0" borderId="6" xfId="0" applyNumberFormat="1" applyFont="1" applyBorder="1" applyAlignment="1">
      <alignment horizontal="center"/>
    </xf>
    <xf numFmtId="165" fontId="24" fillId="0" borderId="6" xfId="0" applyNumberFormat="1" applyFont="1" applyBorder="1" applyAlignment="1">
      <alignment horizontal="center"/>
    </xf>
    <xf numFmtId="0" fontId="24" fillId="0" borderId="6" xfId="0" applyNumberFormat="1" applyFont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3" fontId="24" fillId="0" borderId="6" xfId="0" applyNumberFormat="1" applyFont="1" applyBorder="1" applyAlignment="1">
      <alignment horizontal="center"/>
    </xf>
    <xf numFmtId="164" fontId="24" fillId="3" borderId="6" xfId="0" applyNumberFormat="1" applyFont="1" applyFill="1" applyBorder="1"/>
    <xf numFmtId="4" fontId="24" fillId="0" borderId="6" xfId="0" applyNumberFormat="1" applyFont="1" applyBorder="1"/>
    <xf numFmtId="4" fontId="24" fillId="0" borderId="6" xfId="0" applyNumberFormat="1" applyFont="1" applyBorder="1" applyAlignment="1">
      <alignment horizontal="center"/>
    </xf>
    <xf numFmtId="166" fontId="24" fillId="0" borderId="6" xfId="0" applyNumberFormat="1" applyFont="1" applyBorder="1"/>
    <xf numFmtId="0" fontId="24" fillId="0" borderId="6" xfId="0" applyNumberFormat="1" applyFont="1" applyBorder="1"/>
    <xf numFmtId="0" fontId="25" fillId="0" borderId="18" xfId="0" applyFont="1" applyBorder="1"/>
    <xf numFmtId="0" fontId="24" fillId="0" borderId="14" xfId="0" applyFont="1" applyBorder="1"/>
    <xf numFmtId="0" fontId="24" fillId="0" borderId="14" xfId="0" applyFont="1" applyBorder="1" applyAlignment="1">
      <alignment horizontal="center" vertical="center"/>
    </xf>
    <xf numFmtId="14" fontId="24" fillId="0" borderId="14" xfId="0" applyNumberFormat="1" applyFont="1" applyBorder="1" applyAlignment="1">
      <alignment horizontal="left"/>
    </xf>
    <xf numFmtId="14" fontId="24" fillId="0" borderId="14" xfId="0" applyNumberFormat="1" applyFont="1" applyBorder="1"/>
    <xf numFmtId="164" fontId="24" fillId="0" borderId="14" xfId="0" applyNumberFormat="1" applyFont="1" applyBorder="1" applyAlignment="1">
      <alignment horizontal="center"/>
    </xf>
    <xf numFmtId="165" fontId="24" fillId="0" borderId="14" xfId="0" applyNumberFormat="1" applyFont="1" applyBorder="1" applyAlignment="1">
      <alignment horizontal="center"/>
    </xf>
    <xf numFmtId="0" fontId="24" fillId="0" borderId="14" xfId="0" applyNumberFormat="1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3" fontId="24" fillId="0" borderId="14" xfId="0" applyNumberFormat="1" applyFont="1" applyBorder="1" applyAlignment="1">
      <alignment horizontal="center"/>
    </xf>
    <xf numFmtId="164" fontId="24" fillId="3" borderId="14" xfId="0" applyNumberFormat="1" applyFont="1" applyFill="1" applyBorder="1"/>
    <xf numFmtId="3" fontId="24" fillId="3" borderId="14" xfId="0" applyNumberFormat="1" applyFont="1" applyFill="1" applyBorder="1" applyAlignment="1">
      <alignment horizontal="center"/>
    </xf>
    <xf numFmtId="4" fontId="24" fillId="0" borderId="14" xfId="0" applyNumberFormat="1" applyFont="1" applyBorder="1" applyAlignment="1">
      <alignment horizontal="center"/>
    </xf>
    <xf numFmtId="166" fontId="24" fillId="0" borderId="14" xfId="0" applyNumberFormat="1" applyFont="1" applyBorder="1"/>
    <xf numFmtId="0" fontId="24" fillId="0" borderId="14" xfId="0" applyNumberFormat="1" applyFont="1" applyBorder="1"/>
    <xf numFmtId="4" fontId="24" fillId="0" borderId="14" xfId="0" applyNumberFormat="1" applyFont="1" applyBorder="1"/>
    <xf numFmtId="0" fontId="25" fillId="0" borderId="19" xfId="0" applyFont="1" applyBorder="1"/>
    <xf numFmtId="4" fontId="24" fillId="0" borderId="6" xfId="0" applyNumberFormat="1" applyFont="1" applyFill="1" applyBorder="1"/>
    <xf numFmtId="0" fontId="24" fillId="0" borderId="13" xfId="0" applyFont="1" applyBorder="1"/>
    <xf numFmtId="165" fontId="26" fillId="0" borderId="14" xfId="0" applyNumberFormat="1" applyFont="1" applyBorder="1"/>
    <xf numFmtId="4" fontId="24" fillId="0" borderId="14" xfId="0" applyNumberFormat="1" applyFont="1" applyFill="1" applyBorder="1"/>
    <xf numFmtId="0" fontId="2" fillId="0" borderId="13" xfId="0" applyFont="1" applyBorder="1" applyAlignment="1">
      <alignment wrapText="1"/>
    </xf>
    <xf numFmtId="3" fontId="20" fillId="6" borderId="14" xfId="0" applyNumberFormat="1" applyFont="1" applyFill="1" applyBorder="1" applyAlignment="1">
      <alignment horizontal="center"/>
    </xf>
    <xf numFmtId="3" fontId="22" fillId="6" borderId="14" xfId="0" applyNumberFormat="1" applyFont="1" applyFill="1" applyBorder="1" applyAlignment="1">
      <alignment horizontal="center"/>
    </xf>
    <xf numFmtId="3" fontId="22" fillId="6" borderId="6" xfId="0" applyNumberFormat="1" applyFont="1" applyFill="1" applyBorder="1" applyAlignment="1">
      <alignment horizontal="center"/>
    </xf>
    <xf numFmtId="3" fontId="24" fillId="6" borderId="14" xfId="0" applyNumberFormat="1" applyFont="1" applyFill="1" applyBorder="1" applyAlignment="1">
      <alignment horizontal="center"/>
    </xf>
    <xf numFmtId="3" fontId="24" fillId="6" borderId="6" xfId="0" applyNumberFormat="1" applyFont="1" applyFill="1" applyBorder="1" applyAlignment="1">
      <alignment horizontal="center"/>
    </xf>
    <xf numFmtId="3" fontId="22" fillId="5" borderId="14" xfId="0" applyNumberFormat="1" applyFont="1" applyFill="1" applyBorder="1" applyAlignment="1">
      <alignment horizontal="center"/>
    </xf>
    <xf numFmtId="3" fontId="24" fillId="5" borderId="6" xfId="0" applyNumberFormat="1" applyFont="1" applyFill="1" applyBorder="1" applyAlignment="1">
      <alignment horizontal="center"/>
    </xf>
    <xf numFmtId="3" fontId="24" fillId="5" borderId="14" xfId="0" applyNumberFormat="1" applyFont="1" applyFill="1" applyBorder="1" applyAlignment="1">
      <alignment horizontal="center"/>
    </xf>
    <xf numFmtId="0" fontId="27" fillId="0" borderId="14" xfId="0" applyFont="1" applyBorder="1"/>
    <xf numFmtId="0" fontId="27" fillId="0" borderId="14" xfId="0" applyFont="1" applyBorder="1" applyAlignment="1">
      <alignment horizontal="center" vertical="center"/>
    </xf>
    <xf numFmtId="14" fontId="27" fillId="0" borderId="14" xfId="0" applyNumberFormat="1" applyFont="1" applyBorder="1" applyAlignment="1">
      <alignment horizontal="left"/>
    </xf>
    <xf numFmtId="164" fontId="27" fillId="0" borderId="14" xfId="0" applyNumberFormat="1" applyFont="1" applyBorder="1" applyAlignment="1">
      <alignment horizontal="center"/>
    </xf>
    <xf numFmtId="165" fontId="27" fillId="0" borderId="14" xfId="0" applyNumberFormat="1" applyFont="1" applyBorder="1" applyAlignment="1">
      <alignment horizontal="center"/>
    </xf>
    <xf numFmtId="0" fontId="27" fillId="0" borderId="14" xfId="0" applyNumberFormat="1" applyFont="1" applyBorder="1" applyAlignment="1">
      <alignment horizontal="center"/>
    </xf>
    <xf numFmtId="0" fontId="27" fillId="3" borderId="14" xfId="0" applyFont="1" applyFill="1" applyBorder="1" applyAlignment="1">
      <alignment horizontal="center"/>
    </xf>
    <xf numFmtId="3" fontId="27" fillId="0" borderId="14" xfId="0" applyNumberFormat="1" applyFont="1" applyBorder="1" applyAlignment="1">
      <alignment horizontal="center"/>
    </xf>
    <xf numFmtId="164" fontId="27" fillId="3" borderId="14" xfId="0" applyNumberFormat="1" applyFont="1" applyFill="1" applyBorder="1"/>
    <xf numFmtId="4" fontId="27" fillId="0" borderId="14" xfId="0" applyNumberFormat="1" applyFont="1" applyFill="1" applyBorder="1"/>
    <xf numFmtId="4" fontId="27" fillId="0" borderId="14" xfId="0" applyNumberFormat="1" applyFont="1" applyBorder="1" applyAlignment="1">
      <alignment horizontal="center"/>
    </xf>
    <xf numFmtId="166" fontId="27" fillId="0" borderId="14" xfId="0" applyNumberFormat="1" applyFont="1" applyBorder="1"/>
    <xf numFmtId="0" fontId="27" fillId="0" borderId="14" xfId="0" applyNumberFormat="1" applyFont="1" applyBorder="1"/>
    <xf numFmtId="4" fontId="27" fillId="0" borderId="14" xfId="0" applyNumberFormat="1" applyFont="1" applyBorder="1"/>
    <xf numFmtId="0" fontId="28" fillId="0" borderId="19" xfId="0" applyFont="1" applyBorder="1"/>
    <xf numFmtId="0" fontId="2" fillId="7" borderId="13" xfId="0" applyFont="1" applyFill="1" applyBorder="1"/>
    <xf numFmtId="0" fontId="29" fillId="0" borderId="5" xfId="0" applyFont="1" applyBorder="1"/>
    <xf numFmtId="0" fontId="29" fillId="0" borderId="6" xfId="0" applyFont="1" applyBorder="1"/>
    <xf numFmtId="0" fontId="29" fillId="0" borderId="6" xfId="0" applyFont="1" applyBorder="1" applyAlignment="1">
      <alignment horizontal="center" vertical="center"/>
    </xf>
    <xf numFmtId="164" fontId="29" fillId="0" borderId="6" xfId="0" applyNumberFormat="1" applyFont="1" applyBorder="1" applyAlignment="1">
      <alignment horizontal="center"/>
    </xf>
    <xf numFmtId="165" fontId="29" fillId="0" borderId="6" xfId="0" applyNumberFormat="1" applyFont="1" applyBorder="1" applyAlignment="1">
      <alignment horizontal="center"/>
    </xf>
    <xf numFmtId="0" fontId="29" fillId="0" borderId="6" xfId="0" applyNumberFormat="1" applyFont="1" applyBorder="1" applyAlignment="1">
      <alignment horizontal="center"/>
    </xf>
    <xf numFmtId="0" fontId="29" fillId="3" borderId="6" xfId="0" applyFont="1" applyFill="1" applyBorder="1" applyAlignment="1">
      <alignment horizontal="center"/>
    </xf>
    <xf numFmtId="3" fontId="29" fillId="0" borderId="6" xfId="0" applyNumberFormat="1" applyFont="1" applyBorder="1" applyAlignment="1">
      <alignment horizontal="center"/>
    </xf>
    <xf numFmtId="164" fontId="29" fillId="3" borderId="6" xfId="0" applyNumberFormat="1" applyFont="1" applyFill="1" applyBorder="1"/>
    <xf numFmtId="4" fontId="29" fillId="0" borderId="6" xfId="0" applyNumberFormat="1" applyFont="1" applyFill="1" applyBorder="1"/>
    <xf numFmtId="4" fontId="29" fillId="0" borderId="6" xfId="0" applyNumberFormat="1" applyFont="1" applyBorder="1"/>
    <xf numFmtId="4" fontId="29" fillId="0" borderId="6" xfId="0" applyNumberFormat="1" applyFont="1" applyBorder="1" applyAlignment="1">
      <alignment horizontal="center"/>
    </xf>
    <xf numFmtId="166" fontId="29" fillId="0" borderId="6" xfId="0" applyNumberFormat="1" applyFont="1" applyBorder="1"/>
    <xf numFmtId="0" fontId="29" fillId="0" borderId="6" xfId="0" applyNumberFormat="1" applyFont="1" applyBorder="1"/>
    <xf numFmtId="0" fontId="30" fillId="0" borderId="18" xfId="0" applyFont="1" applyBorder="1"/>
    <xf numFmtId="0" fontId="29" fillId="0" borderId="13" xfId="0" applyFont="1" applyBorder="1"/>
    <xf numFmtId="0" fontId="29" fillId="0" borderId="14" xfId="0" applyFont="1" applyBorder="1"/>
    <xf numFmtId="0" fontId="29" fillId="0" borderId="14" xfId="0" applyFont="1" applyBorder="1" applyAlignment="1">
      <alignment horizontal="center" vertical="center"/>
    </xf>
    <xf numFmtId="164" fontId="29" fillId="0" borderId="14" xfId="0" applyNumberFormat="1" applyFont="1" applyBorder="1" applyAlignment="1">
      <alignment horizontal="center"/>
    </xf>
    <xf numFmtId="165" fontId="29" fillId="0" borderId="14" xfId="0" applyNumberFormat="1" applyFont="1" applyBorder="1" applyAlignment="1">
      <alignment horizontal="center"/>
    </xf>
    <xf numFmtId="0" fontId="29" fillId="0" borderId="14" xfId="0" applyNumberFormat="1" applyFont="1" applyBorder="1" applyAlignment="1">
      <alignment horizontal="center"/>
    </xf>
    <xf numFmtId="0" fontId="29" fillId="3" borderId="14" xfId="0" applyFont="1" applyFill="1" applyBorder="1" applyAlignment="1">
      <alignment horizontal="center"/>
    </xf>
    <xf numFmtId="3" fontId="29" fillId="0" borderId="14" xfId="0" applyNumberFormat="1" applyFont="1" applyBorder="1" applyAlignment="1">
      <alignment horizontal="center"/>
    </xf>
    <xf numFmtId="164" fontId="29" fillId="3" borderId="14" xfId="0" applyNumberFormat="1" applyFont="1" applyFill="1" applyBorder="1"/>
    <xf numFmtId="4" fontId="29" fillId="0" borderId="14" xfId="0" applyNumberFormat="1" applyFont="1" applyFill="1" applyBorder="1"/>
    <xf numFmtId="4" fontId="29" fillId="0" borderId="14" xfId="0" applyNumberFormat="1" applyFont="1" applyBorder="1" applyAlignment="1">
      <alignment horizontal="center"/>
    </xf>
    <xf numFmtId="166" fontId="29" fillId="0" borderId="14" xfId="0" applyNumberFormat="1" applyFont="1" applyBorder="1"/>
    <xf numFmtId="0" fontId="29" fillId="0" borderId="14" xfId="0" applyNumberFormat="1" applyFont="1" applyBorder="1"/>
    <xf numFmtId="4" fontId="29" fillId="0" borderId="14" xfId="0" applyNumberFormat="1" applyFont="1" applyBorder="1"/>
    <xf numFmtId="0" fontId="30" fillId="0" borderId="19" xfId="0" applyFont="1" applyBorder="1"/>
    <xf numFmtId="0" fontId="31" fillId="0" borderId="13" xfId="0" applyFont="1" applyBorder="1"/>
    <xf numFmtId="0" fontId="31" fillId="0" borderId="14" xfId="0" applyFont="1" applyBorder="1"/>
    <xf numFmtId="0" fontId="31" fillId="0" borderId="14" xfId="0" applyFont="1" applyBorder="1" applyAlignment="1">
      <alignment horizontal="center" vertical="center"/>
    </xf>
    <xf numFmtId="164" fontId="31" fillId="0" borderId="14" xfId="0" applyNumberFormat="1" applyFont="1" applyBorder="1" applyAlignment="1">
      <alignment horizontal="center"/>
    </xf>
    <xf numFmtId="165" fontId="31" fillId="0" borderId="14" xfId="0" applyNumberFormat="1" applyFont="1" applyBorder="1" applyAlignment="1">
      <alignment horizontal="center"/>
    </xf>
    <xf numFmtId="0" fontId="31" fillId="0" borderId="14" xfId="0" applyNumberFormat="1" applyFont="1" applyBorder="1" applyAlignment="1">
      <alignment horizontal="center"/>
    </xf>
    <xf numFmtId="0" fontId="31" fillId="3" borderId="14" xfId="0" applyFont="1" applyFill="1" applyBorder="1" applyAlignment="1">
      <alignment horizontal="center"/>
    </xf>
    <xf numFmtId="3" fontId="31" fillId="0" borderId="14" xfId="0" applyNumberFormat="1" applyFont="1" applyBorder="1" applyAlignment="1">
      <alignment horizontal="center"/>
    </xf>
    <xf numFmtId="164" fontId="31" fillId="3" borderId="14" xfId="0" applyNumberFormat="1" applyFont="1" applyFill="1" applyBorder="1"/>
    <xf numFmtId="4" fontId="31" fillId="0" borderId="14" xfId="0" applyNumberFormat="1" applyFont="1" applyFill="1" applyBorder="1"/>
    <xf numFmtId="4" fontId="31" fillId="0" borderId="14" xfId="0" applyNumberFormat="1" applyFont="1" applyBorder="1" applyAlignment="1">
      <alignment horizontal="center"/>
    </xf>
    <xf numFmtId="166" fontId="31" fillId="0" borderId="14" xfId="0" applyNumberFormat="1" applyFont="1" applyBorder="1"/>
    <xf numFmtId="0" fontId="31" fillId="0" borderId="14" xfId="0" applyNumberFormat="1" applyFont="1" applyBorder="1"/>
    <xf numFmtId="4" fontId="31" fillId="0" borderId="14" xfId="0" applyNumberFormat="1" applyFont="1" applyBorder="1"/>
    <xf numFmtId="0" fontId="32" fillId="0" borderId="19" xfId="0" applyFont="1" applyBorder="1"/>
    <xf numFmtId="14" fontId="31" fillId="0" borderId="14" xfId="0" applyNumberFormat="1" applyFont="1" applyBorder="1" applyAlignment="1">
      <alignment horizontal="left"/>
    </xf>
    <xf numFmtId="0" fontId="2" fillId="0" borderId="6" xfId="0" applyFont="1" applyBorder="1" applyAlignment="1">
      <alignment wrapText="1"/>
    </xf>
    <xf numFmtId="0" fontId="33" fillId="0" borderId="14" xfId="0" applyFont="1" applyBorder="1"/>
    <xf numFmtId="0" fontId="33" fillId="0" borderId="14" xfId="0" applyFont="1" applyBorder="1" applyAlignment="1">
      <alignment horizontal="center" vertical="center"/>
    </xf>
    <xf numFmtId="14" fontId="33" fillId="0" borderId="14" xfId="0" applyNumberFormat="1" applyFont="1" applyBorder="1"/>
    <xf numFmtId="164" fontId="33" fillId="0" borderId="14" xfId="0" applyNumberFormat="1" applyFont="1" applyBorder="1" applyAlignment="1">
      <alignment horizontal="center"/>
    </xf>
    <xf numFmtId="165" fontId="33" fillId="0" borderId="14" xfId="0" applyNumberFormat="1" applyFont="1" applyBorder="1" applyAlignment="1">
      <alignment horizontal="center"/>
    </xf>
    <xf numFmtId="0" fontId="33" fillId="0" borderId="14" xfId="0" applyNumberFormat="1" applyFont="1" applyBorder="1" applyAlignment="1">
      <alignment horizontal="center"/>
    </xf>
    <xf numFmtId="0" fontId="33" fillId="3" borderId="14" xfId="0" applyFont="1" applyFill="1" applyBorder="1" applyAlignment="1">
      <alignment horizontal="center"/>
    </xf>
    <xf numFmtId="3" fontId="33" fillId="0" borderId="14" xfId="0" applyNumberFormat="1" applyFont="1" applyBorder="1" applyAlignment="1">
      <alignment horizontal="center"/>
    </xf>
    <xf numFmtId="164" fontId="33" fillId="3" borderId="14" xfId="0" applyNumberFormat="1" applyFont="1" applyFill="1" applyBorder="1"/>
    <xf numFmtId="4" fontId="33" fillId="0" borderId="14" xfId="0" applyNumberFormat="1" applyFont="1" applyFill="1" applyBorder="1"/>
    <xf numFmtId="3" fontId="33" fillId="3" borderId="14" xfId="0" applyNumberFormat="1" applyFont="1" applyFill="1" applyBorder="1" applyAlignment="1">
      <alignment horizontal="center"/>
    </xf>
    <xf numFmtId="4" fontId="33" fillId="0" borderId="14" xfId="0" applyNumberFormat="1" applyFont="1" applyBorder="1" applyAlignment="1">
      <alignment horizontal="center"/>
    </xf>
    <xf numFmtId="166" fontId="33" fillId="0" borderId="14" xfId="0" applyNumberFormat="1" applyFont="1" applyBorder="1"/>
    <xf numFmtId="0" fontId="33" fillId="0" borderId="14" xfId="0" applyNumberFormat="1" applyFont="1" applyBorder="1"/>
    <xf numFmtId="4" fontId="33" fillId="0" borderId="14" xfId="0" applyNumberFormat="1" applyFont="1" applyBorder="1"/>
    <xf numFmtId="0" fontId="34" fillId="0" borderId="19" xfId="0" applyFont="1" applyBorder="1"/>
    <xf numFmtId="0" fontId="33" fillId="0" borderId="13" xfId="0" applyFont="1" applyBorder="1"/>
    <xf numFmtId="165" fontId="35" fillId="0" borderId="14" xfId="0" applyNumberFormat="1" applyFont="1" applyBorder="1"/>
    <xf numFmtId="3" fontId="27" fillId="6" borderId="14" xfId="0" applyNumberFormat="1" applyFont="1" applyFill="1" applyBorder="1" applyAlignment="1">
      <alignment horizontal="center"/>
    </xf>
    <xf numFmtId="3" fontId="29" fillId="6" borderId="6" xfId="0" applyNumberFormat="1" applyFont="1" applyFill="1" applyBorder="1" applyAlignment="1">
      <alignment horizontal="center"/>
    </xf>
    <xf numFmtId="3" fontId="29" fillId="6" borderId="14" xfId="0" applyNumberFormat="1" applyFont="1" applyFill="1" applyBorder="1" applyAlignment="1">
      <alignment horizontal="center"/>
    </xf>
    <xf numFmtId="3" fontId="31" fillId="6" borderId="14" xfId="0" applyNumberFormat="1" applyFont="1" applyFill="1" applyBorder="1" applyAlignment="1">
      <alignment horizontal="center"/>
    </xf>
    <xf numFmtId="3" fontId="33" fillId="6" borderId="14" xfId="0" applyNumberFormat="1" applyFont="1" applyFill="1" applyBorder="1" applyAlignment="1">
      <alignment horizontal="center"/>
    </xf>
    <xf numFmtId="3" fontId="27" fillId="5" borderId="14" xfId="0" applyNumberFormat="1" applyFont="1" applyFill="1" applyBorder="1" applyAlignment="1">
      <alignment horizontal="center"/>
    </xf>
    <xf numFmtId="3" fontId="29" fillId="5" borderId="14" xfId="0" applyNumberFormat="1" applyFont="1" applyFill="1" applyBorder="1" applyAlignment="1">
      <alignment horizontal="center"/>
    </xf>
    <xf numFmtId="3" fontId="31" fillId="5" borderId="14" xfId="0" applyNumberFormat="1" applyFont="1" applyFill="1" applyBorder="1" applyAlignment="1">
      <alignment horizontal="center"/>
    </xf>
    <xf numFmtId="3" fontId="33" fillId="5" borderId="14" xfId="0" applyNumberFormat="1" applyFont="1" applyFill="1" applyBorder="1" applyAlignment="1">
      <alignment horizontal="center"/>
    </xf>
    <xf numFmtId="0" fontId="36" fillId="0" borderId="14" xfId="0" applyFont="1" applyBorder="1"/>
    <xf numFmtId="0" fontId="36" fillId="0" borderId="14" xfId="0" applyFont="1" applyBorder="1" applyAlignment="1">
      <alignment horizontal="center" vertical="center"/>
    </xf>
    <xf numFmtId="14" fontId="36" fillId="0" borderId="14" xfId="0" applyNumberFormat="1" applyFont="1" applyBorder="1" applyAlignment="1">
      <alignment horizontal="left"/>
    </xf>
    <xf numFmtId="164" fontId="36" fillId="0" borderId="14" xfId="0" applyNumberFormat="1" applyFont="1" applyBorder="1" applyAlignment="1">
      <alignment horizontal="center"/>
    </xf>
    <xf numFmtId="165" fontId="36" fillId="0" borderId="14" xfId="0" applyNumberFormat="1" applyFont="1" applyBorder="1" applyAlignment="1">
      <alignment horizontal="center"/>
    </xf>
    <xf numFmtId="0" fontId="36" fillId="0" borderId="14" xfId="0" applyNumberFormat="1" applyFont="1" applyBorder="1" applyAlignment="1">
      <alignment horizontal="center"/>
    </xf>
    <xf numFmtId="0" fontId="36" fillId="3" borderId="14" xfId="0" applyFont="1" applyFill="1" applyBorder="1" applyAlignment="1">
      <alignment horizontal="center"/>
    </xf>
    <xf numFmtId="3" fontId="36" fillId="0" borderId="14" xfId="0" applyNumberFormat="1" applyFont="1" applyBorder="1" applyAlignment="1">
      <alignment horizontal="center"/>
    </xf>
    <xf numFmtId="164" fontId="36" fillId="3" borderId="14" xfId="0" applyNumberFormat="1" applyFont="1" applyFill="1" applyBorder="1"/>
    <xf numFmtId="4" fontId="36" fillId="0" borderId="14" xfId="0" applyNumberFormat="1" applyFont="1" applyFill="1" applyBorder="1"/>
    <xf numFmtId="3" fontId="36" fillId="3" borderId="14" xfId="0" applyNumberFormat="1" applyFont="1" applyFill="1" applyBorder="1" applyAlignment="1">
      <alignment horizontal="center"/>
    </xf>
    <xf numFmtId="4" fontId="36" fillId="0" borderId="14" xfId="0" applyNumberFormat="1" applyFont="1" applyBorder="1" applyAlignment="1">
      <alignment horizontal="center"/>
    </xf>
    <xf numFmtId="166" fontId="36" fillId="0" borderId="14" xfId="0" applyNumberFormat="1" applyFont="1" applyBorder="1"/>
    <xf numFmtId="0" fontId="36" fillId="0" borderId="14" xfId="0" applyNumberFormat="1" applyFont="1" applyBorder="1"/>
    <xf numFmtId="4" fontId="36" fillId="0" borderId="14" xfId="0" applyNumberFormat="1" applyFont="1" applyBorder="1"/>
    <xf numFmtId="0" fontId="37" fillId="0" borderId="19" xfId="0" applyFont="1" applyBorder="1"/>
    <xf numFmtId="0" fontId="36" fillId="7" borderId="13" xfId="0" applyFont="1" applyFill="1" applyBorder="1"/>
    <xf numFmtId="0" fontId="38" fillId="0" borderId="14" xfId="0" applyFont="1" applyBorder="1"/>
    <xf numFmtId="0" fontId="38" fillId="0" borderId="14" xfId="0" applyFont="1" applyBorder="1" applyAlignment="1">
      <alignment horizontal="center" vertical="center"/>
    </xf>
    <xf numFmtId="164" fontId="38" fillId="0" borderId="14" xfId="0" applyNumberFormat="1" applyFont="1" applyBorder="1" applyAlignment="1">
      <alignment horizontal="center"/>
    </xf>
    <xf numFmtId="165" fontId="38" fillId="0" borderId="14" xfId="0" applyNumberFormat="1" applyFont="1" applyBorder="1" applyAlignment="1">
      <alignment horizontal="center"/>
    </xf>
    <xf numFmtId="0" fontId="38" fillId="0" borderId="14" xfId="0" applyNumberFormat="1" applyFont="1" applyBorder="1" applyAlignment="1">
      <alignment horizontal="center"/>
    </xf>
    <xf numFmtId="0" fontId="38" fillId="3" borderId="14" xfId="0" applyFont="1" applyFill="1" applyBorder="1" applyAlignment="1">
      <alignment horizontal="center"/>
    </xf>
    <xf numFmtId="3" fontId="38" fillId="0" borderId="14" xfId="0" applyNumberFormat="1" applyFont="1" applyBorder="1" applyAlignment="1">
      <alignment horizontal="center"/>
    </xf>
    <xf numFmtId="164" fontId="38" fillId="3" borderId="14" xfId="0" applyNumberFormat="1" applyFont="1" applyFill="1" applyBorder="1"/>
    <xf numFmtId="4" fontId="38" fillId="0" borderId="14" xfId="0" applyNumberFormat="1" applyFont="1" applyFill="1" applyBorder="1"/>
    <xf numFmtId="3" fontId="38" fillId="3" borderId="14" xfId="0" applyNumberFormat="1" applyFont="1" applyFill="1" applyBorder="1" applyAlignment="1">
      <alignment horizontal="center"/>
    </xf>
    <xf numFmtId="4" fontId="38" fillId="0" borderId="14" xfId="0" applyNumberFormat="1" applyFont="1" applyBorder="1" applyAlignment="1">
      <alignment horizontal="center"/>
    </xf>
    <xf numFmtId="166" fontId="38" fillId="0" borderId="14" xfId="0" applyNumberFormat="1" applyFont="1" applyBorder="1"/>
    <xf numFmtId="0" fontId="38" fillId="0" borderId="14" xfId="0" applyNumberFormat="1" applyFont="1" applyBorder="1"/>
    <xf numFmtId="4" fontId="38" fillId="0" borderId="14" xfId="0" applyNumberFormat="1" applyFont="1" applyBorder="1"/>
    <xf numFmtId="0" fontId="39" fillId="0" borderId="19" xfId="0" applyFont="1" applyBorder="1"/>
    <xf numFmtId="0" fontId="38" fillId="0" borderId="13" xfId="0" applyFont="1" applyBorder="1"/>
    <xf numFmtId="0" fontId="38" fillId="0" borderId="13" xfId="0" applyFont="1" applyBorder="1" applyAlignment="1">
      <alignment wrapText="1"/>
    </xf>
    <xf numFmtId="0" fontId="38" fillId="4" borderId="13" xfId="0" applyFont="1" applyFill="1" applyBorder="1"/>
    <xf numFmtId="0" fontId="40" fillId="0" borderId="14" xfId="0" applyFont="1" applyBorder="1"/>
    <xf numFmtId="0" fontId="40" fillId="0" borderId="14" xfId="0" applyFont="1" applyBorder="1" applyAlignment="1">
      <alignment horizontal="center" vertical="center"/>
    </xf>
    <xf numFmtId="165" fontId="41" fillId="0" borderId="14" xfId="0" applyNumberFormat="1" applyFont="1" applyBorder="1"/>
    <xf numFmtId="164" fontId="40" fillId="0" borderId="14" xfId="0" applyNumberFormat="1" applyFont="1" applyBorder="1" applyAlignment="1">
      <alignment horizontal="center"/>
    </xf>
    <xf numFmtId="165" fontId="40" fillId="0" borderId="14" xfId="0" applyNumberFormat="1" applyFont="1" applyBorder="1" applyAlignment="1">
      <alignment horizontal="center"/>
    </xf>
    <xf numFmtId="0" fontId="40" fillId="0" borderId="14" xfId="0" applyNumberFormat="1" applyFont="1" applyBorder="1" applyAlignment="1">
      <alignment horizontal="center"/>
    </xf>
    <xf numFmtId="0" fontId="40" fillId="3" borderId="14" xfId="0" applyFont="1" applyFill="1" applyBorder="1" applyAlignment="1">
      <alignment horizontal="center"/>
    </xf>
    <xf numFmtId="3" fontId="40" fillId="0" borderId="14" xfId="0" applyNumberFormat="1" applyFont="1" applyBorder="1" applyAlignment="1">
      <alignment horizontal="center"/>
    </xf>
    <xf numFmtId="164" fontId="40" fillId="3" borderId="14" xfId="0" applyNumberFormat="1" applyFont="1" applyFill="1" applyBorder="1"/>
    <xf numFmtId="4" fontId="40" fillId="0" borderId="14" xfId="0" applyNumberFormat="1" applyFont="1" applyFill="1" applyBorder="1"/>
    <xf numFmtId="3" fontId="40" fillId="3" borderId="14" xfId="0" applyNumberFormat="1" applyFont="1" applyFill="1" applyBorder="1" applyAlignment="1">
      <alignment horizontal="center"/>
    </xf>
    <xf numFmtId="4" fontId="40" fillId="0" borderId="14" xfId="0" applyNumberFormat="1" applyFont="1" applyBorder="1" applyAlignment="1">
      <alignment horizontal="center"/>
    </xf>
    <xf numFmtId="166" fontId="40" fillId="0" borderId="14" xfId="0" applyNumberFormat="1" applyFont="1" applyBorder="1"/>
    <xf numFmtId="0" fontId="40" fillId="0" borderId="14" xfId="0" applyNumberFormat="1" applyFont="1" applyBorder="1"/>
    <xf numFmtId="4" fontId="40" fillId="0" borderId="14" xfId="0" applyNumberFormat="1" applyFont="1" applyBorder="1"/>
    <xf numFmtId="0" fontId="42" fillId="0" borderId="19" xfId="0" applyFont="1" applyBorder="1"/>
    <xf numFmtId="0" fontId="43" fillId="0" borderId="14" xfId="0" applyFont="1" applyBorder="1"/>
    <xf numFmtId="0" fontId="43" fillId="0" borderId="14" xfId="0" applyFont="1" applyBorder="1" applyAlignment="1">
      <alignment horizontal="center" vertical="center"/>
    </xf>
    <xf numFmtId="164" fontId="43" fillId="0" borderId="14" xfId="0" applyNumberFormat="1" applyFont="1" applyBorder="1" applyAlignment="1">
      <alignment horizontal="center"/>
    </xf>
    <xf numFmtId="0" fontId="43" fillId="0" borderId="14" xfId="0" applyNumberFormat="1" applyFont="1" applyBorder="1" applyAlignment="1">
      <alignment horizontal="center"/>
    </xf>
    <xf numFmtId="0" fontId="43" fillId="3" borderId="14" xfId="0" applyFont="1" applyFill="1" applyBorder="1" applyAlignment="1">
      <alignment horizontal="center"/>
    </xf>
    <xf numFmtId="3" fontId="43" fillId="0" borderId="14" xfId="0" applyNumberFormat="1" applyFont="1" applyBorder="1" applyAlignment="1">
      <alignment horizontal="center"/>
    </xf>
    <xf numFmtId="164" fontId="43" fillId="3" borderId="14" xfId="0" applyNumberFormat="1" applyFont="1" applyFill="1" applyBorder="1"/>
    <xf numFmtId="4" fontId="43" fillId="0" borderId="14" xfId="0" applyNumberFormat="1" applyFont="1" applyFill="1" applyBorder="1"/>
    <xf numFmtId="3" fontId="43" fillId="3" borderId="14" xfId="0" applyNumberFormat="1" applyFont="1" applyFill="1" applyBorder="1" applyAlignment="1">
      <alignment horizontal="center"/>
    </xf>
    <xf numFmtId="4" fontId="43" fillId="0" borderId="14" xfId="0" applyNumberFormat="1" applyFont="1" applyBorder="1" applyAlignment="1">
      <alignment horizontal="center"/>
    </xf>
    <xf numFmtId="166" fontId="43" fillId="0" borderId="14" xfId="0" applyNumberFormat="1" applyFont="1" applyBorder="1"/>
    <xf numFmtId="0" fontId="43" fillId="0" borderId="14" xfId="0" applyNumberFormat="1" applyFont="1" applyBorder="1"/>
    <xf numFmtId="4" fontId="43" fillId="0" borderId="14" xfId="0" applyNumberFormat="1" applyFont="1" applyBorder="1"/>
    <xf numFmtId="0" fontId="44" fillId="0" borderId="19" xfId="0" applyFont="1" applyBorder="1"/>
    <xf numFmtId="0" fontId="45" fillId="0" borderId="14" xfId="0" applyFont="1" applyBorder="1"/>
    <xf numFmtId="0" fontId="45" fillId="0" borderId="14" xfId="0" applyFont="1" applyBorder="1" applyAlignment="1">
      <alignment horizontal="center" vertical="center"/>
    </xf>
    <xf numFmtId="165" fontId="46" fillId="0" borderId="14" xfId="0" applyNumberFormat="1" applyFont="1" applyBorder="1"/>
    <xf numFmtId="164" fontId="45" fillId="0" borderId="14" xfId="0" applyNumberFormat="1" applyFont="1" applyBorder="1" applyAlignment="1">
      <alignment horizontal="center"/>
    </xf>
    <xf numFmtId="165" fontId="45" fillId="0" borderId="14" xfId="0" applyNumberFormat="1" applyFont="1" applyBorder="1" applyAlignment="1">
      <alignment horizontal="center"/>
    </xf>
    <xf numFmtId="0" fontId="45" fillId="0" borderId="14" xfId="0" applyNumberFormat="1" applyFont="1" applyBorder="1" applyAlignment="1">
      <alignment horizontal="center"/>
    </xf>
    <xf numFmtId="0" fontId="45" fillId="3" borderId="14" xfId="0" applyFont="1" applyFill="1" applyBorder="1" applyAlignment="1">
      <alignment horizontal="center"/>
    </xf>
    <xf numFmtId="3" fontId="45" fillId="0" borderId="14" xfId="0" applyNumberFormat="1" applyFont="1" applyBorder="1" applyAlignment="1">
      <alignment horizontal="center"/>
    </xf>
    <xf numFmtId="164" fontId="45" fillId="3" borderId="14" xfId="0" applyNumberFormat="1" applyFont="1" applyFill="1" applyBorder="1"/>
    <xf numFmtId="4" fontId="45" fillId="0" borderId="14" xfId="0" applyNumberFormat="1" applyFont="1" applyFill="1" applyBorder="1"/>
    <xf numFmtId="3" fontId="45" fillId="3" borderId="14" xfId="0" applyNumberFormat="1" applyFont="1" applyFill="1" applyBorder="1" applyAlignment="1">
      <alignment horizontal="center"/>
    </xf>
    <xf numFmtId="4" fontId="45" fillId="0" borderId="14" xfId="0" applyNumberFormat="1" applyFont="1" applyBorder="1" applyAlignment="1">
      <alignment horizontal="center"/>
    </xf>
    <xf numFmtId="166" fontId="45" fillId="0" borderId="14" xfId="0" applyNumberFormat="1" applyFont="1" applyBorder="1"/>
    <xf numFmtId="0" fontId="45" fillId="0" borderId="14" xfId="0" applyNumberFormat="1" applyFont="1" applyBorder="1"/>
    <xf numFmtId="4" fontId="45" fillId="0" borderId="14" xfId="0" applyNumberFormat="1" applyFont="1" applyBorder="1"/>
    <xf numFmtId="0" fontId="47" fillId="0" borderId="19" xfId="0" applyFont="1" applyBorder="1"/>
    <xf numFmtId="4" fontId="2" fillId="0" borderId="14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12" xfId="0" applyFont="1" applyBorder="1" applyAlignment="1">
      <alignment horizontal="center" vertical="center" wrapText="1"/>
    </xf>
  </cellXfs>
  <cellStyles count="1">
    <cellStyle name="Обычный" xfId="0" builtinId="0"/>
  </cellStyles>
  <dxfs count="39">
    <dxf>
      <font>
        <color theme="0"/>
      </font>
      <fill>
        <patternFill>
          <bgColor rgb="FFFF0000"/>
        </patternFill>
      </fill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 style="thin">
          <color theme="8" tint="0.39994506668294322"/>
        </left>
        <right style="double">
          <color auto="1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#,##0_ ;[Red]\-#,##0\ 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fill>
        <patternFill patternType="solid">
          <fgColor indexed="64"/>
          <bgColor theme="4" tint="0.39997558519241921"/>
        </patternFill>
      </fill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alignment horizontal="center" textRotation="0" indent="0" justifyLastLine="0" shrinkToFit="0" readingOrder="0"/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[$-419]mmmm\ yyyy;@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[$-419]mmmm\ yyyy;@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double">
          <color auto="1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border diagonalUp="0" diagonalDown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</dxf>
    <dxf>
      <border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2242" displayName="Таблица2242" ref="A3:AH151" totalsRowShown="0" headerRowDxfId="38" dataDxfId="36" headerRowBorderDxfId="37" tableBorderDxfId="35">
  <autoFilter ref="A3:AH151" xr:uid="{00000000-0009-0000-0100-000001000000}"/>
  <tableColumns count="34">
    <tableColumn id="1" xr3:uid="{00000000-0010-0000-0000-000001000000}" name="Заказчик" dataDxfId="34"/>
    <tableColumn id="35" xr3:uid="{00000000-0010-0000-0000-000023000000}" name="Статус" dataDxfId="33"/>
    <tableColumn id="27" xr3:uid="{00000000-0010-0000-0000-00001B000000}" name="Форма оплаты" dataDxfId="32"/>
    <tableColumn id="32" xr3:uid="{00000000-0010-0000-0000-000020000000}" name="Оплата" dataDxfId="31"/>
    <tableColumn id="26" xr3:uid="{00000000-0010-0000-0000-00001A000000}" name="Дата оплаты" dataDxfId="30"/>
    <tableColumn id="29" xr3:uid="{00000000-0010-0000-0000-00001D000000}" name="Месяц" dataDxfId="29"/>
    <tableColumn id="31" xr3:uid="{00000000-0010-0000-0000-00001F000000}" name="Дата начала рейса" dataDxfId="28"/>
    <tableColumn id="34" xr3:uid="{00000000-0010-0000-0000-000022000000}" name="Дата выгрузки" dataDxfId="27"/>
    <tableColumn id="33" xr3:uid="{00000000-0010-0000-0000-000021000000}" name="Маршрут" dataDxfId="26"/>
    <tableColumn id="2" xr3:uid="{00000000-0010-0000-0000-000002000000}" name="Плановое время в дороге, _x000a_сутки" dataDxfId="25"/>
    <tableColumn id="3" xr3:uid="{00000000-0010-0000-0000-000003000000}" name="Плановое время на прохождение граници, _x000a_сутки " dataDxfId="24"/>
    <tableColumn id="4" xr3:uid="{00000000-0010-0000-0000-000004000000}" name="Плановое время на растаможку / затаможку, сутки" dataDxfId="23"/>
    <tableColumn id="5" xr3:uid="{00000000-0010-0000-0000-000005000000}" name="Плановое время на погрузку / разгрузку, _x000a_сутки" dataDxfId="22"/>
    <tableColumn id="15" xr3:uid="{00000000-0010-0000-0000-00000F000000}" name="Плановое время простоя, _x000a_сутки" dataDxfId="21"/>
    <tableColumn id="6" xr3:uid="{00000000-0010-0000-0000-000006000000}" name="Плановое время в рейсе, _x000a_сутки" dataDxfId="20">
      <calculatedColumnFormula>ROUNDUP(SUM(Таблица2242[[#This Row],[Плановое время в дороге, 
сутки]:[Плановое время простоя, 
сутки]]),0)</calculatedColumnFormula>
    </tableColumn>
    <tableColumn id="16" xr3:uid="{00000000-0010-0000-0000-000010000000}" name="Автомобиль" dataDxfId="19"/>
    <tableColumn id="7" xr3:uid="{00000000-0010-0000-0000-000007000000}" name="Груз" dataDxfId="18"/>
    <tableColumn id="8" xr3:uid="{00000000-0010-0000-0000-000008000000}" name="Вес, т" dataDxfId="17"/>
    <tableColumn id="25" xr3:uid="{00000000-0010-0000-0000-000019000000}" name="Стоимость, _x000a_EUR/т" dataDxfId="16"/>
    <tableColumn id="9" xr3:uid="{00000000-0010-0000-0000-000009000000}" name="Стоимость, _x000a_грн/т" dataDxfId="15">
      <calculatedColumnFormula>Таблица2242[[#This Row],[Стоимость, 
EUR/т]]*$J$2</calculatedColumnFormula>
    </tableColumn>
    <tableColumn id="11" xr3:uid="{00000000-0010-0000-0000-00000B000000}" name="Километраж по Украине, _x000a_км" dataDxfId="14"/>
    <tableColumn id="12" xr3:uid="{00000000-0010-0000-0000-00000C000000}" name="Километраж по Европе,_x000a_км" dataDxfId="13"/>
    <tableColumn id="13" xr3:uid="{00000000-0010-0000-0000-00000D000000}" name="Общий километраж, _x000a_км" dataDxfId="12">
      <calculatedColumnFormula>SUM(Таблица2242[[#This Row],[Километраж по Украине, 
км]:[Километраж по Европе,
км]])</calculatedColumnFormula>
    </tableColumn>
    <tableColumn id="10" xr3:uid="{00000000-0010-0000-0000-00000A000000}" name="Доход, _x000a_грн/рейс" dataDxfId="11">
      <calculatedColumnFormula>Таблица2242[[#This Row],[Вес, т]]*Таблица2242[[#This Row],[Стоимость, 
грн/т]]</calculatedColumnFormula>
    </tableColumn>
    <tableColumn id="14" xr3:uid="{00000000-0010-0000-0000-00000E000000}" name="Фактический доход,_x000a_грн/км" dataDxfId="10">
      <calculatedColumnFormula>Таблица2242[[#This Row],[Доход, 
грн/рейс]]/Таблица2242[[#This Row],[Общий километраж, 
км]]</calculatedColumnFormula>
    </tableColumn>
    <tableColumn id="23" xr3:uid="{00000000-0010-0000-0000-000017000000}" name="Зарплата водителя, грн" dataDxfId="9"/>
    <tableColumn id="19" xr3:uid="{00000000-0010-0000-0000-000013000000}" name="СС 1-го рейса, _x000a_грн/рейс" dataDxfId="8"/>
    <tableColumn id="24" xr3:uid="{00000000-0010-0000-0000-000018000000}" name="Маржинальная прибыль с одного рейса, _x000a_грн/рейс" dataDxfId="7">
      <calculatedColumnFormula>Таблица2242[[#This Row],[Доход, 
грн/рейс]]-Таблица2242[[#This Row],[СС 1-го рейса, 
грн/рейс]]</calculatedColumnFormula>
    </tableColumn>
    <tableColumn id="17" xr3:uid="{00000000-0010-0000-0000-000011000000}" name="Возможное количество рейсов в месяц" dataDxfId="6">
      <calculatedColumnFormula>ROUNDDOWN(30/Таблица2242[[#This Row],[Плановое время в рейсе, 
сутки]],0)</calculatedColumnFormula>
    </tableColumn>
    <tableColumn id="18" xr3:uid="{00000000-0010-0000-0000-000012000000}" name="Доход в месяц, _x000a_грн" dataDxfId="5">
      <calculatedColumnFormula>Таблица2242[[#This Row],[Доход, 
грн/рейс]]*Таблица2242[[#This Row],[Возможное количество рейсов в месяц]]</calculatedColumnFormula>
    </tableColumn>
    <tableColumn id="20" xr3:uid="{00000000-0010-0000-0000-000014000000}" name="Затраты на предполагаемые рейсы за месяц, _x000a_грн" dataDxfId="4">
      <calculatedColumnFormula>Таблица2242[[#This Row],[Возможное количество рейсов в месяц]]*Таблица2242[[#This Row],[СС 1-го рейса, 
грн/рейс]]</calculatedColumnFormula>
    </tableColumn>
    <tableColumn id="21" xr3:uid="{00000000-0010-0000-0000-000015000000}" name="Маржинальная  прибыль за месяц,_x000a_грн" dataDxfId="3">
      <calculatedColumnFormula>Таблица2242[[#This Row],[Доход в месяц, 
грн]]-Таблица2242[[#This Row],[Затраты на предполагаемые рейсы за месяц, 
грн]]</calculatedColumnFormula>
    </tableColumn>
    <tableColumn id="22" xr3:uid="{00000000-0010-0000-0000-000016000000}" name="Комментарии" dataDxfId="2"/>
    <tableColumn id="28" xr3:uid="{00000000-0010-0000-0000-00001C000000}" name="Водитель" dataDxfId="1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151"/>
  <sheetViews>
    <sheetView tabSelected="1" zoomScaleNormal="100" workbookViewId="0">
      <pane xSplit="7" ySplit="3" topLeftCell="H132" activePane="bottomRight" state="frozen"/>
      <selection pane="topRight" activeCell="H1" sqref="H1"/>
      <selection pane="bottomLeft" activeCell="A4" sqref="A4"/>
      <selection pane="bottomRight" activeCell="G146" sqref="G146"/>
    </sheetView>
  </sheetViews>
  <sheetFormatPr defaultRowHeight="14.4" outlineLevelCol="1" x14ac:dyDescent="0.3"/>
  <cols>
    <col min="1" max="1" width="22.33203125" style="1" customWidth="1"/>
    <col min="2" max="2" width="10.21875" style="1" customWidth="1"/>
    <col min="3" max="3" width="13.6640625" style="11" customWidth="1" outlineLevel="1"/>
    <col min="4" max="5" width="16.6640625" style="1" hidden="1" customWidth="1" outlineLevel="1"/>
    <col min="6" max="6" width="14.109375" style="22" customWidth="1"/>
    <col min="7" max="7" width="16.21875" style="24" customWidth="1"/>
    <col min="8" max="8" width="14.77734375" style="24" customWidth="1"/>
    <col min="9" max="9" width="34.6640625" style="1" customWidth="1"/>
    <col min="10" max="10" width="10.21875" style="1" hidden="1" customWidth="1" outlineLevel="1"/>
    <col min="11" max="11" width="14.21875" style="1" hidden="1" customWidth="1" outlineLevel="1"/>
    <col min="12" max="12" width="12.6640625" style="1" hidden="1" customWidth="1" outlineLevel="1"/>
    <col min="13" max="14" width="11.109375" style="1" hidden="1" customWidth="1" outlineLevel="1"/>
    <col min="15" max="15" width="4" style="1" hidden="1" customWidth="1" outlineLevel="1"/>
    <col min="16" max="16" width="15.88671875" style="1" customWidth="1" collapsed="1"/>
    <col min="17" max="17" width="17.109375" style="1" customWidth="1"/>
    <col min="18" max="18" width="11.44140625" style="61" customWidth="1"/>
    <col min="19" max="19" width="11.88671875" style="1" hidden="1" customWidth="1" outlineLevel="1"/>
    <col min="20" max="20" width="12.33203125" style="5" customWidth="1" collapsed="1"/>
    <col min="21" max="21" width="13.33203125" customWidth="1" outlineLevel="1"/>
    <col min="22" max="22" width="12.109375" style="1" customWidth="1" outlineLevel="1"/>
    <col min="23" max="23" width="13.109375" style="1" customWidth="1"/>
    <col min="24" max="24" width="13.33203125" style="1" customWidth="1"/>
    <col min="25" max="26" width="13.109375" style="5" customWidth="1" outlineLevel="1"/>
    <col min="27" max="27" width="12.88671875" style="1" customWidth="1" outlineLevel="1"/>
    <col min="28" max="28" width="14.44140625" style="20" customWidth="1"/>
    <col min="29" max="29" width="12.6640625" style="20" hidden="1" customWidth="1" outlineLevel="1"/>
    <col min="30" max="30" width="11.6640625" style="5" hidden="1" customWidth="1" outlineLevel="1"/>
    <col min="31" max="31" width="18.21875" style="20" hidden="1" customWidth="1" outlineLevel="1"/>
    <col min="32" max="32" width="14.88671875" style="5" hidden="1" customWidth="1" outlineLevel="1"/>
    <col min="33" max="33" width="62" style="1" customWidth="1" collapsed="1"/>
    <col min="34" max="34" width="19.5546875" style="1" customWidth="1"/>
    <col min="35" max="35" width="11" style="1" hidden="1" customWidth="1" outlineLevel="1"/>
    <col min="36" max="37" width="8.88671875" style="1" hidden="1" customWidth="1" outlineLevel="1"/>
    <col min="38" max="39" width="15.33203125" style="1" hidden="1" customWidth="1" outlineLevel="1"/>
    <col min="40" max="40" width="8.88671875" style="1" collapsed="1"/>
    <col min="41" max="16384" width="8.88671875" style="1"/>
  </cols>
  <sheetData>
    <row r="1" spans="1:39" ht="14.4" customHeight="1" x14ac:dyDescent="0.3">
      <c r="A1" s="476" t="s">
        <v>0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6"/>
      <c r="AA1" s="476"/>
      <c r="AB1" s="476"/>
      <c r="AC1" s="476"/>
      <c r="AD1" s="476"/>
      <c r="AE1" s="476"/>
      <c r="AF1" s="476"/>
      <c r="AG1" s="476"/>
    </row>
    <row r="2" spans="1:39" ht="13.8" thickBot="1" x14ac:dyDescent="0.3">
      <c r="A2" s="2"/>
      <c r="B2" s="2"/>
      <c r="C2" s="3"/>
      <c r="D2" s="2"/>
      <c r="E2" s="2"/>
      <c r="F2" s="21"/>
      <c r="G2" s="23"/>
      <c r="H2" s="23"/>
      <c r="I2" s="2"/>
      <c r="J2" s="4">
        <v>40</v>
      </c>
      <c r="U2" s="1"/>
      <c r="X2" s="5"/>
      <c r="Y2" s="1"/>
      <c r="Z2" s="1"/>
      <c r="AA2" s="5"/>
      <c r="AB2" s="5"/>
      <c r="AC2" s="1"/>
      <c r="AE2" s="5"/>
      <c r="AG2" s="5"/>
      <c r="AH2" s="5"/>
    </row>
    <row r="3" spans="1:39" s="28" customFormat="1" ht="58.8" customHeight="1" thickTop="1" thickBot="1" x14ac:dyDescent="0.3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25" t="s">
        <v>6</v>
      </c>
      <c r="G3" s="26" t="s">
        <v>7</v>
      </c>
      <c r="H3" s="26" t="s">
        <v>8</v>
      </c>
      <c r="I3" s="6" t="s">
        <v>9</v>
      </c>
      <c r="J3" s="6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8" t="s">
        <v>15</v>
      </c>
      <c r="P3" s="7" t="s">
        <v>16</v>
      </c>
      <c r="Q3" s="7" t="s">
        <v>17</v>
      </c>
      <c r="R3" s="8" t="s">
        <v>18</v>
      </c>
      <c r="S3" s="9" t="s">
        <v>19</v>
      </c>
      <c r="T3" s="9" t="s">
        <v>20</v>
      </c>
      <c r="U3" s="7" t="s">
        <v>21</v>
      </c>
      <c r="V3" s="7" t="s">
        <v>22</v>
      </c>
      <c r="W3" s="7" t="s">
        <v>23</v>
      </c>
      <c r="X3" s="9" t="s">
        <v>24</v>
      </c>
      <c r="Y3" s="7" t="s">
        <v>25</v>
      </c>
      <c r="Z3" s="7" t="s">
        <v>26</v>
      </c>
      <c r="AA3" s="9" t="s">
        <v>27</v>
      </c>
      <c r="AB3" s="9" t="s">
        <v>28</v>
      </c>
      <c r="AC3" s="6" t="s">
        <v>29</v>
      </c>
      <c r="AD3" s="9" t="s">
        <v>30</v>
      </c>
      <c r="AE3" s="9" t="s">
        <v>31</v>
      </c>
      <c r="AF3" s="10" t="s">
        <v>32</v>
      </c>
      <c r="AG3" s="8" t="s">
        <v>37</v>
      </c>
      <c r="AH3" s="27" t="s">
        <v>33</v>
      </c>
      <c r="AI3" s="28" t="s">
        <v>39</v>
      </c>
      <c r="AJ3" s="28" t="s">
        <v>38</v>
      </c>
      <c r="AK3" s="28" t="s">
        <v>42</v>
      </c>
      <c r="AL3" s="28" t="s">
        <v>40</v>
      </c>
      <c r="AM3" s="28" t="s">
        <v>41</v>
      </c>
    </row>
    <row r="4" spans="1:39" ht="13.8" thickTop="1" x14ac:dyDescent="0.25">
      <c r="A4" s="13" t="s">
        <v>57</v>
      </c>
      <c r="B4" s="12" t="s">
        <v>34</v>
      </c>
      <c r="C4" s="71"/>
      <c r="D4" s="62"/>
      <c r="E4" s="62"/>
      <c r="F4" s="30">
        <v>45628</v>
      </c>
      <c r="G4" s="69">
        <v>45626.5</v>
      </c>
      <c r="H4" s="69">
        <v>45629.479166666664</v>
      </c>
      <c r="I4" s="29" t="s">
        <v>62</v>
      </c>
      <c r="J4" s="14"/>
      <c r="K4" s="72"/>
      <c r="L4" s="15"/>
      <c r="M4" s="15"/>
      <c r="N4" s="16"/>
      <c r="O4" s="70">
        <v>0</v>
      </c>
      <c r="P4" s="65" t="s">
        <v>52</v>
      </c>
      <c r="Q4" s="64" t="s">
        <v>36</v>
      </c>
      <c r="R4" s="63">
        <v>1</v>
      </c>
      <c r="S4" s="19"/>
      <c r="T4" s="73">
        <v>11000</v>
      </c>
      <c r="U4" s="75">
        <v>626</v>
      </c>
      <c r="V4" s="67"/>
      <c r="W4" s="67">
        <f>SUM(Таблица2242[[#This Row],[Километраж по Украине, 
км]:[Километраж по Европе,
км]])</f>
        <v>626</v>
      </c>
      <c r="X4" s="67">
        <f>Таблица2242[[#This Row],[Вес, т]]*Таблица2242[[#This Row],[Стоимость, 
грн/т]]</f>
        <v>11000</v>
      </c>
      <c r="Y4" s="32">
        <f>Таблица2242[[#This Row],[Доход, 
грн/рейс]]/Таблица2242[[#This Row],[Общий километраж, 
км]]</f>
        <v>17.571884984025559</v>
      </c>
      <c r="Z4" s="32">
        <f>Таблица2242[[#This Row],[Километраж по Украине, 
км]]*10</f>
        <v>6260</v>
      </c>
      <c r="AA4" s="32">
        <f>Таблица2242[[#This Row],[Километраж по Украине, 
км]]/100*32*57+Таблица2242[[#This Row],[Зарплата водителя, грн]]</f>
        <v>17678.239999999998</v>
      </c>
      <c r="AB4" s="68">
        <f>Таблица2242[[#This Row],[Доход, 
грн/рейс]]-Таблица2242[[#This Row],[СС 1-го рейса, 
грн/рейс]]</f>
        <v>-6678.239999999998</v>
      </c>
      <c r="AC4" s="12" t="e">
        <f>ROUNDDOWN(30/Таблица2242[[#This Row],[Плановое время в рейсе, 
сутки]],0)</f>
        <v>#DIV/0!</v>
      </c>
      <c r="AD4" s="18" t="e">
        <f>Таблица2242[[#This Row],[Доход, 
грн/рейс]]*Таблица2242[[#This Row],[Возможное количество рейсов в месяц]]</f>
        <v>#DIV/0!</v>
      </c>
      <c r="AE4" s="18" t="e">
        <f>Таблица2242[[#This Row],[Возможное количество рейсов в месяц]]*Таблица2242[[#This Row],[СС 1-го рейса, 
грн/рейс]]</f>
        <v>#DIV/0!</v>
      </c>
      <c r="AF4" s="18" t="e">
        <f>Таблица2242[[#This Row],[Доход в месяц, 
грн]]-Таблица2242[[#This Row],[Затраты на предполагаемые рейсы за месяц, 
грн]]</f>
        <v>#DIV/0!</v>
      </c>
      <c r="AG4" s="29" t="s">
        <v>86</v>
      </c>
      <c r="AH4" s="31"/>
    </row>
    <row r="5" spans="1:39" ht="13.2" x14ac:dyDescent="0.25">
      <c r="A5" s="13" t="s">
        <v>63</v>
      </c>
      <c r="B5" s="12" t="s">
        <v>34</v>
      </c>
      <c r="C5" s="71"/>
      <c r="D5" s="62"/>
      <c r="E5" s="62"/>
      <c r="F5" s="30">
        <v>45628</v>
      </c>
      <c r="G5" s="69">
        <v>45625.666666666664</v>
      </c>
      <c r="H5" s="69">
        <v>45629.645833333336</v>
      </c>
      <c r="I5" s="29" t="s">
        <v>64</v>
      </c>
      <c r="J5" s="14"/>
      <c r="K5" s="72"/>
      <c r="L5" s="15"/>
      <c r="M5" s="15"/>
      <c r="N5" s="16"/>
      <c r="O5" s="17">
        <v>0</v>
      </c>
      <c r="P5" s="65" t="s">
        <v>54</v>
      </c>
      <c r="Q5" s="64" t="s">
        <v>36</v>
      </c>
      <c r="R5" s="63">
        <v>1</v>
      </c>
      <c r="S5" s="19"/>
      <c r="T5" s="73">
        <v>14000</v>
      </c>
      <c r="U5" s="75">
        <v>647</v>
      </c>
      <c r="V5" s="67"/>
      <c r="W5" s="67">
        <f>SUM(Таблица2242[[#This Row],[Километраж по Украине, 
км]:[Километраж по Европе,
км]])</f>
        <v>647</v>
      </c>
      <c r="X5" s="67">
        <f>Таблица2242[[#This Row],[Вес, т]]*Таблица2242[[#This Row],[Стоимость, 
грн/т]]</f>
        <v>14000</v>
      </c>
      <c r="Y5" s="32">
        <f>Таблица2242[[#This Row],[Доход, 
грн/рейс]]/Таблица2242[[#This Row],[Общий километраж, 
км]]</f>
        <v>21.638330757341578</v>
      </c>
      <c r="Z5" s="32">
        <f>Таблица2242[[#This Row],[Километраж по Украине, 
км]]*10</f>
        <v>6470</v>
      </c>
      <c r="AA5" s="32">
        <f>Таблица2242[[#This Row],[Километраж по Украине, 
км]]/100*32*57+Таблица2242[[#This Row],[Зарплата водителя, грн]]</f>
        <v>18271.28</v>
      </c>
      <c r="AB5" s="68">
        <f>Таблица2242[[#This Row],[Доход, 
грн/рейс]]-Таблица2242[[#This Row],[СС 1-го рейса, 
грн/рейс]]</f>
        <v>-4271.2799999999988</v>
      </c>
      <c r="AC5" s="12" t="e">
        <f>ROUNDDOWN(30/Таблица2242[[#This Row],[Плановое время в рейсе, 
сутки]],0)</f>
        <v>#DIV/0!</v>
      </c>
      <c r="AD5" s="18" t="e">
        <f>Таблица2242[[#This Row],[Доход, 
грн/рейс]]*Таблица2242[[#This Row],[Возможное количество рейсов в месяц]]</f>
        <v>#DIV/0!</v>
      </c>
      <c r="AE5" s="18" t="e">
        <f>Таблица2242[[#This Row],[Возможное количество рейсов в месяц]]*Таблица2242[[#This Row],[СС 1-го рейса, 
грн/рейс]]</f>
        <v>#DIV/0!</v>
      </c>
      <c r="AF5" s="18" t="e">
        <f>Таблица2242[[#This Row],[Доход в месяц, 
грн]]-Таблица2242[[#This Row],[Затраты на предполагаемые рейсы за месяц, 
грн]]</f>
        <v>#DIV/0!</v>
      </c>
      <c r="AG5" s="29" t="s">
        <v>68</v>
      </c>
      <c r="AH5" s="31"/>
    </row>
    <row r="6" spans="1:39" ht="13.2" x14ac:dyDescent="0.25">
      <c r="A6" s="13" t="s">
        <v>65</v>
      </c>
      <c r="B6" s="12" t="s">
        <v>34</v>
      </c>
      <c r="C6" s="71"/>
      <c r="D6" s="62"/>
      <c r="E6" s="62"/>
      <c r="F6" s="30">
        <v>45628</v>
      </c>
      <c r="G6" s="69">
        <v>45629.479166666664</v>
      </c>
      <c r="H6" s="69">
        <v>45630.520833333336</v>
      </c>
      <c r="I6" s="29" t="s">
        <v>58</v>
      </c>
      <c r="J6" s="14"/>
      <c r="K6" s="72"/>
      <c r="L6" s="15"/>
      <c r="M6" s="15"/>
      <c r="N6" s="16"/>
      <c r="O6" s="17">
        <v>0</v>
      </c>
      <c r="P6" s="65" t="s">
        <v>52</v>
      </c>
      <c r="Q6" s="64" t="s">
        <v>35</v>
      </c>
      <c r="R6" s="63">
        <v>1</v>
      </c>
      <c r="S6" s="19"/>
      <c r="T6" s="73">
        <v>22800</v>
      </c>
      <c r="U6" s="75">
        <v>380</v>
      </c>
      <c r="V6" s="67"/>
      <c r="W6" s="67">
        <f>SUM(Таблица2242[[#This Row],[Километраж по Украине, 
км]:[Километраж по Европе,
км]])</f>
        <v>380</v>
      </c>
      <c r="X6" s="67">
        <f>Таблица2242[[#This Row],[Вес, т]]*Таблица2242[[#This Row],[Стоимость, 
грн/т]]</f>
        <v>22800</v>
      </c>
      <c r="Y6" s="32">
        <f>Таблица2242[[#This Row],[Доход, 
грн/рейс]]/Таблица2242[[#This Row],[Общий километраж, 
км]]</f>
        <v>60</v>
      </c>
      <c r="Z6" s="32">
        <f>Таблица2242[[#This Row],[Километраж по Украине, 
км]]*10</f>
        <v>3800</v>
      </c>
      <c r="AA6" s="32">
        <f>Таблица2242[[#This Row],[Километраж по Украине, 
км]]/100*32*57+Таблица2242[[#This Row],[Зарплата водителя, грн]]</f>
        <v>10731.2</v>
      </c>
      <c r="AB6" s="68">
        <f>Таблица2242[[#This Row],[Доход, 
грн/рейс]]-Таблица2242[[#This Row],[СС 1-го рейса, 
грн/рейс]]</f>
        <v>12068.8</v>
      </c>
      <c r="AC6" s="12" t="e">
        <f>ROUNDDOWN(30/Таблица2242[[#This Row],[Плановое время в рейсе, 
сутки]],0)</f>
        <v>#DIV/0!</v>
      </c>
      <c r="AD6" s="18" t="e">
        <f>Таблица2242[[#This Row],[Доход, 
грн/рейс]]*Таблица2242[[#This Row],[Возможное количество рейсов в месяц]]</f>
        <v>#DIV/0!</v>
      </c>
      <c r="AE6" s="18" t="e">
        <f>Таблица2242[[#This Row],[Возможное количество рейсов в месяц]]*Таблица2242[[#This Row],[СС 1-го рейса, 
грн/рейс]]</f>
        <v>#DIV/0!</v>
      </c>
      <c r="AF6" s="18" t="e">
        <f>Таблица2242[[#This Row],[Доход в месяц, 
грн]]-Таблица2242[[#This Row],[Затраты на предполагаемые рейсы за месяц, 
грн]]</f>
        <v>#DIV/0!</v>
      </c>
      <c r="AG6" s="29" t="s">
        <v>87</v>
      </c>
      <c r="AH6" s="31"/>
    </row>
    <row r="7" spans="1:39" ht="13.2" x14ac:dyDescent="0.25">
      <c r="A7" s="13" t="s">
        <v>66</v>
      </c>
      <c r="B7" s="12" t="s">
        <v>34</v>
      </c>
      <c r="C7" s="71"/>
      <c r="D7" s="62"/>
      <c r="E7" s="62"/>
      <c r="F7" s="30">
        <v>45628</v>
      </c>
      <c r="G7" s="69">
        <v>45630.520833333336</v>
      </c>
      <c r="H7" s="69">
        <v>45631.791666666664</v>
      </c>
      <c r="I7" s="29" t="s">
        <v>67</v>
      </c>
      <c r="J7" s="14"/>
      <c r="K7" s="72"/>
      <c r="L7" s="15"/>
      <c r="M7" s="15"/>
      <c r="N7" s="16"/>
      <c r="O7" s="70">
        <v>0</v>
      </c>
      <c r="P7" s="65" t="s">
        <v>52</v>
      </c>
      <c r="Q7" s="64" t="s">
        <v>36</v>
      </c>
      <c r="R7" s="63">
        <v>1</v>
      </c>
      <c r="S7" s="19"/>
      <c r="T7" s="73">
        <v>12000</v>
      </c>
      <c r="U7" s="75">
        <v>514</v>
      </c>
      <c r="V7" s="67"/>
      <c r="W7" s="67">
        <f>SUM(Таблица2242[[#This Row],[Километраж по Украине, 
км]:[Километраж по Европе,
км]])</f>
        <v>514</v>
      </c>
      <c r="X7" s="67">
        <f>Таблица2242[[#This Row],[Вес, т]]*Таблица2242[[#This Row],[Стоимость, 
грн/т]]</f>
        <v>12000</v>
      </c>
      <c r="Y7" s="32">
        <f>Таблица2242[[#This Row],[Доход, 
грн/рейс]]/Таблица2242[[#This Row],[Общий километраж, 
км]]</f>
        <v>23.346303501945524</v>
      </c>
      <c r="Z7" s="32">
        <f>Таблица2242[[#This Row],[Километраж по Украине, 
км]]*10</f>
        <v>5140</v>
      </c>
      <c r="AA7" s="32">
        <f>Таблица2242[[#This Row],[Километраж по Украине, 
км]]/100*32*57+Таблица2242[[#This Row],[Зарплата водителя, грн]]</f>
        <v>14515.359999999999</v>
      </c>
      <c r="AB7" s="68">
        <f>Таблица2242[[#This Row],[Доход, 
грн/рейс]]-Таблица2242[[#This Row],[СС 1-го рейса, 
грн/рейс]]</f>
        <v>-2515.3599999999988</v>
      </c>
      <c r="AC7" s="12" t="e">
        <f>ROUNDDOWN(30/Таблица2242[[#This Row],[Плановое время в рейсе, 
сутки]],0)</f>
        <v>#DIV/0!</v>
      </c>
      <c r="AD7" s="18" t="e">
        <f>Таблица2242[[#This Row],[Доход, 
грн/рейс]]*Таблица2242[[#This Row],[Возможное количество рейсов в месяц]]</f>
        <v>#DIV/0!</v>
      </c>
      <c r="AE7" s="18" t="e">
        <f>Таблица2242[[#This Row],[Возможное количество рейсов в месяц]]*Таблица2242[[#This Row],[СС 1-го рейса, 
грн/рейс]]</f>
        <v>#DIV/0!</v>
      </c>
      <c r="AF7" s="18" t="e">
        <f>Таблица2242[[#This Row],[Доход в месяц, 
грн]]-Таблица2242[[#This Row],[Затраты на предполагаемые рейсы за месяц, 
грн]]</f>
        <v>#DIV/0!</v>
      </c>
      <c r="AG7" s="29" t="s">
        <v>75</v>
      </c>
      <c r="AH7" s="31"/>
    </row>
    <row r="8" spans="1:39" ht="13.2" x14ac:dyDescent="0.25">
      <c r="A8" s="13" t="s">
        <v>65</v>
      </c>
      <c r="B8" s="12" t="s">
        <v>34</v>
      </c>
      <c r="C8" s="71"/>
      <c r="D8" s="62"/>
      <c r="E8" s="62"/>
      <c r="F8" s="30">
        <v>45628</v>
      </c>
      <c r="G8" s="69">
        <v>45629.645833333336</v>
      </c>
      <c r="H8" s="69">
        <v>45635.625</v>
      </c>
      <c r="I8" s="29" t="s">
        <v>58</v>
      </c>
      <c r="J8" s="14"/>
      <c r="K8" s="72"/>
      <c r="L8" s="15"/>
      <c r="M8" s="15"/>
      <c r="N8" s="16"/>
      <c r="O8" s="17">
        <f>ROUNDUP(SUM(Таблица2242[[#This Row],[Плановое время в дороге, 
сутки]:[Плановое время простоя, 
сутки]]),0)</f>
        <v>0</v>
      </c>
      <c r="P8" s="65" t="s">
        <v>54</v>
      </c>
      <c r="Q8" s="64" t="s">
        <v>35</v>
      </c>
      <c r="R8" s="63">
        <v>1</v>
      </c>
      <c r="S8" s="19"/>
      <c r="T8" s="73">
        <v>23100</v>
      </c>
      <c r="U8" s="67">
        <v>385</v>
      </c>
      <c r="V8" s="67"/>
      <c r="W8" s="67">
        <f>SUM(Таблица2242[[#This Row],[Километраж по Украине, 
км]:[Километраж по Европе,
км]])</f>
        <v>385</v>
      </c>
      <c r="X8" s="67">
        <f>Таблица2242[[#This Row],[Вес, т]]*Таблица2242[[#This Row],[Стоимость, 
грн/т]]</f>
        <v>23100</v>
      </c>
      <c r="Y8" s="32">
        <f>Таблица2242[[#This Row],[Доход, 
грн/рейс]]/Таблица2242[[#This Row],[Общий километраж, 
км]]</f>
        <v>60</v>
      </c>
      <c r="Z8" s="32">
        <f>Таблица2242[[#This Row],[Километраж по Украине, 
км]]*10</f>
        <v>3850</v>
      </c>
      <c r="AA8" s="32">
        <f>Таблица2242[[#This Row],[Километраж по Украине, 
км]]/100*32*57+Таблица2242[[#This Row],[Зарплата водителя, грн]]</f>
        <v>10872.400000000001</v>
      </c>
      <c r="AB8" s="68">
        <f>Таблица2242[[#This Row],[Доход, 
грн/рейс]]-Таблица2242[[#This Row],[СС 1-го рейса, 
грн/рейс]]</f>
        <v>12227.599999999999</v>
      </c>
      <c r="AC8" s="12" t="e">
        <f>ROUNDDOWN(30/Таблица2242[[#This Row],[Плановое время в рейсе, 
сутки]],0)</f>
        <v>#DIV/0!</v>
      </c>
      <c r="AD8" s="18" t="e">
        <f>Таблица2242[[#This Row],[Доход, 
грн/рейс]]*Таблица2242[[#This Row],[Возможное количество рейсов в месяц]]</f>
        <v>#DIV/0!</v>
      </c>
      <c r="AE8" s="18" t="e">
        <f>Таблица2242[[#This Row],[Возможное количество рейсов в месяц]]*Таблица2242[[#This Row],[СС 1-го рейса, 
грн/рейс]]</f>
        <v>#DIV/0!</v>
      </c>
      <c r="AF8" s="18" t="e">
        <f>Таблица2242[[#This Row],[Доход в месяц, 
грн]]-Таблица2242[[#This Row],[Затраты на предполагаемые рейсы за месяц, 
грн]]</f>
        <v>#DIV/0!</v>
      </c>
      <c r="AG8" s="29" t="s">
        <v>84</v>
      </c>
      <c r="AH8" s="31"/>
    </row>
    <row r="9" spans="1:39" ht="13.2" x14ac:dyDescent="0.25">
      <c r="A9" s="13" t="s">
        <v>55</v>
      </c>
      <c r="B9" s="12" t="s">
        <v>34</v>
      </c>
      <c r="C9" s="71"/>
      <c r="D9" s="62"/>
      <c r="E9" s="62"/>
      <c r="F9" s="30">
        <v>45628</v>
      </c>
      <c r="G9" s="69">
        <v>45631.791666666664</v>
      </c>
      <c r="H9" s="69">
        <v>45636.5</v>
      </c>
      <c r="I9" s="29" t="s">
        <v>69</v>
      </c>
      <c r="J9" s="14"/>
      <c r="K9" s="72"/>
      <c r="L9" s="15"/>
      <c r="M9" s="15"/>
      <c r="N9" s="16"/>
      <c r="O9" s="17">
        <f>ROUNDUP(SUM(Таблица2242[[#This Row],[Плановое время в дороге, 
сутки]:[Плановое время простоя, 
сутки]]),0)</f>
        <v>0</v>
      </c>
      <c r="P9" s="65" t="s">
        <v>52</v>
      </c>
      <c r="Q9" s="64" t="s">
        <v>35</v>
      </c>
      <c r="R9" s="63">
        <v>1</v>
      </c>
      <c r="S9" s="19"/>
      <c r="T9" s="73">
        <v>44100</v>
      </c>
      <c r="U9" s="67">
        <v>745</v>
      </c>
      <c r="V9" s="67"/>
      <c r="W9" s="67">
        <f>SUM(Таблица2242[[#This Row],[Километраж по Украине, 
км]:[Километраж по Европе,
км]])</f>
        <v>745</v>
      </c>
      <c r="X9" s="67">
        <f>Таблица2242[[#This Row],[Вес, т]]*Таблица2242[[#This Row],[Стоимость, 
грн/т]]</f>
        <v>44100</v>
      </c>
      <c r="Y9" s="32">
        <f>Таблица2242[[#This Row],[Доход, 
грн/рейс]]/Таблица2242[[#This Row],[Общий километраж, 
км]]</f>
        <v>59.194630872483224</v>
      </c>
      <c r="Z9" s="32">
        <f>Таблица2242[[#This Row],[Километраж по Украине, 
км]]*10</f>
        <v>7450</v>
      </c>
      <c r="AA9" s="32">
        <f>Таблица2242[[#This Row],[Километраж по Украине, 
км]]/100*32*57+Таблица2242[[#This Row],[Зарплата водителя, грн]]</f>
        <v>21038.800000000003</v>
      </c>
      <c r="AB9" s="68">
        <f>Таблица2242[[#This Row],[Доход, 
грн/рейс]]-Таблица2242[[#This Row],[СС 1-го рейса, 
грн/рейс]]</f>
        <v>23061.199999999997</v>
      </c>
      <c r="AC9" s="12" t="e">
        <f>ROUNDDOWN(30/Таблица2242[[#This Row],[Плановое время в рейсе, 
сутки]],0)</f>
        <v>#DIV/0!</v>
      </c>
      <c r="AD9" s="18" t="e">
        <f>Таблица2242[[#This Row],[Доход, 
грн/рейс]]*Таблица2242[[#This Row],[Возможное количество рейсов в месяц]]</f>
        <v>#DIV/0!</v>
      </c>
      <c r="AE9" s="18" t="e">
        <f>Таблица2242[[#This Row],[Возможное количество рейсов в месяц]]*Таблица2242[[#This Row],[СС 1-го рейса, 
грн/рейс]]</f>
        <v>#DIV/0!</v>
      </c>
      <c r="AF9" s="18" t="e">
        <f>Таблица2242[[#This Row],[Доход в месяц, 
грн]]-Таблица2242[[#This Row],[Затраты на предполагаемые рейсы за месяц, 
грн]]</f>
        <v>#DIV/0!</v>
      </c>
      <c r="AG9" s="29" t="s">
        <v>85</v>
      </c>
      <c r="AH9" s="31"/>
    </row>
    <row r="10" spans="1:39" ht="13.2" x14ac:dyDescent="0.25">
      <c r="A10" s="13" t="s">
        <v>63</v>
      </c>
      <c r="B10" s="12" t="s">
        <v>34</v>
      </c>
      <c r="C10" s="71"/>
      <c r="D10" s="62"/>
      <c r="E10" s="62"/>
      <c r="F10" s="30">
        <v>45628</v>
      </c>
      <c r="G10" s="69">
        <v>45635.625</v>
      </c>
      <c r="H10" s="69">
        <v>45636.979166666664</v>
      </c>
      <c r="I10" s="29" t="s">
        <v>64</v>
      </c>
      <c r="J10" s="14"/>
      <c r="K10" s="72"/>
      <c r="L10" s="15"/>
      <c r="M10" s="15"/>
      <c r="N10" s="16"/>
      <c r="O10" s="70">
        <f>ROUNDUP(SUM(Таблица2242[[#This Row],[Плановое время в дороге, 
сутки]:[Плановое время простоя, 
сутки]]),0)</f>
        <v>0</v>
      </c>
      <c r="P10" s="65" t="s">
        <v>54</v>
      </c>
      <c r="Q10" s="64" t="s">
        <v>36</v>
      </c>
      <c r="R10" s="63">
        <v>1</v>
      </c>
      <c r="S10" s="19"/>
      <c r="T10" s="73">
        <v>14000</v>
      </c>
      <c r="U10" s="67">
        <v>677</v>
      </c>
      <c r="V10" s="67"/>
      <c r="W10" s="67">
        <f>SUM(Таблица2242[[#This Row],[Километраж по Украине, 
км]:[Километраж по Европе,
км]])</f>
        <v>677</v>
      </c>
      <c r="X10" s="67">
        <f>Таблица2242[[#This Row],[Вес, т]]*Таблица2242[[#This Row],[Стоимость, 
грн/т]]</f>
        <v>14000</v>
      </c>
      <c r="Y10" s="32">
        <f>Таблица2242[[#This Row],[Доход, 
грн/рейс]]/Таблица2242[[#This Row],[Общий километраж, 
км]]</f>
        <v>20.6794682422452</v>
      </c>
      <c r="Z10" s="32">
        <f>Таблица2242[[#This Row],[Километраж по Украине, 
км]]*10</f>
        <v>6770</v>
      </c>
      <c r="AA10" s="32">
        <f>Таблица2242[[#This Row],[Километраж по Украине, 
км]]/100*32*57+Таблица2242[[#This Row],[Зарплата водителя, грн]]</f>
        <v>19118.48</v>
      </c>
      <c r="AB10" s="68">
        <f>Таблица2242[[#This Row],[Доход, 
грн/рейс]]-Таблица2242[[#This Row],[СС 1-го рейса, 
грн/рейс]]</f>
        <v>-5118.4799999999996</v>
      </c>
      <c r="AC10" s="12" t="e">
        <f>ROUNDDOWN(30/Таблица2242[[#This Row],[Плановое время в рейсе, 
сутки]],0)</f>
        <v>#DIV/0!</v>
      </c>
      <c r="AD10" s="18" t="e">
        <f>Таблица2242[[#This Row],[Доход, 
грн/рейс]]*Таблица2242[[#This Row],[Возможное количество рейсов в месяц]]</f>
        <v>#DIV/0!</v>
      </c>
      <c r="AE10" s="18" t="e">
        <f>Таблица2242[[#This Row],[Возможное количество рейсов в месяц]]*Таблица2242[[#This Row],[СС 1-го рейса, 
грн/рейс]]</f>
        <v>#DIV/0!</v>
      </c>
      <c r="AF10" s="18" t="e">
        <f>Таблица2242[[#This Row],[Доход в месяц, 
грн]]-Таблица2242[[#This Row],[Затраты на предполагаемые рейсы за месяц, 
грн]]</f>
        <v>#DIV/0!</v>
      </c>
      <c r="AG10" s="29" t="s">
        <v>78</v>
      </c>
      <c r="AH10" s="31"/>
    </row>
    <row r="11" spans="1:39" ht="13.2" x14ac:dyDescent="0.25">
      <c r="A11" s="13" t="s">
        <v>55</v>
      </c>
      <c r="B11" s="12" t="s">
        <v>34</v>
      </c>
      <c r="C11" s="71"/>
      <c r="D11" s="62"/>
      <c r="E11" s="62"/>
      <c r="F11" s="30">
        <v>45628</v>
      </c>
      <c r="G11" s="69">
        <v>45636.979166666664</v>
      </c>
      <c r="H11" s="69">
        <v>45638.645833333336</v>
      </c>
      <c r="I11" s="29" t="s">
        <v>69</v>
      </c>
      <c r="J11" s="14"/>
      <c r="K11" s="72"/>
      <c r="L11" s="15"/>
      <c r="M11" s="15"/>
      <c r="N11" s="16"/>
      <c r="O11" s="17">
        <f>ROUNDUP(SUM(Таблица2242[[#This Row],[Плановое время в дороге, 
сутки]:[Плановое время простоя, 
сутки]]),0)</f>
        <v>0</v>
      </c>
      <c r="P11" s="65" t="s">
        <v>54</v>
      </c>
      <c r="Q11" s="64" t="s">
        <v>35</v>
      </c>
      <c r="R11" s="63">
        <v>1</v>
      </c>
      <c r="S11" s="19"/>
      <c r="T11" s="74">
        <v>42300</v>
      </c>
      <c r="U11" s="67">
        <v>705</v>
      </c>
      <c r="V11" s="67"/>
      <c r="W11" s="67">
        <f>SUM(Таблица2242[[#This Row],[Километраж по Украине, 
км]:[Километраж по Европе,
км]])</f>
        <v>705</v>
      </c>
      <c r="X11" s="67">
        <f>Таблица2242[[#This Row],[Вес, т]]*Таблица2242[[#This Row],[Стоимость, 
грн/т]]</f>
        <v>42300</v>
      </c>
      <c r="Y11" s="32">
        <f>Таблица2242[[#This Row],[Доход, 
грн/рейс]]/Таблица2242[[#This Row],[Общий километраж, 
км]]</f>
        <v>60</v>
      </c>
      <c r="Z11" s="32">
        <f>Таблица2242[[#This Row],[Километраж по Украине, 
км]]*10</f>
        <v>7050</v>
      </c>
      <c r="AA11" s="32">
        <f>Таблица2242[[#This Row],[Километраж по Украине, 
км]]/100*32*57+Таблица2242[[#This Row],[Зарплата водителя, грн]]</f>
        <v>19909.199999999997</v>
      </c>
      <c r="AB11" s="68">
        <f>Таблица2242[[#This Row],[Доход, 
грн/рейс]]-Таблица2242[[#This Row],[СС 1-го рейса, 
грн/рейс]]</f>
        <v>22390.800000000003</v>
      </c>
      <c r="AC11" s="12" t="e">
        <f>ROUNDDOWN(30/Таблица2242[[#This Row],[Плановое время в рейсе, 
сутки]],0)</f>
        <v>#DIV/0!</v>
      </c>
      <c r="AD11" s="18" t="e">
        <f>Таблица2242[[#This Row],[Доход, 
грн/рейс]]*Таблица2242[[#This Row],[Возможное количество рейсов в месяц]]</f>
        <v>#DIV/0!</v>
      </c>
      <c r="AE11" s="18" t="e">
        <f>Таблица2242[[#This Row],[Возможное количество рейсов в месяц]]*Таблица2242[[#This Row],[СС 1-го рейса, 
грн/рейс]]</f>
        <v>#DIV/0!</v>
      </c>
      <c r="AF11" s="18" t="e">
        <f>Таблица2242[[#This Row],[Доход в месяц, 
грн]]-Таблица2242[[#This Row],[Затраты на предполагаемые рейсы за месяц, 
грн]]</f>
        <v>#DIV/0!</v>
      </c>
      <c r="AG11" s="29"/>
      <c r="AH11" s="31"/>
    </row>
    <row r="12" spans="1:39" ht="13.2" x14ac:dyDescent="0.25">
      <c r="A12" s="13" t="s">
        <v>59</v>
      </c>
      <c r="B12" s="12" t="s">
        <v>34</v>
      </c>
      <c r="C12" s="71"/>
      <c r="D12" s="62"/>
      <c r="E12" s="62"/>
      <c r="F12" s="30">
        <v>45628</v>
      </c>
      <c r="G12" s="69">
        <v>45636.5</v>
      </c>
      <c r="H12" s="69">
        <v>45638.770833333336</v>
      </c>
      <c r="I12" s="29" t="s">
        <v>60</v>
      </c>
      <c r="J12" s="14"/>
      <c r="K12" s="72"/>
      <c r="L12" s="15"/>
      <c r="M12" s="15"/>
      <c r="N12" s="16"/>
      <c r="O12" s="17">
        <f>ROUNDUP(SUM(Таблица2242[[#This Row],[Плановое время в дороге, 
сутки]:[Плановое время простоя, 
сутки]]),0)</f>
        <v>0</v>
      </c>
      <c r="P12" s="65" t="s">
        <v>52</v>
      </c>
      <c r="Q12" s="64" t="s">
        <v>36</v>
      </c>
      <c r="R12" s="63">
        <v>1</v>
      </c>
      <c r="S12" s="19"/>
      <c r="T12" s="73">
        <v>25000</v>
      </c>
      <c r="U12" s="67">
        <v>887</v>
      </c>
      <c r="V12" s="67"/>
      <c r="W12" s="67">
        <f>SUM(Таблица2242[[#This Row],[Километраж по Украине, 
км]:[Километраж по Европе,
км]])</f>
        <v>887</v>
      </c>
      <c r="X12" s="67">
        <f>Таблица2242[[#This Row],[Вес, т]]*Таблица2242[[#This Row],[Стоимость, 
грн/т]]</f>
        <v>25000</v>
      </c>
      <c r="Y12" s="32">
        <f>Таблица2242[[#This Row],[Доход, 
грн/рейс]]/Таблица2242[[#This Row],[Общий километраж, 
км]]</f>
        <v>28.184892897406989</v>
      </c>
      <c r="Z12" s="32">
        <f>Таблица2242[[#This Row],[Километраж по Украине, 
км]]*10</f>
        <v>8870</v>
      </c>
      <c r="AA12" s="32">
        <f>Таблица2242[[#This Row],[Километраж по Украине, 
км]]/100*32*57+Таблица2242[[#This Row],[Зарплата водителя, грн]]</f>
        <v>25048.879999999997</v>
      </c>
      <c r="AB12" s="68">
        <f>Таблица2242[[#This Row],[Доход, 
грн/рейс]]-Таблица2242[[#This Row],[СС 1-го рейса, 
грн/рейс]]</f>
        <v>-48.879999999997381</v>
      </c>
      <c r="AC12" s="12" t="e">
        <f>ROUNDDOWN(30/Таблица2242[[#This Row],[Плановое время в рейсе, 
сутки]],0)</f>
        <v>#DIV/0!</v>
      </c>
      <c r="AD12" s="18" t="e">
        <f>Таблица2242[[#This Row],[Доход, 
грн/рейс]]*Таблица2242[[#This Row],[Возможное количество рейсов в месяц]]</f>
        <v>#DIV/0!</v>
      </c>
      <c r="AE12" s="18" t="e">
        <f>Таблица2242[[#This Row],[Возможное количество рейсов в месяц]]*Таблица2242[[#This Row],[СС 1-го рейса, 
грн/рейс]]</f>
        <v>#DIV/0!</v>
      </c>
      <c r="AF12" s="18" t="e">
        <f>Таблица2242[[#This Row],[Доход в месяц, 
грн]]-Таблица2242[[#This Row],[Затраты на предполагаемые рейсы за месяц, 
грн]]</f>
        <v>#DIV/0!</v>
      </c>
      <c r="AG12" s="29" t="s">
        <v>87</v>
      </c>
      <c r="AH12" s="31"/>
    </row>
    <row r="13" spans="1:39" ht="13.2" x14ac:dyDescent="0.25">
      <c r="A13" s="13" t="s">
        <v>70</v>
      </c>
      <c r="B13" s="12" t="s">
        <v>34</v>
      </c>
      <c r="C13" s="71"/>
      <c r="D13" s="62"/>
      <c r="E13" s="62"/>
      <c r="F13" s="30">
        <v>45628</v>
      </c>
      <c r="G13" s="69">
        <v>45638.645833333336</v>
      </c>
      <c r="H13" s="69">
        <v>45642.583333333336</v>
      </c>
      <c r="I13" s="29" t="s">
        <v>71</v>
      </c>
      <c r="J13" s="14"/>
      <c r="K13" s="72"/>
      <c r="L13" s="15"/>
      <c r="M13" s="15"/>
      <c r="N13" s="16"/>
      <c r="O13" s="70">
        <f>ROUNDUP(SUM(Таблица2242[[#This Row],[Плановое время в дороге, 
сутки]:[Плановое время простоя, 
сутки]]),0)</f>
        <v>0</v>
      </c>
      <c r="P13" s="65" t="s">
        <v>54</v>
      </c>
      <c r="Q13" s="64" t="s">
        <v>36</v>
      </c>
      <c r="R13" s="63">
        <v>1</v>
      </c>
      <c r="S13" s="19"/>
      <c r="T13" s="74">
        <v>12500</v>
      </c>
      <c r="U13" s="67">
        <v>820</v>
      </c>
      <c r="V13" s="67"/>
      <c r="W13" s="67">
        <f>SUM(Таблица2242[[#This Row],[Километраж по Украине, 
км]:[Километраж по Европе,
км]])</f>
        <v>820</v>
      </c>
      <c r="X13" s="67">
        <f>Таблица2242[[#This Row],[Вес, т]]*Таблица2242[[#This Row],[Стоимость, 
грн/т]]</f>
        <v>12500</v>
      </c>
      <c r="Y13" s="32">
        <f>Таблица2242[[#This Row],[Доход, 
грн/рейс]]/Таблица2242[[#This Row],[Общий километраж, 
км]]</f>
        <v>15.24390243902439</v>
      </c>
      <c r="Z13" s="32">
        <f>Таблица2242[[#This Row],[Километраж по Украине, 
км]]*10</f>
        <v>8200</v>
      </c>
      <c r="AA13" s="32">
        <f>Таблица2242[[#This Row],[Километраж по Украине, 
км]]/100*32*57+Таблица2242[[#This Row],[Зарплата водителя, грн]]</f>
        <v>23156.799999999999</v>
      </c>
      <c r="AB13" s="68">
        <f>Таблица2242[[#This Row],[Доход, 
грн/рейс]]-Таблица2242[[#This Row],[СС 1-го рейса, 
грн/рейс]]</f>
        <v>-10656.8</v>
      </c>
      <c r="AC13" s="12" t="e">
        <f>ROUNDDOWN(30/Таблица2242[[#This Row],[Плановое время в рейсе, 
сутки]],0)</f>
        <v>#DIV/0!</v>
      </c>
      <c r="AD13" s="18" t="e">
        <f>Таблица2242[[#This Row],[Доход, 
грн/рейс]]*Таблица2242[[#This Row],[Возможное количество рейсов в месяц]]</f>
        <v>#DIV/0!</v>
      </c>
      <c r="AE13" s="18" t="e">
        <f>Таблица2242[[#This Row],[Возможное количество рейсов в месяц]]*Таблица2242[[#This Row],[СС 1-го рейса, 
грн/рейс]]</f>
        <v>#DIV/0!</v>
      </c>
      <c r="AF13" s="18" t="e">
        <f>Таблица2242[[#This Row],[Доход в месяц, 
грн]]-Таблица2242[[#This Row],[Затраты на предполагаемые рейсы за месяц, 
грн]]</f>
        <v>#DIV/0!</v>
      </c>
      <c r="AG13" s="29" t="s">
        <v>76</v>
      </c>
      <c r="AH13" s="31"/>
    </row>
    <row r="14" spans="1:39" ht="13.2" x14ac:dyDescent="0.25">
      <c r="A14" s="13" t="s">
        <v>55</v>
      </c>
      <c r="B14" s="12" t="s">
        <v>34</v>
      </c>
      <c r="C14" s="71"/>
      <c r="D14" s="62"/>
      <c r="E14" s="62"/>
      <c r="F14" s="30">
        <v>45628</v>
      </c>
      <c r="G14" s="69">
        <v>45638.770833333336</v>
      </c>
      <c r="H14" s="69">
        <v>45641.5</v>
      </c>
      <c r="I14" s="29" t="s">
        <v>69</v>
      </c>
      <c r="J14" s="14"/>
      <c r="K14" s="72"/>
      <c r="L14" s="15"/>
      <c r="M14" s="15"/>
      <c r="N14" s="16"/>
      <c r="O14" s="17">
        <f>ROUNDUP(SUM(Таблица2242[[#This Row],[Плановое время в дороге, 
сутки]:[Плановое время простоя, 
сутки]]),0)</f>
        <v>0</v>
      </c>
      <c r="P14" s="65" t="s">
        <v>52</v>
      </c>
      <c r="Q14" s="64" t="s">
        <v>35</v>
      </c>
      <c r="R14" s="63">
        <v>1</v>
      </c>
      <c r="S14" s="19"/>
      <c r="T14" s="74">
        <v>44100</v>
      </c>
      <c r="U14" s="67">
        <v>745</v>
      </c>
      <c r="V14" s="67"/>
      <c r="W14" s="67">
        <f>SUM(Таблица2242[[#This Row],[Километраж по Украине, 
км]:[Километраж по Европе,
км]])</f>
        <v>745</v>
      </c>
      <c r="X14" s="67">
        <f>Таблица2242[[#This Row],[Вес, т]]*Таблица2242[[#This Row],[Стоимость, 
грн/т]]</f>
        <v>44100</v>
      </c>
      <c r="Y14" s="32">
        <f>Таблица2242[[#This Row],[Доход, 
грн/рейс]]/Таблица2242[[#This Row],[Общий километраж, 
км]]</f>
        <v>59.194630872483224</v>
      </c>
      <c r="Z14" s="32">
        <f>Таблица2242[[#This Row],[Километраж по Украине, 
км]]*10</f>
        <v>7450</v>
      </c>
      <c r="AA14" s="32">
        <f>Таблица2242[[#This Row],[Километраж по Украине, 
км]]/100*32*57+Таблица2242[[#This Row],[Зарплата водителя, грн]]</f>
        <v>21038.800000000003</v>
      </c>
      <c r="AB14" s="68">
        <f>Таблица2242[[#This Row],[Доход, 
грн/рейс]]-Таблица2242[[#This Row],[СС 1-го рейса, 
грн/рейс]]</f>
        <v>23061.199999999997</v>
      </c>
      <c r="AC14" s="12" t="e">
        <f>ROUNDDOWN(30/Таблица2242[[#This Row],[Плановое время в рейсе, 
сутки]],0)</f>
        <v>#DIV/0!</v>
      </c>
      <c r="AD14" s="18" t="e">
        <f>Таблица2242[[#This Row],[Доход, 
грн/рейс]]*Таблица2242[[#This Row],[Возможное количество рейсов в месяц]]</f>
        <v>#DIV/0!</v>
      </c>
      <c r="AE14" s="18" t="e">
        <f>Таблица2242[[#This Row],[Возможное количество рейсов в месяц]]*Таблица2242[[#This Row],[СС 1-го рейса, 
грн/рейс]]</f>
        <v>#DIV/0!</v>
      </c>
      <c r="AF14" s="18" t="e">
        <f>Таблица2242[[#This Row],[Доход в месяц, 
грн]]-Таблица2242[[#This Row],[Затраты на предполагаемые рейсы за месяц, 
грн]]</f>
        <v>#DIV/0!</v>
      </c>
      <c r="AG14" s="29" t="s">
        <v>76</v>
      </c>
      <c r="AH14" s="31"/>
    </row>
    <row r="15" spans="1:39" ht="13.2" x14ac:dyDescent="0.25">
      <c r="A15" s="13" t="s">
        <v>70</v>
      </c>
      <c r="B15" s="12" t="s">
        <v>34</v>
      </c>
      <c r="C15" s="71"/>
      <c r="D15" s="62"/>
      <c r="E15" s="62"/>
      <c r="F15" s="30">
        <v>45628</v>
      </c>
      <c r="G15" s="69">
        <v>45641.5</v>
      </c>
      <c r="H15" s="69">
        <v>45643.5</v>
      </c>
      <c r="I15" s="29" t="s">
        <v>71</v>
      </c>
      <c r="J15" s="14"/>
      <c r="K15" s="72"/>
      <c r="L15" s="15"/>
      <c r="M15" s="15"/>
      <c r="N15" s="16"/>
      <c r="O15" s="17">
        <f>ROUNDUP(SUM(Таблица2242[[#This Row],[Плановое время в дороге, 
сутки]:[Плановое время простоя, 
сутки]]),0)</f>
        <v>0</v>
      </c>
      <c r="P15" s="65" t="s">
        <v>52</v>
      </c>
      <c r="Q15" s="64" t="s">
        <v>36</v>
      </c>
      <c r="R15" s="63">
        <v>1</v>
      </c>
      <c r="S15" s="19"/>
      <c r="T15" s="74">
        <v>12500</v>
      </c>
      <c r="U15" s="67">
        <v>917</v>
      </c>
      <c r="V15" s="67"/>
      <c r="W15" s="67">
        <f>SUM(Таблица2242[[#This Row],[Километраж по Украине, 
км]:[Километраж по Европе,
км]])</f>
        <v>917</v>
      </c>
      <c r="X15" s="67">
        <f>Таблица2242[[#This Row],[Вес, т]]*Таблица2242[[#This Row],[Стоимость, 
грн/т]]</f>
        <v>12500</v>
      </c>
      <c r="Y15" s="32">
        <f>Таблица2242[[#This Row],[Доход, 
грн/рейс]]/Таблица2242[[#This Row],[Общий километраж, 
км]]</f>
        <v>13.631406761177754</v>
      </c>
      <c r="Z15" s="32">
        <f>Таблица2242[[#This Row],[Километраж по Украине, 
км]]*10</f>
        <v>9170</v>
      </c>
      <c r="AA15" s="32">
        <f>Таблица2242[[#This Row],[Километраж по Украине, 
км]]/100*32*57+Таблица2242[[#This Row],[Зарплата водителя, грн]]</f>
        <v>25896.079999999998</v>
      </c>
      <c r="AB15" s="68">
        <f>Таблица2242[[#This Row],[Доход, 
грн/рейс]]-Таблица2242[[#This Row],[СС 1-го рейса, 
грн/рейс]]</f>
        <v>-13396.079999999998</v>
      </c>
      <c r="AC15" s="12" t="e">
        <f>ROUNDDOWN(30/Таблица2242[[#This Row],[Плановое время в рейсе, 
сутки]],0)</f>
        <v>#DIV/0!</v>
      </c>
      <c r="AD15" s="18" t="e">
        <f>Таблица2242[[#This Row],[Доход, 
грн/рейс]]*Таблица2242[[#This Row],[Возможное количество рейсов в месяц]]</f>
        <v>#DIV/0!</v>
      </c>
      <c r="AE15" s="18" t="e">
        <f>Таблица2242[[#This Row],[Возможное количество рейсов в месяц]]*Таблица2242[[#This Row],[СС 1-го рейса, 
грн/рейс]]</f>
        <v>#DIV/0!</v>
      </c>
      <c r="AF15" s="18" t="e">
        <f>Таблица2242[[#This Row],[Доход в месяц, 
грн]]-Таблица2242[[#This Row],[Затраты на предполагаемые рейсы за месяц, 
грн]]</f>
        <v>#DIV/0!</v>
      </c>
      <c r="AG15" s="29" t="s">
        <v>61</v>
      </c>
      <c r="AH15" s="31"/>
    </row>
    <row r="16" spans="1:39" ht="13.2" x14ac:dyDescent="0.25">
      <c r="A16" s="13" t="s">
        <v>65</v>
      </c>
      <c r="B16" s="12" t="s">
        <v>34</v>
      </c>
      <c r="C16" s="71"/>
      <c r="D16" s="62"/>
      <c r="E16" s="62"/>
      <c r="F16" s="30">
        <v>45628</v>
      </c>
      <c r="G16" s="69">
        <v>45643.5</v>
      </c>
      <c r="H16" s="69">
        <v>45644.458333333336</v>
      </c>
      <c r="I16" s="29" t="s">
        <v>72</v>
      </c>
      <c r="J16" s="14"/>
      <c r="K16" s="72"/>
      <c r="L16" s="15"/>
      <c r="M16" s="15"/>
      <c r="N16" s="16"/>
      <c r="O16" s="70">
        <f>ROUNDUP(SUM(Таблица2242[[#This Row],[Плановое время в дороге, 
сутки]:[Плановое время простоя, 
сутки]]),0)</f>
        <v>0</v>
      </c>
      <c r="P16" s="65" t="s">
        <v>52</v>
      </c>
      <c r="Q16" s="64" t="s">
        <v>35</v>
      </c>
      <c r="R16" s="63">
        <v>1</v>
      </c>
      <c r="S16" s="19"/>
      <c r="T16" s="74">
        <v>13440</v>
      </c>
      <c r="U16" s="67">
        <v>314</v>
      </c>
      <c r="V16" s="67"/>
      <c r="W16" s="67">
        <f>SUM(Таблица2242[[#This Row],[Километраж по Украине, 
км]:[Километраж по Европе,
км]])</f>
        <v>314</v>
      </c>
      <c r="X16" s="67">
        <f>Таблица2242[[#This Row],[Вес, т]]*Таблица2242[[#This Row],[Стоимость, 
грн/т]]</f>
        <v>13440</v>
      </c>
      <c r="Y16" s="32">
        <f>Таблица2242[[#This Row],[Доход, 
грн/рейс]]/Таблица2242[[#This Row],[Общий километраж, 
км]]</f>
        <v>42.802547770700635</v>
      </c>
      <c r="Z16" s="32">
        <f>Таблица2242[[#This Row],[Километраж по Украине, 
км]]*10</f>
        <v>3140</v>
      </c>
      <c r="AA16" s="32">
        <f>Таблица2242[[#This Row],[Километраж по Украине, 
км]]/100*32*57+Таблица2242[[#This Row],[Зарплата водителя, грн]]</f>
        <v>8867.36</v>
      </c>
      <c r="AB16" s="68">
        <f>Таблица2242[[#This Row],[Доход, 
грн/рейс]]-Таблица2242[[#This Row],[СС 1-го рейса, 
грн/рейс]]</f>
        <v>4572.6399999999994</v>
      </c>
      <c r="AC16" s="12" t="e">
        <f>ROUNDDOWN(30/Таблица2242[[#This Row],[Плановое время в рейсе, 
сутки]],0)</f>
        <v>#DIV/0!</v>
      </c>
      <c r="AD16" s="18" t="e">
        <f>Таблица2242[[#This Row],[Доход, 
грн/рейс]]*Таблица2242[[#This Row],[Возможное количество рейсов в месяц]]</f>
        <v>#DIV/0!</v>
      </c>
      <c r="AE16" s="18" t="e">
        <f>Таблица2242[[#This Row],[Возможное количество рейсов в месяц]]*Таблица2242[[#This Row],[СС 1-го рейса, 
грн/рейс]]</f>
        <v>#DIV/0!</v>
      </c>
      <c r="AF16" s="18" t="e">
        <f>Таблица2242[[#This Row],[Доход в месяц, 
грн]]-Таблица2242[[#This Row],[Затраты на предполагаемые рейсы за месяц, 
грн]]</f>
        <v>#DIV/0!</v>
      </c>
      <c r="AG16" s="29"/>
      <c r="AH16" s="31"/>
    </row>
    <row r="17" spans="1:34" ht="13.2" x14ac:dyDescent="0.25">
      <c r="A17" s="13" t="s">
        <v>55</v>
      </c>
      <c r="B17" s="12" t="s">
        <v>34</v>
      </c>
      <c r="C17" s="71"/>
      <c r="D17" s="62"/>
      <c r="E17" s="62"/>
      <c r="F17" s="30">
        <v>45628</v>
      </c>
      <c r="G17" s="69">
        <v>45644.458333333336</v>
      </c>
      <c r="H17" s="69">
        <v>45645.479166666664</v>
      </c>
      <c r="I17" s="29" t="s">
        <v>56</v>
      </c>
      <c r="J17" s="14"/>
      <c r="K17" s="72"/>
      <c r="L17" s="15"/>
      <c r="M17" s="15"/>
      <c r="N17" s="16"/>
      <c r="O17" s="17">
        <f>ROUNDUP(SUM(Таблица2242[[#This Row],[Плановое время в дороге, 
сутки]:[Плановое время простоя, 
сутки]]),0)</f>
        <v>0</v>
      </c>
      <c r="P17" s="65" t="s">
        <v>52</v>
      </c>
      <c r="Q17" s="64" t="s">
        <v>35</v>
      </c>
      <c r="R17" s="63">
        <v>1</v>
      </c>
      <c r="S17" s="19"/>
      <c r="T17" s="74">
        <v>36600</v>
      </c>
      <c r="U17" s="67">
        <v>610</v>
      </c>
      <c r="V17" s="67"/>
      <c r="W17" s="67">
        <f>SUM(Таблица2242[[#This Row],[Километраж по Украине, 
км]:[Километраж по Европе,
км]])</f>
        <v>610</v>
      </c>
      <c r="X17" s="67">
        <f>Таблица2242[[#This Row],[Вес, т]]*Таблица2242[[#This Row],[Стоимость, 
грн/т]]</f>
        <v>36600</v>
      </c>
      <c r="Y17" s="32">
        <f>Таблица2242[[#This Row],[Доход, 
грн/рейс]]/Таблица2242[[#This Row],[Общий километраж, 
км]]</f>
        <v>60</v>
      </c>
      <c r="Z17" s="32">
        <f>Таблица2242[[#This Row],[Километраж по Украине, 
км]]*10</f>
        <v>6100</v>
      </c>
      <c r="AA17" s="32">
        <f>Таблица2242[[#This Row],[Километраж по Украине, 
км]]/100*32*57+Таблица2242[[#This Row],[Зарплата водителя, грн]]</f>
        <v>17226.400000000001</v>
      </c>
      <c r="AB17" s="68">
        <f>Таблица2242[[#This Row],[Доход, 
грн/рейс]]-Таблица2242[[#This Row],[СС 1-го рейса, 
грн/рейс]]</f>
        <v>19373.599999999999</v>
      </c>
      <c r="AC17" s="12" t="e">
        <f>ROUNDDOWN(30/Таблица2242[[#This Row],[Плановое время в рейсе, 
сутки]],0)</f>
        <v>#DIV/0!</v>
      </c>
      <c r="AD17" s="18" t="e">
        <f>Таблица2242[[#This Row],[Доход, 
грн/рейс]]*Таблица2242[[#This Row],[Возможное количество рейсов в месяц]]</f>
        <v>#DIV/0!</v>
      </c>
      <c r="AE17" s="18" t="e">
        <f>Таблица2242[[#This Row],[Возможное количество рейсов в месяц]]*Таблица2242[[#This Row],[СС 1-го рейса, 
грн/рейс]]</f>
        <v>#DIV/0!</v>
      </c>
      <c r="AF17" s="18" t="e">
        <f>Таблица2242[[#This Row],[Доход в месяц, 
грн]]-Таблица2242[[#This Row],[Затраты на предполагаемые рейсы за месяц, 
грн]]</f>
        <v>#DIV/0!</v>
      </c>
      <c r="AG17" s="29" t="s">
        <v>77</v>
      </c>
      <c r="AH17" s="31"/>
    </row>
    <row r="18" spans="1:34" ht="13.2" x14ac:dyDescent="0.25">
      <c r="A18" s="193" t="s">
        <v>73</v>
      </c>
      <c r="B18" s="77" t="s">
        <v>34</v>
      </c>
      <c r="C18" s="78" t="s">
        <v>43</v>
      </c>
      <c r="D18" s="79"/>
      <c r="E18" s="79"/>
      <c r="F18" s="80">
        <v>45628</v>
      </c>
      <c r="G18" s="69">
        <v>45645.479166666664</v>
      </c>
      <c r="H18" s="69">
        <v>45646.6875</v>
      </c>
      <c r="I18" s="81" t="s">
        <v>74</v>
      </c>
      <c r="J18" s="82"/>
      <c r="K18" s="83"/>
      <c r="L18" s="84"/>
      <c r="M18" s="84"/>
      <c r="N18" s="85"/>
      <c r="O18" s="86">
        <f>ROUNDUP(SUM(Таблица2242[[#This Row],[Плановое время в дороге, 
сутки]:[Плановое время простоя, 
сутки]]),0)</f>
        <v>0</v>
      </c>
      <c r="P18" s="87" t="s">
        <v>52</v>
      </c>
      <c r="Q18" s="88" t="s">
        <v>36</v>
      </c>
      <c r="R18" s="89">
        <v>1</v>
      </c>
      <c r="S18" s="90"/>
      <c r="T18" s="91">
        <v>10000</v>
      </c>
      <c r="U18" s="67">
        <v>663</v>
      </c>
      <c r="V18" s="67"/>
      <c r="W18" s="67">
        <v>663</v>
      </c>
      <c r="X18" s="67">
        <f>Таблица2242[[#This Row],[Вес, т]]*Таблица2242[[#This Row],[Стоимость, 
грн/т]]</f>
        <v>10000</v>
      </c>
      <c r="Y18" s="92">
        <f>Таблица2242[[#This Row],[Доход, 
грн/рейс]]/Таблица2242[[#This Row],[Общий километраж, 
км]]</f>
        <v>15.082956259426847</v>
      </c>
      <c r="Z18" s="92">
        <f>Таблица2242[[#This Row],[Километраж по Украине, 
км]]*10</f>
        <v>6630</v>
      </c>
      <c r="AA18" s="92">
        <f>Таблица2242[[#This Row],[Километраж по Украине, 
км]]/100*32*57+Таблица2242[[#This Row],[Зарплата водителя, грн]]</f>
        <v>18723.12</v>
      </c>
      <c r="AB18" s="68">
        <f>Таблица2242[[#This Row],[Доход, 
грн/рейс]]-Таблица2242[[#This Row],[СС 1-го рейса, 
грн/рейс]]</f>
        <v>-8723.119999999999</v>
      </c>
      <c r="AC18" s="77" t="e">
        <f>ROUNDDOWN(30/Таблица2242[[#This Row],[Плановое время в рейсе, 
сутки]],0)</f>
        <v>#DIV/0!</v>
      </c>
      <c r="AD18" s="93" t="e">
        <f>Таблица2242[[#This Row],[Доход, 
грн/рейс]]*Таблица2242[[#This Row],[Возможное количество рейсов в месяц]]</f>
        <v>#DIV/0!</v>
      </c>
      <c r="AE18" s="93" t="e">
        <f>Таблица2242[[#This Row],[Возможное количество рейсов в месяц]]*Таблица2242[[#This Row],[СС 1-го рейса, 
грн/рейс]]</f>
        <v>#DIV/0!</v>
      </c>
      <c r="AF18" s="93" t="e">
        <f>Таблица2242[[#This Row],[Доход в месяц, 
грн]]-Таблица2242[[#This Row],[Затраты на предполагаемые рейсы за месяц, 
грн]]</f>
        <v>#DIV/0!</v>
      </c>
      <c r="AG18" s="81" t="s">
        <v>79</v>
      </c>
      <c r="AH18" s="94"/>
    </row>
    <row r="19" spans="1:34" ht="13.2" x14ac:dyDescent="0.25">
      <c r="A19" s="1" t="s">
        <v>55</v>
      </c>
      <c r="B19" s="1" t="s">
        <v>34</v>
      </c>
      <c r="C19" s="100"/>
      <c r="D19" s="101"/>
      <c r="E19" s="101"/>
      <c r="F19" s="102">
        <v>45628</v>
      </c>
      <c r="G19" s="69">
        <v>45646.6875</v>
      </c>
      <c r="H19" s="69">
        <v>45650.895833333336</v>
      </c>
      <c r="I19" s="1" t="s">
        <v>56</v>
      </c>
      <c r="J19" s="103"/>
      <c r="K19" s="104"/>
      <c r="L19" s="61"/>
      <c r="M19" s="61"/>
      <c r="N19" s="105"/>
      <c r="O19" s="106">
        <f>ROUNDUP(SUM(Таблица2242[[#This Row],[Плановое время в дороге, 
сутки]:[Плановое время простоя, 
сутки]]),0)</f>
        <v>0</v>
      </c>
      <c r="P19" s="106" t="s">
        <v>52</v>
      </c>
      <c r="Q19" s="61" t="s">
        <v>35</v>
      </c>
      <c r="R19" s="103">
        <v>1</v>
      </c>
      <c r="S19" s="107"/>
      <c r="T19" s="108">
        <v>34200</v>
      </c>
      <c r="U19" s="67">
        <v>595</v>
      </c>
      <c r="V19" s="67"/>
      <c r="W19" s="67">
        <f>SUM(Таблица2242[[#This Row],[Километраж по Украине, 
км]:[Километраж по Европе,
км]])</f>
        <v>595</v>
      </c>
      <c r="X19" s="67">
        <f>Таблица2242[[#This Row],[Вес, т]]*Таблица2242[[#This Row],[Стоимость, 
грн/т]]</f>
        <v>34200</v>
      </c>
      <c r="Y19" s="109">
        <f>Таблица2242[[#This Row],[Доход, 
грн/рейс]]/Таблица2242[[#This Row],[Общий километраж, 
км]]</f>
        <v>57.478991596638657</v>
      </c>
      <c r="Z19" s="109">
        <f>Таблица2242[[#This Row],[Километраж по Украине, 
км]]*10</f>
        <v>5950</v>
      </c>
      <c r="AA19" s="109">
        <f>Таблица2242[[#This Row],[Километраж по Украине, 
км]]/100*32*57+Таблица2242[[#This Row],[Зарплата водителя, грн]]</f>
        <v>16802.800000000003</v>
      </c>
      <c r="AB19" s="68">
        <f>Таблица2242[[#This Row],[Доход, 
грн/рейс]]-Таблица2242[[#This Row],[СС 1-го рейса, 
грн/рейс]]</f>
        <v>17397.199999999997</v>
      </c>
      <c r="AC19" s="1" t="e">
        <f>ROUNDDOWN(30/Таблица2242[[#This Row],[Плановое время в рейсе, 
сутки]],0)</f>
        <v>#DIV/0!</v>
      </c>
      <c r="AD19" s="5" t="e">
        <f>Таблица2242[[#This Row],[Доход, 
грн/рейс]]*Таблица2242[[#This Row],[Возможное количество рейсов в месяц]]</f>
        <v>#DIV/0!</v>
      </c>
      <c r="AE19" s="5" t="e">
        <f>Таблица2242[[#This Row],[Возможное количество рейсов в месяц]]*Таблица2242[[#This Row],[СС 1-го рейса, 
грн/рейс]]</f>
        <v>#DIV/0!</v>
      </c>
      <c r="AF19" s="5" t="e">
        <f>Таблица2242[[#This Row],[Доход в месяц, 
грн]]-Таблица2242[[#This Row],[Затраты на предполагаемые рейсы за месяц, 
грн]]</f>
        <v>#DIV/0!</v>
      </c>
      <c r="AG19" s="1" t="s">
        <v>82</v>
      </c>
      <c r="AH19" s="110"/>
    </row>
    <row r="20" spans="1:34" ht="13.2" x14ac:dyDescent="0.25">
      <c r="A20" s="1" t="s">
        <v>65</v>
      </c>
      <c r="B20" s="1" t="s">
        <v>34</v>
      </c>
      <c r="C20" s="100"/>
      <c r="D20" s="101"/>
      <c r="E20" s="101"/>
      <c r="F20" s="102">
        <v>45628</v>
      </c>
      <c r="G20" s="69">
        <v>45650.895833333336</v>
      </c>
      <c r="H20" s="69">
        <v>45651.875</v>
      </c>
      <c r="I20" s="1" t="s">
        <v>80</v>
      </c>
      <c r="J20" s="103"/>
      <c r="K20" s="104"/>
      <c r="L20" s="61"/>
      <c r="M20" s="61"/>
      <c r="N20" s="105"/>
      <c r="O20" s="111">
        <v>0</v>
      </c>
      <c r="P20" s="106" t="s">
        <v>52</v>
      </c>
      <c r="Q20" s="61" t="s">
        <v>35</v>
      </c>
      <c r="R20" s="103">
        <v>1</v>
      </c>
      <c r="S20" s="107"/>
      <c r="T20" s="108">
        <v>10000</v>
      </c>
      <c r="U20" s="67">
        <v>678</v>
      </c>
      <c r="V20" s="67"/>
      <c r="W20" s="67">
        <f>SUM(Таблица2242[[#This Row],[Километраж по Украине, 
км]:[Километраж по Европе,
км]])</f>
        <v>678</v>
      </c>
      <c r="X20" s="67">
        <f>Таблица2242[[#This Row],[Вес, т]]*Таблица2242[[#This Row],[Стоимость, 
грн/т]]</f>
        <v>10000</v>
      </c>
      <c r="Y20" s="109">
        <f>Таблица2242[[#This Row],[Доход, 
грн/рейс]]/Таблица2242[[#This Row],[Общий километраж, 
км]]</f>
        <v>14.749262536873156</v>
      </c>
      <c r="Z20" s="109">
        <f>Таблица2242[[#This Row],[Километраж по Украине, 
км]]*10</f>
        <v>6780</v>
      </c>
      <c r="AA20" s="109">
        <f>Таблица2242[[#This Row],[Километраж по Украине, 
км]]/100*32*57+Таблица2242[[#This Row],[Зарплата водителя, грн]]</f>
        <v>19146.72</v>
      </c>
      <c r="AB20" s="68">
        <f>Таблица2242[[#This Row],[Доход, 
грн/рейс]]-Таблица2242[[#This Row],[СС 1-го рейса, 
грн/рейс]]</f>
        <v>-9146.7200000000012</v>
      </c>
      <c r="AC20" s="1" t="e">
        <f>ROUNDDOWN(30/Таблица2242[[#This Row],[Плановое время в рейсе, 
сутки]],0)</f>
        <v>#DIV/0!</v>
      </c>
      <c r="AD20" s="5" t="e">
        <f>Таблица2242[[#This Row],[Доход, 
грн/рейс]]*Таблица2242[[#This Row],[Возможное количество рейсов в месяц]]</f>
        <v>#DIV/0!</v>
      </c>
      <c r="AE20" s="5" t="e">
        <f>Таблица2242[[#This Row],[Возможное количество рейсов в месяц]]*Таблица2242[[#This Row],[СС 1-го рейса, 
грн/рейс]]</f>
        <v>#DIV/0!</v>
      </c>
      <c r="AF20" s="5" t="e">
        <f>Таблица2242[[#This Row],[Доход в месяц, 
грн]]-Таблица2242[[#This Row],[Затраты на предполагаемые рейсы за месяц, 
грн]]</f>
        <v>#DIV/0!</v>
      </c>
      <c r="AG20" s="1" t="s">
        <v>83</v>
      </c>
      <c r="AH20" s="110"/>
    </row>
    <row r="21" spans="1:34" ht="13.2" x14ac:dyDescent="0.25">
      <c r="A21" s="1" t="s">
        <v>65</v>
      </c>
      <c r="B21" s="1" t="s">
        <v>34</v>
      </c>
      <c r="C21" s="100"/>
      <c r="D21" s="101"/>
      <c r="E21" s="101"/>
      <c r="F21" s="102">
        <v>45628</v>
      </c>
      <c r="G21" s="69">
        <v>45642.583333333336</v>
      </c>
      <c r="H21" s="69">
        <v>45652.75</v>
      </c>
      <c r="I21" s="1" t="s">
        <v>81</v>
      </c>
      <c r="J21" s="103"/>
      <c r="K21" s="104"/>
      <c r="L21" s="61"/>
      <c r="M21" s="61"/>
      <c r="N21" s="105"/>
      <c r="O21" s="106">
        <v>0</v>
      </c>
      <c r="P21" s="106" t="s">
        <v>54</v>
      </c>
      <c r="Q21" s="61" t="s">
        <v>35</v>
      </c>
      <c r="R21" s="103">
        <v>1</v>
      </c>
      <c r="S21" s="107"/>
      <c r="T21" s="108">
        <v>34440</v>
      </c>
      <c r="U21" s="67">
        <v>574</v>
      </c>
      <c r="V21" s="67"/>
      <c r="W21" s="67">
        <f>SUM(Таблица2242[[#This Row],[Километраж по Украине, 
км]:[Километраж по Европе,
км]])</f>
        <v>574</v>
      </c>
      <c r="X21" s="67">
        <f>Таблица2242[[#This Row],[Вес, т]]*Таблица2242[[#This Row],[Стоимость, 
грн/т]]</f>
        <v>34440</v>
      </c>
      <c r="Y21" s="109">
        <f>Таблица2242[[#This Row],[Доход, 
грн/рейс]]/Таблица2242[[#This Row],[Общий километраж, 
км]]</f>
        <v>60</v>
      </c>
      <c r="Z21" s="109">
        <f>Таблица2242[[#This Row],[Километраж по Украине, 
км]]*10</f>
        <v>5740</v>
      </c>
      <c r="AA21" s="109">
        <f>Таблица2242[[#This Row],[Километраж по Украине, 
км]]/100*32*57+Таблица2242[[#This Row],[Зарплата водителя, грн]]</f>
        <v>16209.76</v>
      </c>
      <c r="AB21" s="68">
        <f>Таблица2242[[#This Row],[Доход, 
грн/рейс]]-Таблица2242[[#This Row],[СС 1-го рейса, 
грн/рейс]]</f>
        <v>18230.239999999998</v>
      </c>
      <c r="AC21" s="1" t="e">
        <f>ROUNDDOWN(30/Таблица2242[[#This Row],[Плановое время в рейсе, 
сутки]],0)</f>
        <v>#DIV/0!</v>
      </c>
      <c r="AD21" s="5" t="e">
        <f>Таблица2242[[#This Row],[Доход, 
грн/рейс]]*Таблица2242[[#This Row],[Возможное количество рейсов в месяц]]</f>
        <v>#DIV/0!</v>
      </c>
      <c r="AE21" s="5" t="e">
        <f>Таблица2242[[#This Row],[Возможное количество рейсов в месяц]]*Таблица2242[[#This Row],[СС 1-го рейса, 
грн/рейс]]</f>
        <v>#DIV/0!</v>
      </c>
      <c r="AF21" s="5" t="e">
        <f>Таблица2242[[#This Row],[Доход в месяц, 
грн]]-Таблица2242[[#This Row],[Затраты на предполагаемые рейсы за месяц, 
грн]]</f>
        <v>#DIV/0!</v>
      </c>
      <c r="AH21" s="110"/>
    </row>
    <row r="22" spans="1:34" ht="13.2" x14ac:dyDescent="0.25">
      <c r="A22" s="1" t="s">
        <v>65</v>
      </c>
      <c r="B22" s="1" t="s">
        <v>34</v>
      </c>
      <c r="C22" s="100"/>
      <c r="D22" s="101"/>
      <c r="E22" s="101"/>
      <c r="F22" s="102">
        <v>45628</v>
      </c>
      <c r="G22" s="69">
        <v>45651.875</v>
      </c>
      <c r="H22" s="69">
        <v>45653.395833333336</v>
      </c>
      <c r="I22" s="1" t="s">
        <v>58</v>
      </c>
      <c r="J22" s="103"/>
      <c r="K22" s="104"/>
      <c r="L22" s="61"/>
      <c r="M22" s="61"/>
      <c r="N22" s="105"/>
      <c r="O22" s="111">
        <v>0</v>
      </c>
      <c r="P22" s="106" t="s">
        <v>52</v>
      </c>
      <c r="Q22" s="61" t="s">
        <v>35</v>
      </c>
      <c r="R22" s="103">
        <v>1</v>
      </c>
      <c r="S22" s="107"/>
      <c r="T22" s="108">
        <v>22680</v>
      </c>
      <c r="U22" s="67">
        <v>378</v>
      </c>
      <c r="V22" s="67"/>
      <c r="W22" s="67">
        <f>SUM(Таблица2242[[#This Row],[Километраж по Украине, 
км]:[Километраж по Европе,
км]])</f>
        <v>378</v>
      </c>
      <c r="X22" s="67">
        <f>Таблица2242[[#This Row],[Вес, т]]*Таблица2242[[#This Row],[Стоимость, 
грн/т]]</f>
        <v>22680</v>
      </c>
      <c r="Y22" s="109">
        <f>Таблица2242[[#This Row],[Доход, 
грн/рейс]]/Таблица2242[[#This Row],[Общий километраж, 
км]]</f>
        <v>60</v>
      </c>
      <c r="Z22" s="109">
        <f>Таблица2242[[#This Row],[Километраж по Украине, 
км]]*10</f>
        <v>3780</v>
      </c>
      <c r="AA22" s="109">
        <f>Таблица2242[[#This Row],[Километраж по Украине, 
км]]/100*32*57+Таблица2242[[#This Row],[Зарплата водителя, грн]]</f>
        <v>10674.72</v>
      </c>
      <c r="AB22" s="68">
        <f>Таблица2242[[#This Row],[Доход, 
грн/рейс]]-Таблица2242[[#This Row],[СС 1-го рейса, 
грн/рейс]]</f>
        <v>12005.28</v>
      </c>
      <c r="AC22" s="1" t="e">
        <f>ROUNDDOWN(30/Таблица2242[[#This Row],[Плановое время в рейсе, 
сутки]],0)</f>
        <v>#DIV/0!</v>
      </c>
      <c r="AD22" s="5" t="e">
        <f>Таблица2242[[#This Row],[Доход, 
грн/рейс]]*Таблица2242[[#This Row],[Возможное количество рейсов в месяц]]</f>
        <v>#DIV/0!</v>
      </c>
      <c r="AE22" s="5" t="e">
        <f>Таблица2242[[#This Row],[Возможное количество рейсов в месяц]]*Таблица2242[[#This Row],[СС 1-го рейса, 
грн/рейс]]</f>
        <v>#DIV/0!</v>
      </c>
      <c r="AF22" s="5" t="e">
        <f>Таблица2242[[#This Row],[Доход в месяц, 
грн]]-Таблица2242[[#This Row],[Затраты на предполагаемые рейсы за месяц, 
грн]]</f>
        <v>#DIV/0!</v>
      </c>
      <c r="AH22" s="110"/>
    </row>
    <row r="23" spans="1:34" ht="13.2" x14ac:dyDescent="0.25">
      <c r="A23" s="1" t="s">
        <v>57</v>
      </c>
      <c r="B23" s="1" t="s">
        <v>34</v>
      </c>
      <c r="C23" s="100"/>
      <c r="D23" s="101"/>
      <c r="E23" s="101"/>
      <c r="F23" s="102">
        <v>45628</v>
      </c>
      <c r="G23" s="69">
        <v>45653.395833333336</v>
      </c>
      <c r="H23" s="69">
        <v>45654.479166666664</v>
      </c>
      <c r="I23" s="1" t="s">
        <v>88</v>
      </c>
      <c r="J23" s="103"/>
      <c r="K23" s="104"/>
      <c r="L23" s="61"/>
      <c r="M23" s="61"/>
      <c r="N23" s="105"/>
      <c r="O23" s="106">
        <v>0</v>
      </c>
      <c r="P23" s="106" t="s">
        <v>52</v>
      </c>
      <c r="Q23" s="61" t="s">
        <v>36</v>
      </c>
      <c r="R23" s="103">
        <v>1</v>
      </c>
      <c r="S23" s="107"/>
      <c r="T23" s="112">
        <v>10000</v>
      </c>
      <c r="U23" s="67">
        <v>609</v>
      </c>
      <c r="V23" s="67"/>
      <c r="W23" s="67">
        <f>SUM(Таблица2242[[#This Row],[Километраж по Украине, 
км]:[Километраж по Европе,
км]])</f>
        <v>609</v>
      </c>
      <c r="X23" s="67">
        <f>Таблица2242[[#This Row],[Вес, т]]*Таблица2242[[#This Row],[Стоимость, 
грн/т]]</f>
        <v>10000</v>
      </c>
      <c r="Y23" s="109">
        <f>Таблица2242[[#This Row],[Доход, 
грн/рейс]]/Таблица2242[[#This Row],[Общий километраж, 
км]]</f>
        <v>16.420361247947454</v>
      </c>
      <c r="Z23" s="109">
        <f>Таблица2242[[#This Row],[Километраж по Украине, 
км]]*10</f>
        <v>6090</v>
      </c>
      <c r="AA23" s="109">
        <f>Таблица2242[[#This Row],[Километраж по Украине, 
км]]/100*32*57+Таблица2242[[#This Row],[Зарплата водителя, грн]]</f>
        <v>17198.16</v>
      </c>
      <c r="AB23" s="68">
        <f>Таблица2242[[#This Row],[Доход, 
грн/рейс]]-Таблица2242[[#This Row],[СС 1-го рейса, 
грн/рейс]]</f>
        <v>-7198.16</v>
      </c>
      <c r="AC23" s="1" t="e">
        <f>ROUNDDOWN(30/Таблица2242[[#This Row],[Плановое время в рейсе, 
сутки]],0)</f>
        <v>#DIV/0!</v>
      </c>
      <c r="AD23" s="5" t="e">
        <f>Таблица2242[[#This Row],[Доход, 
грн/рейс]]*Таблица2242[[#This Row],[Возможное количество рейсов в месяц]]</f>
        <v>#DIV/0!</v>
      </c>
      <c r="AE23" s="5" t="e">
        <f>Таблица2242[[#This Row],[Возможное количество рейсов в месяц]]*Таблица2242[[#This Row],[СС 1-го рейса, 
грн/рейс]]</f>
        <v>#DIV/0!</v>
      </c>
      <c r="AF23" s="5" t="e">
        <f>Таблица2242[[#This Row],[Доход в месяц, 
грн]]-Таблица2242[[#This Row],[Затраты на предполагаемые рейсы за месяц, 
грн]]</f>
        <v>#DIV/0!</v>
      </c>
      <c r="AG23" s="1" t="s">
        <v>91</v>
      </c>
      <c r="AH23" s="110"/>
    </row>
    <row r="24" spans="1:34" ht="13.2" x14ac:dyDescent="0.25">
      <c r="A24" s="195" t="s">
        <v>89</v>
      </c>
      <c r="B24" s="29" t="s">
        <v>34</v>
      </c>
      <c r="C24" s="78" t="s">
        <v>43</v>
      </c>
      <c r="D24" s="95"/>
      <c r="E24" s="95"/>
      <c r="F24" s="30">
        <v>45628</v>
      </c>
      <c r="G24" s="69">
        <v>45652.75</v>
      </c>
      <c r="H24" s="69">
        <v>45654.75</v>
      </c>
      <c r="I24" s="29" t="s">
        <v>90</v>
      </c>
      <c r="J24" s="63"/>
      <c r="K24" s="96"/>
      <c r="L24" s="64"/>
      <c r="M24" s="64"/>
      <c r="N24" s="97"/>
      <c r="O24" s="65">
        <v>0</v>
      </c>
      <c r="P24" s="65" t="s">
        <v>54</v>
      </c>
      <c r="Q24" s="64" t="s">
        <v>36</v>
      </c>
      <c r="R24" s="63">
        <v>1</v>
      </c>
      <c r="S24" s="98"/>
      <c r="T24" s="74">
        <v>4000</v>
      </c>
      <c r="U24" s="67">
        <v>511</v>
      </c>
      <c r="V24" s="67"/>
      <c r="W24" s="67">
        <f>SUM(Таблица2242[[#This Row],[Километраж по Украине, 
км]:[Километраж по Европе,
км]])</f>
        <v>511</v>
      </c>
      <c r="X24" s="67">
        <f>Таблица2242[[#This Row],[Вес, т]]*Таблица2242[[#This Row],[Стоимость, 
грн/т]]</f>
        <v>4000</v>
      </c>
      <c r="Y24" s="99">
        <f>Таблица2242[[#This Row],[Доход, 
грн/рейс]]/Таблица2242[[#This Row],[Общий километраж, 
км]]</f>
        <v>7.8277886497064575</v>
      </c>
      <c r="Z24" s="99">
        <f>Таблица2242[[#This Row],[Километраж по Украине, 
км]]*10</f>
        <v>5110</v>
      </c>
      <c r="AA24" s="99">
        <f>Таблица2242[[#This Row],[Километраж по Украине, 
км]]/100*32*57+Таблица2242[[#This Row],[Зарплата водителя, грн]]</f>
        <v>14430.640000000001</v>
      </c>
      <c r="AB24" s="68">
        <f>Таблица2242[[#This Row],[Доход, 
грн/рейс]]-Таблица2242[[#This Row],[СС 1-го рейса, 
грн/рейс]]</f>
        <v>-10430.640000000001</v>
      </c>
      <c r="AC24" s="29" t="e">
        <f>ROUNDDOWN(30/Таблица2242[[#This Row],[Плановое время в рейсе, 
сутки]],0)</f>
        <v>#DIV/0!</v>
      </c>
      <c r="AD24" s="66" t="e">
        <f>Таблица2242[[#This Row],[Доход, 
грн/рейс]]*Таблица2242[[#This Row],[Возможное количество рейсов в месяц]]</f>
        <v>#DIV/0!</v>
      </c>
      <c r="AE24" s="66" t="e">
        <f>Таблица2242[[#This Row],[Возможное количество рейсов в месяц]]*Таблица2242[[#This Row],[СС 1-го рейса, 
грн/рейс]]</f>
        <v>#DIV/0!</v>
      </c>
      <c r="AF24" s="66" t="e">
        <f>Таблица2242[[#This Row],[Доход в месяц, 
грн]]-Таблица2242[[#This Row],[Затраты на предполагаемые рейсы за месяц, 
грн]]</f>
        <v>#DIV/0!</v>
      </c>
      <c r="AG24" s="29"/>
      <c r="AH24" s="31"/>
    </row>
    <row r="25" spans="1:34" ht="13.2" x14ac:dyDescent="0.25">
      <c r="A25" s="1" t="s">
        <v>65</v>
      </c>
      <c r="B25" s="29" t="s">
        <v>34</v>
      </c>
      <c r="C25" s="71"/>
      <c r="D25" s="62"/>
      <c r="E25" s="62"/>
      <c r="F25" s="30">
        <v>45660</v>
      </c>
      <c r="G25" s="69">
        <v>45654.75</v>
      </c>
      <c r="H25" s="69">
        <v>45661.5</v>
      </c>
      <c r="I25" s="1" t="s">
        <v>58</v>
      </c>
      <c r="J25" s="14"/>
      <c r="K25" s="72"/>
      <c r="L25" s="15"/>
      <c r="M25" s="15"/>
      <c r="N25" s="16"/>
      <c r="O25" s="70">
        <f>ROUNDUP(SUM(Таблица2242[[#This Row],[Плановое время в дороге, 
сутки]:[Плановое время простоя, 
сутки]]),0)</f>
        <v>0</v>
      </c>
      <c r="P25" s="106" t="s">
        <v>54</v>
      </c>
      <c r="Q25" s="61" t="s">
        <v>35</v>
      </c>
      <c r="R25" s="63">
        <v>1</v>
      </c>
      <c r="S25" s="19"/>
      <c r="T25" s="66">
        <v>22920</v>
      </c>
      <c r="U25" s="67">
        <v>382</v>
      </c>
      <c r="V25" s="67"/>
      <c r="W25" s="67">
        <f>SUM(Таблица2242[[#This Row],[Километраж по Украине, 
км]:[Километраж по Европе,
км]])</f>
        <v>382</v>
      </c>
      <c r="X25" s="67">
        <f>Таблица2242[[#This Row],[Вес, т]]*Таблица2242[[#This Row],[Стоимость, 
грн/т]]</f>
        <v>22920</v>
      </c>
      <c r="Y25" s="99">
        <f>Таблица2242[[#This Row],[Доход, 
грн/рейс]]/Таблица2242[[#This Row],[Общий километраж, 
км]]</f>
        <v>60</v>
      </c>
      <c r="Z25" s="99">
        <f>Таблица2242[[#This Row],[Километраж по Украине, 
км]]*10</f>
        <v>3820</v>
      </c>
      <c r="AA25" s="32">
        <f>Таблица2242[[#This Row],[Километраж по Украине, 
км]]/100*32*57+Таблица2242[[#This Row],[Зарплата водителя, грн]]</f>
        <v>10787.68</v>
      </c>
      <c r="AB25" s="68">
        <f>Таблица2242[[#This Row],[Доход, 
грн/рейс]]-Таблица2242[[#This Row],[СС 1-го рейса, 
грн/рейс]]</f>
        <v>12132.32</v>
      </c>
      <c r="AC25" s="12" t="e">
        <f>ROUNDDOWN(30/Таблица2242[[#This Row],[Плановое время в рейсе, 
сутки]],0)</f>
        <v>#DIV/0!</v>
      </c>
      <c r="AD25" s="18" t="e">
        <f>Таблица2242[[#This Row],[Доход, 
грн/рейс]]*Таблица2242[[#This Row],[Возможное количество рейсов в месяц]]</f>
        <v>#DIV/0!</v>
      </c>
      <c r="AE25" s="18" t="e">
        <f>Таблица2242[[#This Row],[Возможное количество рейсов в месяц]]*Таблица2242[[#This Row],[СС 1-го рейса, 
грн/рейс]]</f>
        <v>#DIV/0!</v>
      </c>
      <c r="AF25" s="18" t="e">
        <f>Таблица2242[[#This Row],[Доход в месяц, 
грн]]-Таблица2242[[#This Row],[Затраты на предполагаемые рейсы за месяц, 
грн]]</f>
        <v>#DIV/0!</v>
      </c>
      <c r="AG25" s="1" t="s">
        <v>92</v>
      </c>
      <c r="AH25" s="31"/>
    </row>
    <row r="26" spans="1:34" ht="13.2" x14ac:dyDescent="0.25">
      <c r="A26" s="1" t="s">
        <v>57</v>
      </c>
      <c r="B26" s="29" t="s">
        <v>34</v>
      </c>
      <c r="C26" s="71"/>
      <c r="D26" s="62"/>
      <c r="E26" s="62"/>
      <c r="F26" s="30">
        <v>45660</v>
      </c>
      <c r="G26" s="69">
        <v>45661.5</v>
      </c>
      <c r="H26" s="69">
        <v>45664.458333333336</v>
      </c>
      <c r="I26" s="1" t="s">
        <v>88</v>
      </c>
      <c r="J26" s="14"/>
      <c r="K26" s="72"/>
      <c r="L26" s="15"/>
      <c r="M26" s="15"/>
      <c r="N26" s="16"/>
      <c r="O26" s="17">
        <f>ROUNDUP(SUM(Таблица2242[[#This Row],[Плановое время в дороге, 
сутки]:[Плановое время простоя, 
сутки]]),0)</f>
        <v>0</v>
      </c>
      <c r="P26" s="106" t="s">
        <v>54</v>
      </c>
      <c r="Q26" s="64" t="s">
        <v>36</v>
      </c>
      <c r="R26" s="63">
        <v>1</v>
      </c>
      <c r="S26" s="19"/>
      <c r="T26" s="66">
        <v>10000</v>
      </c>
      <c r="U26" s="67">
        <v>621</v>
      </c>
      <c r="V26" s="67"/>
      <c r="W26" s="67">
        <v>621</v>
      </c>
      <c r="X26" s="67">
        <v>10000</v>
      </c>
      <c r="Y26" s="99">
        <f>Таблица2242[[#This Row],[Доход, 
грн/рейс]]/Таблица2242[[#This Row],[Общий километраж, 
км]]</f>
        <v>16.103059581320451</v>
      </c>
      <c r="Z26" s="99">
        <f>Таблица2242[[#This Row],[Километраж по Украине, 
км]]*10</f>
        <v>6210</v>
      </c>
      <c r="AA26" s="32">
        <f>Таблица2242[[#This Row],[Километраж по Украине, 
км]]/100*32*57+Таблица2242[[#This Row],[Зарплата водителя, грн]]</f>
        <v>17537.04</v>
      </c>
      <c r="AB26" s="68">
        <f>Таблица2242[[#This Row],[Доход, 
грн/рейс]]-Таблица2242[[#This Row],[СС 1-го рейса, 
грн/рейс]]</f>
        <v>-7537.0400000000009</v>
      </c>
      <c r="AC26" s="12" t="e">
        <f>ROUNDDOWN(30/Таблица2242[[#This Row],[Плановое время в рейсе, 
сутки]],0)</f>
        <v>#DIV/0!</v>
      </c>
      <c r="AD26" s="18" t="e">
        <f>Таблица2242[[#This Row],[Доход, 
грн/рейс]]*Таблица2242[[#This Row],[Возможное количество рейсов в месяц]]</f>
        <v>#DIV/0!</v>
      </c>
      <c r="AE26" s="18" t="e">
        <f>Таблица2242[[#This Row],[Возможное количество рейсов в месяц]]*Таблица2242[[#This Row],[СС 1-го рейса, 
грн/рейс]]</f>
        <v>#DIV/0!</v>
      </c>
      <c r="AF26" s="18" t="e">
        <f>Таблица2242[[#This Row],[Доход в месяц, 
грн]]-Таблица2242[[#This Row],[Затраты на предполагаемые рейсы за месяц, 
грн]]</f>
        <v>#DIV/0!</v>
      </c>
      <c r="AG26" s="29"/>
      <c r="AH26" s="31"/>
    </row>
    <row r="27" spans="1:34" ht="13.2" x14ac:dyDescent="0.25">
      <c r="A27" s="13" t="s">
        <v>96</v>
      </c>
      <c r="B27" s="29" t="s">
        <v>34</v>
      </c>
      <c r="C27" s="71"/>
      <c r="D27" s="62"/>
      <c r="E27" s="62"/>
      <c r="F27" s="30">
        <v>45660</v>
      </c>
      <c r="G27" s="69">
        <v>45664.458333333336</v>
      </c>
      <c r="H27" s="69">
        <v>45664.791666666664</v>
      </c>
      <c r="I27" s="29" t="s">
        <v>94</v>
      </c>
      <c r="J27" s="14"/>
      <c r="K27" s="72"/>
      <c r="L27" s="15"/>
      <c r="M27" s="15"/>
      <c r="N27" s="16"/>
      <c r="O27" s="17">
        <f>ROUNDUP(SUM(Таблица2242[[#This Row],[Плановое время в дороге, 
сутки]:[Плановое время простоя, 
сутки]]),0)</f>
        <v>0</v>
      </c>
      <c r="P27" s="65" t="s">
        <v>95</v>
      </c>
      <c r="Q27" s="64" t="s">
        <v>93</v>
      </c>
      <c r="R27" s="63"/>
      <c r="S27" s="19"/>
      <c r="T27" s="66"/>
      <c r="U27" s="67">
        <v>162</v>
      </c>
      <c r="V27" s="67"/>
      <c r="W27" s="67">
        <f>SUM(Таблица2242[[#This Row],[Километраж по Украине, 
км]:[Километраж по Европе,
км]])</f>
        <v>162</v>
      </c>
      <c r="X27" s="67">
        <f>Таблица2242[[#This Row],[Вес, т]]*Таблица2242[[#This Row],[Стоимость, 
грн/т]]</f>
        <v>0</v>
      </c>
      <c r="Y27" s="32">
        <f>Таблица2242[[#This Row],[Доход, 
грн/рейс]]/Таблица2242[[#This Row],[Общий километраж, 
км]]</f>
        <v>0</v>
      </c>
      <c r="Z27" s="32">
        <f>Таблица2242[[#This Row],[Километраж по Украине, 
км]]*10</f>
        <v>1620</v>
      </c>
      <c r="AA27" s="32">
        <f>Таблица2242[[#This Row],[Километраж по Украине, 
км]]/100*32*57+Таблица2242[[#This Row],[Зарплата водителя, грн]]</f>
        <v>4574.88</v>
      </c>
      <c r="AB27" s="68">
        <f>Таблица2242[[#This Row],[Доход, 
грн/рейс]]-Таблица2242[[#This Row],[СС 1-го рейса, 
грн/рейс]]</f>
        <v>-4574.88</v>
      </c>
      <c r="AC27" s="12" t="e">
        <f>ROUNDDOWN(30/Таблица2242[[#This Row],[Плановое время в рейсе, 
сутки]],0)</f>
        <v>#DIV/0!</v>
      </c>
      <c r="AD27" s="18" t="e">
        <f>Таблица2242[[#This Row],[Доход, 
грн/рейс]]*Таблица2242[[#This Row],[Возможное количество рейсов в месяц]]</f>
        <v>#DIV/0!</v>
      </c>
      <c r="AE27" s="18" t="e">
        <f>Таблица2242[[#This Row],[Возможное количество рейсов в месяц]]*Таблица2242[[#This Row],[СС 1-го рейса, 
грн/рейс]]</f>
        <v>#DIV/0!</v>
      </c>
      <c r="AF27" s="18" t="e">
        <f>Таблица2242[[#This Row],[Доход в месяц, 
грн]]-Таблица2242[[#This Row],[Затраты на предполагаемые рейсы за месяц, 
грн]]</f>
        <v>#DIV/0!</v>
      </c>
      <c r="AG27" s="29"/>
      <c r="AH27" s="31" t="s">
        <v>53</v>
      </c>
    </row>
    <row r="28" spans="1:34" ht="13.2" x14ac:dyDescent="0.25">
      <c r="A28" s="13" t="s">
        <v>55</v>
      </c>
      <c r="B28" s="12" t="s">
        <v>99</v>
      </c>
      <c r="C28" s="71"/>
      <c r="D28" s="62"/>
      <c r="E28" s="62"/>
      <c r="F28" s="30">
        <v>45660</v>
      </c>
      <c r="G28" s="69">
        <v>45664.458333333336</v>
      </c>
      <c r="H28" s="69">
        <v>45670.916666666664</v>
      </c>
      <c r="I28" s="29" t="s">
        <v>98</v>
      </c>
      <c r="J28" s="14"/>
      <c r="K28" s="72"/>
      <c r="L28" s="15"/>
      <c r="M28" s="15"/>
      <c r="N28" s="16"/>
      <c r="O28" s="70">
        <f>ROUNDUP(SUM(Таблица2242[[#This Row],[Плановое время в дороге, 
сутки]:[Плановое время простоя, 
сутки]]),0)</f>
        <v>0</v>
      </c>
      <c r="P28" s="106" t="s">
        <v>54</v>
      </c>
      <c r="Q28" s="61" t="s">
        <v>35</v>
      </c>
      <c r="R28" s="63">
        <v>1</v>
      </c>
      <c r="S28" s="19"/>
      <c r="T28" s="66"/>
      <c r="U28" s="67">
        <v>103</v>
      </c>
      <c r="V28" s="67"/>
      <c r="W28" s="67">
        <f>SUM(Таблица2242[[#This Row],[Километраж по Украине, 
км]:[Километраж по Европе,
км]])</f>
        <v>103</v>
      </c>
      <c r="X28" s="67"/>
      <c r="Y28" s="32">
        <f>Таблица2242[[#This Row],[Доход, 
грн/рейс]]/Таблица2242[[#This Row],[Общий километраж, 
км]]</f>
        <v>0</v>
      </c>
      <c r="Z28" s="32">
        <f>Таблица2242[[#This Row],[Километраж по Украине, 
км]]*10</f>
        <v>1030</v>
      </c>
      <c r="AA28" s="32">
        <f>Таблица2242[[#This Row],[Километраж по Украине, 
км]]/100*32*57+Таблица2242[[#This Row],[Зарплата водителя, грн]]</f>
        <v>2908.7200000000003</v>
      </c>
      <c r="AB28" s="68">
        <f>Таблица2242[[#This Row],[Доход, 
грн/рейс]]-Таблица2242[[#This Row],[СС 1-го рейса, 
грн/рейс]]</f>
        <v>-2908.7200000000003</v>
      </c>
      <c r="AC28" s="12" t="e">
        <f>ROUNDDOWN(30/Таблица2242[[#This Row],[Плановое время в рейсе, 
сутки]],0)</f>
        <v>#DIV/0!</v>
      </c>
      <c r="AD28" s="18" t="e">
        <f>Таблица2242[[#This Row],[Доход, 
грн/рейс]]*Таблица2242[[#This Row],[Возможное количество рейсов в месяц]]</f>
        <v>#DIV/0!</v>
      </c>
      <c r="AE28" s="18" t="e">
        <f>Таблица2242[[#This Row],[Возможное количество рейсов в месяц]]*Таблица2242[[#This Row],[СС 1-го рейса, 
грн/рейс]]</f>
        <v>#DIV/0!</v>
      </c>
      <c r="AF28" s="18" t="e">
        <f>Таблица2242[[#This Row],[Доход в месяц, 
грн]]-Таблица2242[[#This Row],[Затраты на предполагаемые рейсы за месяц, 
грн]]</f>
        <v>#DIV/0!</v>
      </c>
      <c r="AG28" s="29"/>
      <c r="AH28" s="31" t="s">
        <v>107</v>
      </c>
    </row>
    <row r="29" spans="1:34" ht="13.2" x14ac:dyDescent="0.25">
      <c r="A29" s="13" t="s">
        <v>55</v>
      </c>
      <c r="B29" s="29" t="s">
        <v>34</v>
      </c>
      <c r="C29" s="71"/>
      <c r="D29" s="62"/>
      <c r="E29" s="62"/>
      <c r="F29" s="30">
        <v>45660</v>
      </c>
      <c r="G29" s="69">
        <v>45654.479166666664</v>
      </c>
      <c r="H29" s="69">
        <v>45671.625</v>
      </c>
      <c r="I29" s="29" t="s">
        <v>97</v>
      </c>
      <c r="J29" s="14"/>
      <c r="K29" s="72"/>
      <c r="L29" s="15"/>
      <c r="M29" s="15"/>
      <c r="N29" s="16"/>
      <c r="O29" s="17">
        <f>ROUNDUP(SUM(Таблица2242[[#This Row],[Плановое время в дороге, 
сутки]:[Плановое время простоя, 
сутки]]),0)</f>
        <v>0</v>
      </c>
      <c r="P29" s="106" t="s">
        <v>52</v>
      </c>
      <c r="Q29" s="61" t="s">
        <v>35</v>
      </c>
      <c r="R29" s="63">
        <v>1</v>
      </c>
      <c r="S29" s="19"/>
      <c r="T29" s="66">
        <v>28500</v>
      </c>
      <c r="U29" s="149">
        <v>578</v>
      </c>
      <c r="V29" s="67"/>
      <c r="W29" s="67">
        <f>SUM(Таблица2242[[#This Row],[Километраж по Украине, 
км]:[Километраж по Европе,
км]])</f>
        <v>578</v>
      </c>
      <c r="X29" s="67">
        <f>Таблица2242[[#This Row],[Вес, т]]*Таблица2242[[#This Row],[Стоимость, 
грн/т]]</f>
        <v>28500</v>
      </c>
      <c r="Y29" s="32">
        <f>Таблица2242[[#This Row],[Доход, 
грн/рейс]]/Таблица2242[[#This Row],[Общий километраж, 
км]]</f>
        <v>49.307958477508649</v>
      </c>
      <c r="Z29" s="32">
        <f>Таблица2242[[#This Row],[Километраж по Украине, 
км]]*10</f>
        <v>5780</v>
      </c>
      <c r="AA29" s="32">
        <f>Таблица2242[[#This Row],[Километраж по Украине, 
км]]/100*32*57+Таблица2242[[#This Row],[Зарплата водителя, грн]]</f>
        <v>16322.720000000001</v>
      </c>
      <c r="AB29" s="68">
        <f>Таблица2242[[#This Row],[Доход, 
грн/рейс]]-Таблица2242[[#This Row],[СС 1-го рейса, 
грн/рейс]]</f>
        <v>12177.279999999999</v>
      </c>
      <c r="AC29" s="12" t="e">
        <f>ROUNDDOWN(30/Таблица2242[[#This Row],[Плановое время в рейсе, 
сутки]],0)</f>
        <v>#DIV/0!</v>
      </c>
      <c r="AD29" s="18" t="e">
        <f>Таблица2242[[#This Row],[Доход, 
грн/рейс]]*Таблица2242[[#This Row],[Возможное количество рейсов в месяц]]</f>
        <v>#DIV/0!</v>
      </c>
      <c r="AE29" s="18" t="e">
        <f>Таблица2242[[#This Row],[Возможное количество рейсов в месяц]]*Таблица2242[[#This Row],[СС 1-го рейса, 
грн/рейс]]</f>
        <v>#DIV/0!</v>
      </c>
      <c r="AF29" s="18" t="e">
        <f>Таблица2242[[#This Row],[Доход в месяц, 
грн]]-Таблица2242[[#This Row],[Затраты на предполагаемые рейсы за месяц, 
грн]]</f>
        <v>#DIV/0!</v>
      </c>
      <c r="AG29" s="1" t="s">
        <v>101</v>
      </c>
      <c r="AH29" s="31" t="s">
        <v>53</v>
      </c>
    </row>
    <row r="30" spans="1:34" ht="13.2" x14ac:dyDescent="0.25">
      <c r="A30" s="13" t="s">
        <v>55</v>
      </c>
      <c r="B30" s="29" t="s">
        <v>34</v>
      </c>
      <c r="C30" s="71"/>
      <c r="D30" s="62"/>
      <c r="E30" s="62"/>
      <c r="F30" s="30">
        <v>45660</v>
      </c>
      <c r="G30" s="69">
        <v>45664.791666666664</v>
      </c>
      <c r="H30" s="69">
        <v>45673.375</v>
      </c>
      <c r="I30" s="29" t="s">
        <v>100</v>
      </c>
      <c r="J30" s="14"/>
      <c r="K30" s="72"/>
      <c r="L30" s="15"/>
      <c r="M30" s="15"/>
      <c r="N30" s="16"/>
      <c r="O30" s="17">
        <f>ROUNDUP(SUM(Таблица2242[[#This Row],[Плановое время в дороге, 
сутки]:[Плановое время простоя, 
сутки]]),0)</f>
        <v>0</v>
      </c>
      <c r="P30" s="65" t="s">
        <v>95</v>
      </c>
      <c r="Q30" s="61" t="s">
        <v>35</v>
      </c>
      <c r="R30" s="63">
        <v>1</v>
      </c>
      <c r="S30" s="19"/>
      <c r="T30" s="66">
        <v>29700</v>
      </c>
      <c r="U30" s="67">
        <v>495</v>
      </c>
      <c r="V30" s="67"/>
      <c r="W30" s="67">
        <f>SUM(Таблица2242[[#This Row],[Километраж по Украине, 
км]:[Километраж по Европе,
км]])</f>
        <v>495</v>
      </c>
      <c r="X30" s="67">
        <f>Таблица2242[[#This Row],[Вес, т]]*Таблица2242[[#This Row],[Стоимость, 
грн/т]]</f>
        <v>29700</v>
      </c>
      <c r="Y30" s="32">
        <f>Таблица2242[[#This Row],[Доход, 
грн/рейс]]/Таблица2242[[#This Row],[Общий километраж, 
км]]</f>
        <v>60</v>
      </c>
      <c r="Z30" s="32">
        <f>Таблица2242[[#This Row],[Километраж по Украине, 
км]]*10</f>
        <v>4950</v>
      </c>
      <c r="AA30" s="32">
        <f>Таблица2242[[#This Row],[Километраж по Украине, 
км]]/100*32*57+Таблица2242[[#This Row],[Зарплата водителя, грн]]</f>
        <v>13978.800000000001</v>
      </c>
      <c r="AB30" s="68">
        <f>Таблица2242[[#This Row],[Доход, 
грн/рейс]]-Таблица2242[[#This Row],[СС 1-го рейса, 
грн/рейс]]</f>
        <v>15721.199999999999</v>
      </c>
      <c r="AC30" s="12" t="e">
        <f>ROUNDDOWN(30/Таблица2242[[#This Row],[Плановое время в рейсе, 
сутки]],0)</f>
        <v>#DIV/0!</v>
      </c>
      <c r="AD30" s="18" t="e">
        <f>Таблица2242[[#This Row],[Доход, 
грн/рейс]]*Таблица2242[[#This Row],[Возможное количество рейсов в месяц]]</f>
        <v>#DIV/0!</v>
      </c>
      <c r="AE30" s="18" t="e">
        <f>Таблица2242[[#This Row],[Возможное количество рейсов в месяц]]*Таблица2242[[#This Row],[СС 1-го рейса, 
грн/рейс]]</f>
        <v>#DIV/0!</v>
      </c>
      <c r="AF30" s="18" t="e">
        <f>Таблица2242[[#This Row],[Доход в месяц, 
грн]]-Таблица2242[[#This Row],[Затраты на предполагаемые рейсы за месяц, 
грн]]</f>
        <v>#DIV/0!</v>
      </c>
      <c r="AG30" s="1" t="s">
        <v>104</v>
      </c>
      <c r="AH30" s="31" t="s">
        <v>107</v>
      </c>
    </row>
    <row r="31" spans="1:34" ht="13.2" x14ac:dyDescent="0.25">
      <c r="A31" s="13" t="s">
        <v>103</v>
      </c>
      <c r="B31" s="29" t="s">
        <v>34</v>
      </c>
      <c r="C31" s="71"/>
      <c r="D31" s="62"/>
      <c r="E31" s="62"/>
      <c r="F31" s="30">
        <v>45660</v>
      </c>
      <c r="G31" s="69">
        <v>45671.625</v>
      </c>
      <c r="H31" s="69">
        <v>45673.375</v>
      </c>
      <c r="I31" s="29" t="s">
        <v>102</v>
      </c>
      <c r="J31" s="14"/>
      <c r="K31" s="72"/>
      <c r="L31" s="15"/>
      <c r="M31" s="15"/>
      <c r="N31" s="16"/>
      <c r="O31" s="70">
        <f>ROUNDUP(SUM(Таблица2242[[#This Row],[Плановое время в дороге, 
сутки]:[Плановое время простоя, 
сутки]]),0)</f>
        <v>0</v>
      </c>
      <c r="P31" s="106" t="s">
        <v>52</v>
      </c>
      <c r="Q31" s="61" t="s">
        <v>35</v>
      </c>
      <c r="R31" s="63">
        <v>1</v>
      </c>
      <c r="S31" s="19"/>
      <c r="T31" s="66">
        <v>24000</v>
      </c>
      <c r="U31" s="149">
        <v>490</v>
      </c>
      <c r="V31" s="67"/>
      <c r="W31" s="67">
        <f>SUM(Таблица2242[[#This Row],[Километраж по Украине, 
км]:[Километраж по Европе,
км]])</f>
        <v>490</v>
      </c>
      <c r="X31" s="67">
        <f>Таблица2242[[#This Row],[Вес, т]]*Таблица2242[[#This Row],[Стоимость, 
грн/т]]</f>
        <v>24000</v>
      </c>
      <c r="Y31" s="32">
        <f>Таблица2242[[#This Row],[Доход, 
грн/рейс]]/Таблица2242[[#This Row],[Общий километраж, 
км]]</f>
        <v>48.979591836734691</v>
      </c>
      <c r="Z31" s="32">
        <f>Таблица2242[[#This Row],[Километраж по Украине, 
км]]*10</f>
        <v>4900</v>
      </c>
      <c r="AA31" s="32">
        <f>Таблица2242[[#This Row],[Километраж по Украине, 
км]]/100*32*57+Таблица2242[[#This Row],[Зарплата водителя, грн]]</f>
        <v>13837.6</v>
      </c>
      <c r="AB31" s="68">
        <f>Таблица2242[[#This Row],[Доход, 
грн/рейс]]-Таблица2242[[#This Row],[СС 1-го рейса, 
грн/рейс]]</f>
        <v>10162.4</v>
      </c>
      <c r="AC31" s="12" t="e">
        <f>ROUNDDOWN(30/Таблица2242[[#This Row],[Плановое время в рейсе, 
сутки]],0)</f>
        <v>#DIV/0!</v>
      </c>
      <c r="AD31" s="18" t="e">
        <f>Таблица2242[[#This Row],[Доход, 
грн/рейс]]*Таблица2242[[#This Row],[Возможное количество рейсов в месяц]]</f>
        <v>#DIV/0!</v>
      </c>
      <c r="AE31" s="18" t="e">
        <f>Таблица2242[[#This Row],[Возможное количество рейсов в месяц]]*Таблица2242[[#This Row],[СС 1-го рейса, 
грн/рейс]]</f>
        <v>#DIV/0!</v>
      </c>
      <c r="AF31" s="18" t="e">
        <f>Таблица2242[[#This Row],[Доход в месяц, 
грн]]-Таблица2242[[#This Row],[Затраты на предполагаемые рейсы за месяц, 
грн]]</f>
        <v>#DIV/0!</v>
      </c>
      <c r="AG31" s="29"/>
      <c r="AH31" s="31" t="s">
        <v>53</v>
      </c>
    </row>
    <row r="32" spans="1:34" ht="13.2" x14ac:dyDescent="0.25">
      <c r="A32" s="1" t="s">
        <v>57</v>
      </c>
      <c r="B32" s="29" t="s">
        <v>34</v>
      </c>
      <c r="C32" s="71"/>
      <c r="D32" s="62"/>
      <c r="E32" s="62"/>
      <c r="F32" s="30">
        <v>45660</v>
      </c>
      <c r="G32" s="69">
        <v>45673.375</v>
      </c>
      <c r="H32" s="69">
        <v>45674.4375</v>
      </c>
      <c r="I32" s="1" t="s">
        <v>88</v>
      </c>
      <c r="J32" s="14"/>
      <c r="K32" s="72"/>
      <c r="L32" s="15"/>
      <c r="M32" s="15"/>
      <c r="N32" s="16"/>
      <c r="O32" s="17">
        <f>ROUNDUP(SUM(Таблица2242[[#This Row],[Плановое время в дороге, 
сутки]:[Плановое время простоя, 
сутки]]),0)</f>
        <v>0</v>
      </c>
      <c r="P32" s="65" t="s">
        <v>95</v>
      </c>
      <c r="Q32" s="64" t="s">
        <v>36</v>
      </c>
      <c r="R32" s="63">
        <v>1</v>
      </c>
      <c r="S32" s="19"/>
      <c r="T32" s="66">
        <v>10000</v>
      </c>
      <c r="U32" s="67">
        <v>664</v>
      </c>
      <c r="V32" s="67"/>
      <c r="W32" s="67">
        <v>664</v>
      </c>
      <c r="X32" s="67">
        <v>10800</v>
      </c>
      <c r="Y32" s="32">
        <f>Таблица2242[[#This Row],[Доход, 
грн/рейс]]/Таблица2242[[#This Row],[Общий километраж, 
км]]</f>
        <v>16.265060240963855</v>
      </c>
      <c r="Z32" s="32">
        <f>Таблица2242[[#This Row],[Километраж по Украине, 
км]]*10</f>
        <v>6640</v>
      </c>
      <c r="AA32" s="32">
        <f>Таблица2242[[#This Row],[Километраж по Украине, 
км]]/100*32*57+Таблица2242[[#This Row],[Зарплата водителя, грн]]</f>
        <v>18751.36</v>
      </c>
      <c r="AB32" s="68">
        <f>Таблица2242[[#This Row],[Доход, 
грн/рейс]]-Таблица2242[[#This Row],[СС 1-го рейса, 
грн/рейс]]</f>
        <v>-7951.3600000000006</v>
      </c>
      <c r="AC32" s="12" t="e">
        <f>ROUNDDOWN(30/Таблица2242[[#This Row],[Плановое время в рейсе, 
сутки]],0)</f>
        <v>#DIV/0!</v>
      </c>
      <c r="AD32" s="18" t="e">
        <f>Таблица2242[[#This Row],[Доход, 
грн/рейс]]*Таблица2242[[#This Row],[Возможное количество рейсов в месяц]]</f>
        <v>#DIV/0!</v>
      </c>
      <c r="AE32" s="18" t="e">
        <f>Таблица2242[[#This Row],[Возможное количество рейсов в месяц]]*Таблица2242[[#This Row],[СС 1-го рейса, 
грн/рейс]]</f>
        <v>#DIV/0!</v>
      </c>
      <c r="AF32" s="18" t="e">
        <f>Таблица2242[[#This Row],[Доход в месяц, 
грн]]-Таблица2242[[#This Row],[Затраты на предполагаемые рейсы за месяц, 
грн]]</f>
        <v>#DIV/0!</v>
      </c>
      <c r="AG32" s="1" t="s">
        <v>114</v>
      </c>
      <c r="AH32" s="31" t="s">
        <v>107</v>
      </c>
    </row>
    <row r="33" spans="1:34" ht="13.2" x14ac:dyDescent="0.25">
      <c r="A33" s="1" t="s">
        <v>57</v>
      </c>
      <c r="B33" s="29" t="s">
        <v>34</v>
      </c>
      <c r="C33" s="71"/>
      <c r="D33" s="62"/>
      <c r="E33" s="62"/>
      <c r="F33" s="30">
        <v>45660</v>
      </c>
      <c r="G33" s="69">
        <v>45673.375</v>
      </c>
      <c r="H33" s="69">
        <v>45674.4375</v>
      </c>
      <c r="I33" s="1" t="s">
        <v>88</v>
      </c>
      <c r="J33" s="14"/>
      <c r="K33" s="72"/>
      <c r="L33" s="15"/>
      <c r="M33" s="15"/>
      <c r="N33" s="16"/>
      <c r="O33" s="17">
        <f>ROUNDUP(SUM(Таблица2242[[#This Row],[Плановое время в дороге, 
сутки]:[Плановое время простоя, 
сутки]]),0)</f>
        <v>0</v>
      </c>
      <c r="P33" s="106" t="s">
        <v>52</v>
      </c>
      <c r="Q33" s="64" t="s">
        <v>36</v>
      </c>
      <c r="R33" s="63">
        <v>1</v>
      </c>
      <c r="S33" s="19"/>
      <c r="T33" s="66">
        <v>10000</v>
      </c>
      <c r="U33" s="149">
        <v>623</v>
      </c>
      <c r="V33" s="67"/>
      <c r="W33" s="67">
        <f>SUM(Таблица2242[[#This Row],[Километраж по Украине, 
км]:[Километраж по Европе,
км]])</f>
        <v>623</v>
      </c>
      <c r="X33" s="67">
        <f>Таблица2242[[#This Row],[Вес, т]]*Таблица2242[[#This Row],[Стоимость, 
грн/т]]</f>
        <v>10000</v>
      </c>
      <c r="Y33" s="32">
        <f>Таблица2242[[#This Row],[Доход, 
грн/рейс]]/Таблица2242[[#This Row],[Общий километраж, 
км]]</f>
        <v>16.051364365971107</v>
      </c>
      <c r="Z33" s="32">
        <f>Таблица2242[[#This Row],[Километраж по Украине, 
км]]*10</f>
        <v>6230</v>
      </c>
      <c r="AA33" s="32">
        <f>Таблица2242[[#This Row],[Километраж по Украине, 
км]]/100*32*57+Таблица2242[[#This Row],[Зарплата водителя, грн]]</f>
        <v>17593.52</v>
      </c>
      <c r="AB33" s="68">
        <f>Таблица2242[[#This Row],[Доход, 
грн/рейс]]-Таблица2242[[#This Row],[СС 1-го рейса, 
грн/рейс]]</f>
        <v>-7593.52</v>
      </c>
      <c r="AC33" s="12" t="e">
        <f>ROUNDDOWN(30/Таблица2242[[#This Row],[Плановое время в рейсе, 
сутки]],0)</f>
        <v>#DIV/0!</v>
      </c>
      <c r="AD33" s="18" t="e">
        <f>Таблица2242[[#This Row],[Доход, 
грн/рейс]]*Таблица2242[[#This Row],[Возможное количество рейсов в месяц]]</f>
        <v>#DIV/0!</v>
      </c>
      <c r="AE33" s="18" t="e">
        <f>Таблица2242[[#This Row],[Возможное количество рейсов в месяц]]*Таблица2242[[#This Row],[СС 1-го рейса, 
грн/рейс]]</f>
        <v>#DIV/0!</v>
      </c>
      <c r="AF33" s="18" t="e">
        <f>Таблица2242[[#This Row],[Доход в месяц, 
грн]]-Таблица2242[[#This Row],[Затраты на предполагаемые рейсы за месяц, 
грн]]</f>
        <v>#DIV/0!</v>
      </c>
      <c r="AG33" s="1" t="s">
        <v>115</v>
      </c>
      <c r="AH33" s="31" t="s">
        <v>53</v>
      </c>
    </row>
    <row r="34" spans="1:34" ht="13.2" x14ac:dyDescent="0.25">
      <c r="A34" s="13" t="s">
        <v>106</v>
      </c>
      <c r="B34" s="29" t="s">
        <v>34</v>
      </c>
      <c r="C34" s="71"/>
      <c r="D34" s="62"/>
      <c r="E34" s="62"/>
      <c r="F34" s="30">
        <v>45660</v>
      </c>
      <c r="G34" s="69">
        <v>45674.4375</v>
      </c>
      <c r="H34" s="69">
        <v>45675.583333333336</v>
      </c>
      <c r="I34" s="29" t="s">
        <v>105</v>
      </c>
      <c r="J34" s="14"/>
      <c r="K34" s="72"/>
      <c r="L34" s="15"/>
      <c r="M34" s="15"/>
      <c r="N34" s="16"/>
      <c r="O34" s="70">
        <f>ROUNDUP(SUM(Таблица2242[[#This Row],[Плановое время в дороге, 
сутки]:[Плановое время простоя, 
сутки]]),0)</f>
        <v>0</v>
      </c>
      <c r="P34" s="65" t="s">
        <v>95</v>
      </c>
      <c r="Q34" s="61" t="s">
        <v>35</v>
      </c>
      <c r="R34" s="63">
        <v>1</v>
      </c>
      <c r="S34" s="19"/>
      <c r="T34" s="66">
        <v>15840</v>
      </c>
      <c r="U34" s="67">
        <v>248</v>
      </c>
      <c r="V34" s="67"/>
      <c r="W34" s="67">
        <f>SUM(Таблица2242[[#This Row],[Километраж по Украине, 
км]:[Километраж по Европе,
км]])</f>
        <v>248</v>
      </c>
      <c r="X34" s="67">
        <f>Таблица2242[[#This Row],[Вес, т]]*Таблица2242[[#This Row],[Стоимость, 
грн/т]]</f>
        <v>15840</v>
      </c>
      <c r="Y34" s="32">
        <f>Таблица2242[[#This Row],[Доход, 
грн/рейс]]/Таблица2242[[#This Row],[Общий километраж, 
км]]</f>
        <v>63.87096774193548</v>
      </c>
      <c r="Z34" s="32">
        <f>Таблица2242[[#This Row],[Километраж по Украине, 
км]]*10</f>
        <v>2480</v>
      </c>
      <c r="AA34" s="32">
        <f>Таблица2242[[#This Row],[Километраж по Украине, 
км]]/100*32*57+Таблица2242[[#This Row],[Зарплата водителя, грн]]</f>
        <v>7003.5199999999995</v>
      </c>
      <c r="AB34" s="68">
        <f>Таблица2242[[#This Row],[Доход, 
грн/рейс]]-Таблица2242[[#This Row],[СС 1-го рейса, 
грн/рейс]]</f>
        <v>8836.48</v>
      </c>
      <c r="AC34" s="12" t="e">
        <f>ROUNDDOWN(30/Таблица2242[[#This Row],[Плановое время в рейсе, 
сутки]],0)</f>
        <v>#DIV/0!</v>
      </c>
      <c r="AD34" s="18" t="e">
        <f>Таблица2242[[#This Row],[Доход, 
грн/рейс]]*Таблица2242[[#This Row],[Возможное количество рейсов в месяц]]</f>
        <v>#DIV/0!</v>
      </c>
      <c r="AE34" s="18" t="e">
        <f>Таблица2242[[#This Row],[Возможное количество рейсов в месяц]]*Таблица2242[[#This Row],[СС 1-го рейса, 
грн/рейс]]</f>
        <v>#DIV/0!</v>
      </c>
      <c r="AF34" s="18" t="e">
        <f>Таблица2242[[#This Row],[Доход в месяц, 
грн]]-Таблица2242[[#This Row],[Затраты на предполагаемые рейсы за месяц, 
грн]]</f>
        <v>#DIV/0!</v>
      </c>
      <c r="AG34" s="29"/>
      <c r="AH34" s="31" t="s">
        <v>107</v>
      </c>
    </row>
    <row r="35" spans="1:34" ht="13.2" x14ac:dyDescent="0.25">
      <c r="A35" s="13" t="s">
        <v>106</v>
      </c>
      <c r="B35" s="29" t="s">
        <v>34</v>
      </c>
      <c r="C35" s="71"/>
      <c r="D35" s="62"/>
      <c r="E35" s="62"/>
      <c r="F35" s="30">
        <v>45660</v>
      </c>
      <c r="G35" s="69">
        <v>45674.4375</v>
      </c>
      <c r="H35" s="69">
        <v>45675.479166666664</v>
      </c>
      <c r="I35" s="29" t="s">
        <v>105</v>
      </c>
      <c r="J35" s="14"/>
      <c r="K35" s="72"/>
      <c r="L35" s="15"/>
      <c r="M35" s="15"/>
      <c r="N35" s="16"/>
      <c r="O35" s="17">
        <f>ROUNDUP(SUM(Таблица2242[[#This Row],[Плановое время в дороге, 
сутки]:[Плановое время простоя, 
сутки]]),0)</f>
        <v>0</v>
      </c>
      <c r="P35" s="106" t="s">
        <v>52</v>
      </c>
      <c r="Q35" s="61" t="s">
        <v>35</v>
      </c>
      <c r="R35" s="63">
        <v>1</v>
      </c>
      <c r="S35" s="19"/>
      <c r="T35" s="66">
        <v>15840</v>
      </c>
      <c r="U35" s="149">
        <v>248</v>
      </c>
      <c r="V35" s="67"/>
      <c r="W35" s="67">
        <f>SUM(Таблица2242[[#This Row],[Километраж по Украине, 
км]:[Километраж по Европе,
км]])</f>
        <v>248</v>
      </c>
      <c r="X35" s="67">
        <f>Таблица2242[[#This Row],[Вес, т]]*Таблица2242[[#This Row],[Стоимость, 
грн/т]]</f>
        <v>15840</v>
      </c>
      <c r="Y35" s="32">
        <f>Таблица2242[[#This Row],[Доход, 
грн/рейс]]/Таблица2242[[#This Row],[Общий километраж, 
км]]</f>
        <v>63.87096774193548</v>
      </c>
      <c r="Z35" s="32">
        <f>Таблица2242[[#This Row],[Километраж по Украине, 
км]]*10</f>
        <v>2480</v>
      </c>
      <c r="AA35" s="32">
        <f>Таблица2242[[#This Row],[Километраж по Украине, 
км]]/100*32*57+Таблица2242[[#This Row],[Зарплата водителя, грн]]</f>
        <v>7003.5199999999995</v>
      </c>
      <c r="AB35" s="68">
        <f>Таблица2242[[#This Row],[Доход, 
грн/рейс]]-Таблица2242[[#This Row],[СС 1-го рейса, 
грн/рейс]]</f>
        <v>8836.48</v>
      </c>
      <c r="AC35" s="12" t="e">
        <f>ROUNDDOWN(30/Таблица2242[[#This Row],[Плановое время в рейсе, 
сутки]],0)</f>
        <v>#DIV/0!</v>
      </c>
      <c r="AD35" s="18" t="e">
        <f>Таблица2242[[#This Row],[Доход, 
грн/рейс]]*Таблица2242[[#This Row],[Возможное количество рейсов в месяц]]</f>
        <v>#DIV/0!</v>
      </c>
      <c r="AE35" s="18" t="e">
        <f>Таблица2242[[#This Row],[Возможное количество рейсов в месяц]]*Таблица2242[[#This Row],[СС 1-го рейса, 
грн/рейс]]</f>
        <v>#DIV/0!</v>
      </c>
      <c r="AF35" s="18" t="e">
        <f>Таблица2242[[#This Row],[Доход в месяц, 
грн]]-Таблица2242[[#This Row],[Затраты на предполагаемые рейсы за месяц, 
грн]]</f>
        <v>#DIV/0!</v>
      </c>
      <c r="AG35" s="29"/>
      <c r="AH35" s="31" t="s">
        <v>53</v>
      </c>
    </row>
    <row r="36" spans="1:34" ht="13.2" x14ac:dyDescent="0.25">
      <c r="A36" s="13" t="s">
        <v>106</v>
      </c>
      <c r="B36" s="29" t="s">
        <v>34</v>
      </c>
      <c r="C36" s="71"/>
      <c r="D36" s="62"/>
      <c r="E36" s="62"/>
      <c r="F36" s="30">
        <v>45660</v>
      </c>
      <c r="G36" s="69">
        <v>45675.479166666664</v>
      </c>
      <c r="H36" s="69">
        <v>45676.4375</v>
      </c>
      <c r="I36" s="29" t="s">
        <v>105</v>
      </c>
      <c r="J36" s="14"/>
      <c r="K36" s="72"/>
      <c r="L36" s="15"/>
      <c r="M36" s="15"/>
      <c r="N36" s="16"/>
      <c r="O36" s="17">
        <f>ROUNDUP(SUM(Таблица2242[[#This Row],[Плановое время в дороге, 
сутки]:[Плановое время простоя, 
сутки]]),0)</f>
        <v>0</v>
      </c>
      <c r="P36" s="106" t="s">
        <v>52</v>
      </c>
      <c r="Q36" s="61" t="s">
        <v>35</v>
      </c>
      <c r="R36" s="63">
        <v>1</v>
      </c>
      <c r="S36" s="19"/>
      <c r="T36" s="66">
        <v>15840</v>
      </c>
      <c r="U36" s="149">
        <v>383</v>
      </c>
      <c r="V36" s="67"/>
      <c r="W36" s="67">
        <f>SUM(Таблица2242[[#This Row],[Километраж по Украине, 
км]:[Километраж по Европе,
км]])</f>
        <v>383</v>
      </c>
      <c r="X36" s="67">
        <f>Таблица2242[[#This Row],[Вес, т]]*Таблица2242[[#This Row],[Стоимость, 
грн/т]]</f>
        <v>15840</v>
      </c>
      <c r="Y36" s="32">
        <f>Таблица2242[[#This Row],[Доход, 
грн/рейс]]/Таблица2242[[#This Row],[Общий километраж, 
км]]</f>
        <v>41.357702349869449</v>
      </c>
      <c r="Z36" s="32">
        <f>Таблица2242[[#This Row],[Километраж по Украине, 
км]]*10</f>
        <v>3830</v>
      </c>
      <c r="AA36" s="32">
        <f>Таблица2242[[#This Row],[Километраж по Украине, 
км]]/100*32*57+Таблица2242[[#This Row],[Зарплата водителя, грн]]</f>
        <v>10815.92</v>
      </c>
      <c r="AB36" s="68">
        <f>Таблица2242[[#This Row],[Доход, 
грн/рейс]]-Таблица2242[[#This Row],[СС 1-го рейса, 
грн/рейс]]</f>
        <v>5024.08</v>
      </c>
      <c r="AC36" s="12" t="e">
        <f>ROUNDDOWN(30/Таблица2242[[#This Row],[Плановое время в рейсе, 
сутки]],0)</f>
        <v>#DIV/0!</v>
      </c>
      <c r="AD36" s="18" t="e">
        <f>Таблица2242[[#This Row],[Доход, 
грн/рейс]]*Таблица2242[[#This Row],[Возможное количество рейсов в месяц]]</f>
        <v>#DIV/0!</v>
      </c>
      <c r="AE36" s="18" t="e">
        <f>Таблица2242[[#This Row],[Возможное количество рейсов в месяц]]*Таблица2242[[#This Row],[СС 1-го рейса, 
грн/рейс]]</f>
        <v>#DIV/0!</v>
      </c>
      <c r="AF36" s="18" t="e">
        <f>Таблица2242[[#This Row],[Доход в месяц, 
грн]]-Таблица2242[[#This Row],[Затраты на предполагаемые рейсы за месяц, 
грн]]</f>
        <v>#DIV/0!</v>
      </c>
      <c r="AG36" s="29"/>
      <c r="AH36" s="31" t="s">
        <v>53</v>
      </c>
    </row>
    <row r="37" spans="1:34" ht="13.2" x14ac:dyDescent="0.25">
      <c r="A37" s="194" t="s">
        <v>109</v>
      </c>
      <c r="B37" s="29" t="s">
        <v>34</v>
      </c>
      <c r="C37" s="78" t="s">
        <v>43</v>
      </c>
      <c r="D37" s="62"/>
      <c r="E37" s="62"/>
      <c r="F37" s="30">
        <v>45660</v>
      </c>
      <c r="G37" s="69">
        <v>45676.4375</v>
      </c>
      <c r="H37" s="69">
        <v>45678.479166666664</v>
      </c>
      <c r="I37" s="29" t="s">
        <v>108</v>
      </c>
      <c r="J37" s="14"/>
      <c r="K37" s="72"/>
      <c r="L37" s="15"/>
      <c r="M37" s="15"/>
      <c r="N37" s="16"/>
      <c r="O37" s="70">
        <f>ROUNDUP(SUM(Таблица2242[[#This Row],[Плановое время в дороге, 
сутки]:[Плановое время простоя, 
сутки]]),0)</f>
        <v>0</v>
      </c>
      <c r="P37" s="106" t="s">
        <v>52</v>
      </c>
      <c r="Q37" s="64" t="s">
        <v>36</v>
      </c>
      <c r="R37" s="63">
        <v>1</v>
      </c>
      <c r="S37" s="19"/>
      <c r="T37" s="66">
        <v>4000</v>
      </c>
      <c r="U37" s="149">
        <v>244</v>
      </c>
      <c r="V37" s="67"/>
      <c r="W37" s="67">
        <v>244</v>
      </c>
      <c r="X37" s="67">
        <f>Таблица2242[[#This Row],[Вес, т]]*Таблица2242[[#This Row],[Стоимость, 
грн/т]]</f>
        <v>4000</v>
      </c>
      <c r="Y37" s="32">
        <f>Таблица2242[[#This Row],[Доход, 
грн/рейс]]/Таблица2242[[#This Row],[Общий километраж, 
км]]</f>
        <v>16.393442622950818</v>
      </c>
      <c r="Z37" s="32">
        <f>Таблица2242[[#This Row],[Километраж по Украине, 
км]]*10</f>
        <v>2440</v>
      </c>
      <c r="AA37" s="32">
        <f>Таблица2242[[#This Row],[Километраж по Украине, 
км]]/100*32*57+Таблица2242[[#This Row],[Зарплата водителя, грн]]</f>
        <v>6890.5599999999995</v>
      </c>
      <c r="AB37" s="68">
        <f>Таблица2242[[#This Row],[Доход, 
грн/рейс]]-Таблица2242[[#This Row],[СС 1-го рейса, 
грн/рейс]]</f>
        <v>-2890.5599999999995</v>
      </c>
      <c r="AC37" s="12" t="e">
        <f>ROUNDDOWN(30/Таблица2242[[#This Row],[Плановое время в рейсе, 
сутки]],0)</f>
        <v>#DIV/0!</v>
      </c>
      <c r="AD37" s="18" t="e">
        <f>Таблица2242[[#This Row],[Доход, 
грн/рейс]]*Таблица2242[[#This Row],[Возможное количество рейсов в месяц]]</f>
        <v>#DIV/0!</v>
      </c>
      <c r="AE37" s="18" t="e">
        <f>Таблица2242[[#This Row],[Возможное количество рейсов в месяц]]*Таблица2242[[#This Row],[СС 1-го рейса, 
грн/рейс]]</f>
        <v>#DIV/0!</v>
      </c>
      <c r="AF37" s="18" t="e">
        <f>Таблица2242[[#This Row],[Доход в месяц, 
грн]]-Таблица2242[[#This Row],[Затраты на предполагаемые рейсы за месяц, 
грн]]</f>
        <v>#DIV/0!</v>
      </c>
      <c r="AG37" s="29" t="s">
        <v>110</v>
      </c>
      <c r="AH37" s="31" t="s">
        <v>53</v>
      </c>
    </row>
    <row r="38" spans="1:34" ht="13.2" x14ac:dyDescent="0.25">
      <c r="A38" s="194" t="s">
        <v>109</v>
      </c>
      <c r="B38" s="29" t="s">
        <v>34</v>
      </c>
      <c r="C38" s="78" t="s">
        <v>43</v>
      </c>
      <c r="D38" s="62"/>
      <c r="E38" s="62"/>
      <c r="F38" s="30">
        <v>45660</v>
      </c>
      <c r="G38" s="69">
        <v>45675.583333333336</v>
      </c>
      <c r="H38" s="69">
        <v>45679.458333333336</v>
      </c>
      <c r="I38" s="29" t="s">
        <v>108</v>
      </c>
      <c r="J38" s="14"/>
      <c r="K38" s="72"/>
      <c r="L38" s="15"/>
      <c r="M38" s="15"/>
      <c r="N38" s="16"/>
      <c r="O38" s="17">
        <f>ROUNDUP(SUM(Таблица2242[[#This Row],[Плановое время в дороге, 
сутки]:[Плановое время простоя, 
сутки]]),0)</f>
        <v>0</v>
      </c>
      <c r="P38" s="65" t="s">
        <v>95</v>
      </c>
      <c r="Q38" s="64" t="s">
        <v>36</v>
      </c>
      <c r="R38" s="63">
        <v>1</v>
      </c>
      <c r="S38" s="19"/>
      <c r="T38" s="66">
        <v>4000</v>
      </c>
      <c r="U38" s="67">
        <v>242</v>
      </c>
      <c r="V38" s="67"/>
      <c r="W38" s="67">
        <f>SUM(Таблица2242[[#This Row],[Километраж по Украине, 
км]:[Километраж по Европе,
км]])</f>
        <v>242</v>
      </c>
      <c r="X38" s="67">
        <f>Таблица2242[[#This Row],[Вес, т]]*Таблица2242[[#This Row],[Стоимость, 
грн/т]]</f>
        <v>4000</v>
      </c>
      <c r="Y38" s="32">
        <f>Таблица2242[[#This Row],[Доход, 
грн/рейс]]/Таблица2242[[#This Row],[Общий километраж, 
км]]</f>
        <v>16.528925619834709</v>
      </c>
      <c r="Z38" s="32">
        <f>Таблица2242[[#This Row],[Километраж по Украине, 
км]]*10</f>
        <v>2420</v>
      </c>
      <c r="AA38" s="32">
        <f>Таблица2242[[#This Row],[Километраж по Украине, 
км]]/100*32*57+Таблица2242[[#This Row],[Зарплата водителя, грн]]</f>
        <v>6834.08</v>
      </c>
      <c r="AB38" s="68">
        <f>Таблица2242[[#This Row],[Доход, 
грн/рейс]]-Таблица2242[[#This Row],[СС 1-го рейса, 
грн/рейс]]</f>
        <v>-2834.08</v>
      </c>
      <c r="AC38" s="12" t="e">
        <f>ROUNDDOWN(30/Таблица2242[[#This Row],[Плановое время в рейсе, 
сутки]],0)</f>
        <v>#DIV/0!</v>
      </c>
      <c r="AD38" s="18" t="e">
        <f>Таблица2242[[#This Row],[Доход, 
грн/рейс]]*Таблица2242[[#This Row],[Возможное количество рейсов в месяц]]</f>
        <v>#DIV/0!</v>
      </c>
      <c r="AE38" s="18" t="e">
        <f>Таблица2242[[#This Row],[Возможное количество рейсов в месяц]]*Таблица2242[[#This Row],[СС 1-го рейса, 
грн/рейс]]</f>
        <v>#DIV/0!</v>
      </c>
      <c r="AF38" s="18" t="e">
        <f>Таблица2242[[#This Row],[Доход в месяц, 
грн]]-Таблица2242[[#This Row],[Затраты на предполагаемые рейсы за месяц, 
грн]]</f>
        <v>#DIV/0!</v>
      </c>
      <c r="AG38" s="29" t="s">
        <v>110</v>
      </c>
      <c r="AH38" s="31" t="s">
        <v>107</v>
      </c>
    </row>
    <row r="39" spans="1:34" ht="13.2" x14ac:dyDescent="0.25">
      <c r="A39" s="1" t="s">
        <v>65</v>
      </c>
      <c r="B39" s="29" t="s">
        <v>34</v>
      </c>
      <c r="C39" s="71"/>
      <c r="D39" s="62"/>
      <c r="E39" s="62"/>
      <c r="F39" s="30">
        <v>45660</v>
      </c>
      <c r="G39" s="69">
        <v>45678.479166666664</v>
      </c>
      <c r="H39" s="69">
        <v>45679.458333333336</v>
      </c>
      <c r="I39" s="1" t="s">
        <v>58</v>
      </c>
      <c r="J39" s="14"/>
      <c r="K39" s="72"/>
      <c r="L39" s="15"/>
      <c r="M39" s="15"/>
      <c r="N39" s="16"/>
      <c r="O39" s="17">
        <f>ROUNDUP(SUM(Таблица2242[[#This Row],[Плановое время в дороге, 
сутки]:[Плановое время простоя, 
сутки]]),0)</f>
        <v>0</v>
      </c>
      <c r="P39" s="106" t="s">
        <v>52</v>
      </c>
      <c r="Q39" s="61" t="s">
        <v>35</v>
      </c>
      <c r="R39" s="63">
        <v>1</v>
      </c>
      <c r="S39" s="19"/>
      <c r="T39" s="66">
        <v>23220</v>
      </c>
      <c r="U39" s="149">
        <v>387</v>
      </c>
      <c r="V39" s="67"/>
      <c r="W39" s="67">
        <f>SUM(Таблица2242[[#This Row],[Километраж по Украине, 
км]:[Километраж по Европе,
км]])</f>
        <v>387</v>
      </c>
      <c r="X39" s="67">
        <f>Таблица2242[[#This Row],[Вес, т]]*Таблица2242[[#This Row],[Стоимость, 
грн/т]]</f>
        <v>23220</v>
      </c>
      <c r="Y39" s="32">
        <f>Таблица2242[[#This Row],[Доход, 
грн/рейс]]/Таблица2242[[#This Row],[Общий километраж, 
км]]</f>
        <v>60</v>
      </c>
      <c r="Z39" s="32">
        <f>Таблица2242[[#This Row],[Километраж по Украине, 
км]]*10</f>
        <v>3870</v>
      </c>
      <c r="AA39" s="32">
        <f>Таблица2242[[#This Row],[Километраж по Украине, 
км]]/100*32*57+Таблица2242[[#This Row],[Зарплата водителя, грн]]</f>
        <v>10928.880000000001</v>
      </c>
      <c r="AB39" s="68">
        <f>Таблица2242[[#This Row],[Доход, 
грн/рейс]]-Таблица2242[[#This Row],[СС 1-го рейса, 
грн/рейс]]</f>
        <v>12291.119999999999</v>
      </c>
      <c r="AC39" s="12" t="e">
        <f>ROUNDDOWN(30/Таблица2242[[#This Row],[Плановое время в рейсе, 
сутки]],0)</f>
        <v>#DIV/0!</v>
      </c>
      <c r="AD39" s="18" t="e">
        <f>Таблица2242[[#This Row],[Доход, 
грн/рейс]]*Таблица2242[[#This Row],[Возможное количество рейсов в месяц]]</f>
        <v>#DIV/0!</v>
      </c>
      <c r="AE39" s="18" t="e">
        <f>Таблица2242[[#This Row],[Возможное количество рейсов в месяц]]*Таблица2242[[#This Row],[СС 1-го рейса, 
грн/рейс]]</f>
        <v>#DIV/0!</v>
      </c>
      <c r="AF39" s="18" t="e">
        <f>Таблица2242[[#This Row],[Доход в месяц, 
грн]]-Таблица2242[[#This Row],[Затраты на предполагаемые рейсы за месяц, 
грн]]</f>
        <v>#DIV/0!</v>
      </c>
      <c r="AG39" s="1" t="s">
        <v>111</v>
      </c>
      <c r="AH39" s="31" t="s">
        <v>53</v>
      </c>
    </row>
    <row r="40" spans="1:34" ht="13.2" x14ac:dyDescent="0.25">
      <c r="A40" s="1" t="s">
        <v>57</v>
      </c>
      <c r="B40" s="29" t="s">
        <v>34</v>
      </c>
      <c r="C40" s="71"/>
      <c r="D40" s="62"/>
      <c r="E40" s="62"/>
      <c r="F40" s="30">
        <v>45660</v>
      </c>
      <c r="G40" s="69">
        <v>45679.458333333336</v>
      </c>
      <c r="H40" s="69">
        <v>45680.458333333336</v>
      </c>
      <c r="I40" s="1" t="s">
        <v>88</v>
      </c>
      <c r="J40" s="14"/>
      <c r="K40" s="72"/>
      <c r="L40" s="15"/>
      <c r="M40" s="15"/>
      <c r="N40" s="16"/>
      <c r="O40" s="70">
        <f>ROUNDUP(SUM(Таблица2242[[#This Row],[Плановое время в дороге, 
сутки]:[Плановое время простоя, 
сутки]]),0)</f>
        <v>0</v>
      </c>
      <c r="P40" s="106" t="s">
        <v>52</v>
      </c>
      <c r="Q40" s="64" t="s">
        <v>36</v>
      </c>
      <c r="R40" s="63">
        <v>1</v>
      </c>
      <c r="S40" s="19"/>
      <c r="T40" s="66">
        <v>10000</v>
      </c>
      <c r="U40" s="149">
        <v>613</v>
      </c>
      <c r="V40" s="67"/>
      <c r="W40" s="67">
        <f>SUM(Таблица2242[[#This Row],[Километраж по Украине, 
км]:[Километраж по Европе,
км]])</f>
        <v>613</v>
      </c>
      <c r="X40" s="67">
        <f>Таблица2242[[#This Row],[Вес, т]]*Таблица2242[[#This Row],[Стоимость, 
грн/т]]</f>
        <v>10000</v>
      </c>
      <c r="Y40" s="32">
        <f>Таблица2242[[#This Row],[Доход, 
грн/рейс]]/Таблица2242[[#This Row],[Общий километраж, 
км]]</f>
        <v>16.31321370309951</v>
      </c>
      <c r="Z40" s="32">
        <f>Таблица2242[[#This Row],[Километраж по Украине, 
км]]*10</f>
        <v>6130</v>
      </c>
      <c r="AA40" s="32">
        <f>Таблица2242[[#This Row],[Километраж по Украине, 
км]]/100*32*57+Таблица2242[[#This Row],[Зарплата водителя, грн]]</f>
        <v>17311.12</v>
      </c>
      <c r="AB40" s="68">
        <f>Таблица2242[[#This Row],[Доход, 
грн/рейс]]-Таблица2242[[#This Row],[СС 1-го рейса, 
грн/рейс]]</f>
        <v>-7311.119999999999</v>
      </c>
      <c r="AC40" s="12" t="e">
        <f>ROUNDDOWN(30/Таблица2242[[#This Row],[Плановое время в рейсе, 
сутки]],0)</f>
        <v>#DIV/0!</v>
      </c>
      <c r="AD40" s="18" t="e">
        <f>Таблица2242[[#This Row],[Доход, 
грн/рейс]]*Таблица2242[[#This Row],[Возможное количество рейсов в месяц]]</f>
        <v>#DIV/0!</v>
      </c>
      <c r="AE40" s="18" t="e">
        <f>Таблица2242[[#This Row],[Возможное количество рейсов в месяц]]*Таблица2242[[#This Row],[СС 1-го рейса, 
грн/рейс]]</f>
        <v>#DIV/0!</v>
      </c>
      <c r="AF40" s="18" t="e">
        <f>Таблица2242[[#This Row],[Доход в месяц, 
грн]]-Таблица2242[[#This Row],[Затраты на предполагаемые рейсы за месяц, 
грн]]</f>
        <v>#DIV/0!</v>
      </c>
      <c r="AG40" s="29" t="s">
        <v>116</v>
      </c>
      <c r="AH40" s="31" t="s">
        <v>53</v>
      </c>
    </row>
    <row r="41" spans="1:34" ht="13.2" x14ac:dyDescent="0.25">
      <c r="A41" s="13" t="s">
        <v>103</v>
      </c>
      <c r="B41" s="29" t="s">
        <v>34</v>
      </c>
      <c r="C41" s="71"/>
      <c r="D41" s="62"/>
      <c r="E41" s="62"/>
      <c r="F41" s="30">
        <v>45660</v>
      </c>
      <c r="G41" s="69">
        <v>45680.458333333336</v>
      </c>
      <c r="H41" s="69">
        <v>45688.357638888891</v>
      </c>
      <c r="I41" s="29" t="s">
        <v>118</v>
      </c>
      <c r="J41" s="14"/>
      <c r="K41" s="72"/>
      <c r="L41" s="15"/>
      <c r="M41" s="15"/>
      <c r="N41" s="16"/>
      <c r="O41" s="17">
        <f>ROUNDUP(SUM(Таблица2242[[#This Row],[Плановое время в дороге, 
сутки]:[Плановое время простоя, 
сутки]]),0)</f>
        <v>0</v>
      </c>
      <c r="P41" s="106" t="s">
        <v>52</v>
      </c>
      <c r="Q41" s="61" t="s">
        <v>35</v>
      </c>
      <c r="R41" s="63">
        <v>1</v>
      </c>
      <c r="S41" s="19"/>
      <c r="T41" s="66">
        <v>20100</v>
      </c>
      <c r="U41" s="67">
        <v>408</v>
      </c>
      <c r="V41" s="67"/>
      <c r="W41" s="67">
        <f>SUM(Таблица2242[[#This Row],[Километраж по Украине, 
км]:[Километраж по Европе,
км]])</f>
        <v>408</v>
      </c>
      <c r="X41" s="67">
        <f>Таблица2242[[#This Row],[Вес, т]]*Таблица2242[[#This Row],[Стоимость, 
грн/т]]</f>
        <v>20100</v>
      </c>
      <c r="Y41" s="32">
        <f>Таблица2242[[#This Row],[Доход, 
грн/рейс]]/Таблица2242[[#This Row],[Общий километраж, 
км]]</f>
        <v>49.264705882352942</v>
      </c>
      <c r="Z41" s="32">
        <f>Таблица2242[[#This Row],[Километраж по Украине, 
км]]*10</f>
        <v>4080</v>
      </c>
      <c r="AA41" s="32">
        <f>Таблица2242[[#This Row],[Километраж по Украине, 
км]]/100*32*57+Таблица2242[[#This Row],[Зарплата водителя, грн]]</f>
        <v>11521.92</v>
      </c>
      <c r="AB41" s="68">
        <f>Таблица2242[[#This Row],[Доход, 
грн/рейс]]-Таблица2242[[#This Row],[СС 1-го рейса, 
грн/рейс]]</f>
        <v>8578.08</v>
      </c>
      <c r="AC41" s="12" t="e">
        <f>ROUNDDOWN(30/Таблица2242[[#This Row],[Плановое время в рейсе, 
сутки]],0)</f>
        <v>#DIV/0!</v>
      </c>
      <c r="AD41" s="18" t="e">
        <f>Таблица2242[[#This Row],[Доход, 
грн/рейс]]*Таблица2242[[#This Row],[Возможное количество рейсов в месяц]]</f>
        <v>#DIV/0!</v>
      </c>
      <c r="AE41" s="18" t="e">
        <f>Таблица2242[[#This Row],[Возможное количество рейсов в месяц]]*Таблица2242[[#This Row],[СС 1-го рейса, 
грн/рейс]]</f>
        <v>#DIV/0!</v>
      </c>
      <c r="AF41" s="18" t="e">
        <f>Таблица2242[[#This Row],[Доход в месяц, 
грн]]-Таблица2242[[#This Row],[Затраты на предполагаемые рейсы за месяц, 
грн]]</f>
        <v>#DIV/0!</v>
      </c>
      <c r="AG41" s="1" t="s">
        <v>112</v>
      </c>
      <c r="AH41" s="31" t="s">
        <v>53</v>
      </c>
    </row>
    <row r="42" spans="1:34" ht="13.2" x14ac:dyDescent="0.25">
      <c r="A42" s="195" t="s">
        <v>89</v>
      </c>
      <c r="B42" s="29" t="s">
        <v>34</v>
      </c>
      <c r="C42" s="71" t="s">
        <v>43</v>
      </c>
      <c r="D42" s="62"/>
      <c r="E42" s="62"/>
      <c r="F42" s="30">
        <v>45689</v>
      </c>
      <c r="G42" s="69">
        <v>45688.357638888891</v>
      </c>
      <c r="H42" s="69">
        <v>45692.888888888891</v>
      </c>
      <c r="I42" s="29" t="s">
        <v>113</v>
      </c>
      <c r="J42" s="14"/>
      <c r="K42" s="72"/>
      <c r="L42" s="15"/>
      <c r="M42" s="15"/>
      <c r="N42" s="16"/>
      <c r="O42" s="17">
        <f>ROUNDUP(SUM(Таблица2242[[#This Row],[Плановое время в дороге, 
сутки]:[Плановое время простоя, 
сутки]]),0)</f>
        <v>0</v>
      </c>
      <c r="P42" s="106" t="s">
        <v>52</v>
      </c>
      <c r="Q42" s="64" t="s">
        <v>36</v>
      </c>
      <c r="R42" s="63">
        <v>1</v>
      </c>
      <c r="S42" s="19"/>
      <c r="T42" s="66">
        <v>7000</v>
      </c>
      <c r="U42" s="67">
        <v>389</v>
      </c>
      <c r="V42" s="67"/>
      <c r="W42" s="67">
        <f>SUM(Таблица2242[[#This Row],[Километраж по Украине, 
км]:[Километраж по Европе,
км]])</f>
        <v>389</v>
      </c>
      <c r="X42" s="67">
        <f>Таблица2242[[#This Row],[Вес, т]]*Таблица2242[[#This Row],[Стоимость, 
грн/т]]</f>
        <v>7000</v>
      </c>
      <c r="Y42" s="32">
        <f>Таблица2242[[#This Row],[Доход, 
грн/рейс]]/Таблица2242[[#This Row],[Общий километраж, 
км]]</f>
        <v>17.994858611825194</v>
      </c>
      <c r="Z42" s="32">
        <f>Таблица2242[[#This Row],[Километраж по Украине, 
км]]*10</f>
        <v>3890</v>
      </c>
      <c r="AA42" s="32">
        <f>Таблица2242[[#This Row],[Километраж по Украине, 
км]]/100*32*57+Таблица2242[[#This Row],[Зарплата водителя, грн]]</f>
        <v>10985.36</v>
      </c>
      <c r="AB42" s="68">
        <f>Таблица2242[[#This Row],[Доход, 
грн/рейс]]-Таблица2242[[#This Row],[СС 1-го рейса, 
грн/рейс]]</f>
        <v>-3985.3600000000006</v>
      </c>
      <c r="AC42" s="12" t="e">
        <f>ROUNDDOWN(30/Таблица2242[[#This Row],[Плановое время в рейсе, 
сутки]],0)</f>
        <v>#DIV/0!</v>
      </c>
      <c r="AD42" s="18" t="e">
        <f>Таблица2242[[#This Row],[Доход, 
грн/рейс]]*Таблица2242[[#This Row],[Возможное количество рейсов в месяц]]</f>
        <v>#DIV/0!</v>
      </c>
      <c r="AE42" s="18" t="e">
        <f>Таблица2242[[#This Row],[Возможное количество рейсов в месяц]]*Таблица2242[[#This Row],[СС 1-го рейса, 
грн/рейс]]</f>
        <v>#DIV/0!</v>
      </c>
      <c r="AF42" s="18" t="e">
        <f>Таблица2242[[#This Row],[Доход в месяц, 
грн]]-Таблица2242[[#This Row],[Затраты на предполагаемые рейсы за месяц, 
грн]]</f>
        <v>#DIV/0!</v>
      </c>
      <c r="AG42" s="29" t="s">
        <v>117</v>
      </c>
      <c r="AH42" s="31" t="s">
        <v>53</v>
      </c>
    </row>
    <row r="43" spans="1:34" ht="13.2" x14ac:dyDescent="0.25">
      <c r="A43" s="13" t="s">
        <v>121</v>
      </c>
      <c r="B43" s="29" t="s">
        <v>34</v>
      </c>
      <c r="C43" s="71"/>
      <c r="D43" s="62"/>
      <c r="E43" s="62"/>
      <c r="F43" s="30">
        <v>45689</v>
      </c>
      <c r="G43" s="69">
        <v>45692.888888888891</v>
      </c>
      <c r="H43" s="69">
        <v>45701.583333333336</v>
      </c>
      <c r="I43" s="29" t="s">
        <v>119</v>
      </c>
      <c r="J43" s="14"/>
      <c r="K43" s="72"/>
      <c r="L43" s="15"/>
      <c r="M43" s="15"/>
      <c r="N43" s="16"/>
      <c r="O43" s="70">
        <f>ROUNDUP(SUM(Таблица2242[[#This Row],[Плановое время в дороге, 
сутки]:[Плановое время простоя, 
сутки]]),0)</f>
        <v>0</v>
      </c>
      <c r="P43" s="106" t="s">
        <v>52</v>
      </c>
      <c r="Q43" s="61" t="s">
        <v>35</v>
      </c>
      <c r="R43" s="63">
        <v>1</v>
      </c>
      <c r="S43" s="19"/>
      <c r="T43" s="66">
        <v>6500</v>
      </c>
      <c r="U43" s="67">
        <v>103</v>
      </c>
      <c r="V43" s="67"/>
      <c r="W43" s="67">
        <v>103</v>
      </c>
      <c r="X43" s="67">
        <v>6500</v>
      </c>
      <c r="Y43" s="32">
        <f>Таблица2242[[#This Row],[Доход, 
грн/рейс]]/Таблица2242[[#This Row],[Общий километраж, 
км]]</f>
        <v>63.106796116504853</v>
      </c>
      <c r="Z43" s="32">
        <f>Таблица2242[[#This Row],[Километраж по Украине, 
км]]*10</f>
        <v>1030</v>
      </c>
      <c r="AA43" s="32">
        <f>Таблица2242[[#This Row],[Километраж по Украине, 
км]]/100*32*57+Таблица2242[[#This Row],[Зарплата водителя, грн]]</f>
        <v>2908.7200000000003</v>
      </c>
      <c r="AB43" s="68">
        <f>Таблица2242[[#This Row],[Доход, 
грн/рейс]]-Таблица2242[[#This Row],[СС 1-го рейса, 
грн/рейс]]</f>
        <v>3591.2799999999997</v>
      </c>
      <c r="AC43" s="12" t="e">
        <f>ROUNDDOWN(30/Таблица2242[[#This Row],[Плановое время в рейсе, 
сутки]],0)</f>
        <v>#DIV/0!</v>
      </c>
      <c r="AD43" s="18" t="e">
        <f>Таблица2242[[#This Row],[Доход, 
грн/рейс]]*Таблица2242[[#This Row],[Возможное количество рейсов в месяц]]</f>
        <v>#DIV/0!</v>
      </c>
      <c r="AE43" s="18" t="e">
        <f>Таблица2242[[#This Row],[Возможное количество рейсов в месяц]]*Таблица2242[[#This Row],[СС 1-го рейса, 
грн/рейс]]</f>
        <v>#DIV/0!</v>
      </c>
      <c r="AF43" s="18" t="e">
        <f>Таблица2242[[#This Row],[Доход в месяц, 
грн]]-Таблица2242[[#This Row],[Затраты на предполагаемые рейсы за месяц, 
грн]]</f>
        <v>#DIV/0!</v>
      </c>
      <c r="AG43" s="29"/>
      <c r="AH43" s="31" t="s">
        <v>53</v>
      </c>
    </row>
    <row r="44" spans="1:34" ht="13.2" x14ac:dyDescent="0.25">
      <c r="A44" s="13" t="s">
        <v>122</v>
      </c>
      <c r="B44" s="29" t="s">
        <v>34</v>
      </c>
      <c r="C44" s="71"/>
      <c r="D44" s="62"/>
      <c r="E44" s="62"/>
      <c r="F44" s="30">
        <v>45689</v>
      </c>
      <c r="G44" s="69">
        <v>45701.583333333336</v>
      </c>
      <c r="H44" s="69">
        <v>45702.451388888891</v>
      </c>
      <c r="I44" s="29" t="s">
        <v>120</v>
      </c>
      <c r="J44" s="14"/>
      <c r="K44" s="72"/>
      <c r="L44" s="15"/>
      <c r="M44" s="15"/>
      <c r="N44" s="16"/>
      <c r="O44" s="17">
        <f>ROUNDUP(SUM(Таблица2242[[#This Row],[Плановое время в дороге, 
сутки]:[Плановое время простоя, 
сутки]]),0)</f>
        <v>0</v>
      </c>
      <c r="P44" s="106" t="s">
        <v>52</v>
      </c>
      <c r="Q44" s="61" t="s">
        <v>35</v>
      </c>
      <c r="R44" s="63">
        <v>1</v>
      </c>
      <c r="S44" s="19"/>
      <c r="T44" s="66">
        <v>14000</v>
      </c>
      <c r="U44" s="67">
        <v>227</v>
      </c>
      <c r="V44" s="67"/>
      <c r="W44" s="67">
        <v>227</v>
      </c>
      <c r="X44" s="67">
        <v>14000</v>
      </c>
      <c r="Y44" s="32">
        <f>Таблица2242[[#This Row],[Доход, 
грн/рейс]]/Таблица2242[[#This Row],[Общий километраж, 
км]]</f>
        <v>61.674008810572687</v>
      </c>
      <c r="Z44" s="32">
        <f>Таблица2242[[#This Row],[Километраж по Украине, 
км]]*10</f>
        <v>2270</v>
      </c>
      <c r="AA44" s="32">
        <f>Таблица2242[[#This Row],[Километраж по Украине, 
км]]/100*32*57+Таблица2242[[#This Row],[Зарплата водителя, грн]]</f>
        <v>6410.4800000000005</v>
      </c>
      <c r="AB44" s="68">
        <f>Таблица2242[[#This Row],[Доход, 
грн/рейс]]-Таблица2242[[#This Row],[СС 1-го рейса, 
грн/рейс]]</f>
        <v>7589.5199999999995</v>
      </c>
      <c r="AC44" s="12" t="e">
        <f>ROUNDDOWN(30/Таблица2242[[#This Row],[Плановое время в рейсе, 
сутки]],0)</f>
        <v>#DIV/0!</v>
      </c>
      <c r="AD44" s="18" t="e">
        <f>Таблица2242[[#This Row],[Доход, 
грн/рейс]]*Таблица2242[[#This Row],[Возможное количество рейсов в месяц]]</f>
        <v>#DIV/0!</v>
      </c>
      <c r="AE44" s="18" t="e">
        <f>Таблица2242[[#This Row],[Возможное количество рейсов в месяц]]*Таблица2242[[#This Row],[СС 1-го рейса, 
грн/рейс]]</f>
        <v>#DIV/0!</v>
      </c>
      <c r="AF44" s="18" t="e">
        <f>Таблица2242[[#This Row],[Доход в месяц, 
грн]]-Таблица2242[[#This Row],[Затраты на предполагаемые рейсы за месяц, 
грн]]</f>
        <v>#DIV/0!</v>
      </c>
      <c r="AG44" s="29"/>
      <c r="AH44" s="31" t="s">
        <v>53</v>
      </c>
    </row>
    <row r="45" spans="1:34" ht="13.2" x14ac:dyDescent="0.25">
      <c r="A45" s="195" t="s">
        <v>89</v>
      </c>
      <c r="B45" s="29" t="s">
        <v>34</v>
      </c>
      <c r="C45" s="71" t="s">
        <v>43</v>
      </c>
      <c r="D45" s="151"/>
      <c r="E45" s="151"/>
      <c r="F45" s="30">
        <v>45689</v>
      </c>
      <c r="G45" s="69">
        <v>45702.451388888891</v>
      </c>
      <c r="H45" s="69">
        <v>45702.909722222219</v>
      </c>
      <c r="I45" s="150" t="s">
        <v>124</v>
      </c>
      <c r="J45" s="152"/>
      <c r="K45" s="153"/>
      <c r="L45" s="154"/>
      <c r="M45" s="154"/>
      <c r="N45" s="155"/>
      <c r="O45" s="156">
        <f>ROUNDUP(SUM(Таблица2242[[#This Row],[Плановое время в дороге, 
сутки]:[Плановое время простоя, 
сутки]]),0)</f>
        <v>0</v>
      </c>
      <c r="P45" s="106" t="s">
        <v>52</v>
      </c>
      <c r="Q45" s="64" t="s">
        <v>36</v>
      </c>
      <c r="R45" s="152">
        <v>1</v>
      </c>
      <c r="S45" s="157"/>
      <c r="T45" s="158">
        <v>3500</v>
      </c>
      <c r="U45" s="160">
        <v>282</v>
      </c>
      <c r="V45" s="160"/>
      <c r="W45" s="156">
        <f>SUM(Таблица2242[[#This Row],[Километраж по Украине, 
км]:[Километраж по Европе,
км]])</f>
        <v>282</v>
      </c>
      <c r="X45" s="161">
        <f>Таблица2242[[#This Row],[Вес, т]]*Таблица2242[[#This Row],[Стоимость, 
грн/т]]</f>
        <v>3500</v>
      </c>
      <c r="Y45" s="161">
        <f>Таблица2242[[#This Row],[Доход, 
грн/рейс]]/Таблица2242[[#This Row],[Общий километраж, 
км]]</f>
        <v>12.411347517730496</v>
      </c>
      <c r="Z45" s="32">
        <f>Таблица2242[[#This Row],[Километраж по Украине, 
км]]*10</f>
        <v>2820</v>
      </c>
      <c r="AA45" s="32">
        <f>Таблица2242[[#This Row],[Километраж по Украине, 
км]]/100*32*57+Таблица2242[[#This Row],[Зарплата водителя, грн]]</f>
        <v>7963.6799999999994</v>
      </c>
      <c r="AB45" s="162">
        <f>Таблица2242[[#This Row],[Доход, 
грн/рейс]]-Таблица2242[[#This Row],[СС 1-го рейса, 
грн/рейс]]</f>
        <v>-4463.6799999999994</v>
      </c>
      <c r="AC45" s="163" t="e">
        <f>ROUNDDOWN(30/Таблица2242[[#This Row],[Плановое время в рейсе, 
сутки]],0)</f>
        <v>#DIV/0!</v>
      </c>
      <c r="AD45" s="159" t="e">
        <f>Таблица2242[[#This Row],[Доход, 
грн/рейс]]*Таблица2242[[#This Row],[Возможное количество рейсов в месяц]]</f>
        <v>#DIV/0!</v>
      </c>
      <c r="AE45" s="159" t="e">
        <f>Таблица2242[[#This Row],[Возможное количество рейсов в месяц]]*Таблица2242[[#This Row],[СС 1-го рейса, 
грн/рейс]]</f>
        <v>#DIV/0!</v>
      </c>
      <c r="AF45" s="159" t="e">
        <f>Таблица2242[[#This Row],[Доход в месяц, 
грн]]-Таблица2242[[#This Row],[Затраты на предполагаемые рейсы за месяц, 
грн]]</f>
        <v>#DIV/0!</v>
      </c>
      <c r="AG45" s="29" t="s">
        <v>128</v>
      </c>
      <c r="AH45" s="164"/>
    </row>
    <row r="46" spans="1:34" ht="13.2" x14ac:dyDescent="0.25">
      <c r="A46" s="1" t="s">
        <v>65</v>
      </c>
      <c r="B46" s="29" t="s">
        <v>34</v>
      </c>
      <c r="C46" s="71"/>
      <c r="D46" s="62"/>
      <c r="E46" s="62"/>
      <c r="F46" s="30">
        <v>45689</v>
      </c>
      <c r="G46" s="69">
        <v>45679.458333333336</v>
      </c>
      <c r="H46" s="69">
        <v>45705.416666666664</v>
      </c>
      <c r="I46" s="29" t="s">
        <v>123</v>
      </c>
      <c r="J46" s="14"/>
      <c r="K46" s="72"/>
      <c r="L46" s="15"/>
      <c r="M46" s="15"/>
      <c r="N46" s="16"/>
      <c r="O46" s="17">
        <f>ROUNDUP(SUM(Таблица2242[[#This Row],[Плановое время в дороге, 
сутки]:[Плановое время простоя, 
сутки]]),0)</f>
        <v>0</v>
      </c>
      <c r="P46" s="65" t="s">
        <v>95</v>
      </c>
      <c r="Q46" s="61" t="s">
        <v>35</v>
      </c>
      <c r="R46" s="63">
        <v>1</v>
      </c>
      <c r="S46" s="19"/>
      <c r="T46" s="66">
        <v>13380</v>
      </c>
      <c r="U46" s="67">
        <v>223</v>
      </c>
      <c r="V46" s="67"/>
      <c r="W46" s="67">
        <f>SUM(Таблица2242[[#This Row],[Километраж по Украине, 
км]:[Километраж по Европе,
км]])</f>
        <v>223</v>
      </c>
      <c r="X46" s="67">
        <v>13380</v>
      </c>
      <c r="Y46" s="32">
        <f>Таблица2242[[#This Row],[Доход, 
грн/рейс]]/Таблица2242[[#This Row],[Общий километраж, 
км]]</f>
        <v>60</v>
      </c>
      <c r="Z46" s="32">
        <f>Таблица2242[[#This Row],[Километраж по Украине, 
км]]*10</f>
        <v>2230</v>
      </c>
      <c r="AA46" s="32">
        <f>Таблица2242[[#This Row],[Километраж по Украине, 
км]]/100*32*57+Таблица2242[[#This Row],[Зарплата водителя, грн]]</f>
        <v>6297.52</v>
      </c>
      <c r="AB46" s="162">
        <f>Таблица2242[[#This Row],[Доход, 
грн/рейс]]-Таблица2242[[#This Row],[СС 1-го рейса, 
грн/рейс]]</f>
        <v>7082.48</v>
      </c>
      <c r="AC46" s="12" t="e">
        <f>ROUNDDOWN(30/Таблица2242[[#This Row],[Плановое время в рейсе, 
сутки]],0)</f>
        <v>#DIV/0!</v>
      </c>
      <c r="AD46" s="18" t="e">
        <f>Таблица2242[[#This Row],[Доход, 
грн/рейс]]*Таблица2242[[#This Row],[Возможное количество рейсов в месяц]]</f>
        <v>#DIV/0!</v>
      </c>
      <c r="AE46" s="18" t="e">
        <f>Таблица2242[[#This Row],[Возможное количество рейсов в месяц]]*Таблица2242[[#This Row],[СС 1-го рейса, 
грн/рейс]]</f>
        <v>#DIV/0!</v>
      </c>
      <c r="AF46" s="18" t="e">
        <f>Таблица2242[[#This Row],[Доход в месяц, 
грн]]-Таблица2242[[#This Row],[Затраты на предполагаемые рейсы за месяц, 
грн]]</f>
        <v>#DIV/0!</v>
      </c>
      <c r="AG46" s="29"/>
      <c r="AH46" s="31"/>
    </row>
    <row r="47" spans="1:34" ht="13.2" x14ac:dyDescent="0.25">
      <c r="A47" s="1" t="s">
        <v>65</v>
      </c>
      <c r="B47" s="29" t="s">
        <v>34</v>
      </c>
      <c r="C47" s="71"/>
      <c r="D47" s="62"/>
      <c r="E47" s="62"/>
      <c r="F47" s="30">
        <v>45689</v>
      </c>
      <c r="G47" s="69">
        <v>45702.909722222219</v>
      </c>
      <c r="H47" s="69">
        <v>45706.409722222219</v>
      </c>
      <c r="I47" s="29" t="s">
        <v>123</v>
      </c>
      <c r="J47" s="14"/>
      <c r="K47" s="72"/>
      <c r="L47" s="15"/>
      <c r="M47" s="15"/>
      <c r="N47" s="16"/>
      <c r="O47" s="70">
        <f>ROUNDUP(SUM(Таблица2242[[#This Row],[Плановое время в дороге, 
сутки]:[Плановое время простоя, 
сутки]]),0)</f>
        <v>0</v>
      </c>
      <c r="P47" s="106" t="s">
        <v>52</v>
      </c>
      <c r="Q47" s="61" t="s">
        <v>35</v>
      </c>
      <c r="R47" s="63">
        <v>1</v>
      </c>
      <c r="S47" s="19"/>
      <c r="T47" s="66">
        <v>13440</v>
      </c>
      <c r="U47" s="67">
        <v>224</v>
      </c>
      <c r="V47" s="67"/>
      <c r="W47" s="67">
        <v>224</v>
      </c>
      <c r="X47" s="67">
        <v>13440</v>
      </c>
      <c r="Y47" s="32">
        <f>Таблица2242[[#This Row],[Доход, 
грн/рейс]]/Таблица2242[[#This Row],[Общий километраж, 
км]]</f>
        <v>60</v>
      </c>
      <c r="Z47" s="32">
        <f>Таблица2242[[#This Row],[Километраж по Украине, 
км]]*10</f>
        <v>2240</v>
      </c>
      <c r="AA47" s="32">
        <f>Таблица2242[[#This Row],[Километраж по Украине, 
км]]/100*32*57+Таблица2242[[#This Row],[Зарплата водителя, грн]]</f>
        <v>6325.76</v>
      </c>
      <c r="AB47" s="68">
        <f>Таблица2242[[#This Row],[Доход, 
грн/рейс]]-Таблица2242[[#This Row],[СС 1-го рейса, 
грн/рейс]]</f>
        <v>7114.24</v>
      </c>
      <c r="AC47" s="12" t="e">
        <f>ROUNDDOWN(30/Таблица2242[[#This Row],[Плановое время в рейсе, 
сутки]],0)</f>
        <v>#DIV/0!</v>
      </c>
      <c r="AD47" s="18" t="e">
        <f>Таблица2242[[#This Row],[Доход, 
грн/рейс]]*Таблица2242[[#This Row],[Возможное количество рейсов в месяц]]</f>
        <v>#DIV/0!</v>
      </c>
      <c r="AE47" s="18" t="e">
        <f>Таблица2242[[#This Row],[Возможное количество рейсов в месяц]]*Таблица2242[[#This Row],[СС 1-го рейса, 
грн/рейс]]</f>
        <v>#DIV/0!</v>
      </c>
      <c r="AF47" s="18" t="e">
        <f>Таблица2242[[#This Row],[Доход в месяц, 
грн]]-Таблица2242[[#This Row],[Затраты на предполагаемые рейсы за месяц, 
грн]]</f>
        <v>#DIV/0!</v>
      </c>
      <c r="AG47" s="29"/>
      <c r="AH47" s="31"/>
    </row>
    <row r="48" spans="1:34" ht="13.2" x14ac:dyDescent="0.25">
      <c r="A48" s="1" t="s">
        <v>65</v>
      </c>
      <c r="B48" s="29" t="s">
        <v>34</v>
      </c>
      <c r="C48" s="71"/>
      <c r="D48" s="62"/>
      <c r="E48" s="62"/>
      <c r="F48" s="30">
        <v>45689</v>
      </c>
      <c r="G48" s="69">
        <v>45705.416666666664</v>
      </c>
      <c r="H48" s="69">
        <v>45707.604166666664</v>
      </c>
      <c r="I48" s="29" t="s">
        <v>125</v>
      </c>
      <c r="J48" s="14"/>
      <c r="K48" s="72"/>
      <c r="L48" s="15"/>
      <c r="M48" s="15"/>
      <c r="N48" s="16"/>
      <c r="O48" s="17">
        <f>ROUNDUP(SUM(Таблица2242[[#This Row],[Плановое время в дороге, 
сутки]:[Плановое время простоя, 
сутки]]),0)</f>
        <v>0</v>
      </c>
      <c r="P48" s="65" t="s">
        <v>95</v>
      </c>
      <c r="Q48" s="61" t="s">
        <v>35</v>
      </c>
      <c r="R48" s="63">
        <v>1</v>
      </c>
      <c r="S48" s="19"/>
      <c r="T48" s="66">
        <v>8000</v>
      </c>
      <c r="U48" s="67">
        <v>386</v>
      </c>
      <c r="V48" s="67"/>
      <c r="W48" s="67">
        <f>SUM(Таблица2242[[#This Row],[Километраж по Украине, 
км]:[Километраж по Европе,
км]])</f>
        <v>386</v>
      </c>
      <c r="X48" s="67">
        <v>8000</v>
      </c>
      <c r="Y48" s="32">
        <f>Таблица2242[[#This Row],[Доход, 
грн/рейс]]/Таблица2242[[#This Row],[Общий километраж, 
км]]</f>
        <v>20.725388601036268</v>
      </c>
      <c r="Z48" s="32">
        <f>Таблица2242[[#This Row],[Километраж по Украине, 
км]]*10</f>
        <v>3860</v>
      </c>
      <c r="AA48" s="32">
        <f>Таблица2242[[#This Row],[Километраж по Украине, 
км]]/100*32*57+Таблица2242[[#This Row],[Зарплата водителя, грн]]</f>
        <v>10900.64</v>
      </c>
      <c r="AB48" s="68">
        <f>Таблица2242[[#This Row],[Доход, 
грн/рейс]]-Таблица2242[[#This Row],[СС 1-го рейса, 
грн/рейс]]</f>
        <v>-2900.6399999999994</v>
      </c>
      <c r="AC48" s="12" t="e">
        <f>ROUNDDOWN(30/Таблица2242[[#This Row],[Плановое время в рейсе, 
сутки]],0)</f>
        <v>#DIV/0!</v>
      </c>
      <c r="AD48" s="18" t="e">
        <f>Таблица2242[[#This Row],[Доход, 
грн/рейс]]*Таблица2242[[#This Row],[Возможное количество рейсов в месяц]]</f>
        <v>#DIV/0!</v>
      </c>
      <c r="AE48" s="18" t="e">
        <f>Таблица2242[[#This Row],[Возможное количество рейсов в месяц]]*Таблица2242[[#This Row],[СС 1-го рейса, 
грн/рейс]]</f>
        <v>#DIV/0!</v>
      </c>
      <c r="AF48" s="18" t="e">
        <f>Таблица2242[[#This Row],[Доход в месяц, 
грн]]-Таблица2242[[#This Row],[Затраты на предполагаемые рейсы за месяц, 
грн]]</f>
        <v>#DIV/0!</v>
      </c>
      <c r="AG48" s="29"/>
      <c r="AH48" s="31"/>
    </row>
    <row r="49" spans="1:34" ht="13.2" x14ac:dyDescent="0.25">
      <c r="A49" s="13" t="s">
        <v>126</v>
      </c>
      <c r="B49" s="29" t="s">
        <v>34</v>
      </c>
      <c r="C49" s="71" t="s">
        <v>43</v>
      </c>
      <c r="D49" s="62"/>
      <c r="E49" s="62"/>
      <c r="F49" s="30">
        <v>45689</v>
      </c>
      <c r="G49" s="69">
        <v>45706.409722222219</v>
      </c>
      <c r="H49" s="69">
        <v>45708.479166666664</v>
      </c>
      <c r="I49" s="29" t="s">
        <v>136</v>
      </c>
      <c r="J49" s="14"/>
      <c r="K49" s="72"/>
      <c r="L49" s="15"/>
      <c r="M49" s="15"/>
      <c r="N49" s="16"/>
      <c r="O49" s="17">
        <f>ROUNDUP(SUM(Таблица2242[[#This Row],[Плановое время в дороге, 
сутки]:[Плановое время простоя, 
сутки]]),0)</f>
        <v>0</v>
      </c>
      <c r="P49" s="106" t="s">
        <v>52</v>
      </c>
      <c r="Q49" s="64" t="s">
        <v>36</v>
      </c>
      <c r="R49" s="63">
        <v>1</v>
      </c>
      <c r="S49" s="19"/>
      <c r="T49" s="66">
        <v>6500</v>
      </c>
      <c r="U49" s="67">
        <v>383</v>
      </c>
      <c r="V49" s="67"/>
      <c r="W49" s="67">
        <f>SUM(Таблица2242[[#This Row],[Километраж по Украине, 
км]:[Километраж по Европе,
км]])</f>
        <v>383</v>
      </c>
      <c r="X49" s="67">
        <v>6500</v>
      </c>
      <c r="Y49" s="32">
        <f>Таблица2242[[#This Row],[Доход, 
грн/рейс]]/Таблица2242[[#This Row],[Общий километраж, 
км]]</f>
        <v>16.971279373368148</v>
      </c>
      <c r="Z49" s="32">
        <f>Таблица2242[[#This Row],[Километраж по Украине, 
км]]*10</f>
        <v>3830</v>
      </c>
      <c r="AA49" s="32">
        <f>Таблица2242[[#This Row],[Километраж по Украине, 
км]]/100*32*57+Таблица2242[[#This Row],[Зарплата водителя, грн]]</f>
        <v>10815.92</v>
      </c>
      <c r="AB49" s="68">
        <f>Таблица2242[[#This Row],[Доход, 
грн/рейс]]-Таблица2242[[#This Row],[СС 1-го рейса, 
грн/рейс]]</f>
        <v>-4315.92</v>
      </c>
      <c r="AC49" s="12" t="e">
        <f>ROUNDDOWN(30/Таблица2242[[#This Row],[Плановое время в рейсе, 
сутки]],0)</f>
        <v>#DIV/0!</v>
      </c>
      <c r="AD49" s="18" t="e">
        <f>Таблица2242[[#This Row],[Доход, 
грн/рейс]]*Таблица2242[[#This Row],[Возможное количество рейсов в месяц]]</f>
        <v>#DIV/0!</v>
      </c>
      <c r="AE49" s="18" t="e">
        <f>Таблица2242[[#This Row],[Возможное количество рейсов в месяц]]*Таблица2242[[#This Row],[СС 1-го рейса, 
грн/рейс]]</f>
        <v>#DIV/0!</v>
      </c>
      <c r="AF49" s="18" t="e">
        <f>Таблица2242[[#This Row],[Доход в месяц, 
грн]]-Таблица2242[[#This Row],[Затраты на предполагаемые рейсы за месяц, 
грн]]</f>
        <v>#DIV/0!</v>
      </c>
      <c r="AG49" s="29" t="s">
        <v>127</v>
      </c>
      <c r="AH49" s="31"/>
    </row>
    <row r="50" spans="1:34" ht="13.2" x14ac:dyDescent="0.25">
      <c r="A50" s="1" t="s">
        <v>65</v>
      </c>
      <c r="B50" s="29" t="s">
        <v>34</v>
      </c>
      <c r="C50" s="71"/>
      <c r="D50" s="62"/>
      <c r="E50" s="62"/>
      <c r="F50" s="30">
        <v>45689</v>
      </c>
      <c r="G50" s="69">
        <v>45708.479166666664</v>
      </c>
      <c r="H50" s="69">
        <v>45709.430555555555</v>
      </c>
      <c r="I50" s="29" t="s">
        <v>123</v>
      </c>
      <c r="J50" s="14"/>
      <c r="K50" s="72"/>
      <c r="L50" s="15"/>
      <c r="M50" s="15"/>
      <c r="N50" s="16"/>
      <c r="O50" s="70">
        <f>ROUNDUP(SUM(Таблица2242[[#This Row],[Плановое время в дороге, 
сутки]:[Плановое время простоя, 
сутки]]),0)</f>
        <v>0</v>
      </c>
      <c r="P50" s="106" t="s">
        <v>52</v>
      </c>
      <c r="Q50" s="61" t="s">
        <v>35</v>
      </c>
      <c r="R50" s="63">
        <v>1</v>
      </c>
      <c r="S50" s="19"/>
      <c r="T50" s="66">
        <v>13380</v>
      </c>
      <c r="U50" s="67">
        <v>223</v>
      </c>
      <c r="V50" s="67"/>
      <c r="W50" s="67">
        <v>223</v>
      </c>
      <c r="X50" s="67">
        <f>Таблица2242[[#This Row],[Вес, т]]*Таблица2242[[#This Row],[Стоимость, 
грн/т]]</f>
        <v>13380</v>
      </c>
      <c r="Y50" s="32">
        <f>Таблица2242[[#This Row],[Доход, 
грн/рейс]]/Таблица2242[[#This Row],[Общий километраж, 
км]]</f>
        <v>60</v>
      </c>
      <c r="Z50" s="32">
        <f>Таблица2242[[#This Row],[Километраж по Украине, 
км]]*10</f>
        <v>2230</v>
      </c>
      <c r="AA50" s="32">
        <f>Таблица2242[[#This Row],[Километраж по Украине, 
км]]/100*32*57+Таблица2242[[#This Row],[Зарплата водителя, грн]]</f>
        <v>6297.52</v>
      </c>
      <c r="AB50" s="68">
        <f>Таблица2242[[#This Row],[Доход, 
грн/рейс]]-Таблица2242[[#This Row],[СС 1-го рейса, 
грн/рейс]]</f>
        <v>7082.48</v>
      </c>
      <c r="AC50" s="12" t="e">
        <f>ROUNDDOWN(30/Таблица2242[[#This Row],[Плановое время в рейсе, 
сутки]],0)</f>
        <v>#DIV/0!</v>
      </c>
      <c r="AD50" s="18" t="e">
        <f>Таблица2242[[#This Row],[Доход, 
грн/рейс]]*Таблица2242[[#This Row],[Возможное количество рейсов в месяц]]</f>
        <v>#DIV/0!</v>
      </c>
      <c r="AE50" s="18" t="e">
        <f>Таблица2242[[#This Row],[Возможное количество рейсов в месяц]]*Таблица2242[[#This Row],[СС 1-го рейса, 
грн/рейс]]</f>
        <v>#DIV/0!</v>
      </c>
      <c r="AF50" s="18" t="e">
        <f>Таблица2242[[#This Row],[Доход в месяц, 
грн]]-Таблица2242[[#This Row],[Затраты на предполагаемые рейсы за месяц, 
грн]]</f>
        <v>#DIV/0!</v>
      </c>
      <c r="AG50" s="29"/>
      <c r="AH50" s="31"/>
    </row>
    <row r="51" spans="1:34" ht="13.2" x14ac:dyDescent="0.25">
      <c r="A51" s="13" t="s">
        <v>130</v>
      </c>
      <c r="B51" s="29" t="s">
        <v>34</v>
      </c>
      <c r="C51" s="71" t="s">
        <v>43</v>
      </c>
      <c r="D51" s="62"/>
      <c r="E51" s="62"/>
      <c r="F51" s="30">
        <v>45689</v>
      </c>
      <c r="G51" s="69">
        <v>45709.430555555555</v>
      </c>
      <c r="H51" s="69">
        <v>45713.395833333336</v>
      </c>
      <c r="I51" s="29" t="s">
        <v>129</v>
      </c>
      <c r="J51" s="14"/>
      <c r="K51" s="72"/>
      <c r="L51" s="15"/>
      <c r="M51" s="15"/>
      <c r="N51" s="16"/>
      <c r="O51" s="17">
        <f>ROUNDUP(SUM(Таблица2242[[#This Row],[Плановое время в дороге, 
сутки]:[Плановое время простоя, 
сутки]]),0)</f>
        <v>0</v>
      </c>
      <c r="P51" s="106" t="s">
        <v>52</v>
      </c>
      <c r="Q51" s="64" t="s">
        <v>36</v>
      </c>
      <c r="R51" s="63">
        <v>1</v>
      </c>
      <c r="S51" s="19"/>
      <c r="T51" s="66">
        <v>5500</v>
      </c>
      <c r="U51" s="67">
        <v>338</v>
      </c>
      <c r="V51" s="67"/>
      <c r="W51" s="67">
        <v>338</v>
      </c>
      <c r="X51" s="67">
        <v>5500</v>
      </c>
      <c r="Y51" s="32">
        <f>Таблица2242[[#This Row],[Доход, 
грн/рейс]]/Таблица2242[[#This Row],[Общий километраж, 
км]]</f>
        <v>16.272189349112427</v>
      </c>
      <c r="Z51" s="32">
        <f>Таблица2242[[#This Row],[Километраж по Украине, 
км]]*10</f>
        <v>3380</v>
      </c>
      <c r="AA51" s="32">
        <f>Таблица2242[[#This Row],[Километраж по Украине, 
км]]/100*32*57+Таблица2242[[#This Row],[Зарплата водителя, грн]]</f>
        <v>9545.119999999999</v>
      </c>
      <c r="AB51" s="68">
        <f>Таблица2242[[#This Row],[Доход, 
грн/рейс]]-Таблица2242[[#This Row],[СС 1-го рейса, 
грн/рейс]]</f>
        <v>-4045.119999999999</v>
      </c>
      <c r="AC51" s="12" t="e">
        <f>ROUNDDOWN(30/Таблица2242[[#This Row],[Плановое время в рейсе, 
сутки]],0)</f>
        <v>#DIV/0!</v>
      </c>
      <c r="AD51" s="18" t="e">
        <f>Таблица2242[[#This Row],[Доход, 
грн/рейс]]*Таблица2242[[#This Row],[Возможное количество рейсов в месяц]]</f>
        <v>#DIV/0!</v>
      </c>
      <c r="AE51" s="18" t="e">
        <f>Таблица2242[[#This Row],[Возможное количество рейсов в месяц]]*Таблица2242[[#This Row],[СС 1-го рейса, 
грн/рейс]]</f>
        <v>#DIV/0!</v>
      </c>
      <c r="AF51" s="18" t="e">
        <f>Таблица2242[[#This Row],[Доход в месяц, 
грн]]-Таблица2242[[#This Row],[Затраты на предполагаемые рейсы за месяц, 
грн]]</f>
        <v>#DIV/0!</v>
      </c>
      <c r="AG51" s="29" t="s">
        <v>127</v>
      </c>
      <c r="AH51" s="31"/>
    </row>
    <row r="52" spans="1:34" ht="13.2" x14ac:dyDescent="0.25">
      <c r="A52" s="1" t="s">
        <v>65</v>
      </c>
      <c r="B52" s="29" t="s">
        <v>34</v>
      </c>
      <c r="C52" s="71"/>
      <c r="D52" s="62"/>
      <c r="E52" s="62"/>
      <c r="F52" s="30">
        <v>45689</v>
      </c>
      <c r="G52" s="69">
        <v>45707.604166666664</v>
      </c>
      <c r="H52" s="69">
        <v>45710.541666666664</v>
      </c>
      <c r="I52" s="1" t="s">
        <v>58</v>
      </c>
      <c r="J52" s="14"/>
      <c r="K52" s="72"/>
      <c r="L52" s="15"/>
      <c r="M52" s="15"/>
      <c r="N52" s="16"/>
      <c r="O52" s="17">
        <f>ROUNDUP(SUM(Таблица2242[[#This Row],[Плановое время в дороге, 
сутки]:[Плановое время простоя, 
сутки]]),0)</f>
        <v>0</v>
      </c>
      <c r="P52" s="65" t="s">
        <v>95</v>
      </c>
      <c r="Q52" s="61" t="s">
        <v>35</v>
      </c>
      <c r="R52" s="63">
        <v>1</v>
      </c>
      <c r="S52" s="19"/>
      <c r="T52" s="66">
        <v>23400</v>
      </c>
      <c r="U52" s="67">
        <v>394</v>
      </c>
      <c r="V52" s="67"/>
      <c r="W52" s="67">
        <f>SUM(Таблица2242[[#This Row],[Километраж по Украине, 
км]:[Километраж по Европе,
км]])</f>
        <v>394</v>
      </c>
      <c r="X52" s="67">
        <f>Таблица2242[[#This Row],[Вес, т]]*Таблица2242[[#This Row],[Стоимость, 
грн/т]]</f>
        <v>23400</v>
      </c>
      <c r="Y52" s="32">
        <f>Таблица2242[[#This Row],[Доход, 
грн/рейс]]/Таблица2242[[#This Row],[Общий километраж, 
км]]</f>
        <v>59.390862944162436</v>
      </c>
      <c r="Z52" s="32">
        <f>Таблица2242[[#This Row],[Километраж по Украине, 
км]]*10</f>
        <v>3940</v>
      </c>
      <c r="AA52" s="32">
        <f>Таблица2242[[#This Row],[Километраж по Украине, 
км]]/100*32*57+Таблица2242[[#This Row],[Зарплата водителя, грн]]</f>
        <v>11126.56</v>
      </c>
      <c r="AB52" s="68">
        <f>Таблица2242[[#This Row],[Доход, 
грн/рейс]]-Таблица2242[[#This Row],[СС 1-го рейса, 
грн/рейс]]</f>
        <v>12273.44</v>
      </c>
      <c r="AC52" s="12" t="e">
        <f>ROUNDDOWN(30/Таблица2242[[#This Row],[Плановое время в рейсе, 
сутки]],0)</f>
        <v>#DIV/0!</v>
      </c>
      <c r="AD52" s="18" t="e">
        <f>Таблица2242[[#This Row],[Доход, 
грн/рейс]]*Таблица2242[[#This Row],[Возможное количество рейсов в месяц]]</f>
        <v>#DIV/0!</v>
      </c>
      <c r="AE52" s="18" t="e">
        <f>Таблица2242[[#This Row],[Возможное количество рейсов в месяц]]*Таблица2242[[#This Row],[СС 1-го рейса, 
грн/рейс]]</f>
        <v>#DIV/0!</v>
      </c>
      <c r="AF52" s="18" t="e">
        <f>Таблица2242[[#This Row],[Доход в месяц, 
грн]]-Таблица2242[[#This Row],[Затраты на предполагаемые рейсы за месяц, 
грн]]</f>
        <v>#DIV/0!</v>
      </c>
      <c r="AG52" s="1" t="s">
        <v>131</v>
      </c>
      <c r="AH52" s="31"/>
    </row>
    <row r="53" spans="1:34" ht="13.2" x14ac:dyDescent="0.25">
      <c r="A53" s="1" t="s">
        <v>57</v>
      </c>
      <c r="B53" s="29" t="s">
        <v>34</v>
      </c>
      <c r="C53" s="71"/>
      <c r="D53" s="62"/>
      <c r="E53" s="62"/>
      <c r="F53" s="30">
        <v>45689</v>
      </c>
      <c r="G53" s="69">
        <v>45710.541666666664</v>
      </c>
      <c r="H53" s="69">
        <v>45713.5</v>
      </c>
      <c r="I53" s="1" t="s">
        <v>88</v>
      </c>
      <c r="J53" s="14"/>
      <c r="K53" s="72"/>
      <c r="L53" s="15"/>
      <c r="M53" s="15"/>
      <c r="N53" s="16"/>
      <c r="O53" s="70">
        <f>ROUNDUP(SUM(Таблица2242[[#This Row],[Плановое время в дороге, 
сутки]:[Плановое время простоя, 
сутки]]),0)</f>
        <v>0</v>
      </c>
      <c r="P53" s="65" t="s">
        <v>95</v>
      </c>
      <c r="Q53" s="64" t="s">
        <v>36</v>
      </c>
      <c r="R53" s="63">
        <v>1</v>
      </c>
      <c r="S53" s="19"/>
      <c r="T53" s="66">
        <v>10000</v>
      </c>
      <c r="U53" s="67">
        <v>620</v>
      </c>
      <c r="V53" s="67"/>
      <c r="W53" s="67">
        <f>SUM(Таблица2242[[#This Row],[Километраж по Украине, 
км]:[Километраж по Европе,
км]])</f>
        <v>620</v>
      </c>
      <c r="X53" s="67">
        <f>Таблица2242[[#This Row],[Вес, т]]*Таблица2242[[#This Row],[Стоимость, 
грн/т]]</f>
        <v>10000</v>
      </c>
      <c r="Y53" s="32">
        <f>Таблица2242[[#This Row],[Доход, 
грн/рейс]]/Таблица2242[[#This Row],[Общий километраж, 
км]]</f>
        <v>16.129032258064516</v>
      </c>
      <c r="Z53" s="32">
        <f>Таблица2242[[#This Row],[Километраж по Украине, 
км]]*10</f>
        <v>6200</v>
      </c>
      <c r="AA53" s="32">
        <f>Таблица2242[[#This Row],[Километраж по Украине, 
км]]/100*32*57+Таблица2242[[#This Row],[Зарплата водителя, грн]]</f>
        <v>17508.800000000003</v>
      </c>
      <c r="AB53" s="68">
        <f>Таблица2242[[#This Row],[Доход, 
грн/рейс]]-Таблица2242[[#This Row],[СС 1-го рейса, 
грн/рейс]]</f>
        <v>-7508.8000000000029</v>
      </c>
      <c r="AC53" s="12" t="e">
        <f>ROUNDDOWN(30/Таблица2242[[#This Row],[Плановое время в рейсе, 
сутки]],0)</f>
        <v>#DIV/0!</v>
      </c>
      <c r="AD53" s="18" t="e">
        <f>Таблица2242[[#This Row],[Доход, 
грн/рейс]]*Таблица2242[[#This Row],[Возможное количество рейсов в месяц]]</f>
        <v>#DIV/0!</v>
      </c>
      <c r="AE53" s="18" t="e">
        <f>Таблица2242[[#This Row],[Возможное количество рейсов в месяц]]*Таблица2242[[#This Row],[СС 1-го рейса, 
грн/рейс]]</f>
        <v>#DIV/0!</v>
      </c>
      <c r="AF53" s="18" t="e">
        <f>Таблица2242[[#This Row],[Доход в месяц, 
грн]]-Таблица2242[[#This Row],[Затраты на предполагаемые рейсы за месяц, 
грн]]</f>
        <v>#DIV/0!</v>
      </c>
      <c r="AG53" s="1" t="s">
        <v>132</v>
      </c>
      <c r="AH53" s="31"/>
    </row>
    <row r="54" spans="1:34" ht="13.2" x14ac:dyDescent="0.25">
      <c r="A54" s="1" t="s">
        <v>65</v>
      </c>
      <c r="B54" s="29" t="s">
        <v>34</v>
      </c>
      <c r="C54" s="71"/>
      <c r="D54" s="62"/>
      <c r="E54" s="62"/>
      <c r="F54" s="30">
        <v>45689</v>
      </c>
      <c r="G54" s="69">
        <v>45713.395833333336</v>
      </c>
      <c r="H54" s="69">
        <v>45714.416666666664</v>
      </c>
      <c r="I54" s="1" t="s">
        <v>58</v>
      </c>
      <c r="J54" s="14"/>
      <c r="K54" s="72"/>
      <c r="L54" s="15"/>
      <c r="M54" s="15"/>
      <c r="N54" s="16"/>
      <c r="O54" s="17">
        <f>ROUNDUP(SUM(Таблица2242[[#This Row],[Плановое время в дороге, 
сутки]:[Плановое время простоя, 
сутки]]),0)</f>
        <v>0</v>
      </c>
      <c r="P54" s="106" t="s">
        <v>52</v>
      </c>
      <c r="Q54" s="61" t="s">
        <v>35</v>
      </c>
      <c r="R54" s="63">
        <v>1</v>
      </c>
      <c r="S54" s="19"/>
      <c r="T54" s="66">
        <v>23100</v>
      </c>
      <c r="U54" s="67">
        <v>385</v>
      </c>
      <c r="V54" s="67"/>
      <c r="W54" s="67">
        <f>SUM(Таблица2242[[#This Row],[Километраж по Украине, 
км]:[Километраж по Европе,
км]])</f>
        <v>385</v>
      </c>
      <c r="X54" s="67">
        <f>Таблица2242[[#This Row],[Вес, т]]*Таблица2242[[#This Row],[Стоимость, 
грн/т]]</f>
        <v>23100</v>
      </c>
      <c r="Y54" s="32">
        <f>Таблица2242[[#This Row],[Доход, 
грн/рейс]]/Таблица2242[[#This Row],[Общий километраж, 
км]]</f>
        <v>60</v>
      </c>
      <c r="Z54" s="32">
        <f>Таблица2242[[#This Row],[Километраж по Украине, 
км]]*10</f>
        <v>3850</v>
      </c>
      <c r="AA54" s="32">
        <f>Таблица2242[[#This Row],[Километраж по Украине, 
км]]/100*32*57+Таблица2242[[#This Row],[Зарплата водителя, грн]]</f>
        <v>10872.400000000001</v>
      </c>
      <c r="AB54" s="68">
        <f>Таблица2242[[#This Row],[Доход, 
грн/рейс]]-Таблица2242[[#This Row],[СС 1-го рейса, 
грн/рейс]]</f>
        <v>12227.599999999999</v>
      </c>
      <c r="AC54" s="12" t="e">
        <f>ROUNDDOWN(30/Таблица2242[[#This Row],[Плановое время в рейсе, 
сутки]],0)</f>
        <v>#DIV/0!</v>
      </c>
      <c r="AD54" s="18" t="e">
        <f>Таблица2242[[#This Row],[Доход, 
грн/рейс]]*Таблица2242[[#This Row],[Возможное количество рейсов в месяц]]</f>
        <v>#DIV/0!</v>
      </c>
      <c r="AE54" s="18" t="e">
        <f>Таблица2242[[#This Row],[Возможное количество рейсов в месяц]]*Таблица2242[[#This Row],[СС 1-го рейса, 
грн/рейс]]</f>
        <v>#DIV/0!</v>
      </c>
      <c r="AF54" s="18" t="e">
        <f>Таблица2242[[#This Row],[Доход в месяц, 
грн]]-Таблица2242[[#This Row],[Затраты на предполагаемые рейсы за месяц, 
грн]]</f>
        <v>#DIV/0!</v>
      </c>
      <c r="AG54" s="1" t="s">
        <v>134</v>
      </c>
      <c r="AH54" s="31"/>
    </row>
    <row r="55" spans="1:34" ht="13.2" x14ac:dyDescent="0.25">
      <c r="A55" s="1" t="s">
        <v>57</v>
      </c>
      <c r="B55" s="29" t="s">
        <v>34</v>
      </c>
      <c r="C55" s="71"/>
      <c r="D55" s="62"/>
      <c r="E55" s="62"/>
      <c r="F55" s="30">
        <v>45689</v>
      </c>
      <c r="G55" s="69">
        <v>45714.416666666664</v>
      </c>
      <c r="H55" s="69">
        <v>45715.479166666664</v>
      </c>
      <c r="I55" s="1" t="s">
        <v>88</v>
      </c>
      <c r="J55" s="14"/>
      <c r="K55" s="72"/>
      <c r="L55" s="15"/>
      <c r="M55" s="15"/>
      <c r="N55" s="16"/>
      <c r="O55" s="17">
        <f>ROUNDUP(SUM(Таблица2242[[#This Row],[Плановое время в дороге, 
сутки]:[Плановое время простоя, 
сутки]]),0)</f>
        <v>0</v>
      </c>
      <c r="P55" s="106" t="s">
        <v>52</v>
      </c>
      <c r="Q55" s="64" t="s">
        <v>36</v>
      </c>
      <c r="R55" s="63">
        <v>1</v>
      </c>
      <c r="S55" s="19"/>
      <c r="T55" s="66">
        <v>10000</v>
      </c>
      <c r="U55" s="67">
        <v>617</v>
      </c>
      <c r="V55" s="67"/>
      <c r="W55" s="65">
        <v>617</v>
      </c>
      <c r="X55" s="67">
        <f>Таблица2242[[#This Row],[Вес, т]]*Таблица2242[[#This Row],[Стоимость, 
грн/т]]</f>
        <v>10000</v>
      </c>
      <c r="Y55" s="32">
        <f>Таблица2242[[#This Row],[Доход, 
грн/рейс]]/Таблица2242[[#This Row],[Общий километраж, 
км]]</f>
        <v>16.207455429497568</v>
      </c>
      <c r="Z55" s="32">
        <f>Таблица2242[[#This Row],[Километраж по Украине, 
км]]*10</f>
        <v>6170</v>
      </c>
      <c r="AA55" s="32">
        <f>Таблица2242[[#This Row],[Километраж по Украине, 
км]]/100*32*57+Таблица2242[[#This Row],[Зарплата водителя, грн]]</f>
        <v>17424.080000000002</v>
      </c>
      <c r="AB55" s="68">
        <f>Таблица2242[[#This Row],[Доход, 
грн/рейс]]-Таблица2242[[#This Row],[СС 1-го рейса, 
грн/рейс]]</f>
        <v>-7424.0800000000017</v>
      </c>
      <c r="AC55" s="12" t="e">
        <f>ROUNDDOWN(30/Таблица2242[[#This Row],[Плановое время в рейсе, 
сутки]],0)</f>
        <v>#DIV/0!</v>
      </c>
      <c r="AD55" s="18" t="e">
        <f>Таблица2242[[#This Row],[Доход, 
грн/рейс]]*Таблица2242[[#This Row],[Возможное количество рейсов в месяц]]</f>
        <v>#DIV/0!</v>
      </c>
      <c r="AE55" s="18" t="e">
        <f>Таблица2242[[#This Row],[Возможное количество рейсов в месяц]]*Таблица2242[[#This Row],[СС 1-го рейса, 
грн/рейс]]</f>
        <v>#DIV/0!</v>
      </c>
      <c r="AF55" s="18" t="e">
        <f>Таблица2242[[#This Row],[Доход в месяц, 
грн]]-Таблица2242[[#This Row],[Затраты на предполагаемые рейсы за месяц, 
грн]]</f>
        <v>#DIV/0!</v>
      </c>
      <c r="AG55" s="1" t="s">
        <v>135</v>
      </c>
      <c r="AH55" s="31"/>
    </row>
    <row r="56" spans="1:34" ht="13.2" x14ac:dyDescent="0.25">
      <c r="A56" s="1" t="s">
        <v>65</v>
      </c>
      <c r="B56" s="29" t="s">
        <v>34</v>
      </c>
      <c r="C56" s="71"/>
      <c r="D56" s="62"/>
      <c r="E56" s="62"/>
      <c r="F56" s="30">
        <v>45689</v>
      </c>
      <c r="G56" s="69">
        <v>45713.5</v>
      </c>
      <c r="H56" s="69">
        <v>45715.416666666664</v>
      </c>
      <c r="I56" s="29" t="s">
        <v>123</v>
      </c>
      <c r="J56" s="14"/>
      <c r="K56" s="72"/>
      <c r="L56" s="15"/>
      <c r="M56" s="15"/>
      <c r="N56" s="16"/>
      <c r="O56" s="70">
        <f>ROUNDUP(SUM(Таблица2242[[#This Row],[Плановое время в дороге, 
сутки]:[Плановое время простоя, 
сутки]]),0)</f>
        <v>0</v>
      </c>
      <c r="P56" s="65" t="s">
        <v>95</v>
      </c>
      <c r="Q56" s="61" t="s">
        <v>35</v>
      </c>
      <c r="R56" s="63">
        <v>1</v>
      </c>
      <c r="S56" s="19"/>
      <c r="T56" s="66">
        <v>13500</v>
      </c>
      <c r="U56" s="67">
        <v>225</v>
      </c>
      <c r="V56" s="67"/>
      <c r="W56" s="65">
        <v>225</v>
      </c>
      <c r="X56" s="67">
        <f>Таблица2242[[#This Row],[Вес, т]]*Таблица2242[[#This Row],[Стоимость, 
грн/т]]</f>
        <v>13500</v>
      </c>
      <c r="Y56" s="32">
        <f>Таблица2242[[#This Row],[Доход, 
грн/рейс]]/Таблица2242[[#This Row],[Общий километраж, 
км]]</f>
        <v>60</v>
      </c>
      <c r="Z56" s="32">
        <f>Таблица2242[[#This Row],[Километраж по Украине, 
км]]*10</f>
        <v>2250</v>
      </c>
      <c r="AA56" s="32">
        <f>Таблица2242[[#This Row],[Километраж по Украине, 
км]]/100*32*57+Таблица2242[[#This Row],[Зарплата водителя, грн]]</f>
        <v>6354</v>
      </c>
      <c r="AB56" s="68">
        <f>Таблица2242[[#This Row],[Доход, 
грн/рейс]]-Таблица2242[[#This Row],[СС 1-го рейса, 
грн/рейс]]</f>
        <v>7146</v>
      </c>
      <c r="AC56" s="12" t="e">
        <f>ROUNDDOWN(30/Таблица2242[[#This Row],[Плановое время в рейсе, 
сутки]],0)</f>
        <v>#DIV/0!</v>
      </c>
      <c r="AD56" s="18" t="e">
        <f>Таблица2242[[#This Row],[Доход, 
грн/рейс]]*Таблица2242[[#This Row],[Возможное количество рейсов в месяц]]</f>
        <v>#DIV/0!</v>
      </c>
      <c r="AE56" s="18" t="e">
        <f>Таблица2242[[#This Row],[Возможное количество рейсов в месяц]]*Таблица2242[[#This Row],[СС 1-го рейса, 
грн/рейс]]</f>
        <v>#DIV/0!</v>
      </c>
      <c r="AF56" s="18" t="e">
        <f>Таблица2242[[#This Row],[Доход в месяц, 
грн]]-Таблица2242[[#This Row],[Затраты на предполагаемые рейсы за месяц, 
грн]]</f>
        <v>#DIV/0!</v>
      </c>
      <c r="AG56" s="1" t="s">
        <v>133</v>
      </c>
      <c r="AH56" s="31"/>
    </row>
    <row r="57" spans="1:34" ht="12" customHeight="1" x14ac:dyDescent="0.25">
      <c r="A57" s="194" t="s">
        <v>126</v>
      </c>
      <c r="B57" s="29" t="s">
        <v>34</v>
      </c>
      <c r="C57" s="71" t="s">
        <v>43</v>
      </c>
      <c r="D57" s="62"/>
      <c r="E57" s="62"/>
      <c r="F57" s="30">
        <v>45689</v>
      </c>
      <c r="G57" s="69">
        <v>45715.416666666664</v>
      </c>
      <c r="H57" s="69">
        <v>45716.5625</v>
      </c>
      <c r="I57" s="29" t="s">
        <v>137</v>
      </c>
      <c r="J57" s="14"/>
      <c r="K57" s="72"/>
      <c r="L57" s="15"/>
      <c r="M57" s="15"/>
      <c r="N57" s="16"/>
      <c r="O57" s="17">
        <f>ROUNDUP(SUM(Таблица2242[[#This Row],[Плановое время в дороге, 
сутки]:[Плановое время простоя, 
сутки]]),0)</f>
        <v>0</v>
      </c>
      <c r="P57" s="65" t="s">
        <v>95</v>
      </c>
      <c r="Q57" s="64" t="s">
        <v>36</v>
      </c>
      <c r="R57" s="63">
        <v>1</v>
      </c>
      <c r="S57" s="19"/>
      <c r="T57" s="66">
        <v>6300</v>
      </c>
      <c r="U57" s="67">
        <v>415</v>
      </c>
      <c r="V57" s="67"/>
      <c r="W57" s="67">
        <v>415</v>
      </c>
      <c r="X57" s="67">
        <v>6500</v>
      </c>
      <c r="Y57" s="32">
        <f>Таблица2242[[#This Row],[Доход, 
грн/рейс]]/Таблица2242[[#This Row],[Общий километраж, 
км]]</f>
        <v>15.662650602409638</v>
      </c>
      <c r="Z57" s="32">
        <f>Таблица2242[[#This Row],[Километраж по Украине, 
км]]*10</f>
        <v>4150</v>
      </c>
      <c r="AA57" s="32">
        <f>Таблица2242[[#This Row],[Километраж по Украине, 
км]]/100*32*57+Таблица2242[[#This Row],[Зарплата водителя, грн]]</f>
        <v>11719.6</v>
      </c>
      <c r="AB57" s="68">
        <f>Таблица2242[[#This Row],[Доход, 
грн/рейс]]-Таблица2242[[#This Row],[СС 1-го рейса, 
грн/рейс]]</f>
        <v>-5219.6000000000004</v>
      </c>
      <c r="AC57" s="12" t="e">
        <f>ROUNDDOWN(30/Таблица2242[[#This Row],[Плановое время в рейсе, 
сутки]],0)</f>
        <v>#DIV/0!</v>
      </c>
      <c r="AD57" s="18" t="e">
        <f>Таблица2242[[#This Row],[Доход, 
грн/рейс]]*Таблица2242[[#This Row],[Возможное количество рейсов в месяц]]</f>
        <v>#DIV/0!</v>
      </c>
      <c r="AE57" s="18" t="e">
        <f>Таблица2242[[#This Row],[Возможное количество рейсов в месяц]]*Таблица2242[[#This Row],[СС 1-го рейса, 
грн/рейс]]</f>
        <v>#DIV/0!</v>
      </c>
      <c r="AF57" s="18" t="e">
        <f>Таблица2242[[#This Row],[Доход в месяц, 
грн]]-Таблица2242[[#This Row],[Затраты на предполагаемые рейсы за месяц, 
грн]]</f>
        <v>#DIV/0!</v>
      </c>
      <c r="AG57" s="29" t="s">
        <v>127</v>
      </c>
      <c r="AH57" s="31"/>
    </row>
    <row r="58" spans="1:34" ht="12" customHeight="1" x14ac:dyDescent="0.25">
      <c r="A58" s="1" t="s">
        <v>65</v>
      </c>
      <c r="B58" s="29" t="s">
        <v>34</v>
      </c>
      <c r="C58" s="115"/>
      <c r="D58" s="114"/>
      <c r="E58" s="114"/>
      <c r="F58" s="30">
        <v>45717</v>
      </c>
      <c r="G58" s="69">
        <v>45715.479166666664</v>
      </c>
      <c r="H58" s="69">
        <v>45717.458333333336</v>
      </c>
      <c r="I58" s="29" t="s">
        <v>123</v>
      </c>
      <c r="J58" s="118"/>
      <c r="K58" s="119"/>
      <c r="L58" s="120"/>
      <c r="M58" s="120"/>
      <c r="N58" s="121"/>
      <c r="O58" s="122">
        <f>ROUNDUP(SUM(Таблица2242[[#This Row],[Плановое время в дороге, 
сутки]:[Плановое время простоя, 
сутки]]),0)</f>
        <v>0</v>
      </c>
      <c r="P58" s="106" t="s">
        <v>52</v>
      </c>
      <c r="Q58" s="61" t="s">
        <v>35</v>
      </c>
      <c r="R58" s="118">
        <v>1</v>
      </c>
      <c r="S58" s="123"/>
      <c r="T58" s="124">
        <v>13380</v>
      </c>
      <c r="U58" s="187">
        <v>223</v>
      </c>
      <c r="V58" s="187"/>
      <c r="W58" s="122">
        <v>223</v>
      </c>
      <c r="X58" s="126">
        <v>13380</v>
      </c>
      <c r="Y58" s="126">
        <f>Таблица2242[[#This Row],[Доход, 
грн/рейс]]/Таблица2242[[#This Row],[Общий километраж, 
км]]</f>
        <v>60</v>
      </c>
      <c r="Z58" s="32">
        <f>Таблица2242[[#This Row],[Километраж по Украине, 
км]]*10</f>
        <v>2230</v>
      </c>
      <c r="AA58" s="32">
        <f>Таблица2242[[#This Row],[Километраж по Украине, 
км]]/100*32*57+Таблица2242[[#This Row],[Зарплата водителя, грн]]</f>
        <v>6297.52</v>
      </c>
      <c r="AB58" s="68">
        <f>Таблица2242[[#This Row],[Доход, 
грн/рейс]]-Таблица2242[[#This Row],[СС 1-го рейса, 
грн/рейс]]</f>
        <v>7082.48</v>
      </c>
      <c r="AC58" s="128" t="e">
        <f>ROUNDDOWN(30/Таблица2242[[#This Row],[Плановое время в рейсе, 
сутки]],0)</f>
        <v>#DIV/0!</v>
      </c>
      <c r="AD58" s="129" t="e">
        <f>Таблица2242[[#This Row],[Доход, 
грн/рейс]]*Таблица2242[[#This Row],[Возможное количество рейсов в месяц]]</f>
        <v>#DIV/0!</v>
      </c>
      <c r="AE58" s="129" t="e">
        <f>Таблица2242[[#This Row],[Возможное количество рейсов в месяц]]*Таблица2242[[#This Row],[СС 1-го рейса, 
грн/рейс]]</f>
        <v>#DIV/0!</v>
      </c>
      <c r="AF58" s="129" t="e">
        <f>Таблица2242[[#This Row],[Доход в месяц, 
грн]]-Таблица2242[[#This Row],[Затраты на предполагаемые рейсы за месяц, 
грн]]</f>
        <v>#DIV/0!</v>
      </c>
      <c r="AG58" s="114"/>
      <c r="AH58" s="130"/>
    </row>
    <row r="59" spans="1:34" ht="12" customHeight="1" x14ac:dyDescent="0.25">
      <c r="A59" s="195" t="s">
        <v>89</v>
      </c>
      <c r="B59" s="29" t="s">
        <v>34</v>
      </c>
      <c r="C59" s="71" t="s">
        <v>43</v>
      </c>
      <c r="D59" s="114"/>
      <c r="E59" s="114"/>
      <c r="F59" s="30">
        <v>45717</v>
      </c>
      <c r="G59" s="69">
        <v>45717.458333333336</v>
      </c>
      <c r="H59" s="69">
        <v>45719.708333333336</v>
      </c>
      <c r="I59" s="29" t="s">
        <v>138</v>
      </c>
      <c r="J59" s="118"/>
      <c r="K59" s="119"/>
      <c r="L59" s="120"/>
      <c r="M59" s="120"/>
      <c r="N59" s="121"/>
      <c r="O59" s="122">
        <f>ROUNDUP(SUM(Таблица2242[[#This Row],[Плановое время в дороге, 
сутки]:[Плановое время простоя, 
сутки]]),0)</f>
        <v>0</v>
      </c>
      <c r="P59" s="106" t="s">
        <v>52</v>
      </c>
      <c r="Q59" s="64" t="s">
        <v>36</v>
      </c>
      <c r="R59" s="118">
        <v>1</v>
      </c>
      <c r="S59" s="123"/>
      <c r="T59" s="124">
        <v>3000</v>
      </c>
      <c r="U59" s="189">
        <v>242</v>
      </c>
      <c r="V59" s="196"/>
      <c r="W59" s="122">
        <v>240</v>
      </c>
      <c r="X59" s="126">
        <v>3000</v>
      </c>
      <c r="Y59" s="126">
        <f>Таблица2242[[#This Row],[Доход, 
грн/рейс]]/Таблица2242[[#This Row],[Общий километраж, 
км]]</f>
        <v>12.5</v>
      </c>
      <c r="Z59" s="32">
        <f>Таблица2242[[#This Row],[Километраж по Украине, 
км]]*10</f>
        <v>2420</v>
      </c>
      <c r="AA59" s="32">
        <f>Таблица2242[[#This Row],[Километраж по Украине, 
км]]/100*32*57+Таблица2242[[#This Row],[Зарплата водителя, грн]]</f>
        <v>6834.08</v>
      </c>
      <c r="AB59" s="127">
        <f>Таблица2242[[#This Row],[Доход, 
грн/рейс]]-Таблица2242[[#This Row],[СС 1-го рейса, 
грн/рейс]]</f>
        <v>-3834.08</v>
      </c>
      <c r="AC59" s="128" t="e">
        <f>ROUNDDOWN(30/Таблица2242[[#This Row],[Плановое время в рейсе, 
сутки]],0)</f>
        <v>#DIV/0!</v>
      </c>
      <c r="AD59" s="129" t="e">
        <f>Таблица2242[[#This Row],[Доход, 
грн/рейс]]*Таблица2242[[#This Row],[Возможное количество рейсов в месяц]]</f>
        <v>#DIV/0!</v>
      </c>
      <c r="AE59" s="129" t="e">
        <f>Таблица2242[[#This Row],[Возможное количество рейсов в месяц]]*Таблица2242[[#This Row],[СС 1-го рейса, 
грн/рейс]]</f>
        <v>#DIV/0!</v>
      </c>
      <c r="AF59" s="129" t="e">
        <f>Таблица2242[[#This Row],[Доход в месяц, 
грн]]-Таблица2242[[#This Row],[Затраты на предполагаемые рейсы за месяц, 
грн]]</f>
        <v>#DIV/0!</v>
      </c>
      <c r="AG59" s="12" t="s">
        <v>141</v>
      </c>
      <c r="AH59" s="130"/>
    </row>
    <row r="60" spans="1:34" ht="13.2" x14ac:dyDescent="0.25">
      <c r="A60" s="113"/>
      <c r="B60" s="114"/>
      <c r="C60" s="115"/>
      <c r="D60" s="114"/>
      <c r="E60" s="114"/>
      <c r="F60" s="116"/>
      <c r="G60" s="117"/>
      <c r="H60" s="117"/>
      <c r="I60" s="114"/>
      <c r="J60" s="118"/>
      <c r="K60" s="119"/>
      <c r="L60" s="120"/>
      <c r="M60" s="120"/>
      <c r="N60" s="121"/>
      <c r="O60" s="122">
        <f>ROUNDUP(SUM(Таблица2242[[#This Row],[Плановое время в дороге, 
сутки]:[Плановое время простоя, 
сутки]]),0)</f>
        <v>0</v>
      </c>
      <c r="P60" s="122"/>
      <c r="Q60" s="120"/>
      <c r="R60" s="118"/>
      <c r="S60" s="123"/>
      <c r="T60" s="124">
        <f>Таблица2242[[#This Row],[Стоимость, 
EUR/т]]*$J$2</f>
        <v>0</v>
      </c>
      <c r="U60" s="125"/>
      <c r="V60" s="125"/>
      <c r="W60" s="122">
        <f>SUM(Таблица2242[[#This Row],[Километраж по Украине, 
км]:[Километраж по Европе,
км]])</f>
        <v>0</v>
      </c>
      <c r="X60" s="126">
        <f>Таблица2242[[#This Row],[Вес, т]]*Таблица2242[[#This Row],[Стоимость, 
грн/т]]</f>
        <v>0</v>
      </c>
      <c r="Y60" s="126" t="e">
        <f>Таблица2242[[#This Row],[Доход, 
грн/рейс]]/Таблица2242[[#This Row],[Общий километраж, 
км]]</f>
        <v>#DIV/0!</v>
      </c>
      <c r="Z60" s="126"/>
      <c r="AA60" s="126"/>
      <c r="AB60" s="127">
        <f>Таблица2242[[#This Row],[Доход, 
грн/рейс]]-Таблица2242[[#This Row],[СС 1-го рейса, 
грн/рейс]]</f>
        <v>0</v>
      </c>
      <c r="AC60" s="128" t="e">
        <f>ROUNDDOWN(30/Таблица2242[[#This Row],[Плановое время в рейсе, 
сутки]],0)</f>
        <v>#DIV/0!</v>
      </c>
      <c r="AD60" s="129" t="e">
        <f>Таблица2242[[#This Row],[Доход, 
грн/рейс]]*Таблица2242[[#This Row],[Возможное количество рейсов в месяц]]</f>
        <v>#DIV/0!</v>
      </c>
      <c r="AE60" s="129" t="e">
        <f>Таблица2242[[#This Row],[Возможное количество рейсов в месяц]]*Таблица2242[[#This Row],[СС 1-го рейса, 
грн/рейс]]</f>
        <v>#DIV/0!</v>
      </c>
      <c r="AF60" s="129" t="e">
        <f>Таблица2242[[#This Row],[Доход в месяц, 
грн]]-Таблица2242[[#This Row],[Затраты на предполагаемые рейсы за месяц, 
грн]]</f>
        <v>#DIV/0!</v>
      </c>
      <c r="AG60" s="114"/>
      <c r="AH60" s="130"/>
    </row>
    <row r="61" spans="1:34" ht="13.2" x14ac:dyDescent="0.25">
      <c r="A61" s="131"/>
      <c r="B61" s="132"/>
      <c r="C61" s="133"/>
      <c r="D61" s="132"/>
      <c r="E61" s="132"/>
      <c r="F61" s="134"/>
      <c r="G61" s="135"/>
      <c r="H61" s="135"/>
      <c r="I61" s="132"/>
      <c r="J61" s="136"/>
      <c r="K61" s="137"/>
      <c r="L61" s="138"/>
      <c r="M61" s="138"/>
      <c r="N61" s="139"/>
      <c r="O61" s="140">
        <f>ROUNDUP(SUM(Таблица2242[[#This Row],[Плановое время в дороге, 
сутки]:[Плановое время простоя, 
сутки]]),0)</f>
        <v>0</v>
      </c>
      <c r="P61" s="140"/>
      <c r="Q61" s="138"/>
      <c r="R61" s="136"/>
      <c r="S61" s="141"/>
      <c r="T61" s="142">
        <f>Таблица2242[[#This Row],[Стоимость, 
EUR/т]]*$J$2</f>
        <v>0</v>
      </c>
      <c r="U61" s="143"/>
      <c r="V61" s="143"/>
      <c r="W61" s="140">
        <f>SUM(Таблица2242[[#This Row],[Километраж по Украине, 
км]:[Километраж по Европе,
км]])</f>
        <v>0</v>
      </c>
      <c r="X61" s="144">
        <f>Таблица2242[[#This Row],[Вес, т]]*Таблица2242[[#This Row],[Стоимость, 
грн/т]]</f>
        <v>0</v>
      </c>
      <c r="Y61" s="144" t="e">
        <f>Таблица2242[[#This Row],[Доход, 
грн/рейс]]/Таблица2242[[#This Row],[Общий километраж, 
км]]</f>
        <v>#DIV/0!</v>
      </c>
      <c r="Z61" s="144"/>
      <c r="AA61" s="144"/>
      <c r="AB61" s="145">
        <f>Таблица2242[[#This Row],[Доход, 
грн/рейс]]-Таблица2242[[#This Row],[СС 1-го рейса, 
грн/рейс]]</f>
        <v>0</v>
      </c>
      <c r="AC61" s="146" t="e">
        <f>ROUNDDOWN(30/Таблица2242[[#This Row],[Плановое время в рейсе, 
сутки]],0)</f>
        <v>#DIV/0!</v>
      </c>
      <c r="AD61" s="147" t="e">
        <f>Таблица2242[[#This Row],[Доход, 
грн/рейс]]*Таблица2242[[#This Row],[Возможное количество рейсов в месяц]]</f>
        <v>#DIV/0!</v>
      </c>
      <c r="AE61" s="147" t="e">
        <f>Таблица2242[[#This Row],[Возможное количество рейсов в месяц]]*Таблица2242[[#This Row],[СС 1-го рейса, 
грн/рейс]]</f>
        <v>#DIV/0!</v>
      </c>
      <c r="AF61" s="147" t="e">
        <f>Таблица2242[[#This Row],[Доход в месяц, 
грн]]-Таблица2242[[#This Row],[Затраты на предполагаемые рейсы за месяц, 
грн]]</f>
        <v>#DIV/0!</v>
      </c>
      <c r="AG61" s="132"/>
      <c r="AH61" s="148"/>
    </row>
    <row r="62" spans="1:34" ht="13.2" x14ac:dyDescent="0.25">
      <c r="A62" s="1" t="s">
        <v>65</v>
      </c>
      <c r="B62" s="29" t="s">
        <v>34</v>
      </c>
      <c r="C62" s="165"/>
      <c r="D62" s="12"/>
      <c r="E62" s="12"/>
      <c r="F62" s="30">
        <v>45717</v>
      </c>
      <c r="G62" s="69">
        <v>45716.5625</v>
      </c>
      <c r="H62" s="69">
        <v>45722.5</v>
      </c>
      <c r="I62" s="29" t="s">
        <v>123</v>
      </c>
      <c r="J62" s="14"/>
      <c r="K62" s="173"/>
      <c r="L62" s="174"/>
      <c r="M62" s="174"/>
      <c r="N62" s="16"/>
      <c r="O62" s="17">
        <f>ROUNDUP(SUM(Таблица2242[[#This Row],[Плановое время в дороге, 
сутки]:[Плановое время простоя, 
сутки]]),0)</f>
        <v>0</v>
      </c>
      <c r="P62" s="65" t="s">
        <v>95</v>
      </c>
      <c r="Q62" s="61" t="s">
        <v>35</v>
      </c>
      <c r="R62" s="14">
        <v>1</v>
      </c>
      <c r="S62" s="19"/>
      <c r="T62" s="175">
        <v>13500</v>
      </c>
      <c r="U62" s="188">
        <v>225</v>
      </c>
      <c r="V62" s="188"/>
      <c r="W62" s="17">
        <f>SUM(Таблица2242[[#This Row],[Километраж по Украине, 
км]:[Километраж по Европе,
км]])</f>
        <v>225</v>
      </c>
      <c r="X62" s="169">
        <f>Таблица2242[[#This Row],[Вес, т]]*Таблица2242[[#This Row],[Стоимость, 
грн/т]]</f>
        <v>13500</v>
      </c>
      <c r="Y62" s="169">
        <f>Таблица2242[[#This Row],[Доход, 
грн/рейс]]/Таблица2242[[#This Row],[Общий километраж, 
км]]</f>
        <v>60</v>
      </c>
      <c r="Z62" s="32">
        <f>Таблица2242[[#This Row],[Километраж по Украине, 
км]]*10</f>
        <v>2250</v>
      </c>
      <c r="AA62" s="32">
        <f>Таблица2242[[#This Row],[Километраж по Украине, 
км]]/100*32*57+Таблица2242[[#This Row],[Зарплата водителя, грн]]</f>
        <v>6354</v>
      </c>
      <c r="AB62" s="170">
        <f>Таблица2242[[#This Row],[Доход, 
грн/рейс]]-Таблица2242[[#This Row],[СС 1-го рейса, 
грн/рейс]]</f>
        <v>7146</v>
      </c>
      <c r="AC62" s="171" t="e">
        <f>ROUNDDOWN(30/Таблица2242[[#This Row],[Плановое время в рейсе, 
сутки]],0)</f>
        <v>#DIV/0!</v>
      </c>
      <c r="AD62" s="18" t="e">
        <f>Таблица2242[[#This Row],[Доход, 
грн/рейс]]*Таблица2242[[#This Row],[Возможное количество рейсов в месяц]]</f>
        <v>#DIV/0!</v>
      </c>
      <c r="AE62" s="18" t="e">
        <f>Таблица2242[[#This Row],[Возможное количество рейсов в месяц]]*Таблица2242[[#This Row],[СС 1-го рейса, 
грн/рейс]]</f>
        <v>#DIV/0!</v>
      </c>
      <c r="AF62" s="18" t="e">
        <f>Таблица2242[[#This Row],[Доход в месяц, 
грн]]-Таблица2242[[#This Row],[Затраты на предполагаемые рейсы за месяц, 
грн]]</f>
        <v>#DIV/0!</v>
      </c>
      <c r="AG62" s="1" t="s">
        <v>139</v>
      </c>
      <c r="AH62" s="172"/>
    </row>
    <row r="63" spans="1:34" ht="13.2" x14ac:dyDescent="0.25">
      <c r="A63" s="13"/>
      <c r="B63" s="12"/>
      <c r="C63" s="165"/>
      <c r="D63" s="12"/>
      <c r="E63" s="12"/>
      <c r="F63" s="166"/>
      <c r="G63" s="167"/>
      <c r="H63" s="167"/>
      <c r="I63" s="12"/>
      <c r="J63" s="14"/>
      <c r="K63" s="173"/>
      <c r="L63" s="174"/>
      <c r="M63" s="174"/>
      <c r="N63" s="16"/>
      <c r="O63" s="17">
        <f>ROUNDUP(SUM(Таблица2242[[#This Row],[Плановое время в дороге, 
сутки]:[Плановое время простоя, 
сутки]]),0)</f>
        <v>0</v>
      </c>
      <c r="P63" s="17"/>
      <c r="Q63" s="174"/>
      <c r="R63" s="14"/>
      <c r="S63" s="19"/>
      <c r="T63" s="175">
        <f>Таблица2242[[#This Row],[Стоимость, 
EUR/т]]*$J$2</f>
        <v>0</v>
      </c>
      <c r="U63" s="168"/>
      <c r="V63" s="168"/>
      <c r="W63" s="17">
        <f>SUM(Таблица2242[[#This Row],[Километраж по Украине, 
км]:[Километраж по Европе,
км]])</f>
        <v>0</v>
      </c>
      <c r="X63" s="169">
        <f>Таблица2242[[#This Row],[Вес, т]]*Таблица2242[[#This Row],[Стоимость, 
грн/т]]</f>
        <v>0</v>
      </c>
      <c r="Y63" s="169" t="e">
        <f>Таблица2242[[#This Row],[Доход, 
грн/рейс]]/Таблица2242[[#This Row],[Общий километраж, 
км]]</f>
        <v>#DIV/0!</v>
      </c>
      <c r="Z63" s="169"/>
      <c r="AA63" s="169"/>
      <c r="AB63" s="170">
        <f>Таблица2242[[#This Row],[Доход, 
грн/рейс]]-Таблица2242[[#This Row],[СС 1-го рейса, 
грн/рейс]]</f>
        <v>0</v>
      </c>
      <c r="AC63" s="171" t="e">
        <f>ROUNDDOWN(30/Таблица2242[[#This Row],[Плановое время в рейсе, 
сутки]],0)</f>
        <v>#DIV/0!</v>
      </c>
      <c r="AD63" s="18" t="e">
        <f>Таблица2242[[#This Row],[Доход, 
грн/рейс]]*Таблица2242[[#This Row],[Возможное количество рейсов в месяц]]</f>
        <v>#DIV/0!</v>
      </c>
      <c r="AE63" s="18" t="e">
        <f>Таблица2242[[#This Row],[Возможное количество рейсов в месяц]]*Таблица2242[[#This Row],[СС 1-го рейса, 
грн/рейс]]</f>
        <v>#DIV/0!</v>
      </c>
      <c r="AF63" s="18" t="e">
        <f>Таблица2242[[#This Row],[Доход в месяц, 
грн]]-Таблица2242[[#This Row],[Затраты на предполагаемые рейсы за месяц, 
грн]]</f>
        <v>#DIV/0!</v>
      </c>
      <c r="AG63" s="12"/>
      <c r="AH63" s="172"/>
    </row>
    <row r="64" spans="1:34" ht="13.2" x14ac:dyDescent="0.25">
      <c r="A64" s="13"/>
      <c r="B64" s="12"/>
      <c r="C64" s="165"/>
      <c r="D64" s="12"/>
      <c r="E64" s="12"/>
      <c r="F64" s="166"/>
      <c r="G64" s="167"/>
      <c r="H64" s="167"/>
      <c r="I64" s="12"/>
      <c r="J64" s="14"/>
      <c r="K64" s="173"/>
      <c r="L64" s="174"/>
      <c r="M64" s="174"/>
      <c r="N64" s="16"/>
      <c r="O64" s="17">
        <f>ROUNDUP(SUM(Таблица2242[[#This Row],[Плановое время в дороге, 
сутки]:[Плановое время простоя, 
сутки]]),0)</f>
        <v>0</v>
      </c>
      <c r="P64" s="17"/>
      <c r="Q64" s="174"/>
      <c r="R64" s="14"/>
      <c r="S64" s="19"/>
      <c r="T64" s="175">
        <f>Таблица2242[[#This Row],[Стоимость, 
EUR/т]]*$J$2</f>
        <v>0</v>
      </c>
      <c r="U64" s="168"/>
      <c r="V64" s="168"/>
      <c r="W64" s="17">
        <f>SUM(Таблица2242[[#This Row],[Километраж по Украине, 
км]:[Километраж по Европе,
км]])</f>
        <v>0</v>
      </c>
      <c r="X64" s="169">
        <f>Таблица2242[[#This Row],[Вес, т]]*Таблица2242[[#This Row],[Стоимость, 
грн/т]]</f>
        <v>0</v>
      </c>
      <c r="Y64" s="169" t="e">
        <f>Таблица2242[[#This Row],[Доход, 
грн/рейс]]/Таблица2242[[#This Row],[Общий километраж, 
км]]</f>
        <v>#DIV/0!</v>
      </c>
      <c r="Z64" s="169"/>
      <c r="AA64" s="169"/>
      <c r="AB64" s="170">
        <f>Таблица2242[[#This Row],[Доход, 
грн/рейс]]-Таблица2242[[#This Row],[СС 1-го рейса, 
грн/рейс]]</f>
        <v>0</v>
      </c>
      <c r="AC64" s="171" t="e">
        <f>ROUNDDOWN(30/Таблица2242[[#This Row],[Плановое время в рейсе, 
сутки]],0)</f>
        <v>#DIV/0!</v>
      </c>
      <c r="AD64" s="18" t="e">
        <f>Таблица2242[[#This Row],[Доход, 
грн/рейс]]*Таблица2242[[#This Row],[Возможное количество рейсов в месяц]]</f>
        <v>#DIV/0!</v>
      </c>
      <c r="AE64" s="18" t="e">
        <f>Таблица2242[[#This Row],[Возможное количество рейсов в месяц]]*Таблица2242[[#This Row],[СС 1-го рейса, 
грн/рейс]]</f>
        <v>#DIV/0!</v>
      </c>
      <c r="AF64" s="18" t="e">
        <f>Таблица2242[[#This Row],[Доход в месяц, 
грн]]-Таблица2242[[#This Row],[Затраты на предполагаемые рейсы за месяц, 
грн]]</f>
        <v>#DIV/0!</v>
      </c>
      <c r="AG64" s="12"/>
      <c r="AH64" s="172"/>
    </row>
    <row r="65" spans="1:34" ht="13.2" x14ac:dyDescent="0.25">
      <c r="A65" s="13"/>
      <c r="B65" s="12"/>
      <c r="C65" s="165"/>
      <c r="D65" s="12"/>
      <c r="E65" s="12"/>
      <c r="F65" s="166"/>
      <c r="G65" s="167"/>
      <c r="H65" s="167"/>
      <c r="I65" s="12"/>
      <c r="J65" s="14"/>
      <c r="K65" s="173"/>
      <c r="L65" s="174"/>
      <c r="M65" s="174"/>
      <c r="N65" s="16"/>
      <c r="O65" s="17">
        <f>ROUNDUP(SUM(Таблица2242[[#This Row],[Плановое время в дороге, 
сутки]:[Плановое время простоя, 
сутки]]),0)</f>
        <v>0</v>
      </c>
      <c r="P65" s="17"/>
      <c r="Q65" s="174"/>
      <c r="R65" s="14"/>
      <c r="S65" s="19"/>
      <c r="T65" s="175">
        <f>Таблица2242[[#This Row],[Стоимость, 
EUR/т]]*$J$2</f>
        <v>0</v>
      </c>
      <c r="U65" s="168"/>
      <c r="V65" s="168"/>
      <c r="W65" s="17">
        <f>SUM(Таблица2242[[#This Row],[Километраж по Украине, 
км]:[Километраж по Европе,
км]])</f>
        <v>0</v>
      </c>
      <c r="X65" s="169">
        <f>Таблица2242[[#This Row],[Вес, т]]*Таблица2242[[#This Row],[Стоимость, 
грн/т]]</f>
        <v>0</v>
      </c>
      <c r="Y65" s="169" t="e">
        <f>Таблица2242[[#This Row],[Доход, 
грн/рейс]]/Таблица2242[[#This Row],[Общий километраж, 
км]]</f>
        <v>#DIV/0!</v>
      </c>
      <c r="Z65" s="169"/>
      <c r="AA65" s="169"/>
      <c r="AB65" s="170">
        <f>Таблица2242[[#This Row],[Доход, 
грн/рейс]]-Таблица2242[[#This Row],[СС 1-го рейса, 
грн/рейс]]</f>
        <v>0</v>
      </c>
      <c r="AC65" s="171" t="e">
        <f>ROUNDDOWN(30/Таблица2242[[#This Row],[Плановое время в рейсе, 
сутки]],0)</f>
        <v>#DIV/0!</v>
      </c>
      <c r="AD65" s="18" t="e">
        <f>Таблица2242[[#This Row],[Доход, 
грн/рейс]]*Таблица2242[[#This Row],[Возможное количество рейсов в месяц]]</f>
        <v>#DIV/0!</v>
      </c>
      <c r="AE65" s="18" t="e">
        <f>Таблица2242[[#This Row],[Возможное количество рейсов в месяц]]*Таблица2242[[#This Row],[СС 1-го рейса, 
грн/рейс]]</f>
        <v>#DIV/0!</v>
      </c>
      <c r="AF65" s="18" t="e">
        <f>Таблица2242[[#This Row],[Доход в месяц, 
грн]]-Таблица2242[[#This Row],[Затраты на предполагаемые рейсы за месяц, 
грн]]</f>
        <v>#DIV/0!</v>
      </c>
      <c r="AG65" s="12"/>
      <c r="AH65" s="172"/>
    </row>
    <row r="66" spans="1:34" ht="13.2" x14ac:dyDescent="0.25">
      <c r="A66" s="13"/>
      <c r="B66" s="12"/>
      <c r="C66" s="165"/>
      <c r="D66" s="12"/>
      <c r="E66" s="12"/>
      <c r="F66" s="166"/>
      <c r="G66" s="167"/>
      <c r="H66" s="167"/>
      <c r="I66" s="12"/>
      <c r="J66" s="14"/>
      <c r="K66" s="173"/>
      <c r="L66" s="174"/>
      <c r="M66" s="174"/>
      <c r="N66" s="16"/>
      <c r="O66" s="17">
        <f>ROUNDUP(SUM(Таблица2242[[#This Row],[Плановое время в дороге, 
сутки]:[Плановое время простоя, 
сутки]]),0)</f>
        <v>0</v>
      </c>
      <c r="P66" s="17"/>
      <c r="Q66" s="174"/>
      <c r="R66" s="14"/>
      <c r="S66" s="19"/>
      <c r="T66" s="175">
        <f>Таблица2242[[#This Row],[Стоимость, 
EUR/т]]*$J$2</f>
        <v>0</v>
      </c>
      <c r="U66" s="168"/>
      <c r="V66" s="168"/>
      <c r="W66" s="17">
        <f>SUM(Таблица2242[[#This Row],[Километраж по Украине, 
км]:[Километраж по Европе,
км]])</f>
        <v>0</v>
      </c>
      <c r="X66" s="169">
        <f>Таблица2242[[#This Row],[Вес, т]]*Таблица2242[[#This Row],[Стоимость, 
грн/т]]</f>
        <v>0</v>
      </c>
      <c r="Y66" s="169" t="e">
        <f>Таблица2242[[#This Row],[Доход, 
грн/рейс]]/Таблица2242[[#This Row],[Общий километраж, 
км]]</f>
        <v>#DIV/0!</v>
      </c>
      <c r="Z66" s="169"/>
      <c r="AA66" s="169"/>
      <c r="AB66" s="170">
        <f>Таблица2242[[#This Row],[Доход, 
грн/рейс]]-Таблица2242[[#This Row],[СС 1-го рейса, 
грн/рейс]]</f>
        <v>0</v>
      </c>
      <c r="AC66" s="171" t="e">
        <f>ROUNDDOWN(30/Таблица2242[[#This Row],[Плановое время в рейсе, 
сутки]],0)</f>
        <v>#DIV/0!</v>
      </c>
      <c r="AD66" s="18" t="e">
        <f>Таблица2242[[#This Row],[Доход, 
грн/рейс]]*Таблица2242[[#This Row],[Возможное количество рейсов в месяц]]</f>
        <v>#DIV/0!</v>
      </c>
      <c r="AE66" s="18" t="e">
        <f>Таблица2242[[#This Row],[Возможное количество рейсов в месяц]]*Таблица2242[[#This Row],[СС 1-го рейса, 
грн/рейс]]</f>
        <v>#DIV/0!</v>
      </c>
      <c r="AF66" s="18" t="e">
        <f>Таблица2242[[#This Row],[Доход в месяц, 
грн]]-Таблица2242[[#This Row],[Затраты на предполагаемые рейсы за месяц, 
грн]]</f>
        <v>#DIV/0!</v>
      </c>
      <c r="AG66" s="12"/>
      <c r="AH66" s="172"/>
    </row>
    <row r="67" spans="1:34" ht="13.2" x14ac:dyDescent="0.25">
      <c r="A67" s="13"/>
      <c r="B67" s="12"/>
      <c r="C67" s="165"/>
      <c r="D67" s="12"/>
      <c r="E67" s="12"/>
      <c r="F67" s="166"/>
      <c r="G67" s="167"/>
      <c r="H67" s="167"/>
      <c r="I67" s="12"/>
      <c r="J67" s="14"/>
      <c r="K67" s="173"/>
      <c r="L67" s="174"/>
      <c r="M67" s="174"/>
      <c r="N67" s="16"/>
      <c r="O67" s="17">
        <f>ROUNDUP(SUM(Таблица2242[[#This Row],[Плановое время в дороге, 
сутки]:[Плановое время простоя, 
сутки]]),0)</f>
        <v>0</v>
      </c>
      <c r="P67" s="17"/>
      <c r="Q67" s="174"/>
      <c r="R67" s="14"/>
      <c r="S67" s="19"/>
      <c r="T67" s="175">
        <f>Таблица2242[[#This Row],[Стоимость, 
EUR/т]]*$J$2</f>
        <v>0</v>
      </c>
      <c r="U67" s="168"/>
      <c r="V67" s="168"/>
      <c r="W67" s="17">
        <f>SUM(Таблица2242[[#This Row],[Километраж по Украине, 
км]:[Километраж по Европе,
км]])</f>
        <v>0</v>
      </c>
      <c r="X67" s="169">
        <f>Таблица2242[[#This Row],[Вес, т]]*Таблица2242[[#This Row],[Стоимость, 
грн/т]]</f>
        <v>0</v>
      </c>
      <c r="Y67" s="169" t="e">
        <f>Таблица2242[[#This Row],[Доход, 
грн/рейс]]/Таблица2242[[#This Row],[Общий километраж, 
км]]</f>
        <v>#DIV/0!</v>
      </c>
      <c r="Z67" s="169"/>
      <c r="AA67" s="169"/>
      <c r="AB67" s="170">
        <f>Таблица2242[[#This Row],[Доход, 
грн/рейс]]-Таблица2242[[#This Row],[СС 1-го рейса, 
грн/рейс]]</f>
        <v>0</v>
      </c>
      <c r="AC67" s="171" t="e">
        <f>ROUNDDOWN(30/Таблица2242[[#This Row],[Плановое время в рейсе, 
сутки]],0)</f>
        <v>#DIV/0!</v>
      </c>
      <c r="AD67" s="18" t="e">
        <f>Таблица2242[[#This Row],[Доход, 
грн/рейс]]*Таблица2242[[#This Row],[Возможное количество рейсов в месяц]]</f>
        <v>#DIV/0!</v>
      </c>
      <c r="AE67" s="18" t="e">
        <f>Таблица2242[[#This Row],[Возможное количество рейсов в месяц]]*Таблица2242[[#This Row],[СС 1-го рейса, 
грн/рейс]]</f>
        <v>#DIV/0!</v>
      </c>
      <c r="AF67" s="18" t="e">
        <f>Таблица2242[[#This Row],[Доход в месяц, 
грн]]-Таблица2242[[#This Row],[Затраты на предполагаемые рейсы за месяц, 
грн]]</f>
        <v>#DIV/0!</v>
      </c>
      <c r="AG67" s="12"/>
      <c r="AH67" s="172"/>
    </row>
    <row r="68" spans="1:34" ht="13.2" x14ac:dyDescent="0.25">
      <c r="A68" s="13"/>
      <c r="B68" s="12"/>
      <c r="C68" s="165"/>
      <c r="D68" s="12"/>
      <c r="E68" s="12"/>
      <c r="F68" s="166"/>
      <c r="G68" s="167"/>
      <c r="H68" s="167"/>
      <c r="I68" s="12"/>
      <c r="J68" s="14"/>
      <c r="K68" s="173"/>
      <c r="L68" s="174"/>
      <c r="M68" s="174"/>
      <c r="N68" s="16"/>
      <c r="O68" s="17">
        <f>ROUNDUP(SUM(Таблица2242[[#This Row],[Плановое время в дороге, 
сутки]:[Плановое время простоя, 
сутки]]),0)</f>
        <v>0</v>
      </c>
      <c r="P68" s="17"/>
      <c r="Q68" s="174"/>
      <c r="R68" s="14"/>
      <c r="S68" s="19"/>
      <c r="T68" s="175">
        <f>Таблица2242[[#This Row],[Стоимость, 
EUR/т]]*$J$2</f>
        <v>0</v>
      </c>
      <c r="U68" s="168"/>
      <c r="V68" s="168"/>
      <c r="W68" s="17">
        <f>SUM(Таблица2242[[#This Row],[Километраж по Украине, 
км]:[Километраж по Европе,
км]])</f>
        <v>0</v>
      </c>
      <c r="X68" s="169">
        <f>Таблица2242[[#This Row],[Вес, т]]*Таблица2242[[#This Row],[Стоимость, 
грн/т]]</f>
        <v>0</v>
      </c>
      <c r="Y68" s="169" t="e">
        <f>Таблица2242[[#This Row],[Доход, 
грн/рейс]]/Таблица2242[[#This Row],[Общий километраж, 
км]]</f>
        <v>#DIV/0!</v>
      </c>
      <c r="Z68" s="169"/>
      <c r="AA68" s="169"/>
      <c r="AB68" s="170">
        <f>Таблица2242[[#This Row],[Доход, 
грн/рейс]]-Таблица2242[[#This Row],[СС 1-го рейса, 
грн/рейс]]</f>
        <v>0</v>
      </c>
      <c r="AC68" s="171" t="e">
        <f>ROUNDDOWN(30/Таблица2242[[#This Row],[Плановое время в рейсе, 
сутки]],0)</f>
        <v>#DIV/0!</v>
      </c>
      <c r="AD68" s="18" t="e">
        <f>Таблица2242[[#This Row],[Доход, 
грн/рейс]]*Таблица2242[[#This Row],[Возможное количество рейсов в месяц]]</f>
        <v>#DIV/0!</v>
      </c>
      <c r="AE68" s="18" t="e">
        <f>Таблица2242[[#This Row],[Возможное количество рейсов в месяц]]*Таблица2242[[#This Row],[СС 1-го рейса, 
грн/рейс]]</f>
        <v>#DIV/0!</v>
      </c>
      <c r="AF68" s="18" t="e">
        <f>Таблица2242[[#This Row],[Доход в месяц, 
грн]]-Таблица2242[[#This Row],[Затраты на предполагаемые рейсы за месяц, 
грн]]</f>
        <v>#DIV/0!</v>
      </c>
      <c r="AG68" s="12"/>
      <c r="AH68" s="172"/>
    </row>
    <row r="69" spans="1:34" ht="13.2" x14ac:dyDescent="0.25">
      <c r="A69" s="13"/>
      <c r="B69" s="12"/>
      <c r="C69" s="165"/>
      <c r="D69" s="12"/>
      <c r="E69" s="12"/>
      <c r="F69" s="166"/>
      <c r="G69" s="167"/>
      <c r="H69" s="167"/>
      <c r="I69" s="12"/>
      <c r="J69" s="14"/>
      <c r="K69" s="173"/>
      <c r="L69" s="174"/>
      <c r="M69" s="174"/>
      <c r="N69" s="16"/>
      <c r="O69" s="17">
        <f>ROUNDUP(SUM(Таблица2242[[#This Row],[Плановое время в дороге, 
сутки]:[Плановое время простоя, 
сутки]]),0)</f>
        <v>0</v>
      </c>
      <c r="P69" s="17"/>
      <c r="Q69" s="174"/>
      <c r="R69" s="14"/>
      <c r="S69" s="19"/>
      <c r="T69" s="175">
        <f>Таблица2242[[#This Row],[Стоимость, 
EUR/т]]*$J$2</f>
        <v>0</v>
      </c>
      <c r="U69" s="168"/>
      <c r="V69" s="168"/>
      <c r="W69" s="17">
        <f>SUM(Таблица2242[[#This Row],[Километраж по Украине, 
км]:[Километраж по Европе,
км]])</f>
        <v>0</v>
      </c>
      <c r="X69" s="169">
        <f>Таблица2242[[#This Row],[Вес, т]]*Таблица2242[[#This Row],[Стоимость, 
грн/т]]</f>
        <v>0</v>
      </c>
      <c r="Y69" s="169" t="e">
        <f>Таблица2242[[#This Row],[Доход, 
грн/рейс]]/Таблица2242[[#This Row],[Общий километраж, 
км]]</f>
        <v>#DIV/0!</v>
      </c>
      <c r="Z69" s="169"/>
      <c r="AA69" s="169"/>
      <c r="AB69" s="170">
        <f>Таблица2242[[#This Row],[Доход, 
грн/рейс]]-Таблица2242[[#This Row],[СС 1-го рейса, 
грн/рейс]]</f>
        <v>0</v>
      </c>
      <c r="AC69" s="171" t="e">
        <f>ROUNDDOWN(30/Таблица2242[[#This Row],[Плановое время в рейсе, 
сутки]],0)</f>
        <v>#DIV/0!</v>
      </c>
      <c r="AD69" s="18" t="e">
        <f>Таблица2242[[#This Row],[Доход, 
грн/рейс]]*Таблица2242[[#This Row],[Возможное количество рейсов в месяц]]</f>
        <v>#DIV/0!</v>
      </c>
      <c r="AE69" s="18" t="e">
        <f>Таблица2242[[#This Row],[Возможное количество рейсов в месяц]]*Таблица2242[[#This Row],[СС 1-го рейса, 
грн/рейс]]</f>
        <v>#DIV/0!</v>
      </c>
      <c r="AF69" s="18" t="e">
        <f>Таблица2242[[#This Row],[Доход в месяц, 
грн]]-Таблица2242[[#This Row],[Затраты на предполагаемые рейсы за месяц, 
грн]]</f>
        <v>#DIV/0!</v>
      </c>
      <c r="AG69" s="12"/>
      <c r="AH69" s="172"/>
    </row>
    <row r="70" spans="1:34" ht="13.2" x14ac:dyDescent="0.25">
      <c r="A70" s="13"/>
      <c r="B70" s="12"/>
      <c r="C70" s="165"/>
      <c r="D70" s="12"/>
      <c r="E70" s="12"/>
      <c r="F70" s="166"/>
      <c r="G70" s="167"/>
      <c r="H70" s="167"/>
      <c r="I70" s="12"/>
      <c r="J70" s="14"/>
      <c r="K70" s="173"/>
      <c r="L70" s="174"/>
      <c r="M70" s="174"/>
      <c r="N70" s="16"/>
      <c r="O70" s="17">
        <f>ROUNDUP(SUM(Таблица2242[[#This Row],[Плановое время в дороге, 
сутки]:[Плановое время простоя, 
сутки]]),0)</f>
        <v>0</v>
      </c>
      <c r="P70" s="17"/>
      <c r="Q70" s="174"/>
      <c r="R70" s="14"/>
      <c r="S70" s="19"/>
      <c r="T70" s="175">
        <f>Таблица2242[[#This Row],[Стоимость, 
EUR/т]]*$J$2</f>
        <v>0</v>
      </c>
      <c r="U70" s="168"/>
      <c r="V70" s="168"/>
      <c r="W70" s="17">
        <f>SUM(Таблица2242[[#This Row],[Километраж по Украине, 
км]:[Километраж по Европе,
км]])</f>
        <v>0</v>
      </c>
      <c r="X70" s="169">
        <f>Таблица2242[[#This Row],[Вес, т]]*Таблица2242[[#This Row],[Стоимость, 
грн/т]]</f>
        <v>0</v>
      </c>
      <c r="Y70" s="169" t="e">
        <f>Таблица2242[[#This Row],[Доход, 
грн/рейс]]/Таблица2242[[#This Row],[Общий километраж, 
км]]</f>
        <v>#DIV/0!</v>
      </c>
      <c r="Z70" s="169"/>
      <c r="AA70" s="169"/>
      <c r="AB70" s="170">
        <f>Таблица2242[[#This Row],[Доход, 
грн/рейс]]-Таблица2242[[#This Row],[СС 1-го рейса, 
грн/рейс]]</f>
        <v>0</v>
      </c>
      <c r="AC70" s="171" t="e">
        <f>ROUNDDOWN(30/Таблица2242[[#This Row],[Плановое время в рейсе, 
сутки]],0)</f>
        <v>#DIV/0!</v>
      </c>
      <c r="AD70" s="18" t="e">
        <f>Таблица2242[[#This Row],[Доход, 
грн/рейс]]*Таблица2242[[#This Row],[Возможное количество рейсов в месяц]]</f>
        <v>#DIV/0!</v>
      </c>
      <c r="AE70" s="18" t="e">
        <f>Таблица2242[[#This Row],[Возможное количество рейсов в месяц]]*Таблица2242[[#This Row],[СС 1-го рейса, 
грн/рейс]]</f>
        <v>#DIV/0!</v>
      </c>
      <c r="AF70" s="18" t="e">
        <f>Таблица2242[[#This Row],[Доход в месяц, 
грн]]-Таблица2242[[#This Row],[Затраты на предполагаемые рейсы за месяц, 
грн]]</f>
        <v>#DIV/0!</v>
      </c>
      <c r="AG70" s="12"/>
      <c r="AH70" s="172"/>
    </row>
    <row r="71" spans="1:34" ht="13.2" x14ac:dyDescent="0.25">
      <c r="A71" s="76"/>
      <c r="B71" s="77"/>
      <c r="C71" s="176"/>
      <c r="D71" s="77"/>
      <c r="E71" s="77"/>
      <c r="F71" s="177"/>
      <c r="G71" s="178"/>
      <c r="H71" s="178"/>
      <c r="I71" s="77"/>
      <c r="J71" s="82"/>
      <c r="K71" s="179"/>
      <c r="L71" s="180"/>
      <c r="M71" s="180"/>
      <c r="N71" s="85"/>
      <c r="O71" s="86">
        <f>ROUNDUP(SUM(Таблица2242[[#This Row],[Плановое время в дороге, 
сутки]:[Плановое время простоя, 
сутки]]),0)</f>
        <v>0</v>
      </c>
      <c r="P71" s="86"/>
      <c r="Q71" s="180"/>
      <c r="R71" s="82"/>
      <c r="S71" s="90"/>
      <c r="T71" s="181">
        <f>Таблица2242[[#This Row],[Стоимость, 
EUR/т]]*$J$2</f>
        <v>0</v>
      </c>
      <c r="U71" s="182"/>
      <c r="V71" s="182"/>
      <c r="W71" s="86">
        <f>SUM(Таблица2242[[#This Row],[Километраж по Украине, 
км]:[Километраж по Европе,
км]])</f>
        <v>0</v>
      </c>
      <c r="X71" s="183">
        <f>Таблица2242[[#This Row],[Вес, т]]*Таблица2242[[#This Row],[Стоимость, 
грн/т]]</f>
        <v>0</v>
      </c>
      <c r="Y71" s="183" t="e">
        <f>Таблица2242[[#This Row],[Доход, 
грн/рейс]]/Таблица2242[[#This Row],[Общий километраж, 
км]]</f>
        <v>#DIV/0!</v>
      </c>
      <c r="Z71" s="183"/>
      <c r="AA71" s="183"/>
      <c r="AB71" s="184">
        <f>Таблица2242[[#This Row],[Доход, 
грн/рейс]]-Таблица2242[[#This Row],[СС 1-го рейса, 
грн/рейс]]</f>
        <v>0</v>
      </c>
      <c r="AC71" s="185" t="e">
        <f>ROUNDDOWN(30/Таблица2242[[#This Row],[Плановое время в рейсе, 
сутки]],0)</f>
        <v>#DIV/0!</v>
      </c>
      <c r="AD71" s="93" t="e">
        <f>Таблица2242[[#This Row],[Доход, 
грн/рейс]]*Таблица2242[[#This Row],[Возможное количество рейсов в месяц]]</f>
        <v>#DIV/0!</v>
      </c>
      <c r="AE71" s="93" t="e">
        <f>Таблица2242[[#This Row],[Возможное количество рейсов в месяц]]*Таблица2242[[#This Row],[СС 1-го рейса, 
грн/рейс]]</f>
        <v>#DIV/0!</v>
      </c>
      <c r="AF71" s="93" t="e">
        <f>Таблица2242[[#This Row],[Доход в месяц, 
грн]]-Таблица2242[[#This Row],[Затраты на предполагаемые рейсы за месяц, 
грн]]</f>
        <v>#DIV/0!</v>
      </c>
      <c r="AG71" s="77"/>
      <c r="AH71" s="186"/>
    </row>
    <row r="72" spans="1:34" ht="13.2" x14ac:dyDescent="0.25">
      <c r="A72" s="195" t="s">
        <v>89</v>
      </c>
      <c r="B72" s="29" t="s">
        <v>34</v>
      </c>
      <c r="C72" s="71" t="s">
        <v>43</v>
      </c>
      <c r="D72" s="12"/>
      <c r="E72" s="12"/>
      <c r="F72" s="30">
        <v>45717</v>
      </c>
      <c r="G72" s="69">
        <v>45722.5</v>
      </c>
      <c r="H72" s="69">
        <v>45723.75</v>
      </c>
      <c r="I72" s="12" t="s">
        <v>140</v>
      </c>
      <c r="J72" s="14"/>
      <c r="K72" s="173"/>
      <c r="L72" s="174"/>
      <c r="M72" s="174"/>
      <c r="N72" s="16"/>
      <c r="O72" s="17">
        <f>ROUNDUP(SUM(Таблица2242[[#This Row],[Плановое время в дороге, 
сутки]:[Плановое время простоя, 
сутки]]),0)</f>
        <v>0</v>
      </c>
      <c r="P72" s="65" t="s">
        <v>95</v>
      </c>
      <c r="Q72" s="64" t="s">
        <v>36</v>
      </c>
      <c r="R72" s="14">
        <v>1</v>
      </c>
      <c r="S72" s="19"/>
      <c r="T72" s="175">
        <v>2000</v>
      </c>
      <c r="U72" s="190">
        <v>152</v>
      </c>
      <c r="V72" s="197"/>
      <c r="W72" s="17">
        <f>SUM(Таблица2242[[#This Row],[Километраж по Украине, 
км]:[Километраж по Европе,
км]])</f>
        <v>152</v>
      </c>
      <c r="X72" s="169">
        <v>2000</v>
      </c>
      <c r="Y72" s="169">
        <f>Таблица2242[[#This Row],[Доход, 
грн/рейс]]/Таблица2242[[#This Row],[Общий километраж, 
км]]</f>
        <v>13.157894736842104</v>
      </c>
      <c r="Z72" s="32">
        <f>Таблица2242[[#This Row],[Километраж по Украине, 
км]]*10</f>
        <v>1520</v>
      </c>
      <c r="AA72" s="32">
        <f>Таблица2242[[#This Row],[Километраж по Украине, 
км]]/100*32*57+Таблица2242[[#This Row],[Зарплата водителя, грн]]</f>
        <v>4292.4799999999996</v>
      </c>
      <c r="AB72" s="170">
        <f>Таблица2242[[#This Row],[Доход, 
грн/рейс]]-Таблица2242[[#This Row],[СС 1-го рейса, 
грн/рейс]]</f>
        <v>-2292.4799999999996</v>
      </c>
      <c r="AC72" s="171" t="e">
        <f>ROUNDDOWN(30/Таблица2242[[#This Row],[Плановое время в рейсе, 
сутки]],0)</f>
        <v>#DIV/0!</v>
      </c>
      <c r="AD72" s="18" t="e">
        <f>Таблица2242[[#This Row],[Доход, 
грн/рейс]]*Таблица2242[[#This Row],[Возможное количество рейсов в месяц]]</f>
        <v>#DIV/0!</v>
      </c>
      <c r="AE72" s="18" t="e">
        <f>Таблица2242[[#This Row],[Возможное количество рейсов в месяц]]*Таблица2242[[#This Row],[СС 1-го рейса, 
грн/рейс]]</f>
        <v>#DIV/0!</v>
      </c>
      <c r="AF72" s="18" t="e">
        <f>Таблица2242[[#This Row],[Доход в месяц, 
грн]]-Таблица2242[[#This Row],[Затраты на предполагаемые рейсы за месяц, 
грн]]</f>
        <v>#DIV/0!</v>
      </c>
      <c r="AG72" s="12" t="s">
        <v>142</v>
      </c>
      <c r="AH72" s="172"/>
    </row>
    <row r="73" spans="1:34" ht="13.2" x14ac:dyDescent="0.25">
      <c r="A73" s="1" t="s">
        <v>65</v>
      </c>
      <c r="B73" s="29" t="s">
        <v>34</v>
      </c>
      <c r="C73" s="165"/>
      <c r="D73" s="12"/>
      <c r="E73" s="12"/>
      <c r="F73" s="30">
        <v>45717</v>
      </c>
      <c r="G73" s="69">
        <v>45719.708333333336</v>
      </c>
      <c r="H73" s="69">
        <v>45729.416666666664</v>
      </c>
      <c r="I73" s="29" t="s">
        <v>123</v>
      </c>
      <c r="J73" s="14"/>
      <c r="K73" s="173"/>
      <c r="L73" s="174"/>
      <c r="M73" s="174"/>
      <c r="N73" s="16"/>
      <c r="O73" s="17">
        <f>ROUNDUP(SUM(Таблица2242[[#This Row],[Плановое время в дороге, 
сутки]:[Плановое время простоя, 
сутки]]),0)</f>
        <v>0</v>
      </c>
      <c r="P73" s="106" t="s">
        <v>52</v>
      </c>
      <c r="Q73" s="61" t="s">
        <v>35</v>
      </c>
      <c r="R73" s="14">
        <v>1</v>
      </c>
      <c r="S73" s="19"/>
      <c r="T73" s="175">
        <v>13380</v>
      </c>
      <c r="U73" s="188">
        <v>223</v>
      </c>
      <c r="V73" s="188"/>
      <c r="W73" s="17">
        <v>223</v>
      </c>
      <c r="X73" s="169">
        <f>Таблица2242[[#This Row],[Вес, т]]*Таблица2242[[#This Row],[Стоимость, 
грн/т]]</f>
        <v>13380</v>
      </c>
      <c r="Y73" s="169">
        <f>Таблица2242[[#This Row],[Доход, 
грн/рейс]]/Таблица2242[[#This Row],[Общий километраж, 
км]]</f>
        <v>60</v>
      </c>
      <c r="Z73" s="32">
        <f>Таблица2242[[#This Row],[Километраж по Украине, 
км]]*10</f>
        <v>2230</v>
      </c>
      <c r="AA73" s="32">
        <f>Таблица2242[[#This Row],[Километраж по Украине, 
км]]/100*32*57+Таблица2242[[#This Row],[Зарплата водителя, грн]]</f>
        <v>6297.52</v>
      </c>
      <c r="AB73" s="170">
        <f>Таблица2242[[#This Row],[Доход, 
грн/рейс]]-Таблица2242[[#This Row],[СС 1-го рейса, 
грн/рейс]]</f>
        <v>7082.48</v>
      </c>
      <c r="AC73" s="171" t="e">
        <f>ROUNDDOWN(30/Таблица2242[[#This Row],[Плановое время в рейсе, 
сутки]],0)</f>
        <v>#DIV/0!</v>
      </c>
      <c r="AD73" s="18" t="e">
        <f>Таблица2242[[#This Row],[Доход, 
грн/рейс]]*Таблица2242[[#This Row],[Возможное количество рейсов в месяц]]</f>
        <v>#DIV/0!</v>
      </c>
      <c r="AE73" s="18" t="e">
        <f>Таблица2242[[#This Row],[Возможное количество рейсов в месяц]]*Таблица2242[[#This Row],[СС 1-го рейса, 
грн/рейс]]</f>
        <v>#DIV/0!</v>
      </c>
      <c r="AF73" s="18" t="e">
        <f>Таблица2242[[#This Row],[Доход в месяц, 
грн]]-Таблица2242[[#This Row],[Затраты на предполагаемые рейсы за месяц, 
грн]]</f>
        <v>#DIV/0!</v>
      </c>
      <c r="AG73" s="12"/>
      <c r="AH73" s="172"/>
    </row>
    <row r="74" spans="1:34" ht="13.2" x14ac:dyDescent="0.25">
      <c r="A74" s="195" t="s">
        <v>145</v>
      </c>
      <c r="B74" s="29" t="s">
        <v>34</v>
      </c>
      <c r="C74" s="165" t="s">
        <v>43</v>
      </c>
      <c r="D74" s="12"/>
      <c r="E74" s="12"/>
      <c r="F74" s="30">
        <v>45717</v>
      </c>
      <c r="G74" s="69">
        <v>45729.416666666664</v>
      </c>
      <c r="H74" s="69">
        <v>45731.6875</v>
      </c>
      <c r="I74" s="29" t="s">
        <v>146</v>
      </c>
      <c r="J74" s="14"/>
      <c r="K74" s="173"/>
      <c r="L74" s="174"/>
      <c r="M74" s="174"/>
      <c r="N74" s="16"/>
      <c r="O74" s="17">
        <f>ROUNDUP(SUM(Таблица2242[[#This Row],[Плановое время в дороге, 
сутки]:[Плановое время простоя, 
сутки]]),0)</f>
        <v>0</v>
      </c>
      <c r="P74" s="106" t="s">
        <v>52</v>
      </c>
      <c r="Q74" s="64" t="s">
        <v>36</v>
      </c>
      <c r="R74" s="14">
        <v>1</v>
      </c>
      <c r="S74" s="19"/>
      <c r="T74" s="175">
        <v>6700</v>
      </c>
      <c r="U74" s="190">
        <v>420</v>
      </c>
      <c r="V74" s="197"/>
      <c r="W74" s="17">
        <v>420</v>
      </c>
      <c r="X74" s="169">
        <v>6700</v>
      </c>
      <c r="Y74" s="169">
        <f>Таблица2242[[#This Row],[Доход, 
грн/рейс]]/Таблица2242[[#This Row],[Общий километраж, 
км]]</f>
        <v>15.952380952380953</v>
      </c>
      <c r="Z74" s="32">
        <f>Таблица2242[[#This Row],[Километраж по Украине, 
км]]*10</f>
        <v>4200</v>
      </c>
      <c r="AA74" s="32">
        <f>Таблица2242[[#This Row],[Километраж по Украине, 
км]]/100*32*57+Таблица2242[[#This Row],[Зарплата водителя, грн]]</f>
        <v>11860.8</v>
      </c>
      <c r="AB74" s="170">
        <f>Таблица2242[[#This Row],[Доход, 
грн/рейс]]-Таблица2242[[#This Row],[СС 1-го рейса, 
грн/рейс]]</f>
        <v>-5160.7999999999993</v>
      </c>
      <c r="AC74" s="171" t="e">
        <f>ROUNDDOWN(30/Таблица2242[[#This Row],[Плановое время в рейсе, 
сутки]],0)</f>
        <v>#DIV/0!</v>
      </c>
      <c r="AD74" s="18" t="e">
        <f>Таблица2242[[#This Row],[Доход, 
грн/рейс]]*Таблица2242[[#This Row],[Возможное количество рейсов в месяц]]</f>
        <v>#DIV/0!</v>
      </c>
      <c r="AE74" s="18" t="e">
        <f>Таблица2242[[#This Row],[Возможное количество рейсов в месяц]]*Таблица2242[[#This Row],[СС 1-го рейса, 
грн/рейс]]</f>
        <v>#DIV/0!</v>
      </c>
      <c r="AF74" s="18" t="e">
        <f>Таблица2242[[#This Row],[Доход в месяц, 
грн]]-Таблица2242[[#This Row],[Затраты на предполагаемые рейсы за месяц, 
грн]]</f>
        <v>#DIV/0!</v>
      </c>
      <c r="AG74" s="12" t="s">
        <v>151</v>
      </c>
      <c r="AH74" s="172"/>
    </row>
    <row r="75" spans="1:34" ht="13.2" x14ac:dyDescent="0.25">
      <c r="A75" s="13"/>
      <c r="B75" s="12"/>
      <c r="C75" s="165"/>
      <c r="D75" s="12"/>
      <c r="E75" s="12"/>
      <c r="F75" s="166"/>
      <c r="G75" s="167"/>
      <c r="H75" s="167"/>
      <c r="I75" s="12"/>
      <c r="J75" s="14"/>
      <c r="K75" s="173"/>
      <c r="L75" s="174"/>
      <c r="M75" s="174"/>
      <c r="N75" s="16"/>
      <c r="O75" s="17">
        <f>ROUNDUP(SUM(Таблица2242[[#This Row],[Плановое время в дороге, 
сутки]:[Плановое время простоя, 
сутки]]),0)</f>
        <v>0</v>
      </c>
      <c r="P75" s="17"/>
      <c r="Q75" s="174"/>
      <c r="R75" s="14" t="s">
        <v>143</v>
      </c>
      <c r="S75" s="19"/>
      <c r="T75" s="175">
        <v>25000</v>
      </c>
      <c r="U75" s="188">
        <v>850</v>
      </c>
      <c r="V75" s="188"/>
      <c r="W75" s="17">
        <f>SUM(Таблица2242[[#This Row],[Километраж по Украине, 
км]:[Километраж по Европе,
км]])</f>
        <v>850</v>
      </c>
      <c r="X75" s="169">
        <v>25000</v>
      </c>
      <c r="Y75" s="169">
        <f>Таблица2242[[#This Row],[Доход, 
грн/рейс]]/Таблица2242[[#This Row],[Общий километраж, 
км]]</f>
        <v>29.411764705882351</v>
      </c>
      <c r="Z75" s="32">
        <f>Таблица2242[[#This Row],[Километраж по Украине, 
км]]*10</f>
        <v>8500</v>
      </c>
      <c r="AA75" s="32">
        <f>Таблица2242[[#This Row],[Километраж по Украине, 
км]]/100*32*57+Таблица2242[[#This Row],[Зарплата водителя, грн]]</f>
        <v>24004</v>
      </c>
      <c r="AB75" s="170">
        <f>Таблица2242[[#This Row],[Доход, 
грн/рейс]]-Таблица2242[[#This Row],[СС 1-го рейса, 
грн/рейс]]</f>
        <v>996</v>
      </c>
      <c r="AC75" s="171" t="e">
        <f>ROUNDDOWN(30/Таблица2242[[#This Row],[Плановое время в рейсе, 
сутки]],0)</f>
        <v>#DIV/0!</v>
      </c>
      <c r="AD75" s="18" t="e">
        <f>Таблица2242[[#This Row],[Доход, 
грн/рейс]]*Таблица2242[[#This Row],[Возможное количество рейсов в месяц]]</f>
        <v>#DIV/0!</v>
      </c>
      <c r="AE75" s="18" t="e">
        <f>Таблица2242[[#This Row],[Возможное количество рейсов в месяц]]*Таблица2242[[#This Row],[СС 1-го рейса, 
грн/рейс]]</f>
        <v>#DIV/0!</v>
      </c>
      <c r="AF75" s="18" t="e">
        <f>Таблица2242[[#This Row],[Доход в месяц, 
грн]]-Таблица2242[[#This Row],[Затраты на предполагаемые рейсы за месяц, 
грн]]</f>
        <v>#DIV/0!</v>
      </c>
      <c r="AG75" s="12"/>
      <c r="AH75" s="172"/>
    </row>
    <row r="76" spans="1:34" ht="13.2" x14ac:dyDescent="0.25">
      <c r="A76" s="13"/>
      <c r="B76" s="12"/>
      <c r="C76" s="165"/>
      <c r="D76" s="12"/>
      <c r="E76" s="12"/>
      <c r="F76" s="166"/>
      <c r="G76" s="167"/>
      <c r="H76" s="167"/>
      <c r="I76" s="12"/>
      <c r="J76" s="14"/>
      <c r="K76" s="173"/>
      <c r="L76" s="174"/>
      <c r="M76" s="174"/>
      <c r="N76" s="16"/>
      <c r="O76" s="17">
        <f>ROUNDUP(SUM(Таблица2242[[#This Row],[Плановое время в дороге, 
сутки]:[Плановое время простоя, 
сутки]]),0)</f>
        <v>0</v>
      </c>
      <c r="P76" s="17"/>
      <c r="Q76" s="174"/>
      <c r="R76" s="14" t="s">
        <v>144</v>
      </c>
      <c r="S76" s="19"/>
      <c r="T76" s="175">
        <v>15500</v>
      </c>
      <c r="U76" s="190">
        <v>500</v>
      </c>
      <c r="V76" s="190"/>
      <c r="W76" s="17">
        <v>500</v>
      </c>
      <c r="X76" s="169">
        <v>15500</v>
      </c>
      <c r="Y76" s="169">
        <f>Таблица2242[[#This Row],[Доход, 
грн/рейс]]/Таблица2242[[#This Row],[Общий километраж, 
км]]</f>
        <v>31</v>
      </c>
      <c r="Z76" s="32">
        <f>Таблица2242[[#This Row],[Километраж по Украине, 
км]]*10</f>
        <v>5000</v>
      </c>
      <c r="AA76" s="32">
        <f>Таблица2242[[#This Row],[Километраж по Украине, 
км]]/100*32*57+Таблица2242[[#This Row],[Зарплата водителя, грн]]</f>
        <v>14120</v>
      </c>
      <c r="AB76" s="170">
        <f>Таблица2242[[#This Row],[Доход, 
грн/рейс]]-Таблица2242[[#This Row],[СС 1-го рейса, 
грн/рейс]]</f>
        <v>1380</v>
      </c>
      <c r="AC76" s="171" t="e">
        <f>ROUNDDOWN(30/Таблица2242[[#This Row],[Плановое время в рейсе, 
сутки]],0)</f>
        <v>#DIV/0!</v>
      </c>
      <c r="AD76" s="18" t="e">
        <f>Таблица2242[[#This Row],[Доход, 
грн/рейс]]*Таблица2242[[#This Row],[Возможное количество рейсов в месяц]]</f>
        <v>#DIV/0!</v>
      </c>
      <c r="AE76" s="18" t="e">
        <f>Таблица2242[[#This Row],[Возможное количество рейсов в месяц]]*Таблица2242[[#This Row],[СС 1-го рейса, 
грн/рейс]]</f>
        <v>#DIV/0!</v>
      </c>
      <c r="AF76" s="18" t="e">
        <f>Таблица2242[[#This Row],[Доход в месяц, 
грн]]-Таблица2242[[#This Row],[Затраты на предполагаемые рейсы за месяц, 
грн]]</f>
        <v>#DIV/0!</v>
      </c>
      <c r="AG76" s="12"/>
      <c r="AH76" s="172"/>
    </row>
    <row r="77" spans="1:34" ht="13.2" x14ac:dyDescent="0.25">
      <c r="A77" s="13"/>
      <c r="B77" s="12"/>
      <c r="C77" s="165"/>
      <c r="D77" s="12"/>
      <c r="E77" s="12"/>
      <c r="F77" s="166"/>
      <c r="G77" s="167"/>
      <c r="H77" s="167"/>
      <c r="I77" s="12"/>
      <c r="J77" s="14"/>
      <c r="K77" s="173"/>
      <c r="L77" s="174"/>
      <c r="M77" s="174"/>
      <c r="N77" s="16"/>
      <c r="O77" s="17">
        <f>ROUNDUP(SUM(Таблица2242[[#This Row],[Плановое время в дороге, 
сутки]:[Плановое время простоя, 
сутки]]),0)</f>
        <v>0</v>
      </c>
      <c r="P77" s="17"/>
      <c r="Q77" s="174"/>
      <c r="R77" s="14"/>
      <c r="S77" s="19"/>
      <c r="T77" s="175">
        <v>4500</v>
      </c>
      <c r="U77" s="188">
        <v>290</v>
      </c>
      <c r="V77" s="188"/>
      <c r="W77" s="17">
        <v>290</v>
      </c>
      <c r="X77" s="169">
        <v>4500</v>
      </c>
      <c r="Y77" s="169">
        <f>Таблица2242[[#This Row],[Доход, 
грн/рейс]]/Таблица2242[[#This Row],[Общий километраж, 
км]]</f>
        <v>15.517241379310345</v>
      </c>
      <c r="Z77" s="32">
        <f>Таблица2242[[#This Row],[Километраж по Украине, 
км]]*10</f>
        <v>2900</v>
      </c>
      <c r="AA77" s="32">
        <f>Таблица2242[[#This Row],[Километраж по Украине, 
км]]/100*32*57+Таблица2242[[#This Row],[Зарплата водителя, грн]]</f>
        <v>8189.5999999999995</v>
      </c>
      <c r="AB77" s="170">
        <f>Таблица2242[[#This Row],[Доход, 
грн/рейс]]-Таблица2242[[#This Row],[СС 1-го рейса, 
грн/рейс]]</f>
        <v>-3689.5999999999995</v>
      </c>
      <c r="AC77" s="171" t="e">
        <f>ROUNDDOWN(30/Таблица2242[[#This Row],[Плановое время в рейсе, 
сутки]],0)</f>
        <v>#DIV/0!</v>
      </c>
      <c r="AD77" s="18" t="e">
        <f>Таблица2242[[#This Row],[Доход, 
грн/рейс]]*Таблица2242[[#This Row],[Возможное количество рейсов в месяц]]</f>
        <v>#DIV/0!</v>
      </c>
      <c r="AE77" s="18" t="e">
        <f>Таблица2242[[#This Row],[Возможное количество рейсов в месяц]]*Таблица2242[[#This Row],[СС 1-го рейса, 
грн/рейс]]</f>
        <v>#DIV/0!</v>
      </c>
      <c r="AF77" s="18" t="e">
        <f>Таблица2242[[#This Row],[Доход в месяц, 
грн]]-Таблица2242[[#This Row],[Затраты на предполагаемые рейсы за месяц, 
грн]]</f>
        <v>#DIV/0!</v>
      </c>
      <c r="AG77" s="12"/>
      <c r="AH77" s="172"/>
    </row>
    <row r="78" spans="1:34" ht="13.2" x14ac:dyDescent="0.25">
      <c r="A78" s="76"/>
      <c r="B78" s="77"/>
      <c r="C78" s="176"/>
      <c r="D78" s="77"/>
      <c r="E78" s="77"/>
      <c r="F78" s="177"/>
      <c r="G78" s="178"/>
      <c r="H78" s="178"/>
      <c r="I78" s="77"/>
      <c r="J78" s="82"/>
      <c r="K78" s="179"/>
      <c r="L78" s="180"/>
      <c r="M78" s="180"/>
      <c r="N78" s="85"/>
      <c r="O78" s="86">
        <f>ROUNDUP(SUM(Таблица2242[[#This Row],[Плановое время в дороге, 
сутки]:[Плановое время простоя, 
сутки]]),0)</f>
        <v>0</v>
      </c>
      <c r="P78" s="86"/>
      <c r="Q78" s="180"/>
      <c r="R78" s="82"/>
      <c r="S78" s="90"/>
      <c r="T78" s="181">
        <f>Таблица2242[[#This Row],[Стоимость, 
EUR/т]]*$J$2</f>
        <v>0</v>
      </c>
      <c r="U78" s="191">
        <v>670</v>
      </c>
      <c r="V78" s="191"/>
      <c r="W78" s="86">
        <f>SUM(Таблица2242[[#This Row],[Километраж по Украине, 
км]:[Километраж по Европе,
км]])</f>
        <v>670</v>
      </c>
      <c r="X78" s="183">
        <f>Таблица2242[[#This Row],[Вес, т]]*Таблица2242[[#This Row],[Стоимость, 
грн/т]]</f>
        <v>0</v>
      </c>
      <c r="Y78" s="183">
        <f>Таблица2242[[#This Row],[Доход, 
грн/рейс]]/Таблица2242[[#This Row],[Общий километраж, 
км]]</f>
        <v>0</v>
      </c>
      <c r="Z78" s="32">
        <f>Таблица2242[[#This Row],[Километраж по Украине, 
км]]*10</f>
        <v>6700</v>
      </c>
      <c r="AA78" s="32">
        <f>Таблица2242[[#This Row],[Километраж по Украине, 
км]]/100*32*57+Таблица2242[[#This Row],[Зарплата водителя, грн]]</f>
        <v>18920.800000000003</v>
      </c>
      <c r="AB78" s="184">
        <f>Таблица2242[[#This Row],[Доход, 
грн/рейс]]-Таблица2242[[#This Row],[СС 1-го рейса, 
грн/рейс]]</f>
        <v>-18920.800000000003</v>
      </c>
      <c r="AC78" s="185" t="e">
        <f>ROUNDDOWN(30/Таблица2242[[#This Row],[Плановое время в рейсе, 
сутки]],0)</f>
        <v>#DIV/0!</v>
      </c>
      <c r="AD78" s="93" t="e">
        <f>Таблица2242[[#This Row],[Доход, 
грн/рейс]]*Таблица2242[[#This Row],[Возможное количество рейсов в месяц]]</f>
        <v>#DIV/0!</v>
      </c>
      <c r="AE78" s="93" t="e">
        <f>Таблица2242[[#This Row],[Возможное количество рейсов в месяц]]*Таблица2242[[#This Row],[СС 1-го рейса, 
грн/рейс]]</f>
        <v>#DIV/0!</v>
      </c>
      <c r="AF78" s="93" t="e">
        <f>Таблица2242[[#This Row],[Доход в месяц, 
грн]]-Таблица2242[[#This Row],[Затраты на предполагаемые рейсы за месяц, 
грн]]</f>
        <v>#DIV/0!</v>
      </c>
      <c r="AG78" s="77"/>
      <c r="AH78" s="186"/>
    </row>
    <row r="79" spans="1:34" ht="13.2" x14ac:dyDescent="0.25">
      <c r="A79" s="13" t="s">
        <v>148</v>
      </c>
      <c r="B79" s="29" t="s">
        <v>34</v>
      </c>
      <c r="C79" s="165"/>
      <c r="D79" s="12"/>
      <c r="E79" s="12"/>
      <c r="F79" s="30">
        <v>45717</v>
      </c>
      <c r="G79" s="69">
        <v>45723.75</v>
      </c>
      <c r="H79" s="69">
        <v>45733.458333333336</v>
      </c>
      <c r="I79" s="29" t="s">
        <v>147</v>
      </c>
      <c r="J79" s="14"/>
      <c r="K79" s="173"/>
      <c r="L79" s="174"/>
      <c r="M79" s="174"/>
      <c r="N79" s="16"/>
      <c r="O79" s="17">
        <f>ROUNDUP(SUM(Таблица2242[[#This Row],[Плановое время в дороге, 
сутки]:[Плановое время простоя, 
сутки]]),0)</f>
        <v>0</v>
      </c>
      <c r="P79" s="65" t="s">
        <v>95</v>
      </c>
      <c r="Q79" s="61" t="s">
        <v>35</v>
      </c>
      <c r="R79" s="14">
        <v>1</v>
      </c>
      <c r="S79" s="19"/>
      <c r="T79" s="175">
        <v>53600</v>
      </c>
      <c r="U79" s="188">
        <v>685</v>
      </c>
      <c r="V79" s="188"/>
      <c r="W79" s="17">
        <f>SUM(Таблица2242[[#This Row],[Километраж по Украине, 
км]:[Километраж по Европе,
км]])</f>
        <v>685</v>
      </c>
      <c r="X79" s="169">
        <v>53600</v>
      </c>
      <c r="Y79" s="169">
        <f>Таблица2242[[#This Row],[Доход, 
грн/рейс]]/Таблица2242[[#This Row],[Общий километраж, 
км]]</f>
        <v>78.248175182481745</v>
      </c>
      <c r="Z79" s="32">
        <f>Таблица2242[[#This Row],[Километраж по Украине, 
км]]*10</f>
        <v>6850</v>
      </c>
      <c r="AA79" s="32">
        <f>Таблица2242[[#This Row],[Километраж по Украине, 
км]]/100*32*57+Таблица2242[[#This Row],[Зарплата водителя, грн]]</f>
        <v>19344.400000000001</v>
      </c>
      <c r="AB79" s="170">
        <f>Таблица2242[[#This Row],[Доход, 
грн/рейс]]-Таблица2242[[#This Row],[СС 1-го рейса, 
грн/рейс]]</f>
        <v>34255.599999999999</v>
      </c>
      <c r="AC79" s="171" t="e">
        <f>ROUNDDOWN(30/Таблица2242[[#This Row],[Плановое время в рейсе, 
сутки]],0)</f>
        <v>#DIV/0!</v>
      </c>
      <c r="AD79" s="18" t="e">
        <f>Таблица2242[[#This Row],[Доход, 
грн/рейс]]*Таблица2242[[#This Row],[Возможное количество рейсов в месяц]]</f>
        <v>#DIV/0!</v>
      </c>
      <c r="AE79" s="18" t="e">
        <f>Таблица2242[[#This Row],[Возможное количество рейсов в месяц]]*Таблица2242[[#This Row],[СС 1-го рейса, 
грн/рейс]]</f>
        <v>#DIV/0!</v>
      </c>
      <c r="AF79" s="18" t="e">
        <f>Таблица2242[[#This Row],[Доход в месяц, 
грн]]-Таблица2242[[#This Row],[Затраты на предполагаемые рейсы за месяц, 
грн]]</f>
        <v>#DIV/0!</v>
      </c>
      <c r="AG79" s="1" t="s">
        <v>149</v>
      </c>
      <c r="AH79" s="172"/>
    </row>
    <row r="80" spans="1:34" ht="13.2" x14ac:dyDescent="0.25">
      <c r="A80" s="13" t="s">
        <v>148</v>
      </c>
      <c r="B80" s="29" t="s">
        <v>34</v>
      </c>
      <c r="C80" s="165"/>
      <c r="D80" s="12"/>
      <c r="E80" s="12"/>
      <c r="F80" s="30">
        <v>45717</v>
      </c>
      <c r="G80" s="69">
        <v>45731.6875</v>
      </c>
      <c r="H80" s="69">
        <v>45733.458333333336</v>
      </c>
      <c r="I80" s="29" t="s">
        <v>147</v>
      </c>
      <c r="J80" s="14"/>
      <c r="K80" s="173"/>
      <c r="L80" s="174"/>
      <c r="M80" s="174"/>
      <c r="N80" s="16"/>
      <c r="O80" s="17">
        <f>ROUNDUP(SUM(Таблица2242[[#This Row],[Плановое время в дороге, 
сутки]:[Плановое время простоя, 
сутки]]),0)</f>
        <v>0</v>
      </c>
      <c r="P80" s="106" t="s">
        <v>52</v>
      </c>
      <c r="Q80" s="61" t="s">
        <v>35</v>
      </c>
      <c r="R80" s="14">
        <v>1</v>
      </c>
      <c r="S80" s="19"/>
      <c r="T80" s="175">
        <v>53600</v>
      </c>
      <c r="U80" s="190">
        <v>685</v>
      </c>
      <c r="V80" s="190"/>
      <c r="W80" s="17">
        <f>SUM(Таблица2242[[#This Row],[Километраж по Украине, 
км]:[Километраж по Европе,
км]])</f>
        <v>685</v>
      </c>
      <c r="X80" s="169">
        <v>53600</v>
      </c>
      <c r="Y80" s="169">
        <f>Таблица2242[[#This Row],[Доход, 
грн/рейс]]/Таблица2242[[#This Row],[Общий километраж, 
км]]</f>
        <v>78.248175182481745</v>
      </c>
      <c r="Z80" s="32">
        <f>Таблица2242[[#This Row],[Километраж по Украине, 
км]]*10</f>
        <v>6850</v>
      </c>
      <c r="AA80" s="32">
        <f>Таблица2242[[#This Row],[Километраж по Украине, 
км]]/100*32*57+Таблица2242[[#This Row],[Зарплата водителя, грн]]</f>
        <v>19344.400000000001</v>
      </c>
      <c r="AB80" s="170">
        <f>Таблица2242[[#This Row],[Доход, 
грн/рейс]]-Таблица2242[[#This Row],[СС 1-го рейса, 
грн/рейс]]</f>
        <v>34255.599999999999</v>
      </c>
      <c r="AC80" s="171" t="e">
        <f>ROUNDDOWN(30/Таблица2242[[#This Row],[Плановое время в рейсе, 
сутки]],0)</f>
        <v>#DIV/0!</v>
      </c>
      <c r="AD80" s="18" t="e">
        <f>Таблица2242[[#This Row],[Доход, 
грн/рейс]]*Таблица2242[[#This Row],[Возможное количество рейсов в месяц]]</f>
        <v>#DIV/0!</v>
      </c>
      <c r="AE80" s="18" t="e">
        <f>Таблица2242[[#This Row],[Возможное количество рейсов в месяц]]*Таблица2242[[#This Row],[СС 1-го рейса, 
грн/рейс]]</f>
        <v>#DIV/0!</v>
      </c>
      <c r="AF80" s="18" t="e">
        <f>Таблица2242[[#This Row],[Доход в месяц, 
грн]]-Таблица2242[[#This Row],[Затраты на предполагаемые рейсы за месяц, 
грн]]</f>
        <v>#DIV/0!</v>
      </c>
      <c r="AG80" s="1" t="s">
        <v>150</v>
      </c>
      <c r="AH80" s="172"/>
    </row>
    <row r="81" spans="1:34" ht="13.2" x14ac:dyDescent="0.25">
      <c r="A81" s="13"/>
      <c r="B81" s="12"/>
      <c r="C81" s="165"/>
      <c r="D81" s="12"/>
      <c r="E81" s="12"/>
      <c r="F81" s="166"/>
      <c r="G81" s="167"/>
      <c r="H81" s="167"/>
      <c r="I81" s="12"/>
      <c r="J81" s="14"/>
      <c r="K81" s="173"/>
      <c r="L81" s="174"/>
      <c r="M81" s="174"/>
      <c r="N81" s="16"/>
      <c r="O81" s="17">
        <f>ROUNDUP(SUM(Таблица2242[[#This Row],[Плановое время в дороге, 
сутки]:[Плановое время простоя, 
сутки]]),0)</f>
        <v>0</v>
      </c>
      <c r="P81" s="17"/>
      <c r="Q81" s="174"/>
      <c r="R81" s="14"/>
      <c r="S81" s="19"/>
      <c r="T81" s="175">
        <f>Таблица2242[[#This Row],[Стоимость, 
EUR/т]]*$J$2</f>
        <v>0</v>
      </c>
      <c r="U81" s="188"/>
      <c r="V81" s="188"/>
      <c r="W81" s="17">
        <f>SUM(Таблица2242[[#This Row],[Километраж по Украине, 
км]:[Километраж по Европе,
км]])</f>
        <v>0</v>
      </c>
      <c r="X81" s="169">
        <f>Таблица2242[[#This Row],[Вес, т]]*Таблица2242[[#This Row],[Стоимость, 
грн/т]]</f>
        <v>0</v>
      </c>
      <c r="Y81" s="169" t="e">
        <f>Таблица2242[[#This Row],[Доход, 
грн/рейс]]/Таблица2242[[#This Row],[Общий километраж, 
км]]</f>
        <v>#DIV/0!</v>
      </c>
      <c r="Z81" s="169"/>
      <c r="AA81" s="169"/>
      <c r="AB81" s="170">
        <f>Таблица2242[[#This Row],[Доход, 
грн/рейс]]-Таблица2242[[#This Row],[СС 1-го рейса, 
грн/рейс]]</f>
        <v>0</v>
      </c>
      <c r="AC81" s="171" t="e">
        <f>ROUNDDOWN(30/Таблица2242[[#This Row],[Плановое время в рейсе, 
сутки]],0)</f>
        <v>#DIV/0!</v>
      </c>
      <c r="AD81" s="18" t="e">
        <f>Таблица2242[[#This Row],[Доход, 
грн/рейс]]*Таблица2242[[#This Row],[Возможное количество рейсов в месяц]]</f>
        <v>#DIV/0!</v>
      </c>
      <c r="AE81" s="18" t="e">
        <f>Таблица2242[[#This Row],[Возможное количество рейсов в месяц]]*Таблица2242[[#This Row],[СС 1-го рейса, 
грн/рейс]]</f>
        <v>#DIV/0!</v>
      </c>
      <c r="AF81" s="18" t="e">
        <f>Таблица2242[[#This Row],[Доход в месяц, 
грн]]-Таблица2242[[#This Row],[Затраты на предполагаемые рейсы за месяц, 
грн]]</f>
        <v>#DIV/0!</v>
      </c>
      <c r="AG81" s="12"/>
      <c r="AH81" s="172"/>
    </row>
    <row r="82" spans="1:34" ht="13.2" x14ac:dyDescent="0.25">
      <c r="A82" s="13"/>
      <c r="B82" s="12"/>
      <c r="C82" s="165"/>
      <c r="D82" s="12"/>
      <c r="E82" s="12"/>
      <c r="F82" s="166"/>
      <c r="G82" s="167"/>
      <c r="H82" s="167"/>
      <c r="I82" s="12"/>
      <c r="J82" s="14"/>
      <c r="K82" s="173"/>
      <c r="L82" s="174"/>
      <c r="M82" s="174"/>
      <c r="N82" s="16"/>
      <c r="O82" s="17">
        <f>ROUNDUP(SUM(Таблица2242[[#This Row],[Плановое время в дороге, 
сутки]:[Плановое время простоя, 
сутки]]),0)</f>
        <v>0</v>
      </c>
      <c r="P82" s="17"/>
      <c r="Q82" s="174"/>
      <c r="R82" s="14"/>
      <c r="S82" s="19"/>
      <c r="T82" s="175">
        <f>Таблица2242[[#This Row],[Стоимость, 
EUR/т]]*$J$2</f>
        <v>0</v>
      </c>
      <c r="U82" s="190"/>
      <c r="V82" s="190"/>
      <c r="W82" s="17">
        <f>SUM(Таблица2242[[#This Row],[Километраж по Украине, 
км]:[Километраж по Европе,
км]])</f>
        <v>0</v>
      </c>
      <c r="X82" s="169">
        <f>Таблица2242[[#This Row],[Вес, т]]*Таблица2242[[#This Row],[Стоимость, 
грн/т]]</f>
        <v>0</v>
      </c>
      <c r="Y82" s="169" t="e">
        <f>Таблица2242[[#This Row],[Доход, 
грн/рейс]]/Таблица2242[[#This Row],[Общий километраж, 
км]]</f>
        <v>#DIV/0!</v>
      </c>
      <c r="Z82" s="169"/>
      <c r="AA82" s="169"/>
      <c r="AB82" s="170">
        <f>Таблица2242[[#This Row],[Доход, 
грн/рейс]]-Таблица2242[[#This Row],[СС 1-го рейса, 
грн/рейс]]</f>
        <v>0</v>
      </c>
      <c r="AC82" s="171" t="e">
        <f>ROUNDDOWN(30/Таблица2242[[#This Row],[Плановое время в рейсе, 
сутки]],0)</f>
        <v>#DIV/0!</v>
      </c>
      <c r="AD82" s="18" t="e">
        <f>Таблица2242[[#This Row],[Доход, 
грн/рейс]]*Таблица2242[[#This Row],[Возможное количество рейсов в месяц]]</f>
        <v>#DIV/0!</v>
      </c>
      <c r="AE82" s="18" t="e">
        <f>Таблица2242[[#This Row],[Возможное количество рейсов в месяц]]*Таблица2242[[#This Row],[СС 1-го рейса, 
грн/рейс]]</f>
        <v>#DIV/0!</v>
      </c>
      <c r="AF82" s="18" t="e">
        <f>Таблица2242[[#This Row],[Доход в месяц, 
грн]]-Таблица2242[[#This Row],[Затраты на предполагаемые рейсы за месяц, 
грн]]</f>
        <v>#DIV/0!</v>
      </c>
      <c r="AG82" s="12"/>
      <c r="AH82" s="172"/>
    </row>
    <row r="83" spans="1:34" ht="13.2" x14ac:dyDescent="0.25">
      <c r="A83" s="13"/>
      <c r="B83" s="12"/>
      <c r="C83" s="165"/>
      <c r="D83" s="12"/>
      <c r="E83" s="12"/>
      <c r="F83" s="166"/>
      <c r="G83" s="167"/>
      <c r="H83" s="167"/>
      <c r="I83" s="12"/>
      <c r="J83" s="14"/>
      <c r="K83" s="173"/>
      <c r="L83" s="174"/>
      <c r="M83" s="174"/>
      <c r="N83" s="16"/>
      <c r="O83" s="17">
        <f>ROUNDUP(SUM(Таблица2242[[#This Row],[Плановое время в дороге, 
сутки]:[Плановое время простоя, 
сутки]]),0)</f>
        <v>0</v>
      </c>
      <c r="P83" s="17"/>
      <c r="Q83" s="174"/>
      <c r="R83" s="14"/>
      <c r="S83" s="19"/>
      <c r="T83" s="175">
        <f>Таблица2242[[#This Row],[Стоимость, 
EUR/т]]*$J$2</f>
        <v>0</v>
      </c>
      <c r="U83" s="188"/>
      <c r="V83" s="188"/>
      <c r="W83" s="17">
        <f>SUM(Таблица2242[[#This Row],[Километраж по Украине, 
км]:[Километраж по Европе,
км]])</f>
        <v>0</v>
      </c>
      <c r="X83" s="169">
        <f>Таблица2242[[#This Row],[Вес, т]]*Таблица2242[[#This Row],[Стоимость, 
грн/т]]</f>
        <v>0</v>
      </c>
      <c r="Y83" s="169" t="e">
        <f>Таблица2242[[#This Row],[Доход, 
грн/рейс]]/Таблица2242[[#This Row],[Общий километраж, 
км]]</f>
        <v>#DIV/0!</v>
      </c>
      <c r="Z83" s="169"/>
      <c r="AA83" s="169"/>
      <c r="AB83" s="170">
        <f>Таблица2242[[#This Row],[Доход, 
грн/рейс]]-Таблица2242[[#This Row],[СС 1-го рейса, 
грн/рейс]]</f>
        <v>0</v>
      </c>
      <c r="AC83" s="171" t="e">
        <f>ROUNDDOWN(30/Таблица2242[[#This Row],[Плановое время в рейсе, 
сутки]],0)</f>
        <v>#DIV/0!</v>
      </c>
      <c r="AD83" s="18" t="e">
        <f>Таблица2242[[#This Row],[Доход, 
грн/рейс]]*Таблица2242[[#This Row],[Возможное количество рейсов в месяц]]</f>
        <v>#DIV/0!</v>
      </c>
      <c r="AE83" s="18" t="e">
        <f>Таблица2242[[#This Row],[Возможное количество рейсов в месяц]]*Таблица2242[[#This Row],[СС 1-го рейса, 
грн/рейс]]</f>
        <v>#DIV/0!</v>
      </c>
      <c r="AF83" s="18" t="e">
        <f>Таблица2242[[#This Row],[Доход в месяц, 
грн]]-Таблица2242[[#This Row],[Затраты на предполагаемые рейсы за месяц, 
грн]]</f>
        <v>#DIV/0!</v>
      </c>
      <c r="AG83" s="12"/>
      <c r="AH83" s="172"/>
    </row>
    <row r="84" spans="1:34" ht="13.2" x14ac:dyDescent="0.25">
      <c r="A84" s="13"/>
      <c r="B84" s="12"/>
      <c r="C84" s="165"/>
      <c r="D84" s="12"/>
      <c r="E84" s="12"/>
      <c r="F84" s="166"/>
      <c r="G84" s="167"/>
      <c r="H84" s="167"/>
      <c r="I84" s="12"/>
      <c r="J84" s="14"/>
      <c r="K84" s="173"/>
      <c r="L84" s="174"/>
      <c r="M84" s="174"/>
      <c r="N84" s="16"/>
      <c r="O84" s="17">
        <f>ROUNDUP(SUM(Таблица2242[[#This Row],[Плановое время в дороге, 
сутки]:[Плановое время простоя, 
сутки]]),0)</f>
        <v>0</v>
      </c>
      <c r="P84" s="17"/>
      <c r="Q84" s="174"/>
      <c r="R84" s="14"/>
      <c r="S84" s="19"/>
      <c r="T84" s="175">
        <f>Таблица2242[[#This Row],[Стоимость, 
EUR/т]]*$J$2</f>
        <v>0</v>
      </c>
      <c r="U84" s="190"/>
      <c r="V84" s="190"/>
      <c r="W84" s="17">
        <f>SUM(Таблица2242[[#This Row],[Километраж по Украине, 
км]:[Километраж по Европе,
км]])</f>
        <v>0</v>
      </c>
      <c r="X84" s="169">
        <f>Таблица2242[[#This Row],[Вес, т]]*Таблица2242[[#This Row],[Стоимость, 
грн/т]]</f>
        <v>0</v>
      </c>
      <c r="Y84" s="169" t="e">
        <f>Таблица2242[[#This Row],[Доход, 
грн/рейс]]/Таблица2242[[#This Row],[Общий километраж, 
км]]</f>
        <v>#DIV/0!</v>
      </c>
      <c r="Z84" s="169"/>
      <c r="AA84" s="169"/>
      <c r="AB84" s="170">
        <f>Таблица2242[[#This Row],[Доход, 
грн/рейс]]-Таблица2242[[#This Row],[СС 1-го рейса, 
грн/рейс]]</f>
        <v>0</v>
      </c>
      <c r="AC84" s="171" t="e">
        <f>ROUNDDOWN(30/Таблица2242[[#This Row],[Плановое время в рейсе, 
сутки]],0)</f>
        <v>#DIV/0!</v>
      </c>
      <c r="AD84" s="18" t="e">
        <f>Таблица2242[[#This Row],[Доход, 
грн/рейс]]*Таблица2242[[#This Row],[Возможное количество рейсов в месяц]]</f>
        <v>#DIV/0!</v>
      </c>
      <c r="AE84" s="18" t="e">
        <f>Таблица2242[[#This Row],[Возможное количество рейсов в месяц]]*Таблица2242[[#This Row],[СС 1-го рейса, 
грн/рейс]]</f>
        <v>#DIV/0!</v>
      </c>
      <c r="AF84" s="18" t="e">
        <f>Таблица2242[[#This Row],[Доход в месяц, 
грн]]-Таблица2242[[#This Row],[Затраты на предполагаемые рейсы за месяц, 
грн]]</f>
        <v>#DIV/0!</v>
      </c>
      <c r="AG84" s="12"/>
      <c r="AH84" s="172"/>
    </row>
    <row r="85" spans="1:34" ht="13.2" x14ac:dyDescent="0.25">
      <c r="A85" s="76"/>
      <c r="B85" s="77"/>
      <c r="C85" s="176"/>
      <c r="D85" s="77"/>
      <c r="E85" s="77"/>
      <c r="F85" s="177"/>
      <c r="G85" s="178"/>
      <c r="H85" s="178">
        <f>SUBTOTAL(109,Отчет!$H$4:$H$84)</f>
        <v>2832100.8645833335</v>
      </c>
      <c r="I85" s="77"/>
      <c r="J85" s="82"/>
      <c r="K85" s="179"/>
      <c r="L85" s="180"/>
      <c r="M85" s="180"/>
      <c r="N85" s="85"/>
      <c r="O85" s="86">
        <f>ROUNDUP(SUM(Таблица2242[[#This Row],[Плановое время в дороге, 
сутки]:[Плановое время простоя, 
сутки]]),0)</f>
        <v>0</v>
      </c>
      <c r="P85" s="86"/>
      <c r="Q85" s="180"/>
      <c r="R85" s="82"/>
      <c r="S85" s="90"/>
      <c r="T85" s="181">
        <f>Таблица2242[[#This Row],[Стоимость, 
EUR/т]]*$J$2</f>
        <v>0</v>
      </c>
      <c r="U85" s="192"/>
      <c r="V85" s="192"/>
      <c r="W85" s="86">
        <f>SUM(Таблица2242[[#This Row],[Километраж по Украине, 
км]:[Километраж по Европе,
км]])</f>
        <v>0</v>
      </c>
      <c r="X85" s="183">
        <f>Таблица2242[[#This Row],[Вес, т]]*Таблица2242[[#This Row],[Стоимость, 
грн/т]]</f>
        <v>0</v>
      </c>
      <c r="Y85" s="183" t="e">
        <f>Таблица2242[[#This Row],[Доход, 
грн/рейс]]/Таблица2242[[#This Row],[Общий километраж, 
км]]</f>
        <v>#DIV/0!</v>
      </c>
      <c r="Z85" s="183"/>
      <c r="AA85" s="183"/>
      <c r="AB85" s="184">
        <f>Таблица2242[[#This Row],[Доход, 
грн/рейс]]-Таблица2242[[#This Row],[СС 1-го рейса, 
грн/рейс]]</f>
        <v>0</v>
      </c>
      <c r="AC85" s="185" t="e">
        <f>ROUNDDOWN(30/Таблица2242[[#This Row],[Плановое время в рейсе, 
сутки]],0)</f>
        <v>#DIV/0!</v>
      </c>
      <c r="AD85" s="93" t="e">
        <f>Таблица2242[[#This Row],[Доход, 
грн/рейс]]*Таблица2242[[#This Row],[Возможное количество рейсов в месяц]]</f>
        <v>#DIV/0!</v>
      </c>
      <c r="AE85" s="93" t="e">
        <f>Таблица2242[[#This Row],[Возможное количество рейсов в месяц]]*Таблица2242[[#This Row],[СС 1-го рейса, 
грн/рейс]]</f>
        <v>#DIV/0!</v>
      </c>
      <c r="AF85" s="93" t="e">
        <f>Таблица2242[[#This Row],[Доход в месяц, 
грн]]-Таблица2242[[#This Row],[Затраты на предполагаемые рейсы за месяц, 
грн]]</f>
        <v>#DIV/0!</v>
      </c>
      <c r="AG85" s="77"/>
      <c r="AH85" s="186"/>
    </row>
    <row r="86" spans="1:34" ht="26.4" x14ac:dyDescent="0.25">
      <c r="A86" s="213" t="s">
        <v>70</v>
      </c>
      <c r="B86" s="29" t="s">
        <v>34</v>
      </c>
      <c r="C86" s="199"/>
      <c r="D86" s="198"/>
      <c r="E86" s="198"/>
      <c r="F86" s="30">
        <v>45717</v>
      </c>
      <c r="G86" s="69">
        <v>45733.458333333336</v>
      </c>
      <c r="H86" s="69">
        <v>45735.708333333336</v>
      </c>
      <c r="I86" s="198" t="s">
        <v>152</v>
      </c>
      <c r="J86" s="201"/>
      <c r="K86" s="202"/>
      <c r="L86" s="203"/>
      <c r="M86" s="203"/>
      <c r="N86" s="204"/>
      <c r="O86" s="205">
        <f>ROUNDUP(SUM(Таблица2242[[#This Row],[Плановое время в дороге, 
сутки]:[Плановое время простоя, 
сутки]]),0)</f>
        <v>0</v>
      </c>
      <c r="P86" s="65" t="s">
        <v>95</v>
      </c>
      <c r="Q86" s="64" t="s">
        <v>36</v>
      </c>
      <c r="R86" s="201">
        <v>1</v>
      </c>
      <c r="S86" s="206"/>
      <c r="T86" s="207">
        <v>11700</v>
      </c>
      <c r="U86" s="214">
        <v>796</v>
      </c>
      <c r="V86" s="214"/>
      <c r="W86" s="205">
        <f>SUM(Таблица2242[[#This Row],[Километраж по Украине, 
км]:[Километраж по Европе,
км]])</f>
        <v>796</v>
      </c>
      <c r="X86" s="208">
        <v>11700</v>
      </c>
      <c r="Y86" s="208">
        <f>Таблица2242[[#This Row],[Доход, 
грн/рейс]]/Таблица2242[[#This Row],[Общий километраж, 
км]]</f>
        <v>14.698492462311558</v>
      </c>
      <c r="Z86" s="32">
        <f>Таблица2242[[#This Row],[Километраж по Украине, 
км]]*10</f>
        <v>7960</v>
      </c>
      <c r="AA86" s="32">
        <f>Таблица2242[[#This Row],[Километраж по Украине, 
км]]/100*32*57+Таблица2242[[#This Row],[Зарплата водителя, грн]]</f>
        <v>22479.040000000001</v>
      </c>
      <c r="AB86" s="209">
        <f>Таблица2242[[#This Row],[Доход, 
грн/рейс]]-Таблица2242[[#This Row],[СС 1-го рейса, 
грн/рейс]]</f>
        <v>-10779.04</v>
      </c>
      <c r="AC86" s="210" t="e">
        <f>ROUNDDOWN(30/Таблица2242[[#This Row],[Плановое время в рейсе, 
сутки]],0)</f>
        <v>#DIV/0!</v>
      </c>
      <c r="AD86" s="211" t="e">
        <f>Таблица2242[[#This Row],[Доход, 
грн/рейс]]*Таблица2242[[#This Row],[Возможное количество рейсов в месяц]]</f>
        <v>#DIV/0!</v>
      </c>
      <c r="AE86" s="211" t="e">
        <f>Таблица2242[[#This Row],[Возможное количество рейсов в месяц]]*Таблица2242[[#This Row],[СС 1-го рейса, 
грн/рейс]]</f>
        <v>#DIV/0!</v>
      </c>
      <c r="AF86" s="211" t="e">
        <f>Таблица2242[[#This Row],[Доход в месяц, 
грн]]-Таблица2242[[#This Row],[Затраты на предполагаемые рейсы за месяц, 
грн]]</f>
        <v>#DIV/0!</v>
      </c>
      <c r="AG86" s="1" t="s">
        <v>153</v>
      </c>
      <c r="AH86" s="212"/>
    </row>
    <row r="87" spans="1:34" ht="26.4" x14ac:dyDescent="0.25">
      <c r="A87" s="213" t="s">
        <v>70</v>
      </c>
      <c r="B87" s="29" t="s">
        <v>34</v>
      </c>
      <c r="C87" s="199"/>
      <c r="D87" s="198"/>
      <c r="E87" s="198"/>
      <c r="F87" s="200">
        <v>45717</v>
      </c>
      <c r="G87" s="69">
        <v>45733.458333333336</v>
      </c>
      <c r="H87" s="69">
        <v>45735.708333333336</v>
      </c>
      <c r="I87" s="198" t="s">
        <v>152</v>
      </c>
      <c r="J87" s="201"/>
      <c r="K87" s="202"/>
      <c r="L87" s="203"/>
      <c r="M87" s="203"/>
      <c r="N87" s="204"/>
      <c r="O87" s="205">
        <f>ROUNDUP(SUM(Таблица2242[[#This Row],[Плановое время в дороге, 
сутки]:[Плановое время простоя, 
сутки]]),0)</f>
        <v>0</v>
      </c>
      <c r="P87" s="106" t="s">
        <v>52</v>
      </c>
      <c r="Q87" s="64" t="s">
        <v>36</v>
      </c>
      <c r="R87" s="201">
        <v>1</v>
      </c>
      <c r="S87" s="206"/>
      <c r="T87" s="207">
        <v>11700</v>
      </c>
      <c r="U87" s="215">
        <v>800</v>
      </c>
      <c r="V87" s="215"/>
      <c r="W87" s="205">
        <f>SUM(Таблица2242[[#This Row],[Километраж по Украине, 
км]:[Километраж по Европе,
км]])</f>
        <v>800</v>
      </c>
      <c r="X87" s="208">
        <f>Таблица2242[[#This Row],[Вес, т]]*Таблица2242[[#This Row],[Стоимость, 
грн/т]]</f>
        <v>11700</v>
      </c>
      <c r="Y87" s="208">
        <f>Таблица2242[[#This Row],[Доход, 
грн/рейс]]/Таблица2242[[#This Row],[Общий километраж, 
км]]</f>
        <v>14.625</v>
      </c>
      <c r="Z87" s="32">
        <f>Таблица2242[[#This Row],[Километраж по Украине, 
км]]*10</f>
        <v>8000</v>
      </c>
      <c r="AA87" s="32">
        <f>Таблица2242[[#This Row],[Километраж по Украине, 
км]]/100*32*57+Таблица2242[[#This Row],[Зарплата водителя, грн]]</f>
        <v>22592</v>
      </c>
      <c r="AB87" s="209">
        <f>Таблица2242[[#This Row],[Доход, 
грн/рейс]]-Таблица2242[[#This Row],[СС 1-го рейса, 
грн/рейс]]</f>
        <v>-10892</v>
      </c>
      <c r="AC87" s="210" t="e">
        <f>ROUNDDOWN(30/Таблица2242[[#This Row],[Плановое время в рейсе, 
сутки]],0)</f>
        <v>#DIV/0!</v>
      </c>
      <c r="AD87" s="211" t="e">
        <f>Таблица2242[[#This Row],[Доход, 
грн/рейс]]*Таблица2242[[#This Row],[Возможное количество рейсов в месяц]]</f>
        <v>#DIV/0!</v>
      </c>
      <c r="AE87" s="211" t="e">
        <f>Таблица2242[[#This Row],[Возможное количество рейсов в месяц]]*Таблица2242[[#This Row],[СС 1-го рейса, 
грн/рейс]]</f>
        <v>#DIV/0!</v>
      </c>
      <c r="AF87" s="211" t="e">
        <f>Таблица2242[[#This Row],[Доход в месяц, 
грн]]-Таблица2242[[#This Row],[Затраты на предполагаемые рейсы за месяц, 
грн]]</f>
        <v>#DIV/0!</v>
      </c>
      <c r="AG87" s="1" t="s">
        <v>153</v>
      </c>
      <c r="AH87" s="212"/>
    </row>
    <row r="88" spans="1:34" ht="13.2" x14ac:dyDescent="0.25">
      <c r="A88" s="216" t="s">
        <v>65</v>
      </c>
      <c r="B88" s="217"/>
      <c r="C88" s="218"/>
      <c r="D88" s="217"/>
      <c r="E88" s="217"/>
      <c r="F88" s="200">
        <v>45717</v>
      </c>
      <c r="G88" s="69">
        <v>45735.708333333336</v>
      </c>
      <c r="H88" s="69">
        <v>45737.4375</v>
      </c>
      <c r="I88" s="29" t="s">
        <v>123</v>
      </c>
      <c r="J88" s="219"/>
      <c r="K88" s="220"/>
      <c r="L88" s="221"/>
      <c r="M88" s="221"/>
      <c r="N88" s="222"/>
      <c r="O88" s="223">
        <f>ROUNDUP(SUM(Таблица2242[[#This Row],[Плановое время в дороге, 
сутки]:[Плановое время простоя, 
сутки]]),0)</f>
        <v>0</v>
      </c>
      <c r="P88" s="65" t="s">
        <v>95</v>
      </c>
      <c r="Q88" s="61" t="s">
        <v>35</v>
      </c>
      <c r="R88" s="219">
        <v>1</v>
      </c>
      <c r="S88" s="224"/>
      <c r="T88" s="225">
        <v>13500</v>
      </c>
      <c r="U88" s="231">
        <v>225</v>
      </c>
      <c r="V88" s="231"/>
      <c r="W88" s="223">
        <f>SUM(Таблица2242[[#This Row],[Километраж по Украине, 
км]:[Километраж по Европе,
км]])</f>
        <v>225</v>
      </c>
      <c r="X88" s="226">
        <f>Таблица2242[[#This Row],[Вес, т]]*Таблица2242[[#This Row],[Стоимость, 
грн/т]]</f>
        <v>13500</v>
      </c>
      <c r="Y88" s="226">
        <f>Таблица2242[[#This Row],[Доход, 
грн/рейс]]/Таблица2242[[#This Row],[Общий километраж, 
км]]</f>
        <v>60</v>
      </c>
      <c r="Z88" s="32">
        <f>Таблица2242[[#This Row],[Километраж по Украине, 
км]]*10</f>
        <v>2250</v>
      </c>
      <c r="AA88" s="32">
        <f>Таблица2242[[#This Row],[Километраж по Украине, 
км]]/100*32*57+Таблица2242[[#This Row],[Зарплата водителя, грн]]</f>
        <v>6354</v>
      </c>
      <c r="AB88" s="227">
        <f>Таблица2242[[#This Row],[Доход, 
грн/рейс]]-Таблица2242[[#This Row],[СС 1-го рейса, 
грн/рейс]]</f>
        <v>7146</v>
      </c>
      <c r="AC88" s="228" t="e">
        <f>ROUNDDOWN(30/Таблица2242[[#This Row],[Плановое время в рейсе, 
сутки]],0)</f>
        <v>#DIV/0!</v>
      </c>
      <c r="AD88" s="229" t="e">
        <f>Таблица2242[[#This Row],[Доход, 
грн/рейс]]*Таблица2242[[#This Row],[Возможное количество рейсов в месяц]]</f>
        <v>#DIV/0!</v>
      </c>
      <c r="AE88" s="229" t="e">
        <f>Таблица2242[[#This Row],[Возможное количество рейсов в месяц]]*Таблица2242[[#This Row],[СС 1-го рейса, 
грн/рейс]]</f>
        <v>#DIV/0!</v>
      </c>
      <c r="AF88" s="229" t="e">
        <f>Таблица2242[[#This Row],[Доход в месяц, 
грн]]-Таблица2242[[#This Row],[Затраты на предполагаемые рейсы за месяц, 
грн]]</f>
        <v>#DIV/0!</v>
      </c>
      <c r="AG88" s="1" t="s">
        <v>154</v>
      </c>
      <c r="AH88" s="230"/>
    </row>
    <row r="89" spans="1:34" ht="13.2" x14ac:dyDescent="0.25">
      <c r="A89" s="195" t="s">
        <v>145</v>
      </c>
      <c r="B89" s="29" t="s">
        <v>34</v>
      </c>
      <c r="C89" s="218" t="s">
        <v>43</v>
      </c>
      <c r="D89" s="217"/>
      <c r="E89" s="217"/>
      <c r="F89" s="200">
        <v>45717</v>
      </c>
      <c r="G89" s="69">
        <v>45737.4375</v>
      </c>
      <c r="H89" s="69">
        <v>45738.625</v>
      </c>
      <c r="I89" s="217" t="s">
        <v>155</v>
      </c>
      <c r="J89" s="219"/>
      <c r="K89" s="220"/>
      <c r="L89" s="221"/>
      <c r="M89" s="221"/>
      <c r="N89" s="222"/>
      <c r="O89" s="223">
        <f>ROUNDUP(SUM(Таблица2242[[#This Row],[Плановое время в дороге, 
сутки]:[Плановое время простоя, 
сутки]]),0)</f>
        <v>0</v>
      </c>
      <c r="P89" s="65" t="s">
        <v>95</v>
      </c>
      <c r="Q89" s="64" t="s">
        <v>36</v>
      </c>
      <c r="R89" s="219">
        <v>1</v>
      </c>
      <c r="S89" s="224"/>
      <c r="T89" s="225">
        <v>8200</v>
      </c>
      <c r="U89" s="296">
        <v>419</v>
      </c>
      <c r="V89" s="296"/>
      <c r="W89" s="223">
        <v>419</v>
      </c>
      <c r="X89" s="226">
        <v>8200</v>
      </c>
      <c r="Y89" s="226">
        <f>Таблица2242[[#This Row],[Доход, 
грн/рейс]]/Таблица2242[[#This Row],[Общий километраж, 
км]]</f>
        <v>19.570405727923628</v>
      </c>
      <c r="Z89" s="32">
        <f>Таблица2242[[#This Row],[Километраж по Украине, 
км]]*10</f>
        <v>4190</v>
      </c>
      <c r="AA89" s="32">
        <f>Таблица2242[[#This Row],[Километраж по Украине, 
км]]/100*32*57+Таблица2242[[#This Row],[Зарплата водителя, грн]]</f>
        <v>11832.560000000001</v>
      </c>
      <c r="AB89" s="227">
        <f>Таблица2242[[#This Row],[Доход, 
грн/рейс]]-Таблица2242[[#This Row],[СС 1-го рейса, 
грн/рейс]]</f>
        <v>-3632.5600000000013</v>
      </c>
      <c r="AC89" s="228" t="e">
        <f>ROUNDDOWN(30/Таблица2242[[#This Row],[Плановое время в рейсе, 
сутки]],0)</f>
        <v>#DIV/0!</v>
      </c>
      <c r="AD89" s="229" t="e">
        <f>Таблица2242[[#This Row],[Доход, 
грн/рейс]]*Таблица2242[[#This Row],[Возможное количество рейсов в месяц]]</f>
        <v>#DIV/0!</v>
      </c>
      <c r="AE89" s="229" t="e">
        <f>Таблица2242[[#This Row],[Возможное количество рейсов в месяц]]*Таблица2242[[#This Row],[СС 1-го рейса, 
грн/рейс]]</f>
        <v>#DIV/0!</v>
      </c>
      <c r="AF89" s="229" t="e">
        <f>Таблица2242[[#This Row],[Доход в месяц, 
грн]]-Таблица2242[[#This Row],[Затраты на предполагаемые рейсы за месяц, 
грн]]</f>
        <v>#DIV/0!</v>
      </c>
      <c r="AG89" s="12" t="s">
        <v>156</v>
      </c>
      <c r="AH89" s="230"/>
    </row>
    <row r="90" spans="1:34" ht="13.2" x14ac:dyDescent="0.25">
      <c r="A90" s="13" t="s">
        <v>148</v>
      </c>
      <c r="B90" s="29" t="s">
        <v>34</v>
      </c>
      <c r="C90" s="176"/>
      <c r="D90" s="77"/>
      <c r="E90" s="77"/>
      <c r="F90" s="200">
        <v>45717</v>
      </c>
      <c r="G90" s="69">
        <v>45735.708333333336</v>
      </c>
      <c r="H90" s="69">
        <v>45745.583333333336</v>
      </c>
      <c r="I90" s="29" t="s">
        <v>157</v>
      </c>
      <c r="J90" s="82"/>
      <c r="K90" s="179"/>
      <c r="L90" s="180"/>
      <c r="M90" s="180"/>
      <c r="N90" s="85"/>
      <c r="O90" s="86">
        <f>ROUNDUP(SUM(Таблица2242[[#This Row],[Плановое время в дороге, 
сутки]:[Плановое время простоя, 
сутки]]),0)</f>
        <v>0</v>
      </c>
      <c r="P90" s="106" t="s">
        <v>52</v>
      </c>
      <c r="Q90" s="61" t="s">
        <v>35</v>
      </c>
      <c r="R90" s="82">
        <v>1</v>
      </c>
      <c r="S90" s="90"/>
      <c r="T90" s="181">
        <v>44000</v>
      </c>
      <c r="U90" s="192">
        <v>583</v>
      </c>
      <c r="V90" s="192"/>
      <c r="W90" s="86">
        <v>583</v>
      </c>
      <c r="X90" s="183">
        <v>44000</v>
      </c>
      <c r="Y90" s="226">
        <f>Таблица2242[[#This Row],[Доход, 
грн/рейс]]/Таблица2242[[#This Row],[Общий километраж, 
км]]</f>
        <v>75.471698113207552</v>
      </c>
      <c r="Z90" s="32">
        <f>Таблица2242[[#This Row],[Километраж по Украине, 
км]]*10</f>
        <v>5830</v>
      </c>
      <c r="AA90" s="32">
        <f>Таблица2242[[#This Row],[Километраж по Украине, 
км]]/100*32*57+Таблица2242[[#This Row],[Зарплата водителя, грн]]</f>
        <v>16463.919999999998</v>
      </c>
      <c r="AB90" s="227">
        <f>Таблица2242[[#This Row],[Доход, 
грн/рейс]]-Таблица2242[[#This Row],[СС 1-го рейса, 
грн/рейс]]</f>
        <v>27536.080000000002</v>
      </c>
      <c r="AC90" s="185" t="e">
        <f>ROUNDDOWN(30/Таблица2242[[#This Row],[Плановое время в рейсе, 
сутки]],0)</f>
        <v>#DIV/0!</v>
      </c>
      <c r="AD90" s="93" t="e">
        <f>Таблица2242[[#This Row],[Доход, 
грн/рейс]]*Таблица2242[[#This Row],[Возможное количество рейсов в месяц]]</f>
        <v>#DIV/0!</v>
      </c>
      <c r="AE90" s="93" t="e">
        <f>Таблица2242[[#This Row],[Возможное количество рейсов в месяц]]*Таблица2242[[#This Row],[СС 1-го рейса, 
грн/рейс]]</f>
        <v>#DIV/0!</v>
      </c>
      <c r="AF90" s="93" t="e">
        <f>Таблица2242[[#This Row],[Доход в месяц, 
грн]]-Таблица2242[[#This Row],[Затраты на предполагаемые рейсы за месяц, 
грн]]</f>
        <v>#DIV/0!</v>
      </c>
      <c r="AG90" s="1" t="s">
        <v>159</v>
      </c>
      <c r="AH90" s="186"/>
    </row>
    <row r="91" spans="1:34" ht="13.2" x14ac:dyDescent="0.25">
      <c r="A91" s="232" t="s">
        <v>148</v>
      </c>
      <c r="B91" s="29" t="s">
        <v>34</v>
      </c>
      <c r="C91" s="234"/>
      <c r="D91" s="233"/>
      <c r="E91" s="233"/>
      <c r="F91" s="200">
        <v>45717</v>
      </c>
      <c r="G91" s="69">
        <v>45738.625</v>
      </c>
      <c r="H91" s="69">
        <v>45745.583333333336</v>
      </c>
      <c r="I91" s="29" t="s">
        <v>157</v>
      </c>
      <c r="J91" s="235"/>
      <c r="K91" s="236"/>
      <c r="L91" s="237"/>
      <c r="M91" s="237"/>
      <c r="N91" s="238"/>
      <c r="O91" s="239">
        <f>ROUNDUP(SUM(Таблица2242[[#This Row],[Плановое время в дороге, 
сутки]:[Плановое время простоя, 
сутки]]),0)</f>
        <v>0</v>
      </c>
      <c r="P91" s="65" t="s">
        <v>95</v>
      </c>
      <c r="Q91" s="61" t="s">
        <v>35</v>
      </c>
      <c r="R91" s="235">
        <v>1</v>
      </c>
      <c r="S91" s="240"/>
      <c r="T91" s="241">
        <v>44000</v>
      </c>
      <c r="U91" s="297">
        <v>583</v>
      </c>
      <c r="V91" s="297"/>
      <c r="W91" s="239">
        <v>583</v>
      </c>
      <c r="X91" s="242">
        <f>Таблица2242[[#This Row],[Вес, т]]*Таблица2242[[#This Row],[Стоимость, 
грн/т]]</f>
        <v>44000</v>
      </c>
      <c r="Y91" s="242">
        <f>Таблица2242[[#This Row],[Доход, 
грн/рейс]]/Таблица2242[[#This Row],[Общий километраж, 
км]]</f>
        <v>75.471698113207552</v>
      </c>
      <c r="Z91" s="32">
        <f>Таблица2242[[#This Row],[Километраж по Украине, 
км]]*10</f>
        <v>5830</v>
      </c>
      <c r="AA91" s="32">
        <f>Таблица2242[[#This Row],[Километраж по Украине, 
км]]/100*32*57+Таблица2242[[#This Row],[Зарплата водителя, грн]]</f>
        <v>16463.919999999998</v>
      </c>
      <c r="AB91" s="227">
        <f>Таблица2242[[#This Row],[Доход, 
грн/рейс]]-Таблица2242[[#This Row],[СС 1-го рейса, 
грн/рейс]]</f>
        <v>27536.080000000002</v>
      </c>
      <c r="AC91" s="243" t="e">
        <f>ROUNDDOWN(30/Таблица2242[[#This Row],[Плановое время в рейсе, 
сутки]],0)</f>
        <v>#DIV/0!</v>
      </c>
      <c r="AD91" s="244" t="e">
        <f>Таблица2242[[#This Row],[Доход, 
грн/рейс]]*Таблица2242[[#This Row],[Возможное количество рейсов в месяц]]</f>
        <v>#DIV/0!</v>
      </c>
      <c r="AE91" s="244" t="e">
        <f>Таблица2242[[#This Row],[Возможное количество рейсов в месяц]]*Таблица2242[[#This Row],[СС 1-го рейса, 
грн/рейс]]</f>
        <v>#DIV/0!</v>
      </c>
      <c r="AF91" s="244" t="e">
        <f>Таблица2242[[#This Row],[Доход в месяц, 
грн]]-Таблица2242[[#This Row],[Затраты на предполагаемые рейсы за месяц, 
грн]]</f>
        <v>#DIV/0!</v>
      </c>
      <c r="AG91" s="1" t="s">
        <v>160</v>
      </c>
      <c r="AH91" s="245"/>
    </row>
    <row r="92" spans="1:34" ht="13.2" x14ac:dyDescent="0.25">
      <c r="A92" s="76"/>
      <c r="B92" s="77"/>
      <c r="C92" s="176"/>
      <c r="D92" s="77"/>
      <c r="E92" s="77"/>
      <c r="F92" s="177"/>
      <c r="G92" s="178"/>
      <c r="H92" s="178"/>
      <c r="I92" s="77"/>
      <c r="J92" s="82"/>
      <c r="K92" s="179"/>
      <c r="L92" s="180"/>
      <c r="M92" s="180"/>
      <c r="N92" s="85"/>
      <c r="O92" s="86">
        <f>ROUNDUP(SUM(Таблица2242[[#This Row],[Плановое время в дороге, 
сутки]:[Плановое время простоя, 
сутки]]),0)</f>
        <v>0</v>
      </c>
      <c r="P92" s="86"/>
      <c r="Q92" s="180"/>
      <c r="R92" s="82"/>
      <c r="S92" s="90"/>
      <c r="T92" s="181">
        <v>10000</v>
      </c>
      <c r="U92" s="192">
        <v>750</v>
      </c>
      <c r="V92" s="192"/>
      <c r="W92" s="86">
        <f>SUM(Таблица2242[[#This Row],[Километраж по Украине, 
км]:[Километраж по Европе,
км]])</f>
        <v>750</v>
      </c>
      <c r="X92" s="183">
        <v>10000</v>
      </c>
      <c r="Y92" s="183">
        <f>Таблица2242[[#This Row],[Доход, 
грн/рейс]]/Таблица2242[[#This Row],[Общий километраж, 
км]]</f>
        <v>13.333333333333334</v>
      </c>
      <c r="Z92" s="32">
        <f>Таблица2242[[#This Row],[Километраж по Украине, 
км]]*10</f>
        <v>7500</v>
      </c>
      <c r="AA92" s="32">
        <f>Таблица2242[[#This Row],[Километраж по Украине, 
км]]/100*32*57+Таблица2242[[#This Row],[Зарплата водителя, грн]]</f>
        <v>21180</v>
      </c>
      <c r="AB92" s="227">
        <f>Таблица2242[[#This Row],[Доход, 
грн/рейс]]-Таблица2242[[#This Row],[СС 1-го рейса, 
грн/рейс]]</f>
        <v>-11180</v>
      </c>
      <c r="AC92" s="185" t="e">
        <f>ROUNDDOWN(30/Таблица2242[[#This Row],[Плановое время в рейсе, 
сутки]],0)</f>
        <v>#DIV/0!</v>
      </c>
      <c r="AD92" s="93" t="e">
        <f>Таблица2242[[#This Row],[Доход, 
грн/рейс]]*Таблица2242[[#This Row],[Возможное количество рейсов в месяц]]</f>
        <v>#DIV/0!</v>
      </c>
      <c r="AE92" s="93" t="e">
        <f>Таблица2242[[#This Row],[Возможное количество рейсов в месяц]]*Таблица2242[[#This Row],[СС 1-го рейса, 
грн/рейс]]</f>
        <v>#DIV/0!</v>
      </c>
      <c r="AF92" s="93" t="e">
        <f>Таблица2242[[#This Row],[Доход в месяц, 
грн]]-Таблица2242[[#This Row],[Затраты на предполагаемые рейсы за месяц, 
грн]]</f>
        <v>#DIV/0!</v>
      </c>
      <c r="AG92" s="77"/>
      <c r="AH92" s="186"/>
    </row>
    <row r="93" spans="1:34" ht="26.4" x14ac:dyDescent="0.25">
      <c r="A93" s="295" t="s">
        <v>163</v>
      </c>
      <c r="B93" s="29" t="s">
        <v>34</v>
      </c>
      <c r="C93" s="234"/>
      <c r="D93" s="233"/>
      <c r="E93" s="233"/>
      <c r="F93" s="200">
        <v>45748</v>
      </c>
      <c r="G93" s="69">
        <v>45745.583333333336</v>
      </c>
      <c r="H93" s="69">
        <v>45748.791666666664</v>
      </c>
      <c r="I93" s="233" t="s">
        <v>158</v>
      </c>
      <c r="J93" s="235"/>
      <c r="K93" s="236"/>
      <c r="L93" s="237"/>
      <c r="M93" s="237"/>
      <c r="N93" s="238"/>
      <c r="O93" s="239">
        <f>ROUNDUP(SUM(Таблица2242[[#This Row],[Плановое время в дороге, 
сутки]:[Плановое время простоя, 
сутки]]),0)</f>
        <v>0</v>
      </c>
      <c r="P93" s="106" t="s">
        <v>52</v>
      </c>
      <c r="Q93" s="64" t="s">
        <v>36</v>
      </c>
      <c r="R93" s="235">
        <v>1</v>
      </c>
      <c r="S93" s="240"/>
      <c r="T93" s="241">
        <v>15000</v>
      </c>
      <c r="U93" s="301">
        <v>811</v>
      </c>
      <c r="V93" s="301"/>
      <c r="W93" s="239">
        <v>800</v>
      </c>
      <c r="X93" s="242">
        <v>15000</v>
      </c>
      <c r="Y93" s="242">
        <f>Таблица2242[[#This Row],[Доход, 
грн/рейс]]/Таблица2242[[#This Row],[Общий километраж, 
км]]</f>
        <v>18.75</v>
      </c>
      <c r="Z93" s="32">
        <f>Таблица2242[[#This Row],[Километраж по Украине, 
км]]*10</f>
        <v>8110</v>
      </c>
      <c r="AA93" s="32">
        <f>Таблица2242[[#This Row],[Километраж по Украине, 
км]]/100*32*57+Таблица2242[[#This Row],[Зарплата водителя, грн]]</f>
        <v>22902.639999999999</v>
      </c>
      <c r="AB93" s="260">
        <f>Таблица2242[[#This Row],[Доход, 
грн/рейс]]-Таблица2242[[#This Row],[СС 1-го рейса, 
грн/рейс]]</f>
        <v>-7902.6399999999994</v>
      </c>
      <c r="AC93" s="243" t="e">
        <f>ROUNDDOWN(30/Таблица2242[[#This Row],[Плановое время в рейсе, 
сутки]],0)</f>
        <v>#DIV/0!</v>
      </c>
      <c r="AD93" s="244" t="e">
        <f>Таблица2242[[#This Row],[Доход, 
грн/рейс]]*Таблица2242[[#This Row],[Возможное количество рейсов в месяц]]</f>
        <v>#DIV/0!</v>
      </c>
      <c r="AE93" s="244" t="e">
        <f>Таблица2242[[#This Row],[Возможное количество рейсов в месяц]]*Таблица2242[[#This Row],[СС 1-го рейса, 
грн/рейс]]</f>
        <v>#DIV/0!</v>
      </c>
      <c r="AF93" s="244" t="e">
        <f>Таблица2242[[#This Row],[Доход в месяц, 
грн]]-Таблица2242[[#This Row],[Затраты на предполагаемые рейсы за месяц, 
грн]]</f>
        <v>#DIV/0!</v>
      </c>
      <c r="AG93" s="233"/>
      <c r="AH93" s="245"/>
    </row>
    <row r="94" spans="1:34" ht="26.4" x14ac:dyDescent="0.25">
      <c r="A94" s="295" t="s">
        <v>163</v>
      </c>
      <c r="B94" s="29" t="s">
        <v>34</v>
      </c>
      <c r="C94" s="247"/>
      <c r="D94" s="246"/>
      <c r="E94" s="246"/>
      <c r="F94" s="200">
        <v>45748</v>
      </c>
      <c r="G94" s="69">
        <v>45745.583333333336</v>
      </c>
      <c r="H94" s="69">
        <v>45748.791666666664</v>
      </c>
      <c r="I94" s="233" t="s">
        <v>158</v>
      </c>
      <c r="J94" s="248"/>
      <c r="K94" s="249"/>
      <c r="L94" s="250"/>
      <c r="M94" s="250"/>
      <c r="N94" s="251"/>
      <c r="O94" s="252">
        <f>ROUNDUP(SUM(Таблица2242[[#This Row],[Плановое время в дороге, 
сутки]:[Плановое время простоя, 
сутки]]),0)</f>
        <v>0</v>
      </c>
      <c r="P94" s="65" t="s">
        <v>95</v>
      </c>
      <c r="Q94" s="64" t="s">
        <v>36</v>
      </c>
      <c r="R94" s="248">
        <v>1</v>
      </c>
      <c r="S94" s="253"/>
      <c r="T94" s="254">
        <v>15000</v>
      </c>
      <c r="U94" s="298">
        <v>811</v>
      </c>
      <c r="V94" s="298"/>
      <c r="W94" s="252">
        <f>SUM(Таблица2242[[#This Row],[Километраж по Украине, 
км]:[Километраж по Европе,
км]])</f>
        <v>811</v>
      </c>
      <c r="X94" s="255">
        <f>Таблица2242[[#This Row],[Вес, т]]*Таблица2242[[#This Row],[Стоимость, 
грн/т]]</f>
        <v>15000</v>
      </c>
      <c r="Y94" s="255">
        <f>Таблица2242[[#This Row],[Доход, 
грн/рейс]]/Таблица2242[[#This Row],[Общий километраж, 
км]]</f>
        <v>18.49568434032059</v>
      </c>
      <c r="Z94" s="32">
        <f>Таблица2242[[#This Row],[Километраж по Украине, 
км]]*10</f>
        <v>8110</v>
      </c>
      <c r="AA94" s="32">
        <f>Таблица2242[[#This Row],[Километраж по Украине, 
км]]/100*32*57+Таблица2242[[#This Row],[Зарплата водителя, грн]]</f>
        <v>22902.639999999999</v>
      </c>
      <c r="AB94" s="256">
        <f>Таблица2242[[#This Row],[Доход, 
грн/рейс]]-Таблица2242[[#This Row],[СС 1-го рейса, 
грн/рейс]]</f>
        <v>-7902.6399999999994</v>
      </c>
      <c r="AC94" s="257" t="e">
        <f>ROUNDDOWN(30/Таблица2242[[#This Row],[Плановое время в рейсе, 
сутки]],0)</f>
        <v>#DIV/0!</v>
      </c>
      <c r="AD94" s="258" t="e">
        <f>Таблица2242[[#This Row],[Доход, 
грн/рейс]]*Таблица2242[[#This Row],[Возможное количество рейсов в месяц]]</f>
        <v>#DIV/0!</v>
      </c>
      <c r="AE94" s="258" t="e">
        <f>Таблица2242[[#This Row],[Возможное количество рейсов в месяц]]*Таблица2242[[#This Row],[СС 1-го рейса, 
грн/рейс]]</f>
        <v>#DIV/0!</v>
      </c>
      <c r="AF94" s="258" t="e">
        <f>Таблица2242[[#This Row],[Доход в месяц, 
грн]]-Таблица2242[[#This Row],[Затраты на предполагаемые рейсы за месяц, 
грн]]</f>
        <v>#DIV/0!</v>
      </c>
      <c r="AG94" s="246"/>
      <c r="AH94" s="259"/>
    </row>
    <row r="95" spans="1:34" ht="13.2" x14ac:dyDescent="0.25">
      <c r="A95" s="13" t="s">
        <v>148</v>
      </c>
      <c r="B95" s="29" t="s">
        <v>34</v>
      </c>
      <c r="C95" s="262"/>
      <c r="D95" s="261"/>
      <c r="E95" s="261"/>
      <c r="F95" s="200">
        <v>45748</v>
      </c>
      <c r="G95" s="263">
        <v>45748.791666666664</v>
      </c>
      <c r="H95" s="263">
        <v>45750.416666666664</v>
      </c>
      <c r="I95" s="29" t="s">
        <v>157</v>
      </c>
      <c r="J95" s="264"/>
      <c r="K95" s="265"/>
      <c r="L95" s="266"/>
      <c r="M95" s="266"/>
      <c r="N95" s="267"/>
      <c r="O95" s="268">
        <f>ROUNDUP(SUM(Таблица2242[[#This Row],[Плановое время в дороге, 
сутки]:[Плановое время простоя, 
сутки]]),0)</f>
        <v>0</v>
      </c>
      <c r="P95" s="106" t="s">
        <v>52</v>
      </c>
      <c r="Q95" s="61" t="s">
        <v>35</v>
      </c>
      <c r="R95" s="264">
        <v>1</v>
      </c>
      <c r="S95" s="269"/>
      <c r="T95" s="241">
        <v>44000</v>
      </c>
      <c r="U95" s="301">
        <v>573</v>
      </c>
      <c r="V95" s="302"/>
      <c r="W95" s="268">
        <f>SUM(Таблица2242[[#This Row],[Километраж по Украине, 
км]:[Километраж по Европе,
км]])</f>
        <v>573</v>
      </c>
      <c r="X95" s="271">
        <f>Таблица2242[[#This Row],[Вес, т]]*Таблица2242[[#This Row],[Стоимость, 
грн/т]]</f>
        <v>44000</v>
      </c>
      <c r="Y95" s="271">
        <f>Таблица2242[[#This Row],[Доход, 
грн/рейс]]/Таблица2242[[#This Row],[Общий километраж, 
км]]</f>
        <v>76.788830715532285</v>
      </c>
      <c r="Z95" s="32">
        <f>Таблица2242[[#This Row],[Километраж по Украине, 
км]]*10</f>
        <v>5730</v>
      </c>
      <c r="AA95" s="32">
        <f>Таблица2242[[#This Row],[Километраж по Украине, 
км]]/100*32*57+Таблица2242[[#This Row],[Зарплата водителя, грн]]</f>
        <v>16181.52</v>
      </c>
      <c r="AB95" s="272">
        <f>Таблица2242[[#This Row],[Доход, 
грн/рейс]]-Таблица2242[[#This Row],[СС 1-го рейса, 
грн/рейс]]</f>
        <v>27818.48</v>
      </c>
      <c r="AC95" s="273" t="e">
        <f>ROUNDDOWN(30/Таблица2242[[#This Row],[Плановое время в рейсе, 
сутки]],0)</f>
        <v>#DIV/0!</v>
      </c>
      <c r="AD95" s="270" t="e">
        <f>Таблица2242[[#This Row],[Доход, 
грн/рейс]]*Таблица2242[[#This Row],[Возможное количество рейсов в месяц]]</f>
        <v>#DIV/0!</v>
      </c>
      <c r="AE95" s="270" t="e">
        <f>Таблица2242[[#This Row],[Возможное количество рейсов в месяц]]*Таблица2242[[#This Row],[СС 1-го рейса, 
грн/рейс]]</f>
        <v>#DIV/0!</v>
      </c>
      <c r="AF95" s="270" t="e">
        <f>Таблица2242[[#This Row],[Доход в месяц, 
грн]]-Таблица2242[[#This Row],[Затраты на предполагаемые рейсы за месяц, 
грн]]</f>
        <v>#DIV/0!</v>
      </c>
      <c r="AG95" s="1" t="s">
        <v>154</v>
      </c>
      <c r="AH95" s="274"/>
    </row>
    <row r="96" spans="1:34" ht="13.2" x14ac:dyDescent="0.25">
      <c r="A96" s="232" t="s">
        <v>148</v>
      </c>
      <c r="B96" s="29" t="s">
        <v>34</v>
      </c>
      <c r="C96" s="276"/>
      <c r="D96" s="275"/>
      <c r="E96" s="275"/>
      <c r="F96" s="200">
        <v>45748</v>
      </c>
      <c r="G96" s="277">
        <v>45748.791666666664</v>
      </c>
      <c r="H96" s="263">
        <v>45750.416666666664</v>
      </c>
      <c r="I96" s="29" t="s">
        <v>157</v>
      </c>
      <c r="J96" s="279"/>
      <c r="K96" s="280"/>
      <c r="L96" s="281"/>
      <c r="M96" s="281"/>
      <c r="N96" s="282"/>
      <c r="O96" s="283">
        <f>ROUNDUP(SUM(Таблица2242[[#This Row],[Плановое время в дороге, 
сутки]:[Плановое время простоя, 
сутки]]),0)</f>
        <v>0</v>
      </c>
      <c r="P96" s="65" t="s">
        <v>95</v>
      </c>
      <c r="Q96" s="61" t="s">
        <v>35</v>
      </c>
      <c r="R96" s="279">
        <v>1</v>
      </c>
      <c r="S96" s="284"/>
      <c r="T96" s="241">
        <v>44000</v>
      </c>
      <c r="U96" s="297">
        <v>573</v>
      </c>
      <c r="V96" s="299"/>
      <c r="W96" s="283">
        <f>SUM(Таблица2242[[#This Row],[Километраж по Украине, 
км]:[Километраж по Европе,
км]])</f>
        <v>573</v>
      </c>
      <c r="X96" s="286">
        <f>Таблица2242[[#This Row],[Вес, т]]*Таблица2242[[#This Row],[Стоимость, 
грн/т]]</f>
        <v>44000</v>
      </c>
      <c r="Y96" s="286">
        <f>Таблица2242[[#This Row],[Доход, 
грн/рейс]]/Таблица2242[[#This Row],[Общий километраж, 
км]]</f>
        <v>76.788830715532285</v>
      </c>
      <c r="Z96" s="32">
        <f>Таблица2242[[#This Row],[Километраж по Украине, 
км]]*10</f>
        <v>5730</v>
      </c>
      <c r="AA96" s="32">
        <f>Таблица2242[[#This Row],[Километраж по Украине, 
км]]/100*32*57+Таблица2242[[#This Row],[Зарплата водителя, грн]]</f>
        <v>16181.52</v>
      </c>
      <c r="AB96" s="287">
        <f>Таблица2242[[#This Row],[Доход, 
грн/рейс]]-Таблица2242[[#This Row],[СС 1-го рейса, 
грн/рейс]]</f>
        <v>27818.48</v>
      </c>
      <c r="AC96" s="288" t="e">
        <f>ROUNDDOWN(30/Таблица2242[[#This Row],[Плановое время в рейсе, 
сутки]],0)</f>
        <v>#DIV/0!</v>
      </c>
      <c r="AD96" s="289" t="e">
        <f>Таблица2242[[#This Row],[Доход, 
грн/рейс]]*Таблица2242[[#This Row],[Возможное количество рейсов в месяц]]</f>
        <v>#DIV/0!</v>
      </c>
      <c r="AE96" s="289" t="e">
        <f>Таблица2242[[#This Row],[Возможное количество рейсов в месяц]]*Таблица2242[[#This Row],[СС 1-го рейса, 
грн/рейс]]</f>
        <v>#DIV/0!</v>
      </c>
      <c r="AF96" s="289" t="e">
        <f>Таблица2242[[#This Row],[Доход в месяц, 
грн]]-Таблица2242[[#This Row],[Затраты на предполагаемые рейсы за месяц, 
грн]]</f>
        <v>#DIV/0!</v>
      </c>
      <c r="AG96" s="1" t="s">
        <v>161</v>
      </c>
      <c r="AH96" s="290"/>
    </row>
    <row r="97" spans="1:34" ht="13.2" x14ac:dyDescent="0.25">
      <c r="A97" s="292"/>
      <c r="B97" s="275"/>
      <c r="C97" s="276"/>
      <c r="D97" s="275"/>
      <c r="E97" s="275"/>
      <c r="F97" s="200">
        <v>45748</v>
      </c>
      <c r="G97" s="278"/>
      <c r="H97" s="278"/>
      <c r="I97" s="275"/>
      <c r="J97" s="279"/>
      <c r="K97" s="280"/>
      <c r="L97" s="281"/>
      <c r="M97" s="281"/>
      <c r="N97" s="282"/>
      <c r="O97" s="283">
        <f>ROUNDUP(SUM(Таблица2242[[#This Row],[Плановое время в дороге, 
сутки]:[Плановое время простоя, 
сутки]]),0)</f>
        <v>0</v>
      </c>
      <c r="P97" s="283"/>
      <c r="Q97" s="281"/>
      <c r="R97" s="279"/>
      <c r="S97" s="284"/>
      <c r="T97" s="294">
        <v>8800</v>
      </c>
      <c r="U97" s="299">
        <v>750</v>
      </c>
      <c r="V97" s="299"/>
      <c r="W97" s="283">
        <f>SUM(Таблица2242[[#This Row],[Километраж по Украине, 
км]:[Километраж по Европе,
км]])</f>
        <v>750</v>
      </c>
      <c r="X97" s="286">
        <v>8800</v>
      </c>
      <c r="Y97" s="286">
        <f>Таблица2242[[#This Row],[Доход, 
грн/рейс]]/Таблица2242[[#This Row],[Общий километраж, 
км]]</f>
        <v>11.733333333333333</v>
      </c>
      <c r="Z97" s="32">
        <f>Таблица2242[[#This Row],[Километраж по Украине, 
км]]*10</f>
        <v>7500</v>
      </c>
      <c r="AA97" s="32">
        <f>Таблица2242[[#This Row],[Километраж по Украине, 
км]]/100*32*57+Таблица2242[[#This Row],[Зарплата водителя, грн]]</f>
        <v>21180</v>
      </c>
      <c r="AB97" s="287">
        <f>Таблица2242[[#This Row],[Доход, 
грн/рейс]]-Таблица2242[[#This Row],[СС 1-го рейса, 
грн/рейс]]</f>
        <v>-12380</v>
      </c>
      <c r="AC97" s="288" t="e">
        <f>ROUNDDOWN(30/Таблица2242[[#This Row],[Плановое время в рейсе, 
сутки]],0)</f>
        <v>#DIV/0!</v>
      </c>
      <c r="AD97" s="289" t="e">
        <f>Таблица2242[[#This Row],[Доход, 
грн/рейс]]*Таблица2242[[#This Row],[Возможное количество рейсов в месяц]]</f>
        <v>#DIV/0!</v>
      </c>
      <c r="AE97" s="289" t="e">
        <f>Таблица2242[[#This Row],[Возможное количество рейсов в месяц]]*Таблица2242[[#This Row],[СС 1-го рейса, 
грн/рейс]]</f>
        <v>#DIV/0!</v>
      </c>
      <c r="AF97" s="289" t="e">
        <f>Таблица2242[[#This Row],[Доход в месяц, 
грн]]-Таблица2242[[#This Row],[Затраты на предполагаемые рейсы за месяц, 
грн]]</f>
        <v>#DIV/0!</v>
      </c>
      <c r="AG97" s="275"/>
      <c r="AH97" s="290"/>
    </row>
    <row r="98" spans="1:34" ht="13.2" x14ac:dyDescent="0.25">
      <c r="A98" s="292"/>
      <c r="B98" s="275"/>
      <c r="C98" s="276"/>
      <c r="D98" s="275"/>
      <c r="E98" s="275"/>
      <c r="F98" s="200">
        <v>45748</v>
      </c>
      <c r="G98" s="278"/>
      <c r="H98" s="278"/>
      <c r="I98" s="275"/>
      <c r="J98" s="279"/>
      <c r="K98" s="280"/>
      <c r="L98" s="281"/>
      <c r="M98" s="281"/>
      <c r="N98" s="282"/>
      <c r="O98" s="283">
        <f>ROUNDUP(SUM(Таблица2242[[#This Row],[Плановое время в дороге, 
сутки]:[Плановое время простоя, 
сутки]]),0)</f>
        <v>0</v>
      </c>
      <c r="P98" s="283"/>
      <c r="Q98" s="281"/>
      <c r="R98" s="279"/>
      <c r="S98" s="284"/>
      <c r="T98" s="294">
        <v>8800</v>
      </c>
      <c r="U98" s="285">
        <v>750</v>
      </c>
      <c r="V98" s="285"/>
      <c r="W98" s="283">
        <f>SUM(Таблица2242[[#This Row],[Километраж по Украине, 
км]:[Километраж по Европе,
км]])</f>
        <v>750</v>
      </c>
      <c r="X98" s="286">
        <v>8800</v>
      </c>
      <c r="Y98" s="286">
        <f>Таблица2242[[#This Row],[Доход, 
грн/рейс]]/Таблица2242[[#This Row],[Общий километраж, 
км]]</f>
        <v>11.733333333333333</v>
      </c>
      <c r="Z98" s="32">
        <f>Таблица2242[[#This Row],[Километраж по Украине, 
км]]*10</f>
        <v>7500</v>
      </c>
      <c r="AA98" s="32">
        <f>Таблица2242[[#This Row],[Километраж по Украине, 
км]]/100*32*57+Таблица2242[[#This Row],[Зарплата водителя, грн]]</f>
        <v>21180</v>
      </c>
      <c r="AB98" s="287">
        <f>Таблица2242[[#This Row],[Доход, 
грн/рейс]]-Таблица2242[[#This Row],[СС 1-го рейса, 
грн/рейс]]</f>
        <v>-12380</v>
      </c>
      <c r="AC98" s="288" t="e">
        <f>ROUNDDOWN(30/Таблица2242[[#This Row],[Плановое время в рейсе, 
сутки]],0)</f>
        <v>#DIV/0!</v>
      </c>
      <c r="AD98" s="289" t="e">
        <f>Таблица2242[[#This Row],[Доход, 
грн/рейс]]*Таблица2242[[#This Row],[Возможное количество рейсов в месяц]]</f>
        <v>#DIV/0!</v>
      </c>
      <c r="AE98" s="289" t="e">
        <f>Таблица2242[[#This Row],[Возможное количество рейсов в месяц]]*Таблица2242[[#This Row],[СС 1-го рейса, 
грн/рейс]]</f>
        <v>#DIV/0!</v>
      </c>
      <c r="AF98" s="289" t="e">
        <f>Таблица2242[[#This Row],[Доход в месяц, 
грн]]-Таблица2242[[#This Row],[Затраты на предполагаемые рейсы за месяц, 
грн]]</f>
        <v>#DIV/0!</v>
      </c>
      <c r="AG98" s="275"/>
      <c r="AH98" s="290"/>
    </row>
    <row r="99" spans="1:34" ht="13.2" x14ac:dyDescent="0.25">
      <c r="A99" s="292"/>
      <c r="B99" s="275"/>
      <c r="C99" s="276"/>
      <c r="D99" s="275"/>
      <c r="E99" s="275"/>
      <c r="F99" s="293"/>
      <c r="G99" s="278"/>
      <c r="H99" s="278"/>
      <c r="I99" s="275"/>
      <c r="J99" s="279"/>
      <c r="K99" s="280"/>
      <c r="L99" s="281"/>
      <c r="M99" s="281"/>
      <c r="N99" s="282"/>
      <c r="O99" s="283">
        <f>ROUNDUP(SUM(Таблица2242[[#This Row],[Плановое время в дороге, 
сутки]:[Плановое время простоя, 
сутки]]),0)</f>
        <v>0</v>
      </c>
      <c r="P99" s="283"/>
      <c r="Q99" s="281"/>
      <c r="R99" s="279"/>
      <c r="S99" s="284"/>
      <c r="T99" s="294">
        <v>14000</v>
      </c>
      <c r="U99" s="299">
        <v>870</v>
      </c>
      <c r="V99" s="299"/>
      <c r="W99" s="283">
        <v>870</v>
      </c>
      <c r="X99" s="286">
        <v>14000</v>
      </c>
      <c r="Y99" s="286">
        <f>Таблица2242[[#This Row],[Доход, 
грн/рейс]]/Таблица2242[[#This Row],[Общий километраж, 
км]]</f>
        <v>16.091954022988507</v>
      </c>
      <c r="Z99" s="32">
        <f>Таблица2242[[#This Row],[Километраж по Украине, 
км]]*10</f>
        <v>8700</v>
      </c>
      <c r="AA99" s="32">
        <f>Таблица2242[[#This Row],[Километраж по Украине, 
км]]/100*32*57+Таблица2242[[#This Row],[Зарплата водителя, грн]]</f>
        <v>24568.799999999999</v>
      </c>
      <c r="AB99" s="287">
        <f>Таблица2242[[#This Row],[Доход, 
грн/рейс]]-Таблица2242[[#This Row],[СС 1-го рейса, 
грн/рейс]]</f>
        <v>-10568.8</v>
      </c>
      <c r="AC99" s="288" t="e">
        <f>ROUNDDOWN(30/Таблица2242[[#This Row],[Плановое время в рейсе, 
сутки]],0)</f>
        <v>#DIV/0!</v>
      </c>
      <c r="AD99" s="289" t="e">
        <f>Таблица2242[[#This Row],[Доход, 
грн/рейс]]*Таблица2242[[#This Row],[Возможное количество рейсов в месяц]]</f>
        <v>#DIV/0!</v>
      </c>
      <c r="AE99" s="289" t="e">
        <f>Таблица2242[[#This Row],[Возможное количество рейсов в месяц]]*Таблица2242[[#This Row],[СС 1-го рейса, 
грн/рейс]]</f>
        <v>#DIV/0!</v>
      </c>
      <c r="AF99" s="289" t="e">
        <f>Таблица2242[[#This Row],[Доход в месяц, 
грн]]-Таблица2242[[#This Row],[Затраты на предполагаемые рейсы за месяц, 
грн]]</f>
        <v>#DIV/0!</v>
      </c>
      <c r="AG99" s="275"/>
      <c r="AH99" s="290"/>
    </row>
    <row r="100" spans="1:34" ht="13.2" x14ac:dyDescent="0.25">
      <c r="A100" s="193" t="s">
        <v>164</v>
      </c>
      <c r="B100" s="29" t="s">
        <v>34</v>
      </c>
      <c r="C100" s="276" t="s">
        <v>43</v>
      </c>
      <c r="D100" s="275"/>
      <c r="E100" s="275"/>
      <c r="F100" s="200">
        <v>45748</v>
      </c>
      <c r="G100" s="263">
        <v>45750.416666666664</v>
      </c>
      <c r="H100" s="263">
        <v>45751.854166666664</v>
      </c>
      <c r="I100" s="275" t="s">
        <v>162</v>
      </c>
      <c r="J100" s="279"/>
      <c r="K100" s="280"/>
      <c r="L100" s="281"/>
      <c r="M100" s="281"/>
      <c r="N100" s="282"/>
      <c r="O100" s="283">
        <f>ROUNDUP(SUM(Таблица2242[[#This Row],[Плановое время в дороге, 
сутки]:[Плановое время простоя, 
сутки]]),0)</f>
        <v>0</v>
      </c>
      <c r="P100" s="106" t="s">
        <v>52</v>
      </c>
      <c r="Q100" s="64" t="s">
        <v>36</v>
      </c>
      <c r="R100" s="279">
        <v>1</v>
      </c>
      <c r="S100" s="284"/>
      <c r="T100" s="294">
        <v>8800</v>
      </c>
      <c r="U100" s="303">
        <v>783</v>
      </c>
      <c r="V100" s="303"/>
      <c r="W100" s="283">
        <v>783</v>
      </c>
      <c r="X100" s="286">
        <f>Таблица2242[[#This Row],[Вес, т]]*Таблица2242[[#This Row],[Стоимость, 
грн/т]]</f>
        <v>8800</v>
      </c>
      <c r="Y100" s="286">
        <f>Таблица2242[[#This Row],[Доход, 
грн/рейс]]/Таблица2242[[#This Row],[Общий километраж, 
км]]</f>
        <v>11.23882503192848</v>
      </c>
      <c r="Z100" s="32">
        <f>Таблица2242[[#This Row],[Километраж по Украине, 
км]]*10</f>
        <v>7830</v>
      </c>
      <c r="AA100" s="32">
        <f>Таблица2242[[#This Row],[Километраж по Украине, 
км]]/100*32*57+Таблица2242[[#This Row],[Зарплата водителя, грн]]</f>
        <v>22111.919999999998</v>
      </c>
      <c r="AB100" s="287">
        <f>Таблица2242[[#This Row],[Доход, 
грн/рейс]]-Таблица2242[[#This Row],[СС 1-го рейса, 
грн/рейс]]</f>
        <v>-13311.919999999998</v>
      </c>
      <c r="AC100" s="288" t="e">
        <f>ROUNDDOWN(30/Таблица2242[[#This Row],[Плановое время в рейсе, 
сутки]],0)</f>
        <v>#DIV/0!</v>
      </c>
      <c r="AD100" s="289" t="e">
        <f>Таблица2242[[#This Row],[Доход, 
грн/рейс]]*Таблица2242[[#This Row],[Возможное количество рейсов в месяц]]</f>
        <v>#DIV/0!</v>
      </c>
      <c r="AE100" s="289" t="e">
        <f>Таблица2242[[#This Row],[Возможное количество рейсов в месяц]]*Таблица2242[[#This Row],[СС 1-го рейса, 
грн/рейс]]</f>
        <v>#DIV/0!</v>
      </c>
      <c r="AF100" s="289" t="e">
        <f>Таблица2242[[#This Row],[Доход в месяц, 
грн]]-Таблица2242[[#This Row],[Затраты на предполагаемые рейсы за месяц, 
грн]]</f>
        <v>#DIV/0!</v>
      </c>
      <c r="AG100" s="275" t="s">
        <v>165</v>
      </c>
      <c r="AH100" s="290"/>
    </row>
    <row r="101" spans="1:34" ht="13.2" x14ac:dyDescent="0.25">
      <c r="A101" s="193" t="s">
        <v>164</v>
      </c>
      <c r="B101" s="29" t="s">
        <v>34</v>
      </c>
      <c r="C101" s="262" t="s">
        <v>43</v>
      </c>
      <c r="D101" s="261"/>
      <c r="E101" s="261"/>
      <c r="F101" s="200">
        <v>45748</v>
      </c>
      <c r="G101" s="263">
        <v>45750.416666666664</v>
      </c>
      <c r="H101" s="263">
        <v>45751.854166666664</v>
      </c>
      <c r="I101" s="275" t="s">
        <v>162</v>
      </c>
      <c r="J101" s="264"/>
      <c r="K101" s="265"/>
      <c r="L101" s="266"/>
      <c r="M101" s="266"/>
      <c r="N101" s="267"/>
      <c r="O101" s="268">
        <f>ROUNDUP(SUM(Таблица2242[[#This Row],[Плановое время в дороге, 
сутки]:[Плановое время простоя, 
сутки]]),0)</f>
        <v>0</v>
      </c>
      <c r="P101" s="65" t="s">
        <v>95</v>
      </c>
      <c r="Q101" s="64" t="s">
        <v>36</v>
      </c>
      <c r="R101" s="279">
        <v>1</v>
      </c>
      <c r="S101" s="269"/>
      <c r="T101" s="291">
        <v>8800</v>
      </c>
      <c r="U101" s="300">
        <v>785</v>
      </c>
      <c r="V101" s="300"/>
      <c r="W101" s="268">
        <f>SUM(Таблица2242[[#This Row],[Километраж по Украине, 
км]:[Километраж по Европе,
км]])</f>
        <v>785</v>
      </c>
      <c r="X101" s="271">
        <f>Таблица2242[[#This Row],[Вес, т]]*Таблица2242[[#This Row],[Стоимость, 
грн/т]]</f>
        <v>8800</v>
      </c>
      <c r="Y101" s="271">
        <f>Таблица2242[[#This Row],[Доход, 
грн/рейс]]/Таблица2242[[#This Row],[Общий километраж, 
км]]</f>
        <v>11.210191082802547</v>
      </c>
      <c r="Z101" s="32">
        <f>Таблица2242[[#This Row],[Километраж по Украине, 
км]]*10</f>
        <v>7850</v>
      </c>
      <c r="AA101" s="32">
        <f>Таблица2242[[#This Row],[Километраж по Украине, 
км]]/100*32*57+Таблица2242[[#This Row],[Зарплата водителя, грн]]</f>
        <v>22168.400000000001</v>
      </c>
      <c r="AB101" s="272">
        <f>Таблица2242[[#This Row],[Доход, 
грн/рейс]]-Таблица2242[[#This Row],[СС 1-го рейса, 
грн/рейс]]</f>
        <v>-13368.400000000001</v>
      </c>
      <c r="AC101" s="273" t="e">
        <f>ROUNDDOWN(30/Таблица2242[[#This Row],[Плановое время в рейсе, 
сутки]],0)</f>
        <v>#DIV/0!</v>
      </c>
      <c r="AD101" s="270" t="e">
        <f>Таблица2242[[#This Row],[Доход, 
грн/рейс]]*Таблица2242[[#This Row],[Возможное количество рейсов в месяц]]</f>
        <v>#DIV/0!</v>
      </c>
      <c r="AE101" s="270" t="e">
        <f>Таблица2242[[#This Row],[Возможное количество рейсов в месяц]]*Таблица2242[[#This Row],[СС 1-го рейса, 
грн/рейс]]</f>
        <v>#DIV/0!</v>
      </c>
      <c r="AF101" s="270" t="e">
        <f>Таблица2242[[#This Row],[Доход в месяц, 
грн]]-Таблица2242[[#This Row],[Затраты на предполагаемые рейсы за месяц, 
грн]]</f>
        <v>#DIV/0!</v>
      </c>
      <c r="AG101" s="275" t="s">
        <v>166</v>
      </c>
      <c r="AH101" s="274"/>
    </row>
    <row r="102" spans="1:34" ht="13.2" x14ac:dyDescent="0.25">
      <c r="A102" s="319" t="s">
        <v>167</v>
      </c>
      <c r="B102" s="81"/>
      <c r="C102" s="276"/>
      <c r="D102" s="275"/>
      <c r="E102" s="275"/>
      <c r="F102" s="200">
        <v>45748</v>
      </c>
      <c r="G102" s="263">
        <v>45751.854166666664</v>
      </c>
      <c r="H102" s="263">
        <v>45754.714583333334</v>
      </c>
      <c r="I102" s="81" t="s">
        <v>168</v>
      </c>
      <c r="J102" s="279"/>
      <c r="K102" s="280"/>
      <c r="L102" s="281"/>
      <c r="M102" s="281"/>
      <c r="N102" s="282"/>
      <c r="O102" s="283">
        <f>ROUNDUP(SUM(Таблица2242[[#This Row],[Плановое время в дороге, 
сутки]:[Плановое время простоя, 
сутки]]),0)</f>
        <v>0</v>
      </c>
      <c r="P102" s="106" t="s">
        <v>52</v>
      </c>
      <c r="Q102" s="88" t="s">
        <v>169</v>
      </c>
      <c r="R102" s="279"/>
      <c r="S102" s="284"/>
      <c r="T102" s="294">
        <f>Таблица2242[[#This Row],[Стоимость, 
EUR/т]]*$J$2</f>
        <v>0</v>
      </c>
      <c r="U102" s="303">
        <v>96</v>
      </c>
      <c r="V102" s="303"/>
      <c r="W102" s="283">
        <f>SUM(Таблица2242[[#This Row],[Километраж по Украине, 
км]:[Километраж по Европе,
км]])</f>
        <v>96</v>
      </c>
      <c r="X102" s="286">
        <f>Таблица2242[[#This Row],[Вес, т]]*Таблица2242[[#This Row],[Стоимость, 
грн/т]]</f>
        <v>0</v>
      </c>
      <c r="Y102" s="286">
        <f>Таблица2242[[#This Row],[Доход, 
грн/рейс]]/Таблица2242[[#This Row],[Общий километраж, 
км]]</f>
        <v>0</v>
      </c>
      <c r="Z102" s="32"/>
      <c r="AA102" s="32"/>
      <c r="AB102" s="287">
        <f>Таблица2242[[#This Row],[Доход, 
грн/рейс]]-Таблица2242[[#This Row],[СС 1-го рейса, 
грн/рейс]]</f>
        <v>0</v>
      </c>
      <c r="AC102" s="288" t="e">
        <f>ROUNDDOWN(30/Таблица2242[[#This Row],[Плановое время в рейсе, 
сутки]],0)</f>
        <v>#DIV/0!</v>
      </c>
      <c r="AD102" s="289" t="e">
        <f>Таблица2242[[#This Row],[Доход, 
грн/рейс]]*Таблица2242[[#This Row],[Возможное количество рейсов в месяц]]</f>
        <v>#DIV/0!</v>
      </c>
      <c r="AE102" s="289" t="e">
        <f>Таблица2242[[#This Row],[Возможное количество рейсов в месяц]]*Таблица2242[[#This Row],[СС 1-го рейса, 
грн/рейс]]</f>
        <v>#DIV/0!</v>
      </c>
      <c r="AF102" s="289" t="e">
        <f>Таблица2242[[#This Row],[Доход в месяц, 
грн]]-Таблица2242[[#This Row],[Затраты на предполагаемые рейсы за месяц, 
грн]]</f>
        <v>#DIV/0!</v>
      </c>
      <c r="AG102" s="275"/>
      <c r="AH102" s="290"/>
    </row>
    <row r="103" spans="1:34" ht="13.2" x14ac:dyDescent="0.25">
      <c r="A103" s="216" t="s">
        <v>65</v>
      </c>
      <c r="B103" s="29" t="s">
        <v>34</v>
      </c>
      <c r="C103" s="176"/>
      <c r="D103" s="77"/>
      <c r="E103" s="77"/>
      <c r="F103" s="200">
        <v>45748</v>
      </c>
      <c r="G103" s="263">
        <v>45751.854166666664</v>
      </c>
      <c r="H103" s="263">
        <v>45756.604166666664</v>
      </c>
      <c r="I103" s="29" t="s">
        <v>123</v>
      </c>
      <c r="J103" s="82"/>
      <c r="K103" s="179"/>
      <c r="L103" s="180"/>
      <c r="M103" s="180"/>
      <c r="N103" s="85"/>
      <c r="O103" s="86">
        <f>ROUNDUP(SUM(Таблица2242[[#This Row],[Плановое время в дороге, 
сутки]:[Плановое время простоя, 
сутки]]),0)</f>
        <v>0</v>
      </c>
      <c r="P103" s="86" t="s">
        <v>95</v>
      </c>
      <c r="Q103" s="180" t="s">
        <v>35</v>
      </c>
      <c r="R103" s="82">
        <v>1</v>
      </c>
      <c r="S103" s="90"/>
      <c r="T103" s="181">
        <v>13500</v>
      </c>
      <c r="U103" s="191">
        <v>241</v>
      </c>
      <c r="V103" s="191"/>
      <c r="W103" s="86">
        <v>241</v>
      </c>
      <c r="X103" s="183">
        <f>Таблица2242[[#This Row],[Вес, т]]*Таблица2242[[#This Row],[Стоимость, 
грн/т]]</f>
        <v>13500</v>
      </c>
      <c r="Y103" s="183">
        <f>Таблица2242[[#This Row],[Доход, 
грн/рейс]]/Таблица2242[[#This Row],[Общий километраж, 
км]]</f>
        <v>56.016597510373444</v>
      </c>
      <c r="Z103" s="32">
        <f>Таблица2242[[#This Row],[Километраж по Украине, 
км]]*10</f>
        <v>2410</v>
      </c>
      <c r="AA103" s="32">
        <f>Таблица2242[[#This Row],[Километраж по Украине, 
км]]/100*32*57+Таблица2242[[#This Row],[Зарплата водителя, грн]]</f>
        <v>6805.84</v>
      </c>
      <c r="AB103" s="184">
        <f>Таблица2242[[#This Row],[Доход, 
грн/рейс]]-Таблица2242[[#This Row],[СС 1-го рейса, 
грн/рейс]]</f>
        <v>6694.16</v>
      </c>
      <c r="AC103" s="185" t="e">
        <f>ROUNDDOWN(30/Таблица2242[[#This Row],[Плановое время в рейсе, 
сутки]],0)</f>
        <v>#DIV/0!</v>
      </c>
      <c r="AD103" s="93" t="e">
        <f>Таблица2242[[#This Row],[Доход, 
грн/рейс]]*Таблица2242[[#This Row],[Возможное количество рейсов в месяц]]</f>
        <v>#DIV/0!</v>
      </c>
      <c r="AE103" s="93" t="e">
        <f>Таблица2242[[#This Row],[Возможное количество рейсов в месяц]]*Таблица2242[[#This Row],[СС 1-го рейса, 
грн/рейс]]</f>
        <v>#DIV/0!</v>
      </c>
      <c r="AF103" s="93" t="e">
        <f>Таблица2242[[#This Row],[Доход в месяц, 
грн]]-Таблица2242[[#This Row],[Затраты на предполагаемые рейсы за месяц, 
грн]]</f>
        <v>#DIV/0!</v>
      </c>
      <c r="AG103" s="77"/>
      <c r="AH103" s="186"/>
    </row>
    <row r="104" spans="1:34" ht="13.2" x14ac:dyDescent="0.25">
      <c r="A104" s="76" t="s">
        <v>65</v>
      </c>
      <c r="B104" s="29" t="s">
        <v>34</v>
      </c>
      <c r="C104" s="176"/>
      <c r="D104" s="77"/>
      <c r="E104" s="77"/>
      <c r="F104" s="200">
        <v>45748</v>
      </c>
      <c r="G104" s="263">
        <v>45754.714583333334</v>
      </c>
      <c r="H104" s="306">
        <v>45757.416666666664</v>
      </c>
      <c r="I104" s="29" t="s">
        <v>123</v>
      </c>
      <c r="J104" s="82"/>
      <c r="K104" s="179"/>
      <c r="L104" s="180"/>
      <c r="M104" s="180"/>
      <c r="N104" s="85"/>
      <c r="O104" s="86">
        <f>ROUNDUP(SUM(Таблица2242[[#This Row],[Плановое время в дороге, 
сутки]:[Плановое время простоя, 
сутки]]),0)</f>
        <v>0</v>
      </c>
      <c r="P104" s="106" t="s">
        <v>52</v>
      </c>
      <c r="Q104" s="180" t="s">
        <v>35</v>
      </c>
      <c r="R104" s="82">
        <v>1</v>
      </c>
      <c r="S104" s="90"/>
      <c r="T104" s="181">
        <v>13500</v>
      </c>
      <c r="U104" s="192">
        <v>225</v>
      </c>
      <c r="V104" s="192"/>
      <c r="W104" s="86">
        <f>SUM(Таблица2242[[#This Row],[Километраж по Украине, 
км]:[Километраж по Европе,
км]])</f>
        <v>225</v>
      </c>
      <c r="X104" s="183">
        <f>Таблица2242[[#This Row],[Вес, т]]*Таблица2242[[#This Row],[Стоимость, 
грн/т]]</f>
        <v>13500</v>
      </c>
      <c r="Y104" s="183">
        <f>Таблица2242[[#This Row],[Доход, 
грн/рейс]]/Таблица2242[[#This Row],[Общий километраж, 
км]]</f>
        <v>60</v>
      </c>
      <c r="Z104" s="32">
        <f>Таблица2242[[#This Row],[Километраж по Украине, 
км]]*10</f>
        <v>2250</v>
      </c>
      <c r="AA104" s="32">
        <f>Таблица2242[[#This Row],[Километраж по Украине, 
км]]/100*32*57+Таблица2242[[#This Row],[Зарплата водителя, грн]]</f>
        <v>6354</v>
      </c>
      <c r="AB104" s="184">
        <f>Таблица2242[[#This Row],[Доход, 
грн/рейс]]-Таблица2242[[#This Row],[СС 1-го рейса, 
грн/рейс]]</f>
        <v>7146</v>
      </c>
      <c r="AC104" s="185" t="e">
        <f>ROUNDDOWN(30/Таблица2242[[#This Row],[Плановое время в рейсе, 
сутки]],0)</f>
        <v>#DIV/0!</v>
      </c>
      <c r="AD104" s="93" t="e">
        <f>Таблица2242[[#This Row],[Доход, 
грн/рейс]]*Таблица2242[[#This Row],[Возможное количество рейсов в месяц]]</f>
        <v>#DIV/0!</v>
      </c>
      <c r="AE104" s="93" t="e">
        <f>Таблица2242[[#This Row],[Возможное количество рейсов в месяц]]*Таблица2242[[#This Row],[СС 1-го рейса, 
грн/рейс]]</f>
        <v>#DIV/0!</v>
      </c>
      <c r="AF104" s="93" t="e">
        <f>Таблица2242[[#This Row],[Доход в месяц, 
грн]]-Таблица2242[[#This Row],[Затраты на предполагаемые рейсы за месяц, 
грн]]</f>
        <v>#DIV/0!</v>
      </c>
      <c r="AG104" s="77"/>
      <c r="AH104" s="186"/>
    </row>
    <row r="105" spans="1:34" ht="13.2" x14ac:dyDescent="0.25">
      <c r="A105" s="195" t="s">
        <v>145</v>
      </c>
      <c r="B105" s="29" t="s">
        <v>34</v>
      </c>
      <c r="C105" s="262" t="s">
        <v>43</v>
      </c>
      <c r="D105" s="304"/>
      <c r="E105" s="304"/>
      <c r="F105" s="200">
        <v>45748</v>
      </c>
      <c r="G105" s="306">
        <v>45756.604166666664</v>
      </c>
      <c r="H105" s="306">
        <v>45757.75</v>
      </c>
      <c r="I105" s="29" t="s">
        <v>137</v>
      </c>
      <c r="J105" s="307"/>
      <c r="K105" s="308"/>
      <c r="L105" s="309"/>
      <c r="M105" s="309"/>
      <c r="N105" s="310"/>
      <c r="O105" s="311">
        <f>ROUNDUP(SUM(Таблица2242[[#This Row],[Плановое время в дороге, 
сутки]:[Плановое время простоя, 
сутки]]),0)</f>
        <v>0</v>
      </c>
      <c r="P105" s="86" t="s">
        <v>95</v>
      </c>
      <c r="Q105" s="64" t="s">
        <v>36</v>
      </c>
      <c r="R105" s="307">
        <v>1</v>
      </c>
      <c r="S105" s="312"/>
      <c r="T105" s="313">
        <v>6200</v>
      </c>
      <c r="U105" s="385">
        <v>396</v>
      </c>
      <c r="V105" s="385"/>
      <c r="W105" s="311">
        <f>SUM(Таблица2242[[#This Row],[Километраж по Украине, 
км]:[Километраж по Европе,
км]])</f>
        <v>396</v>
      </c>
      <c r="X105" s="314">
        <v>6200</v>
      </c>
      <c r="Y105" s="314">
        <f>Таблица2242[[#This Row],[Доход, 
грн/рейс]]/Таблица2242[[#This Row],[Общий километраж, 
км]]</f>
        <v>15.656565656565656</v>
      </c>
      <c r="Z105" s="32">
        <f>Таблица2242[[#This Row],[Километраж по Украине, 
км]]*10</f>
        <v>3960</v>
      </c>
      <c r="AA105" s="32">
        <f>Таблица2242[[#This Row],[Километраж по Украине, 
км]]/100*32*57+Таблица2242[[#This Row],[Зарплата водителя, грн]]</f>
        <v>11183.04</v>
      </c>
      <c r="AB105" s="315">
        <f>Таблица2242[[#This Row],[Доход, 
грн/рейс]]-Таблица2242[[#This Row],[СС 1-го рейса, 
грн/рейс]]</f>
        <v>-4983.0400000000009</v>
      </c>
      <c r="AC105" s="316" t="e">
        <f>ROUNDDOWN(30/Таблица2242[[#This Row],[Плановое время в рейсе, 
сутки]],0)</f>
        <v>#DIV/0!</v>
      </c>
      <c r="AD105" s="317" t="e">
        <f>Таблица2242[[#This Row],[Доход, 
грн/рейс]]*Таблица2242[[#This Row],[Возможное количество рейсов в месяц]]</f>
        <v>#DIV/0!</v>
      </c>
      <c r="AE105" s="317" t="e">
        <f>Таблица2242[[#This Row],[Возможное количество рейсов в месяц]]*Таблица2242[[#This Row],[СС 1-го рейса, 
грн/рейс]]</f>
        <v>#DIV/0!</v>
      </c>
      <c r="AF105" s="317" t="e">
        <f>Таблица2242[[#This Row],[Доход в месяц, 
грн]]-Таблица2242[[#This Row],[Затраты на предполагаемые рейсы за месяц, 
грн]]</f>
        <v>#DIV/0!</v>
      </c>
      <c r="AG105" s="12" t="s">
        <v>156</v>
      </c>
      <c r="AH105" s="318"/>
    </row>
    <row r="106" spans="1:34" ht="13.2" x14ac:dyDescent="0.25">
      <c r="A106" s="195" t="s">
        <v>89</v>
      </c>
      <c r="B106" s="29" t="s">
        <v>34</v>
      </c>
      <c r="C106" s="305" t="s">
        <v>43</v>
      </c>
      <c r="D106" s="304"/>
      <c r="E106" s="304"/>
      <c r="F106" s="200">
        <v>45748</v>
      </c>
      <c r="G106" s="306">
        <v>45757.416666666664</v>
      </c>
      <c r="H106" s="306">
        <v>45758.666666666664</v>
      </c>
      <c r="I106" s="29" t="s">
        <v>170</v>
      </c>
      <c r="J106" s="307"/>
      <c r="K106" s="308"/>
      <c r="L106" s="309"/>
      <c r="M106" s="309"/>
      <c r="N106" s="310"/>
      <c r="O106" s="311">
        <f>ROUNDUP(SUM(Таблица2242[[#This Row],[Плановое время в дороге, 
сутки]:[Плановое время простоя, 
сутки]]),0)</f>
        <v>0</v>
      </c>
      <c r="P106" s="106" t="s">
        <v>52</v>
      </c>
      <c r="Q106" s="64" t="s">
        <v>36</v>
      </c>
      <c r="R106" s="307">
        <v>1</v>
      </c>
      <c r="S106" s="312"/>
      <c r="T106" s="313">
        <v>3000</v>
      </c>
      <c r="U106" s="390">
        <v>226</v>
      </c>
      <c r="V106" s="390"/>
      <c r="W106" s="311">
        <v>226</v>
      </c>
      <c r="X106" s="314">
        <v>3000</v>
      </c>
      <c r="Y106" s="314">
        <f>Таблица2242[[#This Row],[Доход, 
грн/рейс]]/Таблица2242[[#This Row],[Общий километраж, 
км]]</f>
        <v>13.274336283185841</v>
      </c>
      <c r="Z106" s="32">
        <f>Таблица2242[[#This Row],[Километраж по Украине, 
км]]*10</f>
        <v>2260</v>
      </c>
      <c r="AA106" s="32">
        <f>Таблица2242[[#This Row],[Километраж по Украине, 
км]]/100*32*57+Таблица2242[[#This Row],[Зарплата водителя, грн]]</f>
        <v>6382.24</v>
      </c>
      <c r="AB106" s="315">
        <f>Таблица2242[[#This Row],[Доход, 
грн/рейс]]-Таблица2242[[#This Row],[СС 1-го рейса, 
грн/рейс]]</f>
        <v>-3382.24</v>
      </c>
      <c r="AC106" s="316" t="e">
        <f>ROUNDDOWN(30/Таблица2242[[#This Row],[Плановое время в рейсе, 
сутки]],0)</f>
        <v>#DIV/0!</v>
      </c>
      <c r="AD106" s="317" t="e">
        <f>Таблица2242[[#This Row],[Доход, 
грн/рейс]]*Таблица2242[[#This Row],[Возможное количество рейсов в месяц]]</f>
        <v>#DIV/0!</v>
      </c>
      <c r="AE106" s="317" t="e">
        <f>Таблица2242[[#This Row],[Возможное количество рейсов в месяц]]*Таблица2242[[#This Row],[СС 1-го рейса, 
грн/рейс]]</f>
        <v>#DIV/0!</v>
      </c>
      <c r="AF106" s="317" t="e">
        <f>Таблица2242[[#This Row],[Доход в месяц, 
грн]]-Таблица2242[[#This Row],[Затраты на предполагаемые рейсы за месяц, 
грн]]</f>
        <v>#DIV/0!</v>
      </c>
      <c r="AG106" s="12" t="s">
        <v>156</v>
      </c>
      <c r="AH106" s="318"/>
    </row>
    <row r="107" spans="1:34" ht="13.2" x14ac:dyDescent="0.25">
      <c r="A107" s="320" t="s">
        <v>148</v>
      </c>
      <c r="B107" s="29" t="s">
        <v>34</v>
      </c>
      <c r="C107" s="322"/>
      <c r="D107" s="321"/>
      <c r="E107" s="321"/>
      <c r="F107" s="200">
        <v>45748</v>
      </c>
      <c r="G107" s="306">
        <v>45758.666666666664</v>
      </c>
      <c r="H107" s="306">
        <v>45762.5625</v>
      </c>
      <c r="I107" s="29" t="s">
        <v>171</v>
      </c>
      <c r="J107" s="323"/>
      <c r="K107" s="324"/>
      <c r="L107" s="325"/>
      <c r="M107" s="325"/>
      <c r="N107" s="326"/>
      <c r="O107" s="327">
        <f>ROUNDUP(SUM(Таблица2242[[#This Row],[Плановое время в дороге, 
сутки]:[Плановое время простоя, 
сутки]]),0)</f>
        <v>0</v>
      </c>
      <c r="P107" s="106" t="s">
        <v>52</v>
      </c>
      <c r="Q107" s="180" t="s">
        <v>35</v>
      </c>
      <c r="R107" s="323">
        <v>1</v>
      </c>
      <c r="S107" s="328"/>
      <c r="T107" s="329">
        <v>48000</v>
      </c>
      <c r="U107" s="386">
        <v>704</v>
      </c>
      <c r="V107" s="386"/>
      <c r="W107" s="327">
        <f>SUM(Таблица2242[[#This Row],[Километраж по Украине, 
км]:[Километраж по Европе,
км]])</f>
        <v>704</v>
      </c>
      <c r="X107" s="331">
        <f>Таблица2242[[#This Row],[Вес, т]]*Таблица2242[[#This Row],[Стоимость, 
грн/т]]</f>
        <v>48000</v>
      </c>
      <c r="Y107" s="331">
        <f>Таблица2242[[#This Row],[Доход, 
грн/рейс]]/Таблица2242[[#This Row],[Общий километраж, 
км]]</f>
        <v>68.181818181818187</v>
      </c>
      <c r="Z107" s="32">
        <f>Таблица2242[[#This Row],[Километраж по Украине, 
км]]*10</f>
        <v>7040</v>
      </c>
      <c r="AA107" s="32">
        <f>Таблица2242[[#This Row],[Километраж по Украине, 
км]]/100*32*57+Таблица2242[[#This Row],[Зарплата водителя, грн]]</f>
        <v>19880.96</v>
      </c>
      <c r="AB107" s="332">
        <f>Таблица2242[[#This Row],[Доход, 
грн/рейс]]-Таблица2242[[#This Row],[СС 1-го рейса, 
грн/рейс]]</f>
        <v>28119.040000000001</v>
      </c>
      <c r="AC107" s="333" t="e">
        <f>ROUNDDOWN(30/Таблица2242[[#This Row],[Плановое время в рейсе, 
сутки]],0)</f>
        <v>#DIV/0!</v>
      </c>
      <c r="AD107" s="330" t="e">
        <f>Таблица2242[[#This Row],[Доход, 
грн/рейс]]*Таблица2242[[#This Row],[Возможное количество рейсов в месяц]]</f>
        <v>#DIV/0!</v>
      </c>
      <c r="AE107" s="330" t="e">
        <f>Таблица2242[[#This Row],[Возможное количество рейсов в месяц]]*Таблица2242[[#This Row],[СС 1-го рейса, 
грн/рейс]]</f>
        <v>#DIV/0!</v>
      </c>
      <c r="AF107" s="330" t="e">
        <f>Таблица2242[[#This Row],[Доход в месяц, 
грн]]-Таблица2242[[#This Row],[Затраты на предполагаемые рейсы за месяц, 
грн]]</f>
        <v>#DIV/0!</v>
      </c>
      <c r="AG107" s="1" t="s">
        <v>172</v>
      </c>
      <c r="AH107" s="334"/>
    </row>
    <row r="108" spans="1:34" ht="13.2" x14ac:dyDescent="0.25">
      <c r="A108" s="335" t="s">
        <v>148</v>
      </c>
      <c r="B108" s="29" t="s">
        <v>34</v>
      </c>
      <c r="C108" s="337"/>
      <c r="D108" s="336"/>
      <c r="E108" s="336"/>
      <c r="F108" s="200">
        <v>45748</v>
      </c>
      <c r="G108" s="306">
        <v>45757.75</v>
      </c>
      <c r="H108" s="306">
        <v>45762.5625</v>
      </c>
      <c r="I108" s="29" t="s">
        <v>171</v>
      </c>
      <c r="J108" s="338"/>
      <c r="K108" s="339"/>
      <c r="L108" s="340"/>
      <c r="M108" s="340"/>
      <c r="N108" s="341"/>
      <c r="O108" s="342">
        <f>ROUNDUP(SUM(Таблица2242[[#This Row],[Плановое время в дороге, 
сутки]:[Плановое время простоя, 
сутки]]),0)</f>
        <v>0</v>
      </c>
      <c r="P108" s="86" t="s">
        <v>95</v>
      </c>
      <c r="Q108" s="180" t="s">
        <v>35</v>
      </c>
      <c r="R108" s="338">
        <v>1</v>
      </c>
      <c r="S108" s="343"/>
      <c r="T108" s="329">
        <v>48000</v>
      </c>
      <c r="U108" s="391">
        <v>678</v>
      </c>
      <c r="V108" s="391"/>
      <c r="W108" s="342">
        <f>SUM(Таблица2242[[#This Row],[Километраж по Украине, 
км]:[Километраж по Европе,
км]])</f>
        <v>678</v>
      </c>
      <c r="X108" s="345">
        <f>Таблица2242[[#This Row],[Вес, т]]*Таблица2242[[#This Row],[Стоимость, 
грн/т]]</f>
        <v>48000</v>
      </c>
      <c r="Y108" s="345">
        <f>Таблица2242[[#This Row],[Доход, 
грн/рейс]]/Таблица2242[[#This Row],[Общий километраж, 
км]]</f>
        <v>70.796460176991147</v>
      </c>
      <c r="Z108" s="32">
        <f>Таблица2242[[#This Row],[Километраж по Украине, 
км]]*10</f>
        <v>6780</v>
      </c>
      <c r="AA108" s="32">
        <f>Таблица2242[[#This Row],[Километраж по Украине, 
км]]/100*32*57+Таблица2242[[#This Row],[Зарплата водителя, грн]]</f>
        <v>19146.72</v>
      </c>
      <c r="AB108" s="346">
        <f>Таблица2242[[#This Row],[Доход, 
грн/рейс]]-Таблица2242[[#This Row],[СС 1-го рейса, 
грн/рейс]]</f>
        <v>28853.279999999999</v>
      </c>
      <c r="AC108" s="347" t="e">
        <f>ROUNDDOWN(30/Таблица2242[[#This Row],[Плановое время в рейсе, 
сутки]],0)</f>
        <v>#DIV/0!</v>
      </c>
      <c r="AD108" s="348" t="e">
        <f>Таблица2242[[#This Row],[Доход, 
грн/рейс]]*Таблица2242[[#This Row],[Возможное количество рейсов в месяц]]</f>
        <v>#DIV/0!</v>
      </c>
      <c r="AE108" s="348" t="e">
        <f>Таблица2242[[#This Row],[Возможное количество рейсов в месяц]]*Таблица2242[[#This Row],[СС 1-го рейса, 
грн/рейс]]</f>
        <v>#DIV/0!</v>
      </c>
      <c r="AF108" s="348" t="e">
        <f>Таблица2242[[#This Row],[Доход в месяц, 
грн]]-Таблица2242[[#This Row],[Затраты на предполагаемые рейсы за месяц, 
грн]]</f>
        <v>#DIV/0!</v>
      </c>
      <c r="AG108" s="1" t="s">
        <v>111</v>
      </c>
      <c r="AH108" s="349"/>
    </row>
    <row r="109" spans="1:34" ht="26.4" x14ac:dyDescent="0.25">
      <c r="A109" s="213" t="s">
        <v>70</v>
      </c>
      <c r="B109" s="29" t="s">
        <v>34</v>
      </c>
      <c r="C109" s="337"/>
      <c r="D109" s="336"/>
      <c r="E109" s="336"/>
      <c r="F109" s="200">
        <v>45748</v>
      </c>
      <c r="G109" s="306">
        <v>45762.5625</v>
      </c>
      <c r="H109" s="306">
        <v>45764.645833333336</v>
      </c>
      <c r="I109" s="77" t="s">
        <v>173</v>
      </c>
      <c r="J109" s="338"/>
      <c r="K109" s="339"/>
      <c r="L109" s="340"/>
      <c r="M109" s="340"/>
      <c r="N109" s="341"/>
      <c r="O109" s="342">
        <f>ROUNDUP(SUM(Таблица2242[[#This Row],[Плановое время в дороге, 
сутки]:[Плановое время простоя, 
сутки]]),0)</f>
        <v>0</v>
      </c>
      <c r="P109" s="106" t="s">
        <v>52</v>
      </c>
      <c r="Q109" s="64" t="s">
        <v>36</v>
      </c>
      <c r="R109" s="338">
        <v>1</v>
      </c>
      <c r="S109" s="343"/>
      <c r="T109" s="344">
        <v>12000</v>
      </c>
      <c r="U109" s="387">
        <v>824</v>
      </c>
      <c r="V109" s="387"/>
      <c r="W109" s="342">
        <f>SUM(Таблица2242[[#This Row],[Километраж по Украине, 
км]:[Километраж по Европе,
км]])</f>
        <v>824</v>
      </c>
      <c r="X109" s="345">
        <v>12000</v>
      </c>
      <c r="Y109" s="345">
        <f>Таблица2242[[#This Row],[Доход, 
грн/рейс]]/Таблица2242[[#This Row],[Общий километраж, 
км]]</f>
        <v>14.563106796116505</v>
      </c>
      <c r="Z109" s="32">
        <f>Таблица2242[[#This Row],[Километраж по Украине, 
км]]*10</f>
        <v>8240</v>
      </c>
      <c r="AA109" s="32">
        <f>Таблица2242[[#This Row],[Километраж по Украине, 
км]]/100*32*57+Таблица2242[[#This Row],[Зарплата водителя, грн]]</f>
        <v>23269.760000000002</v>
      </c>
      <c r="AB109" s="346">
        <f>Таблица2242[[#This Row],[Доход, 
грн/рейс]]-Таблица2242[[#This Row],[СС 1-го рейса, 
грн/рейс]]</f>
        <v>-11269.760000000002</v>
      </c>
      <c r="AC109" s="347" t="e">
        <f>ROUNDDOWN(30/Таблица2242[[#This Row],[Плановое время в рейсе, 
сутки]],0)</f>
        <v>#DIV/0!</v>
      </c>
      <c r="AD109" s="348" t="e">
        <f>Таблица2242[[#This Row],[Доход, 
грн/рейс]]*Таблица2242[[#This Row],[Возможное количество рейсов в месяц]]</f>
        <v>#DIV/0!</v>
      </c>
      <c r="AE109" s="348" t="e">
        <f>Таблица2242[[#This Row],[Возможное количество рейсов в месяц]]*Таблица2242[[#This Row],[СС 1-го рейса, 
грн/рейс]]</f>
        <v>#DIV/0!</v>
      </c>
      <c r="AF109" s="348" t="e">
        <f>Таблица2242[[#This Row],[Доход в месяц, 
грн]]-Таблица2242[[#This Row],[Затраты на предполагаемые рейсы за месяц, 
грн]]</f>
        <v>#DIV/0!</v>
      </c>
      <c r="AG109" s="1" t="s">
        <v>174</v>
      </c>
      <c r="AH109" s="349"/>
    </row>
    <row r="110" spans="1:34" ht="26.4" x14ac:dyDescent="0.25">
      <c r="A110" s="295" t="s">
        <v>70</v>
      </c>
      <c r="B110" s="29" t="s">
        <v>34</v>
      </c>
      <c r="C110" s="176"/>
      <c r="D110" s="77"/>
      <c r="E110" s="77"/>
      <c r="F110" s="200">
        <v>45748</v>
      </c>
      <c r="G110" s="306">
        <v>45762.5625</v>
      </c>
      <c r="H110" s="306">
        <v>45764.708333333336</v>
      </c>
      <c r="I110" s="77" t="s">
        <v>173</v>
      </c>
      <c r="J110" s="82"/>
      <c r="K110" s="179"/>
      <c r="L110" s="180"/>
      <c r="M110" s="180"/>
      <c r="N110" s="85"/>
      <c r="O110" s="86">
        <f>ROUNDUP(SUM(Таблица2242[[#This Row],[Плановое время в дороге, 
сутки]:[Плановое время простоя, 
сутки]]),0)</f>
        <v>0</v>
      </c>
      <c r="P110" s="86" t="s">
        <v>95</v>
      </c>
      <c r="Q110" s="64" t="s">
        <v>36</v>
      </c>
      <c r="R110" s="82">
        <v>1</v>
      </c>
      <c r="S110" s="90"/>
      <c r="T110" s="181">
        <v>12000</v>
      </c>
      <c r="U110" s="192">
        <v>823</v>
      </c>
      <c r="V110" s="192"/>
      <c r="W110" s="86">
        <v>823</v>
      </c>
      <c r="X110" s="183">
        <f>Таблица2242[[#This Row],[Вес, т]]*Таблица2242[[#This Row],[Стоимость, 
грн/т]]</f>
        <v>12000</v>
      </c>
      <c r="Y110" s="183">
        <f>Таблица2242[[#This Row],[Доход, 
грн/рейс]]/Таблица2242[[#This Row],[Общий километраж, 
км]]</f>
        <v>14.580801944106925</v>
      </c>
      <c r="Z110" s="32">
        <f>Таблица2242[[#This Row],[Километраж по Украине, 
км]]*10</f>
        <v>8230</v>
      </c>
      <c r="AA110" s="32">
        <f>Таблица2242[[#This Row],[Километраж по Украине, 
км]]/100*32*57+Таблица2242[[#This Row],[Зарплата водителя, грн]]</f>
        <v>23241.52</v>
      </c>
      <c r="AB110" s="184">
        <f>Таблица2242[[#This Row],[Доход, 
грн/рейс]]-Таблица2242[[#This Row],[СС 1-го рейса, 
грн/рейс]]</f>
        <v>-11241.52</v>
      </c>
      <c r="AC110" s="185" t="e">
        <f>ROUNDDOWN(30/Таблица2242[[#This Row],[Плановое время в рейсе, 
сутки]],0)</f>
        <v>#DIV/0!</v>
      </c>
      <c r="AD110" s="93" t="e">
        <f>Таблица2242[[#This Row],[Доход, 
грн/рейс]]*Таблица2242[[#This Row],[Возможное количество рейсов в месяц]]</f>
        <v>#DIV/0!</v>
      </c>
      <c r="AE110" s="93" t="e">
        <f>Таблица2242[[#This Row],[Возможное количество рейсов в месяц]]*Таблица2242[[#This Row],[СС 1-го рейса, 
грн/рейс]]</f>
        <v>#DIV/0!</v>
      </c>
      <c r="AF110" s="93" t="e">
        <f>Таблица2242[[#This Row],[Доход в месяц, 
грн]]-Таблица2242[[#This Row],[Затраты на предполагаемые рейсы за месяц, 
грн]]</f>
        <v>#DIV/0!</v>
      </c>
      <c r="AG110" s="1" t="s">
        <v>174</v>
      </c>
      <c r="AH110" s="186"/>
    </row>
    <row r="111" spans="1:34" ht="13.2" x14ac:dyDescent="0.25">
      <c r="A111" s="76" t="s">
        <v>65</v>
      </c>
      <c r="B111" s="29" t="s">
        <v>34</v>
      </c>
      <c r="C111" s="176"/>
      <c r="D111" s="77"/>
      <c r="E111" s="77"/>
      <c r="F111" s="200">
        <v>45748</v>
      </c>
      <c r="G111" s="306">
        <v>45764.645833333336</v>
      </c>
      <c r="H111" s="306">
        <v>45765.5</v>
      </c>
      <c r="I111" s="29" t="s">
        <v>123</v>
      </c>
      <c r="J111" s="82"/>
      <c r="K111" s="179"/>
      <c r="L111" s="180"/>
      <c r="M111" s="180"/>
      <c r="N111" s="85"/>
      <c r="O111" s="86">
        <f>ROUNDUP(SUM(Таблица2242[[#This Row],[Плановое время в дороге, 
сутки]:[Плановое время простоя, 
сутки]]),0)</f>
        <v>0</v>
      </c>
      <c r="P111" s="106" t="s">
        <v>52</v>
      </c>
      <c r="Q111" s="180" t="s">
        <v>35</v>
      </c>
      <c r="R111" s="82">
        <v>1</v>
      </c>
      <c r="S111" s="90"/>
      <c r="T111" s="181">
        <v>13500</v>
      </c>
      <c r="U111" s="191">
        <v>225</v>
      </c>
      <c r="V111" s="191"/>
      <c r="W111" s="86">
        <f>SUM(Таблица2242[[#This Row],[Километраж по Украине, 
км]:[Километраж по Европе,
км]])</f>
        <v>225</v>
      </c>
      <c r="X111" s="183">
        <f>Таблица2242[[#This Row],[Вес, т]]*Таблица2242[[#This Row],[Стоимость, 
грн/т]]</f>
        <v>13500</v>
      </c>
      <c r="Y111" s="183">
        <f>Таблица2242[[#This Row],[Доход, 
грн/рейс]]/Таблица2242[[#This Row],[Общий километраж, 
км]]</f>
        <v>60</v>
      </c>
      <c r="Z111" s="32">
        <f>Таблица2242[[#This Row],[Километраж по Украине, 
км]]*10</f>
        <v>2250</v>
      </c>
      <c r="AA111" s="32">
        <f>Таблица2242[[#This Row],[Километраж по Украине, 
км]]/100*32*57+Таблица2242[[#This Row],[Зарплата водителя, грн]]</f>
        <v>6354</v>
      </c>
      <c r="AB111" s="184">
        <f>Таблица2242[[#This Row],[Доход, 
грн/рейс]]-Таблица2242[[#This Row],[СС 1-го рейса, 
грн/рейс]]</f>
        <v>7146</v>
      </c>
      <c r="AC111" s="185" t="e">
        <f>ROUNDDOWN(30/Таблица2242[[#This Row],[Плановое время в рейсе, 
сутки]],0)</f>
        <v>#DIV/0!</v>
      </c>
      <c r="AD111" s="93" t="e">
        <f>Таблица2242[[#This Row],[Доход, 
грн/рейс]]*Таблица2242[[#This Row],[Возможное количество рейсов в месяц]]</f>
        <v>#DIV/0!</v>
      </c>
      <c r="AE111" s="93" t="e">
        <f>Таблица2242[[#This Row],[Возможное количество рейсов в месяц]]*Таблица2242[[#This Row],[СС 1-го рейса, 
грн/рейс]]</f>
        <v>#DIV/0!</v>
      </c>
      <c r="AF111" s="93" t="e">
        <f>Таблица2242[[#This Row],[Доход в месяц, 
грн]]-Таблица2242[[#This Row],[Затраты на предполагаемые рейсы за месяц, 
грн]]</f>
        <v>#DIV/0!</v>
      </c>
      <c r="AG111" s="77"/>
      <c r="AH111" s="186"/>
    </row>
    <row r="112" spans="1:34" ht="13.2" x14ac:dyDescent="0.25">
      <c r="A112" s="76" t="s">
        <v>65</v>
      </c>
      <c r="B112" s="29" t="s">
        <v>34</v>
      </c>
      <c r="C112" s="352"/>
      <c r="D112" s="351"/>
      <c r="E112" s="351"/>
      <c r="F112" s="200">
        <v>45748</v>
      </c>
      <c r="G112" s="306">
        <v>45765.5</v>
      </c>
      <c r="H112" s="306">
        <v>45766.666666666664</v>
      </c>
      <c r="I112" s="351" t="s">
        <v>175</v>
      </c>
      <c r="J112" s="353"/>
      <c r="K112" s="354"/>
      <c r="L112" s="355"/>
      <c r="M112" s="355"/>
      <c r="N112" s="356"/>
      <c r="O112" s="357">
        <f>ROUNDUP(SUM(Таблица2242[[#This Row],[Плановое время в дороге, 
сутки]:[Плановое время простоя, 
сутки]]),0)</f>
        <v>0</v>
      </c>
      <c r="P112" s="106" t="s">
        <v>52</v>
      </c>
      <c r="Q112" s="180" t="s">
        <v>35</v>
      </c>
      <c r="R112" s="353">
        <v>1</v>
      </c>
      <c r="S112" s="358"/>
      <c r="T112" s="359">
        <v>5000</v>
      </c>
      <c r="U112" s="392">
        <v>233</v>
      </c>
      <c r="V112" s="392"/>
      <c r="W112" s="357">
        <f>SUM(Таблица2242[[#This Row],[Километраж по Украине, 
км]:[Километраж по Европе,
км]])</f>
        <v>233</v>
      </c>
      <c r="X112" s="360">
        <f>Таблица2242[[#This Row],[Вес, т]]*Таблица2242[[#This Row],[Стоимость, 
грн/т]]</f>
        <v>5000</v>
      </c>
      <c r="Y112" s="360">
        <f>Таблица2242[[#This Row],[Доход, 
грн/рейс]]/Таблица2242[[#This Row],[Общий километраж, 
км]]</f>
        <v>21.459227467811157</v>
      </c>
      <c r="Z112" s="32">
        <f>Таблица2242[[#This Row],[Километраж по Украине, 
км]]*10</f>
        <v>2330</v>
      </c>
      <c r="AA112" s="32">
        <f>Таблица2242[[#This Row],[Километраж по Украине, 
км]]/100*32*57+Таблица2242[[#This Row],[Зарплата водителя, грн]]</f>
        <v>6579.92</v>
      </c>
      <c r="AB112" s="361">
        <f>Таблица2242[[#This Row],[Доход, 
грн/рейс]]-Таблица2242[[#This Row],[СС 1-го рейса, 
грн/рейс]]</f>
        <v>-1579.92</v>
      </c>
      <c r="AC112" s="362" t="e">
        <f>ROUNDDOWN(30/Таблица2242[[#This Row],[Плановое время в рейсе, 
сутки]],0)</f>
        <v>#DIV/0!</v>
      </c>
      <c r="AD112" s="363" t="e">
        <f>Таблица2242[[#This Row],[Доход, 
грн/рейс]]*Таблица2242[[#This Row],[Возможное количество рейсов в месяц]]</f>
        <v>#DIV/0!</v>
      </c>
      <c r="AE112" s="363" t="e">
        <f>Таблица2242[[#This Row],[Возможное количество рейсов в месяц]]*Таблица2242[[#This Row],[СС 1-го рейса, 
грн/рейс]]</f>
        <v>#DIV/0!</v>
      </c>
      <c r="AF112" s="363" t="e">
        <f>Таблица2242[[#This Row],[Доход в месяц, 
грн]]-Таблица2242[[#This Row],[Затраты на предполагаемые рейсы за месяц, 
грн]]</f>
        <v>#DIV/0!</v>
      </c>
      <c r="AG112" s="351"/>
      <c r="AH112" s="364"/>
    </row>
    <row r="113" spans="1:34" ht="13.2" x14ac:dyDescent="0.25">
      <c r="A113" s="350" t="s">
        <v>176</v>
      </c>
      <c r="B113" s="29" t="s">
        <v>34</v>
      </c>
      <c r="C113" s="352"/>
      <c r="D113" s="351"/>
      <c r="E113" s="351"/>
      <c r="F113" s="200">
        <v>45748</v>
      </c>
      <c r="G113" s="365">
        <v>45766.666666666664</v>
      </c>
      <c r="H113" s="365">
        <v>45770.416666666664</v>
      </c>
      <c r="I113" s="351" t="s">
        <v>177</v>
      </c>
      <c r="J113" s="353"/>
      <c r="K113" s="354"/>
      <c r="L113" s="355"/>
      <c r="M113" s="355"/>
      <c r="N113" s="356"/>
      <c r="O113" s="357">
        <f>ROUNDUP(SUM(Таблица2242[[#This Row],[Плановое время в дороге, 
сутки]:[Плановое время простоя, 
сутки]]),0)</f>
        <v>0</v>
      </c>
      <c r="P113" s="106" t="s">
        <v>52</v>
      </c>
      <c r="Q113" s="180" t="s">
        <v>35</v>
      </c>
      <c r="R113" s="353"/>
      <c r="S113" s="358"/>
      <c r="T113" s="359">
        <v>17400</v>
      </c>
      <c r="U113" s="388">
        <v>290</v>
      </c>
      <c r="V113" s="388"/>
      <c r="W113" s="357">
        <v>290</v>
      </c>
      <c r="X113" s="360">
        <v>17400</v>
      </c>
      <c r="Y113" s="360">
        <f>Таблица2242[[#This Row],[Доход, 
грн/рейс]]/Таблица2242[[#This Row],[Общий километраж, 
км]]</f>
        <v>60</v>
      </c>
      <c r="Z113" s="32">
        <f>Таблица2242[[#This Row],[Километраж по Украине, 
км]]*10</f>
        <v>2900</v>
      </c>
      <c r="AA113" s="32">
        <f>Таблица2242[[#This Row],[Километраж по Украине, 
км]]/100*32*57+Таблица2242[[#This Row],[Зарплата водителя, грн]]</f>
        <v>8189.5999999999995</v>
      </c>
      <c r="AB113" s="361">
        <f>Таблица2242[[#This Row],[Доход, 
грн/рейс]]-Таблица2242[[#This Row],[СС 1-го рейса, 
грн/рейс]]</f>
        <v>9210.4000000000015</v>
      </c>
      <c r="AC113" s="362" t="e">
        <f>ROUNDDOWN(30/Таблица2242[[#This Row],[Плановое время в рейсе, 
сутки]],0)</f>
        <v>#DIV/0!</v>
      </c>
      <c r="AD113" s="363" t="e">
        <f>Таблица2242[[#This Row],[Доход, 
грн/рейс]]*Таблица2242[[#This Row],[Возможное количество рейсов в месяц]]</f>
        <v>#DIV/0!</v>
      </c>
      <c r="AE113" s="363" t="e">
        <f>Таблица2242[[#This Row],[Возможное количество рейсов в месяц]]*Таблица2242[[#This Row],[СС 1-го рейса, 
грн/рейс]]</f>
        <v>#DIV/0!</v>
      </c>
      <c r="AF113" s="363" t="e">
        <f>Таблица2242[[#This Row],[Доход в месяц, 
грн]]-Таблица2242[[#This Row],[Затраты на предполагаемые рейсы за месяц, 
грн]]</f>
        <v>#DIV/0!</v>
      </c>
      <c r="AG113" s="1" t="s">
        <v>79</v>
      </c>
      <c r="AH113" s="364"/>
    </row>
    <row r="114" spans="1:34" ht="26.4" x14ac:dyDescent="0.25">
      <c r="A114" s="195" t="s">
        <v>145</v>
      </c>
      <c r="B114" s="29" t="s">
        <v>34</v>
      </c>
      <c r="C114" s="352" t="s">
        <v>43</v>
      </c>
      <c r="D114" s="351"/>
      <c r="E114" s="351"/>
      <c r="F114" s="200">
        <v>45748</v>
      </c>
      <c r="G114" s="365">
        <v>45770.416666666664</v>
      </c>
      <c r="H114" s="365">
        <v>45771.708333333336</v>
      </c>
      <c r="I114" s="351" t="s">
        <v>178</v>
      </c>
      <c r="J114" s="353"/>
      <c r="K114" s="354"/>
      <c r="L114" s="355"/>
      <c r="M114" s="355"/>
      <c r="N114" s="356"/>
      <c r="O114" s="357">
        <f>ROUNDUP(SUM(Таблица2242[[#This Row],[Плановое время в дороге, 
сутки]:[Плановое время простоя, 
сутки]]),0)</f>
        <v>0</v>
      </c>
      <c r="P114" s="106" t="s">
        <v>52</v>
      </c>
      <c r="Q114" s="64" t="s">
        <v>36</v>
      </c>
      <c r="R114" s="353">
        <v>1</v>
      </c>
      <c r="S114" s="358"/>
      <c r="T114" s="359">
        <v>6000</v>
      </c>
      <c r="U114" s="392">
        <v>421</v>
      </c>
      <c r="V114" s="392"/>
      <c r="W114" s="357">
        <v>421</v>
      </c>
      <c r="X114" s="360">
        <v>6000</v>
      </c>
      <c r="Y114" s="360">
        <f>Таблица2242[[#This Row],[Доход, 
грн/рейс]]/Таблица2242[[#This Row],[Общий километраж, 
км]]</f>
        <v>14.251781472684085</v>
      </c>
      <c r="Z114" s="32">
        <f>Таблица2242[[#This Row],[Километраж по Украине, 
км]]*10</f>
        <v>4210</v>
      </c>
      <c r="AA114" s="32">
        <f>Таблица2242[[#This Row],[Километраж по Украине, 
км]]/100*32*57+Таблица2242[[#This Row],[Зарплата водителя, грн]]</f>
        <v>11889.04</v>
      </c>
      <c r="AB114" s="361">
        <f>Таблица2242[[#This Row],[Доход, 
грн/рейс]]-Таблица2242[[#This Row],[СС 1-го рейса, 
грн/рейс]]</f>
        <v>-5889.0400000000009</v>
      </c>
      <c r="AC114" s="362" t="e">
        <f>ROUNDDOWN(30/Таблица2242[[#This Row],[Плановое время в рейсе, 
сутки]],0)</f>
        <v>#DIV/0!</v>
      </c>
      <c r="AD114" s="363" t="e">
        <f>Таблица2242[[#This Row],[Доход, 
грн/рейс]]*Таблица2242[[#This Row],[Возможное количество рейсов в месяц]]</f>
        <v>#DIV/0!</v>
      </c>
      <c r="AE114" s="363" t="e">
        <f>Таблица2242[[#This Row],[Возможное количество рейсов в месяц]]*Таблица2242[[#This Row],[СС 1-го рейса, 
грн/рейс]]</f>
        <v>#DIV/0!</v>
      </c>
      <c r="AF114" s="363" t="e">
        <f>Таблица2242[[#This Row],[Доход в месяц, 
грн]]-Таблица2242[[#This Row],[Затраты на предполагаемые рейсы за месяц, 
грн]]</f>
        <v>#DIV/0!</v>
      </c>
      <c r="AG114" s="366" t="s">
        <v>180</v>
      </c>
      <c r="AH114" s="364"/>
    </row>
    <row r="115" spans="1:34" ht="13.2" x14ac:dyDescent="0.25">
      <c r="A115" s="335" t="s">
        <v>148</v>
      </c>
      <c r="B115" s="29" t="s">
        <v>34</v>
      </c>
      <c r="C115" s="352"/>
      <c r="D115" s="351"/>
      <c r="E115" s="351"/>
      <c r="F115" s="200">
        <v>45748</v>
      </c>
      <c r="G115" s="365">
        <v>45771.708333333336</v>
      </c>
      <c r="H115" s="365">
        <v>45773.583333333336</v>
      </c>
      <c r="I115" s="351" t="s">
        <v>179</v>
      </c>
      <c r="J115" s="353"/>
      <c r="K115" s="354"/>
      <c r="L115" s="355"/>
      <c r="M115" s="355"/>
      <c r="N115" s="356"/>
      <c r="O115" s="357">
        <f>ROUNDUP(SUM(Таблица2242[[#This Row],[Плановое время в дороге, 
сутки]:[Плановое время простоя, 
сутки]]),0)</f>
        <v>0</v>
      </c>
      <c r="P115" s="106" t="s">
        <v>52</v>
      </c>
      <c r="Q115" s="180" t="s">
        <v>35</v>
      </c>
      <c r="R115" s="353">
        <v>1</v>
      </c>
      <c r="S115" s="358"/>
      <c r="T115" s="359">
        <v>40000</v>
      </c>
      <c r="U115" s="388">
        <v>536</v>
      </c>
      <c r="V115" s="388"/>
      <c r="W115" s="357">
        <f>SUM(Таблица2242[[#This Row],[Километраж по Украине, 
км]:[Километраж по Европе,
км]])</f>
        <v>536</v>
      </c>
      <c r="X115" s="360">
        <v>40000</v>
      </c>
      <c r="Y115" s="360">
        <f>Таблица2242[[#This Row],[Доход, 
грн/рейс]]/Таблица2242[[#This Row],[Общий километраж, 
км]]</f>
        <v>74.626865671641795</v>
      </c>
      <c r="Z115" s="32">
        <f>Таблица2242[[#This Row],[Километраж по Украине, 
км]]*10</f>
        <v>5360</v>
      </c>
      <c r="AA115" s="32">
        <f>Таблица2242[[#This Row],[Километраж по Украине, 
км]]/100*32*57+Таблица2242[[#This Row],[Зарплата водителя, грн]]</f>
        <v>15136.640000000001</v>
      </c>
      <c r="AB115" s="361">
        <f>Таблица2242[[#This Row],[Доход, 
грн/рейс]]-Таблица2242[[#This Row],[СС 1-го рейса, 
грн/рейс]]</f>
        <v>24863.360000000001</v>
      </c>
      <c r="AC115" s="362" t="e">
        <f>ROUNDDOWN(30/Таблица2242[[#This Row],[Плановое время в рейсе, 
сутки]],0)</f>
        <v>#DIV/0!</v>
      </c>
      <c r="AD115" s="363" t="e">
        <f>Таблица2242[[#This Row],[Доход, 
грн/рейс]]*Таблица2242[[#This Row],[Возможное количество рейсов в месяц]]</f>
        <v>#DIV/0!</v>
      </c>
      <c r="AE115" s="363" t="e">
        <f>Таблица2242[[#This Row],[Возможное количество рейсов в месяц]]*Таблица2242[[#This Row],[СС 1-го рейса, 
грн/рейс]]</f>
        <v>#DIV/0!</v>
      </c>
      <c r="AF115" s="363" t="e">
        <f>Таблица2242[[#This Row],[Доход в месяц, 
грн]]-Таблица2242[[#This Row],[Затраты на предполагаемые рейсы за месяц, 
грн]]</f>
        <v>#DIV/0!</v>
      </c>
      <c r="AG115" s="351"/>
      <c r="AH115" s="364"/>
    </row>
    <row r="116" spans="1:34" ht="26.4" x14ac:dyDescent="0.25">
      <c r="A116" s="213" t="s">
        <v>70</v>
      </c>
      <c r="B116" s="29" t="s">
        <v>34</v>
      </c>
      <c r="C116" s="368"/>
      <c r="D116" s="367"/>
      <c r="E116" s="367"/>
      <c r="F116" s="200">
        <v>45748</v>
      </c>
      <c r="G116" s="365">
        <v>45773.583333333336</v>
      </c>
      <c r="H116" s="365">
        <v>45777.375</v>
      </c>
      <c r="I116" s="77" t="s">
        <v>173</v>
      </c>
      <c r="J116" s="370"/>
      <c r="K116" s="371"/>
      <c r="L116" s="372"/>
      <c r="M116" s="372"/>
      <c r="N116" s="373"/>
      <c r="O116" s="374">
        <f>ROUNDUP(SUM(Таблица2242[[#This Row],[Плановое время в дороге, 
сутки]:[Плановое время простоя, 
сутки]]),0)</f>
        <v>0</v>
      </c>
      <c r="P116" s="106" t="s">
        <v>52</v>
      </c>
      <c r="Q116" s="64" t="s">
        <v>36</v>
      </c>
      <c r="R116" s="370">
        <v>1</v>
      </c>
      <c r="S116" s="375"/>
      <c r="T116" s="376">
        <v>12000</v>
      </c>
      <c r="U116" s="393">
        <v>784</v>
      </c>
      <c r="V116" s="393"/>
      <c r="W116" s="374">
        <f>SUM(Таблица2242[[#This Row],[Километраж по Украине, 
км]:[Километраж по Европе,
км]])</f>
        <v>784</v>
      </c>
      <c r="X116" s="378">
        <v>12000</v>
      </c>
      <c r="Y116" s="378">
        <f>Таблица2242[[#This Row],[Доход, 
грн/рейс]]/Таблица2242[[#This Row],[Общий километраж, 
км]]</f>
        <v>15.306122448979592</v>
      </c>
      <c r="Z116" s="32">
        <f>Таблица2242[[#This Row],[Километраж по Украине, 
км]]*10</f>
        <v>7840</v>
      </c>
      <c r="AA116" s="32">
        <f>Таблица2242[[#This Row],[Километраж по Украине, 
км]]/100*32*57+Таблица2242[[#This Row],[Зарплата водителя, грн]]</f>
        <v>22140.16</v>
      </c>
      <c r="AB116" s="379">
        <f>Таблица2242[[#This Row],[Доход, 
грн/рейс]]-Таблица2242[[#This Row],[СС 1-го рейса, 
грн/рейс]]</f>
        <v>-10140.16</v>
      </c>
      <c r="AC116" s="380" t="e">
        <f>ROUNDDOWN(30/Таблица2242[[#This Row],[Плановое время в рейсе, 
сутки]],0)</f>
        <v>#DIV/0!</v>
      </c>
      <c r="AD116" s="381" t="e">
        <f>Таблица2242[[#This Row],[Доход, 
грн/рейс]]*Таблица2242[[#This Row],[Возможное количество рейсов в месяц]]</f>
        <v>#DIV/0!</v>
      </c>
      <c r="AE116" s="381" t="e">
        <f>Таблица2242[[#This Row],[Возможное количество рейсов в месяц]]*Таблица2242[[#This Row],[СС 1-го рейса, 
грн/рейс]]</f>
        <v>#DIV/0!</v>
      </c>
      <c r="AF116" s="381" t="e">
        <f>Таблица2242[[#This Row],[Доход в месяц, 
грн]]-Таблица2242[[#This Row],[Затраты на предполагаемые рейсы за месяц, 
грн]]</f>
        <v>#DIV/0!</v>
      </c>
      <c r="AG116" s="367"/>
      <c r="AH116" s="382"/>
    </row>
    <row r="117" spans="1:34" ht="13.2" x14ac:dyDescent="0.25">
      <c r="A117" s="383"/>
      <c r="B117" s="367"/>
      <c r="C117" s="368"/>
      <c r="D117" s="367"/>
      <c r="E117" s="367"/>
      <c r="F117" s="384"/>
      <c r="G117" s="369"/>
      <c r="H117" s="369"/>
      <c r="I117" s="367"/>
      <c r="J117" s="370"/>
      <c r="K117" s="371"/>
      <c r="L117" s="372"/>
      <c r="M117" s="372"/>
      <c r="N117" s="373"/>
      <c r="O117" s="374">
        <f>ROUNDUP(SUM(Таблица2242[[#This Row],[Плановое время в дороге, 
сутки]:[Плановое время простоя, 
сутки]]),0)</f>
        <v>0</v>
      </c>
      <c r="P117" s="374"/>
      <c r="Q117" s="372"/>
      <c r="R117" s="370"/>
      <c r="S117" s="375"/>
      <c r="T117" s="376"/>
      <c r="U117" s="389"/>
      <c r="V117" s="389"/>
      <c r="W117" s="374"/>
      <c r="X117" s="378"/>
      <c r="Y117" s="378"/>
      <c r="Z117" s="32"/>
      <c r="AA117" s="32"/>
      <c r="AB117" s="379"/>
      <c r="AC117" s="380" t="e">
        <f>ROUNDDOWN(30/Таблица2242[[#This Row],[Плановое время в рейсе, 
сутки]],0)</f>
        <v>#DIV/0!</v>
      </c>
      <c r="AD117" s="381" t="e">
        <f>Таблица2242[[#This Row],[Доход, 
грн/рейс]]*Таблица2242[[#This Row],[Возможное количество рейсов в месяц]]</f>
        <v>#DIV/0!</v>
      </c>
      <c r="AE117" s="381" t="e">
        <f>Таблица2242[[#This Row],[Возможное количество рейсов в месяц]]*Таблица2242[[#This Row],[СС 1-го рейса, 
грн/рейс]]</f>
        <v>#DIV/0!</v>
      </c>
      <c r="AF117" s="381" t="e">
        <f>Таблица2242[[#This Row],[Доход в месяц, 
грн]]-Таблица2242[[#This Row],[Затраты на предполагаемые рейсы за месяц, 
грн]]</f>
        <v>#DIV/0!</v>
      </c>
      <c r="AG117" s="367"/>
      <c r="AH117" s="382"/>
    </row>
    <row r="118" spans="1:34" ht="13.2" x14ac:dyDescent="0.25">
      <c r="A118" s="383"/>
      <c r="B118" s="367"/>
      <c r="C118" s="368"/>
      <c r="D118" s="367"/>
      <c r="E118" s="367"/>
      <c r="F118" s="384"/>
      <c r="G118" s="369"/>
      <c r="H118" s="369"/>
      <c r="I118" s="367"/>
      <c r="J118" s="370"/>
      <c r="K118" s="371"/>
      <c r="L118" s="372"/>
      <c r="M118" s="372"/>
      <c r="N118" s="373"/>
      <c r="O118" s="374">
        <f>ROUNDUP(SUM(Таблица2242[[#This Row],[Плановое время в дороге, 
сутки]:[Плановое время простоя, 
сутки]]),0)</f>
        <v>0</v>
      </c>
      <c r="P118" s="374"/>
      <c r="Q118" s="372"/>
      <c r="R118" s="370"/>
      <c r="S118" s="375"/>
      <c r="T118" s="376"/>
      <c r="U118" s="377"/>
      <c r="V118" s="377"/>
      <c r="W118" s="374"/>
      <c r="X118" s="378"/>
      <c r="Y118" s="378"/>
      <c r="Z118" s="32"/>
      <c r="AA118" s="32"/>
      <c r="AB118" s="379"/>
      <c r="AC118" s="380" t="e">
        <f>ROUNDDOWN(30/Таблица2242[[#This Row],[Плановое время в рейсе, 
сутки]],0)</f>
        <v>#DIV/0!</v>
      </c>
      <c r="AD118" s="381" t="e">
        <f>Таблица2242[[#This Row],[Доход, 
грн/рейс]]*Таблица2242[[#This Row],[Возможное количество рейсов в месяц]]</f>
        <v>#DIV/0!</v>
      </c>
      <c r="AE118" s="381" t="e">
        <f>Таблица2242[[#This Row],[Возможное количество рейсов в месяц]]*Таблица2242[[#This Row],[СС 1-го рейса, 
грн/рейс]]</f>
        <v>#DIV/0!</v>
      </c>
      <c r="AF118" s="381" t="e">
        <f>Таблица2242[[#This Row],[Доход в месяц, 
грн]]-Таблица2242[[#This Row],[Затраты на предполагаемые рейсы за месяц, 
грн]]</f>
        <v>#DIV/0!</v>
      </c>
      <c r="AG118" s="367"/>
      <c r="AH118" s="382"/>
    </row>
    <row r="119" spans="1:34" ht="13.2" x14ac:dyDescent="0.25">
      <c r="A119" s="76"/>
      <c r="B119" s="77"/>
      <c r="C119" s="176"/>
      <c r="D119" s="77"/>
      <c r="E119" s="77"/>
      <c r="F119" s="177"/>
      <c r="G119" s="178"/>
      <c r="H119" s="178"/>
      <c r="I119" s="77"/>
      <c r="J119" s="82"/>
      <c r="K119" s="179"/>
      <c r="L119" s="180"/>
      <c r="M119" s="180"/>
      <c r="N119" s="85"/>
      <c r="O119" s="86">
        <f>ROUNDUP(SUM(Таблица2242[[#This Row],[Плановое время в дороге, 
сутки]:[Плановое время простоя, 
сутки]]),0)</f>
        <v>0</v>
      </c>
      <c r="P119" s="86"/>
      <c r="Q119" s="180"/>
      <c r="R119" s="82"/>
      <c r="S119" s="90"/>
      <c r="T119" s="181">
        <v>15600</v>
      </c>
      <c r="U119" s="182">
        <v>480</v>
      </c>
      <c r="V119" s="182"/>
      <c r="W119" s="86">
        <f>SUM(Таблица2242[[#This Row],[Километраж по Украине, 
км]:[Километраж по Европе,
км]])</f>
        <v>480</v>
      </c>
      <c r="X119" s="183">
        <v>15600</v>
      </c>
      <c r="Y119" s="183">
        <f>Таблица2242[[#This Row],[Доход, 
грн/рейс]]/Таблица2242[[#This Row],[Общий километраж, 
км]]</f>
        <v>32.5</v>
      </c>
      <c r="Z119" s="32">
        <f>Таблица2242[[#This Row],[Километраж по Украине, 
км]]*10</f>
        <v>4800</v>
      </c>
      <c r="AA119" s="32">
        <f>Таблица2242[[#This Row],[Километраж по Украине, 
км]]/100*32*57+Таблица2242[[#This Row],[Зарплата водителя, грн]]</f>
        <v>13555.199999999999</v>
      </c>
      <c r="AB119" s="184">
        <f>Таблица2242[[#This Row],[Доход, 
грн/рейс]]-Таблица2242[[#This Row],[СС 1-го рейса, 
грн/рейс]]</f>
        <v>2044.8000000000011</v>
      </c>
      <c r="AC119" s="185" t="e">
        <f>ROUNDDOWN(30/Таблица2242[[#This Row],[Плановое время в рейсе, 
сутки]],0)</f>
        <v>#DIV/0!</v>
      </c>
      <c r="AD119" s="93" t="e">
        <f>Таблица2242[[#This Row],[Доход, 
грн/рейс]]*Таблица2242[[#This Row],[Возможное количество рейсов в месяц]]</f>
        <v>#DIV/0!</v>
      </c>
      <c r="AE119" s="93" t="e">
        <f>Таблица2242[[#This Row],[Возможное количество рейсов в месяц]]*Таблица2242[[#This Row],[СС 1-го рейса, 
грн/рейс]]</f>
        <v>#DIV/0!</v>
      </c>
      <c r="AF119" s="93" t="e">
        <f>Таблица2242[[#This Row],[Доход в месяц, 
грн]]-Таблица2242[[#This Row],[Затраты на предполагаемые рейсы за месяц, 
грн]]</f>
        <v>#DIV/0!</v>
      </c>
      <c r="AG119" s="77"/>
      <c r="AH119" s="186"/>
    </row>
    <row r="120" spans="1:34" ht="13.2" x14ac:dyDescent="0.25">
      <c r="A120" s="76" t="s">
        <v>65</v>
      </c>
      <c r="B120" s="29" t="s">
        <v>34</v>
      </c>
      <c r="C120" s="395"/>
      <c r="D120" s="394"/>
      <c r="E120" s="394"/>
      <c r="F120" s="200">
        <v>45778</v>
      </c>
      <c r="G120" s="396">
        <v>45777.375</v>
      </c>
      <c r="H120" s="396">
        <v>45784.416666666664</v>
      </c>
      <c r="I120" s="29" t="s">
        <v>123</v>
      </c>
      <c r="J120" s="106" t="s">
        <v>52</v>
      </c>
      <c r="K120" s="398"/>
      <c r="L120" s="399"/>
      <c r="M120" s="399"/>
      <c r="N120" s="400"/>
      <c r="O120" s="401">
        <f>ROUNDUP(SUM(Таблица2242[[#This Row],[Плановое время в дороге, 
сутки]:[Плановое время простоя, 
сутки]]),0)</f>
        <v>0</v>
      </c>
      <c r="P120" s="106" t="s">
        <v>52</v>
      </c>
      <c r="Q120" s="180" t="s">
        <v>35</v>
      </c>
      <c r="R120" s="397">
        <v>1</v>
      </c>
      <c r="S120" s="402"/>
      <c r="T120" s="403">
        <v>13500</v>
      </c>
      <c r="U120" s="404">
        <v>266</v>
      </c>
      <c r="V120" s="404"/>
      <c r="W120" s="401">
        <f>SUM(Таблица2242[[#This Row],[Километраж по Украине, 
км]:[Километраж по Европе,
км]])</f>
        <v>266</v>
      </c>
      <c r="X120" s="405">
        <f>Таблица2242[[#This Row],[Вес, т]]*Таблица2242[[#This Row],[Стоимость, 
грн/т]]</f>
        <v>13500</v>
      </c>
      <c r="Y120" s="405">
        <f>Таблица2242[[#This Row],[Доход, 
грн/рейс]]/Таблица2242[[#This Row],[Общий километраж, 
км]]</f>
        <v>50.751879699248121</v>
      </c>
      <c r="Z120" s="32">
        <f>Таблица2242[[#This Row],[Километраж по Украине, 
км]]*10</f>
        <v>2660</v>
      </c>
      <c r="AA120" s="32">
        <f>Таблица2242[[#This Row],[Километраж по Украине, 
км]]/100*32*57+Таблица2242[[#This Row],[Зарплата водителя, грн]]</f>
        <v>7511.84</v>
      </c>
      <c r="AB120" s="406">
        <f>Таблица2242[[#This Row],[Доход, 
грн/рейс]]-Таблица2242[[#This Row],[СС 1-го рейса, 
грн/рейс]]</f>
        <v>5988.16</v>
      </c>
      <c r="AC120" s="407" t="e">
        <f>ROUNDDOWN(30/Таблица2242[[#This Row],[Плановое время в рейсе, 
сутки]],0)</f>
        <v>#DIV/0!</v>
      </c>
      <c r="AD120" s="408" t="e">
        <f>Таблица2242[[#This Row],[Доход, 
грн/рейс]]*Таблица2242[[#This Row],[Возможное количество рейсов в месяц]]</f>
        <v>#DIV/0!</v>
      </c>
      <c r="AE120" s="408" t="e">
        <f>Таблица2242[[#This Row],[Возможное количество рейсов в месяц]]*Таблица2242[[#This Row],[СС 1-го рейса, 
грн/рейс]]</f>
        <v>#DIV/0!</v>
      </c>
      <c r="AF120" s="408" t="e">
        <f>Таблица2242[[#This Row],[Доход в месяц, 
грн]]-Таблица2242[[#This Row],[Затраты на предполагаемые рейсы за месяц, 
грн]]</f>
        <v>#DIV/0!</v>
      </c>
      <c r="AG120" s="394"/>
      <c r="AH120" s="409"/>
    </row>
    <row r="121" spans="1:34" ht="13.2" x14ac:dyDescent="0.25">
      <c r="A121" s="410" t="s">
        <v>181</v>
      </c>
      <c r="B121" s="394"/>
      <c r="C121" s="395"/>
      <c r="D121" s="394"/>
      <c r="E121" s="394"/>
      <c r="F121" s="200">
        <v>45778</v>
      </c>
      <c r="G121" s="396">
        <v>45784.416666666664</v>
      </c>
      <c r="H121" s="396">
        <v>45784.708333333336</v>
      </c>
      <c r="I121" s="351" t="s">
        <v>175</v>
      </c>
      <c r="J121" s="397"/>
      <c r="K121" s="398"/>
      <c r="L121" s="399"/>
      <c r="M121" s="399"/>
      <c r="N121" s="400"/>
      <c r="O121" s="401">
        <f>ROUNDUP(SUM(Таблица2242[[#This Row],[Плановое время в дороге, 
сутки]:[Плановое время простоя, 
сутки]]),0)</f>
        <v>0</v>
      </c>
      <c r="P121" s="106" t="s">
        <v>52</v>
      </c>
      <c r="Q121" s="399" t="s">
        <v>182</v>
      </c>
      <c r="R121" s="397"/>
      <c r="S121" s="402"/>
      <c r="T121" s="403"/>
      <c r="U121" s="404">
        <v>226</v>
      </c>
      <c r="V121" s="404"/>
      <c r="W121" s="401">
        <v>226</v>
      </c>
      <c r="X121" s="405"/>
      <c r="Y121" s="405">
        <f>Таблица2242[[#This Row],[Доход, 
грн/рейс]]/Таблица2242[[#This Row],[Общий километраж, 
км]]</f>
        <v>0</v>
      </c>
      <c r="Z121" s="32">
        <f>Таблица2242[[#This Row],[Километраж по Украине, 
км]]*10</f>
        <v>2260</v>
      </c>
      <c r="AA121" s="32">
        <f>Таблица2242[[#This Row],[Километраж по Украине, 
км]]/100*32*57+Таблица2242[[#This Row],[Зарплата водителя, грн]]</f>
        <v>6382.24</v>
      </c>
      <c r="AB121" s="406">
        <f>Таблица2242[[#This Row],[Доход, 
грн/рейс]]-Таблица2242[[#This Row],[СС 1-го рейса, 
грн/рейс]]</f>
        <v>-6382.24</v>
      </c>
      <c r="AC121" s="407" t="e">
        <f>ROUNDDOWN(30/Таблица2242[[#This Row],[Плановое время в рейсе, 
сутки]],0)</f>
        <v>#DIV/0!</v>
      </c>
      <c r="AD121" s="408" t="e">
        <f>Таблица2242[[#This Row],[Доход, 
грн/рейс]]*Таблица2242[[#This Row],[Возможное количество рейсов в месяц]]</f>
        <v>#DIV/0!</v>
      </c>
      <c r="AE121" s="408" t="e">
        <f>Таблица2242[[#This Row],[Возможное количество рейсов в месяц]]*Таблица2242[[#This Row],[СС 1-го рейса, 
грн/рейс]]</f>
        <v>#DIV/0!</v>
      </c>
      <c r="AF121" s="408" t="e">
        <f>Таблица2242[[#This Row],[Доход в месяц, 
грн]]-Таблица2242[[#This Row],[Затраты на предполагаемые рейсы за месяц, 
грн]]</f>
        <v>#DIV/0!</v>
      </c>
      <c r="AG121" s="1" t="s">
        <v>183</v>
      </c>
      <c r="AH121" s="409"/>
    </row>
    <row r="122" spans="1:34" ht="13.2" x14ac:dyDescent="0.25">
      <c r="A122" s="76" t="s">
        <v>55</v>
      </c>
      <c r="B122" s="29" t="s">
        <v>34</v>
      </c>
      <c r="C122" s="395"/>
      <c r="D122" s="394"/>
      <c r="E122" s="394"/>
      <c r="F122" s="200">
        <v>45778</v>
      </c>
      <c r="G122" s="396">
        <v>45784.708333333336</v>
      </c>
      <c r="H122" s="396">
        <v>45786.625</v>
      </c>
      <c r="I122" s="77" t="s">
        <v>184</v>
      </c>
      <c r="J122" s="397"/>
      <c r="K122" s="398"/>
      <c r="L122" s="399"/>
      <c r="M122" s="399"/>
      <c r="N122" s="400"/>
      <c r="O122" s="401">
        <f>ROUNDUP(SUM(Таблица2242[[#This Row],[Плановое время в дороге, 
сутки]:[Плановое время простоя, 
сутки]]),0)</f>
        <v>0</v>
      </c>
      <c r="P122" s="106" t="s">
        <v>52</v>
      </c>
      <c r="Q122" s="180" t="s">
        <v>35</v>
      </c>
      <c r="R122" s="397">
        <v>1</v>
      </c>
      <c r="S122" s="402"/>
      <c r="T122" s="403">
        <v>9100</v>
      </c>
      <c r="U122" s="404">
        <v>259</v>
      </c>
      <c r="V122" s="404"/>
      <c r="W122" s="401">
        <v>259</v>
      </c>
      <c r="X122" s="405">
        <v>9100</v>
      </c>
      <c r="Y122" s="405">
        <f>Таблица2242[[#This Row],[Доход, 
грн/рейс]]/Таблица2242[[#This Row],[Общий километраж, 
км]]</f>
        <v>35.135135135135137</v>
      </c>
      <c r="Z122" s="32">
        <f>Таблица2242[[#This Row],[Километраж по Украине, 
км]]*10</f>
        <v>2590</v>
      </c>
      <c r="AA122" s="32">
        <f>Таблица2242[[#This Row],[Километраж по Украине, 
км]]/100*32*57+Таблица2242[[#This Row],[Зарплата водителя, грн]]</f>
        <v>7314.16</v>
      </c>
      <c r="AB122" s="406">
        <f>Таблица2242[[#This Row],[Доход, 
грн/рейс]]-Таблица2242[[#This Row],[СС 1-го рейса, 
грн/рейс]]</f>
        <v>1785.8400000000001</v>
      </c>
      <c r="AC122" s="407" t="e">
        <f>ROUNDDOWN(30/Таблица2242[[#This Row],[Плановое время в рейсе, 
сутки]],0)</f>
        <v>#DIV/0!</v>
      </c>
      <c r="AD122" s="408" t="e">
        <f>Таблица2242[[#This Row],[Доход, 
грн/рейс]]*Таблица2242[[#This Row],[Возможное количество рейсов в месяц]]</f>
        <v>#DIV/0!</v>
      </c>
      <c r="AE122" s="408" t="e">
        <f>Таблица2242[[#This Row],[Возможное количество рейсов в месяц]]*Таблица2242[[#This Row],[СС 1-го рейса, 
грн/рейс]]</f>
        <v>#DIV/0!</v>
      </c>
      <c r="AF122" s="408" t="e">
        <f>Таблица2242[[#This Row],[Доход в месяц, 
грн]]-Таблица2242[[#This Row],[Затраты на предполагаемые рейсы за месяц, 
грн]]</f>
        <v>#DIV/0!</v>
      </c>
      <c r="AG122" s="394"/>
      <c r="AH122" s="409"/>
    </row>
    <row r="123" spans="1:34" ht="13.2" x14ac:dyDescent="0.25">
      <c r="A123" s="76" t="s">
        <v>55</v>
      </c>
      <c r="B123" s="29" t="s">
        <v>34</v>
      </c>
      <c r="C123" s="176"/>
      <c r="D123" s="77"/>
      <c r="E123" s="77"/>
      <c r="F123" s="200">
        <v>45778</v>
      </c>
      <c r="G123" s="396">
        <v>45786.625</v>
      </c>
      <c r="H123" s="396">
        <v>45790.75</v>
      </c>
      <c r="I123" s="77" t="s">
        <v>185</v>
      </c>
      <c r="J123" s="82"/>
      <c r="K123" s="179"/>
      <c r="L123" s="180"/>
      <c r="M123" s="180"/>
      <c r="N123" s="85"/>
      <c r="O123" s="86">
        <f>ROUNDUP(SUM(Таблица2242[[#This Row],[Плановое время в дороге, 
сутки]:[Плановое время простоя, 
сутки]]),0)</f>
        <v>0</v>
      </c>
      <c r="P123" s="106" t="s">
        <v>52</v>
      </c>
      <c r="Q123" s="180" t="s">
        <v>35</v>
      </c>
      <c r="R123" s="82">
        <v>1</v>
      </c>
      <c r="S123" s="90"/>
      <c r="T123" s="181">
        <v>8190</v>
      </c>
      <c r="U123" s="182">
        <v>234</v>
      </c>
      <c r="V123" s="182"/>
      <c r="W123" s="86">
        <f>SUM(Таблица2242[[#This Row],[Километраж по Украине, 
км]:[Километраж по Европе,
км]])</f>
        <v>234</v>
      </c>
      <c r="X123" s="183">
        <f>Таблица2242[[#This Row],[Вес, т]]*Таблица2242[[#This Row],[Стоимость, 
грн/т]]</f>
        <v>8190</v>
      </c>
      <c r="Y123" s="405">
        <f>Таблица2242[[#This Row],[Доход, 
грн/рейс]]/Таблица2242[[#This Row],[Общий километраж, 
км]]</f>
        <v>35</v>
      </c>
      <c r="Z123" s="32">
        <f>Таблица2242[[#This Row],[Километраж по Украине, 
км]]*10</f>
        <v>2340</v>
      </c>
      <c r="AA123" s="32">
        <f>Таблица2242[[#This Row],[Километраж по Украине, 
км]]/100*32*57+Таблица2242[[#This Row],[Зарплата водителя, грн]]</f>
        <v>6608.16</v>
      </c>
      <c r="AB123" s="184">
        <f>Таблица2242[[#This Row],[Доход, 
грн/рейс]]-Таблица2242[[#This Row],[СС 1-го рейса, 
грн/рейс]]</f>
        <v>1581.8400000000001</v>
      </c>
      <c r="AC123" s="185" t="e">
        <f>ROUNDDOWN(30/Таблица2242[[#This Row],[Плановое время в рейсе, 
сутки]],0)</f>
        <v>#DIV/0!</v>
      </c>
      <c r="AD123" s="93" t="e">
        <f>Таблица2242[[#This Row],[Доход, 
грн/рейс]]*Таблица2242[[#This Row],[Возможное количество рейсов в месяц]]</f>
        <v>#DIV/0!</v>
      </c>
      <c r="AE123" s="93" t="e">
        <f>Таблица2242[[#This Row],[Возможное количество рейсов в месяц]]*Таблица2242[[#This Row],[СС 1-го рейса, 
грн/рейс]]</f>
        <v>#DIV/0!</v>
      </c>
      <c r="AF123" s="93" t="e">
        <f>Таблица2242[[#This Row],[Доход в месяц, 
грн]]-Таблица2242[[#This Row],[Затраты на предполагаемые рейсы за месяц, 
грн]]</f>
        <v>#DIV/0!</v>
      </c>
      <c r="AG123" s="1" t="s">
        <v>132</v>
      </c>
      <c r="AH123" s="186"/>
    </row>
    <row r="124" spans="1:34" ht="13.2" x14ac:dyDescent="0.25">
      <c r="A124" s="335" t="s">
        <v>148</v>
      </c>
      <c r="B124" s="29" t="s">
        <v>34</v>
      </c>
      <c r="C124" s="412"/>
      <c r="D124" s="411"/>
      <c r="E124" s="411"/>
      <c r="F124" s="200">
        <v>45778</v>
      </c>
      <c r="G124" s="396">
        <v>45790.75</v>
      </c>
      <c r="H124" s="396">
        <v>45791.583333333336</v>
      </c>
      <c r="I124" s="411" t="s">
        <v>186</v>
      </c>
      <c r="J124" s="413"/>
      <c r="K124" s="414"/>
      <c r="L124" s="415"/>
      <c r="M124" s="415"/>
      <c r="N124" s="416"/>
      <c r="O124" s="417">
        <f>ROUNDUP(SUM(Таблица2242[[#This Row],[Плановое время в дороге, 
сутки]:[Плановое время простоя, 
сутки]]),0)</f>
        <v>0</v>
      </c>
      <c r="P124" s="106" t="s">
        <v>52</v>
      </c>
      <c r="Q124" s="180" t="s">
        <v>35</v>
      </c>
      <c r="R124" s="413">
        <v>1</v>
      </c>
      <c r="S124" s="418"/>
      <c r="T124" s="419">
        <v>61200</v>
      </c>
      <c r="U124" s="420">
        <v>777</v>
      </c>
      <c r="V124" s="420"/>
      <c r="W124" s="417">
        <f>SUM(Таблица2242[[#This Row],[Километраж по Украине, 
км]:[Километраж по Европе,
км]])</f>
        <v>777</v>
      </c>
      <c r="X124" s="421">
        <f>Таблица2242[[#This Row],[Вес, т]]*Таблица2242[[#This Row],[Стоимость, 
грн/т]]</f>
        <v>61200</v>
      </c>
      <c r="Y124" s="421">
        <f>Таблица2242[[#This Row],[Доход, 
грн/рейс]]/Таблица2242[[#This Row],[Общий километраж, 
км]]</f>
        <v>78.764478764478767</v>
      </c>
      <c r="Z124" s="32">
        <f>Таблица2242[[#This Row],[Километраж по Украине, 
км]]*10</f>
        <v>7770</v>
      </c>
      <c r="AA124" s="32">
        <f>Таблица2242[[#This Row],[Километраж по Украине, 
км]]/100*32*57+Таблица2242[[#This Row],[Зарплата водителя, грн]]</f>
        <v>21942.48</v>
      </c>
      <c r="AB124" s="422">
        <f>Таблица2242[[#This Row],[Доход, 
грн/рейс]]-Таблица2242[[#This Row],[СС 1-го рейса, 
грн/рейс]]</f>
        <v>39257.520000000004</v>
      </c>
      <c r="AC124" s="423" t="e">
        <f>ROUNDDOWN(30/Таблица2242[[#This Row],[Плановое время в рейсе, 
сутки]],0)</f>
        <v>#DIV/0!</v>
      </c>
      <c r="AD124" s="424" t="e">
        <f>Таблица2242[[#This Row],[Доход, 
грн/рейс]]*Таблица2242[[#This Row],[Возможное количество рейсов в месяц]]</f>
        <v>#DIV/0!</v>
      </c>
      <c r="AE124" s="424" t="e">
        <f>Таблица2242[[#This Row],[Возможное количество рейсов в месяц]]*Таблица2242[[#This Row],[СС 1-го рейса, 
грн/рейс]]</f>
        <v>#DIV/0!</v>
      </c>
      <c r="AF124" s="424" t="e">
        <f>Таблица2242[[#This Row],[Доход в месяц, 
грн]]-Таблица2242[[#This Row],[Затраты на предполагаемые рейсы за месяц, 
грн]]</f>
        <v>#DIV/0!</v>
      </c>
      <c r="AG124" s="1" t="s">
        <v>188</v>
      </c>
      <c r="AH124" s="425"/>
    </row>
    <row r="125" spans="1:34" ht="13.2" x14ac:dyDescent="0.25">
      <c r="A125" s="426" t="s">
        <v>103</v>
      </c>
      <c r="B125" s="29" t="s">
        <v>34</v>
      </c>
      <c r="C125" s="412"/>
      <c r="D125" s="411"/>
      <c r="E125" s="411"/>
      <c r="F125" s="200">
        <v>45778</v>
      </c>
      <c r="G125" s="396">
        <v>45791.583333333336</v>
      </c>
      <c r="H125" s="396">
        <v>45797.583333333336</v>
      </c>
      <c r="I125" s="77" t="s">
        <v>187</v>
      </c>
      <c r="J125" s="413"/>
      <c r="K125" s="414"/>
      <c r="L125" s="415"/>
      <c r="M125" s="415"/>
      <c r="N125" s="416"/>
      <c r="O125" s="417">
        <f>ROUNDUP(SUM(Таблица2242[[#This Row],[Плановое время в дороге, 
сутки]:[Плановое время простоя, 
сутки]]),0)</f>
        <v>0</v>
      </c>
      <c r="P125" s="106" t="s">
        <v>52</v>
      </c>
      <c r="Q125" s="180" t="s">
        <v>35</v>
      </c>
      <c r="R125" s="413">
        <v>1</v>
      </c>
      <c r="S125" s="418"/>
      <c r="T125" s="419">
        <v>44000</v>
      </c>
      <c r="U125" s="420">
        <v>591</v>
      </c>
      <c r="V125" s="420"/>
      <c r="W125" s="417">
        <v>591</v>
      </c>
      <c r="X125" s="421">
        <v>44000</v>
      </c>
      <c r="Y125" s="421">
        <f>Таблица2242[[#This Row],[Доход, 
грн/рейс]]/Таблица2242[[#This Row],[Общий километраж, 
км]]</f>
        <v>74.450084602368861</v>
      </c>
      <c r="Z125" s="32">
        <f>Таблица2242[[#This Row],[Километраж по Украине, 
км]]*10+750+1500*5</f>
        <v>14160</v>
      </c>
      <c r="AA125" s="32">
        <f>Таблица2242[[#This Row],[Километраж по Украине, 
км]]/100*32*57+Таблица2242[[#This Row],[Зарплата водителя, грн]]</f>
        <v>24939.84</v>
      </c>
      <c r="AB125" s="422">
        <f>Таблица2242[[#This Row],[Доход, 
грн/рейс]]-Таблица2242[[#This Row],[СС 1-го рейса, 
грн/рейс]]</f>
        <v>19060.16</v>
      </c>
      <c r="AC125" s="423" t="e">
        <f>ROUNDDOWN(30/Таблица2242[[#This Row],[Плановое время в рейсе, 
сутки]],0)</f>
        <v>#DIV/0!</v>
      </c>
      <c r="AD125" s="424" t="e">
        <f>Таблица2242[[#This Row],[Доход, 
грн/рейс]]*Таблица2242[[#This Row],[Возможное количество рейсов в месяц]]</f>
        <v>#DIV/0!</v>
      </c>
      <c r="AE125" s="424" t="e">
        <f>Таблица2242[[#This Row],[Возможное количество рейсов в месяц]]*Таблица2242[[#This Row],[СС 1-го рейса, 
грн/рейс]]</f>
        <v>#DIV/0!</v>
      </c>
      <c r="AF125" s="424" t="e">
        <f>Таблица2242[[#This Row],[Доход в месяц, 
грн]]-Таблица2242[[#This Row],[Затраты на предполагаемые рейсы за месяц, 
грн]]</f>
        <v>#DIV/0!</v>
      </c>
      <c r="AG125" s="1" t="s">
        <v>192</v>
      </c>
      <c r="AH125" s="425"/>
    </row>
    <row r="126" spans="1:34" ht="13.2" x14ac:dyDescent="0.25">
      <c r="A126" s="76" t="s">
        <v>65</v>
      </c>
      <c r="B126" s="29" t="s">
        <v>34</v>
      </c>
      <c r="C126" s="412"/>
      <c r="D126" s="411"/>
      <c r="E126" s="411"/>
      <c r="F126" s="200">
        <v>45778</v>
      </c>
      <c r="G126" s="306">
        <v>45764.708333333336</v>
      </c>
      <c r="H126" s="396">
        <v>45797.875</v>
      </c>
      <c r="I126" s="29" t="s">
        <v>123</v>
      </c>
      <c r="J126" s="413"/>
      <c r="K126" s="414"/>
      <c r="L126" s="415"/>
      <c r="M126" s="415"/>
      <c r="N126" s="416"/>
      <c r="O126" s="417">
        <f>ROUNDUP(SUM(Таблица2242[[#This Row],[Плановое время в дороге, 
сутки]:[Плановое время простоя, 
сутки]]),0)</f>
        <v>0</v>
      </c>
      <c r="P126" s="417" t="s">
        <v>95</v>
      </c>
      <c r="Q126" s="180" t="s">
        <v>35</v>
      </c>
      <c r="R126" s="413">
        <v>1</v>
      </c>
      <c r="S126" s="418"/>
      <c r="T126" s="419">
        <v>13380</v>
      </c>
      <c r="U126" s="420">
        <v>376</v>
      </c>
      <c r="V126" s="420"/>
      <c r="W126" s="417">
        <f>SUM(Таблица2242[[#This Row],[Километраж по Украине, 
км]:[Километраж по Европе,
км]])</f>
        <v>376</v>
      </c>
      <c r="X126" s="421">
        <f>Таблица2242[[#This Row],[Вес, т]]*Таблица2242[[#This Row],[Стоимость, 
грн/т]]</f>
        <v>13380</v>
      </c>
      <c r="Y126" s="421">
        <f>Таблица2242[[#This Row],[Доход, 
грн/рейс]]/Таблица2242[[#This Row],[Общий километраж, 
км]]</f>
        <v>35.585106382978722</v>
      </c>
      <c r="Z126" s="32">
        <f>Таблица2242[[#This Row],[Километраж по Украине, 
км]]*10</f>
        <v>3760</v>
      </c>
      <c r="AA126" s="32">
        <f>Таблица2242[[#This Row],[Километраж по Украине, 
км]]/100*32*57+Таблица2242[[#This Row],[Зарплата водителя, грн]]</f>
        <v>10618.24</v>
      </c>
      <c r="AB126" s="422">
        <f>Таблица2242[[#This Row],[Доход, 
грн/рейс]]-Таблица2242[[#This Row],[СС 1-го рейса, 
грн/рейс]]</f>
        <v>2761.76</v>
      </c>
      <c r="AC126" s="423" t="e">
        <f>ROUNDDOWN(30/Таблица2242[[#This Row],[Плановое время в рейсе, 
сутки]],0)</f>
        <v>#DIV/0!</v>
      </c>
      <c r="AD126" s="424" t="e">
        <f>Таблица2242[[#This Row],[Доход, 
грн/рейс]]*Таблица2242[[#This Row],[Возможное количество рейсов в месяц]]</f>
        <v>#DIV/0!</v>
      </c>
      <c r="AE126" s="424" t="e">
        <f>Таблица2242[[#This Row],[Возможное количество рейсов в месяц]]*Таблица2242[[#This Row],[СС 1-го рейса, 
грн/рейс]]</f>
        <v>#DIV/0!</v>
      </c>
      <c r="AF126" s="424" t="e">
        <f>Таблица2242[[#This Row],[Доход в месяц, 
грн]]-Таблица2242[[#This Row],[Затраты на предполагаемые рейсы за месяц, 
грн]]</f>
        <v>#DIV/0!</v>
      </c>
      <c r="AG126" s="411"/>
      <c r="AH126" s="425"/>
    </row>
    <row r="127" spans="1:34" ht="26.4" x14ac:dyDescent="0.25">
      <c r="A127" s="427" t="s">
        <v>70</v>
      </c>
      <c r="B127" s="29" t="s">
        <v>34</v>
      </c>
      <c r="C127" s="412"/>
      <c r="D127" s="411"/>
      <c r="E127" s="411"/>
      <c r="F127" s="200">
        <v>45778</v>
      </c>
      <c r="G127" s="396">
        <v>45797.583333333336</v>
      </c>
      <c r="H127" s="396">
        <v>45799.416666666664</v>
      </c>
      <c r="I127" s="77" t="s">
        <v>173</v>
      </c>
      <c r="J127" s="413"/>
      <c r="K127" s="414"/>
      <c r="L127" s="415"/>
      <c r="M127" s="415"/>
      <c r="N127" s="416"/>
      <c r="O127" s="417">
        <f>ROUNDUP(SUM(Таблица2242[[#This Row],[Плановое время в дороге, 
сутки]:[Плановое время простоя, 
сутки]]),0)</f>
        <v>0</v>
      </c>
      <c r="P127" s="106" t="s">
        <v>52</v>
      </c>
      <c r="Q127" s="64" t="s">
        <v>36</v>
      </c>
      <c r="R127" s="413">
        <v>1</v>
      </c>
      <c r="S127" s="418"/>
      <c r="T127" s="419">
        <v>12000</v>
      </c>
      <c r="U127" s="420">
        <v>423</v>
      </c>
      <c r="V127" s="420"/>
      <c r="W127" s="417">
        <f>SUM(Таблица2242[[#This Row],[Километраж по Украине, 
км]:[Километраж по Европе,
км]])</f>
        <v>423</v>
      </c>
      <c r="X127" s="421">
        <f>Таблица2242[[#This Row],[Вес, т]]*Таблица2242[[#This Row],[Стоимость, 
грн/т]]</f>
        <v>12000</v>
      </c>
      <c r="Y127" s="421">
        <f>Таблица2242[[#This Row],[Доход, 
грн/рейс]]/Таблица2242[[#This Row],[Общий километраж, 
км]]</f>
        <v>28.368794326241133</v>
      </c>
      <c r="Z127" s="32">
        <f>Таблица2242[[#This Row],[Километраж по Украине, 
км]]*10</f>
        <v>4230</v>
      </c>
      <c r="AA127" s="32">
        <f>Таблица2242[[#This Row],[Километраж по Украине, 
км]]/100*32*57+Таблица2242[[#This Row],[Зарплата водителя, грн]]</f>
        <v>11945.52</v>
      </c>
      <c r="AB127" s="422">
        <f>Таблица2242[[#This Row],[Доход, 
грн/рейс]]-Таблица2242[[#This Row],[СС 1-го рейса, 
грн/рейс]]</f>
        <v>54.479999999999563</v>
      </c>
      <c r="AC127" s="423" t="e">
        <f>ROUNDDOWN(30/Таблица2242[[#This Row],[Плановое время в рейсе, 
сутки]],0)</f>
        <v>#DIV/0!</v>
      </c>
      <c r="AD127" s="424" t="e">
        <f>Таблица2242[[#This Row],[Доход, 
грн/рейс]]*Таблица2242[[#This Row],[Возможное количество рейсов в месяц]]</f>
        <v>#DIV/0!</v>
      </c>
      <c r="AE127" s="424" t="e">
        <f>Таблица2242[[#This Row],[Возможное количество рейсов в месяц]]*Таблица2242[[#This Row],[СС 1-го рейса, 
грн/рейс]]</f>
        <v>#DIV/0!</v>
      </c>
      <c r="AF127" s="424" t="e">
        <f>Таблица2242[[#This Row],[Доход в месяц, 
грн]]-Таблица2242[[#This Row],[Затраты на предполагаемые рейсы за месяц, 
грн]]</f>
        <v>#DIV/0!</v>
      </c>
      <c r="AG127" s="411"/>
      <c r="AH127" s="425"/>
    </row>
    <row r="128" spans="1:34" ht="13.2" x14ac:dyDescent="0.25">
      <c r="A128" s="426" t="s">
        <v>55</v>
      </c>
      <c r="B128" s="29" t="s">
        <v>34</v>
      </c>
      <c r="C128" s="412"/>
      <c r="D128" s="411"/>
      <c r="E128" s="411"/>
      <c r="F128" s="200">
        <v>45778</v>
      </c>
      <c r="G128" s="396">
        <v>45797.875</v>
      </c>
      <c r="H128" s="396">
        <v>45798.75</v>
      </c>
      <c r="I128" s="411" t="s">
        <v>189</v>
      </c>
      <c r="J128" s="413"/>
      <c r="K128" s="414"/>
      <c r="L128" s="415"/>
      <c r="M128" s="415"/>
      <c r="N128" s="416"/>
      <c r="O128" s="417">
        <f>ROUNDUP(SUM(Таблица2242[[#This Row],[Плановое время в дороге, 
сутки]:[Плановое время простоя, 
сутки]]),0)</f>
        <v>0</v>
      </c>
      <c r="P128" s="417" t="s">
        <v>95</v>
      </c>
      <c r="Q128" s="180" t="s">
        <v>35</v>
      </c>
      <c r="R128" s="413">
        <v>1</v>
      </c>
      <c r="S128" s="418"/>
      <c r="T128" s="419">
        <v>7630</v>
      </c>
      <c r="U128" s="420">
        <v>109</v>
      </c>
      <c r="V128" s="420"/>
      <c r="W128" s="417">
        <f>SUM(Таблица2242[[#This Row],[Километраж по Украине, 
км]:[Километраж по Европе,
км]])</f>
        <v>109</v>
      </c>
      <c r="X128" s="421">
        <f>Таблица2242[[#This Row],[Вес, т]]*Таблица2242[[#This Row],[Стоимость, 
грн/т]]</f>
        <v>7630</v>
      </c>
      <c r="Y128" s="421">
        <f>Таблица2242[[#This Row],[Доход, 
грн/рейс]]/Таблица2242[[#This Row],[Общий километраж, 
км]]</f>
        <v>70</v>
      </c>
      <c r="Z128" s="32">
        <f>Таблица2242[[#This Row],[Километраж по Украине, 
км]]*10</f>
        <v>1090</v>
      </c>
      <c r="AA128" s="32">
        <f>Таблица2242[[#This Row],[Километраж по Украине, 
км]]/100*32*57+Таблица2242[[#This Row],[Зарплата водителя, грн]]</f>
        <v>3078.16</v>
      </c>
      <c r="AB128" s="422">
        <f>Таблица2242[[#This Row],[Доход, 
грн/рейс]]-Таблица2242[[#This Row],[СС 1-го рейса, 
грн/рейс]]</f>
        <v>4551.84</v>
      </c>
      <c r="AC128" s="423" t="e">
        <f>ROUNDDOWN(30/Таблица2242[[#This Row],[Плановое время в рейсе, 
сутки]],0)</f>
        <v>#DIV/0!</v>
      </c>
      <c r="AD128" s="424" t="e">
        <f>Таблица2242[[#This Row],[Доход, 
грн/рейс]]*Таблица2242[[#This Row],[Возможное количество рейсов в месяц]]</f>
        <v>#DIV/0!</v>
      </c>
      <c r="AE128" s="424" t="e">
        <f>Таблица2242[[#This Row],[Возможное количество рейсов в месяц]]*Таблица2242[[#This Row],[СС 1-го рейса, 
грн/рейс]]</f>
        <v>#DIV/0!</v>
      </c>
      <c r="AF128" s="424" t="e">
        <f>Таблица2242[[#This Row],[Доход в месяц, 
грн]]-Таблица2242[[#This Row],[Затраты на предполагаемые рейсы за месяц, 
грн]]</f>
        <v>#DIV/0!</v>
      </c>
      <c r="AG128" s="411"/>
      <c r="AH128" s="425"/>
    </row>
    <row r="129" spans="1:34" ht="13.2" x14ac:dyDescent="0.25">
      <c r="A129" s="428" t="s">
        <v>89</v>
      </c>
      <c r="B129" s="29" t="s">
        <v>34</v>
      </c>
      <c r="C129" s="176" t="s">
        <v>43</v>
      </c>
      <c r="D129" s="411"/>
      <c r="E129" s="411"/>
      <c r="F129" s="200">
        <v>45778</v>
      </c>
      <c r="G129" s="396">
        <v>45798.75</v>
      </c>
      <c r="H129" s="396">
        <v>45799.75</v>
      </c>
      <c r="I129" s="77" t="s">
        <v>190</v>
      </c>
      <c r="J129" s="413"/>
      <c r="K129" s="414"/>
      <c r="L129" s="415"/>
      <c r="M129" s="415"/>
      <c r="N129" s="416"/>
      <c r="O129" s="417">
        <f>ROUNDUP(SUM(Таблица2242[[#This Row],[Плановое время в дороге, 
сутки]:[Плановое время простоя, 
сутки]]),0)</f>
        <v>0</v>
      </c>
      <c r="P129" s="417" t="s">
        <v>95</v>
      </c>
      <c r="Q129" s="64" t="s">
        <v>36</v>
      </c>
      <c r="R129" s="413">
        <v>1</v>
      </c>
      <c r="S129" s="418"/>
      <c r="T129" s="419">
        <v>4200</v>
      </c>
      <c r="U129" s="420">
        <v>112</v>
      </c>
      <c r="V129" s="420"/>
      <c r="W129" s="417">
        <f>SUM(Таблица2242[[#This Row],[Километраж по Украине, 
км]:[Километраж по Европе,
км]])</f>
        <v>112</v>
      </c>
      <c r="X129" s="421">
        <f>Таблица2242[[#This Row],[Вес, т]]*Таблица2242[[#This Row],[Стоимость, 
грн/т]]</f>
        <v>4200</v>
      </c>
      <c r="Y129" s="421">
        <f>Таблица2242[[#This Row],[Доход, 
грн/рейс]]/Таблица2242[[#This Row],[Общий километраж, 
км]]</f>
        <v>37.5</v>
      </c>
      <c r="Z129" s="32">
        <f>Таблица2242[[#This Row],[Километраж по Украине, 
км]]*10</f>
        <v>1120</v>
      </c>
      <c r="AA129" s="32">
        <f>Таблица2242[[#This Row],[Километраж по Украине, 
км]]/100*32*57+Таблица2242[[#This Row],[Зарплата водителя, грн]]</f>
        <v>3162.88</v>
      </c>
      <c r="AB129" s="422">
        <f>Таблица2242[[#This Row],[Доход, 
грн/рейс]]-Таблица2242[[#This Row],[СС 1-го рейса, 
грн/рейс]]</f>
        <v>1037.1199999999999</v>
      </c>
      <c r="AC129" s="423" t="e">
        <f>ROUNDDOWN(30/Таблица2242[[#This Row],[Плановое время в рейсе, 
сутки]],0)</f>
        <v>#DIV/0!</v>
      </c>
      <c r="AD129" s="424" t="e">
        <f>Таблица2242[[#This Row],[Доход, 
грн/рейс]]*Таблица2242[[#This Row],[Возможное количество рейсов в месяц]]</f>
        <v>#DIV/0!</v>
      </c>
      <c r="AE129" s="424" t="e">
        <f>Таблица2242[[#This Row],[Возможное количество рейсов в месяц]]*Таблица2242[[#This Row],[СС 1-го рейса, 
грн/рейс]]</f>
        <v>#DIV/0!</v>
      </c>
      <c r="AF129" s="424" t="e">
        <f>Таблица2242[[#This Row],[Доход в месяц, 
грн]]-Таблица2242[[#This Row],[Затраты на предполагаемые рейсы за месяц, 
грн]]</f>
        <v>#DIV/0!</v>
      </c>
      <c r="AG129" s="1" t="s">
        <v>191</v>
      </c>
      <c r="AH129" s="425"/>
    </row>
    <row r="130" spans="1:34" ht="13.2" x14ac:dyDescent="0.25">
      <c r="A130" s="335" t="s">
        <v>148</v>
      </c>
      <c r="B130" s="29" t="s">
        <v>34</v>
      </c>
      <c r="C130" s="176"/>
      <c r="D130" s="77"/>
      <c r="E130" s="77"/>
      <c r="F130" s="200">
        <v>45778</v>
      </c>
      <c r="G130" s="396">
        <v>45799.416666666664</v>
      </c>
      <c r="H130" s="396">
        <v>45805.5625</v>
      </c>
      <c r="I130" s="411" t="s">
        <v>193</v>
      </c>
      <c r="J130" s="82"/>
      <c r="K130" s="179"/>
      <c r="L130" s="180"/>
      <c r="M130" s="180"/>
      <c r="N130" s="85"/>
      <c r="O130" s="86">
        <f>ROUNDUP(SUM(Таблица2242[[#This Row],[Плановое время в дороге, 
сутки]:[Плановое время простоя, 
сутки]]),0)</f>
        <v>0</v>
      </c>
      <c r="P130" s="106" t="s">
        <v>52</v>
      </c>
      <c r="Q130" s="180" t="s">
        <v>35</v>
      </c>
      <c r="R130" s="82">
        <v>1</v>
      </c>
      <c r="S130" s="90"/>
      <c r="T130" s="181">
        <v>44800</v>
      </c>
      <c r="U130" s="182">
        <v>599</v>
      </c>
      <c r="V130" s="182"/>
      <c r="W130" s="86">
        <v>599</v>
      </c>
      <c r="X130" s="183">
        <v>44800</v>
      </c>
      <c r="Y130" s="183">
        <f>Таблица2242[[#This Row],[Доход, 
грн/рейс]]/Таблица2242[[#This Row],[Общий километраж, 
км]]</f>
        <v>74.791318864774624</v>
      </c>
      <c r="Z130" s="32">
        <f>Таблица2242[[#This Row],[Километраж по Украине, 
км]]*10</f>
        <v>5990</v>
      </c>
      <c r="AA130" s="32">
        <f>Таблица2242[[#This Row],[Километраж по Украине, 
км]]/100*32*57+Таблица2242[[#This Row],[Зарплата водителя, грн]]</f>
        <v>16915.760000000002</v>
      </c>
      <c r="AB130" s="184">
        <f>Таблица2242[[#This Row],[Доход, 
грн/рейс]]-Таблица2242[[#This Row],[СС 1-го рейса, 
грн/рейс]]</f>
        <v>27884.239999999998</v>
      </c>
      <c r="AC130" s="185" t="e">
        <f>ROUNDDOWN(30/Таблица2242[[#This Row],[Плановое время в рейсе, 
сутки]],0)</f>
        <v>#DIV/0!</v>
      </c>
      <c r="AD130" s="93" t="e">
        <f>Таблица2242[[#This Row],[Доход, 
грн/рейс]]*Таблица2242[[#This Row],[Возможное количество рейсов в месяц]]</f>
        <v>#DIV/0!</v>
      </c>
      <c r="AE130" s="93" t="e">
        <f>Таблица2242[[#This Row],[Возможное количество рейсов в месяц]]*Таблица2242[[#This Row],[СС 1-го рейса, 
грн/рейс]]</f>
        <v>#DIV/0!</v>
      </c>
      <c r="AF130" s="93" t="e">
        <f>Таблица2242[[#This Row],[Доход в месяц, 
грн]]-Таблица2242[[#This Row],[Затраты на предполагаемые рейсы за месяц, 
грн]]</f>
        <v>#DIV/0!</v>
      </c>
      <c r="AG130" s="1" t="s">
        <v>208</v>
      </c>
      <c r="AH130" s="186"/>
    </row>
    <row r="131" spans="1:34" ht="13.2" x14ac:dyDescent="0.25">
      <c r="A131" s="426" t="s">
        <v>148</v>
      </c>
      <c r="B131" s="29" t="s">
        <v>34</v>
      </c>
      <c r="C131" s="412"/>
      <c r="D131" s="411"/>
      <c r="E131" s="411"/>
      <c r="F131" s="200">
        <v>45778</v>
      </c>
      <c r="G131" s="396">
        <v>45799.75</v>
      </c>
      <c r="H131" s="396">
        <v>45805.5625</v>
      </c>
      <c r="I131" s="411" t="s">
        <v>193</v>
      </c>
      <c r="J131" s="413"/>
      <c r="K131" s="414"/>
      <c r="L131" s="415"/>
      <c r="M131" s="415"/>
      <c r="N131" s="416"/>
      <c r="O131" s="417">
        <f>ROUNDUP(SUM(Таблица2242[[#This Row],[Плановое время в дороге, 
сутки]:[Плановое время простоя, 
сутки]]),0)</f>
        <v>0</v>
      </c>
      <c r="P131" s="417" t="s">
        <v>95</v>
      </c>
      <c r="Q131" s="180" t="s">
        <v>35</v>
      </c>
      <c r="R131" s="413">
        <v>1</v>
      </c>
      <c r="S131" s="418"/>
      <c r="T131" s="419">
        <v>44800</v>
      </c>
      <c r="U131" s="420">
        <v>560</v>
      </c>
      <c r="V131" s="420"/>
      <c r="W131" s="417">
        <f>SUM(Таблица2242[[#This Row],[Километраж по Украине, 
км]:[Километраж по Европе,
км]])</f>
        <v>560</v>
      </c>
      <c r="X131" s="421">
        <f>Таблица2242[[#This Row],[Вес, т]]*Таблица2242[[#This Row],[Стоимость, 
грн/т]]</f>
        <v>44800</v>
      </c>
      <c r="Y131" s="421">
        <f>Таблица2242[[#This Row],[Доход, 
грн/рейс]]/Таблица2242[[#This Row],[Общий километраж, 
км]]</f>
        <v>80</v>
      </c>
      <c r="Z131" s="32">
        <f>Таблица2242[[#This Row],[Километраж по Украине, 
км]]*10</f>
        <v>5600</v>
      </c>
      <c r="AA131" s="32">
        <f>Таблица2242[[#This Row],[Километраж по Украине, 
км]]/100*32*57+Таблица2242[[#This Row],[Зарплата водителя, грн]]</f>
        <v>15814.4</v>
      </c>
      <c r="AB131" s="422">
        <f>Таблица2242[[#This Row],[Доход, 
грн/рейс]]-Таблица2242[[#This Row],[СС 1-го рейса, 
грн/рейс]]</f>
        <v>28985.599999999999</v>
      </c>
      <c r="AC131" s="423" t="e">
        <f>ROUNDDOWN(30/Таблица2242[[#This Row],[Плановое время в рейсе, 
сутки]],0)</f>
        <v>#DIV/0!</v>
      </c>
      <c r="AD131" s="424" t="e">
        <f>Таблица2242[[#This Row],[Доход, 
грн/рейс]]*Таблица2242[[#This Row],[Возможное количество рейсов в месяц]]</f>
        <v>#DIV/0!</v>
      </c>
      <c r="AE131" s="424" t="e">
        <f>Таблица2242[[#This Row],[Возможное количество рейсов в месяц]]*Таблица2242[[#This Row],[СС 1-го рейса, 
грн/рейс]]</f>
        <v>#DIV/0!</v>
      </c>
      <c r="AF131" s="424" t="e">
        <f>Таблица2242[[#This Row],[Доход в месяц, 
грн]]-Таблица2242[[#This Row],[Затраты на предполагаемые рейсы за месяц, 
грн]]</f>
        <v>#DIV/0!</v>
      </c>
      <c r="AG131" s="1" t="s">
        <v>208</v>
      </c>
      <c r="AH131" s="425"/>
    </row>
    <row r="132" spans="1:34" ht="13.2" x14ac:dyDescent="0.25">
      <c r="A132" s="193" t="s">
        <v>194</v>
      </c>
      <c r="B132" s="29" t="s">
        <v>34</v>
      </c>
      <c r="C132" s="176" t="s">
        <v>43</v>
      </c>
      <c r="D132" s="411"/>
      <c r="E132" s="411"/>
      <c r="F132" s="200">
        <v>45778</v>
      </c>
      <c r="G132" s="396">
        <v>45805.5625</v>
      </c>
      <c r="H132" s="396">
        <v>45807.583333333336</v>
      </c>
      <c r="I132" s="77" t="s">
        <v>195</v>
      </c>
      <c r="J132" s="413"/>
      <c r="K132" s="414"/>
      <c r="L132" s="415"/>
      <c r="M132" s="415"/>
      <c r="N132" s="416"/>
      <c r="O132" s="417">
        <f>ROUNDUP(SUM(Таблица2242[[#This Row],[Плановое время в дороге, 
сутки]:[Плановое время простоя, 
сутки]]),0)</f>
        <v>0</v>
      </c>
      <c r="P132" s="106" t="s">
        <v>52</v>
      </c>
      <c r="Q132" s="64" t="s">
        <v>36</v>
      </c>
      <c r="R132" s="413">
        <v>1</v>
      </c>
      <c r="S132" s="418"/>
      <c r="T132" s="419">
        <v>12000</v>
      </c>
      <c r="U132" s="420">
        <v>734</v>
      </c>
      <c r="V132" s="420"/>
      <c r="W132" s="417">
        <v>734</v>
      </c>
      <c r="X132" s="421">
        <v>12000</v>
      </c>
      <c r="Y132" s="421">
        <f>Таблица2242[[#This Row],[Стоимость, 
грн/т]]/Таблица2242[[#This Row],[Километраж по Украине, 
км]]</f>
        <v>16.348773841961854</v>
      </c>
      <c r="Z132" s="32">
        <f>Таблица2242[[#This Row],[Километраж по Украине, 
км]]*10</f>
        <v>7340</v>
      </c>
      <c r="AA132" s="32">
        <f>Таблица2242[[#This Row],[Километраж по Украине, 
км]]/100*32*57+Таблица2242[[#This Row],[Зарплата водителя, грн]]</f>
        <v>20728.16</v>
      </c>
      <c r="AB132" s="422">
        <f>Таблица2242[[#This Row],[Доход, 
грн/рейс]]-Таблица2242[[#This Row],[СС 1-го рейса, 
грн/рейс]]</f>
        <v>-8728.16</v>
      </c>
      <c r="AC132" s="423" t="e">
        <f>ROUNDDOWN(30/Таблица2242[[#This Row],[Плановое время в рейсе, 
сутки]],0)</f>
        <v>#DIV/0!</v>
      </c>
      <c r="AD132" s="424" t="e">
        <f>Таблица2242[[#This Row],[Доход, 
грн/рейс]]*Таблица2242[[#This Row],[Возможное количество рейсов в месяц]]</f>
        <v>#DIV/0!</v>
      </c>
      <c r="AE132" s="424" t="e">
        <f>Таблица2242[[#This Row],[Возможное количество рейсов в месяц]]*Таблица2242[[#This Row],[СС 1-го рейса, 
грн/рейс]]</f>
        <v>#DIV/0!</v>
      </c>
      <c r="AF132" s="424" t="e">
        <f>Таблица2242[[#This Row],[Доход в месяц, 
грн]]-Таблица2242[[#This Row],[Затраты на предполагаемые рейсы за месяц, 
грн]]</f>
        <v>#DIV/0!</v>
      </c>
      <c r="AG132" s="77" t="s">
        <v>197</v>
      </c>
      <c r="AH132" s="425"/>
    </row>
    <row r="133" spans="1:34" ht="13.2" x14ac:dyDescent="0.25">
      <c r="A133" s="193" t="s">
        <v>164</v>
      </c>
      <c r="B133" s="29" t="s">
        <v>34</v>
      </c>
      <c r="C133" s="176" t="s">
        <v>43</v>
      </c>
      <c r="D133" s="411"/>
      <c r="E133" s="411"/>
      <c r="F133" s="200">
        <v>45778</v>
      </c>
      <c r="G133" s="396">
        <v>45805.5625</v>
      </c>
      <c r="H133" s="396">
        <v>45807.791666666664</v>
      </c>
      <c r="I133" s="275" t="s">
        <v>162</v>
      </c>
      <c r="J133" s="413"/>
      <c r="K133" s="414"/>
      <c r="L133" s="415"/>
      <c r="M133" s="415"/>
      <c r="N133" s="416"/>
      <c r="O133" s="417">
        <f>ROUNDUP(SUM(Таблица2242[[#This Row],[Плановое время в дороге, 
сутки]:[Плановое время простоя, 
сутки]]),0)</f>
        <v>0</v>
      </c>
      <c r="P133" s="417" t="s">
        <v>95</v>
      </c>
      <c r="Q133" s="64" t="s">
        <v>36</v>
      </c>
      <c r="R133" s="413">
        <v>1</v>
      </c>
      <c r="S133" s="418"/>
      <c r="T133" s="419">
        <v>12000</v>
      </c>
      <c r="U133" s="420">
        <v>985</v>
      </c>
      <c r="V133" s="420"/>
      <c r="W133" s="417">
        <v>985</v>
      </c>
      <c r="X133" s="421">
        <v>12000</v>
      </c>
      <c r="Y133" s="421">
        <f>Таблица2242[[#This Row],[Стоимость, 
грн/т]]/Таблица2242[[#This Row],[Километраж по Украине, 
км]]</f>
        <v>12.182741116751268</v>
      </c>
      <c r="Z133" s="32">
        <f>Таблица2242[[#This Row],[Километраж по Украине, 
км]]*10</f>
        <v>9850</v>
      </c>
      <c r="AA133" s="32">
        <f>Таблица2242[[#This Row],[Километраж по Украине, 
км]]/100*32*57+Таблица2242[[#This Row],[Зарплата водителя, грн]]</f>
        <v>27816.399999999998</v>
      </c>
      <c r="AB133" s="422">
        <f>Таблица2242[[#This Row],[Доход, 
грн/рейс]]-Таблица2242[[#This Row],[СС 1-го рейса, 
грн/рейс]]</f>
        <v>-15816.399999999998</v>
      </c>
      <c r="AC133" s="423" t="e">
        <f>ROUNDDOWN(30/Таблица2242[[#This Row],[Плановое время в рейсе, 
сутки]],0)</f>
        <v>#DIV/0!</v>
      </c>
      <c r="AD133" s="424" t="e">
        <f>Таблица2242[[#This Row],[Доход, 
грн/рейс]]*Таблица2242[[#This Row],[Возможное количество рейсов в месяц]]</f>
        <v>#DIV/0!</v>
      </c>
      <c r="AE133" s="424" t="e">
        <f>Таблица2242[[#This Row],[Возможное количество рейсов в месяц]]*Таблица2242[[#This Row],[СС 1-го рейса, 
грн/рейс]]</f>
        <v>#DIV/0!</v>
      </c>
      <c r="AF133" s="424" t="e">
        <f>Таблица2242[[#This Row],[Доход в месяц, 
грн]]-Таблица2242[[#This Row],[Затраты на предполагаемые рейсы за месяц, 
грн]]</f>
        <v>#DIV/0!</v>
      </c>
      <c r="AG133" s="77" t="s">
        <v>203</v>
      </c>
      <c r="AH133" s="425"/>
    </row>
    <row r="134" spans="1:34" ht="13.2" x14ac:dyDescent="0.25">
      <c r="A134" s="426" t="s">
        <v>55</v>
      </c>
      <c r="B134" s="29" t="s">
        <v>34</v>
      </c>
      <c r="C134" s="412"/>
      <c r="D134" s="411"/>
      <c r="E134" s="411"/>
      <c r="F134" s="200">
        <v>45778</v>
      </c>
      <c r="G134" s="396">
        <v>45807.583333333336</v>
      </c>
      <c r="H134" s="396">
        <v>45808.708333333336</v>
      </c>
      <c r="I134" s="77" t="s">
        <v>196</v>
      </c>
      <c r="J134" s="413"/>
      <c r="K134" s="414"/>
      <c r="L134" s="415"/>
      <c r="M134" s="415"/>
      <c r="N134" s="416"/>
      <c r="O134" s="417">
        <f>ROUNDUP(SUM(Таблица2242[[#This Row],[Плановое время в дороге, 
сутки]:[Плановое время простоя, 
сутки]]),0)</f>
        <v>0</v>
      </c>
      <c r="P134" s="106" t="s">
        <v>52</v>
      </c>
      <c r="Q134" s="180" t="s">
        <v>35</v>
      </c>
      <c r="R134" s="413">
        <v>1</v>
      </c>
      <c r="S134" s="418"/>
      <c r="T134" s="419">
        <v>30420</v>
      </c>
      <c r="U134" s="420">
        <v>507</v>
      </c>
      <c r="V134" s="420"/>
      <c r="W134" s="417">
        <v>507</v>
      </c>
      <c r="X134" s="421">
        <v>30420</v>
      </c>
      <c r="Y134" s="421">
        <f>Таблица2242[[#This Row],[Стоимость, 
грн/т]]/Таблица2242[[#This Row],[Километраж по Украине, 
км]]</f>
        <v>60</v>
      </c>
      <c r="Z134" s="32">
        <f>Таблица2242[[#This Row],[Километраж по Украине, 
км]]*10</f>
        <v>5070</v>
      </c>
      <c r="AA134" s="32">
        <f>Таблица2242[[#This Row],[Километраж по Украине, 
км]]/100*32*57+Таблица2242[[#This Row],[Зарплата водителя, грн]]</f>
        <v>14317.68</v>
      </c>
      <c r="AB134" s="422">
        <f>Таблица2242[[#This Row],[Доход, 
грн/рейс]]-Таблица2242[[#This Row],[СС 1-го рейса, 
грн/рейс]]</f>
        <v>16102.32</v>
      </c>
      <c r="AC134" s="423" t="e">
        <f>ROUNDDOWN(30/Таблица2242[[#This Row],[Плановое время в рейсе, 
сутки]],0)</f>
        <v>#DIV/0!</v>
      </c>
      <c r="AD134" s="424" t="e">
        <f>Таблица2242[[#This Row],[Доход, 
грн/рейс]]*Таблица2242[[#This Row],[Возможное количество рейсов в месяц]]</f>
        <v>#DIV/0!</v>
      </c>
      <c r="AE134" s="424" t="e">
        <f>Таблица2242[[#This Row],[Возможное количество рейсов в месяц]]*Таблица2242[[#This Row],[СС 1-го рейса, 
грн/рейс]]</f>
        <v>#DIV/0!</v>
      </c>
      <c r="AF134" s="424" t="e">
        <f>Таблица2242[[#This Row],[Доход в месяц, 
грн]]-Таблица2242[[#This Row],[Затраты на предполагаемые рейсы за месяц, 
грн]]</f>
        <v>#DIV/0!</v>
      </c>
      <c r="AG134" s="411"/>
      <c r="AH134" s="425"/>
    </row>
    <row r="135" spans="1:34" ht="26.4" x14ac:dyDescent="0.25">
      <c r="A135" s="295" t="s">
        <v>70</v>
      </c>
      <c r="B135" s="29" t="s">
        <v>34</v>
      </c>
      <c r="C135" s="412"/>
      <c r="D135" s="411"/>
      <c r="E135" s="411"/>
      <c r="F135" s="200">
        <v>45809</v>
      </c>
      <c r="G135" s="396">
        <v>45808.708333333336</v>
      </c>
      <c r="H135" s="396">
        <v>45813.520833333336</v>
      </c>
      <c r="I135" s="77" t="s">
        <v>173</v>
      </c>
      <c r="J135" s="413"/>
      <c r="K135" s="414"/>
      <c r="L135" s="415"/>
      <c r="M135" s="415"/>
      <c r="N135" s="416"/>
      <c r="O135" s="417">
        <f>ROUNDUP(SUM(Таблица2242[[#This Row],[Плановое время в дороге, 
сутки]:[Плановое время простоя, 
сутки]]),0)</f>
        <v>0</v>
      </c>
      <c r="P135" s="106" t="s">
        <v>52</v>
      </c>
      <c r="Q135" s="64" t="s">
        <v>36</v>
      </c>
      <c r="R135" s="413">
        <v>1</v>
      </c>
      <c r="S135" s="418"/>
      <c r="T135" s="419">
        <v>12000</v>
      </c>
      <c r="U135" s="420">
        <v>432</v>
      </c>
      <c r="V135" s="420"/>
      <c r="W135" s="417">
        <v>432</v>
      </c>
      <c r="X135" s="421">
        <v>12000</v>
      </c>
      <c r="Y135" s="421">
        <f>Таблица2242[[#This Row],[Стоимость, 
грн/т]]/Таблица2242[[#This Row],[Километраж по Украине, 
км]]</f>
        <v>27.777777777777779</v>
      </c>
      <c r="Z135" s="32">
        <f>Таблица2242[[#This Row],[Километраж по Украине, 
км]]*10</f>
        <v>4320</v>
      </c>
      <c r="AA135" s="32">
        <f>Таблица2242[[#This Row],[Километраж по Украине, 
км]]/100*32*57+Таблица2242[[#This Row],[Зарплата водителя, грн]]</f>
        <v>12199.68</v>
      </c>
      <c r="AB135" s="422">
        <f>Таблица2242[[#This Row],[Доход, 
грн/рейс]]-Таблица2242[[#This Row],[СС 1-го рейса, 
грн/рейс]]</f>
        <v>-199.68000000000029</v>
      </c>
      <c r="AC135" s="423" t="e">
        <f>ROUNDDOWN(30/Таблица2242[[#This Row],[Плановое время в рейсе, 
сутки]],0)</f>
        <v>#DIV/0!</v>
      </c>
      <c r="AD135" s="424" t="e">
        <f>Таблица2242[[#This Row],[Доход, 
грн/рейс]]*Таблица2242[[#This Row],[Возможное количество рейсов в месяц]]</f>
        <v>#DIV/0!</v>
      </c>
      <c r="AE135" s="424" t="e">
        <f>Таблица2242[[#This Row],[Возможное количество рейсов в месяц]]*Таблица2242[[#This Row],[СС 1-го рейса, 
грн/рейс]]</f>
        <v>#DIV/0!</v>
      </c>
      <c r="AF135" s="424" t="e">
        <f>Таблица2242[[#This Row],[Доход в месяц, 
грн]]-Таблица2242[[#This Row],[Затраты на предполагаемые рейсы за месяц, 
грн]]</f>
        <v>#DIV/0!</v>
      </c>
      <c r="AG135" s="411"/>
      <c r="AH135" s="425"/>
    </row>
    <row r="136" spans="1:34" ht="13.2" x14ac:dyDescent="0.25">
      <c r="A136" s="76" t="s">
        <v>198</v>
      </c>
      <c r="B136" s="29" t="s">
        <v>34</v>
      </c>
      <c r="C136" s="430"/>
      <c r="D136" s="429"/>
      <c r="E136" s="429"/>
      <c r="F136" s="200">
        <v>45809</v>
      </c>
      <c r="G136" s="396">
        <v>45807.791666666664</v>
      </c>
      <c r="H136" s="396">
        <v>45812.583333333336</v>
      </c>
      <c r="I136" s="77" t="s">
        <v>199</v>
      </c>
      <c r="J136" s="432"/>
      <c r="K136" s="433"/>
      <c r="L136" s="434"/>
      <c r="M136" s="434"/>
      <c r="N136" s="435"/>
      <c r="O136" s="436">
        <f>ROUNDUP(SUM(Таблица2242[[#This Row],[Плановое время в дороге, 
сутки]:[Плановое время простоя, 
сутки]]),0)</f>
        <v>0</v>
      </c>
      <c r="P136" s="417" t="s">
        <v>95</v>
      </c>
      <c r="Q136" s="180" t="s">
        <v>35</v>
      </c>
      <c r="R136" s="432">
        <v>1</v>
      </c>
      <c r="S136" s="437"/>
      <c r="T136" s="438">
        <v>15900</v>
      </c>
      <c r="U136" s="439">
        <v>282</v>
      </c>
      <c r="V136" s="439"/>
      <c r="W136" s="436">
        <f>SUM(Таблица2242[[#This Row],[Километраж по Украине, 
км]:[Километраж по Европе,
км]])</f>
        <v>282</v>
      </c>
      <c r="X136" s="440">
        <f>Таблица2242[[#This Row],[Вес, т]]*Таблица2242[[#This Row],[Стоимость, 
грн/т]]</f>
        <v>15900</v>
      </c>
      <c r="Y136" s="440">
        <f>Таблица2242[[#This Row],[Доход, 
грн/рейс]]/Таблица2242[[#This Row],[Общий километраж, 
км]]</f>
        <v>56.382978723404257</v>
      </c>
      <c r="Z136" s="32">
        <f>Таблица2242[[#This Row],[Километраж по Украине, 
км]]*10</f>
        <v>2820</v>
      </c>
      <c r="AA136" s="32">
        <f>Таблица2242[[#This Row],[Километраж по Украине, 
км]]/100*32*57+Таблица2242[[#This Row],[Зарплата водителя, грн]]</f>
        <v>7963.6799999999994</v>
      </c>
      <c r="AB136" s="441">
        <f>Таблица2242[[#This Row],[Доход, 
грн/рейс]]-Таблица2242[[#This Row],[СС 1-го рейса, 
грн/рейс]]</f>
        <v>7936.3200000000006</v>
      </c>
      <c r="AC136" s="442" t="e">
        <f>ROUNDDOWN(30/Таблица2242[[#This Row],[Плановое время в рейсе, 
сутки]],0)</f>
        <v>#DIV/0!</v>
      </c>
      <c r="AD136" s="443" t="e">
        <f>Таблица2242[[#This Row],[Доход, 
грн/рейс]]*Таблица2242[[#This Row],[Возможное количество рейсов в месяц]]</f>
        <v>#DIV/0!</v>
      </c>
      <c r="AE136" s="443" t="e">
        <f>Таблица2242[[#This Row],[Возможное количество рейсов в месяц]]*Таблица2242[[#This Row],[СС 1-го рейса, 
грн/рейс]]</f>
        <v>#DIV/0!</v>
      </c>
      <c r="AF136" s="443" t="e">
        <f>Таблица2242[[#This Row],[Доход в месяц, 
грн]]-Таблица2242[[#This Row],[Затраты на предполагаемые рейсы за месяц, 
грн]]</f>
        <v>#DIV/0!</v>
      </c>
      <c r="AG136" s="429"/>
      <c r="AH136" s="444"/>
    </row>
    <row r="137" spans="1:34" ht="13.2" x14ac:dyDescent="0.25">
      <c r="A137" s="193" t="s">
        <v>202</v>
      </c>
      <c r="B137" s="29" t="s">
        <v>34</v>
      </c>
      <c r="C137" s="430" t="s">
        <v>43</v>
      </c>
      <c r="D137" s="429"/>
      <c r="E137" s="429"/>
      <c r="F137" s="200">
        <v>45809</v>
      </c>
      <c r="G137" s="396">
        <v>45812.583333333336</v>
      </c>
      <c r="H137" s="396">
        <v>45813.791666666664</v>
      </c>
      <c r="I137" s="429" t="s">
        <v>200</v>
      </c>
      <c r="J137" s="432"/>
      <c r="K137" s="433"/>
      <c r="L137" s="434"/>
      <c r="M137" s="434"/>
      <c r="N137" s="435"/>
      <c r="O137" s="436">
        <f>ROUNDUP(SUM(Таблица2242[[#This Row],[Плановое время в дороге, 
сутки]:[Плановое время простоя, 
сутки]]),0)</f>
        <v>0</v>
      </c>
      <c r="P137" s="436" t="s">
        <v>95</v>
      </c>
      <c r="Q137" s="64" t="s">
        <v>36</v>
      </c>
      <c r="R137" s="432">
        <v>1</v>
      </c>
      <c r="S137" s="437"/>
      <c r="T137" s="438">
        <v>5000</v>
      </c>
      <c r="U137" s="439">
        <v>298</v>
      </c>
      <c r="V137" s="439"/>
      <c r="W137" s="436">
        <v>298</v>
      </c>
      <c r="X137" s="440">
        <f>Таблица2242[[#This Row],[Вес, т]]*Таблица2242[[#This Row],[Стоимость, 
грн/т]]</f>
        <v>5000</v>
      </c>
      <c r="Y137" s="440">
        <f>Таблица2242[[#This Row],[Доход, 
грн/рейс]]/Таблица2242[[#This Row],[Общий километраж, 
км]]</f>
        <v>16.778523489932887</v>
      </c>
      <c r="Z137" s="32">
        <f>Таблица2242[[#This Row],[Километраж по Украине, 
км]]*10</f>
        <v>2980</v>
      </c>
      <c r="AA137" s="32">
        <f>Таблица2242[[#This Row],[Километраж по Украине, 
км]]/100*32*57+Таблица2242[[#This Row],[Зарплата водителя, грн]]</f>
        <v>8415.52</v>
      </c>
      <c r="AB137" s="441">
        <f>Таблица2242[[#This Row],[Доход, 
грн/рейс]]-Таблица2242[[#This Row],[СС 1-го рейса, 
грн/рейс]]</f>
        <v>-3415.5200000000004</v>
      </c>
      <c r="AC137" s="442" t="e">
        <f>ROUNDDOWN(30/Таблица2242[[#This Row],[Плановое время в рейсе, 
сутки]],0)</f>
        <v>#DIV/0!</v>
      </c>
      <c r="AD137" s="443" t="e">
        <f>Таблица2242[[#This Row],[Доход, 
грн/рейс]]*Таблица2242[[#This Row],[Возможное количество рейсов в месяц]]</f>
        <v>#DIV/0!</v>
      </c>
      <c r="AE137" s="443" t="e">
        <f>Таблица2242[[#This Row],[Возможное количество рейсов в месяц]]*Таблица2242[[#This Row],[СС 1-го рейса, 
грн/рейс]]</f>
        <v>#DIV/0!</v>
      </c>
      <c r="AF137" s="443" t="e">
        <f>Таблица2242[[#This Row],[Доход в месяц, 
грн]]-Таблица2242[[#This Row],[Затраты на предполагаемые рейсы за месяц, 
грн]]</f>
        <v>#DIV/0!</v>
      </c>
      <c r="AG137" s="77" t="s">
        <v>207</v>
      </c>
      <c r="AH137" s="444"/>
    </row>
    <row r="138" spans="1:34" ht="13.2" x14ac:dyDescent="0.25">
      <c r="A138" s="76" t="s">
        <v>204</v>
      </c>
      <c r="B138" s="29" t="s">
        <v>34</v>
      </c>
      <c r="C138" s="430"/>
      <c r="D138" s="429"/>
      <c r="E138" s="429"/>
      <c r="F138" s="431">
        <v>45809</v>
      </c>
      <c r="G138" s="396">
        <v>45813.520833333336</v>
      </c>
      <c r="H138" s="396">
        <v>45814.583333333336</v>
      </c>
      <c r="I138" s="77" t="s">
        <v>201</v>
      </c>
      <c r="J138" s="432"/>
      <c r="K138" s="433"/>
      <c r="L138" s="434"/>
      <c r="M138" s="434"/>
      <c r="N138" s="435"/>
      <c r="O138" s="436">
        <f>ROUNDUP(SUM(Таблица2242[[#This Row],[Плановое время в дороге, 
сутки]:[Плановое время простоя, 
сутки]]),0)</f>
        <v>0</v>
      </c>
      <c r="P138" s="106" t="s">
        <v>52</v>
      </c>
      <c r="Q138" s="180" t="s">
        <v>35</v>
      </c>
      <c r="R138" s="432">
        <v>1</v>
      </c>
      <c r="S138" s="437"/>
      <c r="T138" s="438">
        <v>23400</v>
      </c>
      <c r="U138" s="439">
        <v>408</v>
      </c>
      <c r="V138" s="439"/>
      <c r="W138" s="436">
        <f>SUM(Таблица2242[[#This Row],[Километраж по Украине, 
км]:[Километраж по Европе,
км]])</f>
        <v>408</v>
      </c>
      <c r="X138" s="440">
        <f>Таблица2242[[#This Row],[Вес, т]]*Таблица2242[[#This Row],[Стоимость, 
грн/т]]</f>
        <v>23400</v>
      </c>
      <c r="Y138" s="440">
        <f>Таблица2242[[#This Row],[Доход, 
грн/рейс]]/Таблица2242[[#This Row],[Общий километраж, 
км]]</f>
        <v>57.352941176470587</v>
      </c>
      <c r="Z138" s="32">
        <f>Таблица2242[[#This Row],[Километраж по Украине, 
км]]*10</f>
        <v>4080</v>
      </c>
      <c r="AA138" s="32">
        <f>Таблица2242[[#This Row],[Километраж по Украине, 
км]]/100*32*57+Таблица2242[[#This Row],[Зарплата водителя, грн]]</f>
        <v>11521.92</v>
      </c>
      <c r="AB138" s="441">
        <f>Таблица2242[[#This Row],[Доход, 
грн/рейс]]-Таблица2242[[#This Row],[СС 1-го рейса, 
грн/рейс]]</f>
        <v>11878.08</v>
      </c>
      <c r="AC138" s="442" t="e">
        <f>ROUNDDOWN(30/Таблица2242[[#This Row],[Плановое время в рейсе, 
сутки]],0)</f>
        <v>#DIV/0!</v>
      </c>
      <c r="AD138" s="443" t="e">
        <f>Таблица2242[[#This Row],[Доход, 
грн/рейс]]*Таблица2242[[#This Row],[Возможное количество рейсов в месяц]]</f>
        <v>#DIV/0!</v>
      </c>
      <c r="AE138" s="443" t="e">
        <f>Таблица2242[[#This Row],[Возможное количество рейсов в месяц]]*Таблица2242[[#This Row],[СС 1-го рейса, 
грн/рейс]]</f>
        <v>#DIV/0!</v>
      </c>
      <c r="AF138" s="443" t="e">
        <f>Таблица2242[[#This Row],[Доход в месяц, 
грн]]-Таблица2242[[#This Row],[Затраты на предполагаемые рейсы за месяц, 
грн]]</f>
        <v>#DIV/0!</v>
      </c>
      <c r="AG138" s="1" t="s">
        <v>205</v>
      </c>
      <c r="AH138" s="444"/>
    </row>
    <row r="139" spans="1:34" ht="13.2" x14ac:dyDescent="0.25">
      <c r="A139" s="76" t="s">
        <v>204</v>
      </c>
      <c r="B139" s="29" t="s">
        <v>34</v>
      </c>
      <c r="C139" s="430"/>
      <c r="D139" s="429"/>
      <c r="E139" s="429"/>
      <c r="F139" s="431">
        <v>45809</v>
      </c>
      <c r="G139" s="396">
        <v>45814.583333333336</v>
      </c>
      <c r="H139" s="396">
        <v>45814.979166666664</v>
      </c>
      <c r="I139" s="77" t="s">
        <v>80</v>
      </c>
      <c r="J139" s="432"/>
      <c r="K139" s="433"/>
      <c r="L139" s="434"/>
      <c r="M139" s="434"/>
      <c r="N139" s="435"/>
      <c r="O139" s="436">
        <f>ROUNDUP(SUM(Таблица2242[[#This Row],[Плановое время в дороге, 
сутки]:[Плановое время простоя, 
сутки]]),0)</f>
        <v>0</v>
      </c>
      <c r="P139" s="436" t="s">
        <v>52</v>
      </c>
      <c r="Q139" s="434" t="s">
        <v>35</v>
      </c>
      <c r="R139" s="432">
        <v>1</v>
      </c>
      <c r="S139" s="437"/>
      <c r="T139" s="438">
        <v>22320</v>
      </c>
      <c r="U139" s="439">
        <v>372</v>
      </c>
      <c r="V139" s="439"/>
      <c r="W139" s="436">
        <f>SUM(Таблица2242[[#This Row],[Километраж по Украине, 
км]:[Километраж по Европе,
км]])</f>
        <v>372</v>
      </c>
      <c r="X139" s="440">
        <v>22320</v>
      </c>
      <c r="Y139" s="440">
        <f>Таблица2242[[#This Row],[Доход, 
грн/рейс]]/Таблица2242[[#This Row],[Общий километраж, 
км]]</f>
        <v>60</v>
      </c>
      <c r="Z139" s="32">
        <f>Таблица2242[[#This Row],[Километраж по Украине, 
км]]*10</f>
        <v>3720</v>
      </c>
      <c r="AA139" s="32">
        <f>Таблица2242[[#This Row],[Километраж по Украине, 
км]]/100*32*57+Таблица2242[[#This Row],[Зарплата водителя, грн]]</f>
        <v>10505.28</v>
      </c>
      <c r="AB139" s="441">
        <f>Таблица2242[[#This Row],[Доход, 
грн/рейс]]-Таблица2242[[#This Row],[СС 1-го рейса, 
грн/рейс]]</f>
        <v>11814.72</v>
      </c>
      <c r="AC139" s="442" t="e">
        <f>ROUNDDOWN(30/Таблица2242[[#This Row],[Плановое время в рейсе, 
сутки]],0)</f>
        <v>#DIV/0!</v>
      </c>
      <c r="AD139" s="443" t="e">
        <f>Таблица2242[[#This Row],[Доход, 
грн/рейс]]*Таблица2242[[#This Row],[Возможное количество рейсов в месяц]]</f>
        <v>#DIV/0!</v>
      </c>
      <c r="AE139" s="443" t="e">
        <f>Таблица2242[[#This Row],[Возможное количество рейсов в месяц]]*Таблица2242[[#This Row],[СС 1-го рейса, 
грн/рейс]]</f>
        <v>#DIV/0!</v>
      </c>
      <c r="AF139" s="443" t="e">
        <f>Таблица2242[[#This Row],[Доход в месяц, 
грн]]-Таблица2242[[#This Row],[Затраты на предполагаемые рейсы за месяц, 
грн]]</f>
        <v>#DIV/0!</v>
      </c>
      <c r="AG139" s="1" t="s">
        <v>206</v>
      </c>
      <c r="AH139" s="444"/>
    </row>
    <row r="140" spans="1:34" ht="13.2" x14ac:dyDescent="0.25">
      <c r="A140" s="76" t="s">
        <v>198</v>
      </c>
      <c r="B140" s="29" t="s">
        <v>34</v>
      </c>
      <c r="C140" s="446"/>
      <c r="D140" s="445"/>
      <c r="E140" s="445"/>
      <c r="F140" s="431">
        <v>45809</v>
      </c>
      <c r="G140" s="396">
        <v>45813.791666666664</v>
      </c>
      <c r="H140" s="396">
        <v>45829.791666666664</v>
      </c>
      <c r="I140" s="77" t="s">
        <v>199</v>
      </c>
      <c r="J140" s="417" t="s">
        <v>95</v>
      </c>
      <c r="K140" s="180" t="s">
        <v>35</v>
      </c>
      <c r="L140" s="448"/>
      <c r="M140" s="448"/>
      <c r="N140" s="449"/>
      <c r="O140" s="450">
        <f>ROUNDUP(SUM(Таблица2242[[#This Row],[Плановое время в дороге, 
сутки]:[Плановое время простоя, 
сутки]]),0)</f>
        <v>0</v>
      </c>
      <c r="P140" s="417" t="s">
        <v>95</v>
      </c>
      <c r="Q140" s="434" t="s">
        <v>35</v>
      </c>
      <c r="R140" s="447">
        <v>1</v>
      </c>
      <c r="S140" s="451"/>
      <c r="T140" s="452">
        <v>15900</v>
      </c>
      <c r="U140" s="453">
        <v>530</v>
      </c>
      <c r="V140" s="453"/>
      <c r="W140" s="450">
        <f>SUM(Таблица2242[[#This Row],[Километраж по Украине, 
км]:[Километраж по Европе,
км]])</f>
        <v>530</v>
      </c>
      <c r="X140" s="454">
        <v>15900</v>
      </c>
      <c r="Y140" s="454">
        <f>Таблица2242[[#This Row],[Доход, 
грн/рейс]]/Таблица2242[[#This Row],[Общий километраж, 
км]]</f>
        <v>30</v>
      </c>
      <c r="Z140" s="32">
        <f>Таблица2242[[#This Row],[Километраж по Украине, 
км]]*10</f>
        <v>5300</v>
      </c>
      <c r="AA140" s="32">
        <f>Таблица2242[[#This Row],[Километраж по Украине, 
км]]/100*32*57+Таблица2242[[#This Row],[Зарплата водителя, грн]]</f>
        <v>14967.199999999999</v>
      </c>
      <c r="AB140" s="455">
        <f>Таблица2242[[#This Row],[Доход, 
грн/рейс]]-Таблица2242[[#This Row],[СС 1-го рейса, 
грн/рейс]]</f>
        <v>932.80000000000109</v>
      </c>
      <c r="AC140" s="456" t="e">
        <f>ROUNDDOWN(30/Таблица2242[[#This Row],[Плановое время в рейсе, 
сутки]],0)</f>
        <v>#DIV/0!</v>
      </c>
      <c r="AD140" s="457" t="e">
        <f>Таблица2242[[#This Row],[Доход, 
грн/рейс]]*Таблица2242[[#This Row],[Возможное количество рейсов в месяц]]</f>
        <v>#DIV/0!</v>
      </c>
      <c r="AE140" s="457" t="e">
        <f>Таблица2242[[#This Row],[Возможное количество рейсов в месяц]]*Таблица2242[[#This Row],[СС 1-го рейса, 
грн/рейс]]</f>
        <v>#DIV/0!</v>
      </c>
      <c r="AF140" s="457" t="e">
        <f>Таблица2242[[#This Row],[Доход в месяц, 
грн]]-Таблица2242[[#This Row],[Затраты на предполагаемые рейсы за месяц, 
грн]]</f>
        <v>#DIV/0!</v>
      </c>
      <c r="AG140" s="1" t="s">
        <v>209</v>
      </c>
      <c r="AH140" s="458"/>
    </row>
    <row r="141" spans="1:34" ht="13.2" x14ac:dyDescent="0.25">
      <c r="A141" s="426" t="s">
        <v>148</v>
      </c>
      <c r="B141" s="29" t="s">
        <v>34</v>
      </c>
      <c r="C141" s="460"/>
      <c r="D141" s="459"/>
      <c r="E141" s="459"/>
      <c r="F141" s="461">
        <v>45809</v>
      </c>
      <c r="G141" s="396">
        <v>45814.979166666664</v>
      </c>
      <c r="H141" s="396">
        <v>45832.666666666664</v>
      </c>
      <c r="I141" s="77" t="s">
        <v>210</v>
      </c>
      <c r="J141" s="462"/>
      <c r="K141" s="463"/>
      <c r="L141" s="464"/>
      <c r="M141" s="464"/>
      <c r="N141" s="465"/>
      <c r="O141" s="466">
        <f>ROUNDUP(SUM(Таблица2242[[#This Row],[Плановое время в дороге, 
сутки]:[Плановое время простоя, 
сутки]]),0)</f>
        <v>0</v>
      </c>
      <c r="P141" s="436" t="s">
        <v>52</v>
      </c>
      <c r="Q141" s="434" t="s">
        <v>35</v>
      </c>
      <c r="R141" s="447">
        <v>1</v>
      </c>
      <c r="S141" s="467"/>
      <c r="T141" s="468">
        <v>41200</v>
      </c>
      <c r="U141" s="469">
        <v>515</v>
      </c>
      <c r="V141" s="469"/>
      <c r="W141" s="466">
        <f>SUM(Таблица2242[[#This Row],[Километраж по Украине, 
км]:[Километраж по Европе,
км]])</f>
        <v>515</v>
      </c>
      <c r="X141" s="470">
        <f>Таблица2242[[#This Row],[Вес, т]]*Таблица2242[[#This Row],[Стоимость, 
грн/т]]</f>
        <v>41200</v>
      </c>
      <c r="Y141" s="470">
        <f>Таблица2242[[#This Row],[Доход, 
грн/рейс]]/Таблица2242[[#This Row],[Общий километраж, 
км]]</f>
        <v>80</v>
      </c>
      <c r="Z141" s="32">
        <f>Таблица2242[[#This Row],[Километраж по Украине, 
км]]*10</f>
        <v>5150</v>
      </c>
      <c r="AA141" s="32">
        <f>Таблица2242[[#This Row],[Километраж по Украине, 
км]]/100*32*57+Таблица2242[[#This Row],[Зарплата водителя, грн]]</f>
        <v>14543.6</v>
      </c>
      <c r="AB141" s="471">
        <f>Таблица2242[[#This Row],[Доход, 
грн/рейс]]-Таблица2242[[#This Row],[СС 1-го рейса, 
грн/рейс]]</f>
        <v>26656.400000000001</v>
      </c>
      <c r="AC141" s="472" t="e">
        <f>ROUNDDOWN(30/Таблица2242[[#This Row],[Плановое время в рейсе, 
сутки]],0)</f>
        <v>#DIV/0!</v>
      </c>
      <c r="AD141" s="473" t="e">
        <f>Таблица2242[[#This Row],[Доход, 
грн/рейс]]*Таблица2242[[#This Row],[Возможное количество рейсов в месяц]]</f>
        <v>#DIV/0!</v>
      </c>
      <c r="AE141" s="473" t="e">
        <f>Таблица2242[[#This Row],[Возможное количество рейсов в месяц]]*Таблица2242[[#This Row],[СС 1-го рейса, 
грн/рейс]]</f>
        <v>#DIV/0!</v>
      </c>
      <c r="AF141" s="473" t="e">
        <f>Таблица2242[[#This Row],[Доход в месяц, 
грн]]-Таблица2242[[#This Row],[Затраты на предполагаемые рейсы за месяц, 
грн]]</f>
        <v>#DIV/0!</v>
      </c>
      <c r="AG141" s="1" t="s">
        <v>211</v>
      </c>
      <c r="AH141" s="474"/>
    </row>
    <row r="142" spans="1:34" ht="13.2" x14ac:dyDescent="0.25">
      <c r="A142" s="426" t="s">
        <v>148</v>
      </c>
      <c r="B142" s="29" t="s">
        <v>34</v>
      </c>
      <c r="C142" s="460"/>
      <c r="D142" s="459"/>
      <c r="E142" s="459"/>
      <c r="F142" s="461">
        <v>45809</v>
      </c>
      <c r="G142" s="396">
        <v>45829.791666666664</v>
      </c>
      <c r="H142" s="396">
        <v>45832.666666666664</v>
      </c>
      <c r="I142" s="77" t="s">
        <v>210</v>
      </c>
      <c r="J142" s="462"/>
      <c r="K142" s="463"/>
      <c r="L142" s="464"/>
      <c r="M142" s="464"/>
      <c r="N142" s="465"/>
      <c r="O142" s="466">
        <f>ROUNDUP(SUM(Таблица2242[[#This Row],[Плановое время в дороге, 
сутки]:[Плановое время простоя, 
сутки]]),0)</f>
        <v>0</v>
      </c>
      <c r="P142" s="417" t="s">
        <v>95</v>
      </c>
      <c r="Q142" s="434" t="s">
        <v>35</v>
      </c>
      <c r="R142" s="447">
        <v>1</v>
      </c>
      <c r="S142" s="467"/>
      <c r="T142" s="468">
        <v>41200</v>
      </c>
      <c r="U142" s="469">
        <v>515</v>
      </c>
      <c r="V142" s="469"/>
      <c r="W142" s="466">
        <f>SUM(Таблица2242[[#This Row],[Километраж по Украине, 
км]:[Километраж по Европе,
км]])</f>
        <v>515</v>
      </c>
      <c r="X142" s="470">
        <f>Таблица2242[[#This Row],[Вес, т]]*Таблица2242[[#This Row],[Стоимость, 
грн/т]]</f>
        <v>41200</v>
      </c>
      <c r="Y142" s="470">
        <f>Таблица2242[[#This Row],[Доход, 
грн/рейс]]/Таблица2242[[#This Row],[Общий километраж, 
км]]</f>
        <v>80</v>
      </c>
      <c r="Z142" s="32">
        <f>Таблица2242[[#This Row],[Километраж по Украине, 
км]]*10</f>
        <v>5150</v>
      </c>
      <c r="AA142" s="32">
        <f>Таблица2242[[#This Row],[Километраж по Украине, 
км]]/100*32*57+Таблица2242[[#This Row],[Зарплата водителя, грн]]</f>
        <v>14543.6</v>
      </c>
      <c r="AB142" s="471">
        <f>Таблица2242[[#This Row],[Доход, 
грн/рейс]]-Таблица2242[[#This Row],[СС 1-го рейса, 
грн/рейс]]</f>
        <v>26656.400000000001</v>
      </c>
      <c r="AC142" s="472" t="e">
        <f>ROUNDDOWN(30/Таблица2242[[#This Row],[Плановое время в рейсе, 
сутки]],0)</f>
        <v>#DIV/0!</v>
      </c>
      <c r="AD142" s="473" t="e">
        <f>Таблица2242[[#This Row],[Доход, 
грн/рейс]]*Таблица2242[[#This Row],[Возможное количество рейсов в месяц]]</f>
        <v>#DIV/0!</v>
      </c>
      <c r="AE142" s="473" t="e">
        <f>Таблица2242[[#This Row],[Возможное количество рейсов в месяц]]*Таблица2242[[#This Row],[СС 1-го рейса, 
грн/рейс]]</f>
        <v>#DIV/0!</v>
      </c>
      <c r="AF142" s="473" t="e">
        <f>Таблица2242[[#This Row],[Доход в месяц, 
грн]]-Таблица2242[[#This Row],[Затраты на предполагаемые рейсы за месяц, 
грн]]</f>
        <v>#DIV/0!</v>
      </c>
      <c r="AG142" s="1" t="s">
        <v>212</v>
      </c>
      <c r="AH142" s="474"/>
    </row>
    <row r="143" spans="1:34" ht="13.2" x14ac:dyDescent="0.25">
      <c r="A143" s="193" t="s">
        <v>194</v>
      </c>
      <c r="B143" s="29" t="s">
        <v>34</v>
      </c>
      <c r="C143" s="176" t="s">
        <v>215</v>
      </c>
      <c r="D143" s="77"/>
      <c r="E143" s="77"/>
      <c r="F143" s="461">
        <v>45809</v>
      </c>
      <c r="G143" s="396">
        <v>45832.666666666664</v>
      </c>
      <c r="H143" s="396">
        <v>45834.5</v>
      </c>
      <c r="I143" s="77" t="s">
        <v>218</v>
      </c>
      <c r="J143" s="82"/>
      <c r="K143" s="179"/>
      <c r="L143" s="180"/>
      <c r="M143" s="180"/>
      <c r="N143" s="85"/>
      <c r="O143" s="86">
        <f>ROUNDUP(SUM(Таблица2242[[#This Row],[Плановое время в дороге, 
сутки]:[Плановое время простоя, 
сутки]]),0)</f>
        <v>0</v>
      </c>
      <c r="P143" s="436" t="s">
        <v>52</v>
      </c>
      <c r="Q143" s="64" t="s">
        <v>36</v>
      </c>
      <c r="R143" s="82">
        <v>1</v>
      </c>
      <c r="S143" s="90"/>
      <c r="T143" s="181">
        <v>12500</v>
      </c>
      <c r="U143" s="182">
        <v>627</v>
      </c>
      <c r="V143" s="182"/>
      <c r="W143" s="86">
        <f>SUM(Таблица2242[[#This Row],[Километраж по Украине, 
км]:[Километраж по Европе,
км]])</f>
        <v>627</v>
      </c>
      <c r="X143" s="183">
        <f>Таблица2242[[#This Row],[Вес, т]]*Таблица2242[[#This Row],[Стоимость, 
грн/т]]</f>
        <v>12500</v>
      </c>
      <c r="Y143" s="183">
        <f>Таблица2242[[#This Row],[Доход, 
грн/рейс]]/Таблица2242[[#This Row],[Общий километраж, 
км]]</f>
        <v>19.936204146730464</v>
      </c>
      <c r="Z143" s="32">
        <f>Таблица2242[[#This Row],[Километраж по Украине, 
км]]*10</f>
        <v>6270</v>
      </c>
      <c r="AA143" s="32">
        <f>Таблица2242[[#This Row],[Километраж по Украине, 
км]]/100*32*57+Таблица2242[[#This Row],[Зарплата водителя, грн]]</f>
        <v>17706.48</v>
      </c>
      <c r="AB143" s="184">
        <f>Таблица2242[[#This Row],[Доход, 
грн/рейс]]-Таблица2242[[#This Row],[СС 1-го рейса, 
грн/рейс]]</f>
        <v>-5206.4799999999996</v>
      </c>
      <c r="AC143" s="185" t="e">
        <f>ROUNDDOWN(30/Таблица2242[[#This Row],[Плановое время в рейсе, 
сутки]],0)</f>
        <v>#DIV/0!</v>
      </c>
      <c r="AD143" s="93" t="e">
        <f>Таблица2242[[#This Row],[Доход, 
грн/рейс]]*Таблица2242[[#This Row],[Возможное количество рейсов в месяц]]</f>
        <v>#DIV/0!</v>
      </c>
      <c r="AE143" s="93" t="e">
        <f>Таблица2242[[#This Row],[Возможное количество рейсов в месяц]]*Таблица2242[[#This Row],[СС 1-го рейса, 
грн/рейс]]</f>
        <v>#DIV/0!</v>
      </c>
      <c r="AF143" s="93" t="e">
        <f>Таблица2242[[#This Row],[Доход в месяц, 
грн]]-Таблица2242[[#This Row],[Затраты на предполагаемые рейсы за месяц, 
грн]]</f>
        <v>#DIV/0!</v>
      </c>
      <c r="AG143" s="1" t="s">
        <v>214</v>
      </c>
      <c r="AH143" s="186"/>
    </row>
    <row r="144" spans="1:34" ht="13.2" x14ac:dyDescent="0.25">
      <c r="A144" s="193" t="s">
        <v>194</v>
      </c>
      <c r="B144" s="29" t="s">
        <v>34</v>
      </c>
      <c r="C144" s="176" t="s">
        <v>215</v>
      </c>
      <c r="D144" s="77"/>
      <c r="E144" s="77"/>
      <c r="F144" s="461">
        <v>45809</v>
      </c>
      <c r="G144" s="396">
        <v>45832.666666666664</v>
      </c>
      <c r="H144" s="396">
        <v>45834.597222222219</v>
      </c>
      <c r="I144" s="77" t="s">
        <v>219</v>
      </c>
      <c r="J144" s="82"/>
      <c r="K144" s="179"/>
      <c r="L144" s="180"/>
      <c r="M144" s="180"/>
      <c r="N144" s="85"/>
      <c r="O144" s="86">
        <f>ROUNDUP(SUM(Таблица2242[[#This Row],[Плановое время в дороге, 
сутки]:[Плановое время простоя, 
сутки]]),0)</f>
        <v>0</v>
      </c>
      <c r="P144" s="417" t="s">
        <v>95</v>
      </c>
      <c r="Q144" s="64" t="s">
        <v>36</v>
      </c>
      <c r="R144" s="82">
        <v>1</v>
      </c>
      <c r="S144" s="90"/>
      <c r="T144" s="181">
        <v>12500</v>
      </c>
      <c r="U144" s="182">
        <v>589</v>
      </c>
      <c r="V144" s="182"/>
      <c r="W144" s="86">
        <f>SUM(Таблица2242[[#This Row],[Километраж по Украине, 
км]:[Километраж по Европе,
км]])</f>
        <v>589</v>
      </c>
      <c r="X144" s="183">
        <f>Таблица2242[[#This Row],[Вес, т]]*Таблица2242[[#This Row],[Стоимость, 
грн/т]]</f>
        <v>12500</v>
      </c>
      <c r="Y144" s="183">
        <f>Таблица2242[[#This Row],[Доход, 
грн/рейс]]/Таблица2242[[#This Row],[Общий километраж, 
км]]</f>
        <v>21.222410865874362</v>
      </c>
      <c r="Z144" s="32">
        <f>Таблица2242[[#This Row],[Километраж по Украине, 
км]]*10</f>
        <v>5890</v>
      </c>
      <c r="AA144" s="32">
        <f>Таблица2242[[#This Row],[Километраж по Украине, 
км]]/100*32*57+Таблица2242[[#This Row],[Зарплата водителя, грн]]</f>
        <v>16633.36</v>
      </c>
      <c r="AB144" s="184">
        <f>Таблица2242[[#This Row],[Доход, 
грн/рейс]]-Таблица2242[[#This Row],[СС 1-го рейса, 
грн/рейс]]</f>
        <v>-4133.3600000000006</v>
      </c>
      <c r="AC144" s="185" t="e">
        <f>ROUNDDOWN(30/Таблица2242[[#This Row],[Плановое время в рейсе, 
сутки]],0)</f>
        <v>#DIV/0!</v>
      </c>
      <c r="AD144" s="93" t="e">
        <f>Таблица2242[[#This Row],[Доход, 
грн/рейс]]*Таблица2242[[#This Row],[Возможное количество рейсов в месяц]]</f>
        <v>#DIV/0!</v>
      </c>
      <c r="AE144" s="93" t="e">
        <f>Таблица2242[[#This Row],[Возможное количество рейсов в месяц]]*Таблица2242[[#This Row],[СС 1-го рейса, 
грн/рейс]]</f>
        <v>#DIV/0!</v>
      </c>
      <c r="AF144" s="93" t="e">
        <f>Таблица2242[[#This Row],[Доход в месяц, 
грн]]-Таблица2242[[#This Row],[Затраты на предполагаемые рейсы за месяц, 
грн]]</f>
        <v>#DIV/0!</v>
      </c>
      <c r="AG144" s="1" t="s">
        <v>213</v>
      </c>
      <c r="AH144" s="186"/>
    </row>
    <row r="145" spans="1:34" ht="13.2" x14ac:dyDescent="0.25">
      <c r="A145" s="76" t="s">
        <v>216</v>
      </c>
      <c r="B145" s="29" t="s">
        <v>34</v>
      </c>
      <c r="C145" s="176"/>
      <c r="D145" s="77"/>
      <c r="E145" s="77"/>
      <c r="F145" s="461">
        <v>45809</v>
      </c>
      <c r="G145" s="396">
        <v>45834.5</v>
      </c>
      <c r="H145" s="396">
        <v>45835.416666666664</v>
      </c>
      <c r="I145" s="29" t="s">
        <v>123</v>
      </c>
      <c r="J145" s="82"/>
      <c r="K145" s="179"/>
      <c r="L145" s="180"/>
      <c r="M145" s="180"/>
      <c r="N145" s="85"/>
      <c r="O145" s="86">
        <f>ROUNDUP(SUM(Таблица2242[[#This Row],[Плановое время в дороге, 
сутки]:[Плановое время простоя, 
сутки]]),0)</f>
        <v>0</v>
      </c>
      <c r="P145" s="436" t="s">
        <v>52</v>
      </c>
      <c r="Q145" s="434" t="s">
        <v>35</v>
      </c>
      <c r="R145" s="82">
        <v>1</v>
      </c>
      <c r="S145" s="90"/>
      <c r="T145" s="181">
        <v>13380</v>
      </c>
      <c r="U145" s="182">
        <v>223</v>
      </c>
      <c r="V145" s="182"/>
      <c r="W145" s="86">
        <f>SUM(Таблица2242[[#This Row],[Километраж по Украине, 
км]:[Километраж по Европе,
км]])</f>
        <v>223</v>
      </c>
      <c r="X145" s="183">
        <f>Таблица2242[[#This Row],[Вес, т]]*Таблица2242[[#This Row],[Стоимость, 
грн/т]]</f>
        <v>13380</v>
      </c>
      <c r="Y145" s="183">
        <f>Таблица2242[[#This Row],[Доход, 
грн/рейс]]/Таблица2242[[#This Row],[Общий километраж, 
км]]</f>
        <v>60</v>
      </c>
      <c r="Z145" s="32">
        <f>Таблица2242[[#This Row],[Километраж по Украине, 
км]]*10</f>
        <v>2230</v>
      </c>
      <c r="AA145" s="32">
        <f>Таблица2242[[#This Row],[Километраж по Украине, 
км]]/100*32*57+Таблица2242[[#This Row],[Зарплата водителя, грн]]</f>
        <v>6297.52</v>
      </c>
      <c r="AB145" s="184">
        <f>Таблица2242[[#This Row],[Доход, 
грн/рейс]]-Таблица2242[[#This Row],[СС 1-го рейса, 
грн/рейс]]</f>
        <v>7082.48</v>
      </c>
      <c r="AC145" s="185" t="e">
        <f>ROUNDDOWN(30/Таблица2242[[#This Row],[Плановое время в рейсе, 
сутки]],0)</f>
        <v>#DIV/0!</v>
      </c>
      <c r="AD145" s="93" t="e">
        <f>Таблица2242[[#This Row],[Доход, 
грн/рейс]]*Таблица2242[[#This Row],[Возможное количество рейсов в месяц]]</f>
        <v>#DIV/0!</v>
      </c>
      <c r="AE145" s="93" t="e">
        <f>Таблица2242[[#This Row],[Возможное количество рейсов в месяц]]*Таблица2242[[#This Row],[СС 1-го рейса, 
грн/рейс]]</f>
        <v>#DIV/0!</v>
      </c>
      <c r="AF145" s="93" t="e">
        <f>Таблица2242[[#This Row],[Доход в месяц, 
грн]]-Таблица2242[[#This Row],[Затраты на предполагаемые рейсы за месяц, 
грн]]</f>
        <v>#DIV/0!</v>
      </c>
      <c r="AG145" s="77"/>
      <c r="AH145" s="186"/>
    </row>
    <row r="146" spans="1:34" ht="13.2" x14ac:dyDescent="0.25">
      <c r="A146" s="195" t="s">
        <v>145</v>
      </c>
      <c r="B146" s="29" t="s">
        <v>34</v>
      </c>
      <c r="C146" s="176"/>
      <c r="D146" s="77"/>
      <c r="E146" s="77"/>
      <c r="F146" s="461">
        <v>45809</v>
      </c>
      <c r="G146" s="396">
        <v>45835.416666666664</v>
      </c>
      <c r="H146" s="396">
        <v>45836.666666666664</v>
      </c>
      <c r="I146" s="77" t="s">
        <v>217</v>
      </c>
      <c r="J146" s="82"/>
      <c r="K146" s="179"/>
      <c r="L146" s="180"/>
      <c r="M146" s="180"/>
      <c r="N146" s="85"/>
      <c r="O146" s="86">
        <f>ROUNDUP(SUM(Таблица2242[[#This Row],[Плановое время в дороге, 
сутки]:[Плановое время простоя, 
сутки]]),0)</f>
        <v>0</v>
      </c>
      <c r="P146" s="436" t="s">
        <v>52</v>
      </c>
      <c r="Q146" s="64" t="s">
        <v>36</v>
      </c>
      <c r="R146" s="82">
        <v>1</v>
      </c>
      <c r="S146" s="90"/>
      <c r="T146" s="181">
        <v>7200</v>
      </c>
      <c r="U146" s="182">
        <v>326</v>
      </c>
      <c r="V146" s="182"/>
      <c r="W146" s="86">
        <f>SUM(Таблица2242[[#This Row],[Километраж по Украине, 
км]:[Километраж по Европе,
км]])</f>
        <v>326</v>
      </c>
      <c r="X146" s="183">
        <f>Таблица2242[[#This Row],[Вес, т]]*Таблица2242[[#This Row],[Стоимость, 
грн/т]]</f>
        <v>7200</v>
      </c>
      <c r="Y146" s="183">
        <f>Таблица2242[[#This Row],[Доход, 
грн/рейс]]/Таблица2242[[#This Row],[Общий километраж, 
км]]</f>
        <v>22.085889570552148</v>
      </c>
      <c r="Z146" s="32">
        <f>Таблица2242[[#This Row],[Километраж по Украине, 
км]]*10</f>
        <v>3260</v>
      </c>
      <c r="AA146" s="32">
        <f>Таблица2242[[#This Row],[Километраж по Украине, 
км]]/100*32*57+Таблица2242[[#This Row],[Зарплата водителя, грн]]</f>
        <v>9206.24</v>
      </c>
      <c r="AB146" s="184">
        <f>Таблица2242[[#This Row],[Доход, 
грн/рейс]]-Таблица2242[[#This Row],[СС 1-го рейса, 
грн/рейс]]</f>
        <v>-2006.2399999999998</v>
      </c>
      <c r="AC146" s="185" t="e">
        <f>ROUNDDOWN(30/Таблица2242[[#This Row],[Плановое время в рейсе, 
сутки]],0)</f>
        <v>#DIV/0!</v>
      </c>
      <c r="AD146" s="93" t="e">
        <f>Таблица2242[[#This Row],[Доход, 
грн/рейс]]*Таблица2242[[#This Row],[Возможное количество рейсов в месяц]]</f>
        <v>#DIV/0!</v>
      </c>
      <c r="AE146" s="93" t="e">
        <f>Таблица2242[[#This Row],[Возможное количество рейсов в месяц]]*Таблица2242[[#This Row],[СС 1-го рейса, 
грн/рейс]]</f>
        <v>#DIV/0!</v>
      </c>
      <c r="AF146" s="93" t="e">
        <f>Таблица2242[[#This Row],[Доход в месяц, 
грн]]-Таблица2242[[#This Row],[Затраты на предполагаемые рейсы за месяц, 
грн]]</f>
        <v>#DIV/0!</v>
      </c>
      <c r="AG146" s="77" t="s">
        <v>110</v>
      </c>
      <c r="AH146" s="186"/>
    </row>
    <row r="147" spans="1:34" ht="13.2" x14ac:dyDescent="0.25">
      <c r="A147" s="76" t="s">
        <v>198</v>
      </c>
      <c r="B147" s="77"/>
      <c r="C147" s="176"/>
      <c r="D147" s="77"/>
      <c r="E147" s="77"/>
      <c r="F147" s="461">
        <v>45839</v>
      </c>
      <c r="G147" s="396">
        <v>45834.597222222219</v>
      </c>
      <c r="H147" s="396">
        <v>45810.875</v>
      </c>
      <c r="I147" s="77" t="s">
        <v>199</v>
      </c>
      <c r="J147" s="82"/>
      <c r="K147" s="179"/>
      <c r="L147" s="180"/>
      <c r="M147" s="180"/>
      <c r="N147" s="85"/>
      <c r="O147" s="86">
        <f>ROUNDUP(SUM(Таблица2242[[#This Row],[Плановое время в дороге, 
сутки]:[Плановое время простоя, 
сутки]]),0)</f>
        <v>0</v>
      </c>
      <c r="P147" s="417" t="s">
        <v>95</v>
      </c>
      <c r="Q147" s="434" t="s">
        <v>35</v>
      </c>
      <c r="R147" s="82">
        <v>1</v>
      </c>
      <c r="S147" s="90"/>
      <c r="T147" s="181">
        <v>15900</v>
      </c>
      <c r="U147" s="182">
        <v>530</v>
      </c>
      <c r="V147" s="182"/>
      <c r="W147" s="86">
        <f>SUM(Таблица2242[[#This Row],[Километраж по Украине, 
км]:[Километраж по Европе,
км]])</f>
        <v>530</v>
      </c>
      <c r="X147" s="183">
        <f>Таблица2242[[#This Row],[Вес, т]]*Таблица2242[[#This Row],[Стоимость, 
грн/т]]</f>
        <v>15900</v>
      </c>
      <c r="Y147" s="183">
        <f>Таблица2242[[#This Row],[Доход, 
грн/рейс]]/Таблица2242[[#This Row],[Общий километраж, 
км]]</f>
        <v>30</v>
      </c>
      <c r="Z147" s="32">
        <f>Таблица2242[[#This Row],[Километраж по Украине, 
км]]*10</f>
        <v>5300</v>
      </c>
      <c r="AA147" s="32">
        <f>Таблица2242[[#This Row],[Километраж по Украине, 
км]]/100*32*57+Таблица2242[[#This Row],[Зарплата водителя, грн]]</f>
        <v>14967.199999999999</v>
      </c>
      <c r="AB147" s="184">
        <f>Таблица2242[[#This Row],[Доход, 
грн/рейс]]-Таблица2242[[#This Row],[СС 1-го рейса, 
грн/рейс]]</f>
        <v>932.80000000000109</v>
      </c>
      <c r="AC147" s="185" t="e">
        <f>ROUNDDOWN(30/Таблица2242[[#This Row],[Плановое время в рейсе, 
сутки]],0)</f>
        <v>#DIV/0!</v>
      </c>
      <c r="AD147" s="93" t="e">
        <f>Таблица2242[[#This Row],[Доход, 
грн/рейс]]*Таблица2242[[#This Row],[Возможное количество рейсов в месяц]]</f>
        <v>#DIV/0!</v>
      </c>
      <c r="AE147" s="93" t="e">
        <f>Таблица2242[[#This Row],[Возможное количество рейсов в месяц]]*Таблица2242[[#This Row],[СС 1-го рейса, 
грн/рейс]]</f>
        <v>#DIV/0!</v>
      </c>
      <c r="AF147" s="93" t="e">
        <f>Таблица2242[[#This Row],[Доход в месяц, 
грн]]-Таблица2242[[#This Row],[Затраты на предполагаемые рейсы за месяц, 
грн]]</f>
        <v>#DIV/0!</v>
      </c>
      <c r="AG147" s="77"/>
      <c r="AH147" s="186"/>
    </row>
    <row r="148" spans="1:34" ht="13.2" x14ac:dyDescent="0.25">
      <c r="A148" s="76" t="s">
        <v>220</v>
      </c>
      <c r="B148" s="29" t="s">
        <v>34</v>
      </c>
      <c r="C148" s="176"/>
      <c r="D148" s="77"/>
      <c r="E148" s="77"/>
      <c r="F148" s="461">
        <v>45839</v>
      </c>
      <c r="G148" s="396">
        <v>45836.666666666664</v>
      </c>
      <c r="H148" s="396">
        <v>45811.375</v>
      </c>
      <c r="I148" s="77" t="s">
        <v>221</v>
      </c>
      <c r="J148" s="82"/>
      <c r="K148" s="179"/>
      <c r="L148" s="180"/>
      <c r="M148" s="180"/>
      <c r="N148" s="85"/>
      <c r="O148" s="86">
        <f>ROUNDUP(SUM(Таблица2242[[#This Row],[Плановое время в дороге, 
сутки]:[Плановое время простоя, 
сутки]]),0)</f>
        <v>0</v>
      </c>
      <c r="P148" s="436" t="s">
        <v>52</v>
      </c>
      <c r="Q148" s="434" t="s">
        <v>35</v>
      </c>
      <c r="R148" s="82">
        <v>1</v>
      </c>
      <c r="S148" s="90"/>
      <c r="T148" s="181">
        <v>22800</v>
      </c>
      <c r="U148" s="182">
        <v>419</v>
      </c>
      <c r="V148" s="182"/>
      <c r="W148" s="86">
        <f>SUM(Таблица2242[[#This Row],[Километраж по Украине, 
км]:[Километраж по Европе,
км]])</f>
        <v>419</v>
      </c>
      <c r="X148" s="183">
        <f>Таблица2242[[#This Row],[Вес, т]]*Таблица2242[[#This Row],[Стоимость, 
грн/т]]</f>
        <v>22800</v>
      </c>
      <c r="Y148" s="183">
        <f>Таблица2242[[#This Row],[Доход, 
грн/рейс]]/Таблица2242[[#This Row],[Общий километраж, 
км]]</f>
        <v>54.415274463007158</v>
      </c>
      <c r="Z148" s="32">
        <f>Таблица2242[[#This Row],[Километраж по Украине, 
км]]*10</f>
        <v>4190</v>
      </c>
      <c r="AA148" s="32">
        <f>Таблица2242[[#This Row],[Километраж по Украине, 
км]]/100*32*57+Таблица2242[[#This Row],[Зарплата водителя, грн]]</f>
        <v>11832.560000000001</v>
      </c>
      <c r="AB148" s="184">
        <f>Таблица2242[[#This Row],[Доход, 
грн/рейс]]-Таблица2242[[#This Row],[СС 1-го рейса, 
грн/рейс]]</f>
        <v>10967.439999999999</v>
      </c>
      <c r="AC148" s="185" t="e">
        <f>ROUNDDOWN(30/Таблица2242[[#This Row],[Плановое время в рейсе, 
сутки]],0)</f>
        <v>#DIV/0!</v>
      </c>
      <c r="AD148" s="93" t="e">
        <f>Таблица2242[[#This Row],[Доход, 
грн/рейс]]*Таблица2242[[#This Row],[Возможное количество рейсов в месяц]]</f>
        <v>#DIV/0!</v>
      </c>
      <c r="AE148" s="93" t="e">
        <f>Таблица2242[[#This Row],[Возможное количество рейсов в месяц]]*Таблица2242[[#This Row],[СС 1-го рейса, 
грн/рейс]]</f>
        <v>#DIV/0!</v>
      </c>
      <c r="AF148" s="93" t="e">
        <f>Таблица2242[[#This Row],[Доход в месяц, 
грн]]-Таблица2242[[#This Row],[Затраты на предполагаемые рейсы за месяц, 
грн]]</f>
        <v>#DIV/0!</v>
      </c>
      <c r="AG148" s="77"/>
      <c r="AH148" s="186"/>
    </row>
    <row r="149" spans="1:34" ht="13.2" x14ac:dyDescent="0.25">
      <c r="A149" s="76" t="s">
        <v>220</v>
      </c>
      <c r="B149" s="29" t="s">
        <v>34</v>
      </c>
      <c r="C149" s="176"/>
      <c r="D149" s="77"/>
      <c r="E149" s="77"/>
      <c r="F149" s="461">
        <v>45839</v>
      </c>
      <c r="G149" s="396">
        <v>45810.875</v>
      </c>
      <c r="H149" s="396">
        <v>45811.663194444445</v>
      </c>
      <c r="I149" s="77" t="s">
        <v>221</v>
      </c>
      <c r="J149" s="82"/>
      <c r="K149" s="179"/>
      <c r="L149" s="180"/>
      <c r="M149" s="180"/>
      <c r="N149" s="85"/>
      <c r="O149" s="86">
        <f>ROUNDUP(SUM(Таблица2242[[#This Row],[Плановое время в дороге, 
сутки]:[Плановое время простоя, 
сутки]]),0)</f>
        <v>0</v>
      </c>
      <c r="P149" s="417" t="s">
        <v>95</v>
      </c>
      <c r="Q149" s="434" t="s">
        <v>35</v>
      </c>
      <c r="R149" s="82">
        <v>1</v>
      </c>
      <c r="S149" s="90"/>
      <c r="T149" s="181">
        <v>22800</v>
      </c>
      <c r="U149" s="182">
        <v>381</v>
      </c>
      <c r="V149" s="182"/>
      <c r="W149" s="86">
        <f>SUM(Таблица2242[[#This Row],[Километраж по Украине, 
км]:[Километраж по Европе,
км]])</f>
        <v>381</v>
      </c>
      <c r="X149" s="183">
        <f>Таблица2242[[#This Row],[Вес, т]]*Таблица2242[[#This Row],[Стоимость, 
грн/т]]</f>
        <v>22800</v>
      </c>
      <c r="Y149" s="183">
        <f>Таблица2242[[#This Row],[Доход, 
грн/рейс]]/Таблица2242[[#This Row],[Общий километраж, 
км]]</f>
        <v>59.84251968503937</v>
      </c>
      <c r="Z149" s="32">
        <f>Таблица2242[[#This Row],[Километраж по Украине, 
км]]*10</f>
        <v>3810</v>
      </c>
      <c r="AA149" s="32">
        <f>Таблица2242[[#This Row],[Километраж по Украине, 
км]]/100*32*57+Таблица2242[[#This Row],[Зарплата водителя, грн]]</f>
        <v>10759.44</v>
      </c>
      <c r="AB149" s="184">
        <f>Таблица2242[[#This Row],[Доход, 
грн/рейс]]-Таблица2242[[#This Row],[СС 1-го рейса, 
грн/рейс]]</f>
        <v>12040.56</v>
      </c>
      <c r="AC149" s="185" t="e">
        <f>ROUNDDOWN(30/Таблица2242[[#This Row],[Плановое время в рейсе, 
сутки]],0)</f>
        <v>#DIV/0!</v>
      </c>
      <c r="AD149" s="93" t="e">
        <f>Таблица2242[[#This Row],[Доход, 
грн/рейс]]*Таблица2242[[#This Row],[Возможное количество рейсов в месяц]]</f>
        <v>#DIV/0!</v>
      </c>
      <c r="AE149" s="93" t="e">
        <f>Таблица2242[[#This Row],[Возможное количество рейсов в месяц]]*Таблица2242[[#This Row],[СС 1-го рейса, 
грн/рейс]]</f>
        <v>#DIV/0!</v>
      </c>
      <c r="AF149" s="93" t="e">
        <f>Таблица2242[[#This Row],[Доход в месяц, 
грн]]-Таблица2242[[#This Row],[Затраты на предполагаемые рейсы за месяц, 
грн]]</f>
        <v>#DIV/0!</v>
      </c>
      <c r="AG149" s="77"/>
      <c r="AH149" s="186"/>
    </row>
    <row r="150" spans="1:34" ht="13.2" x14ac:dyDescent="0.25">
      <c r="A150" s="193" t="s">
        <v>222</v>
      </c>
      <c r="B150" s="77" t="s">
        <v>223</v>
      </c>
      <c r="C150" s="176" t="s">
        <v>215</v>
      </c>
      <c r="D150" s="77"/>
      <c r="E150" s="77"/>
      <c r="F150" s="461">
        <v>45839</v>
      </c>
      <c r="G150" s="396">
        <v>45811.375</v>
      </c>
      <c r="H150" s="396"/>
      <c r="I150" s="77" t="s">
        <v>224</v>
      </c>
      <c r="J150" s="82"/>
      <c r="K150" s="179"/>
      <c r="L150" s="180"/>
      <c r="M150" s="180"/>
      <c r="N150" s="85"/>
      <c r="O150" s="86">
        <f>ROUNDUP(SUM(Таблица2242[[#This Row],[Плановое время в дороге, 
сутки]:[Плановое время простоя, 
сутки]]),0)</f>
        <v>0</v>
      </c>
      <c r="P150" s="436" t="s">
        <v>52</v>
      </c>
      <c r="Q150" s="64" t="s">
        <v>36</v>
      </c>
      <c r="R150" s="82">
        <v>1</v>
      </c>
      <c r="S150" s="90"/>
      <c r="T150" s="181">
        <v>12700</v>
      </c>
      <c r="U150" s="182"/>
      <c r="V150" s="182"/>
      <c r="W150" s="86"/>
      <c r="X150" s="183">
        <v>12700</v>
      </c>
      <c r="Y150" s="183" t="e">
        <f>Таблица2242[[#This Row],[Доход, 
грн/рейс]]/Таблица2242[[#This Row],[Общий километраж, 
км]]</f>
        <v>#DIV/0!</v>
      </c>
      <c r="Z150" s="32">
        <f>Таблица2242[[#This Row],[Километраж по Украине, 
км]]*10</f>
        <v>0</v>
      </c>
      <c r="AA150" s="32">
        <f>Таблица2242[[#This Row],[Километраж по Украине, 
км]]/100*32*57+Таблица2242[[#This Row],[Зарплата водителя, грн]]</f>
        <v>0</v>
      </c>
      <c r="AB150" s="184">
        <f>Таблица2242[[#This Row],[Доход, 
грн/рейс]]-Таблица2242[[#This Row],[СС 1-го рейса, 
грн/рейс]]</f>
        <v>12700</v>
      </c>
      <c r="AC150" s="185" t="e">
        <f>ROUNDDOWN(30/Таблица2242[[#This Row],[Плановое время в рейсе, 
сутки]],0)</f>
        <v>#DIV/0!</v>
      </c>
      <c r="AD150" s="93" t="e">
        <f>Таблица2242[[#This Row],[Доход, 
грн/рейс]]*Таблица2242[[#This Row],[Возможное количество рейсов в месяц]]</f>
        <v>#DIV/0!</v>
      </c>
      <c r="AE150" s="93" t="e">
        <f>Таблица2242[[#This Row],[Возможное количество рейсов в месяц]]*Таблица2242[[#This Row],[СС 1-го рейса, 
грн/рейс]]</f>
        <v>#DIV/0!</v>
      </c>
      <c r="AF150" s="93" t="e">
        <f>Таблица2242[[#This Row],[Доход в месяц, 
грн]]-Таблица2242[[#This Row],[Затраты на предполагаемые рейсы за месяц, 
грн]]</f>
        <v>#DIV/0!</v>
      </c>
      <c r="AG150" s="77"/>
      <c r="AH150" s="186"/>
    </row>
    <row r="151" spans="1:34" ht="13.2" x14ac:dyDescent="0.25">
      <c r="A151" s="193" t="s">
        <v>222</v>
      </c>
      <c r="B151" s="77" t="s">
        <v>223</v>
      </c>
      <c r="C151" s="176" t="s">
        <v>215</v>
      </c>
      <c r="D151" s="77"/>
      <c r="E151" s="77"/>
      <c r="F151" s="461">
        <v>45839</v>
      </c>
      <c r="G151" s="396">
        <v>45811.663194444445</v>
      </c>
      <c r="H151" s="396"/>
      <c r="I151" s="77" t="s">
        <v>224</v>
      </c>
      <c r="J151" s="82"/>
      <c r="K151" s="179"/>
      <c r="L151" s="180"/>
      <c r="M151" s="180"/>
      <c r="N151" s="85"/>
      <c r="O151" s="86">
        <f>ROUNDUP(SUM(Таблица2242[[#This Row],[Плановое время в дороге, 
сутки]:[Плановое время простоя, 
сутки]]),0)</f>
        <v>0</v>
      </c>
      <c r="P151" s="417" t="s">
        <v>95</v>
      </c>
      <c r="Q151" s="64" t="s">
        <v>36</v>
      </c>
      <c r="R151" s="82">
        <v>1</v>
      </c>
      <c r="S151" s="90"/>
      <c r="T151" s="181">
        <v>12700</v>
      </c>
      <c r="U151" s="182"/>
      <c r="V151" s="182"/>
      <c r="W151" s="86">
        <f>SUM(Таблица2242[[#This Row],[Километраж по Украине, 
км]:[Километраж по Европе,
км]])</f>
        <v>0</v>
      </c>
      <c r="X151" s="475">
        <v>12700</v>
      </c>
      <c r="Y151" s="183" t="e">
        <f>Таблица2242[[#This Row],[Доход, 
грн/рейс]]/Таблица2242[[#This Row],[Общий километраж, 
км]]</f>
        <v>#DIV/0!</v>
      </c>
      <c r="Z151" s="32">
        <f>Таблица2242[[#This Row],[Километраж по Украине, 
км]]*10</f>
        <v>0</v>
      </c>
      <c r="AA151" s="32">
        <f>Таблица2242[[#This Row],[Километраж по Украине, 
км]]/100*32*57+Таблица2242[[#This Row],[Зарплата водителя, грн]]</f>
        <v>0</v>
      </c>
      <c r="AB151" s="184">
        <f>Таблица2242[[#This Row],[Доход, 
грн/рейс]]-Таблица2242[[#This Row],[СС 1-го рейса, 
грн/рейс]]</f>
        <v>12700</v>
      </c>
      <c r="AC151" s="185" t="e">
        <f>ROUNDDOWN(30/Таблица2242[[#This Row],[Плановое время в рейсе, 
сутки]],0)</f>
        <v>#DIV/0!</v>
      </c>
      <c r="AD151" s="93" t="e">
        <f>Таблица2242[[#This Row],[Доход, 
грн/рейс]]*Таблица2242[[#This Row],[Возможное количество рейсов в месяц]]</f>
        <v>#DIV/0!</v>
      </c>
      <c r="AE151" s="93" t="e">
        <f>Таблица2242[[#This Row],[Возможное количество рейсов в месяц]]*Таблица2242[[#This Row],[СС 1-го рейса, 
грн/рейс]]</f>
        <v>#DIV/0!</v>
      </c>
      <c r="AF151" s="93" t="e">
        <f>Таблица2242[[#This Row],[Доход в месяц, 
грн]]-Таблица2242[[#This Row],[Затраты на предполагаемые рейсы за месяц, 
грн]]</f>
        <v>#DIV/0!</v>
      </c>
      <c r="AG151" s="77"/>
      <c r="AH151" s="186"/>
    </row>
  </sheetData>
  <mergeCells count="1">
    <mergeCell ref="A1:AG1"/>
  </mergeCells>
  <pageMargins left="0.25" right="0.25" top="0.75" bottom="0.75" header="0.3" footer="0.3"/>
  <pageSetup paperSize="9" scale="29" orientation="landscape" horizontalDpi="300" verticalDpi="3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449"/>
  <sheetViews>
    <sheetView showGridLines="0" showZeros="0" workbookViewId="0">
      <pane xSplit="2" ySplit="4" topLeftCell="C65" activePane="bottomRight" state="frozen"/>
      <selection pane="topRight" activeCell="C1" sqref="C1"/>
      <selection pane="bottomLeft" activeCell="A4" sqref="A4"/>
      <selection pane="bottomRight" activeCell="F75" sqref="F75"/>
    </sheetView>
  </sheetViews>
  <sheetFormatPr defaultRowHeight="14.4" outlineLevelCol="1" x14ac:dyDescent="0.3"/>
  <cols>
    <col min="1" max="1" width="1.109375" customWidth="1"/>
    <col min="2" max="2" width="11" style="33" customWidth="1"/>
    <col min="3" max="3" width="11.6640625" style="34" customWidth="1"/>
    <col min="4" max="4" width="23.5546875" style="34" customWidth="1" outlineLevel="1"/>
    <col min="5" max="5" width="11.6640625" style="35" customWidth="1"/>
    <col min="6" max="6" width="12.6640625" style="20" customWidth="1"/>
    <col min="7" max="7" width="12.6640625" style="20" hidden="1" customWidth="1" outlineLevel="1"/>
    <col min="8" max="8" width="12.6640625" style="36" customWidth="1" collapsed="1"/>
  </cols>
  <sheetData>
    <row r="2" spans="2:9" ht="15.6" customHeight="1" x14ac:dyDescent="0.3">
      <c r="B2" s="477" t="str">
        <f>UPPER("Распределение резерва на топливо для логистики - 200К")</f>
        <v>РАСПРЕДЕЛЕНИЕ РЕЗЕРВА НА ТОПЛИВО ДЛЯ ЛОГИСТИКИ - 200К</v>
      </c>
      <c r="C2" s="477"/>
      <c r="D2" s="477"/>
      <c r="E2" s="477"/>
      <c r="F2" s="477"/>
      <c r="G2" s="477"/>
      <c r="H2" s="477"/>
      <c r="I2" s="52"/>
    </row>
    <row r="3" spans="2:9" ht="15.6" customHeight="1" x14ac:dyDescent="0.3">
      <c r="B3" s="59"/>
      <c r="C3" s="59"/>
      <c r="D3" s="59"/>
      <c r="E3" s="59"/>
      <c r="F3" s="60">
        <f>SUM(F5:F95)</f>
        <v>210000</v>
      </c>
      <c r="G3" s="59"/>
      <c r="H3" s="59"/>
      <c r="I3" s="52"/>
    </row>
    <row r="4" spans="2:9" ht="29.4" thickBot="1" x14ac:dyDescent="0.35">
      <c r="B4" s="37" t="s">
        <v>44</v>
      </c>
      <c r="C4" s="38" t="s">
        <v>49</v>
      </c>
      <c r="D4" s="38" t="s">
        <v>37</v>
      </c>
      <c r="E4" s="38" t="s">
        <v>45</v>
      </c>
      <c r="F4" s="39" t="s">
        <v>46</v>
      </c>
      <c r="G4" s="40" t="s">
        <v>47</v>
      </c>
      <c r="H4" s="40" t="s">
        <v>48</v>
      </c>
    </row>
    <row r="5" spans="2:9" x14ac:dyDescent="0.3">
      <c r="B5" s="41">
        <v>45261</v>
      </c>
      <c r="C5" s="53">
        <v>200000</v>
      </c>
      <c r="D5" s="42" t="s">
        <v>51</v>
      </c>
      <c r="E5" s="43">
        <v>0</v>
      </c>
      <c r="F5" s="44">
        <v>15000</v>
      </c>
      <c r="G5" s="44"/>
      <c r="H5" s="50">
        <f>C5-F5</f>
        <v>185000</v>
      </c>
    </row>
    <row r="6" spans="2:9" x14ac:dyDescent="0.3">
      <c r="B6" s="46">
        <f>B5+1</f>
        <v>45262</v>
      </c>
      <c r="C6" s="48">
        <f t="shared" ref="C6:C69" si="0">IF(B6=0,0,C5-F5)</f>
        <v>185000</v>
      </c>
      <c r="D6" s="47"/>
      <c r="E6" s="48">
        <f t="shared" ref="E6:E28" si="1">IF(B6=0,0,H5)</f>
        <v>185000</v>
      </c>
      <c r="F6" s="49"/>
      <c r="G6" s="49"/>
      <c r="H6" s="50">
        <f t="shared" ref="H6:H69" si="2">IF(B6=0,0,E6-F6+G6)</f>
        <v>185000</v>
      </c>
    </row>
    <row r="7" spans="2:9" x14ac:dyDescent="0.3">
      <c r="B7" s="46">
        <f t="shared" ref="B7:B24" ca="1" si="3">IF(OR(B6+1&gt;TODAY(),B6=0),0,B6+1)</f>
        <v>45263</v>
      </c>
      <c r="C7" s="48">
        <f t="shared" ca="1" si="0"/>
        <v>185000</v>
      </c>
      <c r="D7" s="47"/>
      <c r="E7" s="48">
        <f t="shared" ca="1" si="1"/>
        <v>185000</v>
      </c>
      <c r="F7" s="49"/>
      <c r="G7" s="49"/>
      <c r="H7" s="50">
        <f t="shared" ca="1" si="2"/>
        <v>185000</v>
      </c>
    </row>
    <row r="8" spans="2:9" x14ac:dyDescent="0.3">
      <c r="B8" s="46">
        <f t="shared" ca="1" si="3"/>
        <v>45264</v>
      </c>
      <c r="C8" s="48">
        <f t="shared" ca="1" si="0"/>
        <v>185000</v>
      </c>
      <c r="D8" s="47"/>
      <c r="E8" s="48">
        <f t="shared" ca="1" si="1"/>
        <v>185000</v>
      </c>
      <c r="F8" s="49"/>
      <c r="G8" s="49"/>
      <c r="H8" s="50">
        <f t="shared" ca="1" si="2"/>
        <v>185000</v>
      </c>
    </row>
    <row r="9" spans="2:9" x14ac:dyDescent="0.3">
      <c r="B9" s="46">
        <f t="shared" ca="1" si="3"/>
        <v>45265</v>
      </c>
      <c r="C9" s="48">
        <f t="shared" ca="1" si="0"/>
        <v>185000</v>
      </c>
      <c r="D9" s="47"/>
      <c r="E9" s="48">
        <f t="shared" ca="1" si="1"/>
        <v>185000</v>
      </c>
      <c r="F9" s="49"/>
      <c r="G9" s="49"/>
      <c r="H9" s="50">
        <f t="shared" ca="1" si="2"/>
        <v>185000</v>
      </c>
    </row>
    <row r="10" spans="2:9" x14ac:dyDescent="0.3">
      <c r="B10" s="46">
        <f t="shared" ca="1" si="3"/>
        <v>45266</v>
      </c>
      <c r="C10" s="48">
        <f t="shared" ca="1" si="0"/>
        <v>185000</v>
      </c>
      <c r="D10" s="47"/>
      <c r="E10" s="48">
        <f t="shared" ca="1" si="1"/>
        <v>185000</v>
      </c>
      <c r="F10" s="49"/>
      <c r="G10" s="49"/>
      <c r="H10" s="50">
        <f t="shared" ca="1" si="2"/>
        <v>185000</v>
      </c>
    </row>
    <row r="11" spans="2:9" x14ac:dyDescent="0.3">
      <c r="B11" s="46">
        <f t="shared" ca="1" si="3"/>
        <v>45267</v>
      </c>
      <c r="C11" s="48">
        <f t="shared" ca="1" si="0"/>
        <v>185000</v>
      </c>
      <c r="D11" s="47"/>
      <c r="E11" s="48">
        <f t="shared" ca="1" si="1"/>
        <v>185000</v>
      </c>
      <c r="F11" s="49"/>
      <c r="G11" s="49"/>
      <c r="H11" s="50">
        <f t="shared" ca="1" si="2"/>
        <v>185000</v>
      </c>
    </row>
    <row r="12" spans="2:9" x14ac:dyDescent="0.3">
      <c r="B12" s="46">
        <f t="shared" ca="1" si="3"/>
        <v>45268</v>
      </c>
      <c r="C12" s="48">
        <f t="shared" ca="1" si="0"/>
        <v>185000</v>
      </c>
      <c r="D12" s="47"/>
      <c r="E12" s="48">
        <f t="shared" ca="1" si="1"/>
        <v>185000</v>
      </c>
      <c r="F12" s="49"/>
      <c r="G12" s="49"/>
      <c r="H12" s="50">
        <f t="shared" ca="1" si="2"/>
        <v>185000</v>
      </c>
    </row>
    <row r="13" spans="2:9" x14ac:dyDescent="0.3">
      <c r="B13" s="46">
        <f t="shared" ca="1" si="3"/>
        <v>45269</v>
      </c>
      <c r="C13" s="48">
        <f t="shared" ca="1" si="0"/>
        <v>185000</v>
      </c>
      <c r="D13" s="47"/>
      <c r="E13" s="48">
        <f t="shared" ca="1" si="1"/>
        <v>185000</v>
      </c>
      <c r="F13" s="49"/>
      <c r="G13" s="49"/>
      <c r="H13" s="50">
        <f t="shared" ca="1" si="2"/>
        <v>185000</v>
      </c>
    </row>
    <row r="14" spans="2:9" x14ac:dyDescent="0.3">
      <c r="B14" s="46">
        <f t="shared" ca="1" si="3"/>
        <v>45270</v>
      </c>
      <c r="C14" s="48">
        <f t="shared" ca="1" si="0"/>
        <v>185000</v>
      </c>
      <c r="D14" s="47"/>
      <c r="E14" s="48">
        <f t="shared" ca="1" si="1"/>
        <v>185000</v>
      </c>
      <c r="F14" s="49"/>
      <c r="G14" s="49"/>
      <c r="H14" s="50">
        <f t="shared" ca="1" si="2"/>
        <v>185000</v>
      </c>
    </row>
    <row r="15" spans="2:9" x14ac:dyDescent="0.3">
      <c r="B15" s="46">
        <f t="shared" ca="1" si="3"/>
        <v>45271</v>
      </c>
      <c r="C15" s="48">
        <f t="shared" ca="1" si="0"/>
        <v>185000</v>
      </c>
      <c r="D15" s="48"/>
      <c r="E15" s="48">
        <f t="shared" ca="1" si="1"/>
        <v>185000</v>
      </c>
      <c r="F15" s="49"/>
      <c r="G15" s="49"/>
      <c r="H15" s="50">
        <f t="shared" ca="1" si="2"/>
        <v>185000</v>
      </c>
    </row>
    <row r="16" spans="2:9" x14ac:dyDescent="0.3">
      <c r="B16" s="46">
        <f t="shared" ca="1" si="3"/>
        <v>45272</v>
      </c>
      <c r="C16" s="48">
        <f t="shared" ca="1" si="0"/>
        <v>185000</v>
      </c>
      <c r="D16" s="47" t="str">
        <f>D5</f>
        <v>Согласованный в бюджете декабря 2023 резерв для топлива (покупка ВОГ РЕСУРС ТОВ)</v>
      </c>
      <c r="E16" s="48">
        <f t="shared" ca="1" si="1"/>
        <v>185000</v>
      </c>
      <c r="F16" s="49">
        <v>20000</v>
      </c>
      <c r="G16" s="49"/>
      <c r="H16" s="50">
        <f t="shared" ca="1" si="2"/>
        <v>165000</v>
      </c>
    </row>
    <row r="17" spans="2:8" x14ac:dyDescent="0.3">
      <c r="B17" s="46">
        <f t="shared" ca="1" si="3"/>
        <v>45273</v>
      </c>
      <c r="C17" s="48">
        <f t="shared" ca="1" si="0"/>
        <v>165000</v>
      </c>
      <c r="D17" s="47"/>
      <c r="E17" s="48">
        <f t="shared" ca="1" si="1"/>
        <v>165000</v>
      </c>
      <c r="F17" s="49"/>
      <c r="G17" s="49"/>
      <c r="H17" s="50">
        <f t="shared" ca="1" si="2"/>
        <v>165000</v>
      </c>
    </row>
    <row r="18" spans="2:8" x14ac:dyDescent="0.3">
      <c r="B18" s="46">
        <f t="shared" ca="1" si="3"/>
        <v>45274</v>
      </c>
      <c r="C18" s="48">
        <f t="shared" ca="1" si="0"/>
        <v>165000</v>
      </c>
      <c r="D18" s="47"/>
      <c r="E18" s="48">
        <f t="shared" ca="1" si="1"/>
        <v>165000</v>
      </c>
      <c r="F18" s="49"/>
      <c r="G18" s="49"/>
      <c r="H18" s="50">
        <f t="shared" ca="1" si="2"/>
        <v>165000</v>
      </c>
    </row>
    <row r="19" spans="2:8" x14ac:dyDescent="0.3">
      <c r="B19" s="46">
        <f t="shared" ca="1" si="3"/>
        <v>45275</v>
      </c>
      <c r="C19" s="48">
        <f t="shared" ca="1" si="0"/>
        <v>165000</v>
      </c>
      <c r="D19" s="47"/>
      <c r="E19" s="48">
        <f t="shared" ca="1" si="1"/>
        <v>165000</v>
      </c>
      <c r="F19" s="49"/>
      <c r="G19" s="49"/>
      <c r="H19" s="50">
        <f t="shared" ca="1" si="2"/>
        <v>165000</v>
      </c>
    </row>
    <row r="20" spans="2:8" x14ac:dyDescent="0.3">
      <c r="B20" s="46">
        <f t="shared" ca="1" si="3"/>
        <v>45276</v>
      </c>
      <c r="C20" s="48">
        <f t="shared" ca="1" si="0"/>
        <v>165000</v>
      </c>
      <c r="D20" s="47"/>
      <c r="E20" s="48">
        <f t="shared" ca="1" si="1"/>
        <v>165000</v>
      </c>
      <c r="F20" s="49"/>
      <c r="G20" s="49"/>
      <c r="H20" s="50">
        <f t="shared" ca="1" si="2"/>
        <v>165000</v>
      </c>
    </row>
    <row r="21" spans="2:8" x14ac:dyDescent="0.3">
      <c r="B21" s="46">
        <f t="shared" ca="1" si="3"/>
        <v>45277</v>
      </c>
      <c r="C21" s="48">
        <f t="shared" ca="1" si="0"/>
        <v>165000</v>
      </c>
      <c r="D21" s="47"/>
      <c r="E21" s="48">
        <f t="shared" ca="1" si="1"/>
        <v>165000</v>
      </c>
      <c r="F21" s="49"/>
      <c r="G21" s="49"/>
      <c r="H21" s="50">
        <f t="shared" ca="1" si="2"/>
        <v>165000</v>
      </c>
    </row>
    <row r="22" spans="2:8" x14ac:dyDescent="0.3">
      <c r="B22" s="46">
        <f t="shared" ca="1" si="3"/>
        <v>45278</v>
      </c>
      <c r="C22" s="48">
        <f t="shared" ca="1" si="0"/>
        <v>165000</v>
      </c>
      <c r="D22" s="47"/>
      <c r="E22" s="48">
        <f t="shared" ca="1" si="1"/>
        <v>165000</v>
      </c>
      <c r="F22" s="49"/>
      <c r="G22" s="49"/>
      <c r="H22" s="50">
        <f t="shared" ca="1" si="2"/>
        <v>165000</v>
      </c>
    </row>
    <row r="23" spans="2:8" x14ac:dyDescent="0.3">
      <c r="B23" s="46">
        <f t="shared" ca="1" si="3"/>
        <v>45279</v>
      </c>
      <c r="C23" s="48">
        <f t="shared" ca="1" si="0"/>
        <v>165000</v>
      </c>
      <c r="D23" s="47" t="s">
        <v>50</v>
      </c>
      <c r="E23" s="48">
        <f t="shared" ca="1" si="1"/>
        <v>165000</v>
      </c>
      <c r="F23" s="49">
        <v>20000</v>
      </c>
      <c r="G23" s="49"/>
      <c r="H23" s="50">
        <f t="shared" ca="1" si="2"/>
        <v>145000</v>
      </c>
    </row>
    <row r="24" spans="2:8" x14ac:dyDescent="0.3">
      <c r="B24" s="46">
        <f t="shared" ca="1" si="3"/>
        <v>45280</v>
      </c>
      <c r="C24" s="48">
        <f t="shared" ca="1" si="0"/>
        <v>145000</v>
      </c>
      <c r="D24" s="47"/>
      <c r="E24" s="48">
        <f t="shared" ca="1" si="1"/>
        <v>145000</v>
      </c>
      <c r="F24" s="49"/>
      <c r="G24" s="49"/>
      <c r="H24" s="50">
        <f t="shared" ca="1" si="2"/>
        <v>145000</v>
      </c>
    </row>
    <row r="25" spans="2:8" x14ac:dyDescent="0.3">
      <c r="B25" s="46">
        <f ca="1">IF(OR(B24+1&gt;TODAY(),B24=0),0,B24+1)</f>
        <v>45281</v>
      </c>
      <c r="C25" s="48">
        <f t="shared" ca="1" si="0"/>
        <v>145000</v>
      </c>
      <c r="D25" s="47"/>
      <c r="E25" s="48">
        <f t="shared" ca="1" si="1"/>
        <v>145000</v>
      </c>
      <c r="F25" s="49"/>
      <c r="G25" s="49"/>
      <c r="H25" s="50">
        <f t="shared" ca="1" si="2"/>
        <v>145000</v>
      </c>
    </row>
    <row r="26" spans="2:8" x14ac:dyDescent="0.3">
      <c r="B26" s="46">
        <f ca="1">IF(OR(B25+1&gt;TODAY(),B25=0),0,B25+1)</f>
        <v>45282</v>
      </c>
      <c r="C26" s="48">
        <f t="shared" ca="1" si="0"/>
        <v>145000</v>
      </c>
      <c r="D26" s="47"/>
      <c r="E26" s="48">
        <f t="shared" ca="1" si="1"/>
        <v>145000</v>
      </c>
      <c r="F26" s="49"/>
      <c r="G26" s="49"/>
      <c r="H26" s="50">
        <f t="shared" ca="1" si="2"/>
        <v>145000</v>
      </c>
    </row>
    <row r="27" spans="2:8" x14ac:dyDescent="0.3">
      <c r="B27" s="46">
        <f ca="1">IF(OR(B26+1&gt;TODAY(),B26=0),0,B26+1)</f>
        <v>45283</v>
      </c>
      <c r="C27" s="48">
        <f t="shared" ca="1" si="0"/>
        <v>145000</v>
      </c>
      <c r="D27" s="47"/>
      <c r="E27" s="48">
        <f t="shared" ca="1" si="1"/>
        <v>145000</v>
      </c>
      <c r="F27" s="49"/>
      <c r="G27" s="49"/>
      <c r="H27" s="50">
        <f t="shared" ca="1" si="2"/>
        <v>145000</v>
      </c>
    </row>
    <row r="28" spans="2:8" x14ac:dyDescent="0.3">
      <c r="B28" s="46">
        <f ca="1">IF(OR(B27+1&gt;TODAY(),B27=0),0,B27+1)</f>
        <v>45284</v>
      </c>
      <c r="C28" s="48">
        <f t="shared" ca="1" si="0"/>
        <v>145000</v>
      </c>
      <c r="D28" s="51"/>
      <c r="E28" s="48">
        <f t="shared" ca="1" si="1"/>
        <v>145000</v>
      </c>
      <c r="F28" s="49">
        <v>0</v>
      </c>
      <c r="G28" s="49"/>
      <c r="H28" s="50">
        <f t="shared" ca="1" si="2"/>
        <v>145000</v>
      </c>
    </row>
    <row r="29" spans="2:8" x14ac:dyDescent="0.3">
      <c r="B29" s="46">
        <f ca="1">IF(OR(B28+1&gt;TODAY(),B28=0),0,B28+1)</f>
        <v>45285</v>
      </c>
      <c r="C29" s="48">
        <f t="shared" ca="1" si="0"/>
        <v>145000</v>
      </c>
      <c r="D29" s="47" t="str">
        <f>D23</f>
        <v>ВОГ РЕСУРС ТОВ</v>
      </c>
      <c r="E29" s="48">
        <f t="shared" ref="E29:E92" ca="1" si="4">IF(B29=0,0,H28)</f>
        <v>145000</v>
      </c>
      <c r="F29" s="49">
        <v>15000</v>
      </c>
      <c r="G29" s="49"/>
      <c r="H29" s="50">
        <f t="shared" ca="1" si="2"/>
        <v>130000</v>
      </c>
    </row>
    <row r="30" spans="2:8" x14ac:dyDescent="0.3">
      <c r="B30" s="46">
        <f t="shared" ref="B30:B93" ca="1" si="5">IF(OR(B29+1&gt;TODAY(),B29=0),0,B29+1)</f>
        <v>45286</v>
      </c>
      <c r="C30" s="48">
        <f t="shared" ca="1" si="0"/>
        <v>130000</v>
      </c>
      <c r="D30" s="47"/>
      <c r="E30" s="48">
        <f t="shared" ca="1" si="4"/>
        <v>130000</v>
      </c>
      <c r="F30" s="49"/>
      <c r="G30" s="49"/>
      <c r="H30" s="50">
        <f t="shared" ca="1" si="2"/>
        <v>130000</v>
      </c>
    </row>
    <row r="31" spans="2:8" x14ac:dyDescent="0.3">
      <c r="B31" s="46">
        <f t="shared" ca="1" si="5"/>
        <v>45287</v>
      </c>
      <c r="C31" s="48">
        <f t="shared" ca="1" si="0"/>
        <v>130000</v>
      </c>
      <c r="D31" s="47"/>
      <c r="E31" s="48">
        <f t="shared" ca="1" si="4"/>
        <v>130000</v>
      </c>
      <c r="F31" s="49"/>
      <c r="G31" s="49"/>
      <c r="H31" s="50">
        <f t="shared" ca="1" si="2"/>
        <v>130000</v>
      </c>
    </row>
    <row r="32" spans="2:8" x14ac:dyDescent="0.3">
      <c r="B32" s="46">
        <f t="shared" ca="1" si="5"/>
        <v>45288</v>
      </c>
      <c r="C32" s="48">
        <f t="shared" ca="1" si="0"/>
        <v>130000</v>
      </c>
      <c r="D32" s="47"/>
      <c r="E32" s="48">
        <f t="shared" ca="1" si="4"/>
        <v>130000</v>
      </c>
      <c r="F32" s="49"/>
      <c r="G32" s="49"/>
      <c r="H32" s="50">
        <f t="shared" ca="1" si="2"/>
        <v>130000</v>
      </c>
    </row>
    <row r="33" spans="2:8" x14ac:dyDescent="0.3">
      <c r="B33" s="46">
        <f t="shared" ca="1" si="5"/>
        <v>45289</v>
      </c>
      <c r="C33" s="48">
        <f t="shared" ca="1" si="0"/>
        <v>130000</v>
      </c>
      <c r="D33" s="47"/>
      <c r="E33" s="48">
        <f t="shared" ca="1" si="4"/>
        <v>130000</v>
      </c>
      <c r="F33" s="49"/>
      <c r="G33" s="49"/>
      <c r="H33" s="50">
        <f t="shared" ca="1" si="2"/>
        <v>130000</v>
      </c>
    </row>
    <row r="34" spans="2:8" x14ac:dyDescent="0.3">
      <c r="B34" s="46">
        <f t="shared" ca="1" si="5"/>
        <v>45290</v>
      </c>
      <c r="C34" s="48">
        <f t="shared" ca="1" si="0"/>
        <v>130000</v>
      </c>
      <c r="D34" s="47"/>
      <c r="E34" s="48">
        <f t="shared" ca="1" si="4"/>
        <v>130000</v>
      </c>
      <c r="F34" s="49"/>
      <c r="G34" s="49"/>
      <c r="H34" s="50">
        <f t="shared" ca="1" si="2"/>
        <v>130000</v>
      </c>
    </row>
    <row r="35" spans="2:8" ht="15" thickBot="1" x14ac:dyDescent="0.35">
      <c r="B35" s="54">
        <f t="shared" ca="1" si="5"/>
        <v>45291</v>
      </c>
      <c r="C35" s="55">
        <f t="shared" ca="1" si="0"/>
        <v>130000</v>
      </c>
      <c r="D35" s="56"/>
      <c r="E35" s="55">
        <f t="shared" ca="1" si="4"/>
        <v>130000</v>
      </c>
      <c r="F35" s="57"/>
      <c r="G35" s="57"/>
      <c r="H35" s="58">
        <f t="shared" ca="1" si="2"/>
        <v>130000</v>
      </c>
    </row>
    <row r="36" spans="2:8" x14ac:dyDescent="0.3">
      <c r="B36" s="41">
        <f t="shared" ca="1" si="5"/>
        <v>45292</v>
      </c>
      <c r="C36" s="43">
        <f t="shared" ca="1" si="0"/>
        <v>130000</v>
      </c>
      <c r="D36" s="42"/>
      <c r="E36" s="43">
        <f t="shared" ca="1" si="4"/>
        <v>130000</v>
      </c>
      <c r="F36" s="44"/>
      <c r="G36" s="44"/>
      <c r="H36" s="45">
        <f t="shared" ca="1" si="2"/>
        <v>130000</v>
      </c>
    </row>
    <row r="37" spans="2:8" x14ac:dyDescent="0.3">
      <c r="B37" s="46">
        <f t="shared" ca="1" si="5"/>
        <v>45293</v>
      </c>
      <c r="C37" s="48">
        <f t="shared" ca="1" si="0"/>
        <v>130000</v>
      </c>
      <c r="D37" s="47"/>
      <c r="E37" s="48">
        <f t="shared" ca="1" si="4"/>
        <v>130000</v>
      </c>
      <c r="F37" s="49"/>
      <c r="G37" s="49"/>
      <c r="H37" s="50">
        <f t="shared" ca="1" si="2"/>
        <v>130000</v>
      </c>
    </row>
    <row r="38" spans="2:8" x14ac:dyDescent="0.3">
      <c r="B38" s="46">
        <f t="shared" ca="1" si="5"/>
        <v>45294</v>
      </c>
      <c r="C38" s="48">
        <f t="shared" ca="1" si="0"/>
        <v>130000</v>
      </c>
      <c r="D38" s="47"/>
      <c r="E38" s="48">
        <f t="shared" ca="1" si="4"/>
        <v>130000</v>
      </c>
      <c r="F38" s="49"/>
      <c r="G38" s="49"/>
      <c r="H38" s="50">
        <f t="shared" ca="1" si="2"/>
        <v>130000</v>
      </c>
    </row>
    <row r="39" spans="2:8" x14ac:dyDescent="0.3">
      <c r="B39" s="46">
        <f t="shared" ca="1" si="5"/>
        <v>45295</v>
      </c>
      <c r="C39" s="48">
        <f t="shared" ca="1" si="0"/>
        <v>130000</v>
      </c>
      <c r="D39" s="47"/>
      <c r="E39" s="48">
        <f t="shared" ca="1" si="4"/>
        <v>130000</v>
      </c>
      <c r="F39" s="49"/>
      <c r="G39" s="49"/>
      <c r="H39" s="50">
        <f t="shared" ca="1" si="2"/>
        <v>130000</v>
      </c>
    </row>
    <row r="40" spans="2:8" x14ac:dyDescent="0.3">
      <c r="B40" s="46">
        <f t="shared" ca="1" si="5"/>
        <v>45296</v>
      </c>
      <c r="C40" s="48">
        <f t="shared" ca="1" si="0"/>
        <v>130000</v>
      </c>
      <c r="D40" s="47"/>
      <c r="E40" s="48">
        <f t="shared" ca="1" si="4"/>
        <v>130000</v>
      </c>
      <c r="F40" s="49"/>
      <c r="G40" s="49"/>
      <c r="H40" s="50">
        <f t="shared" ca="1" si="2"/>
        <v>130000</v>
      </c>
    </row>
    <row r="41" spans="2:8" x14ac:dyDescent="0.3">
      <c r="B41" s="46">
        <f t="shared" ca="1" si="5"/>
        <v>45297</v>
      </c>
      <c r="C41" s="48">
        <f t="shared" ca="1" si="0"/>
        <v>130000</v>
      </c>
      <c r="D41" s="47"/>
      <c r="E41" s="48">
        <f t="shared" ca="1" si="4"/>
        <v>130000</v>
      </c>
      <c r="F41" s="49"/>
      <c r="G41" s="49"/>
      <c r="H41" s="50">
        <f t="shared" ca="1" si="2"/>
        <v>130000</v>
      </c>
    </row>
    <row r="42" spans="2:8" x14ac:dyDescent="0.3">
      <c r="B42" s="46">
        <f t="shared" ca="1" si="5"/>
        <v>45298</v>
      </c>
      <c r="C42" s="48">
        <f t="shared" ca="1" si="0"/>
        <v>130000</v>
      </c>
      <c r="D42" s="47"/>
      <c r="E42" s="48">
        <f t="shared" ca="1" si="4"/>
        <v>130000</v>
      </c>
      <c r="F42" s="49"/>
      <c r="G42" s="49"/>
      <c r="H42" s="50">
        <f t="shared" ca="1" si="2"/>
        <v>130000</v>
      </c>
    </row>
    <row r="43" spans="2:8" x14ac:dyDescent="0.3">
      <c r="B43" s="46">
        <f t="shared" ca="1" si="5"/>
        <v>45299</v>
      </c>
      <c r="C43" s="48">
        <f t="shared" ca="1" si="0"/>
        <v>130000</v>
      </c>
      <c r="D43" s="47"/>
      <c r="E43" s="48">
        <f t="shared" ca="1" si="4"/>
        <v>130000</v>
      </c>
      <c r="F43" s="49"/>
      <c r="G43" s="49"/>
      <c r="H43" s="50">
        <f t="shared" ca="1" si="2"/>
        <v>130000</v>
      </c>
    </row>
    <row r="44" spans="2:8" x14ac:dyDescent="0.3">
      <c r="B44" s="46">
        <f t="shared" ca="1" si="5"/>
        <v>45300</v>
      </c>
      <c r="C44" s="48">
        <f t="shared" ca="1" si="0"/>
        <v>130000</v>
      </c>
      <c r="D44" s="47"/>
      <c r="E44" s="48">
        <f t="shared" ca="1" si="4"/>
        <v>130000</v>
      </c>
      <c r="F44" s="49"/>
      <c r="G44" s="49"/>
      <c r="H44" s="50">
        <f t="shared" ca="1" si="2"/>
        <v>130000</v>
      </c>
    </row>
    <row r="45" spans="2:8" x14ac:dyDescent="0.3">
      <c r="B45" s="46">
        <f t="shared" ca="1" si="5"/>
        <v>45301</v>
      </c>
      <c r="C45" s="48">
        <f t="shared" ca="1" si="0"/>
        <v>130000</v>
      </c>
      <c r="D45" s="47"/>
      <c r="E45" s="48">
        <f t="shared" ca="1" si="4"/>
        <v>130000</v>
      </c>
      <c r="F45" s="49"/>
      <c r="G45" s="49"/>
      <c r="H45" s="50">
        <f t="shared" ca="1" si="2"/>
        <v>130000</v>
      </c>
    </row>
    <row r="46" spans="2:8" x14ac:dyDescent="0.3">
      <c r="B46" s="46">
        <f t="shared" ca="1" si="5"/>
        <v>45302</v>
      </c>
      <c r="C46" s="48">
        <f t="shared" ca="1" si="0"/>
        <v>130000</v>
      </c>
      <c r="D46" s="47"/>
      <c r="E46" s="48">
        <f t="shared" ca="1" si="4"/>
        <v>130000</v>
      </c>
      <c r="F46" s="49"/>
      <c r="G46" s="49"/>
      <c r="H46" s="50">
        <f t="shared" ca="1" si="2"/>
        <v>130000</v>
      </c>
    </row>
    <row r="47" spans="2:8" x14ac:dyDescent="0.3">
      <c r="B47" s="46">
        <f t="shared" ca="1" si="5"/>
        <v>45303</v>
      </c>
      <c r="C47" s="48">
        <f t="shared" ca="1" si="0"/>
        <v>130000</v>
      </c>
      <c r="D47" s="47"/>
      <c r="E47" s="48">
        <f t="shared" ca="1" si="4"/>
        <v>130000</v>
      </c>
      <c r="F47" s="49"/>
      <c r="G47" s="49"/>
      <c r="H47" s="50">
        <f t="shared" ca="1" si="2"/>
        <v>130000</v>
      </c>
    </row>
    <row r="48" spans="2:8" x14ac:dyDescent="0.3">
      <c r="B48" s="46">
        <f t="shared" ca="1" si="5"/>
        <v>45304</v>
      </c>
      <c r="C48" s="48">
        <f t="shared" ca="1" si="0"/>
        <v>130000</v>
      </c>
      <c r="D48" s="47"/>
      <c r="E48" s="48">
        <f t="shared" ca="1" si="4"/>
        <v>130000</v>
      </c>
      <c r="F48" s="49"/>
      <c r="G48" s="49"/>
      <c r="H48" s="50">
        <f t="shared" ca="1" si="2"/>
        <v>130000</v>
      </c>
    </row>
    <row r="49" spans="2:8" x14ac:dyDescent="0.3">
      <c r="B49" s="46">
        <f t="shared" ca="1" si="5"/>
        <v>45305</v>
      </c>
      <c r="C49" s="48">
        <f t="shared" ca="1" si="0"/>
        <v>130000</v>
      </c>
      <c r="D49" s="47"/>
      <c r="E49" s="48">
        <f t="shared" ca="1" si="4"/>
        <v>130000</v>
      </c>
      <c r="F49" s="49"/>
      <c r="G49" s="49"/>
      <c r="H49" s="50">
        <f t="shared" ca="1" si="2"/>
        <v>130000</v>
      </c>
    </row>
    <row r="50" spans="2:8" x14ac:dyDescent="0.3">
      <c r="B50" s="46">
        <f t="shared" ca="1" si="5"/>
        <v>45306</v>
      </c>
      <c r="C50" s="48">
        <f t="shared" ca="1" si="0"/>
        <v>130000</v>
      </c>
      <c r="D50" s="47"/>
      <c r="E50" s="48">
        <f t="shared" ca="1" si="4"/>
        <v>130000</v>
      </c>
      <c r="F50" s="49"/>
      <c r="G50" s="49"/>
      <c r="H50" s="50">
        <f t="shared" ca="1" si="2"/>
        <v>130000</v>
      </c>
    </row>
    <row r="51" spans="2:8" x14ac:dyDescent="0.3">
      <c r="B51" s="46">
        <f t="shared" ca="1" si="5"/>
        <v>45307</v>
      </c>
      <c r="C51" s="48">
        <f t="shared" ca="1" si="0"/>
        <v>130000</v>
      </c>
      <c r="D51" s="47"/>
      <c r="E51" s="48">
        <f t="shared" ca="1" si="4"/>
        <v>130000</v>
      </c>
      <c r="F51" s="49"/>
      <c r="G51" s="49"/>
      <c r="H51" s="50">
        <f t="shared" ca="1" si="2"/>
        <v>130000</v>
      </c>
    </row>
    <row r="52" spans="2:8" x14ac:dyDescent="0.3">
      <c r="B52" s="46">
        <f t="shared" ca="1" si="5"/>
        <v>45308</v>
      </c>
      <c r="C52" s="48">
        <f t="shared" ca="1" si="0"/>
        <v>130000</v>
      </c>
      <c r="D52" s="47"/>
      <c r="E52" s="48">
        <f t="shared" ca="1" si="4"/>
        <v>130000</v>
      </c>
      <c r="F52" s="49"/>
      <c r="G52" s="49"/>
      <c r="H52" s="50">
        <f t="shared" ca="1" si="2"/>
        <v>130000</v>
      </c>
    </row>
    <row r="53" spans="2:8" x14ac:dyDescent="0.3">
      <c r="B53" s="46">
        <f t="shared" ca="1" si="5"/>
        <v>45309</v>
      </c>
      <c r="C53" s="48">
        <f t="shared" ca="1" si="0"/>
        <v>130000</v>
      </c>
      <c r="D53" s="47"/>
      <c r="E53" s="48">
        <f t="shared" ca="1" si="4"/>
        <v>130000</v>
      </c>
      <c r="F53" s="49"/>
      <c r="G53" s="49"/>
      <c r="H53" s="50">
        <f t="shared" ca="1" si="2"/>
        <v>130000</v>
      </c>
    </row>
    <row r="54" spans="2:8" x14ac:dyDescent="0.3">
      <c r="B54" s="46">
        <f t="shared" ca="1" si="5"/>
        <v>45310</v>
      </c>
      <c r="C54" s="48">
        <f t="shared" ca="1" si="0"/>
        <v>130000</v>
      </c>
      <c r="D54" s="47"/>
      <c r="E54" s="48">
        <f t="shared" ca="1" si="4"/>
        <v>130000</v>
      </c>
      <c r="F54" s="49"/>
      <c r="G54" s="49"/>
      <c r="H54" s="50">
        <f t="shared" ca="1" si="2"/>
        <v>130000</v>
      </c>
    </row>
    <row r="55" spans="2:8" x14ac:dyDescent="0.3">
      <c r="B55" s="46">
        <f t="shared" ca="1" si="5"/>
        <v>45311</v>
      </c>
      <c r="C55" s="48">
        <f t="shared" ca="1" si="0"/>
        <v>130000</v>
      </c>
      <c r="D55" s="47"/>
      <c r="E55" s="48">
        <f t="shared" ca="1" si="4"/>
        <v>130000</v>
      </c>
      <c r="F55" s="49"/>
      <c r="G55" s="49"/>
      <c r="H55" s="50">
        <f t="shared" ca="1" si="2"/>
        <v>130000</v>
      </c>
    </row>
    <row r="56" spans="2:8" x14ac:dyDescent="0.3">
      <c r="B56" s="46">
        <f t="shared" ca="1" si="5"/>
        <v>45312</v>
      </c>
      <c r="C56" s="48">
        <f t="shared" ca="1" si="0"/>
        <v>130000</v>
      </c>
      <c r="D56" s="47"/>
      <c r="E56" s="48">
        <f t="shared" ca="1" si="4"/>
        <v>130000</v>
      </c>
      <c r="F56" s="49"/>
      <c r="G56" s="49"/>
      <c r="H56" s="50">
        <f t="shared" ca="1" si="2"/>
        <v>130000</v>
      </c>
    </row>
    <row r="57" spans="2:8" x14ac:dyDescent="0.3">
      <c r="B57" s="46">
        <f t="shared" ca="1" si="5"/>
        <v>45313</v>
      </c>
      <c r="C57" s="48">
        <f t="shared" ca="1" si="0"/>
        <v>130000</v>
      </c>
      <c r="D57" s="47"/>
      <c r="E57" s="48">
        <f t="shared" ca="1" si="4"/>
        <v>130000</v>
      </c>
      <c r="F57" s="49"/>
      <c r="G57" s="49"/>
      <c r="H57" s="50">
        <f t="shared" ca="1" si="2"/>
        <v>130000</v>
      </c>
    </row>
    <row r="58" spans="2:8" x14ac:dyDescent="0.3">
      <c r="B58" s="46">
        <f t="shared" ca="1" si="5"/>
        <v>45314</v>
      </c>
      <c r="C58" s="48">
        <f t="shared" ca="1" si="0"/>
        <v>130000</v>
      </c>
      <c r="D58" s="47" t="s">
        <v>50</v>
      </c>
      <c r="E58" s="48">
        <f t="shared" ca="1" si="4"/>
        <v>130000</v>
      </c>
      <c r="F58" s="49">
        <v>20000</v>
      </c>
      <c r="G58" s="49"/>
      <c r="H58" s="50">
        <f t="shared" ca="1" si="2"/>
        <v>110000</v>
      </c>
    </row>
    <row r="59" spans="2:8" x14ac:dyDescent="0.3">
      <c r="B59" s="46">
        <f t="shared" ca="1" si="5"/>
        <v>45315</v>
      </c>
      <c r="C59" s="48">
        <f t="shared" ca="1" si="0"/>
        <v>110000</v>
      </c>
      <c r="D59" s="47"/>
      <c r="E59" s="48">
        <f t="shared" ca="1" si="4"/>
        <v>110000</v>
      </c>
      <c r="F59" s="49"/>
      <c r="G59" s="49"/>
      <c r="H59" s="50">
        <f t="shared" ca="1" si="2"/>
        <v>110000</v>
      </c>
    </row>
    <row r="60" spans="2:8" x14ac:dyDescent="0.3">
      <c r="B60" s="46">
        <f t="shared" ca="1" si="5"/>
        <v>45316</v>
      </c>
      <c r="C60" s="48">
        <f t="shared" ca="1" si="0"/>
        <v>110000</v>
      </c>
      <c r="D60" s="47"/>
      <c r="E60" s="48">
        <f t="shared" ca="1" si="4"/>
        <v>110000</v>
      </c>
      <c r="F60" s="49"/>
      <c r="G60" s="49"/>
      <c r="H60" s="50">
        <f t="shared" ca="1" si="2"/>
        <v>110000</v>
      </c>
    </row>
    <row r="61" spans="2:8" x14ac:dyDescent="0.3">
      <c r="B61" s="46">
        <f t="shared" ca="1" si="5"/>
        <v>45317</v>
      </c>
      <c r="C61" s="48">
        <f t="shared" ca="1" si="0"/>
        <v>110000</v>
      </c>
      <c r="D61" s="47"/>
      <c r="E61" s="48">
        <f t="shared" ca="1" si="4"/>
        <v>110000</v>
      </c>
      <c r="F61" s="49"/>
      <c r="G61" s="49"/>
      <c r="H61" s="50">
        <f t="shared" ca="1" si="2"/>
        <v>110000</v>
      </c>
    </row>
    <row r="62" spans="2:8" x14ac:dyDescent="0.3">
      <c r="B62" s="46">
        <f t="shared" ca="1" si="5"/>
        <v>45318</v>
      </c>
      <c r="C62" s="48">
        <f t="shared" ca="1" si="0"/>
        <v>110000</v>
      </c>
      <c r="D62" s="47"/>
      <c r="E62" s="48">
        <f t="shared" ca="1" si="4"/>
        <v>110000</v>
      </c>
      <c r="F62" s="49"/>
      <c r="G62" s="49"/>
      <c r="H62" s="50">
        <f t="shared" ca="1" si="2"/>
        <v>110000</v>
      </c>
    </row>
    <row r="63" spans="2:8" x14ac:dyDescent="0.3">
      <c r="B63" s="46">
        <f t="shared" ca="1" si="5"/>
        <v>45319</v>
      </c>
      <c r="C63" s="48">
        <f t="shared" ca="1" si="0"/>
        <v>110000</v>
      </c>
      <c r="D63" s="47"/>
      <c r="E63" s="48">
        <f t="shared" ca="1" si="4"/>
        <v>110000</v>
      </c>
      <c r="F63" s="49"/>
      <c r="G63" s="49"/>
      <c r="H63" s="50">
        <f t="shared" ca="1" si="2"/>
        <v>110000</v>
      </c>
    </row>
    <row r="64" spans="2:8" x14ac:dyDescent="0.3">
      <c r="B64" s="46">
        <f t="shared" ca="1" si="5"/>
        <v>45320</v>
      </c>
      <c r="C64" s="48">
        <f t="shared" ca="1" si="0"/>
        <v>110000</v>
      </c>
      <c r="D64" s="47" t="s">
        <v>50</v>
      </c>
      <c r="E64" s="48">
        <f t="shared" ca="1" si="4"/>
        <v>110000</v>
      </c>
      <c r="F64" s="49">
        <v>20000</v>
      </c>
      <c r="G64" s="49"/>
      <c r="H64" s="50">
        <f t="shared" ca="1" si="2"/>
        <v>90000</v>
      </c>
    </row>
    <row r="65" spans="2:8" x14ac:dyDescent="0.3">
      <c r="B65" s="46">
        <f t="shared" ca="1" si="5"/>
        <v>45321</v>
      </c>
      <c r="C65" s="48">
        <f t="shared" ca="1" si="0"/>
        <v>90000</v>
      </c>
      <c r="D65" s="47"/>
      <c r="E65" s="48">
        <f t="shared" ca="1" si="4"/>
        <v>90000</v>
      </c>
      <c r="F65" s="49"/>
      <c r="G65" s="49"/>
      <c r="H65" s="50">
        <f t="shared" ca="1" si="2"/>
        <v>90000</v>
      </c>
    </row>
    <row r="66" spans="2:8" x14ac:dyDescent="0.3">
      <c r="B66" s="46">
        <f t="shared" ca="1" si="5"/>
        <v>45322</v>
      </c>
      <c r="C66" s="48">
        <f t="shared" ca="1" si="0"/>
        <v>90000</v>
      </c>
      <c r="D66" s="47" t="s">
        <v>50</v>
      </c>
      <c r="E66" s="48">
        <f t="shared" ca="1" si="4"/>
        <v>90000</v>
      </c>
      <c r="F66" s="49">
        <v>20000</v>
      </c>
      <c r="G66" s="49"/>
      <c r="H66" s="50">
        <f t="shared" ca="1" si="2"/>
        <v>70000</v>
      </c>
    </row>
    <row r="67" spans="2:8" x14ac:dyDescent="0.3">
      <c r="B67" s="46">
        <f t="shared" ca="1" si="5"/>
        <v>45323</v>
      </c>
      <c r="C67" s="48">
        <f t="shared" ca="1" si="0"/>
        <v>70000</v>
      </c>
      <c r="D67" s="47"/>
      <c r="E67" s="48">
        <f t="shared" ca="1" si="4"/>
        <v>70000</v>
      </c>
      <c r="F67" s="49"/>
      <c r="G67" s="49"/>
      <c r="H67" s="50">
        <f t="shared" ca="1" si="2"/>
        <v>70000</v>
      </c>
    </row>
    <row r="68" spans="2:8" x14ac:dyDescent="0.3">
      <c r="B68" s="46">
        <f t="shared" ca="1" si="5"/>
        <v>45324</v>
      </c>
      <c r="C68" s="48">
        <f t="shared" ca="1" si="0"/>
        <v>70000</v>
      </c>
      <c r="D68" s="47" t="s">
        <v>50</v>
      </c>
      <c r="E68" s="48">
        <f t="shared" ca="1" si="4"/>
        <v>70000</v>
      </c>
      <c r="F68" s="49">
        <v>40000</v>
      </c>
      <c r="G68" s="49"/>
      <c r="H68" s="50">
        <f t="shared" ca="1" si="2"/>
        <v>30000</v>
      </c>
    </row>
    <row r="69" spans="2:8" x14ac:dyDescent="0.3">
      <c r="B69" s="46">
        <f t="shared" ca="1" si="5"/>
        <v>45325</v>
      </c>
      <c r="C69" s="48">
        <f t="shared" ca="1" si="0"/>
        <v>30000</v>
      </c>
      <c r="D69" s="47"/>
      <c r="E69" s="48">
        <f t="shared" ca="1" si="4"/>
        <v>30000</v>
      </c>
      <c r="F69" s="49"/>
      <c r="G69" s="49"/>
      <c r="H69" s="50">
        <f t="shared" ca="1" si="2"/>
        <v>30000</v>
      </c>
    </row>
    <row r="70" spans="2:8" x14ac:dyDescent="0.3">
      <c r="B70" s="46">
        <f t="shared" ca="1" si="5"/>
        <v>45326</v>
      </c>
      <c r="C70" s="48">
        <f t="shared" ref="C70:C133" ca="1" si="6">IF(B70=0,0,C69-F69)</f>
        <v>30000</v>
      </c>
      <c r="D70" s="47"/>
      <c r="E70" s="48">
        <f t="shared" ca="1" si="4"/>
        <v>30000</v>
      </c>
      <c r="F70" s="49"/>
      <c r="G70" s="49"/>
      <c r="H70" s="50">
        <f t="shared" ref="H70:H133" ca="1" si="7">IF(B70=0,0,E70-F70+G70)</f>
        <v>30000</v>
      </c>
    </row>
    <row r="71" spans="2:8" x14ac:dyDescent="0.3">
      <c r="B71" s="46">
        <f t="shared" ca="1" si="5"/>
        <v>45327</v>
      </c>
      <c r="C71" s="48">
        <f t="shared" ca="1" si="6"/>
        <v>30000</v>
      </c>
      <c r="D71" s="47"/>
      <c r="E71" s="48">
        <f t="shared" ca="1" si="4"/>
        <v>30000</v>
      </c>
      <c r="F71" s="49"/>
      <c r="G71" s="49"/>
      <c r="H71" s="50">
        <f t="shared" ca="1" si="7"/>
        <v>30000</v>
      </c>
    </row>
    <row r="72" spans="2:8" x14ac:dyDescent="0.3">
      <c r="B72" s="46">
        <f t="shared" ca="1" si="5"/>
        <v>45328</v>
      </c>
      <c r="C72" s="48">
        <f t="shared" ca="1" si="6"/>
        <v>30000</v>
      </c>
      <c r="D72" s="47"/>
      <c r="E72" s="48">
        <f t="shared" ca="1" si="4"/>
        <v>30000</v>
      </c>
      <c r="F72" s="49"/>
      <c r="G72" s="49"/>
      <c r="H72" s="50">
        <f t="shared" ca="1" si="7"/>
        <v>30000</v>
      </c>
    </row>
    <row r="73" spans="2:8" x14ac:dyDescent="0.3">
      <c r="B73" s="46">
        <f t="shared" ca="1" si="5"/>
        <v>45329</v>
      </c>
      <c r="C73" s="48">
        <f t="shared" ca="1" si="6"/>
        <v>30000</v>
      </c>
      <c r="D73" s="47" t="s">
        <v>50</v>
      </c>
      <c r="E73" s="48">
        <f t="shared" ca="1" si="4"/>
        <v>30000</v>
      </c>
      <c r="F73" s="49">
        <v>20000</v>
      </c>
      <c r="G73" s="49"/>
      <c r="H73" s="50">
        <f t="shared" ca="1" si="7"/>
        <v>10000</v>
      </c>
    </row>
    <row r="74" spans="2:8" x14ac:dyDescent="0.3">
      <c r="B74" s="46">
        <f t="shared" ca="1" si="5"/>
        <v>45330</v>
      </c>
      <c r="C74" s="48">
        <f t="shared" ca="1" si="6"/>
        <v>10000</v>
      </c>
      <c r="D74" s="47"/>
      <c r="E74" s="48">
        <f t="shared" ca="1" si="4"/>
        <v>10000</v>
      </c>
      <c r="F74" s="49"/>
      <c r="G74" s="49"/>
      <c r="H74" s="50">
        <f t="shared" ca="1" si="7"/>
        <v>10000</v>
      </c>
    </row>
    <row r="75" spans="2:8" x14ac:dyDescent="0.3">
      <c r="B75" s="46">
        <f t="shared" ca="1" si="5"/>
        <v>45331</v>
      </c>
      <c r="C75" s="48">
        <f t="shared" ca="1" si="6"/>
        <v>10000</v>
      </c>
      <c r="D75" s="47" t="s">
        <v>50</v>
      </c>
      <c r="E75" s="48">
        <f t="shared" ca="1" si="4"/>
        <v>10000</v>
      </c>
      <c r="F75" s="49">
        <v>20000</v>
      </c>
      <c r="G75" s="49"/>
      <c r="H75" s="50">
        <f t="shared" ca="1" si="7"/>
        <v>-10000</v>
      </c>
    </row>
    <row r="76" spans="2:8" x14ac:dyDescent="0.3">
      <c r="B76" s="46">
        <f t="shared" ca="1" si="5"/>
        <v>45332</v>
      </c>
      <c r="C76" s="48">
        <f t="shared" ca="1" si="6"/>
        <v>-10000</v>
      </c>
      <c r="D76" s="47"/>
      <c r="E76" s="48">
        <f t="shared" ca="1" si="4"/>
        <v>-10000</v>
      </c>
      <c r="F76" s="49"/>
      <c r="G76" s="49"/>
      <c r="H76" s="50">
        <f t="shared" ca="1" si="7"/>
        <v>-10000</v>
      </c>
    </row>
    <row r="77" spans="2:8" x14ac:dyDescent="0.3">
      <c r="B77" s="46">
        <f t="shared" ca="1" si="5"/>
        <v>45333</v>
      </c>
      <c r="C77" s="48">
        <f t="shared" ca="1" si="6"/>
        <v>-10000</v>
      </c>
      <c r="D77" s="47"/>
      <c r="E77" s="48">
        <f t="shared" ca="1" si="4"/>
        <v>-10000</v>
      </c>
      <c r="F77" s="49"/>
      <c r="G77" s="49"/>
      <c r="H77" s="50">
        <f t="shared" ca="1" si="7"/>
        <v>-10000</v>
      </c>
    </row>
    <row r="78" spans="2:8" x14ac:dyDescent="0.3">
      <c r="B78" s="46">
        <f t="shared" ca="1" si="5"/>
        <v>45334</v>
      </c>
      <c r="C78" s="48">
        <f t="shared" ca="1" si="6"/>
        <v>-10000</v>
      </c>
      <c r="D78" s="47"/>
      <c r="E78" s="48">
        <f t="shared" ca="1" si="4"/>
        <v>-10000</v>
      </c>
      <c r="F78" s="49"/>
      <c r="G78" s="49"/>
      <c r="H78" s="50">
        <f t="shared" ca="1" si="7"/>
        <v>-10000</v>
      </c>
    </row>
    <row r="79" spans="2:8" x14ac:dyDescent="0.3">
      <c r="B79" s="46">
        <f t="shared" ca="1" si="5"/>
        <v>45335</v>
      </c>
      <c r="C79" s="48">
        <f t="shared" ca="1" si="6"/>
        <v>-10000</v>
      </c>
      <c r="D79" s="47"/>
      <c r="E79" s="48">
        <f t="shared" ca="1" si="4"/>
        <v>-10000</v>
      </c>
      <c r="F79" s="49"/>
      <c r="G79" s="49"/>
      <c r="H79" s="50">
        <f t="shared" ca="1" si="7"/>
        <v>-10000</v>
      </c>
    </row>
    <row r="80" spans="2:8" x14ac:dyDescent="0.3">
      <c r="B80" s="46">
        <f t="shared" ca="1" si="5"/>
        <v>45336</v>
      </c>
      <c r="C80" s="48">
        <f t="shared" ca="1" si="6"/>
        <v>-10000</v>
      </c>
      <c r="D80" s="47"/>
      <c r="E80" s="48">
        <f t="shared" ca="1" si="4"/>
        <v>-10000</v>
      </c>
      <c r="F80" s="49"/>
      <c r="G80" s="49"/>
      <c r="H80" s="50">
        <f t="shared" ca="1" si="7"/>
        <v>-10000</v>
      </c>
    </row>
    <row r="81" spans="2:8" x14ac:dyDescent="0.3">
      <c r="B81" s="46">
        <f t="shared" ca="1" si="5"/>
        <v>45337</v>
      </c>
      <c r="C81" s="48">
        <f t="shared" ca="1" si="6"/>
        <v>-10000</v>
      </c>
      <c r="D81" s="47"/>
      <c r="E81" s="48">
        <f t="shared" ca="1" si="4"/>
        <v>-10000</v>
      </c>
      <c r="F81" s="49"/>
      <c r="G81" s="49"/>
      <c r="H81" s="50">
        <f t="shared" ca="1" si="7"/>
        <v>-10000</v>
      </c>
    </row>
    <row r="82" spans="2:8" x14ac:dyDescent="0.3">
      <c r="B82" s="46">
        <f t="shared" ca="1" si="5"/>
        <v>45338</v>
      </c>
      <c r="C82" s="48">
        <f t="shared" ca="1" si="6"/>
        <v>-10000</v>
      </c>
      <c r="D82" s="47"/>
      <c r="E82" s="48">
        <f t="shared" ca="1" si="4"/>
        <v>-10000</v>
      </c>
      <c r="F82" s="49"/>
      <c r="G82" s="49"/>
      <c r="H82" s="50">
        <f t="shared" ca="1" si="7"/>
        <v>-10000</v>
      </c>
    </row>
    <row r="83" spans="2:8" x14ac:dyDescent="0.3">
      <c r="B83" s="46">
        <f t="shared" ca="1" si="5"/>
        <v>45339</v>
      </c>
      <c r="C83" s="48">
        <f t="shared" ca="1" si="6"/>
        <v>-10000</v>
      </c>
      <c r="D83" s="47"/>
      <c r="E83" s="48">
        <f t="shared" ca="1" si="4"/>
        <v>-10000</v>
      </c>
      <c r="F83" s="49"/>
      <c r="G83" s="49"/>
      <c r="H83" s="50">
        <f t="shared" ca="1" si="7"/>
        <v>-10000</v>
      </c>
    </row>
    <row r="84" spans="2:8" x14ac:dyDescent="0.3">
      <c r="B84" s="46">
        <f t="shared" ca="1" si="5"/>
        <v>45340</v>
      </c>
      <c r="C84" s="48">
        <f t="shared" ca="1" si="6"/>
        <v>-10000</v>
      </c>
      <c r="D84" s="47"/>
      <c r="E84" s="48">
        <f t="shared" ca="1" si="4"/>
        <v>-10000</v>
      </c>
      <c r="F84" s="49"/>
      <c r="G84" s="49"/>
      <c r="H84" s="50">
        <f t="shared" ca="1" si="7"/>
        <v>-10000</v>
      </c>
    </row>
    <row r="85" spans="2:8" x14ac:dyDescent="0.3">
      <c r="B85" s="46">
        <f t="shared" ca="1" si="5"/>
        <v>45341</v>
      </c>
      <c r="C85" s="48">
        <f t="shared" ca="1" si="6"/>
        <v>-10000</v>
      </c>
      <c r="D85" s="47"/>
      <c r="E85" s="48">
        <f t="shared" ca="1" si="4"/>
        <v>-10000</v>
      </c>
      <c r="F85" s="49"/>
      <c r="G85" s="49"/>
      <c r="H85" s="50">
        <f t="shared" ca="1" si="7"/>
        <v>-10000</v>
      </c>
    </row>
    <row r="86" spans="2:8" x14ac:dyDescent="0.3">
      <c r="B86" s="46">
        <f t="shared" ca="1" si="5"/>
        <v>45342</v>
      </c>
      <c r="C86" s="48">
        <f t="shared" ca="1" si="6"/>
        <v>-10000</v>
      </c>
      <c r="D86" s="47"/>
      <c r="E86" s="48">
        <f t="shared" ca="1" si="4"/>
        <v>-10000</v>
      </c>
      <c r="F86" s="49"/>
      <c r="G86" s="49"/>
      <c r="H86" s="50">
        <f t="shared" ca="1" si="7"/>
        <v>-10000</v>
      </c>
    </row>
    <row r="87" spans="2:8" x14ac:dyDescent="0.3">
      <c r="B87" s="46">
        <f t="shared" ca="1" si="5"/>
        <v>45343</v>
      </c>
      <c r="C87" s="48">
        <f t="shared" ca="1" si="6"/>
        <v>-10000</v>
      </c>
      <c r="D87" s="47"/>
      <c r="E87" s="48">
        <f t="shared" ca="1" si="4"/>
        <v>-10000</v>
      </c>
      <c r="F87" s="49"/>
      <c r="G87" s="49"/>
      <c r="H87" s="50">
        <f t="shared" ca="1" si="7"/>
        <v>-10000</v>
      </c>
    </row>
    <row r="88" spans="2:8" x14ac:dyDescent="0.3">
      <c r="B88" s="46">
        <f t="shared" ca="1" si="5"/>
        <v>45344</v>
      </c>
      <c r="C88" s="48">
        <f t="shared" ca="1" si="6"/>
        <v>-10000</v>
      </c>
      <c r="D88" s="47"/>
      <c r="E88" s="48">
        <f t="shared" ca="1" si="4"/>
        <v>-10000</v>
      </c>
      <c r="F88" s="49"/>
      <c r="G88" s="49"/>
      <c r="H88" s="50">
        <f t="shared" ca="1" si="7"/>
        <v>-10000</v>
      </c>
    </row>
    <row r="89" spans="2:8" x14ac:dyDescent="0.3">
      <c r="B89" s="46">
        <f t="shared" ca="1" si="5"/>
        <v>45345</v>
      </c>
      <c r="C89" s="48">
        <f t="shared" ca="1" si="6"/>
        <v>-10000</v>
      </c>
      <c r="D89" s="47"/>
      <c r="E89" s="48">
        <f t="shared" ca="1" si="4"/>
        <v>-10000</v>
      </c>
      <c r="F89" s="49"/>
      <c r="G89" s="49"/>
      <c r="H89" s="50">
        <f t="shared" ca="1" si="7"/>
        <v>-10000</v>
      </c>
    </row>
    <row r="90" spans="2:8" x14ac:dyDescent="0.3">
      <c r="B90" s="46">
        <f t="shared" ca="1" si="5"/>
        <v>45346</v>
      </c>
      <c r="C90" s="48">
        <f t="shared" ca="1" si="6"/>
        <v>-10000</v>
      </c>
      <c r="D90" s="47"/>
      <c r="E90" s="48">
        <f t="shared" ca="1" si="4"/>
        <v>-10000</v>
      </c>
      <c r="F90" s="49"/>
      <c r="G90" s="49"/>
      <c r="H90" s="50">
        <f t="shared" ca="1" si="7"/>
        <v>-10000</v>
      </c>
    </row>
    <row r="91" spans="2:8" x14ac:dyDescent="0.3">
      <c r="B91" s="46">
        <f t="shared" ca="1" si="5"/>
        <v>45347</v>
      </c>
      <c r="C91" s="48">
        <f t="shared" ca="1" si="6"/>
        <v>-10000</v>
      </c>
      <c r="D91" s="47"/>
      <c r="E91" s="48">
        <f t="shared" ca="1" si="4"/>
        <v>-10000</v>
      </c>
      <c r="F91" s="49"/>
      <c r="G91" s="49"/>
      <c r="H91" s="50">
        <f t="shared" ca="1" si="7"/>
        <v>-10000</v>
      </c>
    </row>
    <row r="92" spans="2:8" x14ac:dyDescent="0.3">
      <c r="B92" s="46">
        <f t="shared" ca="1" si="5"/>
        <v>45348</v>
      </c>
      <c r="C92" s="48">
        <f t="shared" ca="1" si="6"/>
        <v>-10000</v>
      </c>
      <c r="D92" s="47"/>
      <c r="E92" s="48">
        <f t="shared" ca="1" si="4"/>
        <v>-10000</v>
      </c>
      <c r="F92" s="49"/>
      <c r="G92" s="49"/>
      <c r="H92" s="50">
        <f t="shared" ca="1" si="7"/>
        <v>-10000</v>
      </c>
    </row>
    <row r="93" spans="2:8" x14ac:dyDescent="0.3">
      <c r="B93" s="46">
        <f t="shared" ca="1" si="5"/>
        <v>45349</v>
      </c>
      <c r="C93" s="48">
        <f t="shared" ca="1" si="6"/>
        <v>-10000</v>
      </c>
      <c r="D93" s="47"/>
      <c r="E93" s="48">
        <f t="shared" ref="E93:E156" ca="1" si="8">IF(B93=0,0,H92)</f>
        <v>-10000</v>
      </c>
      <c r="F93" s="49"/>
      <c r="G93" s="49"/>
      <c r="H93" s="50">
        <f t="shared" ca="1" si="7"/>
        <v>-10000</v>
      </c>
    </row>
    <row r="94" spans="2:8" x14ac:dyDescent="0.3">
      <c r="B94" s="46">
        <f t="shared" ref="B94:B157" ca="1" si="9">IF(OR(B93+1&gt;TODAY(),B93=0),0,B93+1)</f>
        <v>45350</v>
      </c>
      <c r="C94" s="48">
        <f t="shared" ca="1" si="6"/>
        <v>-10000</v>
      </c>
      <c r="D94" s="47"/>
      <c r="E94" s="48">
        <f t="shared" ca="1" si="8"/>
        <v>-10000</v>
      </c>
      <c r="F94" s="49"/>
      <c r="G94" s="49"/>
      <c r="H94" s="50">
        <f t="shared" ca="1" si="7"/>
        <v>-10000</v>
      </c>
    </row>
    <row r="95" spans="2:8" x14ac:dyDescent="0.3">
      <c r="B95" s="46">
        <f t="shared" ca="1" si="9"/>
        <v>45351</v>
      </c>
      <c r="C95" s="48">
        <f t="shared" ca="1" si="6"/>
        <v>-10000</v>
      </c>
      <c r="D95" s="47"/>
      <c r="E95" s="48">
        <f t="shared" ca="1" si="8"/>
        <v>-10000</v>
      </c>
      <c r="F95" s="49"/>
      <c r="G95" s="49"/>
      <c r="H95" s="50">
        <f t="shared" ca="1" si="7"/>
        <v>-10000</v>
      </c>
    </row>
    <row r="96" spans="2:8" x14ac:dyDescent="0.3">
      <c r="B96" s="46">
        <f t="shared" ca="1" si="9"/>
        <v>45352</v>
      </c>
      <c r="C96" s="48">
        <f t="shared" ca="1" si="6"/>
        <v>-10000</v>
      </c>
      <c r="D96" s="47"/>
      <c r="E96" s="48">
        <f t="shared" ca="1" si="8"/>
        <v>-10000</v>
      </c>
      <c r="F96" s="49"/>
      <c r="G96" s="49"/>
      <c r="H96" s="50">
        <f t="shared" ca="1" si="7"/>
        <v>-10000</v>
      </c>
    </row>
    <row r="97" spans="2:8" x14ac:dyDescent="0.3">
      <c r="B97" s="46">
        <f t="shared" ca="1" si="9"/>
        <v>45353</v>
      </c>
      <c r="C97" s="48">
        <f t="shared" ca="1" si="6"/>
        <v>-10000</v>
      </c>
      <c r="D97" s="47"/>
      <c r="E97" s="48">
        <f t="shared" ca="1" si="8"/>
        <v>-10000</v>
      </c>
      <c r="F97" s="49"/>
      <c r="G97" s="49"/>
      <c r="H97" s="50">
        <f t="shared" ca="1" si="7"/>
        <v>-10000</v>
      </c>
    </row>
    <row r="98" spans="2:8" x14ac:dyDescent="0.3">
      <c r="B98" s="46">
        <f t="shared" ca="1" si="9"/>
        <v>45354</v>
      </c>
      <c r="C98" s="48">
        <f t="shared" ca="1" si="6"/>
        <v>-10000</v>
      </c>
      <c r="D98" s="47"/>
      <c r="E98" s="48">
        <f t="shared" ca="1" si="8"/>
        <v>-10000</v>
      </c>
      <c r="F98" s="49"/>
      <c r="G98" s="49"/>
      <c r="H98" s="50">
        <f t="shared" ca="1" si="7"/>
        <v>-10000</v>
      </c>
    </row>
    <row r="99" spans="2:8" x14ac:dyDescent="0.3">
      <c r="B99" s="46">
        <f t="shared" ca="1" si="9"/>
        <v>45355</v>
      </c>
      <c r="C99" s="48">
        <f t="shared" ca="1" si="6"/>
        <v>-10000</v>
      </c>
      <c r="D99" s="47"/>
      <c r="E99" s="48">
        <f t="shared" ca="1" si="8"/>
        <v>-10000</v>
      </c>
      <c r="F99" s="49"/>
      <c r="G99" s="49"/>
      <c r="H99" s="50">
        <f t="shared" ca="1" si="7"/>
        <v>-10000</v>
      </c>
    </row>
    <row r="100" spans="2:8" x14ac:dyDescent="0.3">
      <c r="B100" s="46">
        <f t="shared" ca="1" si="9"/>
        <v>45356</v>
      </c>
      <c r="C100" s="48">
        <f t="shared" ca="1" si="6"/>
        <v>-10000</v>
      </c>
      <c r="D100" s="47"/>
      <c r="E100" s="48">
        <f t="shared" ca="1" si="8"/>
        <v>-10000</v>
      </c>
      <c r="F100" s="49"/>
      <c r="G100" s="49"/>
      <c r="H100" s="50">
        <f t="shared" ca="1" si="7"/>
        <v>-10000</v>
      </c>
    </row>
    <row r="101" spans="2:8" x14ac:dyDescent="0.3">
      <c r="B101" s="46">
        <f t="shared" ca="1" si="9"/>
        <v>45357</v>
      </c>
      <c r="C101" s="48">
        <f t="shared" ca="1" si="6"/>
        <v>-10000</v>
      </c>
      <c r="D101" s="47"/>
      <c r="E101" s="48">
        <f t="shared" ca="1" si="8"/>
        <v>-10000</v>
      </c>
      <c r="F101" s="49"/>
      <c r="G101" s="49"/>
      <c r="H101" s="50">
        <f t="shared" ca="1" si="7"/>
        <v>-10000</v>
      </c>
    </row>
    <row r="102" spans="2:8" x14ac:dyDescent="0.3">
      <c r="B102" s="46">
        <f t="shared" ca="1" si="9"/>
        <v>45358</v>
      </c>
      <c r="C102" s="48">
        <f t="shared" ca="1" si="6"/>
        <v>-10000</v>
      </c>
      <c r="D102" s="47"/>
      <c r="E102" s="48">
        <f t="shared" ca="1" si="8"/>
        <v>-10000</v>
      </c>
      <c r="F102" s="49"/>
      <c r="G102" s="49"/>
      <c r="H102" s="50">
        <f t="shared" ca="1" si="7"/>
        <v>-10000</v>
      </c>
    </row>
    <row r="103" spans="2:8" x14ac:dyDescent="0.3">
      <c r="B103" s="46">
        <f t="shared" ca="1" si="9"/>
        <v>45359</v>
      </c>
      <c r="C103" s="48">
        <f t="shared" ca="1" si="6"/>
        <v>-10000</v>
      </c>
      <c r="D103" s="47"/>
      <c r="E103" s="48">
        <f t="shared" ca="1" si="8"/>
        <v>-10000</v>
      </c>
      <c r="F103" s="49"/>
      <c r="G103" s="49"/>
      <c r="H103" s="50">
        <f t="shared" ca="1" si="7"/>
        <v>-10000</v>
      </c>
    </row>
    <row r="104" spans="2:8" x14ac:dyDescent="0.3">
      <c r="B104" s="46">
        <f t="shared" ca="1" si="9"/>
        <v>45360</v>
      </c>
      <c r="C104" s="48">
        <f t="shared" ca="1" si="6"/>
        <v>-10000</v>
      </c>
      <c r="D104" s="47"/>
      <c r="E104" s="48">
        <f t="shared" ca="1" si="8"/>
        <v>-10000</v>
      </c>
      <c r="F104" s="49"/>
      <c r="G104" s="49"/>
      <c r="H104" s="50">
        <f t="shared" ca="1" si="7"/>
        <v>-10000</v>
      </c>
    </row>
    <row r="105" spans="2:8" x14ac:dyDescent="0.3">
      <c r="B105" s="46">
        <f t="shared" ca="1" si="9"/>
        <v>45361</v>
      </c>
      <c r="C105" s="48">
        <f t="shared" ca="1" si="6"/>
        <v>-10000</v>
      </c>
      <c r="D105" s="47"/>
      <c r="E105" s="48">
        <f t="shared" ca="1" si="8"/>
        <v>-10000</v>
      </c>
      <c r="F105" s="49"/>
      <c r="G105" s="49"/>
      <c r="H105" s="50">
        <f t="shared" ca="1" si="7"/>
        <v>-10000</v>
      </c>
    </row>
    <row r="106" spans="2:8" x14ac:dyDescent="0.3">
      <c r="B106" s="46">
        <f t="shared" ca="1" si="9"/>
        <v>45362</v>
      </c>
      <c r="C106" s="48">
        <f t="shared" ca="1" si="6"/>
        <v>-10000</v>
      </c>
      <c r="D106" s="47"/>
      <c r="E106" s="48">
        <f t="shared" ca="1" si="8"/>
        <v>-10000</v>
      </c>
      <c r="F106" s="49"/>
      <c r="G106" s="49"/>
      <c r="H106" s="50">
        <f t="shared" ca="1" si="7"/>
        <v>-10000</v>
      </c>
    </row>
    <row r="107" spans="2:8" x14ac:dyDescent="0.3">
      <c r="B107" s="46">
        <f t="shared" ca="1" si="9"/>
        <v>45363</v>
      </c>
      <c r="C107" s="48">
        <f t="shared" ca="1" si="6"/>
        <v>-10000</v>
      </c>
      <c r="D107" s="47"/>
      <c r="E107" s="48">
        <f t="shared" ca="1" si="8"/>
        <v>-10000</v>
      </c>
      <c r="F107" s="49"/>
      <c r="G107" s="49"/>
      <c r="H107" s="50">
        <f t="shared" ca="1" si="7"/>
        <v>-10000</v>
      </c>
    </row>
    <row r="108" spans="2:8" x14ac:dyDescent="0.3">
      <c r="B108" s="46">
        <f t="shared" ca="1" si="9"/>
        <v>45364</v>
      </c>
      <c r="C108" s="48">
        <f t="shared" ca="1" si="6"/>
        <v>-10000</v>
      </c>
      <c r="D108" s="47"/>
      <c r="E108" s="48">
        <f t="shared" ca="1" si="8"/>
        <v>-10000</v>
      </c>
      <c r="F108" s="49"/>
      <c r="G108" s="49"/>
      <c r="H108" s="50">
        <f t="shared" ca="1" si="7"/>
        <v>-10000</v>
      </c>
    </row>
    <row r="109" spans="2:8" x14ac:dyDescent="0.3">
      <c r="B109" s="46">
        <f t="shared" ca="1" si="9"/>
        <v>45365</v>
      </c>
      <c r="C109" s="48">
        <f t="shared" ca="1" si="6"/>
        <v>-10000</v>
      </c>
      <c r="D109" s="47"/>
      <c r="E109" s="48">
        <f t="shared" ca="1" si="8"/>
        <v>-10000</v>
      </c>
      <c r="F109" s="49"/>
      <c r="G109" s="49"/>
      <c r="H109" s="50">
        <f t="shared" ca="1" si="7"/>
        <v>-10000</v>
      </c>
    </row>
    <row r="110" spans="2:8" x14ac:dyDescent="0.3">
      <c r="B110" s="46">
        <f t="shared" ca="1" si="9"/>
        <v>45366</v>
      </c>
      <c r="C110" s="48">
        <f t="shared" ca="1" si="6"/>
        <v>-10000</v>
      </c>
      <c r="D110" s="47"/>
      <c r="E110" s="48">
        <f t="shared" ca="1" si="8"/>
        <v>-10000</v>
      </c>
      <c r="F110" s="49"/>
      <c r="G110" s="49"/>
      <c r="H110" s="50">
        <f t="shared" ca="1" si="7"/>
        <v>-10000</v>
      </c>
    </row>
    <row r="111" spans="2:8" x14ac:dyDescent="0.3">
      <c r="B111" s="46">
        <f t="shared" ca="1" si="9"/>
        <v>45367</v>
      </c>
      <c r="C111" s="48">
        <f t="shared" ca="1" si="6"/>
        <v>-10000</v>
      </c>
      <c r="D111" s="47"/>
      <c r="E111" s="48">
        <f t="shared" ca="1" si="8"/>
        <v>-10000</v>
      </c>
      <c r="F111" s="49"/>
      <c r="G111" s="49"/>
      <c r="H111" s="50">
        <f t="shared" ca="1" si="7"/>
        <v>-10000</v>
      </c>
    </row>
    <row r="112" spans="2:8" x14ac:dyDescent="0.3">
      <c r="B112" s="46">
        <f t="shared" ca="1" si="9"/>
        <v>45368</v>
      </c>
      <c r="C112" s="48">
        <f t="shared" ca="1" si="6"/>
        <v>-10000</v>
      </c>
      <c r="D112" s="47"/>
      <c r="E112" s="48">
        <f t="shared" ca="1" si="8"/>
        <v>-10000</v>
      </c>
      <c r="F112" s="49"/>
      <c r="G112" s="49"/>
      <c r="H112" s="50">
        <f t="shared" ca="1" si="7"/>
        <v>-10000</v>
      </c>
    </row>
    <row r="113" spans="2:8" x14ac:dyDescent="0.3">
      <c r="B113" s="46">
        <f t="shared" ca="1" si="9"/>
        <v>45369</v>
      </c>
      <c r="C113" s="48">
        <f t="shared" ca="1" si="6"/>
        <v>-10000</v>
      </c>
      <c r="D113" s="47"/>
      <c r="E113" s="48">
        <f t="shared" ca="1" si="8"/>
        <v>-10000</v>
      </c>
      <c r="F113" s="49"/>
      <c r="G113" s="49"/>
      <c r="H113" s="50">
        <f t="shared" ca="1" si="7"/>
        <v>-10000</v>
      </c>
    </row>
    <row r="114" spans="2:8" x14ac:dyDescent="0.3">
      <c r="B114" s="46">
        <f t="shared" ca="1" si="9"/>
        <v>45370</v>
      </c>
      <c r="C114" s="48">
        <f t="shared" ca="1" si="6"/>
        <v>-10000</v>
      </c>
      <c r="D114" s="47"/>
      <c r="E114" s="48">
        <f t="shared" ca="1" si="8"/>
        <v>-10000</v>
      </c>
      <c r="F114" s="49"/>
      <c r="G114" s="49"/>
      <c r="H114" s="50">
        <f t="shared" ca="1" si="7"/>
        <v>-10000</v>
      </c>
    </row>
    <row r="115" spans="2:8" x14ac:dyDescent="0.3">
      <c r="B115" s="46">
        <f t="shared" ca="1" si="9"/>
        <v>45371</v>
      </c>
      <c r="C115" s="48">
        <f t="shared" ca="1" si="6"/>
        <v>-10000</v>
      </c>
      <c r="D115" s="47"/>
      <c r="E115" s="48">
        <f t="shared" ca="1" si="8"/>
        <v>-10000</v>
      </c>
      <c r="F115" s="49"/>
      <c r="G115" s="49"/>
      <c r="H115" s="50">
        <f t="shared" ca="1" si="7"/>
        <v>-10000</v>
      </c>
    </row>
    <row r="116" spans="2:8" x14ac:dyDescent="0.3">
      <c r="B116" s="46">
        <f t="shared" ca="1" si="9"/>
        <v>45372</v>
      </c>
      <c r="C116" s="48">
        <f t="shared" ca="1" si="6"/>
        <v>-10000</v>
      </c>
      <c r="D116" s="47"/>
      <c r="E116" s="48">
        <f t="shared" ca="1" si="8"/>
        <v>-10000</v>
      </c>
      <c r="F116" s="49"/>
      <c r="G116" s="49"/>
      <c r="H116" s="50">
        <f t="shared" ca="1" si="7"/>
        <v>-10000</v>
      </c>
    </row>
    <row r="117" spans="2:8" x14ac:dyDescent="0.3">
      <c r="B117" s="46">
        <f t="shared" ca="1" si="9"/>
        <v>45373</v>
      </c>
      <c r="C117" s="48">
        <f t="shared" ca="1" si="6"/>
        <v>-10000</v>
      </c>
      <c r="D117" s="47"/>
      <c r="E117" s="48">
        <f t="shared" ca="1" si="8"/>
        <v>-10000</v>
      </c>
      <c r="F117" s="49"/>
      <c r="G117" s="49"/>
      <c r="H117" s="50">
        <f t="shared" ca="1" si="7"/>
        <v>-10000</v>
      </c>
    </row>
    <row r="118" spans="2:8" x14ac:dyDescent="0.3">
      <c r="B118" s="46">
        <f t="shared" ca="1" si="9"/>
        <v>45374</v>
      </c>
      <c r="C118" s="48">
        <f t="shared" ca="1" si="6"/>
        <v>-10000</v>
      </c>
      <c r="D118" s="47"/>
      <c r="E118" s="48">
        <f t="shared" ca="1" si="8"/>
        <v>-10000</v>
      </c>
      <c r="F118" s="49"/>
      <c r="G118" s="49"/>
      <c r="H118" s="50">
        <f t="shared" ca="1" si="7"/>
        <v>-10000</v>
      </c>
    </row>
    <row r="119" spans="2:8" x14ac:dyDescent="0.3">
      <c r="B119" s="46">
        <f t="shared" ca="1" si="9"/>
        <v>45375</v>
      </c>
      <c r="C119" s="48">
        <f t="shared" ca="1" si="6"/>
        <v>-10000</v>
      </c>
      <c r="D119" s="47"/>
      <c r="E119" s="48">
        <f t="shared" ca="1" si="8"/>
        <v>-10000</v>
      </c>
      <c r="F119" s="49"/>
      <c r="G119" s="49"/>
      <c r="H119" s="50">
        <f t="shared" ca="1" si="7"/>
        <v>-10000</v>
      </c>
    </row>
    <row r="120" spans="2:8" x14ac:dyDescent="0.3">
      <c r="B120" s="46">
        <f t="shared" ca="1" si="9"/>
        <v>45376</v>
      </c>
      <c r="C120" s="48">
        <f t="shared" ca="1" si="6"/>
        <v>-10000</v>
      </c>
      <c r="D120" s="47"/>
      <c r="E120" s="48">
        <f t="shared" ca="1" si="8"/>
        <v>-10000</v>
      </c>
      <c r="F120" s="49"/>
      <c r="G120" s="49"/>
      <c r="H120" s="50">
        <f t="shared" ca="1" si="7"/>
        <v>-10000</v>
      </c>
    </row>
    <row r="121" spans="2:8" x14ac:dyDescent="0.3">
      <c r="B121" s="46">
        <f t="shared" ca="1" si="9"/>
        <v>45377</v>
      </c>
      <c r="C121" s="48">
        <f t="shared" ca="1" si="6"/>
        <v>-10000</v>
      </c>
      <c r="D121" s="47"/>
      <c r="E121" s="48">
        <f t="shared" ca="1" si="8"/>
        <v>-10000</v>
      </c>
      <c r="F121" s="49"/>
      <c r="G121" s="49"/>
      <c r="H121" s="50">
        <f t="shared" ca="1" si="7"/>
        <v>-10000</v>
      </c>
    </row>
    <row r="122" spans="2:8" x14ac:dyDescent="0.3">
      <c r="B122" s="46">
        <f t="shared" ca="1" si="9"/>
        <v>45378</v>
      </c>
      <c r="C122" s="48">
        <f t="shared" ca="1" si="6"/>
        <v>-10000</v>
      </c>
      <c r="D122" s="47"/>
      <c r="E122" s="48">
        <f t="shared" ca="1" si="8"/>
        <v>-10000</v>
      </c>
      <c r="F122" s="49"/>
      <c r="G122" s="49"/>
      <c r="H122" s="50">
        <f t="shared" ca="1" si="7"/>
        <v>-10000</v>
      </c>
    </row>
    <row r="123" spans="2:8" x14ac:dyDescent="0.3">
      <c r="B123" s="46">
        <f t="shared" ca="1" si="9"/>
        <v>45379</v>
      </c>
      <c r="C123" s="48">
        <f t="shared" ca="1" si="6"/>
        <v>-10000</v>
      </c>
      <c r="D123" s="47"/>
      <c r="E123" s="48">
        <f t="shared" ca="1" si="8"/>
        <v>-10000</v>
      </c>
      <c r="F123" s="49"/>
      <c r="G123" s="49"/>
      <c r="H123" s="50">
        <f t="shared" ca="1" si="7"/>
        <v>-10000</v>
      </c>
    </row>
    <row r="124" spans="2:8" x14ac:dyDescent="0.3">
      <c r="B124" s="46">
        <f t="shared" ca="1" si="9"/>
        <v>45380</v>
      </c>
      <c r="C124" s="48">
        <f t="shared" ca="1" si="6"/>
        <v>-10000</v>
      </c>
      <c r="D124" s="47"/>
      <c r="E124" s="48">
        <f t="shared" ca="1" si="8"/>
        <v>-10000</v>
      </c>
      <c r="F124" s="49"/>
      <c r="G124" s="49"/>
      <c r="H124" s="50">
        <f t="shared" ca="1" si="7"/>
        <v>-10000</v>
      </c>
    </row>
    <row r="125" spans="2:8" x14ac:dyDescent="0.3">
      <c r="B125" s="46">
        <f t="shared" ca="1" si="9"/>
        <v>45381</v>
      </c>
      <c r="C125" s="48">
        <f t="shared" ca="1" si="6"/>
        <v>-10000</v>
      </c>
      <c r="D125" s="47"/>
      <c r="E125" s="48">
        <f t="shared" ca="1" si="8"/>
        <v>-10000</v>
      </c>
      <c r="F125" s="49"/>
      <c r="G125" s="49"/>
      <c r="H125" s="50">
        <f t="shared" ca="1" si="7"/>
        <v>-10000</v>
      </c>
    </row>
    <row r="126" spans="2:8" x14ac:dyDescent="0.3">
      <c r="B126" s="46">
        <f t="shared" ca="1" si="9"/>
        <v>45382</v>
      </c>
      <c r="C126" s="48">
        <f t="shared" ca="1" si="6"/>
        <v>-10000</v>
      </c>
      <c r="D126" s="47"/>
      <c r="E126" s="48">
        <f t="shared" ca="1" si="8"/>
        <v>-10000</v>
      </c>
      <c r="F126" s="49"/>
      <c r="G126" s="49"/>
      <c r="H126" s="50">
        <f t="shared" ca="1" si="7"/>
        <v>-10000</v>
      </c>
    </row>
    <row r="127" spans="2:8" x14ac:dyDescent="0.3">
      <c r="B127" s="46">
        <f t="shared" ca="1" si="9"/>
        <v>45383</v>
      </c>
      <c r="C127" s="48">
        <f t="shared" ca="1" si="6"/>
        <v>-10000</v>
      </c>
      <c r="D127" s="47"/>
      <c r="E127" s="48">
        <f t="shared" ca="1" si="8"/>
        <v>-10000</v>
      </c>
      <c r="F127" s="49"/>
      <c r="G127" s="49"/>
      <c r="H127" s="50">
        <f t="shared" ca="1" si="7"/>
        <v>-10000</v>
      </c>
    </row>
    <row r="128" spans="2:8" x14ac:dyDescent="0.3">
      <c r="B128" s="46">
        <f t="shared" ca="1" si="9"/>
        <v>45384</v>
      </c>
      <c r="C128" s="48">
        <f t="shared" ca="1" si="6"/>
        <v>-10000</v>
      </c>
      <c r="D128" s="47"/>
      <c r="E128" s="48">
        <f t="shared" ca="1" si="8"/>
        <v>-10000</v>
      </c>
      <c r="F128" s="49"/>
      <c r="G128" s="49"/>
      <c r="H128" s="50">
        <f t="shared" ca="1" si="7"/>
        <v>-10000</v>
      </c>
    </row>
    <row r="129" spans="2:8" x14ac:dyDescent="0.3">
      <c r="B129" s="46">
        <f t="shared" ca="1" si="9"/>
        <v>45385</v>
      </c>
      <c r="C129" s="48">
        <f t="shared" ca="1" si="6"/>
        <v>-10000</v>
      </c>
      <c r="D129" s="47"/>
      <c r="E129" s="48">
        <f t="shared" ca="1" si="8"/>
        <v>-10000</v>
      </c>
      <c r="F129" s="49"/>
      <c r="G129" s="49"/>
      <c r="H129" s="50">
        <f t="shared" ca="1" si="7"/>
        <v>-10000</v>
      </c>
    </row>
    <row r="130" spans="2:8" x14ac:dyDescent="0.3">
      <c r="B130" s="46">
        <f t="shared" ca="1" si="9"/>
        <v>45386</v>
      </c>
      <c r="C130" s="48">
        <f t="shared" ca="1" si="6"/>
        <v>-10000</v>
      </c>
      <c r="D130" s="47"/>
      <c r="E130" s="48">
        <f t="shared" ca="1" si="8"/>
        <v>-10000</v>
      </c>
      <c r="F130" s="49"/>
      <c r="G130" s="49"/>
      <c r="H130" s="50">
        <f t="shared" ca="1" si="7"/>
        <v>-10000</v>
      </c>
    </row>
    <row r="131" spans="2:8" x14ac:dyDescent="0.3">
      <c r="B131" s="46">
        <f t="shared" ca="1" si="9"/>
        <v>45387</v>
      </c>
      <c r="C131" s="48">
        <f t="shared" ca="1" si="6"/>
        <v>-10000</v>
      </c>
      <c r="D131" s="47"/>
      <c r="E131" s="48">
        <f t="shared" ca="1" si="8"/>
        <v>-10000</v>
      </c>
      <c r="F131" s="49"/>
      <c r="G131" s="49"/>
      <c r="H131" s="50">
        <f t="shared" ca="1" si="7"/>
        <v>-10000</v>
      </c>
    </row>
    <row r="132" spans="2:8" x14ac:dyDescent="0.3">
      <c r="B132" s="46">
        <f t="shared" ca="1" si="9"/>
        <v>45388</v>
      </c>
      <c r="C132" s="48">
        <f t="shared" ca="1" si="6"/>
        <v>-10000</v>
      </c>
      <c r="D132" s="47"/>
      <c r="E132" s="48">
        <f t="shared" ca="1" si="8"/>
        <v>-10000</v>
      </c>
      <c r="F132" s="49"/>
      <c r="G132" s="49"/>
      <c r="H132" s="50">
        <f t="shared" ca="1" si="7"/>
        <v>-10000</v>
      </c>
    </row>
    <row r="133" spans="2:8" x14ac:dyDescent="0.3">
      <c r="B133" s="46">
        <f t="shared" ca="1" si="9"/>
        <v>45389</v>
      </c>
      <c r="C133" s="48">
        <f t="shared" ca="1" si="6"/>
        <v>-10000</v>
      </c>
      <c r="D133" s="47"/>
      <c r="E133" s="48">
        <f t="shared" ca="1" si="8"/>
        <v>-10000</v>
      </c>
      <c r="F133" s="49"/>
      <c r="G133" s="49"/>
      <c r="H133" s="50">
        <f t="shared" ca="1" si="7"/>
        <v>-10000</v>
      </c>
    </row>
    <row r="134" spans="2:8" x14ac:dyDescent="0.3">
      <c r="B134" s="46">
        <f t="shared" ca="1" si="9"/>
        <v>45390</v>
      </c>
      <c r="C134" s="48">
        <f t="shared" ref="C134:C197" ca="1" si="10">IF(B134=0,0,C133-F133)</f>
        <v>-10000</v>
      </c>
      <c r="D134" s="47"/>
      <c r="E134" s="48">
        <f t="shared" ca="1" si="8"/>
        <v>-10000</v>
      </c>
      <c r="F134" s="49"/>
      <c r="G134" s="49"/>
      <c r="H134" s="50">
        <f t="shared" ref="H134:H197" ca="1" si="11">IF(B134=0,0,E134-F134+G134)</f>
        <v>-10000</v>
      </c>
    </row>
    <row r="135" spans="2:8" x14ac:dyDescent="0.3">
      <c r="B135" s="46">
        <f t="shared" ca="1" si="9"/>
        <v>45391</v>
      </c>
      <c r="C135" s="48">
        <f t="shared" ca="1" si="10"/>
        <v>-10000</v>
      </c>
      <c r="D135" s="47"/>
      <c r="E135" s="48">
        <f t="shared" ca="1" si="8"/>
        <v>-10000</v>
      </c>
      <c r="F135" s="49"/>
      <c r="G135" s="49"/>
      <c r="H135" s="50">
        <f t="shared" ca="1" si="11"/>
        <v>-10000</v>
      </c>
    </row>
    <row r="136" spans="2:8" x14ac:dyDescent="0.3">
      <c r="B136" s="46">
        <f t="shared" ca="1" si="9"/>
        <v>45392</v>
      </c>
      <c r="C136" s="48">
        <f t="shared" ca="1" si="10"/>
        <v>-10000</v>
      </c>
      <c r="D136" s="47"/>
      <c r="E136" s="48">
        <f t="shared" ca="1" si="8"/>
        <v>-10000</v>
      </c>
      <c r="F136" s="49"/>
      <c r="G136" s="49"/>
      <c r="H136" s="50">
        <f t="shared" ca="1" si="11"/>
        <v>-10000</v>
      </c>
    </row>
    <row r="137" spans="2:8" x14ac:dyDescent="0.3">
      <c r="B137" s="46">
        <f t="shared" ca="1" si="9"/>
        <v>45393</v>
      </c>
      <c r="C137" s="48">
        <f t="shared" ca="1" si="10"/>
        <v>-10000</v>
      </c>
      <c r="D137" s="47"/>
      <c r="E137" s="48">
        <f t="shared" ca="1" si="8"/>
        <v>-10000</v>
      </c>
      <c r="F137" s="49"/>
      <c r="G137" s="49"/>
      <c r="H137" s="50">
        <f t="shared" ca="1" si="11"/>
        <v>-10000</v>
      </c>
    </row>
    <row r="138" spans="2:8" x14ac:dyDescent="0.3">
      <c r="B138" s="46">
        <f t="shared" ca="1" si="9"/>
        <v>45394</v>
      </c>
      <c r="C138" s="48">
        <f t="shared" ca="1" si="10"/>
        <v>-10000</v>
      </c>
      <c r="D138" s="47"/>
      <c r="E138" s="48">
        <f t="shared" ca="1" si="8"/>
        <v>-10000</v>
      </c>
      <c r="F138" s="49"/>
      <c r="G138" s="49"/>
      <c r="H138" s="50">
        <f t="shared" ca="1" si="11"/>
        <v>-10000</v>
      </c>
    </row>
    <row r="139" spans="2:8" x14ac:dyDescent="0.3">
      <c r="B139" s="46">
        <f t="shared" ca="1" si="9"/>
        <v>45395</v>
      </c>
      <c r="C139" s="48">
        <f t="shared" ca="1" si="10"/>
        <v>-10000</v>
      </c>
      <c r="D139" s="47"/>
      <c r="E139" s="48">
        <f t="shared" ca="1" si="8"/>
        <v>-10000</v>
      </c>
      <c r="F139" s="49"/>
      <c r="G139" s="49"/>
      <c r="H139" s="50">
        <f t="shared" ca="1" si="11"/>
        <v>-10000</v>
      </c>
    </row>
    <row r="140" spans="2:8" x14ac:dyDescent="0.3">
      <c r="B140" s="46">
        <f t="shared" ca="1" si="9"/>
        <v>45396</v>
      </c>
      <c r="C140" s="48">
        <f t="shared" ca="1" si="10"/>
        <v>-10000</v>
      </c>
      <c r="D140" s="47"/>
      <c r="E140" s="48">
        <f t="shared" ca="1" si="8"/>
        <v>-10000</v>
      </c>
      <c r="F140" s="49"/>
      <c r="G140" s="49"/>
      <c r="H140" s="50">
        <f t="shared" ca="1" si="11"/>
        <v>-10000</v>
      </c>
    </row>
    <row r="141" spans="2:8" x14ac:dyDescent="0.3">
      <c r="B141" s="46">
        <f t="shared" ca="1" si="9"/>
        <v>45397</v>
      </c>
      <c r="C141" s="48">
        <f t="shared" ca="1" si="10"/>
        <v>-10000</v>
      </c>
      <c r="D141" s="47"/>
      <c r="E141" s="48">
        <f t="shared" ca="1" si="8"/>
        <v>-10000</v>
      </c>
      <c r="F141" s="49"/>
      <c r="G141" s="49"/>
      <c r="H141" s="50">
        <f t="shared" ca="1" si="11"/>
        <v>-10000</v>
      </c>
    </row>
    <row r="142" spans="2:8" x14ac:dyDescent="0.3">
      <c r="B142" s="46">
        <f t="shared" ca="1" si="9"/>
        <v>45398</v>
      </c>
      <c r="C142" s="48">
        <f t="shared" ca="1" si="10"/>
        <v>-10000</v>
      </c>
      <c r="D142" s="47"/>
      <c r="E142" s="48">
        <f t="shared" ca="1" si="8"/>
        <v>-10000</v>
      </c>
      <c r="F142" s="49"/>
      <c r="G142" s="49"/>
      <c r="H142" s="50">
        <f t="shared" ca="1" si="11"/>
        <v>-10000</v>
      </c>
    </row>
    <row r="143" spans="2:8" x14ac:dyDescent="0.3">
      <c r="B143" s="46">
        <f t="shared" ca="1" si="9"/>
        <v>45399</v>
      </c>
      <c r="C143" s="48">
        <f t="shared" ca="1" si="10"/>
        <v>-10000</v>
      </c>
      <c r="D143" s="47"/>
      <c r="E143" s="48">
        <f t="shared" ca="1" si="8"/>
        <v>-10000</v>
      </c>
      <c r="F143" s="49"/>
      <c r="G143" s="49"/>
      <c r="H143" s="50">
        <f t="shared" ca="1" si="11"/>
        <v>-10000</v>
      </c>
    </row>
    <row r="144" spans="2:8" x14ac:dyDescent="0.3">
      <c r="B144" s="46">
        <f t="shared" ca="1" si="9"/>
        <v>45400</v>
      </c>
      <c r="C144" s="48">
        <f t="shared" ca="1" si="10"/>
        <v>-10000</v>
      </c>
      <c r="D144" s="47"/>
      <c r="E144" s="48">
        <f t="shared" ca="1" si="8"/>
        <v>-10000</v>
      </c>
      <c r="F144" s="49"/>
      <c r="G144" s="49"/>
      <c r="H144" s="50">
        <f t="shared" ca="1" si="11"/>
        <v>-10000</v>
      </c>
    </row>
    <row r="145" spans="2:8" x14ac:dyDescent="0.3">
      <c r="B145" s="46">
        <f t="shared" ca="1" si="9"/>
        <v>45401</v>
      </c>
      <c r="C145" s="48">
        <f t="shared" ca="1" si="10"/>
        <v>-10000</v>
      </c>
      <c r="D145" s="47"/>
      <c r="E145" s="48">
        <f t="shared" ca="1" si="8"/>
        <v>-10000</v>
      </c>
      <c r="F145" s="49"/>
      <c r="G145" s="49"/>
      <c r="H145" s="50">
        <f t="shared" ca="1" si="11"/>
        <v>-10000</v>
      </c>
    </row>
    <row r="146" spans="2:8" x14ac:dyDescent="0.3">
      <c r="B146" s="46">
        <f t="shared" ca="1" si="9"/>
        <v>45402</v>
      </c>
      <c r="C146" s="48">
        <f t="shared" ca="1" si="10"/>
        <v>-10000</v>
      </c>
      <c r="D146" s="47"/>
      <c r="E146" s="48">
        <f t="shared" ca="1" si="8"/>
        <v>-10000</v>
      </c>
      <c r="F146" s="49"/>
      <c r="G146" s="49"/>
      <c r="H146" s="50">
        <f t="shared" ca="1" si="11"/>
        <v>-10000</v>
      </c>
    </row>
    <row r="147" spans="2:8" x14ac:dyDescent="0.3">
      <c r="B147" s="46">
        <f t="shared" ca="1" si="9"/>
        <v>45403</v>
      </c>
      <c r="C147" s="48">
        <f t="shared" ca="1" si="10"/>
        <v>-10000</v>
      </c>
      <c r="D147" s="47"/>
      <c r="E147" s="48">
        <f t="shared" ca="1" si="8"/>
        <v>-10000</v>
      </c>
      <c r="F147" s="49"/>
      <c r="G147" s="49"/>
      <c r="H147" s="50">
        <f t="shared" ca="1" si="11"/>
        <v>-10000</v>
      </c>
    </row>
    <row r="148" spans="2:8" x14ac:dyDescent="0.3">
      <c r="B148" s="46">
        <f t="shared" ca="1" si="9"/>
        <v>45404</v>
      </c>
      <c r="C148" s="48">
        <f t="shared" ca="1" si="10"/>
        <v>-10000</v>
      </c>
      <c r="D148" s="47"/>
      <c r="E148" s="48">
        <f t="shared" ca="1" si="8"/>
        <v>-10000</v>
      </c>
      <c r="F148" s="49"/>
      <c r="G148" s="49"/>
      <c r="H148" s="50">
        <f t="shared" ca="1" si="11"/>
        <v>-10000</v>
      </c>
    </row>
    <row r="149" spans="2:8" x14ac:dyDescent="0.3">
      <c r="B149" s="46">
        <f t="shared" ca="1" si="9"/>
        <v>45405</v>
      </c>
      <c r="C149" s="48">
        <f t="shared" ca="1" si="10"/>
        <v>-10000</v>
      </c>
      <c r="D149" s="47"/>
      <c r="E149" s="48">
        <f t="shared" ca="1" si="8"/>
        <v>-10000</v>
      </c>
      <c r="F149" s="49"/>
      <c r="G149" s="49"/>
      <c r="H149" s="50">
        <f t="shared" ca="1" si="11"/>
        <v>-10000</v>
      </c>
    </row>
    <row r="150" spans="2:8" x14ac:dyDescent="0.3">
      <c r="B150" s="46">
        <f t="shared" ca="1" si="9"/>
        <v>45406</v>
      </c>
      <c r="C150" s="48">
        <f t="shared" ca="1" si="10"/>
        <v>-10000</v>
      </c>
      <c r="D150" s="47"/>
      <c r="E150" s="48">
        <f t="shared" ca="1" si="8"/>
        <v>-10000</v>
      </c>
      <c r="F150" s="49"/>
      <c r="G150" s="49"/>
      <c r="H150" s="50">
        <f t="shared" ca="1" si="11"/>
        <v>-10000</v>
      </c>
    </row>
    <row r="151" spans="2:8" x14ac:dyDescent="0.3">
      <c r="B151" s="46">
        <f t="shared" ca="1" si="9"/>
        <v>45407</v>
      </c>
      <c r="C151" s="48">
        <f t="shared" ca="1" si="10"/>
        <v>-10000</v>
      </c>
      <c r="D151" s="47"/>
      <c r="E151" s="48">
        <f t="shared" ca="1" si="8"/>
        <v>-10000</v>
      </c>
      <c r="F151" s="49"/>
      <c r="G151" s="49"/>
      <c r="H151" s="50">
        <f t="shared" ca="1" si="11"/>
        <v>-10000</v>
      </c>
    </row>
    <row r="152" spans="2:8" x14ac:dyDescent="0.3">
      <c r="B152" s="46">
        <f t="shared" ca="1" si="9"/>
        <v>45408</v>
      </c>
      <c r="C152" s="48">
        <f t="shared" ca="1" si="10"/>
        <v>-10000</v>
      </c>
      <c r="D152" s="47"/>
      <c r="E152" s="48">
        <f t="shared" ca="1" si="8"/>
        <v>-10000</v>
      </c>
      <c r="F152" s="49"/>
      <c r="G152" s="49"/>
      <c r="H152" s="50">
        <f t="shared" ca="1" si="11"/>
        <v>-10000</v>
      </c>
    </row>
    <row r="153" spans="2:8" x14ac:dyDescent="0.3">
      <c r="B153" s="46">
        <f t="shared" ca="1" si="9"/>
        <v>45409</v>
      </c>
      <c r="C153" s="48">
        <f t="shared" ca="1" si="10"/>
        <v>-10000</v>
      </c>
      <c r="D153" s="47"/>
      <c r="E153" s="48">
        <f t="shared" ca="1" si="8"/>
        <v>-10000</v>
      </c>
      <c r="F153" s="49"/>
      <c r="G153" s="49"/>
      <c r="H153" s="50">
        <f t="shared" ca="1" si="11"/>
        <v>-10000</v>
      </c>
    </row>
    <row r="154" spans="2:8" x14ac:dyDescent="0.3">
      <c r="B154" s="46">
        <f t="shared" ca="1" si="9"/>
        <v>45410</v>
      </c>
      <c r="C154" s="48">
        <f t="shared" ca="1" si="10"/>
        <v>-10000</v>
      </c>
      <c r="D154" s="47"/>
      <c r="E154" s="48">
        <f t="shared" ca="1" si="8"/>
        <v>-10000</v>
      </c>
      <c r="F154" s="49"/>
      <c r="G154" s="49"/>
      <c r="H154" s="50">
        <f t="shared" ca="1" si="11"/>
        <v>-10000</v>
      </c>
    </row>
    <row r="155" spans="2:8" x14ac:dyDescent="0.3">
      <c r="B155" s="46">
        <f t="shared" ca="1" si="9"/>
        <v>45411</v>
      </c>
      <c r="C155" s="48">
        <f t="shared" ca="1" si="10"/>
        <v>-10000</v>
      </c>
      <c r="D155" s="47"/>
      <c r="E155" s="48">
        <f t="shared" ca="1" si="8"/>
        <v>-10000</v>
      </c>
      <c r="F155" s="49"/>
      <c r="G155" s="49"/>
      <c r="H155" s="50">
        <f t="shared" ca="1" si="11"/>
        <v>-10000</v>
      </c>
    </row>
    <row r="156" spans="2:8" x14ac:dyDescent="0.3">
      <c r="B156" s="46">
        <f t="shared" ca="1" si="9"/>
        <v>45412</v>
      </c>
      <c r="C156" s="48">
        <f t="shared" ca="1" si="10"/>
        <v>-10000</v>
      </c>
      <c r="D156" s="47"/>
      <c r="E156" s="48">
        <f t="shared" ca="1" si="8"/>
        <v>-10000</v>
      </c>
      <c r="F156" s="49"/>
      <c r="G156" s="49"/>
      <c r="H156" s="50">
        <f t="shared" ca="1" si="11"/>
        <v>-10000</v>
      </c>
    </row>
    <row r="157" spans="2:8" x14ac:dyDescent="0.3">
      <c r="B157" s="46">
        <f t="shared" ca="1" si="9"/>
        <v>45413</v>
      </c>
      <c r="C157" s="48">
        <f t="shared" ca="1" si="10"/>
        <v>-10000</v>
      </c>
      <c r="D157" s="47"/>
      <c r="E157" s="48">
        <f t="shared" ref="E157:E220" ca="1" si="12">IF(B157=0,0,H156)</f>
        <v>-10000</v>
      </c>
      <c r="F157" s="49"/>
      <c r="G157" s="49"/>
      <c r="H157" s="50">
        <f t="shared" ca="1" si="11"/>
        <v>-10000</v>
      </c>
    </row>
    <row r="158" spans="2:8" x14ac:dyDescent="0.3">
      <c r="B158" s="46">
        <f t="shared" ref="B158:B221" ca="1" si="13">IF(OR(B157+1&gt;TODAY(),B157=0),0,B157+1)</f>
        <v>45414</v>
      </c>
      <c r="C158" s="48">
        <f t="shared" ca="1" si="10"/>
        <v>-10000</v>
      </c>
      <c r="D158" s="47"/>
      <c r="E158" s="48">
        <f t="shared" ca="1" si="12"/>
        <v>-10000</v>
      </c>
      <c r="F158" s="49"/>
      <c r="G158" s="49"/>
      <c r="H158" s="50">
        <f t="shared" ca="1" si="11"/>
        <v>-10000</v>
      </c>
    </row>
    <row r="159" spans="2:8" x14ac:dyDescent="0.3">
      <c r="B159" s="46">
        <f t="shared" ca="1" si="13"/>
        <v>45415</v>
      </c>
      <c r="C159" s="48">
        <f t="shared" ca="1" si="10"/>
        <v>-10000</v>
      </c>
      <c r="D159" s="47"/>
      <c r="E159" s="48">
        <f t="shared" ca="1" si="12"/>
        <v>-10000</v>
      </c>
      <c r="F159" s="49"/>
      <c r="G159" s="49"/>
      <c r="H159" s="50">
        <f t="shared" ca="1" si="11"/>
        <v>-10000</v>
      </c>
    </row>
    <row r="160" spans="2:8" x14ac:dyDescent="0.3">
      <c r="B160" s="46">
        <f t="shared" ca="1" si="13"/>
        <v>45416</v>
      </c>
      <c r="C160" s="48">
        <f t="shared" ca="1" si="10"/>
        <v>-10000</v>
      </c>
      <c r="D160" s="47"/>
      <c r="E160" s="48">
        <f t="shared" ca="1" si="12"/>
        <v>-10000</v>
      </c>
      <c r="F160" s="49"/>
      <c r="G160" s="49"/>
      <c r="H160" s="50">
        <f t="shared" ca="1" si="11"/>
        <v>-10000</v>
      </c>
    </row>
    <row r="161" spans="2:8" x14ac:dyDescent="0.3">
      <c r="B161" s="46">
        <f t="shared" ca="1" si="13"/>
        <v>45417</v>
      </c>
      <c r="C161" s="48">
        <f t="shared" ca="1" si="10"/>
        <v>-10000</v>
      </c>
      <c r="D161" s="47"/>
      <c r="E161" s="48">
        <f t="shared" ca="1" si="12"/>
        <v>-10000</v>
      </c>
      <c r="F161" s="49"/>
      <c r="G161" s="49"/>
      <c r="H161" s="50">
        <f t="shared" ca="1" si="11"/>
        <v>-10000</v>
      </c>
    </row>
    <row r="162" spans="2:8" x14ac:dyDescent="0.3">
      <c r="B162" s="46">
        <f t="shared" ca="1" si="13"/>
        <v>45418</v>
      </c>
      <c r="C162" s="48">
        <f t="shared" ca="1" si="10"/>
        <v>-10000</v>
      </c>
      <c r="D162" s="47"/>
      <c r="E162" s="48">
        <f t="shared" ca="1" si="12"/>
        <v>-10000</v>
      </c>
      <c r="F162" s="49"/>
      <c r="G162" s="49"/>
      <c r="H162" s="50">
        <f t="shared" ca="1" si="11"/>
        <v>-10000</v>
      </c>
    </row>
    <row r="163" spans="2:8" x14ac:dyDescent="0.3">
      <c r="B163" s="46">
        <f t="shared" ca="1" si="13"/>
        <v>45419</v>
      </c>
      <c r="C163" s="48">
        <f t="shared" ca="1" si="10"/>
        <v>-10000</v>
      </c>
      <c r="D163" s="47"/>
      <c r="E163" s="48">
        <f t="shared" ca="1" si="12"/>
        <v>-10000</v>
      </c>
      <c r="F163" s="49"/>
      <c r="G163" s="49"/>
      <c r="H163" s="50">
        <f t="shared" ca="1" si="11"/>
        <v>-10000</v>
      </c>
    </row>
    <row r="164" spans="2:8" x14ac:dyDescent="0.3">
      <c r="B164" s="46">
        <f t="shared" ca="1" si="13"/>
        <v>45420</v>
      </c>
      <c r="C164" s="48">
        <f t="shared" ca="1" si="10"/>
        <v>-10000</v>
      </c>
      <c r="D164" s="47"/>
      <c r="E164" s="48">
        <f t="shared" ca="1" si="12"/>
        <v>-10000</v>
      </c>
      <c r="F164" s="49"/>
      <c r="G164" s="49"/>
      <c r="H164" s="50">
        <f t="shared" ca="1" si="11"/>
        <v>-10000</v>
      </c>
    </row>
    <row r="165" spans="2:8" x14ac:dyDescent="0.3">
      <c r="B165" s="46">
        <f t="shared" ca="1" si="13"/>
        <v>45421</v>
      </c>
      <c r="C165" s="48">
        <f t="shared" ca="1" si="10"/>
        <v>-10000</v>
      </c>
      <c r="D165" s="47"/>
      <c r="E165" s="48">
        <f t="shared" ca="1" si="12"/>
        <v>-10000</v>
      </c>
      <c r="F165" s="49"/>
      <c r="G165" s="49"/>
      <c r="H165" s="50">
        <f t="shared" ca="1" si="11"/>
        <v>-10000</v>
      </c>
    </row>
    <row r="166" spans="2:8" x14ac:dyDescent="0.3">
      <c r="B166" s="46">
        <f t="shared" ca="1" si="13"/>
        <v>45422</v>
      </c>
      <c r="C166" s="48">
        <f t="shared" ca="1" si="10"/>
        <v>-10000</v>
      </c>
      <c r="D166" s="47"/>
      <c r="E166" s="48">
        <f t="shared" ca="1" si="12"/>
        <v>-10000</v>
      </c>
      <c r="F166" s="49"/>
      <c r="G166" s="49"/>
      <c r="H166" s="50">
        <f t="shared" ca="1" si="11"/>
        <v>-10000</v>
      </c>
    </row>
    <row r="167" spans="2:8" x14ac:dyDescent="0.3">
      <c r="B167" s="46">
        <f t="shared" ca="1" si="13"/>
        <v>45423</v>
      </c>
      <c r="C167" s="48">
        <f t="shared" ca="1" si="10"/>
        <v>-10000</v>
      </c>
      <c r="D167" s="47"/>
      <c r="E167" s="48">
        <f t="shared" ca="1" si="12"/>
        <v>-10000</v>
      </c>
      <c r="F167" s="49"/>
      <c r="G167" s="49"/>
      <c r="H167" s="50">
        <f t="shared" ca="1" si="11"/>
        <v>-10000</v>
      </c>
    </row>
    <row r="168" spans="2:8" x14ac:dyDescent="0.3">
      <c r="B168" s="46">
        <f t="shared" ca="1" si="13"/>
        <v>45424</v>
      </c>
      <c r="C168" s="48">
        <f t="shared" ca="1" si="10"/>
        <v>-10000</v>
      </c>
      <c r="D168" s="47"/>
      <c r="E168" s="48">
        <f t="shared" ca="1" si="12"/>
        <v>-10000</v>
      </c>
      <c r="F168" s="49"/>
      <c r="G168" s="49"/>
      <c r="H168" s="50">
        <f t="shared" ca="1" si="11"/>
        <v>-10000</v>
      </c>
    </row>
    <row r="169" spans="2:8" x14ac:dyDescent="0.3">
      <c r="B169" s="46">
        <f t="shared" ca="1" si="13"/>
        <v>45425</v>
      </c>
      <c r="C169" s="48">
        <f t="shared" ca="1" si="10"/>
        <v>-10000</v>
      </c>
      <c r="D169" s="47"/>
      <c r="E169" s="48">
        <f t="shared" ca="1" si="12"/>
        <v>-10000</v>
      </c>
      <c r="F169" s="49"/>
      <c r="G169" s="49"/>
      <c r="H169" s="50">
        <f t="shared" ca="1" si="11"/>
        <v>-10000</v>
      </c>
    </row>
    <row r="170" spans="2:8" x14ac:dyDescent="0.3">
      <c r="B170" s="46">
        <f t="shared" ca="1" si="13"/>
        <v>45426</v>
      </c>
      <c r="C170" s="48">
        <f t="shared" ca="1" si="10"/>
        <v>-10000</v>
      </c>
      <c r="D170" s="47"/>
      <c r="E170" s="48">
        <f t="shared" ca="1" si="12"/>
        <v>-10000</v>
      </c>
      <c r="F170" s="49"/>
      <c r="G170" s="49"/>
      <c r="H170" s="50">
        <f t="shared" ca="1" si="11"/>
        <v>-10000</v>
      </c>
    </row>
    <row r="171" spans="2:8" x14ac:dyDescent="0.3">
      <c r="B171" s="46">
        <f t="shared" ca="1" si="13"/>
        <v>45427</v>
      </c>
      <c r="C171" s="48">
        <f t="shared" ca="1" si="10"/>
        <v>-10000</v>
      </c>
      <c r="D171" s="47"/>
      <c r="E171" s="48">
        <f t="shared" ca="1" si="12"/>
        <v>-10000</v>
      </c>
      <c r="F171" s="49"/>
      <c r="G171" s="49"/>
      <c r="H171" s="50">
        <f t="shared" ca="1" si="11"/>
        <v>-10000</v>
      </c>
    </row>
    <row r="172" spans="2:8" x14ac:dyDescent="0.3">
      <c r="B172" s="46">
        <f t="shared" ca="1" si="13"/>
        <v>45428</v>
      </c>
      <c r="C172" s="48">
        <f t="shared" ca="1" si="10"/>
        <v>-10000</v>
      </c>
      <c r="D172" s="47"/>
      <c r="E172" s="48">
        <f t="shared" ca="1" si="12"/>
        <v>-10000</v>
      </c>
      <c r="F172" s="49"/>
      <c r="G172" s="49"/>
      <c r="H172" s="50">
        <f t="shared" ca="1" si="11"/>
        <v>-10000</v>
      </c>
    </row>
    <row r="173" spans="2:8" x14ac:dyDescent="0.3">
      <c r="B173" s="46">
        <f t="shared" ca="1" si="13"/>
        <v>45429</v>
      </c>
      <c r="C173" s="48">
        <f t="shared" ca="1" si="10"/>
        <v>-10000</v>
      </c>
      <c r="D173" s="47"/>
      <c r="E173" s="48">
        <f t="shared" ca="1" si="12"/>
        <v>-10000</v>
      </c>
      <c r="F173" s="49"/>
      <c r="G173" s="49"/>
      <c r="H173" s="50">
        <f t="shared" ca="1" si="11"/>
        <v>-10000</v>
      </c>
    </row>
    <row r="174" spans="2:8" x14ac:dyDescent="0.3">
      <c r="B174" s="46">
        <f t="shared" ca="1" si="13"/>
        <v>45430</v>
      </c>
      <c r="C174" s="48">
        <f t="shared" ca="1" si="10"/>
        <v>-10000</v>
      </c>
      <c r="D174" s="47"/>
      <c r="E174" s="48">
        <f t="shared" ca="1" si="12"/>
        <v>-10000</v>
      </c>
      <c r="F174" s="49"/>
      <c r="G174" s="49"/>
      <c r="H174" s="50">
        <f t="shared" ca="1" si="11"/>
        <v>-10000</v>
      </c>
    </row>
    <row r="175" spans="2:8" x14ac:dyDescent="0.3">
      <c r="B175" s="46">
        <f t="shared" ca="1" si="13"/>
        <v>45431</v>
      </c>
      <c r="C175" s="48">
        <f t="shared" ca="1" si="10"/>
        <v>-10000</v>
      </c>
      <c r="D175" s="47"/>
      <c r="E175" s="48">
        <f t="shared" ca="1" si="12"/>
        <v>-10000</v>
      </c>
      <c r="F175" s="49"/>
      <c r="G175" s="49"/>
      <c r="H175" s="50">
        <f t="shared" ca="1" si="11"/>
        <v>-10000</v>
      </c>
    </row>
    <row r="176" spans="2:8" x14ac:dyDescent="0.3">
      <c r="B176" s="46">
        <f t="shared" ca="1" si="13"/>
        <v>45432</v>
      </c>
      <c r="C176" s="48">
        <f t="shared" ca="1" si="10"/>
        <v>-10000</v>
      </c>
      <c r="D176" s="47"/>
      <c r="E176" s="48">
        <f t="shared" ca="1" si="12"/>
        <v>-10000</v>
      </c>
      <c r="F176" s="49"/>
      <c r="G176" s="49"/>
      <c r="H176" s="50">
        <f t="shared" ca="1" si="11"/>
        <v>-10000</v>
      </c>
    </row>
    <row r="177" spans="2:8" x14ac:dyDescent="0.3">
      <c r="B177" s="46">
        <f t="shared" ca="1" si="13"/>
        <v>45433</v>
      </c>
      <c r="C177" s="48">
        <f t="shared" ca="1" si="10"/>
        <v>-10000</v>
      </c>
      <c r="D177" s="47"/>
      <c r="E177" s="48">
        <f t="shared" ca="1" si="12"/>
        <v>-10000</v>
      </c>
      <c r="F177" s="49"/>
      <c r="G177" s="49"/>
      <c r="H177" s="50">
        <f t="shared" ca="1" si="11"/>
        <v>-10000</v>
      </c>
    </row>
    <row r="178" spans="2:8" x14ac:dyDescent="0.3">
      <c r="B178" s="46">
        <f t="shared" ca="1" si="13"/>
        <v>45434</v>
      </c>
      <c r="C178" s="48">
        <f t="shared" ca="1" si="10"/>
        <v>-10000</v>
      </c>
      <c r="D178" s="47"/>
      <c r="E178" s="48">
        <f t="shared" ca="1" si="12"/>
        <v>-10000</v>
      </c>
      <c r="F178" s="49"/>
      <c r="G178" s="49"/>
      <c r="H178" s="50">
        <f t="shared" ca="1" si="11"/>
        <v>-10000</v>
      </c>
    </row>
    <row r="179" spans="2:8" x14ac:dyDescent="0.3">
      <c r="B179" s="46">
        <f t="shared" ca="1" si="13"/>
        <v>45435</v>
      </c>
      <c r="C179" s="48">
        <f t="shared" ca="1" si="10"/>
        <v>-10000</v>
      </c>
      <c r="D179" s="47"/>
      <c r="E179" s="48">
        <f t="shared" ca="1" si="12"/>
        <v>-10000</v>
      </c>
      <c r="F179" s="49"/>
      <c r="G179" s="49"/>
      <c r="H179" s="50">
        <f t="shared" ca="1" si="11"/>
        <v>-10000</v>
      </c>
    </row>
    <row r="180" spans="2:8" x14ac:dyDescent="0.3">
      <c r="B180" s="46">
        <f t="shared" ca="1" si="13"/>
        <v>45436</v>
      </c>
      <c r="C180" s="48">
        <f t="shared" ca="1" si="10"/>
        <v>-10000</v>
      </c>
      <c r="D180" s="47"/>
      <c r="E180" s="48">
        <f t="shared" ca="1" si="12"/>
        <v>-10000</v>
      </c>
      <c r="F180" s="49"/>
      <c r="G180" s="49"/>
      <c r="H180" s="50">
        <f t="shared" ca="1" si="11"/>
        <v>-10000</v>
      </c>
    </row>
    <row r="181" spans="2:8" x14ac:dyDescent="0.3">
      <c r="B181" s="46">
        <f t="shared" ca="1" si="13"/>
        <v>45437</v>
      </c>
      <c r="C181" s="48">
        <f t="shared" ca="1" si="10"/>
        <v>-10000</v>
      </c>
      <c r="D181" s="47"/>
      <c r="E181" s="48">
        <f t="shared" ca="1" si="12"/>
        <v>-10000</v>
      </c>
      <c r="F181" s="49"/>
      <c r="G181" s="49"/>
      <c r="H181" s="50">
        <f t="shared" ca="1" si="11"/>
        <v>-10000</v>
      </c>
    </row>
    <row r="182" spans="2:8" x14ac:dyDescent="0.3">
      <c r="B182" s="46">
        <f t="shared" ca="1" si="13"/>
        <v>45438</v>
      </c>
      <c r="C182" s="48">
        <f t="shared" ca="1" si="10"/>
        <v>-10000</v>
      </c>
      <c r="D182" s="47"/>
      <c r="E182" s="48">
        <f t="shared" ca="1" si="12"/>
        <v>-10000</v>
      </c>
      <c r="F182" s="49"/>
      <c r="G182" s="49"/>
      <c r="H182" s="50">
        <f t="shared" ca="1" si="11"/>
        <v>-10000</v>
      </c>
    </row>
    <row r="183" spans="2:8" x14ac:dyDescent="0.3">
      <c r="B183" s="46">
        <f t="shared" ca="1" si="13"/>
        <v>45439</v>
      </c>
      <c r="C183" s="48">
        <f t="shared" ca="1" si="10"/>
        <v>-10000</v>
      </c>
      <c r="D183" s="47"/>
      <c r="E183" s="48">
        <f t="shared" ca="1" si="12"/>
        <v>-10000</v>
      </c>
      <c r="F183" s="49"/>
      <c r="G183" s="49"/>
      <c r="H183" s="50">
        <f t="shared" ca="1" si="11"/>
        <v>-10000</v>
      </c>
    </row>
    <row r="184" spans="2:8" x14ac:dyDescent="0.3">
      <c r="B184" s="46">
        <f t="shared" ca="1" si="13"/>
        <v>45440</v>
      </c>
      <c r="C184" s="48">
        <f t="shared" ca="1" si="10"/>
        <v>-10000</v>
      </c>
      <c r="D184" s="47"/>
      <c r="E184" s="48">
        <f t="shared" ca="1" si="12"/>
        <v>-10000</v>
      </c>
      <c r="F184" s="49"/>
      <c r="G184" s="49"/>
      <c r="H184" s="50">
        <f t="shared" ca="1" si="11"/>
        <v>-10000</v>
      </c>
    </row>
    <row r="185" spans="2:8" x14ac:dyDescent="0.3">
      <c r="B185" s="46">
        <f t="shared" ca="1" si="13"/>
        <v>45441</v>
      </c>
      <c r="C185" s="48">
        <f t="shared" ca="1" si="10"/>
        <v>-10000</v>
      </c>
      <c r="D185" s="47"/>
      <c r="E185" s="48">
        <f t="shared" ca="1" si="12"/>
        <v>-10000</v>
      </c>
      <c r="F185" s="49"/>
      <c r="G185" s="49"/>
      <c r="H185" s="50">
        <f t="shared" ca="1" si="11"/>
        <v>-10000</v>
      </c>
    </row>
    <row r="186" spans="2:8" x14ac:dyDescent="0.3">
      <c r="B186" s="46">
        <f t="shared" ca="1" si="13"/>
        <v>45442</v>
      </c>
      <c r="C186" s="48">
        <f t="shared" ca="1" si="10"/>
        <v>-10000</v>
      </c>
      <c r="D186" s="47"/>
      <c r="E186" s="48">
        <f t="shared" ca="1" si="12"/>
        <v>-10000</v>
      </c>
      <c r="F186" s="49"/>
      <c r="G186" s="49"/>
      <c r="H186" s="50">
        <f t="shared" ca="1" si="11"/>
        <v>-10000</v>
      </c>
    </row>
    <row r="187" spans="2:8" x14ac:dyDescent="0.3">
      <c r="B187" s="46">
        <f t="shared" ca="1" si="13"/>
        <v>45443</v>
      </c>
      <c r="C187" s="48">
        <f t="shared" ca="1" si="10"/>
        <v>-10000</v>
      </c>
      <c r="D187" s="47"/>
      <c r="E187" s="48">
        <f t="shared" ca="1" si="12"/>
        <v>-10000</v>
      </c>
      <c r="F187" s="49"/>
      <c r="G187" s="49"/>
      <c r="H187" s="50">
        <f t="shared" ca="1" si="11"/>
        <v>-10000</v>
      </c>
    </row>
    <row r="188" spans="2:8" x14ac:dyDescent="0.3">
      <c r="B188" s="46">
        <f t="shared" ca="1" si="13"/>
        <v>45444</v>
      </c>
      <c r="C188" s="48">
        <f t="shared" ca="1" si="10"/>
        <v>-10000</v>
      </c>
      <c r="D188" s="47"/>
      <c r="E188" s="48">
        <f t="shared" ca="1" si="12"/>
        <v>-10000</v>
      </c>
      <c r="F188" s="49"/>
      <c r="G188" s="49"/>
      <c r="H188" s="50">
        <f t="shared" ca="1" si="11"/>
        <v>-10000</v>
      </c>
    </row>
    <row r="189" spans="2:8" x14ac:dyDescent="0.3">
      <c r="B189" s="46">
        <f t="shared" ca="1" si="13"/>
        <v>45445</v>
      </c>
      <c r="C189" s="48">
        <f t="shared" ca="1" si="10"/>
        <v>-10000</v>
      </c>
      <c r="D189" s="47"/>
      <c r="E189" s="48">
        <f t="shared" ca="1" si="12"/>
        <v>-10000</v>
      </c>
      <c r="F189" s="49"/>
      <c r="G189" s="49"/>
      <c r="H189" s="50">
        <f t="shared" ca="1" si="11"/>
        <v>-10000</v>
      </c>
    </row>
    <row r="190" spans="2:8" x14ac:dyDescent="0.3">
      <c r="B190" s="46">
        <f t="shared" ca="1" si="13"/>
        <v>45446</v>
      </c>
      <c r="C190" s="48">
        <f t="shared" ca="1" si="10"/>
        <v>-10000</v>
      </c>
      <c r="D190" s="47"/>
      <c r="E190" s="48">
        <f t="shared" ca="1" si="12"/>
        <v>-10000</v>
      </c>
      <c r="F190" s="49"/>
      <c r="G190" s="49"/>
      <c r="H190" s="50">
        <f t="shared" ca="1" si="11"/>
        <v>-10000</v>
      </c>
    </row>
    <row r="191" spans="2:8" x14ac:dyDescent="0.3">
      <c r="B191" s="46">
        <f t="shared" ca="1" si="13"/>
        <v>45447</v>
      </c>
      <c r="C191" s="48">
        <f t="shared" ca="1" si="10"/>
        <v>-10000</v>
      </c>
      <c r="D191" s="47"/>
      <c r="E191" s="48">
        <f t="shared" ca="1" si="12"/>
        <v>-10000</v>
      </c>
      <c r="F191" s="49"/>
      <c r="G191" s="49"/>
      <c r="H191" s="50">
        <f t="shared" ca="1" si="11"/>
        <v>-10000</v>
      </c>
    </row>
    <row r="192" spans="2:8" x14ac:dyDescent="0.3">
      <c r="B192" s="46">
        <f t="shared" ca="1" si="13"/>
        <v>45448</v>
      </c>
      <c r="C192" s="48">
        <f t="shared" ca="1" si="10"/>
        <v>-10000</v>
      </c>
      <c r="D192" s="47"/>
      <c r="E192" s="48">
        <f t="shared" ca="1" si="12"/>
        <v>-10000</v>
      </c>
      <c r="F192" s="49"/>
      <c r="G192" s="49"/>
      <c r="H192" s="50">
        <f t="shared" ca="1" si="11"/>
        <v>-10000</v>
      </c>
    </row>
    <row r="193" spans="2:8" x14ac:dyDescent="0.3">
      <c r="B193" s="46">
        <f t="shared" ca="1" si="13"/>
        <v>45449</v>
      </c>
      <c r="C193" s="48">
        <f t="shared" ca="1" si="10"/>
        <v>-10000</v>
      </c>
      <c r="D193" s="47"/>
      <c r="E193" s="48">
        <f t="shared" ca="1" si="12"/>
        <v>-10000</v>
      </c>
      <c r="F193" s="49"/>
      <c r="G193" s="49"/>
      <c r="H193" s="50">
        <f t="shared" ca="1" si="11"/>
        <v>-10000</v>
      </c>
    </row>
    <row r="194" spans="2:8" x14ac:dyDescent="0.3">
      <c r="B194" s="46">
        <f t="shared" ca="1" si="13"/>
        <v>45450</v>
      </c>
      <c r="C194" s="48">
        <f t="shared" ca="1" si="10"/>
        <v>-10000</v>
      </c>
      <c r="D194" s="47"/>
      <c r="E194" s="48">
        <f t="shared" ca="1" si="12"/>
        <v>-10000</v>
      </c>
      <c r="F194" s="49"/>
      <c r="G194" s="49"/>
      <c r="H194" s="50">
        <f t="shared" ca="1" si="11"/>
        <v>-10000</v>
      </c>
    </row>
    <row r="195" spans="2:8" x14ac:dyDescent="0.3">
      <c r="B195" s="46">
        <f t="shared" ca="1" si="13"/>
        <v>45451</v>
      </c>
      <c r="C195" s="48">
        <f t="shared" ca="1" si="10"/>
        <v>-10000</v>
      </c>
      <c r="D195" s="47"/>
      <c r="E195" s="48">
        <f t="shared" ca="1" si="12"/>
        <v>-10000</v>
      </c>
      <c r="F195" s="49"/>
      <c r="G195" s="49"/>
      <c r="H195" s="50">
        <f t="shared" ca="1" si="11"/>
        <v>-10000</v>
      </c>
    </row>
    <row r="196" spans="2:8" x14ac:dyDescent="0.3">
      <c r="B196" s="46">
        <f t="shared" ca="1" si="13"/>
        <v>45452</v>
      </c>
      <c r="C196" s="48">
        <f t="shared" ca="1" si="10"/>
        <v>-10000</v>
      </c>
      <c r="D196" s="47"/>
      <c r="E196" s="48">
        <f t="shared" ca="1" si="12"/>
        <v>-10000</v>
      </c>
      <c r="F196" s="49"/>
      <c r="G196" s="49"/>
      <c r="H196" s="50">
        <f t="shared" ca="1" si="11"/>
        <v>-10000</v>
      </c>
    </row>
    <row r="197" spans="2:8" x14ac:dyDescent="0.3">
      <c r="B197" s="46">
        <f t="shared" ca="1" si="13"/>
        <v>45453</v>
      </c>
      <c r="C197" s="48">
        <f t="shared" ca="1" si="10"/>
        <v>-10000</v>
      </c>
      <c r="D197" s="47"/>
      <c r="E197" s="48">
        <f t="shared" ca="1" si="12"/>
        <v>-10000</v>
      </c>
      <c r="F197" s="49"/>
      <c r="G197" s="49"/>
      <c r="H197" s="50">
        <f t="shared" ca="1" si="11"/>
        <v>-10000</v>
      </c>
    </row>
    <row r="198" spans="2:8" x14ac:dyDescent="0.3">
      <c r="B198" s="46">
        <f t="shared" ca="1" si="13"/>
        <v>45454</v>
      </c>
      <c r="C198" s="48">
        <f t="shared" ref="C198:C261" ca="1" si="14">IF(B198=0,0,C197-F197)</f>
        <v>-10000</v>
      </c>
      <c r="D198" s="47"/>
      <c r="E198" s="48">
        <f t="shared" ca="1" si="12"/>
        <v>-10000</v>
      </c>
      <c r="F198" s="49"/>
      <c r="G198" s="49"/>
      <c r="H198" s="50">
        <f t="shared" ref="H198:H261" ca="1" si="15">IF(B198=0,0,E198-F198+G198)</f>
        <v>-10000</v>
      </c>
    </row>
    <row r="199" spans="2:8" x14ac:dyDescent="0.3">
      <c r="B199" s="46">
        <f t="shared" ca="1" si="13"/>
        <v>45455</v>
      </c>
      <c r="C199" s="48">
        <f t="shared" ca="1" si="14"/>
        <v>-10000</v>
      </c>
      <c r="D199" s="47"/>
      <c r="E199" s="48">
        <f t="shared" ca="1" si="12"/>
        <v>-10000</v>
      </c>
      <c r="F199" s="49"/>
      <c r="G199" s="49"/>
      <c r="H199" s="50">
        <f t="shared" ca="1" si="15"/>
        <v>-10000</v>
      </c>
    </row>
    <row r="200" spans="2:8" x14ac:dyDescent="0.3">
      <c r="B200" s="46">
        <f t="shared" ca="1" si="13"/>
        <v>45456</v>
      </c>
      <c r="C200" s="48">
        <f t="shared" ca="1" si="14"/>
        <v>-10000</v>
      </c>
      <c r="D200" s="47"/>
      <c r="E200" s="48">
        <f t="shared" ca="1" si="12"/>
        <v>-10000</v>
      </c>
      <c r="F200" s="49"/>
      <c r="G200" s="49"/>
      <c r="H200" s="50">
        <f t="shared" ca="1" si="15"/>
        <v>-10000</v>
      </c>
    </row>
    <row r="201" spans="2:8" x14ac:dyDescent="0.3">
      <c r="B201" s="46">
        <f t="shared" ca="1" si="13"/>
        <v>45457</v>
      </c>
      <c r="C201" s="48">
        <f t="shared" ca="1" si="14"/>
        <v>-10000</v>
      </c>
      <c r="D201" s="47"/>
      <c r="E201" s="48">
        <f t="shared" ca="1" si="12"/>
        <v>-10000</v>
      </c>
      <c r="F201" s="49"/>
      <c r="G201" s="49"/>
      <c r="H201" s="50">
        <f t="shared" ca="1" si="15"/>
        <v>-10000</v>
      </c>
    </row>
    <row r="202" spans="2:8" x14ac:dyDescent="0.3">
      <c r="B202" s="46">
        <f t="shared" ca="1" si="13"/>
        <v>45458</v>
      </c>
      <c r="C202" s="48">
        <f t="shared" ca="1" si="14"/>
        <v>-10000</v>
      </c>
      <c r="D202" s="47"/>
      <c r="E202" s="48">
        <f t="shared" ca="1" si="12"/>
        <v>-10000</v>
      </c>
      <c r="F202" s="49"/>
      <c r="G202" s="49"/>
      <c r="H202" s="50">
        <f t="shared" ca="1" si="15"/>
        <v>-10000</v>
      </c>
    </row>
    <row r="203" spans="2:8" x14ac:dyDescent="0.3">
      <c r="B203" s="46">
        <f t="shared" ca="1" si="13"/>
        <v>45459</v>
      </c>
      <c r="C203" s="48">
        <f t="shared" ca="1" si="14"/>
        <v>-10000</v>
      </c>
      <c r="D203" s="47"/>
      <c r="E203" s="48">
        <f t="shared" ca="1" si="12"/>
        <v>-10000</v>
      </c>
      <c r="F203" s="49"/>
      <c r="G203" s="49"/>
      <c r="H203" s="50">
        <f t="shared" ca="1" si="15"/>
        <v>-10000</v>
      </c>
    </row>
    <row r="204" spans="2:8" x14ac:dyDescent="0.3">
      <c r="B204" s="46">
        <f t="shared" ca="1" si="13"/>
        <v>45460</v>
      </c>
      <c r="C204" s="48">
        <f t="shared" ca="1" si="14"/>
        <v>-10000</v>
      </c>
      <c r="D204" s="47"/>
      <c r="E204" s="48">
        <f t="shared" ca="1" si="12"/>
        <v>-10000</v>
      </c>
      <c r="F204" s="49"/>
      <c r="G204" s="49"/>
      <c r="H204" s="50">
        <f t="shared" ca="1" si="15"/>
        <v>-10000</v>
      </c>
    </row>
    <row r="205" spans="2:8" x14ac:dyDescent="0.3">
      <c r="B205" s="46">
        <f t="shared" ca="1" si="13"/>
        <v>45461</v>
      </c>
      <c r="C205" s="48">
        <f t="shared" ca="1" si="14"/>
        <v>-10000</v>
      </c>
      <c r="D205" s="47"/>
      <c r="E205" s="48">
        <f t="shared" ca="1" si="12"/>
        <v>-10000</v>
      </c>
      <c r="F205" s="49"/>
      <c r="G205" s="49"/>
      <c r="H205" s="50">
        <f t="shared" ca="1" si="15"/>
        <v>-10000</v>
      </c>
    </row>
    <row r="206" spans="2:8" x14ac:dyDescent="0.3">
      <c r="B206" s="46">
        <f t="shared" ca="1" si="13"/>
        <v>45462</v>
      </c>
      <c r="C206" s="48">
        <f t="shared" ca="1" si="14"/>
        <v>-10000</v>
      </c>
      <c r="D206" s="47"/>
      <c r="E206" s="48">
        <f t="shared" ca="1" si="12"/>
        <v>-10000</v>
      </c>
      <c r="F206" s="49"/>
      <c r="G206" s="49"/>
      <c r="H206" s="50">
        <f t="shared" ca="1" si="15"/>
        <v>-10000</v>
      </c>
    </row>
    <row r="207" spans="2:8" x14ac:dyDescent="0.3">
      <c r="B207" s="46">
        <f t="shared" ca="1" si="13"/>
        <v>45463</v>
      </c>
      <c r="C207" s="48">
        <f t="shared" ca="1" si="14"/>
        <v>-10000</v>
      </c>
      <c r="D207" s="47"/>
      <c r="E207" s="48">
        <f t="shared" ca="1" si="12"/>
        <v>-10000</v>
      </c>
      <c r="F207" s="49"/>
      <c r="G207" s="49"/>
      <c r="H207" s="50">
        <f t="shared" ca="1" si="15"/>
        <v>-10000</v>
      </c>
    </row>
    <row r="208" spans="2:8" x14ac:dyDescent="0.3">
      <c r="B208" s="46">
        <f t="shared" ca="1" si="13"/>
        <v>45464</v>
      </c>
      <c r="C208" s="48">
        <f t="shared" ca="1" si="14"/>
        <v>-10000</v>
      </c>
      <c r="D208" s="47"/>
      <c r="E208" s="48">
        <f t="shared" ca="1" si="12"/>
        <v>-10000</v>
      </c>
      <c r="F208" s="49"/>
      <c r="G208" s="49"/>
      <c r="H208" s="50">
        <f t="shared" ca="1" si="15"/>
        <v>-10000</v>
      </c>
    </row>
    <row r="209" spans="2:8" x14ac:dyDescent="0.3">
      <c r="B209" s="46">
        <f t="shared" ca="1" si="13"/>
        <v>45465</v>
      </c>
      <c r="C209" s="48">
        <f t="shared" ca="1" si="14"/>
        <v>-10000</v>
      </c>
      <c r="D209" s="47"/>
      <c r="E209" s="48">
        <f t="shared" ca="1" si="12"/>
        <v>-10000</v>
      </c>
      <c r="F209" s="49"/>
      <c r="G209" s="49"/>
      <c r="H209" s="50">
        <f t="shared" ca="1" si="15"/>
        <v>-10000</v>
      </c>
    </row>
    <row r="210" spans="2:8" x14ac:dyDescent="0.3">
      <c r="B210" s="46">
        <f t="shared" ca="1" si="13"/>
        <v>45466</v>
      </c>
      <c r="C210" s="48">
        <f t="shared" ca="1" si="14"/>
        <v>-10000</v>
      </c>
      <c r="D210" s="47"/>
      <c r="E210" s="48">
        <f t="shared" ca="1" si="12"/>
        <v>-10000</v>
      </c>
      <c r="F210" s="49"/>
      <c r="G210" s="49"/>
      <c r="H210" s="50">
        <f t="shared" ca="1" si="15"/>
        <v>-10000</v>
      </c>
    </row>
    <row r="211" spans="2:8" x14ac:dyDescent="0.3">
      <c r="B211" s="46">
        <f t="shared" ca="1" si="13"/>
        <v>45467</v>
      </c>
      <c r="C211" s="48">
        <f t="shared" ca="1" si="14"/>
        <v>-10000</v>
      </c>
      <c r="D211" s="47"/>
      <c r="E211" s="48">
        <f t="shared" ca="1" si="12"/>
        <v>-10000</v>
      </c>
      <c r="F211" s="49"/>
      <c r="G211" s="49"/>
      <c r="H211" s="50">
        <f t="shared" ca="1" si="15"/>
        <v>-10000</v>
      </c>
    </row>
    <row r="212" spans="2:8" x14ac:dyDescent="0.3">
      <c r="B212" s="46">
        <f t="shared" ca="1" si="13"/>
        <v>45468</v>
      </c>
      <c r="C212" s="48">
        <f t="shared" ca="1" si="14"/>
        <v>-10000</v>
      </c>
      <c r="D212" s="47"/>
      <c r="E212" s="48">
        <f t="shared" ca="1" si="12"/>
        <v>-10000</v>
      </c>
      <c r="F212" s="49"/>
      <c r="G212" s="49"/>
      <c r="H212" s="50">
        <f t="shared" ca="1" si="15"/>
        <v>-10000</v>
      </c>
    </row>
    <row r="213" spans="2:8" x14ac:dyDescent="0.3">
      <c r="B213" s="46">
        <f t="shared" ca="1" si="13"/>
        <v>45469</v>
      </c>
      <c r="C213" s="48">
        <f t="shared" ca="1" si="14"/>
        <v>-10000</v>
      </c>
      <c r="D213" s="47"/>
      <c r="E213" s="48">
        <f t="shared" ca="1" si="12"/>
        <v>-10000</v>
      </c>
      <c r="F213" s="49"/>
      <c r="G213" s="49"/>
      <c r="H213" s="50">
        <f t="shared" ca="1" si="15"/>
        <v>-10000</v>
      </c>
    </row>
    <row r="214" spans="2:8" x14ac:dyDescent="0.3">
      <c r="B214" s="46">
        <f t="shared" ca="1" si="13"/>
        <v>45470</v>
      </c>
      <c r="C214" s="48">
        <f t="shared" ca="1" si="14"/>
        <v>-10000</v>
      </c>
      <c r="D214" s="47"/>
      <c r="E214" s="48">
        <f t="shared" ca="1" si="12"/>
        <v>-10000</v>
      </c>
      <c r="F214" s="49"/>
      <c r="G214" s="49"/>
      <c r="H214" s="50">
        <f t="shared" ca="1" si="15"/>
        <v>-10000</v>
      </c>
    </row>
    <row r="215" spans="2:8" x14ac:dyDescent="0.3">
      <c r="B215" s="46">
        <f t="shared" ca="1" si="13"/>
        <v>45471</v>
      </c>
      <c r="C215" s="48">
        <f t="shared" ca="1" si="14"/>
        <v>-10000</v>
      </c>
      <c r="D215" s="47"/>
      <c r="E215" s="48">
        <f t="shared" ca="1" si="12"/>
        <v>-10000</v>
      </c>
      <c r="F215" s="49"/>
      <c r="G215" s="49"/>
      <c r="H215" s="50">
        <f t="shared" ca="1" si="15"/>
        <v>-10000</v>
      </c>
    </row>
    <row r="216" spans="2:8" x14ac:dyDescent="0.3">
      <c r="B216" s="46">
        <f t="shared" ca="1" si="13"/>
        <v>45472</v>
      </c>
      <c r="C216" s="48">
        <f t="shared" ca="1" si="14"/>
        <v>-10000</v>
      </c>
      <c r="D216" s="47"/>
      <c r="E216" s="48">
        <f t="shared" ca="1" si="12"/>
        <v>-10000</v>
      </c>
      <c r="F216" s="49"/>
      <c r="G216" s="49"/>
      <c r="H216" s="50">
        <f t="shared" ca="1" si="15"/>
        <v>-10000</v>
      </c>
    </row>
    <row r="217" spans="2:8" x14ac:dyDescent="0.3">
      <c r="B217" s="46">
        <f t="shared" ca="1" si="13"/>
        <v>45473</v>
      </c>
      <c r="C217" s="48">
        <f t="shared" ca="1" si="14"/>
        <v>-10000</v>
      </c>
      <c r="D217" s="47"/>
      <c r="E217" s="48">
        <f t="shared" ca="1" si="12"/>
        <v>-10000</v>
      </c>
      <c r="F217" s="49"/>
      <c r="G217" s="49"/>
      <c r="H217" s="50">
        <f t="shared" ca="1" si="15"/>
        <v>-10000</v>
      </c>
    </row>
    <row r="218" spans="2:8" x14ac:dyDescent="0.3">
      <c r="B218" s="46">
        <f t="shared" ca="1" si="13"/>
        <v>45474</v>
      </c>
      <c r="C218" s="48">
        <f t="shared" ca="1" si="14"/>
        <v>-10000</v>
      </c>
      <c r="D218" s="47"/>
      <c r="E218" s="48">
        <f t="shared" ca="1" si="12"/>
        <v>-10000</v>
      </c>
      <c r="F218" s="49"/>
      <c r="G218" s="49"/>
      <c r="H218" s="50">
        <f t="shared" ca="1" si="15"/>
        <v>-10000</v>
      </c>
    </row>
    <row r="219" spans="2:8" x14ac:dyDescent="0.3">
      <c r="B219" s="46">
        <f t="shared" ca="1" si="13"/>
        <v>45475</v>
      </c>
      <c r="C219" s="48">
        <f t="shared" ca="1" si="14"/>
        <v>-10000</v>
      </c>
      <c r="D219" s="47"/>
      <c r="E219" s="48">
        <f t="shared" ca="1" si="12"/>
        <v>-10000</v>
      </c>
      <c r="F219" s="49"/>
      <c r="G219" s="49"/>
      <c r="H219" s="50">
        <f t="shared" ca="1" si="15"/>
        <v>-10000</v>
      </c>
    </row>
    <row r="220" spans="2:8" x14ac:dyDescent="0.3">
      <c r="B220" s="46">
        <f t="shared" ca="1" si="13"/>
        <v>45476</v>
      </c>
      <c r="C220" s="48">
        <f t="shared" ca="1" si="14"/>
        <v>-10000</v>
      </c>
      <c r="D220" s="47"/>
      <c r="E220" s="48">
        <f t="shared" ca="1" si="12"/>
        <v>-10000</v>
      </c>
      <c r="F220" s="49"/>
      <c r="G220" s="49"/>
      <c r="H220" s="50">
        <f t="shared" ca="1" si="15"/>
        <v>-10000</v>
      </c>
    </row>
    <row r="221" spans="2:8" x14ac:dyDescent="0.3">
      <c r="B221" s="46">
        <f t="shared" ca="1" si="13"/>
        <v>45477</v>
      </c>
      <c r="C221" s="48">
        <f t="shared" ca="1" si="14"/>
        <v>-10000</v>
      </c>
      <c r="D221" s="47"/>
      <c r="E221" s="48">
        <f t="shared" ref="E221:E284" ca="1" si="16">IF(B221=0,0,H220)</f>
        <v>-10000</v>
      </c>
      <c r="F221" s="49"/>
      <c r="G221" s="49"/>
      <c r="H221" s="50">
        <f t="shared" ca="1" si="15"/>
        <v>-10000</v>
      </c>
    </row>
    <row r="222" spans="2:8" x14ac:dyDescent="0.3">
      <c r="B222" s="46">
        <f t="shared" ref="B222:B285" ca="1" si="17">IF(OR(B221+1&gt;TODAY(),B221=0),0,B221+1)</f>
        <v>45478</v>
      </c>
      <c r="C222" s="48">
        <f t="shared" ca="1" si="14"/>
        <v>-10000</v>
      </c>
      <c r="D222" s="47"/>
      <c r="E222" s="48">
        <f t="shared" ca="1" si="16"/>
        <v>-10000</v>
      </c>
      <c r="F222" s="49"/>
      <c r="G222" s="49"/>
      <c r="H222" s="50">
        <f t="shared" ca="1" si="15"/>
        <v>-10000</v>
      </c>
    </row>
    <row r="223" spans="2:8" x14ac:dyDescent="0.3">
      <c r="B223" s="46">
        <f t="shared" ca="1" si="17"/>
        <v>45479</v>
      </c>
      <c r="C223" s="48">
        <f t="shared" ca="1" si="14"/>
        <v>-10000</v>
      </c>
      <c r="D223" s="47"/>
      <c r="E223" s="48">
        <f t="shared" ca="1" si="16"/>
        <v>-10000</v>
      </c>
      <c r="F223" s="49"/>
      <c r="G223" s="49"/>
      <c r="H223" s="50">
        <f t="shared" ca="1" si="15"/>
        <v>-10000</v>
      </c>
    </row>
    <row r="224" spans="2:8" x14ac:dyDescent="0.3">
      <c r="B224" s="46">
        <f t="shared" ca="1" si="17"/>
        <v>45480</v>
      </c>
      <c r="C224" s="48">
        <f t="shared" ca="1" si="14"/>
        <v>-10000</v>
      </c>
      <c r="D224" s="47"/>
      <c r="E224" s="48">
        <f t="shared" ca="1" si="16"/>
        <v>-10000</v>
      </c>
      <c r="F224" s="49"/>
      <c r="G224" s="49"/>
      <c r="H224" s="50">
        <f t="shared" ca="1" si="15"/>
        <v>-10000</v>
      </c>
    </row>
    <row r="225" spans="2:8" x14ac:dyDescent="0.3">
      <c r="B225" s="46">
        <f t="shared" ca="1" si="17"/>
        <v>45481</v>
      </c>
      <c r="C225" s="48">
        <f t="shared" ca="1" si="14"/>
        <v>-10000</v>
      </c>
      <c r="D225" s="47"/>
      <c r="E225" s="48">
        <f t="shared" ca="1" si="16"/>
        <v>-10000</v>
      </c>
      <c r="F225" s="49"/>
      <c r="G225" s="49"/>
      <c r="H225" s="50">
        <f t="shared" ca="1" si="15"/>
        <v>-10000</v>
      </c>
    </row>
    <row r="226" spans="2:8" x14ac:dyDescent="0.3">
      <c r="B226" s="46">
        <f t="shared" ca="1" si="17"/>
        <v>45482</v>
      </c>
      <c r="C226" s="48">
        <f t="shared" ca="1" si="14"/>
        <v>-10000</v>
      </c>
      <c r="D226" s="47"/>
      <c r="E226" s="48">
        <f t="shared" ca="1" si="16"/>
        <v>-10000</v>
      </c>
      <c r="F226" s="49"/>
      <c r="G226" s="49"/>
      <c r="H226" s="50">
        <f t="shared" ca="1" si="15"/>
        <v>-10000</v>
      </c>
    </row>
    <row r="227" spans="2:8" x14ac:dyDescent="0.3">
      <c r="B227" s="46">
        <f t="shared" ca="1" si="17"/>
        <v>45483</v>
      </c>
      <c r="C227" s="48">
        <f t="shared" ca="1" si="14"/>
        <v>-10000</v>
      </c>
      <c r="D227" s="47"/>
      <c r="E227" s="48">
        <f t="shared" ca="1" si="16"/>
        <v>-10000</v>
      </c>
      <c r="F227" s="49"/>
      <c r="G227" s="49"/>
      <c r="H227" s="50">
        <f t="shared" ca="1" si="15"/>
        <v>-10000</v>
      </c>
    </row>
    <row r="228" spans="2:8" x14ac:dyDescent="0.3">
      <c r="B228" s="46">
        <f t="shared" ca="1" si="17"/>
        <v>45484</v>
      </c>
      <c r="C228" s="48">
        <f t="shared" ca="1" si="14"/>
        <v>-10000</v>
      </c>
      <c r="D228" s="47"/>
      <c r="E228" s="48">
        <f t="shared" ca="1" si="16"/>
        <v>-10000</v>
      </c>
      <c r="F228" s="49"/>
      <c r="G228" s="49"/>
      <c r="H228" s="50">
        <f t="shared" ca="1" si="15"/>
        <v>-10000</v>
      </c>
    </row>
    <row r="229" spans="2:8" x14ac:dyDescent="0.3">
      <c r="B229" s="46">
        <f t="shared" ca="1" si="17"/>
        <v>45485</v>
      </c>
      <c r="C229" s="48">
        <f t="shared" ca="1" si="14"/>
        <v>-10000</v>
      </c>
      <c r="D229" s="47"/>
      <c r="E229" s="48">
        <f t="shared" ca="1" si="16"/>
        <v>-10000</v>
      </c>
      <c r="F229" s="49"/>
      <c r="G229" s="49"/>
      <c r="H229" s="50">
        <f t="shared" ca="1" si="15"/>
        <v>-10000</v>
      </c>
    </row>
    <row r="230" spans="2:8" x14ac:dyDescent="0.3">
      <c r="B230" s="46">
        <f t="shared" ca="1" si="17"/>
        <v>45486</v>
      </c>
      <c r="C230" s="48">
        <f t="shared" ca="1" si="14"/>
        <v>-10000</v>
      </c>
      <c r="D230" s="47"/>
      <c r="E230" s="48">
        <f t="shared" ca="1" si="16"/>
        <v>-10000</v>
      </c>
      <c r="F230" s="49"/>
      <c r="G230" s="49"/>
      <c r="H230" s="50">
        <f t="shared" ca="1" si="15"/>
        <v>-10000</v>
      </c>
    </row>
    <row r="231" spans="2:8" x14ac:dyDescent="0.3">
      <c r="B231" s="46">
        <f t="shared" ca="1" si="17"/>
        <v>45487</v>
      </c>
      <c r="C231" s="48">
        <f t="shared" ca="1" si="14"/>
        <v>-10000</v>
      </c>
      <c r="D231" s="47"/>
      <c r="E231" s="48">
        <f t="shared" ca="1" si="16"/>
        <v>-10000</v>
      </c>
      <c r="F231" s="49"/>
      <c r="G231" s="49"/>
      <c r="H231" s="50">
        <f t="shared" ca="1" si="15"/>
        <v>-10000</v>
      </c>
    </row>
    <row r="232" spans="2:8" x14ac:dyDescent="0.3">
      <c r="B232" s="46">
        <f t="shared" ca="1" si="17"/>
        <v>45488</v>
      </c>
      <c r="C232" s="48">
        <f t="shared" ca="1" si="14"/>
        <v>-10000</v>
      </c>
      <c r="D232" s="47"/>
      <c r="E232" s="48">
        <f t="shared" ca="1" si="16"/>
        <v>-10000</v>
      </c>
      <c r="F232" s="49"/>
      <c r="G232" s="49"/>
      <c r="H232" s="50">
        <f t="shared" ca="1" si="15"/>
        <v>-10000</v>
      </c>
    </row>
    <row r="233" spans="2:8" x14ac:dyDescent="0.3">
      <c r="B233" s="46">
        <f t="shared" ca="1" si="17"/>
        <v>45489</v>
      </c>
      <c r="C233" s="48">
        <f t="shared" ca="1" si="14"/>
        <v>-10000</v>
      </c>
      <c r="D233" s="47"/>
      <c r="E233" s="48">
        <f t="shared" ca="1" si="16"/>
        <v>-10000</v>
      </c>
      <c r="F233" s="49"/>
      <c r="G233" s="49"/>
      <c r="H233" s="50">
        <f t="shared" ca="1" si="15"/>
        <v>-10000</v>
      </c>
    </row>
    <row r="234" spans="2:8" x14ac:dyDescent="0.3">
      <c r="B234" s="46">
        <f t="shared" ca="1" si="17"/>
        <v>45490</v>
      </c>
      <c r="C234" s="48">
        <f t="shared" ca="1" si="14"/>
        <v>-10000</v>
      </c>
      <c r="D234" s="47"/>
      <c r="E234" s="48">
        <f t="shared" ca="1" si="16"/>
        <v>-10000</v>
      </c>
      <c r="F234" s="49"/>
      <c r="G234" s="49"/>
      <c r="H234" s="50">
        <f t="shared" ca="1" si="15"/>
        <v>-10000</v>
      </c>
    </row>
    <row r="235" spans="2:8" x14ac:dyDescent="0.3">
      <c r="B235" s="46">
        <f t="shared" ca="1" si="17"/>
        <v>45491</v>
      </c>
      <c r="C235" s="48">
        <f t="shared" ca="1" si="14"/>
        <v>-10000</v>
      </c>
      <c r="D235" s="47"/>
      <c r="E235" s="48">
        <f t="shared" ca="1" si="16"/>
        <v>-10000</v>
      </c>
      <c r="F235" s="49"/>
      <c r="G235" s="49"/>
      <c r="H235" s="50">
        <f t="shared" ca="1" si="15"/>
        <v>-10000</v>
      </c>
    </row>
    <row r="236" spans="2:8" x14ac:dyDescent="0.3">
      <c r="B236" s="46">
        <f t="shared" ca="1" si="17"/>
        <v>45492</v>
      </c>
      <c r="C236" s="48">
        <f t="shared" ca="1" si="14"/>
        <v>-10000</v>
      </c>
      <c r="D236" s="47"/>
      <c r="E236" s="48">
        <f t="shared" ca="1" si="16"/>
        <v>-10000</v>
      </c>
      <c r="F236" s="49"/>
      <c r="G236" s="49"/>
      <c r="H236" s="50">
        <f t="shared" ca="1" si="15"/>
        <v>-10000</v>
      </c>
    </row>
    <row r="237" spans="2:8" x14ac:dyDescent="0.3">
      <c r="B237" s="46">
        <f t="shared" ca="1" si="17"/>
        <v>45493</v>
      </c>
      <c r="C237" s="48">
        <f t="shared" ca="1" si="14"/>
        <v>-10000</v>
      </c>
      <c r="D237" s="47"/>
      <c r="E237" s="48">
        <f t="shared" ca="1" si="16"/>
        <v>-10000</v>
      </c>
      <c r="F237" s="49"/>
      <c r="G237" s="49"/>
      <c r="H237" s="50">
        <f t="shared" ca="1" si="15"/>
        <v>-10000</v>
      </c>
    </row>
    <row r="238" spans="2:8" x14ac:dyDescent="0.3">
      <c r="B238" s="46">
        <f t="shared" ca="1" si="17"/>
        <v>45494</v>
      </c>
      <c r="C238" s="48">
        <f t="shared" ca="1" si="14"/>
        <v>-10000</v>
      </c>
      <c r="D238" s="47"/>
      <c r="E238" s="48">
        <f t="shared" ca="1" si="16"/>
        <v>-10000</v>
      </c>
      <c r="F238" s="49"/>
      <c r="G238" s="49"/>
      <c r="H238" s="50">
        <f t="shared" ca="1" si="15"/>
        <v>-10000</v>
      </c>
    </row>
    <row r="239" spans="2:8" x14ac:dyDescent="0.3">
      <c r="B239" s="46">
        <f t="shared" ca="1" si="17"/>
        <v>45495</v>
      </c>
      <c r="C239" s="48">
        <f t="shared" ca="1" si="14"/>
        <v>-10000</v>
      </c>
      <c r="D239" s="47"/>
      <c r="E239" s="48">
        <f t="shared" ca="1" si="16"/>
        <v>-10000</v>
      </c>
      <c r="F239" s="49"/>
      <c r="G239" s="49"/>
      <c r="H239" s="50">
        <f t="shared" ca="1" si="15"/>
        <v>-10000</v>
      </c>
    </row>
    <row r="240" spans="2:8" x14ac:dyDescent="0.3">
      <c r="B240" s="46">
        <f t="shared" ca="1" si="17"/>
        <v>45496</v>
      </c>
      <c r="C240" s="48">
        <f t="shared" ca="1" si="14"/>
        <v>-10000</v>
      </c>
      <c r="D240" s="47"/>
      <c r="E240" s="48">
        <f t="shared" ca="1" si="16"/>
        <v>-10000</v>
      </c>
      <c r="F240" s="49"/>
      <c r="G240" s="49"/>
      <c r="H240" s="50">
        <f t="shared" ca="1" si="15"/>
        <v>-10000</v>
      </c>
    </row>
    <row r="241" spans="2:8" x14ac:dyDescent="0.3">
      <c r="B241" s="46">
        <f t="shared" ca="1" si="17"/>
        <v>45497</v>
      </c>
      <c r="C241" s="48">
        <f t="shared" ca="1" si="14"/>
        <v>-10000</v>
      </c>
      <c r="D241" s="47"/>
      <c r="E241" s="48">
        <f t="shared" ca="1" si="16"/>
        <v>-10000</v>
      </c>
      <c r="F241" s="49"/>
      <c r="G241" s="49"/>
      <c r="H241" s="50">
        <f t="shared" ca="1" si="15"/>
        <v>-10000</v>
      </c>
    </row>
    <row r="242" spans="2:8" x14ac:dyDescent="0.3">
      <c r="B242" s="46">
        <f t="shared" ca="1" si="17"/>
        <v>45498</v>
      </c>
      <c r="C242" s="48">
        <f t="shared" ca="1" si="14"/>
        <v>-10000</v>
      </c>
      <c r="D242" s="47"/>
      <c r="E242" s="48">
        <f t="shared" ca="1" si="16"/>
        <v>-10000</v>
      </c>
      <c r="F242" s="49"/>
      <c r="G242" s="49"/>
      <c r="H242" s="50">
        <f t="shared" ca="1" si="15"/>
        <v>-10000</v>
      </c>
    </row>
    <row r="243" spans="2:8" x14ac:dyDescent="0.3">
      <c r="B243" s="46">
        <f t="shared" ca="1" si="17"/>
        <v>45499</v>
      </c>
      <c r="C243" s="48">
        <f t="shared" ca="1" si="14"/>
        <v>-10000</v>
      </c>
      <c r="D243" s="47"/>
      <c r="E243" s="48">
        <f t="shared" ca="1" si="16"/>
        <v>-10000</v>
      </c>
      <c r="F243" s="49"/>
      <c r="G243" s="49"/>
      <c r="H243" s="50">
        <f t="shared" ca="1" si="15"/>
        <v>-10000</v>
      </c>
    </row>
    <row r="244" spans="2:8" x14ac:dyDescent="0.3">
      <c r="B244" s="46">
        <f t="shared" ca="1" si="17"/>
        <v>45500</v>
      </c>
      <c r="C244" s="48">
        <f t="shared" ca="1" si="14"/>
        <v>-10000</v>
      </c>
      <c r="D244" s="47"/>
      <c r="E244" s="48">
        <f t="shared" ca="1" si="16"/>
        <v>-10000</v>
      </c>
      <c r="F244" s="49"/>
      <c r="G244" s="49"/>
      <c r="H244" s="50">
        <f t="shared" ca="1" si="15"/>
        <v>-10000</v>
      </c>
    </row>
    <row r="245" spans="2:8" x14ac:dyDescent="0.3">
      <c r="B245" s="46">
        <f t="shared" ca="1" si="17"/>
        <v>45501</v>
      </c>
      <c r="C245" s="48">
        <f t="shared" ca="1" si="14"/>
        <v>-10000</v>
      </c>
      <c r="D245" s="47"/>
      <c r="E245" s="48">
        <f t="shared" ca="1" si="16"/>
        <v>-10000</v>
      </c>
      <c r="F245" s="49"/>
      <c r="G245" s="49"/>
      <c r="H245" s="50">
        <f t="shared" ca="1" si="15"/>
        <v>-10000</v>
      </c>
    </row>
    <row r="246" spans="2:8" x14ac:dyDescent="0.3">
      <c r="B246" s="46">
        <f t="shared" ca="1" si="17"/>
        <v>45502</v>
      </c>
      <c r="C246" s="48">
        <f t="shared" ca="1" si="14"/>
        <v>-10000</v>
      </c>
      <c r="D246" s="47"/>
      <c r="E246" s="48">
        <f t="shared" ca="1" si="16"/>
        <v>-10000</v>
      </c>
      <c r="F246" s="49"/>
      <c r="G246" s="49"/>
      <c r="H246" s="50">
        <f t="shared" ca="1" si="15"/>
        <v>-10000</v>
      </c>
    </row>
    <row r="247" spans="2:8" x14ac:dyDescent="0.3">
      <c r="B247" s="46">
        <f t="shared" ca="1" si="17"/>
        <v>45503</v>
      </c>
      <c r="C247" s="48">
        <f t="shared" ca="1" si="14"/>
        <v>-10000</v>
      </c>
      <c r="D247" s="47"/>
      <c r="E247" s="48">
        <f t="shared" ca="1" si="16"/>
        <v>-10000</v>
      </c>
      <c r="F247" s="49"/>
      <c r="G247" s="49"/>
      <c r="H247" s="50">
        <f t="shared" ca="1" si="15"/>
        <v>-10000</v>
      </c>
    </row>
    <row r="248" spans="2:8" x14ac:dyDescent="0.3">
      <c r="B248" s="46">
        <f t="shared" ca="1" si="17"/>
        <v>45504</v>
      </c>
      <c r="C248" s="48">
        <f t="shared" ca="1" si="14"/>
        <v>-10000</v>
      </c>
      <c r="D248" s="47"/>
      <c r="E248" s="48">
        <f t="shared" ca="1" si="16"/>
        <v>-10000</v>
      </c>
      <c r="F248" s="49"/>
      <c r="G248" s="49"/>
      <c r="H248" s="50">
        <f t="shared" ca="1" si="15"/>
        <v>-10000</v>
      </c>
    </row>
    <row r="249" spans="2:8" x14ac:dyDescent="0.3">
      <c r="B249" s="46">
        <f t="shared" ca="1" si="17"/>
        <v>45505</v>
      </c>
      <c r="C249" s="48">
        <f t="shared" ca="1" si="14"/>
        <v>-10000</v>
      </c>
      <c r="D249" s="47"/>
      <c r="E249" s="48">
        <f t="shared" ca="1" si="16"/>
        <v>-10000</v>
      </c>
      <c r="F249" s="49"/>
      <c r="G249" s="49"/>
      <c r="H249" s="50">
        <f t="shared" ca="1" si="15"/>
        <v>-10000</v>
      </c>
    </row>
    <row r="250" spans="2:8" x14ac:dyDescent="0.3">
      <c r="B250" s="46">
        <f t="shared" ca="1" si="17"/>
        <v>45506</v>
      </c>
      <c r="C250" s="48">
        <f t="shared" ca="1" si="14"/>
        <v>-10000</v>
      </c>
      <c r="D250" s="47"/>
      <c r="E250" s="48">
        <f t="shared" ca="1" si="16"/>
        <v>-10000</v>
      </c>
      <c r="F250" s="49"/>
      <c r="G250" s="49"/>
      <c r="H250" s="50">
        <f t="shared" ca="1" si="15"/>
        <v>-10000</v>
      </c>
    </row>
    <row r="251" spans="2:8" x14ac:dyDescent="0.3">
      <c r="B251" s="46">
        <f t="shared" ca="1" si="17"/>
        <v>45507</v>
      </c>
      <c r="C251" s="48">
        <f t="shared" ca="1" si="14"/>
        <v>-10000</v>
      </c>
      <c r="D251" s="47"/>
      <c r="E251" s="48">
        <f t="shared" ca="1" si="16"/>
        <v>-10000</v>
      </c>
      <c r="F251" s="49"/>
      <c r="G251" s="49"/>
      <c r="H251" s="50">
        <f t="shared" ca="1" si="15"/>
        <v>-10000</v>
      </c>
    </row>
    <row r="252" spans="2:8" x14ac:dyDescent="0.3">
      <c r="B252" s="46">
        <f t="shared" ca="1" si="17"/>
        <v>45508</v>
      </c>
      <c r="C252" s="48">
        <f t="shared" ca="1" si="14"/>
        <v>-10000</v>
      </c>
      <c r="D252" s="47"/>
      <c r="E252" s="48">
        <f t="shared" ca="1" si="16"/>
        <v>-10000</v>
      </c>
      <c r="F252" s="49"/>
      <c r="G252" s="49"/>
      <c r="H252" s="50">
        <f t="shared" ca="1" si="15"/>
        <v>-10000</v>
      </c>
    </row>
    <row r="253" spans="2:8" x14ac:dyDescent="0.3">
      <c r="B253" s="46">
        <f t="shared" ca="1" si="17"/>
        <v>45509</v>
      </c>
      <c r="C253" s="48">
        <f t="shared" ca="1" si="14"/>
        <v>-10000</v>
      </c>
      <c r="D253" s="47"/>
      <c r="E253" s="48">
        <f t="shared" ca="1" si="16"/>
        <v>-10000</v>
      </c>
      <c r="F253" s="49"/>
      <c r="G253" s="49"/>
      <c r="H253" s="50">
        <f t="shared" ca="1" si="15"/>
        <v>-10000</v>
      </c>
    </row>
    <row r="254" spans="2:8" x14ac:dyDescent="0.3">
      <c r="B254" s="46">
        <f t="shared" ca="1" si="17"/>
        <v>45510</v>
      </c>
      <c r="C254" s="48">
        <f t="shared" ca="1" si="14"/>
        <v>-10000</v>
      </c>
      <c r="D254" s="47"/>
      <c r="E254" s="48">
        <f t="shared" ca="1" si="16"/>
        <v>-10000</v>
      </c>
      <c r="F254" s="49"/>
      <c r="G254" s="49"/>
      <c r="H254" s="50">
        <f t="shared" ca="1" si="15"/>
        <v>-10000</v>
      </c>
    </row>
    <row r="255" spans="2:8" x14ac:dyDescent="0.3">
      <c r="B255" s="46">
        <f t="shared" ca="1" si="17"/>
        <v>45511</v>
      </c>
      <c r="C255" s="48">
        <f t="shared" ca="1" si="14"/>
        <v>-10000</v>
      </c>
      <c r="D255" s="47"/>
      <c r="E255" s="48">
        <f t="shared" ca="1" si="16"/>
        <v>-10000</v>
      </c>
      <c r="F255" s="49"/>
      <c r="G255" s="49"/>
      <c r="H255" s="50">
        <f t="shared" ca="1" si="15"/>
        <v>-10000</v>
      </c>
    </row>
    <row r="256" spans="2:8" x14ac:dyDescent="0.3">
      <c r="B256" s="46">
        <f t="shared" ca="1" si="17"/>
        <v>45512</v>
      </c>
      <c r="C256" s="48">
        <f t="shared" ca="1" si="14"/>
        <v>-10000</v>
      </c>
      <c r="D256" s="47"/>
      <c r="E256" s="48">
        <f t="shared" ca="1" si="16"/>
        <v>-10000</v>
      </c>
      <c r="F256" s="49"/>
      <c r="G256" s="49"/>
      <c r="H256" s="50">
        <f t="shared" ca="1" si="15"/>
        <v>-10000</v>
      </c>
    </row>
    <row r="257" spans="2:8" x14ac:dyDescent="0.3">
      <c r="B257" s="46">
        <f t="shared" ca="1" si="17"/>
        <v>45513</v>
      </c>
      <c r="C257" s="48">
        <f t="shared" ca="1" si="14"/>
        <v>-10000</v>
      </c>
      <c r="D257" s="47"/>
      <c r="E257" s="48">
        <f t="shared" ca="1" si="16"/>
        <v>-10000</v>
      </c>
      <c r="F257" s="49"/>
      <c r="G257" s="49"/>
      <c r="H257" s="50">
        <f t="shared" ca="1" si="15"/>
        <v>-10000</v>
      </c>
    </row>
    <row r="258" spans="2:8" x14ac:dyDescent="0.3">
      <c r="B258" s="46">
        <f t="shared" ca="1" si="17"/>
        <v>45514</v>
      </c>
      <c r="C258" s="48">
        <f t="shared" ca="1" si="14"/>
        <v>-10000</v>
      </c>
      <c r="D258" s="47"/>
      <c r="E258" s="48">
        <f t="shared" ca="1" si="16"/>
        <v>-10000</v>
      </c>
      <c r="F258" s="49"/>
      <c r="G258" s="49"/>
      <c r="H258" s="50">
        <f t="shared" ca="1" si="15"/>
        <v>-10000</v>
      </c>
    </row>
    <row r="259" spans="2:8" x14ac:dyDescent="0.3">
      <c r="B259" s="46">
        <f t="shared" ca="1" si="17"/>
        <v>45515</v>
      </c>
      <c r="C259" s="48">
        <f t="shared" ca="1" si="14"/>
        <v>-10000</v>
      </c>
      <c r="D259" s="47"/>
      <c r="E259" s="48">
        <f t="shared" ca="1" si="16"/>
        <v>-10000</v>
      </c>
      <c r="F259" s="49"/>
      <c r="G259" s="49"/>
      <c r="H259" s="50">
        <f t="shared" ca="1" si="15"/>
        <v>-10000</v>
      </c>
    </row>
    <row r="260" spans="2:8" x14ac:dyDescent="0.3">
      <c r="B260" s="46">
        <f t="shared" ca="1" si="17"/>
        <v>45516</v>
      </c>
      <c r="C260" s="48">
        <f t="shared" ca="1" si="14"/>
        <v>-10000</v>
      </c>
      <c r="D260" s="47"/>
      <c r="E260" s="48">
        <f t="shared" ca="1" si="16"/>
        <v>-10000</v>
      </c>
      <c r="F260" s="49"/>
      <c r="G260" s="49"/>
      <c r="H260" s="50">
        <f t="shared" ca="1" si="15"/>
        <v>-10000</v>
      </c>
    </row>
    <row r="261" spans="2:8" x14ac:dyDescent="0.3">
      <c r="B261" s="46">
        <f t="shared" ca="1" si="17"/>
        <v>45517</v>
      </c>
      <c r="C261" s="48">
        <f t="shared" ca="1" si="14"/>
        <v>-10000</v>
      </c>
      <c r="D261" s="47"/>
      <c r="E261" s="48">
        <f t="shared" ca="1" si="16"/>
        <v>-10000</v>
      </c>
      <c r="F261" s="49"/>
      <c r="G261" s="49"/>
      <c r="H261" s="50">
        <f t="shared" ca="1" si="15"/>
        <v>-10000</v>
      </c>
    </row>
    <row r="262" spans="2:8" x14ac:dyDescent="0.3">
      <c r="B262" s="46">
        <f t="shared" ca="1" si="17"/>
        <v>45518</v>
      </c>
      <c r="C262" s="48">
        <f t="shared" ref="C262:C325" ca="1" si="18">IF(B262=0,0,C261-F261)</f>
        <v>-10000</v>
      </c>
      <c r="D262" s="47"/>
      <c r="E262" s="48">
        <f t="shared" ca="1" si="16"/>
        <v>-10000</v>
      </c>
      <c r="F262" s="49"/>
      <c r="G262" s="49"/>
      <c r="H262" s="50">
        <f t="shared" ref="H262:H325" ca="1" si="19">IF(B262=0,0,E262-F262+G262)</f>
        <v>-10000</v>
      </c>
    </row>
    <row r="263" spans="2:8" x14ac:dyDescent="0.3">
      <c r="B263" s="46">
        <f t="shared" ca="1" si="17"/>
        <v>45519</v>
      </c>
      <c r="C263" s="48">
        <f t="shared" ca="1" si="18"/>
        <v>-10000</v>
      </c>
      <c r="D263" s="47"/>
      <c r="E263" s="48">
        <f t="shared" ca="1" si="16"/>
        <v>-10000</v>
      </c>
      <c r="F263" s="49"/>
      <c r="G263" s="49"/>
      <c r="H263" s="50">
        <f t="shared" ca="1" si="19"/>
        <v>-10000</v>
      </c>
    </row>
    <row r="264" spans="2:8" x14ac:dyDescent="0.3">
      <c r="B264" s="46">
        <f t="shared" ca="1" si="17"/>
        <v>45520</v>
      </c>
      <c r="C264" s="48">
        <f t="shared" ca="1" si="18"/>
        <v>-10000</v>
      </c>
      <c r="D264" s="47"/>
      <c r="E264" s="48">
        <f t="shared" ca="1" si="16"/>
        <v>-10000</v>
      </c>
      <c r="F264" s="49"/>
      <c r="G264" s="49"/>
      <c r="H264" s="50">
        <f t="shared" ca="1" si="19"/>
        <v>-10000</v>
      </c>
    </row>
    <row r="265" spans="2:8" x14ac:dyDescent="0.3">
      <c r="B265" s="46">
        <f t="shared" ca="1" si="17"/>
        <v>45521</v>
      </c>
      <c r="C265" s="48">
        <f t="shared" ca="1" si="18"/>
        <v>-10000</v>
      </c>
      <c r="D265" s="47"/>
      <c r="E265" s="48">
        <f t="shared" ca="1" si="16"/>
        <v>-10000</v>
      </c>
      <c r="F265" s="49"/>
      <c r="G265" s="49"/>
      <c r="H265" s="50">
        <f t="shared" ca="1" si="19"/>
        <v>-10000</v>
      </c>
    </row>
    <row r="266" spans="2:8" x14ac:dyDescent="0.3">
      <c r="B266" s="46">
        <f t="shared" ca="1" si="17"/>
        <v>45522</v>
      </c>
      <c r="C266" s="48">
        <f t="shared" ca="1" si="18"/>
        <v>-10000</v>
      </c>
      <c r="D266" s="47"/>
      <c r="E266" s="48">
        <f t="shared" ca="1" si="16"/>
        <v>-10000</v>
      </c>
      <c r="F266" s="49"/>
      <c r="G266" s="49"/>
      <c r="H266" s="50">
        <f t="shared" ca="1" si="19"/>
        <v>-10000</v>
      </c>
    </row>
    <row r="267" spans="2:8" x14ac:dyDescent="0.3">
      <c r="B267" s="46">
        <f t="shared" ca="1" si="17"/>
        <v>45523</v>
      </c>
      <c r="C267" s="48">
        <f t="shared" ca="1" si="18"/>
        <v>-10000</v>
      </c>
      <c r="D267" s="47"/>
      <c r="E267" s="48">
        <f t="shared" ca="1" si="16"/>
        <v>-10000</v>
      </c>
      <c r="F267" s="49"/>
      <c r="G267" s="49"/>
      <c r="H267" s="50">
        <f t="shared" ca="1" si="19"/>
        <v>-10000</v>
      </c>
    </row>
    <row r="268" spans="2:8" x14ac:dyDescent="0.3">
      <c r="B268" s="46">
        <f t="shared" ca="1" si="17"/>
        <v>45524</v>
      </c>
      <c r="C268" s="48">
        <f t="shared" ca="1" si="18"/>
        <v>-10000</v>
      </c>
      <c r="D268" s="47"/>
      <c r="E268" s="48">
        <f t="shared" ca="1" si="16"/>
        <v>-10000</v>
      </c>
      <c r="F268" s="49"/>
      <c r="G268" s="49"/>
      <c r="H268" s="50">
        <f t="shared" ca="1" si="19"/>
        <v>-10000</v>
      </c>
    </row>
    <row r="269" spans="2:8" x14ac:dyDescent="0.3">
      <c r="B269" s="46">
        <f t="shared" ca="1" si="17"/>
        <v>45525</v>
      </c>
      <c r="C269" s="48">
        <f t="shared" ca="1" si="18"/>
        <v>-10000</v>
      </c>
      <c r="D269" s="47"/>
      <c r="E269" s="48">
        <f t="shared" ca="1" si="16"/>
        <v>-10000</v>
      </c>
      <c r="F269" s="49"/>
      <c r="G269" s="49"/>
      <c r="H269" s="50">
        <f t="shared" ca="1" si="19"/>
        <v>-10000</v>
      </c>
    </row>
    <row r="270" spans="2:8" x14ac:dyDescent="0.3">
      <c r="B270" s="46">
        <f t="shared" ca="1" si="17"/>
        <v>45526</v>
      </c>
      <c r="C270" s="48">
        <f t="shared" ca="1" si="18"/>
        <v>-10000</v>
      </c>
      <c r="D270" s="47"/>
      <c r="E270" s="48">
        <f t="shared" ca="1" si="16"/>
        <v>-10000</v>
      </c>
      <c r="F270" s="49"/>
      <c r="G270" s="49"/>
      <c r="H270" s="50">
        <f t="shared" ca="1" si="19"/>
        <v>-10000</v>
      </c>
    </row>
    <row r="271" spans="2:8" x14ac:dyDescent="0.3">
      <c r="B271" s="46">
        <f t="shared" ca="1" si="17"/>
        <v>45527</v>
      </c>
      <c r="C271" s="48">
        <f t="shared" ca="1" si="18"/>
        <v>-10000</v>
      </c>
      <c r="D271" s="47"/>
      <c r="E271" s="48">
        <f t="shared" ca="1" si="16"/>
        <v>-10000</v>
      </c>
      <c r="F271" s="49"/>
      <c r="G271" s="49"/>
      <c r="H271" s="50">
        <f t="shared" ca="1" si="19"/>
        <v>-10000</v>
      </c>
    </row>
    <row r="272" spans="2:8" x14ac:dyDescent="0.3">
      <c r="B272" s="46">
        <f t="shared" ca="1" si="17"/>
        <v>45528</v>
      </c>
      <c r="C272" s="48">
        <f t="shared" ca="1" si="18"/>
        <v>-10000</v>
      </c>
      <c r="D272" s="47"/>
      <c r="E272" s="48">
        <f t="shared" ca="1" si="16"/>
        <v>-10000</v>
      </c>
      <c r="F272" s="49"/>
      <c r="G272" s="49"/>
      <c r="H272" s="50">
        <f t="shared" ca="1" si="19"/>
        <v>-10000</v>
      </c>
    </row>
    <row r="273" spans="2:8" x14ac:dyDescent="0.3">
      <c r="B273" s="46">
        <f t="shared" ca="1" si="17"/>
        <v>45529</v>
      </c>
      <c r="C273" s="48">
        <f t="shared" ca="1" si="18"/>
        <v>-10000</v>
      </c>
      <c r="D273" s="47"/>
      <c r="E273" s="48">
        <f t="shared" ca="1" si="16"/>
        <v>-10000</v>
      </c>
      <c r="F273" s="49"/>
      <c r="G273" s="49"/>
      <c r="H273" s="50">
        <f t="shared" ca="1" si="19"/>
        <v>-10000</v>
      </c>
    </row>
    <row r="274" spans="2:8" x14ac:dyDescent="0.3">
      <c r="B274" s="46">
        <f t="shared" ca="1" si="17"/>
        <v>45530</v>
      </c>
      <c r="C274" s="48">
        <f t="shared" ca="1" si="18"/>
        <v>-10000</v>
      </c>
      <c r="D274" s="47"/>
      <c r="E274" s="48">
        <f t="shared" ca="1" si="16"/>
        <v>-10000</v>
      </c>
      <c r="F274" s="49"/>
      <c r="G274" s="49"/>
      <c r="H274" s="50">
        <f t="shared" ca="1" si="19"/>
        <v>-10000</v>
      </c>
    </row>
    <row r="275" spans="2:8" x14ac:dyDescent="0.3">
      <c r="B275" s="46">
        <f t="shared" ca="1" si="17"/>
        <v>45531</v>
      </c>
      <c r="C275" s="48">
        <f t="shared" ca="1" si="18"/>
        <v>-10000</v>
      </c>
      <c r="D275" s="47"/>
      <c r="E275" s="48">
        <f t="shared" ca="1" si="16"/>
        <v>-10000</v>
      </c>
      <c r="F275" s="49"/>
      <c r="G275" s="49"/>
      <c r="H275" s="50">
        <f t="shared" ca="1" si="19"/>
        <v>-10000</v>
      </c>
    </row>
    <row r="276" spans="2:8" x14ac:dyDescent="0.3">
      <c r="B276" s="46">
        <f t="shared" ca="1" si="17"/>
        <v>45532</v>
      </c>
      <c r="C276" s="48">
        <f t="shared" ca="1" si="18"/>
        <v>-10000</v>
      </c>
      <c r="D276" s="47"/>
      <c r="E276" s="48">
        <f t="shared" ca="1" si="16"/>
        <v>-10000</v>
      </c>
      <c r="F276" s="49"/>
      <c r="G276" s="49"/>
      <c r="H276" s="50">
        <f t="shared" ca="1" si="19"/>
        <v>-10000</v>
      </c>
    </row>
    <row r="277" spans="2:8" x14ac:dyDescent="0.3">
      <c r="B277" s="46">
        <f t="shared" ca="1" si="17"/>
        <v>45533</v>
      </c>
      <c r="C277" s="48">
        <f t="shared" ca="1" si="18"/>
        <v>-10000</v>
      </c>
      <c r="D277" s="47"/>
      <c r="E277" s="48">
        <f t="shared" ca="1" si="16"/>
        <v>-10000</v>
      </c>
      <c r="F277" s="49"/>
      <c r="G277" s="49"/>
      <c r="H277" s="50">
        <f t="shared" ca="1" si="19"/>
        <v>-10000</v>
      </c>
    </row>
    <row r="278" spans="2:8" x14ac:dyDescent="0.3">
      <c r="B278" s="46">
        <f t="shared" ca="1" si="17"/>
        <v>45534</v>
      </c>
      <c r="C278" s="48">
        <f t="shared" ca="1" si="18"/>
        <v>-10000</v>
      </c>
      <c r="D278" s="47"/>
      <c r="E278" s="48">
        <f t="shared" ca="1" si="16"/>
        <v>-10000</v>
      </c>
      <c r="F278" s="49"/>
      <c r="G278" s="49"/>
      <c r="H278" s="50">
        <f t="shared" ca="1" si="19"/>
        <v>-10000</v>
      </c>
    </row>
    <row r="279" spans="2:8" x14ac:dyDescent="0.3">
      <c r="B279" s="46">
        <f t="shared" ca="1" si="17"/>
        <v>45535</v>
      </c>
      <c r="C279" s="48">
        <f t="shared" ca="1" si="18"/>
        <v>-10000</v>
      </c>
      <c r="D279" s="47"/>
      <c r="E279" s="48">
        <f t="shared" ca="1" si="16"/>
        <v>-10000</v>
      </c>
      <c r="F279" s="49"/>
      <c r="G279" s="49"/>
      <c r="H279" s="50">
        <f t="shared" ca="1" si="19"/>
        <v>-10000</v>
      </c>
    </row>
    <row r="280" spans="2:8" x14ac:dyDescent="0.3">
      <c r="B280" s="46">
        <f t="shared" ca="1" si="17"/>
        <v>45536</v>
      </c>
      <c r="C280" s="48">
        <f t="shared" ca="1" si="18"/>
        <v>-10000</v>
      </c>
      <c r="D280" s="47"/>
      <c r="E280" s="48">
        <f t="shared" ca="1" si="16"/>
        <v>-10000</v>
      </c>
      <c r="F280" s="49"/>
      <c r="G280" s="49"/>
      <c r="H280" s="50">
        <f t="shared" ca="1" si="19"/>
        <v>-10000</v>
      </c>
    </row>
    <row r="281" spans="2:8" x14ac:dyDescent="0.3">
      <c r="B281" s="46">
        <f t="shared" ca="1" si="17"/>
        <v>45537</v>
      </c>
      <c r="C281" s="48">
        <f t="shared" ca="1" si="18"/>
        <v>-10000</v>
      </c>
      <c r="D281" s="47"/>
      <c r="E281" s="48">
        <f t="shared" ca="1" si="16"/>
        <v>-10000</v>
      </c>
      <c r="F281" s="49"/>
      <c r="G281" s="49"/>
      <c r="H281" s="50">
        <f t="shared" ca="1" si="19"/>
        <v>-10000</v>
      </c>
    </row>
    <row r="282" spans="2:8" x14ac:dyDescent="0.3">
      <c r="B282" s="46">
        <f t="shared" ca="1" si="17"/>
        <v>45538</v>
      </c>
      <c r="C282" s="48">
        <f t="shared" ca="1" si="18"/>
        <v>-10000</v>
      </c>
      <c r="D282" s="47"/>
      <c r="E282" s="48">
        <f t="shared" ca="1" si="16"/>
        <v>-10000</v>
      </c>
      <c r="F282" s="49"/>
      <c r="G282" s="49"/>
      <c r="H282" s="50">
        <f t="shared" ca="1" si="19"/>
        <v>-10000</v>
      </c>
    </row>
    <row r="283" spans="2:8" x14ac:dyDescent="0.3">
      <c r="B283" s="46">
        <f t="shared" ca="1" si="17"/>
        <v>45539</v>
      </c>
      <c r="C283" s="48">
        <f t="shared" ca="1" si="18"/>
        <v>-10000</v>
      </c>
      <c r="D283" s="47"/>
      <c r="E283" s="48">
        <f t="shared" ca="1" si="16"/>
        <v>-10000</v>
      </c>
      <c r="F283" s="49"/>
      <c r="G283" s="49"/>
      <c r="H283" s="50">
        <f t="shared" ca="1" si="19"/>
        <v>-10000</v>
      </c>
    </row>
    <row r="284" spans="2:8" x14ac:dyDescent="0.3">
      <c r="B284" s="46">
        <f t="shared" ca="1" si="17"/>
        <v>45540</v>
      </c>
      <c r="C284" s="48">
        <f t="shared" ca="1" si="18"/>
        <v>-10000</v>
      </c>
      <c r="D284" s="47"/>
      <c r="E284" s="48">
        <f t="shared" ca="1" si="16"/>
        <v>-10000</v>
      </c>
      <c r="F284" s="49"/>
      <c r="G284" s="49"/>
      <c r="H284" s="50">
        <f t="shared" ca="1" si="19"/>
        <v>-10000</v>
      </c>
    </row>
    <row r="285" spans="2:8" x14ac:dyDescent="0.3">
      <c r="B285" s="46">
        <f t="shared" ca="1" si="17"/>
        <v>45541</v>
      </c>
      <c r="C285" s="48">
        <f t="shared" ca="1" si="18"/>
        <v>-10000</v>
      </c>
      <c r="D285" s="47"/>
      <c r="E285" s="48">
        <f t="shared" ref="E285:E348" ca="1" si="20">IF(B285=0,0,H284)</f>
        <v>-10000</v>
      </c>
      <c r="F285" s="49"/>
      <c r="G285" s="49"/>
      <c r="H285" s="50">
        <f t="shared" ca="1" si="19"/>
        <v>-10000</v>
      </c>
    </row>
    <row r="286" spans="2:8" x14ac:dyDescent="0.3">
      <c r="B286" s="46">
        <f t="shared" ref="B286:B349" ca="1" si="21">IF(OR(B285+1&gt;TODAY(),B285=0),0,B285+1)</f>
        <v>45542</v>
      </c>
      <c r="C286" s="48">
        <f t="shared" ca="1" si="18"/>
        <v>-10000</v>
      </c>
      <c r="D286" s="47"/>
      <c r="E286" s="48">
        <f t="shared" ca="1" si="20"/>
        <v>-10000</v>
      </c>
      <c r="F286" s="49"/>
      <c r="G286" s="49"/>
      <c r="H286" s="50">
        <f t="shared" ca="1" si="19"/>
        <v>-10000</v>
      </c>
    </row>
    <row r="287" spans="2:8" x14ac:dyDescent="0.3">
      <c r="B287" s="46">
        <f t="shared" ca="1" si="21"/>
        <v>45543</v>
      </c>
      <c r="C287" s="48">
        <f t="shared" ca="1" si="18"/>
        <v>-10000</v>
      </c>
      <c r="D287" s="47"/>
      <c r="E287" s="48">
        <f t="shared" ca="1" si="20"/>
        <v>-10000</v>
      </c>
      <c r="F287" s="49"/>
      <c r="G287" s="49"/>
      <c r="H287" s="50">
        <f t="shared" ca="1" si="19"/>
        <v>-10000</v>
      </c>
    </row>
    <row r="288" spans="2:8" x14ac:dyDescent="0.3">
      <c r="B288" s="46">
        <f t="shared" ca="1" si="21"/>
        <v>45544</v>
      </c>
      <c r="C288" s="48">
        <f t="shared" ca="1" si="18"/>
        <v>-10000</v>
      </c>
      <c r="D288" s="47"/>
      <c r="E288" s="48">
        <f t="shared" ca="1" si="20"/>
        <v>-10000</v>
      </c>
      <c r="F288" s="49"/>
      <c r="G288" s="49"/>
      <c r="H288" s="50">
        <f t="shared" ca="1" si="19"/>
        <v>-10000</v>
      </c>
    </row>
    <row r="289" spans="2:8" x14ac:dyDescent="0.3">
      <c r="B289" s="46">
        <f t="shared" ca="1" si="21"/>
        <v>45545</v>
      </c>
      <c r="C289" s="48">
        <f t="shared" ca="1" si="18"/>
        <v>-10000</v>
      </c>
      <c r="D289" s="47"/>
      <c r="E289" s="48">
        <f t="shared" ca="1" si="20"/>
        <v>-10000</v>
      </c>
      <c r="F289" s="49"/>
      <c r="G289" s="49"/>
      <c r="H289" s="50">
        <f t="shared" ca="1" si="19"/>
        <v>-10000</v>
      </c>
    </row>
    <row r="290" spans="2:8" x14ac:dyDescent="0.3">
      <c r="B290" s="46">
        <f t="shared" ca="1" si="21"/>
        <v>45546</v>
      </c>
      <c r="C290" s="48">
        <f t="shared" ca="1" si="18"/>
        <v>-10000</v>
      </c>
      <c r="D290" s="47"/>
      <c r="E290" s="48">
        <f t="shared" ca="1" si="20"/>
        <v>-10000</v>
      </c>
      <c r="F290" s="49"/>
      <c r="G290" s="49"/>
      <c r="H290" s="50">
        <f t="shared" ca="1" si="19"/>
        <v>-10000</v>
      </c>
    </row>
    <row r="291" spans="2:8" x14ac:dyDescent="0.3">
      <c r="B291" s="46">
        <f t="shared" ca="1" si="21"/>
        <v>45547</v>
      </c>
      <c r="C291" s="48">
        <f t="shared" ca="1" si="18"/>
        <v>-10000</v>
      </c>
      <c r="D291" s="47"/>
      <c r="E291" s="48">
        <f t="shared" ca="1" si="20"/>
        <v>-10000</v>
      </c>
      <c r="F291" s="49"/>
      <c r="G291" s="49"/>
      <c r="H291" s="50">
        <f t="shared" ca="1" si="19"/>
        <v>-10000</v>
      </c>
    </row>
    <row r="292" spans="2:8" x14ac:dyDescent="0.3">
      <c r="B292" s="46">
        <f t="shared" ca="1" si="21"/>
        <v>45548</v>
      </c>
      <c r="C292" s="48">
        <f t="shared" ca="1" si="18"/>
        <v>-10000</v>
      </c>
      <c r="D292" s="47"/>
      <c r="E292" s="48">
        <f t="shared" ca="1" si="20"/>
        <v>-10000</v>
      </c>
      <c r="F292" s="49"/>
      <c r="G292" s="49"/>
      <c r="H292" s="50">
        <f t="shared" ca="1" si="19"/>
        <v>-10000</v>
      </c>
    </row>
    <row r="293" spans="2:8" x14ac:dyDescent="0.3">
      <c r="B293" s="46">
        <f t="shared" ca="1" si="21"/>
        <v>45549</v>
      </c>
      <c r="C293" s="48">
        <f t="shared" ca="1" si="18"/>
        <v>-10000</v>
      </c>
      <c r="D293" s="47"/>
      <c r="E293" s="48">
        <f t="shared" ca="1" si="20"/>
        <v>-10000</v>
      </c>
      <c r="F293" s="49"/>
      <c r="G293" s="49"/>
      <c r="H293" s="50">
        <f t="shared" ca="1" si="19"/>
        <v>-10000</v>
      </c>
    </row>
    <row r="294" spans="2:8" x14ac:dyDescent="0.3">
      <c r="B294" s="46">
        <f t="shared" ca="1" si="21"/>
        <v>45550</v>
      </c>
      <c r="C294" s="48">
        <f t="shared" ca="1" si="18"/>
        <v>-10000</v>
      </c>
      <c r="D294" s="47"/>
      <c r="E294" s="48">
        <f t="shared" ca="1" si="20"/>
        <v>-10000</v>
      </c>
      <c r="F294" s="49"/>
      <c r="G294" s="49"/>
      <c r="H294" s="50">
        <f t="shared" ca="1" si="19"/>
        <v>-10000</v>
      </c>
    </row>
    <row r="295" spans="2:8" x14ac:dyDescent="0.3">
      <c r="B295" s="46">
        <f t="shared" ca="1" si="21"/>
        <v>45551</v>
      </c>
      <c r="C295" s="48">
        <f t="shared" ca="1" si="18"/>
        <v>-10000</v>
      </c>
      <c r="D295" s="47"/>
      <c r="E295" s="48">
        <f t="shared" ca="1" si="20"/>
        <v>-10000</v>
      </c>
      <c r="F295" s="49"/>
      <c r="G295" s="49"/>
      <c r="H295" s="50">
        <f t="shared" ca="1" si="19"/>
        <v>-10000</v>
      </c>
    </row>
    <row r="296" spans="2:8" x14ac:dyDescent="0.3">
      <c r="B296" s="46">
        <f t="shared" ca="1" si="21"/>
        <v>45552</v>
      </c>
      <c r="C296" s="48">
        <f t="shared" ca="1" si="18"/>
        <v>-10000</v>
      </c>
      <c r="D296" s="47"/>
      <c r="E296" s="48">
        <f t="shared" ca="1" si="20"/>
        <v>-10000</v>
      </c>
      <c r="F296" s="49"/>
      <c r="G296" s="49"/>
      <c r="H296" s="50">
        <f t="shared" ca="1" si="19"/>
        <v>-10000</v>
      </c>
    </row>
    <row r="297" spans="2:8" x14ac:dyDescent="0.3">
      <c r="B297" s="46">
        <f t="shared" ca="1" si="21"/>
        <v>45553</v>
      </c>
      <c r="C297" s="48">
        <f t="shared" ca="1" si="18"/>
        <v>-10000</v>
      </c>
      <c r="D297" s="47"/>
      <c r="E297" s="48">
        <f t="shared" ca="1" si="20"/>
        <v>-10000</v>
      </c>
      <c r="F297" s="49"/>
      <c r="G297" s="49"/>
      <c r="H297" s="50">
        <f t="shared" ca="1" si="19"/>
        <v>-10000</v>
      </c>
    </row>
    <row r="298" spans="2:8" x14ac:dyDescent="0.3">
      <c r="B298" s="46">
        <f t="shared" ca="1" si="21"/>
        <v>45554</v>
      </c>
      <c r="C298" s="48">
        <f t="shared" ca="1" si="18"/>
        <v>-10000</v>
      </c>
      <c r="D298" s="47"/>
      <c r="E298" s="48">
        <f t="shared" ca="1" si="20"/>
        <v>-10000</v>
      </c>
      <c r="F298" s="49"/>
      <c r="G298" s="49"/>
      <c r="H298" s="50">
        <f t="shared" ca="1" si="19"/>
        <v>-10000</v>
      </c>
    </row>
    <row r="299" spans="2:8" x14ac:dyDescent="0.3">
      <c r="B299" s="46">
        <f t="shared" ca="1" si="21"/>
        <v>45555</v>
      </c>
      <c r="C299" s="48">
        <f t="shared" ca="1" si="18"/>
        <v>-10000</v>
      </c>
      <c r="D299" s="47"/>
      <c r="E299" s="48">
        <f t="shared" ca="1" si="20"/>
        <v>-10000</v>
      </c>
      <c r="F299" s="49"/>
      <c r="G299" s="49"/>
      <c r="H299" s="50">
        <f t="shared" ca="1" si="19"/>
        <v>-10000</v>
      </c>
    </row>
    <row r="300" spans="2:8" x14ac:dyDescent="0.3">
      <c r="B300" s="46">
        <f t="shared" ca="1" si="21"/>
        <v>45556</v>
      </c>
      <c r="C300" s="48">
        <f t="shared" ca="1" si="18"/>
        <v>-10000</v>
      </c>
      <c r="D300" s="47"/>
      <c r="E300" s="48">
        <f t="shared" ca="1" si="20"/>
        <v>-10000</v>
      </c>
      <c r="F300" s="49"/>
      <c r="G300" s="49"/>
      <c r="H300" s="50">
        <f t="shared" ca="1" si="19"/>
        <v>-10000</v>
      </c>
    </row>
    <row r="301" spans="2:8" x14ac:dyDescent="0.3">
      <c r="B301" s="46">
        <f t="shared" ca="1" si="21"/>
        <v>45557</v>
      </c>
      <c r="C301" s="48">
        <f t="shared" ca="1" si="18"/>
        <v>-10000</v>
      </c>
      <c r="D301" s="47"/>
      <c r="E301" s="48">
        <f t="shared" ca="1" si="20"/>
        <v>-10000</v>
      </c>
      <c r="F301" s="49"/>
      <c r="G301" s="49"/>
      <c r="H301" s="50">
        <f t="shared" ca="1" si="19"/>
        <v>-10000</v>
      </c>
    </row>
    <row r="302" spans="2:8" x14ac:dyDescent="0.3">
      <c r="B302" s="46">
        <f t="shared" ca="1" si="21"/>
        <v>45558</v>
      </c>
      <c r="C302" s="48">
        <f t="shared" ca="1" si="18"/>
        <v>-10000</v>
      </c>
      <c r="D302" s="47"/>
      <c r="E302" s="48">
        <f t="shared" ca="1" si="20"/>
        <v>-10000</v>
      </c>
      <c r="F302" s="49"/>
      <c r="G302" s="49"/>
      <c r="H302" s="50">
        <f t="shared" ca="1" si="19"/>
        <v>-10000</v>
      </c>
    </row>
    <row r="303" spans="2:8" x14ac:dyDescent="0.3">
      <c r="B303" s="46">
        <f t="shared" ca="1" si="21"/>
        <v>45559</v>
      </c>
      <c r="C303" s="48">
        <f t="shared" ca="1" si="18"/>
        <v>-10000</v>
      </c>
      <c r="D303" s="47"/>
      <c r="E303" s="48">
        <f t="shared" ca="1" si="20"/>
        <v>-10000</v>
      </c>
      <c r="F303" s="49"/>
      <c r="G303" s="49"/>
      <c r="H303" s="50">
        <f t="shared" ca="1" si="19"/>
        <v>-10000</v>
      </c>
    </row>
    <row r="304" spans="2:8" x14ac:dyDescent="0.3">
      <c r="B304" s="46">
        <f t="shared" ca="1" si="21"/>
        <v>45560</v>
      </c>
      <c r="C304" s="48">
        <f t="shared" ca="1" si="18"/>
        <v>-10000</v>
      </c>
      <c r="D304" s="47"/>
      <c r="E304" s="48">
        <f t="shared" ca="1" si="20"/>
        <v>-10000</v>
      </c>
      <c r="F304" s="49"/>
      <c r="G304" s="49"/>
      <c r="H304" s="50">
        <f t="shared" ca="1" si="19"/>
        <v>-10000</v>
      </c>
    </row>
    <row r="305" spans="2:8" x14ac:dyDescent="0.3">
      <c r="B305" s="46">
        <f t="shared" ca="1" si="21"/>
        <v>45561</v>
      </c>
      <c r="C305" s="48">
        <f t="shared" ca="1" si="18"/>
        <v>-10000</v>
      </c>
      <c r="D305" s="47"/>
      <c r="E305" s="48">
        <f t="shared" ca="1" si="20"/>
        <v>-10000</v>
      </c>
      <c r="F305" s="49"/>
      <c r="G305" s="49"/>
      <c r="H305" s="50">
        <f t="shared" ca="1" si="19"/>
        <v>-10000</v>
      </c>
    </row>
    <row r="306" spans="2:8" x14ac:dyDescent="0.3">
      <c r="B306" s="46">
        <f t="shared" ca="1" si="21"/>
        <v>45562</v>
      </c>
      <c r="C306" s="48">
        <f t="shared" ca="1" si="18"/>
        <v>-10000</v>
      </c>
      <c r="D306" s="47"/>
      <c r="E306" s="48">
        <f t="shared" ca="1" si="20"/>
        <v>-10000</v>
      </c>
      <c r="F306" s="49"/>
      <c r="G306" s="49"/>
      <c r="H306" s="50">
        <f t="shared" ca="1" si="19"/>
        <v>-10000</v>
      </c>
    </row>
    <row r="307" spans="2:8" x14ac:dyDescent="0.3">
      <c r="B307" s="46">
        <f t="shared" ca="1" si="21"/>
        <v>45563</v>
      </c>
      <c r="C307" s="48">
        <f t="shared" ca="1" si="18"/>
        <v>-10000</v>
      </c>
      <c r="D307" s="47"/>
      <c r="E307" s="48">
        <f t="shared" ca="1" si="20"/>
        <v>-10000</v>
      </c>
      <c r="F307" s="49"/>
      <c r="G307" s="49"/>
      <c r="H307" s="50">
        <f t="shared" ca="1" si="19"/>
        <v>-10000</v>
      </c>
    </row>
    <row r="308" spans="2:8" x14ac:dyDescent="0.3">
      <c r="B308" s="46">
        <f t="shared" ca="1" si="21"/>
        <v>45564</v>
      </c>
      <c r="C308" s="48">
        <f t="shared" ca="1" si="18"/>
        <v>-10000</v>
      </c>
      <c r="D308" s="47"/>
      <c r="E308" s="48">
        <f t="shared" ca="1" si="20"/>
        <v>-10000</v>
      </c>
      <c r="F308" s="49"/>
      <c r="G308" s="49"/>
      <c r="H308" s="50">
        <f t="shared" ca="1" si="19"/>
        <v>-10000</v>
      </c>
    </row>
    <row r="309" spans="2:8" x14ac:dyDescent="0.3">
      <c r="B309" s="46">
        <f t="shared" ca="1" si="21"/>
        <v>45565</v>
      </c>
      <c r="C309" s="48">
        <f t="shared" ca="1" si="18"/>
        <v>-10000</v>
      </c>
      <c r="D309" s="47"/>
      <c r="E309" s="48">
        <f t="shared" ca="1" si="20"/>
        <v>-10000</v>
      </c>
      <c r="F309" s="49"/>
      <c r="G309" s="49"/>
      <c r="H309" s="50">
        <f t="shared" ca="1" si="19"/>
        <v>-10000</v>
      </c>
    </row>
    <row r="310" spans="2:8" x14ac:dyDescent="0.3">
      <c r="B310" s="46">
        <f t="shared" ca="1" si="21"/>
        <v>45566</v>
      </c>
      <c r="C310" s="48">
        <f t="shared" ca="1" si="18"/>
        <v>-10000</v>
      </c>
      <c r="D310" s="47"/>
      <c r="E310" s="48">
        <f t="shared" ca="1" si="20"/>
        <v>-10000</v>
      </c>
      <c r="F310" s="49"/>
      <c r="G310" s="49"/>
      <c r="H310" s="50">
        <f t="shared" ca="1" si="19"/>
        <v>-10000</v>
      </c>
    </row>
    <row r="311" spans="2:8" x14ac:dyDescent="0.3">
      <c r="B311" s="46">
        <f t="shared" ca="1" si="21"/>
        <v>45567</v>
      </c>
      <c r="C311" s="48">
        <f t="shared" ca="1" si="18"/>
        <v>-10000</v>
      </c>
      <c r="D311" s="47"/>
      <c r="E311" s="48">
        <f t="shared" ca="1" si="20"/>
        <v>-10000</v>
      </c>
      <c r="F311" s="49"/>
      <c r="G311" s="49"/>
      <c r="H311" s="50">
        <f t="shared" ca="1" si="19"/>
        <v>-10000</v>
      </c>
    </row>
    <row r="312" spans="2:8" x14ac:dyDescent="0.3">
      <c r="B312" s="46">
        <f t="shared" ca="1" si="21"/>
        <v>45568</v>
      </c>
      <c r="C312" s="48">
        <f t="shared" ca="1" si="18"/>
        <v>-10000</v>
      </c>
      <c r="D312" s="47"/>
      <c r="E312" s="48">
        <f t="shared" ca="1" si="20"/>
        <v>-10000</v>
      </c>
      <c r="F312" s="49"/>
      <c r="G312" s="49"/>
      <c r="H312" s="50">
        <f t="shared" ca="1" si="19"/>
        <v>-10000</v>
      </c>
    </row>
    <row r="313" spans="2:8" x14ac:dyDescent="0.3">
      <c r="B313" s="46">
        <f t="shared" ca="1" si="21"/>
        <v>45569</v>
      </c>
      <c r="C313" s="48">
        <f t="shared" ca="1" si="18"/>
        <v>-10000</v>
      </c>
      <c r="D313" s="47"/>
      <c r="E313" s="48">
        <f t="shared" ca="1" si="20"/>
        <v>-10000</v>
      </c>
      <c r="F313" s="49"/>
      <c r="G313" s="49"/>
      <c r="H313" s="50">
        <f t="shared" ca="1" si="19"/>
        <v>-10000</v>
      </c>
    </row>
    <row r="314" spans="2:8" x14ac:dyDescent="0.3">
      <c r="B314" s="46">
        <f t="shared" ca="1" si="21"/>
        <v>45570</v>
      </c>
      <c r="C314" s="48">
        <f t="shared" ca="1" si="18"/>
        <v>-10000</v>
      </c>
      <c r="D314" s="47"/>
      <c r="E314" s="48">
        <f t="shared" ca="1" si="20"/>
        <v>-10000</v>
      </c>
      <c r="F314" s="49"/>
      <c r="G314" s="49"/>
      <c r="H314" s="50">
        <f t="shared" ca="1" si="19"/>
        <v>-10000</v>
      </c>
    </row>
    <row r="315" spans="2:8" x14ac:dyDescent="0.3">
      <c r="B315" s="46">
        <f t="shared" ca="1" si="21"/>
        <v>45571</v>
      </c>
      <c r="C315" s="48">
        <f t="shared" ca="1" si="18"/>
        <v>-10000</v>
      </c>
      <c r="D315" s="47"/>
      <c r="E315" s="48">
        <f t="shared" ca="1" si="20"/>
        <v>-10000</v>
      </c>
      <c r="F315" s="49"/>
      <c r="G315" s="49"/>
      <c r="H315" s="50">
        <f t="shared" ca="1" si="19"/>
        <v>-10000</v>
      </c>
    </row>
    <row r="316" spans="2:8" x14ac:dyDescent="0.3">
      <c r="B316" s="46">
        <f t="shared" ca="1" si="21"/>
        <v>45572</v>
      </c>
      <c r="C316" s="48">
        <f t="shared" ca="1" si="18"/>
        <v>-10000</v>
      </c>
      <c r="D316" s="47"/>
      <c r="E316" s="48">
        <f t="shared" ca="1" si="20"/>
        <v>-10000</v>
      </c>
      <c r="F316" s="49"/>
      <c r="G316" s="49"/>
      <c r="H316" s="50">
        <f t="shared" ca="1" si="19"/>
        <v>-10000</v>
      </c>
    </row>
    <row r="317" spans="2:8" x14ac:dyDescent="0.3">
      <c r="B317" s="46">
        <f t="shared" ca="1" si="21"/>
        <v>45573</v>
      </c>
      <c r="C317" s="48">
        <f t="shared" ca="1" si="18"/>
        <v>-10000</v>
      </c>
      <c r="D317" s="47"/>
      <c r="E317" s="48">
        <f t="shared" ca="1" si="20"/>
        <v>-10000</v>
      </c>
      <c r="F317" s="49"/>
      <c r="G317" s="49"/>
      <c r="H317" s="50">
        <f t="shared" ca="1" si="19"/>
        <v>-10000</v>
      </c>
    </row>
    <row r="318" spans="2:8" x14ac:dyDescent="0.3">
      <c r="B318" s="46">
        <f t="shared" ca="1" si="21"/>
        <v>45574</v>
      </c>
      <c r="C318" s="48">
        <f t="shared" ca="1" si="18"/>
        <v>-10000</v>
      </c>
      <c r="D318" s="47"/>
      <c r="E318" s="48">
        <f t="shared" ca="1" si="20"/>
        <v>-10000</v>
      </c>
      <c r="F318" s="49"/>
      <c r="G318" s="49"/>
      <c r="H318" s="50">
        <f t="shared" ca="1" si="19"/>
        <v>-10000</v>
      </c>
    </row>
    <row r="319" spans="2:8" x14ac:dyDescent="0.3">
      <c r="B319" s="46">
        <f t="shared" ca="1" si="21"/>
        <v>45575</v>
      </c>
      <c r="C319" s="48">
        <f t="shared" ca="1" si="18"/>
        <v>-10000</v>
      </c>
      <c r="D319" s="47"/>
      <c r="E319" s="48">
        <f t="shared" ca="1" si="20"/>
        <v>-10000</v>
      </c>
      <c r="F319" s="49"/>
      <c r="G319" s="49"/>
      <c r="H319" s="50">
        <f t="shared" ca="1" si="19"/>
        <v>-10000</v>
      </c>
    </row>
    <row r="320" spans="2:8" x14ac:dyDescent="0.3">
      <c r="B320" s="46">
        <f t="shared" ca="1" si="21"/>
        <v>45576</v>
      </c>
      <c r="C320" s="48">
        <f t="shared" ca="1" si="18"/>
        <v>-10000</v>
      </c>
      <c r="D320" s="47"/>
      <c r="E320" s="48">
        <f t="shared" ca="1" si="20"/>
        <v>-10000</v>
      </c>
      <c r="F320" s="49"/>
      <c r="G320" s="49"/>
      <c r="H320" s="50">
        <f t="shared" ca="1" si="19"/>
        <v>-10000</v>
      </c>
    </row>
    <row r="321" spans="2:8" x14ac:dyDescent="0.3">
      <c r="B321" s="46">
        <f t="shared" ca="1" si="21"/>
        <v>45577</v>
      </c>
      <c r="C321" s="48">
        <f t="shared" ca="1" si="18"/>
        <v>-10000</v>
      </c>
      <c r="D321" s="47"/>
      <c r="E321" s="48">
        <f t="shared" ca="1" si="20"/>
        <v>-10000</v>
      </c>
      <c r="F321" s="49"/>
      <c r="G321" s="49"/>
      <c r="H321" s="50">
        <f t="shared" ca="1" si="19"/>
        <v>-10000</v>
      </c>
    </row>
    <row r="322" spans="2:8" x14ac:dyDescent="0.3">
      <c r="B322" s="46">
        <f t="shared" ca="1" si="21"/>
        <v>45578</v>
      </c>
      <c r="C322" s="48">
        <f t="shared" ca="1" si="18"/>
        <v>-10000</v>
      </c>
      <c r="D322" s="47"/>
      <c r="E322" s="48">
        <f t="shared" ca="1" si="20"/>
        <v>-10000</v>
      </c>
      <c r="F322" s="49"/>
      <c r="G322" s="49"/>
      <c r="H322" s="50">
        <f t="shared" ca="1" si="19"/>
        <v>-10000</v>
      </c>
    </row>
    <row r="323" spans="2:8" x14ac:dyDescent="0.3">
      <c r="B323" s="46">
        <f t="shared" ca="1" si="21"/>
        <v>45579</v>
      </c>
      <c r="C323" s="48">
        <f t="shared" ca="1" si="18"/>
        <v>-10000</v>
      </c>
      <c r="D323" s="47"/>
      <c r="E323" s="48">
        <f t="shared" ca="1" si="20"/>
        <v>-10000</v>
      </c>
      <c r="F323" s="49"/>
      <c r="G323" s="49"/>
      <c r="H323" s="50">
        <f t="shared" ca="1" si="19"/>
        <v>-10000</v>
      </c>
    </row>
    <row r="324" spans="2:8" x14ac:dyDescent="0.3">
      <c r="B324" s="46">
        <f t="shared" ca="1" si="21"/>
        <v>45580</v>
      </c>
      <c r="C324" s="48">
        <f t="shared" ca="1" si="18"/>
        <v>-10000</v>
      </c>
      <c r="D324" s="47"/>
      <c r="E324" s="48">
        <f t="shared" ca="1" si="20"/>
        <v>-10000</v>
      </c>
      <c r="F324" s="49"/>
      <c r="G324" s="49"/>
      <c r="H324" s="50">
        <f t="shared" ca="1" si="19"/>
        <v>-10000</v>
      </c>
    </row>
    <row r="325" spans="2:8" x14ac:dyDescent="0.3">
      <c r="B325" s="46">
        <f t="shared" ca="1" si="21"/>
        <v>45581</v>
      </c>
      <c r="C325" s="48">
        <f t="shared" ca="1" si="18"/>
        <v>-10000</v>
      </c>
      <c r="D325" s="47"/>
      <c r="E325" s="48">
        <f t="shared" ca="1" si="20"/>
        <v>-10000</v>
      </c>
      <c r="F325" s="49"/>
      <c r="G325" s="49"/>
      <c r="H325" s="50">
        <f t="shared" ca="1" si="19"/>
        <v>-10000</v>
      </c>
    </row>
    <row r="326" spans="2:8" x14ac:dyDescent="0.3">
      <c r="B326" s="46">
        <f t="shared" ca="1" si="21"/>
        <v>45582</v>
      </c>
      <c r="C326" s="48">
        <f t="shared" ref="C326:C389" ca="1" si="22">IF(B326=0,0,C325-F325)</f>
        <v>-10000</v>
      </c>
      <c r="D326" s="47"/>
      <c r="E326" s="48">
        <f t="shared" ca="1" si="20"/>
        <v>-10000</v>
      </c>
      <c r="F326" s="49"/>
      <c r="G326" s="49"/>
      <c r="H326" s="50">
        <f t="shared" ref="H326:H389" ca="1" si="23">IF(B326=0,0,E326-F326+G326)</f>
        <v>-10000</v>
      </c>
    </row>
    <row r="327" spans="2:8" x14ac:dyDescent="0.3">
      <c r="B327" s="46">
        <f t="shared" ca="1" si="21"/>
        <v>45583</v>
      </c>
      <c r="C327" s="48">
        <f t="shared" ca="1" si="22"/>
        <v>-10000</v>
      </c>
      <c r="D327" s="47"/>
      <c r="E327" s="48">
        <f t="shared" ca="1" si="20"/>
        <v>-10000</v>
      </c>
      <c r="F327" s="49"/>
      <c r="G327" s="49"/>
      <c r="H327" s="50">
        <f t="shared" ca="1" si="23"/>
        <v>-10000</v>
      </c>
    </row>
    <row r="328" spans="2:8" x14ac:dyDescent="0.3">
      <c r="B328" s="46">
        <f t="shared" ca="1" si="21"/>
        <v>45584</v>
      </c>
      <c r="C328" s="48">
        <f t="shared" ca="1" si="22"/>
        <v>-10000</v>
      </c>
      <c r="D328" s="47"/>
      <c r="E328" s="48">
        <f t="shared" ca="1" si="20"/>
        <v>-10000</v>
      </c>
      <c r="F328" s="49"/>
      <c r="G328" s="49"/>
      <c r="H328" s="50">
        <f t="shared" ca="1" si="23"/>
        <v>-10000</v>
      </c>
    </row>
    <row r="329" spans="2:8" x14ac:dyDescent="0.3">
      <c r="B329" s="46">
        <f t="shared" ca="1" si="21"/>
        <v>45585</v>
      </c>
      <c r="C329" s="48">
        <f t="shared" ca="1" si="22"/>
        <v>-10000</v>
      </c>
      <c r="D329" s="47"/>
      <c r="E329" s="48">
        <f t="shared" ca="1" si="20"/>
        <v>-10000</v>
      </c>
      <c r="F329" s="49"/>
      <c r="G329" s="49"/>
      <c r="H329" s="50">
        <f t="shared" ca="1" si="23"/>
        <v>-10000</v>
      </c>
    </row>
    <row r="330" spans="2:8" x14ac:dyDescent="0.3">
      <c r="B330" s="46">
        <f t="shared" ca="1" si="21"/>
        <v>45586</v>
      </c>
      <c r="C330" s="48">
        <f t="shared" ca="1" si="22"/>
        <v>-10000</v>
      </c>
      <c r="D330" s="47"/>
      <c r="E330" s="48">
        <f t="shared" ca="1" si="20"/>
        <v>-10000</v>
      </c>
      <c r="F330" s="49"/>
      <c r="G330" s="49"/>
      <c r="H330" s="50">
        <f t="shared" ca="1" si="23"/>
        <v>-10000</v>
      </c>
    </row>
    <row r="331" spans="2:8" x14ac:dyDescent="0.3">
      <c r="B331" s="46">
        <f t="shared" ca="1" si="21"/>
        <v>45587</v>
      </c>
      <c r="C331" s="48">
        <f t="shared" ca="1" si="22"/>
        <v>-10000</v>
      </c>
      <c r="D331" s="47"/>
      <c r="E331" s="48">
        <f t="shared" ca="1" si="20"/>
        <v>-10000</v>
      </c>
      <c r="F331" s="49"/>
      <c r="G331" s="49"/>
      <c r="H331" s="50">
        <f t="shared" ca="1" si="23"/>
        <v>-10000</v>
      </c>
    </row>
    <row r="332" spans="2:8" x14ac:dyDescent="0.3">
      <c r="B332" s="46">
        <f t="shared" ca="1" si="21"/>
        <v>45588</v>
      </c>
      <c r="C332" s="48">
        <f t="shared" ca="1" si="22"/>
        <v>-10000</v>
      </c>
      <c r="D332" s="47"/>
      <c r="E332" s="48">
        <f t="shared" ca="1" si="20"/>
        <v>-10000</v>
      </c>
      <c r="F332" s="49"/>
      <c r="G332" s="49"/>
      <c r="H332" s="50">
        <f t="shared" ca="1" si="23"/>
        <v>-10000</v>
      </c>
    </row>
    <row r="333" spans="2:8" x14ac:dyDescent="0.3">
      <c r="B333" s="46">
        <f t="shared" ca="1" si="21"/>
        <v>45589</v>
      </c>
      <c r="C333" s="48">
        <f t="shared" ca="1" si="22"/>
        <v>-10000</v>
      </c>
      <c r="D333" s="47"/>
      <c r="E333" s="48">
        <f t="shared" ca="1" si="20"/>
        <v>-10000</v>
      </c>
      <c r="F333" s="49"/>
      <c r="G333" s="49"/>
      <c r="H333" s="50">
        <f t="shared" ca="1" si="23"/>
        <v>-10000</v>
      </c>
    </row>
    <row r="334" spans="2:8" x14ac:dyDescent="0.3">
      <c r="B334" s="46">
        <f t="shared" ca="1" si="21"/>
        <v>45590</v>
      </c>
      <c r="C334" s="48">
        <f t="shared" ca="1" si="22"/>
        <v>-10000</v>
      </c>
      <c r="D334" s="47"/>
      <c r="E334" s="48">
        <f t="shared" ca="1" si="20"/>
        <v>-10000</v>
      </c>
      <c r="F334" s="49"/>
      <c r="G334" s="49"/>
      <c r="H334" s="50">
        <f t="shared" ca="1" si="23"/>
        <v>-10000</v>
      </c>
    </row>
    <row r="335" spans="2:8" x14ac:dyDescent="0.3">
      <c r="B335" s="46">
        <f t="shared" ca="1" si="21"/>
        <v>45591</v>
      </c>
      <c r="C335" s="48">
        <f t="shared" ca="1" si="22"/>
        <v>-10000</v>
      </c>
      <c r="D335" s="47"/>
      <c r="E335" s="48">
        <f t="shared" ca="1" si="20"/>
        <v>-10000</v>
      </c>
      <c r="F335" s="49"/>
      <c r="G335" s="49"/>
      <c r="H335" s="50">
        <f t="shared" ca="1" si="23"/>
        <v>-10000</v>
      </c>
    </row>
    <row r="336" spans="2:8" x14ac:dyDescent="0.3">
      <c r="B336" s="46">
        <f t="shared" ca="1" si="21"/>
        <v>45592</v>
      </c>
      <c r="C336" s="48">
        <f t="shared" ca="1" si="22"/>
        <v>-10000</v>
      </c>
      <c r="D336" s="47"/>
      <c r="E336" s="48">
        <f t="shared" ca="1" si="20"/>
        <v>-10000</v>
      </c>
      <c r="F336" s="49"/>
      <c r="G336" s="49"/>
      <c r="H336" s="50">
        <f t="shared" ca="1" si="23"/>
        <v>-10000</v>
      </c>
    </row>
    <row r="337" spans="2:8" x14ac:dyDescent="0.3">
      <c r="B337" s="46">
        <f t="shared" ca="1" si="21"/>
        <v>45593</v>
      </c>
      <c r="C337" s="48">
        <f t="shared" ca="1" si="22"/>
        <v>-10000</v>
      </c>
      <c r="D337" s="47"/>
      <c r="E337" s="48">
        <f t="shared" ca="1" si="20"/>
        <v>-10000</v>
      </c>
      <c r="F337" s="49"/>
      <c r="G337" s="49"/>
      <c r="H337" s="50">
        <f t="shared" ca="1" si="23"/>
        <v>-10000</v>
      </c>
    </row>
    <row r="338" spans="2:8" x14ac:dyDescent="0.3">
      <c r="B338" s="46">
        <f t="shared" ca="1" si="21"/>
        <v>45594</v>
      </c>
      <c r="C338" s="48">
        <f t="shared" ca="1" si="22"/>
        <v>-10000</v>
      </c>
      <c r="D338" s="47"/>
      <c r="E338" s="48">
        <f t="shared" ca="1" si="20"/>
        <v>-10000</v>
      </c>
      <c r="F338" s="49"/>
      <c r="G338" s="49"/>
      <c r="H338" s="50">
        <f t="shared" ca="1" si="23"/>
        <v>-10000</v>
      </c>
    </row>
    <row r="339" spans="2:8" x14ac:dyDescent="0.3">
      <c r="B339" s="46">
        <f t="shared" ca="1" si="21"/>
        <v>45595</v>
      </c>
      <c r="C339" s="48">
        <f t="shared" ca="1" si="22"/>
        <v>-10000</v>
      </c>
      <c r="D339" s="47"/>
      <c r="E339" s="48">
        <f t="shared" ca="1" si="20"/>
        <v>-10000</v>
      </c>
      <c r="F339" s="49"/>
      <c r="G339" s="49"/>
      <c r="H339" s="50">
        <f t="shared" ca="1" si="23"/>
        <v>-10000</v>
      </c>
    </row>
    <row r="340" spans="2:8" x14ac:dyDescent="0.3">
      <c r="B340" s="46">
        <f t="shared" ca="1" si="21"/>
        <v>45596</v>
      </c>
      <c r="C340" s="48">
        <f t="shared" ca="1" si="22"/>
        <v>-10000</v>
      </c>
      <c r="D340" s="47"/>
      <c r="E340" s="48">
        <f t="shared" ca="1" si="20"/>
        <v>-10000</v>
      </c>
      <c r="F340" s="49"/>
      <c r="G340" s="49"/>
      <c r="H340" s="50">
        <f t="shared" ca="1" si="23"/>
        <v>-10000</v>
      </c>
    </row>
    <row r="341" spans="2:8" x14ac:dyDescent="0.3">
      <c r="B341" s="46">
        <f t="shared" ca="1" si="21"/>
        <v>45597</v>
      </c>
      <c r="C341" s="48">
        <f t="shared" ca="1" si="22"/>
        <v>-10000</v>
      </c>
      <c r="D341" s="47"/>
      <c r="E341" s="48">
        <f t="shared" ca="1" si="20"/>
        <v>-10000</v>
      </c>
      <c r="F341" s="49"/>
      <c r="G341" s="49"/>
      <c r="H341" s="50">
        <f t="shared" ca="1" si="23"/>
        <v>-10000</v>
      </c>
    </row>
    <row r="342" spans="2:8" x14ac:dyDescent="0.3">
      <c r="B342" s="46">
        <f t="shared" ca="1" si="21"/>
        <v>45598</v>
      </c>
      <c r="C342" s="48">
        <f t="shared" ca="1" si="22"/>
        <v>-10000</v>
      </c>
      <c r="D342" s="47"/>
      <c r="E342" s="48">
        <f t="shared" ca="1" si="20"/>
        <v>-10000</v>
      </c>
      <c r="F342" s="49"/>
      <c r="G342" s="49"/>
      <c r="H342" s="50">
        <f t="shared" ca="1" si="23"/>
        <v>-10000</v>
      </c>
    </row>
    <row r="343" spans="2:8" x14ac:dyDescent="0.3">
      <c r="B343" s="46">
        <f t="shared" ca="1" si="21"/>
        <v>45599</v>
      </c>
      <c r="C343" s="48">
        <f t="shared" ca="1" si="22"/>
        <v>-10000</v>
      </c>
      <c r="D343" s="47"/>
      <c r="E343" s="48">
        <f t="shared" ca="1" si="20"/>
        <v>-10000</v>
      </c>
      <c r="F343" s="49"/>
      <c r="G343" s="49"/>
      <c r="H343" s="50">
        <f t="shared" ca="1" si="23"/>
        <v>-10000</v>
      </c>
    </row>
    <row r="344" spans="2:8" x14ac:dyDescent="0.3">
      <c r="B344" s="46">
        <f t="shared" ca="1" si="21"/>
        <v>45600</v>
      </c>
      <c r="C344" s="48">
        <f t="shared" ca="1" si="22"/>
        <v>-10000</v>
      </c>
      <c r="D344" s="47"/>
      <c r="E344" s="48">
        <f t="shared" ca="1" si="20"/>
        <v>-10000</v>
      </c>
      <c r="F344" s="49"/>
      <c r="G344" s="49"/>
      <c r="H344" s="50">
        <f t="shared" ca="1" si="23"/>
        <v>-10000</v>
      </c>
    </row>
    <row r="345" spans="2:8" x14ac:dyDescent="0.3">
      <c r="B345" s="46">
        <f t="shared" ca="1" si="21"/>
        <v>45601</v>
      </c>
      <c r="C345" s="48">
        <f t="shared" ca="1" si="22"/>
        <v>-10000</v>
      </c>
      <c r="D345" s="47"/>
      <c r="E345" s="48">
        <f t="shared" ca="1" si="20"/>
        <v>-10000</v>
      </c>
      <c r="F345" s="49"/>
      <c r="G345" s="49"/>
      <c r="H345" s="50">
        <f t="shared" ca="1" si="23"/>
        <v>-10000</v>
      </c>
    </row>
    <row r="346" spans="2:8" x14ac:dyDescent="0.3">
      <c r="B346" s="46">
        <f t="shared" ca="1" si="21"/>
        <v>45602</v>
      </c>
      <c r="C346" s="48">
        <f t="shared" ca="1" si="22"/>
        <v>-10000</v>
      </c>
      <c r="D346" s="47"/>
      <c r="E346" s="48">
        <f t="shared" ca="1" si="20"/>
        <v>-10000</v>
      </c>
      <c r="F346" s="49"/>
      <c r="G346" s="49"/>
      <c r="H346" s="50">
        <f t="shared" ca="1" si="23"/>
        <v>-10000</v>
      </c>
    </row>
    <row r="347" spans="2:8" x14ac:dyDescent="0.3">
      <c r="B347" s="46">
        <f t="shared" ca="1" si="21"/>
        <v>45603</v>
      </c>
      <c r="C347" s="48">
        <f t="shared" ca="1" si="22"/>
        <v>-10000</v>
      </c>
      <c r="D347" s="47"/>
      <c r="E347" s="48">
        <f t="shared" ca="1" si="20"/>
        <v>-10000</v>
      </c>
      <c r="F347" s="49"/>
      <c r="G347" s="49"/>
      <c r="H347" s="50">
        <f t="shared" ca="1" si="23"/>
        <v>-10000</v>
      </c>
    </row>
    <row r="348" spans="2:8" x14ac:dyDescent="0.3">
      <c r="B348" s="46">
        <f t="shared" ca="1" si="21"/>
        <v>45604</v>
      </c>
      <c r="C348" s="48">
        <f t="shared" ca="1" si="22"/>
        <v>-10000</v>
      </c>
      <c r="D348" s="47"/>
      <c r="E348" s="48">
        <f t="shared" ca="1" si="20"/>
        <v>-10000</v>
      </c>
      <c r="F348" s="49"/>
      <c r="G348" s="49"/>
      <c r="H348" s="50">
        <f t="shared" ca="1" si="23"/>
        <v>-10000</v>
      </c>
    </row>
    <row r="349" spans="2:8" x14ac:dyDescent="0.3">
      <c r="B349" s="46">
        <f t="shared" ca="1" si="21"/>
        <v>45605</v>
      </c>
      <c r="C349" s="48">
        <f t="shared" ca="1" si="22"/>
        <v>-10000</v>
      </c>
      <c r="D349" s="47"/>
      <c r="E349" s="48">
        <f t="shared" ref="E349:E412" ca="1" si="24">IF(B349=0,0,H348)</f>
        <v>-10000</v>
      </c>
      <c r="F349" s="49"/>
      <c r="G349" s="49"/>
      <c r="H349" s="50">
        <f t="shared" ca="1" si="23"/>
        <v>-10000</v>
      </c>
    </row>
    <row r="350" spans="2:8" x14ac:dyDescent="0.3">
      <c r="B350" s="46">
        <f t="shared" ref="B350:B413" ca="1" si="25">IF(OR(B349+1&gt;TODAY(),B349=0),0,B349+1)</f>
        <v>45606</v>
      </c>
      <c r="C350" s="48">
        <f t="shared" ca="1" si="22"/>
        <v>-10000</v>
      </c>
      <c r="D350" s="47"/>
      <c r="E350" s="48">
        <f t="shared" ca="1" si="24"/>
        <v>-10000</v>
      </c>
      <c r="F350" s="49"/>
      <c r="G350" s="49"/>
      <c r="H350" s="50">
        <f t="shared" ca="1" si="23"/>
        <v>-10000</v>
      </c>
    </row>
    <row r="351" spans="2:8" x14ac:dyDescent="0.3">
      <c r="B351" s="46">
        <f t="shared" ca="1" si="25"/>
        <v>45607</v>
      </c>
      <c r="C351" s="48">
        <f t="shared" ca="1" si="22"/>
        <v>-10000</v>
      </c>
      <c r="D351" s="47"/>
      <c r="E351" s="48">
        <f t="shared" ca="1" si="24"/>
        <v>-10000</v>
      </c>
      <c r="F351" s="49"/>
      <c r="G351" s="49"/>
      <c r="H351" s="50">
        <f t="shared" ca="1" si="23"/>
        <v>-10000</v>
      </c>
    </row>
    <row r="352" spans="2:8" x14ac:dyDescent="0.3">
      <c r="B352" s="46">
        <f t="shared" ca="1" si="25"/>
        <v>45608</v>
      </c>
      <c r="C352" s="48">
        <f t="shared" ca="1" si="22"/>
        <v>-10000</v>
      </c>
      <c r="D352" s="47"/>
      <c r="E352" s="48">
        <f t="shared" ca="1" si="24"/>
        <v>-10000</v>
      </c>
      <c r="F352" s="49"/>
      <c r="G352" s="49"/>
      <c r="H352" s="50">
        <f t="shared" ca="1" si="23"/>
        <v>-10000</v>
      </c>
    </row>
    <row r="353" spans="2:8" x14ac:dyDescent="0.3">
      <c r="B353" s="46">
        <f t="shared" ca="1" si="25"/>
        <v>45609</v>
      </c>
      <c r="C353" s="48">
        <f t="shared" ca="1" si="22"/>
        <v>-10000</v>
      </c>
      <c r="D353" s="47"/>
      <c r="E353" s="48">
        <f t="shared" ca="1" si="24"/>
        <v>-10000</v>
      </c>
      <c r="F353" s="49"/>
      <c r="G353" s="49"/>
      <c r="H353" s="50">
        <f t="shared" ca="1" si="23"/>
        <v>-10000</v>
      </c>
    </row>
    <row r="354" spans="2:8" x14ac:dyDescent="0.3">
      <c r="B354" s="46">
        <f t="shared" ca="1" si="25"/>
        <v>45610</v>
      </c>
      <c r="C354" s="48">
        <f t="shared" ca="1" si="22"/>
        <v>-10000</v>
      </c>
      <c r="D354" s="47"/>
      <c r="E354" s="48">
        <f t="shared" ca="1" si="24"/>
        <v>-10000</v>
      </c>
      <c r="F354" s="49"/>
      <c r="G354" s="49"/>
      <c r="H354" s="50">
        <f t="shared" ca="1" si="23"/>
        <v>-10000</v>
      </c>
    </row>
    <row r="355" spans="2:8" x14ac:dyDescent="0.3">
      <c r="B355" s="46">
        <f t="shared" ca="1" si="25"/>
        <v>45611</v>
      </c>
      <c r="C355" s="48">
        <f t="shared" ca="1" si="22"/>
        <v>-10000</v>
      </c>
      <c r="D355" s="47"/>
      <c r="E355" s="48">
        <f t="shared" ca="1" si="24"/>
        <v>-10000</v>
      </c>
      <c r="F355" s="49"/>
      <c r="G355" s="49"/>
      <c r="H355" s="50">
        <f t="shared" ca="1" si="23"/>
        <v>-10000</v>
      </c>
    </row>
    <row r="356" spans="2:8" x14ac:dyDescent="0.3">
      <c r="B356" s="46">
        <f t="shared" ca="1" si="25"/>
        <v>45612</v>
      </c>
      <c r="C356" s="48">
        <f t="shared" ca="1" si="22"/>
        <v>-10000</v>
      </c>
      <c r="D356" s="47"/>
      <c r="E356" s="48">
        <f t="shared" ca="1" si="24"/>
        <v>-10000</v>
      </c>
      <c r="F356" s="49"/>
      <c r="G356" s="49"/>
      <c r="H356" s="50">
        <f t="shared" ca="1" si="23"/>
        <v>-10000</v>
      </c>
    </row>
    <row r="357" spans="2:8" x14ac:dyDescent="0.3">
      <c r="B357" s="46">
        <f t="shared" ca="1" si="25"/>
        <v>45613</v>
      </c>
      <c r="C357" s="48">
        <f t="shared" ca="1" si="22"/>
        <v>-10000</v>
      </c>
      <c r="D357" s="47"/>
      <c r="E357" s="48">
        <f t="shared" ca="1" si="24"/>
        <v>-10000</v>
      </c>
      <c r="F357" s="49"/>
      <c r="G357" s="49"/>
      <c r="H357" s="50">
        <f t="shared" ca="1" si="23"/>
        <v>-10000</v>
      </c>
    </row>
    <row r="358" spans="2:8" x14ac:dyDescent="0.3">
      <c r="B358" s="46">
        <f t="shared" ca="1" si="25"/>
        <v>45614</v>
      </c>
      <c r="C358" s="48">
        <f t="shared" ca="1" si="22"/>
        <v>-10000</v>
      </c>
      <c r="D358" s="47"/>
      <c r="E358" s="48">
        <f t="shared" ca="1" si="24"/>
        <v>-10000</v>
      </c>
      <c r="F358" s="49"/>
      <c r="G358" s="49"/>
      <c r="H358" s="50">
        <f t="shared" ca="1" si="23"/>
        <v>-10000</v>
      </c>
    </row>
    <row r="359" spans="2:8" x14ac:dyDescent="0.3">
      <c r="B359" s="46">
        <f t="shared" ca="1" si="25"/>
        <v>45615</v>
      </c>
      <c r="C359" s="48">
        <f t="shared" ca="1" si="22"/>
        <v>-10000</v>
      </c>
      <c r="D359" s="47"/>
      <c r="E359" s="48">
        <f t="shared" ca="1" si="24"/>
        <v>-10000</v>
      </c>
      <c r="F359" s="49"/>
      <c r="G359" s="49"/>
      <c r="H359" s="50">
        <f t="shared" ca="1" si="23"/>
        <v>-10000</v>
      </c>
    </row>
    <row r="360" spans="2:8" x14ac:dyDescent="0.3">
      <c r="B360" s="46">
        <f t="shared" ca="1" si="25"/>
        <v>45616</v>
      </c>
      <c r="C360" s="48">
        <f t="shared" ca="1" si="22"/>
        <v>-10000</v>
      </c>
      <c r="D360" s="47"/>
      <c r="E360" s="48">
        <f t="shared" ca="1" si="24"/>
        <v>-10000</v>
      </c>
      <c r="F360" s="49"/>
      <c r="G360" s="49"/>
      <c r="H360" s="50">
        <f t="shared" ca="1" si="23"/>
        <v>-10000</v>
      </c>
    </row>
    <row r="361" spans="2:8" x14ac:dyDescent="0.3">
      <c r="B361" s="46">
        <f t="shared" ca="1" si="25"/>
        <v>45617</v>
      </c>
      <c r="C361" s="48">
        <f t="shared" ca="1" si="22"/>
        <v>-10000</v>
      </c>
      <c r="D361" s="47"/>
      <c r="E361" s="48">
        <f t="shared" ca="1" si="24"/>
        <v>-10000</v>
      </c>
      <c r="F361" s="49"/>
      <c r="G361" s="49"/>
      <c r="H361" s="50">
        <f t="shared" ca="1" si="23"/>
        <v>-10000</v>
      </c>
    </row>
    <row r="362" spans="2:8" x14ac:dyDescent="0.3">
      <c r="B362" s="46">
        <f t="shared" ca="1" si="25"/>
        <v>45618</v>
      </c>
      <c r="C362" s="48">
        <f t="shared" ca="1" si="22"/>
        <v>-10000</v>
      </c>
      <c r="D362" s="47"/>
      <c r="E362" s="48">
        <f t="shared" ca="1" si="24"/>
        <v>-10000</v>
      </c>
      <c r="F362" s="49"/>
      <c r="G362" s="49"/>
      <c r="H362" s="50">
        <f t="shared" ca="1" si="23"/>
        <v>-10000</v>
      </c>
    </row>
    <row r="363" spans="2:8" x14ac:dyDescent="0.3">
      <c r="B363" s="46">
        <f t="shared" ca="1" si="25"/>
        <v>45619</v>
      </c>
      <c r="C363" s="48">
        <f t="shared" ca="1" si="22"/>
        <v>-10000</v>
      </c>
      <c r="D363" s="47"/>
      <c r="E363" s="48">
        <f t="shared" ca="1" si="24"/>
        <v>-10000</v>
      </c>
      <c r="F363" s="49"/>
      <c r="G363" s="49"/>
      <c r="H363" s="50">
        <f t="shared" ca="1" si="23"/>
        <v>-10000</v>
      </c>
    </row>
    <row r="364" spans="2:8" x14ac:dyDescent="0.3">
      <c r="B364" s="46">
        <f t="shared" ca="1" si="25"/>
        <v>45620</v>
      </c>
      <c r="C364" s="48">
        <f t="shared" ca="1" si="22"/>
        <v>-10000</v>
      </c>
      <c r="D364" s="47"/>
      <c r="E364" s="48">
        <f t="shared" ca="1" si="24"/>
        <v>-10000</v>
      </c>
      <c r="F364" s="49"/>
      <c r="G364" s="49"/>
      <c r="H364" s="50">
        <f t="shared" ca="1" si="23"/>
        <v>-10000</v>
      </c>
    </row>
    <row r="365" spans="2:8" x14ac:dyDescent="0.3">
      <c r="B365" s="46">
        <f t="shared" ca="1" si="25"/>
        <v>45621</v>
      </c>
      <c r="C365" s="48">
        <f t="shared" ca="1" si="22"/>
        <v>-10000</v>
      </c>
      <c r="D365" s="47"/>
      <c r="E365" s="48">
        <f t="shared" ca="1" si="24"/>
        <v>-10000</v>
      </c>
      <c r="F365" s="49"/>
      <c r="G365" s="49"/>
      <c r="H365" s="50">
        <f t="shared" ca="1" si="23"/>
        <v>-10000</v>
      </c>
    </row>
    <row r="366" spans="2:8" x14ac:dyDescent="0.3">
      <c r="B366" s="46">
        <f t="shared" ca="1" si="25"/>
        <v>45622</v>
      </c>
      <c r="C366" s="48">
        <f t="shared" ca="1" si="22"/>
        <v>-10000</v>
      </c>
      <c r="D366" s="47"/>
      <c r="E366" s="48">
        <f t="shared" ca="1" si="24"/>
        <v>-10000</v>
      </c>
      <c r="F366" s="49"/>
      <c r="G366" s="49"/>
      <c r="H366" s="50">
        <f t="shared" ca="1" si="23"/>
        <v>-10000</v>
      </c>
    </row>
    <row r="367" spans="2:8" x14ac:dyDescent="0.3">
      <c r="B367" s="46">
        <f t="shared" ca="1" si="25"/>
        <v>45623</v>
      </c>
      <c r="C367" s="48">
        <f t="shared" ca="1" si="22"/>
        <v>-10000</v>
      </c>
      <c r="D367" s="47"/>
      <c r="E367" s="48">
        <f t="shared" ca="1" si="24"/>
        <v>-10000</v>
      </c>
      <c r="F367" s="49"/>
      <c r="G367" s="49"/>
      <c r="H367" s="50">
        <f t="shared" ca="1" si="23"/>
        <v>-10000</v>
      </c>
    </row>
    <row r="368" spans="2:8" x14ac:dyDescent="0.3">
      <c r="B368" s="46">
        <f t="shared" ca="1" si="25"/>
        <v>45624</v>
      </c>
      <c r="C368" s="48">
        <f t="shared" ca="1" si="22"/>
        <v>-10000</v>
      </c>
      <c r="D368" s="47"/>
      <c r="E368" s="48">
        <f t="shared" ca="1" si="24"/>
        <v>-10000</v>
      </c>
      <c r="F368" s="49"/>
      <c r="G368" s="49"/>
      <c r="H368" s="50">
        <f t="shared" ca="1" si="23"/>
        <v>-10000</v>
      </c>
    </row>
    <row r="369" spans="2:8" x14ac:dyDescent="0.3">
      <c r="B369" s="46">
        <f t="shared" ca="1" si="25"/>
        <v>45625</v>
      </c>
      <c r="C369" s="48">
        <f t="shared" ca="1" si="22"/>
        <v>-10000</v>
      </c>
      <c r="D369" s="47"/>
      <c r="E369" s="48">
        <f t="shared" ca="1" si="24"/>
        <v>-10000</v>
      </c>
      <c r="F369" s="49"/>
      <c r="G369" s="49"/>
      <c r="H369" s="50">
        <f t="shared" ca="1" si="23"/>
        <v>-10000</v>
      </c>
    </row>
    <row r="370" spans="2:8" x14ac:dyDescent="0.3">
      <c r="B370" s="46">
        <f t="shared" ca="1" si="25"/>
        <v>45626</v>
      </c>
      <c r="C370" s="48">
        <f t="shared" ca="1" si="22"/>
        <v>-10000</v>
      </c>
      <c r="D370" s="47"/>
      <c r="E370" s="48">
        <f t="shared" ca="1" si="24"/>
        <v>-10000</v>
      </c>
      <c r="F370" s="49"/>
      <c r="G370" s="49"/>
      <c r="H370" s="50">
        <f t="shared" ca="1" si="23"/>
        <v>-10000</v>
      </c>
    </row>
    <row r="371" spans="2:8" x14ac:dyDescent="0.3">
      <c r="B371" s="46">
        <f t="shared" ca="1" si="25"/>
        <v>45627</v>
      </c>
      <c r="C371" s="48">
        <f t="shared" ca="1" si="22"/>
        <v>-10000</v>
      </c>
      <c r="D371" s="47"/>
      <c r="E371" s="48">
        <f t="shared" ca="1" si="24"/>
        <v>-10000</v>
      </c>
      <c r="F371" s="49"/>
      <c r="G371" s="49"/>
      <c r="H371" s="50">
        <f t="shared" ca="1" si="23"/>
        <v>-10000</v>
      </c>
    </row>
    <row r="372" spans="2:8" x14ac:dyDescent="0.3">
      <c r="B372" s="46">
        <f t="shared" ca="1" si="25"/>
        <v>45628</v>
      </c>
      <c r="C372" s="48">
        <f t="shared" ca="1" si="22"/>
        <v>-10000</v>
      </c>
      <c r="D372" s="47"/>
      <c r="E372" s="48">
        <f t="shared" ca="1" si="24"/>
        <v>-10000</v>
      </c>
      <c r="F372" s="49"/>
      <c r="G372" s="49"/>
      <c r="H372" s="50">
        <f t="shared" ca="1" si="23"/>
        <v>-10000</v>
      </c>
    </row>
    <row r="373" spans="2:8" x14ac:dyDescent="0.3">
      <c r="B373" s="46">
        <f t="shared" ca="1" si="25"/>
        <v>45629</v>
      </c>
      <c r="C373" s="48">
        <f t="shared" ca="1" si="22"/>
        <v>-10000</v>
      </c>
      <c r="D373" s="47"/>
      <c r="E373" s="48">
        <f t="shared" ca="1" si="24"/>
        <v>-10000</v>
      </c>
      <c r="F373" s="49"/>
      <c r="G373" s="49"/>
      <c r="H373" s="50">
        <f t="shared" ca="1" si="23"/>
        <v>-10000</v>
      </c>
    </row>
    <row r="374" spans="2:8" x14ac:dyDescent="0.3">
      <c r="B374" s="46">
        <f t="shared" ca="1" si="25"/>
        <v>45630</v>
      </c>
      <c r="C374" s="48">
        <f t="shared" ca="1" si="22"/>
        <v>-10000</v>
      </c>
      <c r="D374" s="47"/>
      <c r="E374" s="48">
        <f t="shared" ca="1" si="24"/>
        <v>-10000</v>
      </c>
      <c r="F374" s="49"/>
      <c r="G374" s="49"/>
      <c r="H374" s="50">
        <f t="shared" ca="1" si="23"/>
        <v>-10000</v>
      </c>
    </row>
    <row r="375" spans="2:8" x14ac:dyDescent="0.3">
      <c r="B375" s="46">
        <f t="shared" ca="1" si="25"/>
        <v>45631</v>
      </c>
      <c r="C375" s="48">
        <f t="shared" ca="1" si="22"/>
        <v>-10000</v>
      </c>
      <c r="D375" s="47"/>
      <c r="E375" s="48">
        <f t="shared" ca="1" si="24"/>
        <v>-10000</v>
      </c>
      <c r="F375" s="49"/>
      <c r="G375" s="49"/>
      <c r="H375" s="50">
        <f t="shared" ca="1" si="23"/>
        <v>-10000</v>
      </c>
    </row>
    <row r="376" spans="2:8" x14ac:dyDescent="0.3">
      <c r="B376" s="46">
        <f t="shared" ca="1" si="25"/>
        <v>45632</v>
      </c>
      <c r="C376" s="48">
        <f t="shared" ca="1" si="22"/>
        <v>-10000</v>
      </c>
      <c r="D376" s="47"/>
      <c r="E376" s="48">
        <f t="shared" ca="1" si="24"/>
        <v>-10000</v>
      </c>
      <c r="F376" s="49"/>
      <c r="G376" s="49"/>
      <c r="H376" s="50">
        <f t="shared" ca="1" si="23"/>
        <v>-10000</v>
      </c>
    </row>
    <row r="377" spans="2:8" x14ac:dyDescent="0.3">
      <c r="B377" s="46">
        <f t="shared" ca="1" si="25"/>
        <v>45633</v>
      </c>
      <c r="C377" s="48">
        <f t="shared" ca="1" si="22"/>
        <v>-10000</v>
      </c>
      <c r="D377" s="47"/>
      <c r="E377" s="48">
        <f t="shared" ca="1" si="24"/>
        <v>-10000</v>
      </c>
      <c r="F377" s="49"/>
      <c r="G377" s="49"/>
      <c r="H377" s="50">
        <f t="shared" ca="1" si="23"/>
        <v>-10000</v>
      </c>
    </row>
    <row r="378" spans="2:8" x14ac:dyDescent="0.3">
      <c r="B378" s="46">
        <f t="shared" ca="1" si="25"/>
        <v>45634</v>
      </c>
      <c r="C378" s="48">
        <f t="shared" ca="1" si="22"/>
        <v>-10000</v>
      </c>
      <c r="D378" s="47"/>
      <c r="E378" s="48">
        <f t="shared" ca="1" si="24"/>
        <v>-10000</v>
      </c>
      <c r="F378" s="49"/>
      <c r="G378" s="49"/>
      <c r="H378" s="50">
        <f t="shared" ca="1" si="23"/>
        <v>-10000</v>
      </c>
    </row>
    <row r="379" spans="2:8" x14ac:dyDescent="0.3">
      <c r="B379" s="46">
        <f t="shared" ca="1" si="25"/>
        <v>45635</v>
      </c>
      <c r="C379" s="48">
        <f t="shared" ca="1" si="22"/>
        <v>-10000</v>
      </c>
      <c r="D379" s="47"/>
      <c r="E379" s="48">
        <f t="shared" ca="1" si="24"/>
        <v>-10000</v>
      </c>
      <c r="F379" s="49"/>
      <c r="G379" s="49"/>
      <c r="H379" s="50">
        <f t="shared" ca="1" si="23"/>
        <v>-10000</v>
      </c>
    </row>
    <row r="380" spans="2:8" x14ac:dyDescent="0.3">
      <c r="B380" s="46">
        <f t="shared" ca="1" si="25"/>
        <v>45636</v>
      </c>
      <c r="C380" s="48">
        <f t="shared" ca="1" si="22"/>
        <v>-10000</v>
      </c>
      <c r="D380" s="47"/>
      <c r="E380" s="48">
        <f t="shared" ca="1" si="24"/>
        <v>-10000</v>
      </c>
      <c r="F380" s="49"/>
      <c r="G380" s="49"/>
      <c r="H380" s="50">
        <f t="shared" ca="1" si="23"/>
        <v>-10000</v>
      </c>
    </row>
    <row r="381" spans="2:8" x14ac:dyDescent="0.3">
      <c r="B381" s="46">
        <f t="shared" ca="1" si="25"/>
        <v>45637</v>
      </c>
      <c r="C381" s="48">
        <f t="shared" ca="1" si="22"/>
        <v>-10000</v>
      </c>
      <c r="D381" s="47"/>
      <c r="E381" s="48">
        <f t="shared" ca="1" si="24"/>
        <v>-10000</v>
      </c>
      <c r="F381" s="49"/>
      <c r="G381" s="49"/>
      <c r="H381" s="50">
        <f t="shared" ca="1" si="23"/>
        <v>-10000</v>
      </c>
    </row>
    <row r="382" spans="2:8" x14ac:dyDescent="0.3">
      <c r="B382" s="46">
        <f t="shared" ca="1" si="25"/>
        <v>45638</v>
      </c>
      <c r="C382" s="48">
        <f t="shared" ca="1" si="22"/>
        <v>-10000</v>
      </c>
      <c r="D382" s="47"/>
      <c r="E382" s="48">
        <f t="shared" ca="1" si="24"/>
        <v>-10000</v>
      </c>
      <c r="F382" s="49"/>
      <c r="G382" s="49"/>
      <c r="H382" s="50">
        <f t="shared" ca="1" si="23"/>
        <v>-10000</v>
      </c>
    </row>
    <row r="383" spans="2:8" x14ac:dyDescent="0.3">
      <c r="B383" s="46">
        <f t="shared" ca="1" si="25"/>
        <v>45639</v>
      </c>
      <c r="C383" s="48">
        <f t="shared" ca="1" si="22"/>
        <v>-10000</v>
      </c>
      <c r="D383" s="47"/>
      <c r="E383" s="48">
        <f t="shared" ca="1" si="24"/>
        <v>-10000</v>
      </c>
      <c r="F383" s="49"/>
      <c r="G383" s="49"/>
      <c r="H383" s="50">
        <f t="shared" ca="1" si="23"/>
        <v>-10000</v>
      </c>
    </row>
    <row r="384" spans="2:8" x14ac:dyDescent="0.3">
      <c r="B384" s="46">
        <f t="shared" ca="1" si="25"/>
        <v>45640</v>
      </c>
      <c r="C384" s="48">
        <f t="shared" ca="1" si="22"/>
        <v>-10000</v>
      </c>
      <c r="D384" s="47"/>
      <c r="E384" s="48">
        <f t="shared" ca="1" si="24"/>
        <v>-10000</v>
      </c>
      <c r="F384" s="49"/>
      <c r="G384" s="49"/>
      <c r="H384" s="50">
        <f t="shared" ca="1" si="23"/>
        <v>-10000</v>
      </c>
    </row>
    <row r="385" spans="2:8" x14ac:dyDescent="0.3">
      <c r="B385" s="46">
        <f t="shared" ca="1" si="25"/>
        <v>45641</v>
      </c>
      <c r="C385" s="48">
        <f t="shared" ca="1" si="22"/>
        <v>-10000</v>
      </c>
      <c r="D385" s="47"/>
      <c r="E385" s="48">
        <f t="shared" ca="1" si="24"/>
        <v>-10000</v>
      </c>
      <c r="F385" s="49"/>
      <c r="G385" s="49"/>
      <c r="H385" s="50">
        <f t="shared" ca="1" si="23"/>
        <v>-10000</v>
      </c>
    </row>
    <row r="386" spans="2:8" x14ac:dyDescent="0.3">
      <c r="B386" s="46">
        <f t="shared" ca="1" si="25"/>
        <v>45642</v>
      </c>
      <c r="C386" s="48">
        <f t="shared" ca="1" si="22"/>
        <v>-10000</v>
      </c>
      <c r="D386" s="47"/>
      <c r="E386" s="48">
        <f t="shared" ca="1" si="24"/>
        <v>-10000</v>
      </c>
      <c r="F386" s="49"/>
      <c r="G386" s="49"/>
      <c r="H386" s="50">
        <f t="shared" ca="1" si="23"/>
        <v>-10000</v>
      </c>
    </row>
    <row r="387" spans="2:8" x14ac:dyDescent="0.3">
      <c r="B387" s="46">
        <f t="shared" ca="1" si="25"/>
        <v>45643</v>
      </c>
      <c r="C387" s="48">
        <f t="shared" ca="1" si="22"/>
        <v>-10000</v>
      </c>
      <c r="D387" s="47"/>
      <c r="E387" s="48">
        <f t="shared" ca="1" si="24"/>
        <v>-10000</v>
      </c>
      <c r="F387" s="49"/>
      <c r="G387" s="49"/>
      <c r="H387" s="50">
        <f t="shared" ca="1" si="23"/>
        <v>-10000</v>
      </c>
    </row>
    <row r="388" spans="2:8" x14ac:dyDescent="0.3">
      <c r="B388" s="46">
        <f t="shared" ca="1" si="25"/>
        <v>45644</v>
      </c>
      <c r="C388" s="48">
        <f t="shared" ca="1" si="22"/>
        <v>-10000</v>
      </c>
      <c r="D388" s="47"/>
      <c r="E388" s="48">
        <f t="shared" ca="1" si="24"/>
        <v>-10000</v>
      </c>
      <c r="F388" s="49"/>
      <c r="G388" s="49"/>
      <c r="H388" s="50">
        <f t="shared" ca="1" si="23"/>
        <v>-10000</v>
      </c>
    </row>
    <row r="389" spans="2:8" x14ac:dyDescent="0.3">
      <c r="B389" s="46">
        <f t="shared" ca="1" si="25"/>
        <v>45645</v>
      </c>
      <c r="C389" s="48">
        <f t="shared" ca="1" si="22"/>
        <v>-10000</v>
      </c>
      <c r="D389" s="47"/>
      <c r="E389" s="48">
        <f t="shared" ca="1" si="24"/>
        <v>-10000</v>
      </c>
      <c r="F389" s="49"/>
      <c r="G389" s="49"/>
      <c r="H389" s="50">
        <f t="shared" ca="1" si="23"/>
        <v>-10000</v>
      </c>
    </row>
    <row r="390" spans="2:8" x14ac:dyDescent="0.3">
      <c r="B390" s="46">
        <f t="shared" ca="1" si="25"/>
        <v>45646</v>
      </c>
      <c r="C390" s="48">
        <f t="shared" ref="C390:C449" ca="1" si="26">IF(B390=0,0,C389-F389)</f>
        <v>-10000</v>
      </c>
      <c r="D390" s="47"/>
      <c r="E390" s="48">
        <f t="shared" ca="1" si="24"/>
        <v>-10000</v>
      </c>
      <c r="F390" s="49"/>
      <c r="G390" s="49"/>
      <c r="H390" s="50">
        <f t="shared" ref="H390:H449" ca="1" si="27">IF(B390=0,0,E390-F390+G390)</f>
        <v>-10000</v>
      </c>
    </row>
    <row r="391" spans="2:8" x14ac:dyDescent="0.3">
      <c r="B391" s="46">
        <f t="shared" ca="1" si="25"/>
        <v>45647</v>
      </c>
      <c r="C391" s="48">
        <f t="shared" ca="1" si="26"/>
        <v>-10000</v>
      </c>
      <c r="D391" s="47"/>
      <c r="E391" s="48">
        <f t="shared" ca="1" si="24"/>
        <v>-10000</v>
      </c>
      <c r="F391" s="49"/>
      <c r="G391" s="49"/>
      <c r="H391" s="50">
        <f t="shared" ca="1" si="27"/>
        <v>-10000</v>
      </c>
    </row>
    <row r="392" spans="2:8" x14ac:dyDescent="0.3">
      <c r="B392" s="46">
        <f t="shared" ca="1" si="25"/>
        <v>45648</v>
      </c>
      <c r="C392" s="48">
        <f t="shared" ca="1" si="26"/>
        <v>-10000</v>
      </c>
      <c r="D392" s="47"/>
      <c r="E392" s="48">
        <f t="shared" ca="1" si="24"/>
        <v>-10000</v>
      </c>
      <c r="F392" s="49"/>
      <c r="G392" s="49"/>
      <c r="H392" s="50">
        <f t="shared" ca="1" si="27"/>
        <v>-10000</v>
      </c>
    </row>
    <row r="393" spans="2:8" x14ac:dyDescent="0.3">
      <c r="B393" s="46">
        <f t="shared" ca="1" si="25"/>
        <v>45649</v>
      </c>
      <c r="C393" s="48">
        <f t="shared" ca="1" si="26"/>
        <v>-10000</v>
      </c>
      <c r="D393" s="47"/>
      <c r="E393" s="48">
        <f t="shared" ca="1" si="24"/>
        <v>-10000</v>
      </c>
      <c r="F393" s="49"/>
      <c r="G393" s="49"/>
      <c r="H393" s="50">
        <f t="shared" ca="1" si="27"/>
        <v>-10000</v>
      </c>
    </row>
    <row r="394" spans="2:8" x14ac:dyDescent="0.3">
      <c r="B394" s="46">
        <f t="shared" ca="1" si="25"/>
        <v>45650</v>
      </c>
      <c r="C394" s="48">
        <f t="shared" ca="1" si="26"/>
        <v>-10000</v>
      </c>
      <c r="D394" s="47"/>
      <c r="E394" s="48">
        <f t="shared" ca="1" si="24"/>
        <v>-10000</v>
      </c>
      <c r="F394" s="49"/>
      <c r="G394" s="49"/>
      <c r="H394" s="50">
        <f t="shared" ca="1" si="27"/>
        <v>-10000</v>
      </c>
    </row>
    <row r="395" spans="2:8" x14ac:dyDescent="0.3">
      <c r="B395" s="46">
        <f t="shared" ca="1" si="25"/>
        <v>45651</v>
      </c>
      <c r="C395" s="48">
        <f t="shared" ca="1" si="26"/>
        <v>-10000</v>
      </c>
      <c r="D395" s="47"/>
      <c r="E395" s="48">
        <f t="shared" ca="1" si="24"/>
        <v>-10000</v>
      </c>
      <c r="F395" s="49"/>
      <c r="G395" s="49"/>
      <c r="H395" s="50">
        <f t="shared" ca="1" si="27"/>
        <v>-10000</v>
      </c>
    </row>
    <row r="396" spans="2:8" x14ac:dyDescent="0.3">
      <c r="B396" s="46">
        <f t="shared" ca="1" si="25"/>
        <v>45652</v>
      </c>
      <c r="C396" s="48">
        <f t="shared" ca="1" si="26"/>
        <v>-10000</v>
      </c>
      <c r="D396" s="47"/>
      <c r="E396" s="48">
        <f t="shared" ca="1" si="24"/>
        <v>-10000</v>
      </c>
      <c r="F396" s="49"/>
      <c r="G396" s="49"/>
      <c r="H396" s="50">
        <f t="shared" ca="1" si="27"/>
        <v>-10000</v>
      </c>
    </row>
    <row r="397" spans="2:8" x14ac:dyDescent="0.3">
      <c r="B397" s="46">
        <f t="shared" ca="1" si="25"/>
        <v>45653</v>
      </c>
      <c r="C397" s="48">
        <f t="shared" ca="1" si="26"/>
        <v>-10000</v>
      </c>
      <c r="D397" s="47"/>
      <c r="E397" s="48">
        <f t="shared" ca="1" si="24"/>
        <v>-10000</v>
      </c>
      <c r="F397" s="49"/>
      <c r="G397" s="49"/>
      <c r="H397" s="50">
        <f t="shared" ca="1" si="27"/>
        <v>-10000</v>
      </c>
    </row>
    <row r="398" spans="2:8" x14ac:dyDescent="0.3">
      <c r="B398" s="46">
        <f t="shared" ca="1" si="25"/>
        <v>45654</v>
      </c>
      <c r="C398" s="48">
        <f t="shared" ca="1" si="26"/>
        <v>-10000</v>
      </c>
      <c r="D398" s="47"/>
      <c r="E398" s="48">
        <f t="shared" ca="1" si="24"/>
        <v>-10000</v>
      </c>
      <c r="F398" s="49"/>
      <c r="G398" s="49"/>
      <c r="H398" s="50">
        <f t="shared" ca="1" si="27"/>
        <v>-10000</v>
      </c>
    </row>
    <row r="399" spans="2:8" x14ac:dyDescent="0.3">
      <c r="B399" s="46">
        <f t="shared" ca="1" si="25"/>
        <v>45655</v>
      </c>
      <c r="C399" s="48">
        <f t="shared" ca="1" si="26"/>
        <v>-10000</v>
      </c>
      <c r="D399" s="47"/>
      <c r="E399" s="48">
        <f t="shared" ca="1" si="24"/>
        <v>-10000</v>
      </c>
      <c r="F399" s="49"/>
      <c r="G399" s="49"/>
      <c r="H399" s="50">
        <f t="shared" ca="1" si="27"/>
        <v>-10000</v>
      </c>
    </row>
    <row r="400" spans="2:8" x14ac:dyDescent="0.3">
      <c r="B400" s="46">
        <f t="shared" ca="1" si="25"/>
        <v>45656</v>
      </c>
      <c r="C400" s="48">
        <f t="shared" ca="1" si="26"/>
        <v>-10000</v>
      </c>
      <c r="D400" s="47"/>
      <c r="E400" s="48">
        <f t="shared" ca="1" si="24"/>
        <v>-10000</v>
      </c>
      <c r="F400" s="49"/>
      <c r="G400" s="49"/>
      <c r="H400" s="50">
        <f t="shared" ca="1" si="27"/>
        <v>-10000</v>
      </c>
    </row>
    <row r="401" spans="2:8" x14ac:dyDescent="0.3">
      <c r="B401" s="46">
        <f t="shared" ca="1" si="25"/>
        <v>45657</v>
      </c>
      <c r="C401" s="48">
        <f t="shared" ca="1" si="26"/>
        <v>-10000</v>
      </c>
      <c r="D401" s="47"/>
      <c r="E401" s="48">
        <f t="shared" ca="1" si="24"/>
        <v>-10000</v>
      </c>
      <c r="F401" s="49"/>
      <c r="G401" s="49"/>
      <c r="H401" s="50">
        <f t="shared" ca="1" si="27"/>
        <v>-10000</v>
      </c>
    </row>
    <row r="402" spans="2:8" x14ac:dyDescent="0.3">
      <c r="B402" s="46">
        <f t="shared" ca="1" si="25"/>
        <v>45658</v>
      </c>
      <c r="C402" s="48">
        <f t="shared" ca="1" si="26"/>
        <v>-10000</v>
      </c>
      <c r="D402" s="47"/>
      <c r="E402" s="48">
        <f t="shared" ca="1" si="24"/>
        <v>-10000</v>
      </c>
      <c r="F402" s="49"/>
      <c r="G402" s="49"/>
      <c r="H402" s="50">
        <f t="shared" ca="1" si="27"/>
        <v>-10000</v>
      </c>
    </row>
    <row r="403" spans="2:8" x14ac:dyDescent="0.3">
      <c r="B403" s="46">
        <f t="shared" ca="1" si="25"/>
        <v>45659</v>
      </c>
      <c r="C403" s="48">
        <f t="shared" ca="1" si="26"/>
        <v>-10000</v>
      </c>
      <c r="D403" s="47"/>
      <c r="E403" s="48">
        <f t="shared" ca="1" si="24"/>
        <v>-10000</v>
      </c>
      <c r="F403" s="49"/>
      <c r="G403" s="49"/>
      <c r="H403" s="50">
        <f t="shared" ca="1" si="27"/>
        <v>-10000</v>
      </c>
    </row>
    <row r="404" spans="2:8" x14ac:dyDescent="0.3">
      <c r="B404" s="46">
        <f t="shared" ca="1" si="25"/>
        <v>45660</v>
      </c>
      <c r="C404" s="48">
        <f t="shared" ca="1" si="26"/>
        <v>-10000</v>
      </c>
      <c r="D404" s="47"/>
      <c r="E404" s="48">
        <f t="shared" ca="1" si="24"/>
        <v>-10000</v>
      </c>
      <c r="F404" s="49"/>
      <c r="G404" s="49"/>
      <c r="H404" s="50">
        <f t="shared" ca="1" si="27"/>
        <v>-10000</v>
      </c>
    </row>
    <row r="405" spans="2:8" x14ac:dyDescent="0.3">
      <c r="B405" s="46">
        <f t="shared" ca="1" si="25"/>
        <v>45661</v>
      </c>
      <c r="C405" s="48">
        <f t="shared" ca="1" si="26"/>
        <v>-10000</v>
      </c>
      <c r="D405" s="47"/>
      <c r="E405" s="48">
        <f t="shared" ca="1" si="24"/>
        <v>-10000</v>
      </c>
      <c r="F405" s="49"/>
      <c r="G405" s="49"/>
      <c r="H405" s="50">
        <f t="shared" ca="1" si="27"/>
        <v>-10000</v>
      </c>
    </row>
    <row r="406" spans="2:8" x14ac:dyDescent="0.3">
      <c r="B406" s="46">
        <f t="shared" ca="1" si="25"/>
        <v>45662</v>
      </c>
      <c r="C406" s="48">
        <f t="shared" ca="1" si="26"/>
        <v>-10000</v>
      </c>
      <c r="D406" s="47"/>
      <c r="E406" s="48">
        <f t="shared" ca="1" si="24"/>
        <v>-10000</v>
      </c>
      <c r="F406" s="49"/>
      <c r="G406" s="49"/>
      <c r="H406" s="50">
        <f t="shared" ca="1" si="27"/>
        <v>-10000</v>
      </c>
    </row>
    <row r="407" spans="2:8" x14ac:dyDescent="0.3">
      <c r="B407" s="46">
        <f t="shared" ca="1" si="25"/>
        <v>45663</v>
      </c>
      <c r="C407" s="48">
        <f t="shared" ca="1" si="26"/>
        <v>-10000</v>
      </c>
      <c r="D407" s="47"/>
      <c r="E407" s="48">
        <f t="shared" ca="1" si="24"/>
        <v>-10000</v>
      </c>
      <c r="F407" s="49"/>
      <c r="G407" s="49"/>
      <c r="H407" s="50">
        <f t="shared" ca="1" si="27"/>
        <v>-10000</v>
      </c>
    </row>
    <row r="408" spans="2:8" x14ac:dyDescent="0.3">
      <c r="B408" s="46">
        <f t="shared" ca="1" si="25"/>
        <v>45664</v>
      </c>
      <c r="C408" s="48">
        <f t="shared" ca="1" si="26"/>
        <v>-10000</v>
      </c>
      <c r="D408" s="47"/>
      <c r="E408" s="48">
        <f t="shared" ca="1" si="24"/>
        <v>-10000</v>
      </c>
      <c r="F408" s="49"/>
      <c r="G408" s="49"/>
      <c r="H408" s="50">
        <f t="shared" ca="1" si="27"/>
        <v>-10000</v>
      </c>
    </row>
    <row r="409" spans="2:8" x14ac:dyDescent="0.3">
      <c r="B409" s="46">
        <f t="shared" ca="1" si="25"/>
        <v>45665</v>
      </c>
      <c r="C409" s="48">
        <f t="shared" ca="1" si="26"/>
        <v>-10000</v>
      </c>
      <c r="D409" s="47"/>
      <c r="E409" s="48">
        <f t="shared" ca="1" si="24"/>
        <v>-10000</v>
      </c>
      <c r="F409" s="49"/>
      <c r="G409" s="49"/>
      <c r="H409" s="50">
        <f t="shared" ca="1" si="27"/>
        <v>-10000</v>
      </c>
    </row>
    <row r="410" spans="2:8" x14ac:dyDescent="0.3">
      <c r="B410" s="46">
        <f t="shared" ca="1" si="25"/>
        <v>45666</v>
      </c>
      <c r="C410" s="48">
        <f t="shared" ca="1" si="26"/>
        <v>-10000</v>
      </c>
      <c r="D410" s="47"/>
      <c r="E410" s="48">
        <f t="shared" ca="1" si="24"/>
        <v>-10000</v>
      </c>
      <c r="F410" s="49"/>
      <c r="G410" s="49"/>
      <c r="H410" s="50">
        <f t="shared" ca="1" si="27"/>
        <v>-10000</v>
      </c>
    </row>
    <row r="411" spans="2:8" x14ac:dyDescent="0.3">
      <c r="B411" s="46">
        <f t="shared" ca="1" si="25"/>
        <v>45667</v>
      </c>
      <c r="C411" s="48">
        <f t="shared" ca="1" si="26"/>
        <v>-10000</v>
      </c>
      <c r="D411" s="47"/>
      <c r="E411" s="48">
        <f t="shared" ca="1" si="24"/>
        <v>-10000</v>
      </c>
      <c r="F411" s="49"/>
      <c r="G411" s="49"/>
      <c r="H411" s="50">
        <f t="shared" ca="1" si="27"/>
        <v>-10000</v>
      </c>
    </row>
    <row r="412" spans="2:8" x14ac:dyDescent="0.3">
      <c r="B412" s="46">
        <f t="shared" ca="1" si="25"/>
        <v>45668</v>
      </c>
      <c r="C412" s="48">
        <f t="shared" ca="1" si="26"/>
        <v>-10000</v>
      </c>
      <c r="D412" s="47"/>
      <c r="E412" s="48">
        <f t="shared" ca="1" si="24"/>
        <v>-10000</v>
      </c>
      <c r="F412" s="49"/>
      <c r="G412" s="49"/>
      <c r="H412" s="50">
        <f t="shared" ca="1" si="27"/>
        <v>-10000</v>
      </c>
    </row>
    <row r="413" spans="2:8" x14ac:dyDescent="0.3">
      <c r="B413" s="46">
        <f t="shared" ca="1" si="25"/>
        <v>45669</v>
      </c>
      <c r="C413" s="48">
        <f t="shared" ca="1" si="26"/>
        <v>-10000</v>
      </c>
      <c r="D413" s="47"/>
      <c r="E413" s="48">
        <f t="shared" ref="E413:E449" ca="1" si="28">IF(B413=0,0,H412)</f>
        <v>-10000</v>
      </c>
      <c r="F413" s="49"/>
      <c r="G413" s="49"/>
      <c r="H413" s="50">
        <f t="shared" ca="1" si="27"/>
        <v>-10000</v>
      </c>
    </row>
    <row r="414" spans="2:8" x14ac:dyDescent="0.3">
      <c r="B414" s="46">
        <f t="shared" ref="B414:B449" ca="1" si="29">IF(OR(B413+1&gt;TODAY(),B413=0),0,B413+1)</f>
        <v>45670</v>
      </c>
      <c r="C414" s="48">
        <f t="shared" ca="1" si="26"/>
        <v>-10000</v>
      </c>
      <c r="D414" s="47"/>
      <c r="E414" s="48">
        <f t="shared" ca="1" si="28"/>
        <v>-10000</v>
      </c>
      <c r="F414" s="49"/>
      <c r="G414" s="49"/>
      <c r="H414" s="50">
        <f t="shared" ca="1" si="27"/>
        <v>-10000</v>
      </c>
    </row>
    <row r="415" spans="2:8" x14ac:dyDescent="0.3">
      <c r="B415" s="46">
        <f t="shared" ca="1" si="29"/>
        <v>45671</v>
      </c>
      <c r="C415" s="48">
        <f t="shared" ca="1" si="26"/>
        <v>-10000</v>
      </c>
      <c r="D415" s="47"/>
      <c r="E415" s="48">
        <f t="shared" ca="1" si="28"/>
        <v>-10000</v>
      </c>
      <c r="F415" s="49"/>
      <c r="G415" s="49"/>
      <c r="H415" s="50">
        <f t="shared" ca="1" si="27"/>
        <v>-10000</v>
      </c>
    </row>
    <row r="416" spans="2:8" x14ac:dyDescent="0.3">
      <c r="B416" s="46">
        <f t="shared" ca="1" si="29"/>
        <v>45672</v>
      </c>
      <c r="C416" s="48">
        <f t="shared" ca="1" si="26"/>
        <v>-10000</v>
      </c>
      <c r="D416" s="47"/>
      <c r="E416" s="48">
        <f t="shared" ca="1" si="28"/>
        <v>-10000</v>
      </c>
      <c r="F416" s="49"/>
      <c r="G416" s="49"/>
      <c r="H416" s="50">
        <f t="shared" ca="1" si="27"/>
        <v>-10000</v>
      </c>
    </row>
    <row r="417" spans="2:8" x14ac:dyDescent="0.3">
      <c r="B417" s="46">
        <f t="shared" ca="1" si="29"/>
        <v>45673</v>
      </c>
      <c r="C417" s="48">
        <f t="shared" ca="1" si="26"/>
        <v>-10000</v>
      </c>
      <c r="D417" s="47"/>
      <c r="E417" s="48">
        <f t="shared" ca="1" si="28"/>
        <v>-10000</v>
      </c>
      <c r="F417" s="49"/>
      <c r="G417" s="49"/>
      <c r="H417" s="50">
        <f t="shared" ca="1" si="27"/>
        <v>-10000</v>
      </c>
    </row>
    <row r="418" spans="2:8" x14ac:dyDescent="0.3">
      <c r="B418" s="46">
        <f t="shared" ca="1" si="29"/>
        <v>45674</v>
      </c>
      <c r="C418" s="48">
        <f t="shared" ca="1" si="26"/>
        <v>-10000</v>
      </c>
      <c r="D418" s="47"/>
      <c r="E418" s="48">
        <f t="shared" ca="1" si="28"/>
        <v>-10000</v>
      </c>
      <c r="F418" s="49"/>
      <c r="G418" s="49"/>
      <c r="H418" s="50">
        <f t="shared" ca="1" si="27"/>
        <v>-10000</v>
      </c>
    </row>
    <row r="419" spans="2:8" x14ac:dyDescent="0.3">
      <c r="B419" s="46">
        <f t="shared" ca="1" si="29"/>
        <v>45675</v>
      </c>
      <c r="C419" s="48">
        <f t="shared" ca="1" si="26"/>
        <v>-10000</v>
      </c>
      <c r="D419" s="47"/>
      <c r="E419" s="48">
        <f t="shared" ca="1" si="28"/>
        <v>-10000</v>
      </c>
      <c r="F419" s="49"/>
      <c r="G419" s="49"/>
      <c r="H419" s="50">
        <f t="shared" ca="1" si="27"/>
        <v>-10000</v>
      </c>
    </row>
    <row r="420" spans="2:8" x14ac:dyDescent="0.3">
      <c r="B420" s="46">
        <f t="shared" ca="1" si="29"/>
        <v>45676</v>
      </c>
      <c r="C420" s="48">
        <f t="shared" ca="1" si="26"/>
        <v>-10000</v>
      </c>
      <c r="D420" s="47"/>
      <c r="E420" s="48">
        <f t="shared" ca="1" si="28"/>
        <v>-10000</v>
      </c>
      <c r="F420" s="49"/>
      <c r="G420" s="49"/>
      <c r="H420" s="50">
        <f t="shared" ca="1" si="27"/>
        <v>-10000</v>
      </c>
    </row>
    <row r="421" spans="2:8" x14ac:dyDescent="0.3">
      <c r="B421" s="46">
        <f t="shared" ca="1" si="29"/>
        <v>45677</v>
      </c>
      <c r="C421" s="48">
        <f t="shared" ca="1" si="26"/>
        <v>-10000</v>
      </c>
      <c r="D421" s="47"/>
      <c r="E421" s="48">
        <f t="shared" ca="1" si="28"/>
        <v>-10000</v>
      </c>
      <c r="F421" s="49"/>
      <c r="G421" s="49"/>
      <c r="H421" s="50">
        <f t="shared" ca="1" si="27"/>
        <v>-10000</v>
      </c>
    </row>
    <row r="422" spans="2:8" x14ac:dyDescent="0.3">
      <c r="B422" s="46">
        <f t="shared" ca="1" si="29"/>
        <v>45678</v>
      </c>
      <c r="C422" s="48">
        <f t="shared" ca="1" si="26"/>
        <v>-10000</v>
      </c>
      <c r="D422" s="47"/>
      <c r="E422" s="48">
        <f t="shared" ca="1" si="28"/>
        <v>-10000</v>
      </c>
      <c r="F422" s="49"/>
      <c r="G422" s="49"/>
      <c r="H422" s="50">
        <f t="shared" ca="1" si="27"/>
        <v>-10000</v>
      </c>
    </row>
    <row r="423" spans="2:8" x14ac:dyDescent="0.3">
      <c r="B423" s="46">
        <f t="shared" ca="1" si="29"/>
        <v>45679</v>
      </c>
      <c r="C423" s="48">
        <f t="shared" ca="1" si="26"/>
        <v>-10000</v>
      </c>
      <c r="D423" s="47"/>
      <c r="E423" s="48">
        <f t="shared" ca="1" si="28"/>
        <v>-10000</v>
      </c>
      <c r="F423" s="49"/>
      <c r="G423" s="49"/>
      <c r="H423" s="50">
        <f t="shared" ca="1" si="27"/>
        <v>-10000</v>
      </c>
    </row>
    <row r="424" spans="2:8" x14ac:dyDescent="0.3">
      <c r="B424" s="46">
        <f t="shared" ca="1" si="29"/>
        <v>45680</v>
      </c>
      <c r="C424" s="48">
        <f t="shared" ca="1" si="26"/>
        <v>-10000</v>
      </c>
      <c r="D424" s="47"/>
      <c r="E424" s="48">
        <f t="shared" ca="1" si="28"/>
        <v>-10000</v>
      </c>
      <c r="F424" s="49"/>
      <c r="G424" s="49"/>
      <c r="H424" s="50">
        <f t="shared" ca="1" si="27"/>
        <v>-10000</v>
      </c>
    </row>
    <row r="425" spans="2:8" x14ac:dyDescent="0.3">
      <c r="B425" s="46">
        <f t="shared" ca="1" si="29"/>
        <v>45681</v>
      </c>
      <c r="C425" s="48">
        <f t="shared" ca="1" si="26"/>
        <v>-10000</v>
      </c>
      <c r="D425" s="47"/>
      <c r="E425" s="48">
        <f t="shared" ca="1" si="28"/>
        <v>-10000</v>
      </c>
      <c r="F425" s="49"/>
      <c r="G425" s="49"/>
      <c r="H425" s="50">
        <f t="shared" ca="1" si="27"/>
        <v>-10000</v>
      </c>
    </row>
    <row r="426" spans="2:8" x14ac:dyDescent="0.3">
      <c r="B426" s="46">
        <f t="shared" ca="1" si="29"/>
        <v>45682</v>
      </c>
      <c r="C426" s="48">
        <f t="shared" ca="1" si="26"/>
        <v>-10000</v>
      </c>
      <c r="D426" s="47"/>
      <c r="E426" s="48">
        <f t="shared" ca="1" si="28"/>
        <v>-10000</v>
      </c>
      <c r="F426" s="49"/>
      <c r="G426" s="49"/>
      <c r="H426" s="50">
        <f t="shared" ca="1" si="27"/>
        <v>-10000</v>
      </c>
    </row>
    <row r="427" spans="2:8" x14ac:dyDescent="0.3">
      <c r="B427" s="46">
        <f t="shared" ca="1" si="29"/>
        <v>45683</v>
      </c>
      <c r="C427" s="48">
        <f t="shared" ca="1" si="26"/>
        <v>-10000</v>
      </c>
      <c r="D427" s="47"/>
      <c r="E427" s="48">
        <f t="shared" ca="1" si="28"/>
        <v>-10000</v>
      </c>
      <c r="F427" s="49"/>
      <c r="G427" s="49"/>
      <c r="H427" s="50">
        <f t="shared" ca="1" si="27"/>
        <v>-10000</v>
      </c>
    </row>
    <row r="428" spans="2:8" x14ac:dyDescent="0.3">
      <c r="B428" s="46">
        <f t="shared" ca="1" si="29"/>
        <v>45684</v>
      </c>
      <c r="C428" s="48">
        <f t="shared" ca="1" si="26"/>
        <v>-10000</v>
      </c>
      <c r="D428" s="47"/>
      <c r="E428" s="48">
        <f t="shared" ca="1" si="28"/>
        <v>-10000</v>
      </c>
      <c r="F428" s="49"/>
      <c r="G428" s="49"/>
      <c r="H428" s="50">
        <f t="shared" ca="1" si="27"/>
        <v>-10000</v>
      </c>
    </row>
    <row r="429" spans="2:8" x14ac:dyDescent="0.3">
      <c r="B429" s="46">
        <f t="shared" ca="1" si="29"/>
        <v>45685</v>
      </c>
      <c r="C429" s="48">
        <f t="shared" ca="1" si="26"/>
        <v>-10000</v>
      </c>
      <c r="D429" s="47"/>
      <c r="E429" s="48">
        <f t="shared" ca="1" si="28"/>
        <v>-10000</v>
      </c>
      <c r="F429" s="49"/>
      <c r="G429" s="49"/>
      <c r="H429" s="50">
        <f t="shared" ca="1" si="27"/>
        <v>-10000</v>
      </c>
    </row>
    <row r="430" spans="2:8" x14ac:dyDescent="0.3">
      <c r="B430" s="46">
        <f t="shared" ca="1" si="29"/>
        <v>45686</v>
      </c>
      <c r="C430" s="48">
        <f t="shared" ca="1" si="26"/>
        <v>-10000</v>
      </c>
      <c r="D430" s="47"/>
      <c r="E430" s="48">
        <f t="shared" ca="1" si="28"/>
        <v>-10000</v>
      </c>
      <c r="F430" s="49"/>
      <c r="G430" s="49"/>
      <c r="H430" s="50">
        <f t="shared" ca="1" si="27"/>
        <v>-10000</v>
      </c>
    </row>
    <row r="431" spans="2:8" x14ac:dyDescent="0.3">
      <c r="B431" s="46">
        <f t="shared" ca="1" si="29"/>
        <v>45687</v>
      </c>
      <c r="C431" s="48">
        <f t="shared" ca="1" si="26"/>
        <v>-10000</v>
      </c>
      <c r="D431" s="47"/>
      <c r="E431" s="48">
        <f t="shared" ca="1" si="28"/>
        <v>-10000</v>
      </c>
      <c r="F431" s="49"/>
      <c r="G431" s="49"/>
      <c r="H431" s="50">
        <f t="shared" ca="1" si="27"/>
        <v>-10000</v>
      </c>
    </row>
    <row r="432" spans="2:8" x14ac:dyDescent="0.3">
      <c r="B432" s="46">
        <f t="shared" ca="1" si="29"/>
        <v>45688</v>
      </c>
      <c r="C432" s="48">
        <f t="shared" ca="1" si="26"/>
        <v>-10000</v>
      </c>
      <c r="D432" s="47"/>
      <c r="E432" s="48">
        <f t="shared" ca="1" si="28"/>
        <v>-10000</v>
      </c>
      <c r="F432" s="49"/>
      <c r="G432" s="49"/>
      <c r="H432" s="50">
        <f t="shared" ca="1" si="27"/>
        <v>-10000</v>
      </c>
    </row>
    <row r="433" spans="2:8" x14ac:dyDescent="0.3">
      <c r="B433" s="46">
        <f t="shared" ca="1" si="29"/>
        <v>45689</v>
      </c>
      <c r="C433" s="48">
        <f t="shared" ca="1" si="26"/>
        <v>-10000</v>
      </c>
      <c r="D433" s="47"/>
      <c r="E433" s="48">
        <f t="shared" ca="1" si="28"/>
        <v>-10000</v>
      </c>
      <c r="F433" s="49"/>
      <c r="G433" s="49"/>
      <c r="H433" s="50">
        <f t="shared" ca="1" si="27"/>
        <v>-10000</v>
      </c>
    </row>
    <row r="434" spans="2:8" x14ac:dyDescent="0.3">
      <c r="B434" s="46">
        <f t="shared" ca="1" si="29"/>
        <v>45690</v>
      </c>
      <c r="C434" s="48">
        <f t="shared" ca="1" si="26"/>
        <v>-10000</v>
      </c>
      <c r="D434" s="47"/>
      <c r="E434" s="48">
        <f t="shared" ca="1" si="28"/>
        <v>-10000</v>
      </c>
      <c r="F434" s="49"/>
      <c r="G434" s="49"/>
      <c r="H434" s="50">
        <f t="shared" ca="1" si="27"/>
        <v>-10000</v>
      </c>
    </row>
    <row r="435" spans="2:8" x14ac:dyDescent="0.3">
      <c r="B435" s="46">
        <f t="shared" ca="1" si="29"/>
        <v>45691</v>
      </c>
      <c r="C435" s="48">
        <f t="shared" ca="1" si="26"/>
        <v>-10000</v>
      </c>
      <c r="D435" s="47"/>
      <c r="E435" s="48">
        <f t="shared" ca="1" si="28"/>
        <v>-10000</v>
      </c>
      <c r="F435" s="49"/>
      <c r="G435" s="49"/>
      <c r="H435" s="50">
        <f t="shared" ca="1" si="27"/>
        <v>-10000</v>
      </c>
    </row>
    <row r="436" spans="2:8" x14ac:dyDescent="0.3">
      <c r="B436" s="46">
        <f t="shared" ca="1" si="29"/>
        <v>45692</v>
      </c>
      <c r="C436" s="48">
        <f t="shared" ca="1" si="26"/>
        <v>-10000</v>
      </c>
      <c r="D436" s="47"/>
      <c r="E436" s="48">
        <f t="shared" ca="1" si="28"/>
        <v>-10000</v>
      </c>
      <c r="F436" s="49"/>
      <c r="G436" s="49"/>
      <c r="H436" s="50">
        <f t="shared" ca="1" si="27"/>
        <v>-10000</v>
      </c>
    </row>
    <row r="437" spans="2:8" x14ac:dyDescent="0.3">
      <c r="B437" s="46">
        <f t="shared" ca="1" si="29"/>
        <v>45693</v>
      </c>
      <c r="C437" s="48">
        <f t="shared" ca="1" si="26"/>
        <v>-10000</v>
      </c>
      <c r="D437" s="47"/>
      <c r="E437" s="48">
        <f t="shared" ca="1" si="28"/>
        <v>-10000</v>
      </c>
      <c r="F437" s="49"/>
      <c r="G437" s="49"/>
      <c r="H437" s="50">
        <f t="shared" ca="1" si="27"/>
        <v>-10000</v>
      </c>
    </row>
    <row r="438" spans="2:8" x14ac:dyDescent="0.3">
      <c r="B438" s="46">
        <f t="shared" ca="1" si="29"/>
        <v>45694</v>
      </c>
      <c r="C438" s="48">
        <f t="shared" ca="1" si="26"/>
        <v>-10000</v>
      </c>
      <c r="D438" s="47"/>
      <c r="E438" s="48">
        <f t="shared" ca="1" si="28"/>
        <v>-10000</v>
      </c>
      <c r="F438" s="49"/>
      <c r="G438" s="49"/>
      <c r="H438" s="50">
        <f t="shared" ca="1" si="27"/>
        <v>-10000</v>
      </c>
    </row>
    <row r="439" spans="2:8" x14ac:dyDescent="0.3">
      <c r="B439" s="46">
        <f t="shared" ca="1" si="29"/>
        <v>45695</v>
      </c>
      <c r="C439" s="48">
        <f t="shared" ca="1" si="26"/>
        <v>-10000</v>
      </c>
      <c r="D439" s="47"/>
      <c r="E439" s="48">
        <f t="shared" ca="1" si="28"/>
        <v>-10000</v>
      </c>
      <c r="F439" s="49"/>
      <c r="G439" s="49"/>
      <c r="H439" s="50">
        <f t="shared" ca="1" si="27"/>
        <v>-10000</v>
      </c>
    </row>
    <row r="440" spans="2:8" x14ac:dyDescent="0.3">
      <c r="B440" s="46">
        <f t="shared" ca="1" si="29"/>
        <v>45696</v>
      </c>
      <c r="C440" s="48">
        <f t="shared" ca="1" si="26"/>
        <v>-10000</v>
      </c>
      <c r="D440" s="47"/>
      <c r="E440" s="48">
        <f t="shared" ca="1" si="28"/>
        <v>-10000</v>
      </c>
      <c r="F440" s="49"/>
      <c r="G440" s="49"/>
      <c r="H440" s="50">
        <f t="shared" ca="1" si="27"/>
        <v>-10000</v>
      </c>
    </row>
    <row r="441" spans="2:8" x14ac:dyDescent="0.3">
      <c r="B441" s="46">
        <f t="shared" ca="1" si="29"/>
        <v>45697</v>
      </c>
      <c r="C441" s="48">
        <f t="shared" ca="1" si="26"/>
        <v>-10000</v>
      </c>
      <c r="D441" s="47"/>
      <c r="E441" s="48">
        <f t="shared" ca="1" si="28"/>
        <v>-10000</v>
      </c>
      <c r="F441" s="49"/>
      <c r="G441" s="49"/>
      <c r="H441" s="50">
        <f t="shared" ca="1" si="27"/>
        <v>-10000</v>
      </c>
    </row>
    <row r="442" spans="2:8" x14ac:dyDescent="0.3">
      <c r="B442" s="46">
        <f t="shared" ca="1" si="29"/>
        <v>45698</v>
      </c>
      <c r="C442" s="48">
        <f t="shared" ca="1" si="26"/>
        <v>-10000</v>
      </c>
      <c r="D442" s="47"/>
      <c r="E442" s="48">
        <f t="shared" ca="1" si="28"/>
        <v>-10000</v>
      </c>
      <c r="F442" s="49"/>
      <c r="G442" s="49"/>
      <c r="H442" s="50">
        <f t="shared" ca="1" si="27"/>
        <v>-10000</v>
      </c>
    </row>
    <row r="443" spans="2:8" x14ac:dyDescent="0.3">
      <c r="B443" s="46">
        <f t="shared" ca="1" si="29"/>
        <v>45699</v>
      </c>
      <c r="C443" s="48">
        <f t="shared" ca="1" si="26"/>
        <v>-10000</v>
      </c>
      <c r="D443" s="47"/>
      <c r="E443" s="48">
        <f t="shared" ca="1" si="28"/>
        <v>-10000</v>
      </c>
      <c r="F443" s="49"/>
      <c r="G443" s="49"/>
      <c r="H443" s="50">
        <f t="shared" ca="1" si="27"/>
        <v>-10000</v>
      </c>
    </row>
    <row r="444" spans="2:8" x14ac:dyDescent="0.3">
      <c r="B444" s="46">
        <f t="shared" ca="1" si="29"/>
        <v>45700</v>
      </c>
      <c r="C444" s="48">
        <f t="shared" ca="1" si="26"/>
        <v>-10000</v>
      </c>
      <c r="D444" s="47"/>
      <c r="E444" s="48">
        <f t="shared" ca="1" si="28"/>
        <v>-10000</v>
      </c>
      <c r="F444" s="49"/>
      <c r="G444" s="49"/>
      <c r="H444" s="50">
        <f t="shared" ca="1" si="27"/>
        <v>-10000</v>
      </c>
    </row>
    <row r="445" spans="2:8" x14ac:dyDescent="0.3">
      <c r="B445" s="46">
        <f t="shared" ca="1" si="29"/>
        <v>45701</v>
      </c>
      <c r="C445" s="48">
        <f t="shared" ca="1" si="26"/>
        <v>-10000</v>
      </c>
      <c r="D445" s="47"/>
      <c r="E445" s="48">
        <f t="shared" ca="1" si="28"/>
        <v>-10000</v>
      </c>
      <c r="F445" s="49"/>
      <c r="G445" s="49"/>
      <c r="H445" s="50">
        <f t="shared" ca="1" si="27"/>
        <v>-10000</v>
      </c>
    </row>
    <row r="446" spans="2:8" x14ac:dyDescent="0.3">
      <c r="B446" s="46">
        <f t="shared" ca="1" si="29"/>
        <v>45702</v>
      </c>
      <c r="C446" s="48">
        <f t="shared" ca="1" si="26"/>
        <v>-10000</v>
      </c>
      <c r="D446" s="47"/>
      <c r="E446" s="48">
        <f t="shared" ca="1" si="28"/>
        <v>-10000</v>
      </c>
      <c r="F446" s="49"/>
      <c r="G446" s="49"/>
      <c r="H446" s="50">
        <f t="shared" ca="1" si="27"/>
        <v>-10000</v>
      </c>
    </row>
    <row r="447" spans="2:8" x14ac:dyDescent="0.3">
      <c r="B447" s="46">
        <f t="shared" ca="1" si="29"/>
        <v>45703</v>
      </c>
      <c r="C447" s="48">
        <f t="shared" ca="1" si="26"/>
        <v>-10000</v>
      </c>
      <c r="D447" s="47"/>
      <c r="E447" s="48">
        <f t="shared" ca="1" si="28"/>
        <v>-10000</v>
      </c>
      <c r="F447" s="49"/>
      <c r="G447" s="49"/>
      <c r="H447" s="50">
        <f t="shared" ca="1" si="27"/>
        <v>-10000</v>
      </c>
    </row>
    <row r="448" spans="2:8" x14ac:dyDescent="0.3">
      <c r="B448" s="46">
        <f t="shared" ca="1" si="29"/>
        <v>45704</v>
      </c>
      <c r="C448" s="48">
        <f t="shared" ca="1" si="26"/>
        <v>-10000</v>
      </c>
      <c r="D448" s="47"/>
      <c r="E448" s="48">
        <f t="shared" ca="1" si="28"/>
        <v>-10000</v>
      </c>
      <c r="F448" s="49"/>
      <c r="G448" s="49"/>
      <c r="H448" s="50">
        <f t="shared" ca="1" si="27"/>
        <v>-10000</v>
      </c>
    </row>
    <row r="449" spans="2:8" x14ac:dyDescent="0.3">
      <c r="B449" s="46">
        <f t="shared" ca="1" si="29"/>
        <v>45705</v>
      </c>
      <c r="C449" s="48">
        <f t="shared" ca="1" si="26"/>
        <v>-10000</v>
      </c>
      <c r="D449" s="47"/>
      <c r="E449" s="48">
        <f t="shared" ca="1" si="28"/>
        <v>-10000</v>
      </c>
      <c r="F449" s="49"/>
      <c r="G449" s="49"/>
      <c r="H449" s="50">
        <f t="shared" ca="1" si="27"/>
        <v>-10000</v>
      </c>
    </row>
  </sheetData>
  <autoFilter ref="B4:H4" xr:uid="{00000000-0009-0000-0000-000001000000}"/>
  <mergeCells count="1">
    <mergeCell ref="B2:H2"/>
  </mergeCells>
  <conditionalFormatting sqref="H5:H449">
    <cfRule type="cellIs" dxfId="0" priority="1" operator="greaterThan">
      <formula>1000000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Отчет</vt:lpstr>
      <vt:lpstr>Топливо_200К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MCH</dc:creator>
  <cp:lastModifiedBy>o.zaiets</cp:lastModifiedBy>
  <cp:lastPrinted>2024-01-19T15:35:58Z</cp:lastPrinted>
  <dcterms:created xsi:type="dcterms:W3CDTF">2023-12-18T13:39:08Z</dcterms:created>
  <dcterms:modified xsi:type="dcterms:W3CDTF">2025-07-04T12:47:19Z</dcterms:modified>
</cp:coreProperties>
</file>
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.antonov\Desktop\"/>
    </mc:Choice>
  </mc:AlternateContent>
  <xr:revisionPtr revIDLastSave="0" documentId="13_ncr:1_{48494680-EF52-445E-8CC5-A39047581635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Sheet1!$A$9:$M$66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23" i="2" l="1"/>
  <c r="D123" i="2"/>
  <c r="D122" i="2"/>
  <c r="D121" i="2"/>
  <c r="D120" i="2"/>
  <c r="D119" i="2"/>
  <c r="F79" i="1"/>
  <c r="F78" i="1"/>
  <c r="F77" i="1"/>
  <c r="F76" i="1"/>
  <c r="F75" i="1"/>
  <c r="D110" i="2"/>
  <c r="D109" i="2"/>
  <c r="D108" i="2"/>
  <c r="D107" i="2"/>
  <c r="D106" i="2"/>
</calcChain>
</file>

<file path=xl/sharedStrings.xml><?xml version="1.0" encoding="utf-8"?>
<sst xmlns="http://schemas.openxmlformats.org/spreadsheetml/2006/main" count="1189" uniqueCount="182">
  <si>
    <t>ТОВ "ІНДЕПТ СТІЛ"</t>
  </si>
  <si>
    <t>Картка рахунку 231 за Вересень 2025 р.</t>
  </si>
  <si>
    <t>Виведені дані:</t>
  </si>
  <si>
    <t>БО (дані бухгалтерського обліку)</t>
  </si>
  <si>
    <t>Відбір:</t>
  </si>
  <si>
    <t>Статті витрат Дорівнює "Прямі материальні виробничі витрати крім зворотніх відходів" и Підрозділи Дорівнює "Виробничий (Цех металоконструкцій)" и Номенклатурні групи Дорівнює "Цех металоконструкцій"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</si>
  <si>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</si>
  <si>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</si>
  <si>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</si>
  <si>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</si>
  <si>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</si>
  <si>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</si>
  <si>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</si>
  <si>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</si>
  <si>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</si>
  <si>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01.09.2025</t>
  </si>
  <si>
    <t>Списання товарів СТ00-000102 від 01.09.2025 14:32:40
Списаны ТМЦ</t>
  </si>
  <si>
    <t>Обл. НДС
Виробничий (Цех металоконструкцій)
Цех металоконструкцій
Прямі материальні виробничі витрати крім зворотніх відходів</t>
  </si>
  <si>
    <t>Обл. НДС
Грунт ГФ-021 червоно-коричневий
Надходження товарів і послуг СТ00-001631 від 17.07.2025 17:56:36
СТІЛ Глобино</t>
  </si>
  <si>
    <t>231</t>
  </si>
  <si>
    <t>201</t>
  </si>
  <si>
    <t xml:space="preserve"> </t>
  </si>
  <si>
    <t>Обл. НДС
Розчинник "White Spirit"
Надходження товарів і послуг СТ00-001631 від 17.07.2025 17:56:36
СТІЛ Глобино</t>
  </si>
  <si>
    <t>Списання товарів СТ00-000103 від 01.09.2025 15:58:24
Списаны ТМЦ</t>
  </si>
  <si>
    <t>Обл. НДС
Швелер 20П міра 12,00 м 
Надходження товарів і послуг СТ00-000797 від 25.04.2025 19:45:25
СТІЛ МХП виробничій</t>
  </si>
  <si>
    <t>Обл. НДС
Грунт ГФ-021 червоно-коричневий
Надходження товарів і послуг СТ00-000678 від 11.04.2025 20:51:42
СТІЛ МХП виробничій</t>
  </si>
  <si>
    <t>Обл. НДС
Розчинник "White Spirit"
Надходження товарів і послуг СТ00-000754 від 22.04.2025 18:28:15
СТІЛ МХП виробничій</t>
  </si>
  <si>
    <t>Обл. НДС
Брус 100х100х6000
Надходження товарів і послуг СТ00-000847 від 01.05.2025 19:24:35
СТІЛ МХП виробничій</t>
  </si>
  <si>
    <t>05.09.2025</t>
  </si>
  <si>
    <t>Списання товарів СТ00-000105 від 05.09.2025 08:00:00
Списаны ТМЦ</t>
  </si>
  <si>
    <t>Обл. НДС
Грунт ГФ-021 червоно-коричневий
Надходження товарів і послуг СТ00-000709 від 14.04.2025 18:04:14
СТІЛ МХП виробничій</t>
  </si>
  <si>
    <t>Обл. НДС
Брус 100х100х4
Переміщення товарів СТ00-000111 від 04.09.2025 13:00:00
СТІЛ МХП виробничій</t>
  </si>
  <si>
    <t>Обл. НДС
Рейка 50*50*4000 обріз
Переміщення товарів СТ00-000111 від 04.09.2025 13:00:00
СТІЛ МХП виробничій</t>
  </si>
  <si>
    <t>Списання товарів СТ00-000106 від 05.09.2025 13:00:00
Списаны ТМЦ</t>
  </si>
  <si>
    <t>Обл. НДС
Грунт ГФ-021 червоно-коричневий
Надходження товарів і послуг СТ00-000486 від 18.03.2025 23:12:30
СТІЛ Глобино виробничий</t>
  </si>
  <si>
    <t>Обл. НДС
Розчинник "White Spirit"
Надходження товарів і послуг СТ00-000486 від 18.03.2025 23:12:30
СТІЛ Глобино виробничий</t>
  </si>
  <si>
    <t>Списання товарів СТ00-000107 від 05.09.2025 16:00:00
Списаны ТМЦ</t>
  </si>
  <si>
    <t>Обл. НДС
Грунт ГФ-021 червоно-коричневий
Переміщення товарів СТ00-000112 від 04.09.2025 10:00:00
СТІЛ Глобино виробничий</t>
  </si>
  <si>
    <t>Обл. НДС
Розчинник "White Spirit"
Переміщення товарів СТ00-000112 від 04.09.2025 10:00:00
СТІЛ Глобино виробничий</t>
  </si>
  <si>
    <t>10.09.2025</t>
  </si>
  <si>
    <t>Списання товарів СТ00-000113 від 10.09.2025 18:00:15
Списаны ТМЦ</t>
  </si>
  <si>
    <t>Обл. НДС
Грунт ГФ-021 червоно-коричневий
Переміщення товарів СТ00-000111 від 04.09.2025 13:00:00
СТІЛ МХП виробничій</t>
  </si>
  <si>
    <t>Обл. НДС
Грунт ГФ-021 червоно-коричневий
Переміщення товарів СТ00-000118 від 09.09.2025 12:05:00
СТІЛ МХП виробничій</t>
  </si>
  <si>
    <t>Обл. НДС
Розчинник "White Spirit"
Переміщення товарів СТ00-000111 від 04.09.2025 13:00:00
СТІЛ МХП виробничій</t>
  </si>
  <si>
    <t>Обл. НДС
Розчинник "White Spirit"
Переміщення товарів СТ00-000118 від 09.09.2025 12:05:00
СТІЛ МХП виробничій</t>
  </si>
  <si>
    <t>Обл. НДС
Брус 100х100х4
Переміщення товарів СТ00-000118 від 09.09.2025 12:05:00
СТІЛ МХП виробничій</t>
  </si>
  <si>
    <t>Обл. НДС
Рейка 50*50*4000 обріз
Переміщення товарів СТ00-000118 від 09.09.2025 12:05:00
СТІЛ МХП виробничій</t>
  </si>
  <si>
    <t>12.09.2025</t>
  </si>
  <si>
    <t>Списання товарів СТ00-000124 від 12.09.2025 23:00:46
Списаны ТМЦ</t>
  </si>
  <si>
    <t>Обл. НДС
Грунт ГФ-021 червоно-коричневий
Надходження товарів і послуг СТ00-000709 від 14.04.2025 18:04:14
СТІЛ МХП</t>
  </si>
  <si>
    <t>Обл. НДС
Розчинник "White Spirit"
Надходження товарів і послуг СТ00-000754 від 22.04.2025 18:28:15
СТІЛ МХП</t>
  </si>
  <si>
    <t>15.09.2025</t>
  </si>
  <si>
    <t>Списання товарів СТ00-000114 від 15.09.2025 00:00:00
Списаны ТМЦ</t>
  </si>
  <si>
    <t>19.09.2025</t>
  </si>
  <si>
    <t>Списання товарів СТ00-000115 від 19.09.2025 12:40:45
Списаны ТМЦ</t>
  </si>
  <si>
    <t>Обл. НДС
Грунт ГФ-021 червоно-коричневий
Переміщення товарів СТ00-000124 від 18.09.2025 08:00:00
СТІЛ МХП виробничій</t>
  </si>
  <si>
    <t>Обл. НДС
Розчинник "White Spirit"
Переміщення товарів СТ00-000124 від 18.09.2025 08:00:00
СТІЛ МХП виробничій</t>
  </si>
  <si>
    <t>22.09.2025</t>
  </si>
  <si>
    <t>Списання товарів СТ00-000116 від 22.09.2025 20:26:05
Списаны ТМЦ</t>
  </si>
  <si>
    <t>30.09.2025</t>
  </si>
  <si>
    <t>Передача малоцінних активів в експлуатацію СТ00-000104 від 30.09.2025 23:59:59
Списание стоимости малоценных активов</t>
  </si>
  <si>
    <t>Обл. НДС
Жилет сигнальний салат.
Надходження товарів і послуг СТ00-001450 від 25.06.2025 23:12:56
СТІЛ Основной склад</t>
  </si>
  <si>
    <t>221</t>
  </si>
  <si>
    <t>Обл. НДС
Жилет сигнальний салат.
Надходження товарів і послуг СТ00-002051 від 28.08.2025 18:12:21
СТІЛ Основной склад</t>
  </si>
  <si>
    <t>Обл. НДС
Каска захисна будівельно-монтажна помаранчева Універсал Тип Б Артекс
Надходження товарів і послуг СТ00-001010 від 01.05.2025 23:31:43
СТІЛ Основной склад</t>
  </si>
  <si>
    <t>Обл. НДС
Костюм "Віват" з шевроном
Надходження товарів і послуг СТ00-001010 від 01.05.2025 23:31:43
СТІЛ Основной склад</t>
  </si>
  <si>
    <t>Обл. НДС
Костюм утеплений "Статус" (т.сірий+чорний) р. 96-100/182-188
Надходження товарів і послуг СТ00-001672 від 30.10.2024 21:00:01
СТІЛ Основной склад</t>
  </si>
  <si>
    <t>Обл. НДС
Костюм утеплений "Статус" (т.сірий+чорний) р. 96-100/182-188
Надходження товарів і послуг СТ00-001673 від 30.10.2024 21:00:02
СТІЛ Основной склад</t>
  </si>
  <si>
    <t>Обл. НДС
Кросівки
Надходження товарів і послуг СТ00-001079 від 09.09.2024 17:27:08
СТІЛ Основной склад</t>
  </si>
  <si>
    <t>Обл. НДС
Кросівки
Надходження товарів і послуг СТ00-001080 від 09.09.2024 17:27:09
СТІЛ Основной склад</t>
  </si>
  <si>
    <t>Обл. НДС
Кросівки
Надходження товарів і послуг СТ00-001170 від 16.09.2024 18:03:30
СТІЛ Основной склад</t>
  </si>
  <si>
    <t>Обл. НДС
Маска зварювальника W 411
Надходження товарів і послуг СТ00-000852 від 01.05.2025 19:24:41
СТІЛ Основной склад</t>
  </si>
  <si>
    <t>Обл. НДС
Маска зварювальника W 411
Надходження товарів і послуг СТ00-001315 від 12.06.2025 23:25:35
СТІЛ Основной склад</t>
  </si>
  <si>
    <t>Обл. НДС
Маска зварювальника W 411
Надходження товарів і послуг СТ00-002125 від 10.09.2025 17:59:36
СТІЛ Основной склад</t>
  </si>
  <si>
    <t>Обл. НДС
Маска-хамелеон зварювальна FORTE МС-3500
Надходження товарів і послуг СТ00-001616 від 01.11.2024 19:55:36
СТІЛ Основной склад</t>
  </si>
  <si>
    <t>Обл. НДС
Маска-хамелеон зварювальна FORTE МС-3500
Надходження товарів і послуг СТ00-002125 від 10.09.2025 17:59:36
СТІЛ Основной склад</t>
  </si>
  <si>
    <t>Обл. НДС
Навушники шумознижуючі
Надходження товарів і послуг СТ00-000194 від 04.02.2025 17:50:03
СТІЛ Основной склад</t>
  </si>
  <si>
    <t>Обл. НДС
Плащ від дощу
Надходження товарів і послуг СТ00-000579 від 03.04.2025 17:41:11
СТІЛ Основной склад</t>
  </si>
  <si>
    <t>Обл. НДС
Плащ від дощу
Надходження товарів і послуг СТ00-001158 від 28.05.2025 18:18:44
СТІЛ Основной склад</t>
  </si>
  <si>
    <t>Списання товарів СТ00-000117 від 30.09.2025 23:59:59
Списаны ТМЦ</t>
  </si>
  <si>
    <t>Списання товарів СТ00-000118 від 30.09.2025 23:59:59
Списаны ТМЦ</t>
  </si>
  <si>
    <t>Обороти за період та сальдо на кінець</t>
  </si>
  <si>
    <t>глобино</t>
  </si>
  <si>
    <t>охорона праці</t>
  </si>
  <si>
    <t>МХП Катеринополь</t>
  </si>
  <si>
    <t>Статті витрат Дорівнює "Амортизація ОЗ загальновиробничого призначення" и Підрозділи Дорівнює "Виробничий (Глобине-2)"</t>
  </si>
  <si>
    <t>04.09.2025</t>
  </si>
  <si>
    <t>Передача малоцінних активів в експлуатацію СТ00-000087 від 04.09.2025 00:00:00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</si>
  <si>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</si>
  <si>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Обл. НДС
Диск відрізний для сталі 125х1,0х22,23 
Надходження товарів і послуг СТ00-001948 від 18.08.2025 19:20:11
СТІЛ Глобино виробничий</t>
  </si>
  <si>
    <t>Обл. НДС
Диск пелюстковий 125*22,23 G60
Надходження товарів і послуг СТ00-001948 від 18.08.2025 19:20:11
СТІЛ Глобино виробничий</t>
  </si>
  <si>
    <t>Обл. НДС
Диск по металу 350х3,0х25,4
Надходження товарів і послуг СТ00-001363 від 17.06.2025 21:58:39
СТІЛ Глобино виробничий</t>
  </si>
  <si>
    <t>Обл. НДС
Дріт 1,2 мм
Надходження товарів і послуг СТ00-000707 від 11.04.2025 00:00:00
СТІЛ Глобино виробничий</t>
  </si>
  <si>
    <t>Обл. НДС
Дріт S2  4,0 мм К 415
Надходження товарів і послуг СТ00-000322 від 26.02.2025 18:00:13
СТІЛ Глобино виробничий</t>
  </si>
  <si>
    <t>Обл. НДС
Електрод  65/85/105А
Надходження товарів і послуг СТ00-000500 від 21.03.2025 19:26:01
СТІЛ Глобино виробничий</t>
  </si>
  <si>
    <t>Обл. НДС
Електрод  65/85/105А
Надходження товарів і послуг СТ00-000369 від 04.03.2025 17:40:14
СТІЛ Глобино виробничий</t>
  </si>
  <si>
    <t>Обл. НДС
Електроди Моноліт РЦ ф 3мм Уп/2.5кг (Тубус)
Надходження товарів і послуг СТ00-001139 від 22.05.2025 18:57:00
СТІЛ Глобино виробничий</t>
  </si>
  <si>
    <t>Обл. НДС
Електроди Моноліт РЦ ф 3мм Уп/2.5кг (Тубус)
Надходження товарів і послуг СТ00-001358 від 17.06.2025 21:58:29
СТІЛ Глобино виробничий</t>
  </si>
  <si>
    <t>Обл. НДС
Катод-електрод 65/85/105А
Надходження товарів і послуг СТ00-000256 від 13.02.2025 18:04:56
СТІЛ Глобино виробничий</t>
  </si>
  <si>
    <t>Обл. НДС
Кисень газ технічний бал 40л/6,4 м3
Надходження товарів і послуг СТ00-001076 від 22.05.2025 11:11:53
СТІЛ Глобино виробничий</t>
  </si>
  <si>
    <t>Обл. НДС
Краги
Надходження товарів і послуг СТ00-001073 від 20.05.2025 17:55:20
СТІЛ Глобино виробничий</t>
  </si>
  <si>
    <t>Обл. НДС
Круг відрізний по металу 125х1.6х22.2 мм прямий по металу
Надходження товарів і послуг СТ00-001650 від 18.07.2025 18:06:32
СТІЛ Глобино виробничий</t>
  </si>
  <si>
    <t>Обл. НДС
Круг відрізний по металу 150*1,0*22,23
Надходження товарів і послуг СТ00-001778 від 29.07.2025 21:26:12
СТІЛ Глобино виробничий</t>
  </si>
  <si>
    <t>Обл. НДС
Круг відрізний по металу 230*2,0*22,23
Надходження товарів і послуг СТ00-001948 від 18.08.2025 19:20:11
СТІЛ Глобино виробничий</t>
  </si>
  <si>
    <t>Обл. НДС
Круг відрізний по металу 400*4,0*32
Надходження товарів і послуг СТ00-000852 від 01.05.2025 19:24:41
СТІЛ Глобино виробничий</t>
  </si>
  <si>
    <t>Обл. НДС
Міксер насадка
Надходження товарів і послуг СТ00-000114 від 16.01.2025 17:55:13
СТІЛ Глобино виробничий</t>
  </si>
  <si>
    <t>Обл. НДС
Рукавиці "Краги"зварювальні жовті
Надходження товарів і послуг СТ00-001374 від 17.06.2025 21:58:56
СТІЛ Глобино виробничий</t>
  </si>
  <si>
    <t>Обл. НДС
Суміш зварювальна МІКС-1 бал.40л.
Надходження товарів і послуг СТ00-000807 від 30.04.2025 10:48:09
СТІЛ Глобино виробничий</t>
  </si>
  <si>
    <t>Обл. НДС
Суміш зварювальна МІКС-1 бал.40л.
Надходження товарів і послуг СТ00-000893 від 07.05.2025 12:40:47
СТІЛ Глобино виробничий</t>
  </si>
  <si>
    <t>Обл. НДС
Суміш зварювальна МІКС-1 бал.40л.
Надходження товарів і послуг СТ00-001151 від 29.05.2025 11:39:58
СТІЛ Глобино виробничий</t>
  </si>
  <si>
    <t>Обл. НДС
Тримач електродів для зварки 
Надходження товарів і послуг СТ00-001650 від 18.07.2025 18:06:32
СТІЛ Глобино виробничий</t>
  </si>
  <si>
    <t>Обл. НДС
Щітка чашкова 85мм для УШМ, М14 плетен дріт
Надходження товарів і послуг СТ00-000675 від 14.04.2025 18:03:55
СТІЛ Глобино виробничий</t>
  </si>
  <si>
    <t>Передача малоцінних активів в експлуатацію СТ00-000094 від 10.09.2025 11:00:00
Списание стоимости малоценных активов</t>
  </si>
  <si>
    <t>Обл. НДС
Диск відрізний по металу 355
Переміщення товарів СТ00-000113 від 04.09.2025 11:00:00
СТІЛ Глобино виробничий</t>
  </si>
  <si>
    <t>Обл. НДС
Диск відрізний по металу 355
Переміщення товарів СТ00-000116 від 04.09.2025 15:00:00
СТІЛ Глобино виробничий</t>
  </si>
  <si>
    <t>Обл. НДС
Диск зачисний по металу 125х6,0х22,23
Переміщення товарів СТ00-000113 від 04.09.2025 11:00:00
СТІЛ Глобино виробничий</t>
  </si>
  <si>
    <t>Обл. НДС
Диск зачисний по металу 125х6,0х22,23
Переміщення товарів СТ00-000116 від 04.09.2025 15:00:00
СТІЛ Глобино виробничий</t>
  </si>
  <si>
    <t>Обл. НДС
Диск пелюстковий 125*22,23 G60
Переміщення товарів СТ00-000113 від 04.09.2025 11:00:00
СТІЛ Глобино виробничий</t>
  </si>
  <si>
    <t>Обл. НДС
Диск пелюстковий 125*22,23 G60
Переміщення товарів СТ00-000116 від 04.09.2025 15:00:00
СТІЛ Глобино виробничий</t>
  </si>
  <si>
    <t>Обл. НДС
Диск по металу 350х3,0х25,4
Переміщення товарів СТ00-000116 від 04.09.2025 15:00:00
СТІЛ Глобино виробничий</t>
  </si>
  <si>
    <t>Обл. НДС
Дріт 1,2 мм
Переміщення товарів СТ00-000113 від 04.09.2025 11:00:00
СТІЛ Глобино виробничий</t>
  </si>
  <si>
    <t>Обл. НДС
Дріт 1,2 мм
Переміщення товарів СТ00-000116 від 04.09.2025 15:00:00
СТІЛ Глобино виробничий</t>
  </si>
  <si>
    <t>Обл. НДС
Дріт S2  4,0 мм К 415
Переміщення товарів СТ00-000113 від 04.09.2025 11:00:00
СТІЛ Глобино виробничий</t>
  </si>
  <si>
    <t>Обл. НДС
Дріт S2  4,0 мм К 415
Переміщення товарів СТ00-000116 від 04.09.2025 15:00:00
СТІЛ Глобино виробничий</t>
  </si>
  <si>
    <t>Обл. НДС
Електрод  65/85/105А
Переміщення товарів СТ00-000113 від 04.09.2025 11:00:00
СТІЛ Глобино виробничий</t>
  </si>
  <si>
    <t>Обл. НДС
Електрод  65/85/105А
Переміщення товарів СТ00-000116 від 04.09.2025 15:00:00
СТІЛ Глобино виробничий</t>
  </si>
  <si>
    <t>Обл. НДС
Електроди Моноліт РЦ ф 3мм Уп/2.5кг (Тубус)
Переміщення товарів СТ00-000113 від 04.09.2025 11:00:00
СТІЛ Глобино виробничий</t>
  </si>
  <si>
    <t>Обл. НДС
Електроди Моноліт РЦ ф 3мм Уп/2.5кг (Тубус)
Переміщення товарів СТ00-000116 від 04.09.2025 15:00:00
СТІЛ Глобино виробничий</t>
  </si>
  <si>
    <t>Обл. НДС
Круг алмазний відрізний 1A1RSS/C3-W 350х3,2/2,2*25,4 R160 Meteor Н15
Переміщення товарів СТ00-000116 від 04.09.2025 15:00:00
СТІЛ Глобино виробничий</t>
  </si>
  <si>
    <t>Обл. НДС
Круг відрізний по металу 125х1.6х22.2 мм прямий по металу
Переміщення товарів СТ00-000113 від 04.09.2025 11:00:00
СТІЛ Глобино виробничий</t>
  </si>
  <si>
    <t>Обл. НДС
Круг відрізний по металу 150*1,0*22,23
Переміщення товарів СТ00-000113 від 04.09.2025 11:00:00
СТІЛ Глобино виробничий</t>
  </si>
  <si>
    <t>Обл. НДС
Круг відрізний по металу 230*2,0*22,23
Переміщення товарів СТ00-000113 від 04.09.2025 11:00:00
СТІЛ Глобино виробничий</t>
  </si>
  <si>
    <t>Обл. НДС
Круг відрізний по металу 230*2,0*22,23
Переміщення товарів СТ00-000116 від 04.09.2025 15:00:00
СТІЛ Глобино виробничий</t>
  </si>
  <si>
    <t>Обл. НДС
Рукавиці , пар
Переміщення товарів СТ00-000113 від 04.09.2025 11:00:00
СТІЛ Глобино виробничий</t>
  </si>
  <si>
    <t>Обл. НДС
Рукавиці , пар
Переміщення товарів СТ00-000116 від 04.09.2025 15:00:00
СТІЛ Глобино виробничий</t>
  </si>
  <si>
    <t>Обл. НДС
Рукавиці "Краги"зварювальні жовті
Переміщення товарів СТ00-000113 від 04.09.2025 11:00:00
СТІЛ Глобино виробничий</t>
  </si>
  <si>
    <t>Обл. НДС
Рукавиці "Краги"зварювальні жовті
Переміщення товарів СТ00-000114 від 04.09.2025 12:00:00
СТІЛ Глобино виробничий</t>
  </si>
  <si>
    <t>Обл. НДС
Рукавиці "Краги"зварювальні жовті
Переміщення товарів СТ00-000116 від 04.09.2025 15:00:00
СТІЛ Глобино виробничий</t>
  </si>
  <si>
    <t>Обл. НДС
Суміш зварювальна МІХ-1 (бал.40л)
Переміщення товарів СТ00-000113 від 04.09.2025 11:00:00
СТІЛ Глобино виробничий</t>
  </si>
  <si>
    <t>Обл. НДС
Суміш зварювальна МІХ-1 (бал.40л)
Переміщення товарів СТ00-000116 від 04.09.2025 15:00:00
СТІЛ Глобино виробничий</t>
  </si>
  <si>
    <t>Передача малоцінних активів в експлуатацію СТ00-000098 від 15.09.2025 00:00:00
Списание стоимости малоценных активов</t>
  </si>
  <si>
    <t>Обл. НДС
Диск відрізний для сталі 125х1,0х22,23 
Надходження товарів і послуг СТ00-001948 від 18.08.2025 19:20:11
СТІЛ Основной склад</t>
  </si>
  <si>
    <t>Обл. НДС
Диск відрізний по металу 355
Надходження товарів і послуг СТ00-001360 від 17.06.2025 21:58:32
СТІЛ Основной склад</t>
  </si>
  <si>
    <t>Обл. НДС
Диск пелюстковий 125*22,23 G60
Надходження товарів і послуг СТ00-001948 від 18.08.2025 19:20:11
СТІЛ Основной склад</t>
  </si>
  <si>
    <t>Обл. НДС
Диск по металу 350х3,0х25,4
Надходження товарів і послуг СТ00-001363 від 17.06.2025 21:58:39
СТІЛ Основной склад</t>
  </si>
  <si>
    <t>Обл. НДС
Дріт 1,2 мм
Надходження товарів і послуг СТ00-000851 від 01.05.2025 19:24:39
СТІЛ Основной склад</t>
  </si>
  <si>
    <t>Обл. НДС
Дріт 1,2 мм
Надходження товарів і послуг СТ00-001149 від 23.05.2025 17:40:58
СТІЛ Основной склад</t>
  </si>
  <si>
    <t>Обл. НДС
Електрод  65/85/105А
Надходження товарів і послуг СТ00-000500 від 21.03.2025 19:26:01
СТІЛ Основной склад</t>
  </si>
  <si>
    <t>Обл. НДС
Електрод  65/85/105А
Надходження товарів і послуг СТ00-001289 від 06.06.2025 18:22:50
СТІЛ Основной склад</t>
  </si>
  <si>
    <t>Обл. НДС
Катод-електрод 65/85/105А
Надходження товарів і послуг СТ00-000256 від 13.02.2025 18:04:56
СТІЛ Основной склад</t>
  </si>
  <si>
    <t>Обл. НДС
Круг алмазний відрізний 1A1RSS/C3-W 350х3,2/2,2*25,4 R160 Meteor Н15
Надходження товарів і послуг СТ00-001412 від 09.06.2025 18:01:49
СТІЛ Основной склад</t>
  </si>
  <si>
    <t>Обл. НДС
Окуляри захисні
Надходження товарів і послуг СТ00-001948 від 18.08.2025 19:20:11
СТІЛ Основной склад</t>
  </si>
  <si>
    <t>Обл. НДС
Свердло HSS-G Bosch 6 мм арт. 2608595066
Надходження товарів і послуг СТ00-000252 від 12.02.2025 18:02:41
СТІЛ Основной склад</t>
  </si>
  <si>
    <t>Обл. НДС
Свердло к/х 19,0мм
Надходження товарів і послуг СТ00-000113 від 21.01.2025 18:00:01
СТІЛ Основной склад</t>
  </si>
  <si>
    <t>Обл. НДС
Свердло по металу 8,0мм HSS YT-4449
Надходження товарів і послуг СТ00-000194 від 04.02.2025 17:50:03
СТІЛ Основной склад</t>
  </si>
  <si>
    <t>Обл. НДС
Суміш зварювальна МІКС-1 бал.40л.
Надходження товарів і послуг СТ00-001151 від 29.05.2025 11:39:58
СТІЛ Основной склад</t>
  </si>
  <si>
    <t>Обл. НДС
Суміш зварювальна МІКС-1 бал.40л.
Надходження товарів і послуг СТ00-002073 від 03.09.2025 10:07:33
СТІЛ Основной склад</t>
  </si>
  <si>
    <t>Обл. НДС
Тримач електродів для зварки 
Надходження товарів і послуг СТ00-001650 від 18.07.2025 18:06:32
СТІЛ Основной склад</t>
  </si>
  <si>
    <t>17.09.2025</t>
  </si>
  <si>
    <t>Передача малоцінних активів в експлуатацію СТ00-000092 від 17.09.2025 00:00:00
Списание стоимости малоценных активов</t>
  </si>
  <si>
    <t>Обл. НДС
Круг відрізний по металу 125х1.6х22.2 мм прямий по металу
Переміщення товарів СТ00-000116 від 04.09.2025 15:00:00
СТІЛ Глобино виробничий</t>
  </si>
  <si>
    <t>Обл. НДС
Круг відрізний по металу 150*1,0*22,23
Переміщення товарів СТ00-000116 від 04.09.2025 15:00:00
СТІЛ Глобино виробничий</t>
  </si>
  <si>
    <t>Передача малоцінних активів в експлуатацію СТ00-000102 від 30.09.2025 08:59:59
Списание стоимости малоценных активов</t>
  </si>
  <si>
    <t>Обл. НДС
Круг алмазний відрізний 1A1RSS/C3-W 350х3,2/2,2*25,4 R160 Meteor Н15
Переміщення товарів СТ00-000129 від 29.09.2025 08:00:00
СТІЛ Глобино виробничий</t>
  </si>
  <si>
    <t>Обл. НДС
Дріт 1,2 мм
Переміщення товарів СТ00-000129 від 29.09.2025 08:00:00
СТІЛ Глобино виробничий</t>
  </si>
  <si>
    <t>Обл. НДС
Електрод  65/85/105А
Переміщення товарів СТ00-000129 від 29.09.2025 08:00:00
СТІЛ Глобино виробничий</t>
  </si>
  <si>
    <t>Обл. НДС
Катод-електрод 65/85/105А
Переміщення товарів СТ00-000114 від 04.09.2025 12:00:00
СТІЛ Глобино виробничий</t>
  </si>
  <si>
    <t>Обл. НДС
Суміш зварювальна МІХ-1 (бал.40л)
Переміщення товарів СТ00-000129 від 29.09.2025 08:00:00
СТІЛ Глобино виробничий</t>
  </si>
  <si>
    <t>Обл. НДС
Ковпак 105 А
Переміщення товарів СТ00-000114 від 04.09.2025 12:00:00
СТІЛ Глобино виробничий</t>
  </si>
  <si>
    <t>Глобине (Естакада 3.5)  №2</t>
  </si>
  <si>
    <t xml:space="preserve">Глобине (Естакада 3.5-3 маш)  </t>
  </si>
  <si>
    <t xml:space="preserve">Глобине (Транспортна галерея Естакада 3.3)  </t>
  </si>
  <si>
    <t>Глобине Галерея 25,6</t>
  </si>
  <si>
    <t>без пдв</t>
  </si>
  <si>
    <t xml:space="preserve">Глобине (Естакада 3.5)  </t>
  </si>
  <si>
    <t xml:space="preserve">Глобине (Естакада 3.5-2 маш)  </t>
  </si>
  <si>
    <t xml:space="preserve">Глобине (Галерея 25,6)  </t>
  </si>
  <si>
    <t xml:space="preserve">Глобине (Форшахта)  </t>
  </si>
  <si>
    <t>перенесено на жовтень</t>
  </si>
  <si>
    <t>Глобине (Естакада 3.5-3</t>
  </si>
  <si>
    <t>перевірка</t>
  </si>
  <si>
    <t>документ перенесли на жовтень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</si>
</sst>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indexed="21"/>
      <name val="Arial"/>
    </font>
    <font>
      <b/>
      <sz val="10"/>
      <color indexed="21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0">
    <xf numFmtId="0" fontId="0" fillId="0" borderId="0" xfId="0"/>
    <xf numFmtId="0" fontId="5" fillId="2" borderId="2" xfId="1" applyNumberFormat="1" applyFont="1" applyFill="1" applyBorder="1" applyAlignment="1">
      <alignment vertical="top"/>
    </xf>
    <xf numFmtId="0" fontId="5" fillId="2" borderId="6" xfId="1" applyNumberFormat="1" applyFont="1" applyFill="1" applyBorder="1" applyAlignment="1">
      <alignment vertical="top"/>
    </xf>
    <xf numFmtId="0" fontId="5" fillId="2" borderId="4" xfId="1" applyNumberFormat="1" applyFont="1" applyFill="1" applyBorder="1" applyAlignment="1">
      <alignment vertical="top"/>
    </xf>
    <xf numFmtId="0" fontId="5" fillId="2" borderId="8" xfId="1" applyNumberFormat="1" applyFont="1" applyFill="1" applyBorder="1" applyAlignment="1">
      <alignment vertical="top"/>
    </xf>
    <xf numFmtId="0" fontId="5" fillId="2" borderId="12" xfId="1" applyNumberFormat="1" applyFont="1" applyFill="1" applyBorder="1" applyAlignment="1">
      <alignment horizontal="center" vertical="top"/>
    </xf>
    <xf numFmtId="0" fontId="4" fillId="0" borderId="11" xfId="1" applyNumberFormat="1" applyFont="1" applyBorder="1" applyAlignment="1">
      <alignment vertical="top"/>
    </xf>
    <xf numFmtId="0" fontId="4" fillId="0" borderId="11" xfId="1" applyNumberFormat="1" applyFont="1" applyBorder="1" applyAlignment="1">
      <alignment vertical="top" wrapText="1"/>
    </xf>
    <xf numFmtId="0" fontId="4" fillId="0" borderId="11" xfId="1" applyNumberFormat="1" applyFont="1" applyBorder="1" applyAlignment="1">
      <alignment horizontal="left" vertical="top"/>
    </xf>
    <xf numFmtId="0" fontId="4" fillId="0" borderId="12" xfId="1" applyNumberFormat="1" applyFont="1" applyBorder="1" applyAlignment="1">
      <alignment horizontal="center" vertical="top"/>
    </xf>
    <xf numFmtId="0" fontId="6" fillId="2" borderId="12" xfId="1" applyNumberFormat="1" applyFont="1" applyFill="1" applyBorder="1" applyAlignment="1">
      <alignment horizontal="center" vertical="top"/>
    </xf>
    <xf numFmtId="0" fontId="2" fillId="0" borderId="0" xfId="1" applyNumberFormat="1" applyFont="1" applyAlignment="1"/>
    <xf numFmtId="0" fontId="1" fillId="0" borderId="0" xfId="1" applyAlignment="1"/>
    <xf numFmtId="0" fontId="3" fillId="0" borderId="0" xfId="1" applyNumberFormat="1" applyFont="1" applyAlignment="1"/>
    <xf numFmtId="0" fontId="4" fillId="0" borderId="0" xfId="1" applyNumberFormat="1" applyFont="1" applyAlignment="1">
      <alignment vertical="top"/>
    </xf>
    <xf numFmtId="2" fontId="5" fillId="2" borderId="13" xfId="1" applyNumberFormat="1" applyFont="1" applyFill="1" applyBorder="1" applyAlignment="1">
      <alignment horizontal="right" vertical="top"/>
    </xf>
    <xf numFmtId="0" fontId="4" fillId="0" borderId="13" xfId="1" applyNumberFormat="1" applyFont="1" applyBorder="1" applyAlignment="1">
      <alignment horizontal="right" vertical="top"/>
    </xf>
    <xf numFmtId="2" fontId="6" fillId="2" borderId="13" xfId="1" applyNumberFormat="1" applyFont="1" applyFill="1" applyBorder="1" applyAlignment="1">
      <alignment horizontal="right" vertical="top"/>
    </xf>
    <xf numFmtId="0" fontId="6" fillId="2" borderId="11" xfId="1" applyNumberFormat="1" applyFont="1" applyFill="1" applyBorder="1" applyAlignment="1">
      <alignment vertical="top"/>
    </xf>
    <xf numFmtId="4" fontId="6" fillId="2" borderId="11" xfId="1" applyNumberFormat="1" applyFont="1" applyFill="1" applyBorder="1" applyAlignment="1">
      <alignment horizontal="right" vertical="top"/>
    </xf>
    <xf numFmtId="2" fontId="6" fillId="2" borderId="11" xfId="1" applyNumberFormat="1" applyFont="1" applyFill="1" applyBorder="1" applyAlignment="1">
      <alignment horizontal="right" vertical="top"/>
    </xf>
    <xf numFmtId="2" fontId="4" fillId="3" borderId="11" xfId="1" applyNumberFormat="1" applyFont="1" applyFill="1" applyBorder="1" applyAlignment="1">
      <alignment horizontal="right" vertical="top"/>
    </xf>
    <xf numFmtId="0" fontId="4" fillId="0" borderId="13" xfId="1" applyNumberFormat="1" applyFont="1" applyBorder="1" applyAlignment="1">
      <alignment horizontal="right" vertical="top"/>
    </xf>
    <xf numFmtId="2" fontId="4" fillId="5" borderId="11" xfId="1" applyNumberFormat="1" applyFont="1" applyFill="1" applyBorder="1" applyAlignment="1">
      <alignment horizontal="right" vertical="top"/>
    </xf>
    <xf numFmtId="4" fontId="4" fillId="5" borderId="11" xfId="1" applyNumberFormat="1" applyFont="1" applyFill="1" applyBorder="1" applyAlignment="1">
      <alignment horizontal="right" vertical="top"/>
    </xf>
    <xf numFmtId="2" fontId="4" fillId="4" borderId="11" xfId="1" applyNumberFormat="1" applyFont="1" applyFill="1" applyBorder="1" applyAlignment="1">
      <alignment horizontal="right" vertical="top"/>
    </xf>
    <xf numFmtId="4" fontId="4" fillId="4" borderId="11" xfId="1" applyNumberFormat="1" applyFont="1" applyFill="1" applyBorder="1" applyAlignment="1">
      <alignment horizontal="right" vertical="top"/>
    </xf>
    <xf numFmtId="4" fontId="4" fillId="3" borderId="11" xfId="1" applyNumberFormat="1" applyFont="1" applyFill="1" applyBorder="1" applyAlignment="1">
      <alignment horizontal="right" vertical="top"/>
    </xf>
    <xf numFmtId="0" fontId="5" fillId="2" borderId="2" xfId="1" applyNumberFormat="1" applyFont="1" applyFill="1" applyBorder="1" applyAlignment="1">
      <alignment vertical="top"/>
    </xf>
    <xf numFmtId="0" fontId="5" fillId="2" borderId="5" xfId="1" applyNumberFormat="1" applyFont="1" applyFill="1" applyBorder="1" applyAlignment="1">
      <alignment vertical="top"/>
    </xf>
    <xf numFmtId="0" fontId="5" fillId="2" borderId="10" xfId="1" applyNumberFormat="1" applyFont="1" applyFill="1" applyBorder="1" applyAlignment="1">
      <alignment vertical="top"/>
    </xf>
    <xf numFmtId="0" fontId="5" fillId="2" borderId="8" xfId="1" applyNumberFormat="1" applyFont="1" applyFill="1" applyBorder="1" applyAlignment="1">
      <alignment vertical="top"/>
    </xf>
    <xf numFmtId="0" fontId="5" fillId="2" borderId="9" xfId="1" applyNumberFormat="1" applyFont="1" applyFill="1" applyBorder="1" applyAlignment="1">
      <alignment vertical="top"/>
    </xf>
    <xf numFmtId="0" fontId="5" fillId="2" borderId="11" xfId="1" applyNumberFormat="1" applyFont="1" applyFill="1" applyBorder="1" applyAlignment="1">
      <alignment vertical="top"/>
    </xf>
    <xf numFmtId="0" fontId="5" fillId="2" borderId="11" xfId="1" applyNumberFormat="1" applyFont="1" applyFill="1" applyBorder="1" applyAlignment="1">
      <alignment horizontal="right" vertical="top"/>
    </xf>
    <xf numFmtId="0" fontId="5" fillId="2" borderId="1" xfId="1" applyNumberFormat="1" applyFont="1" applyFill="1" applyBorder="1" applyAlignment="1">
      <alignment vertical="top"/>
    </xf>
    <xf numFmtId="0" fontId="5" fillId="2" borderId="6" xfId="1" applyNumberFormat="1" applyFont="1" applyFill="1" applyBorder="1" applyAlignment="1">
      <alignment vertical="top"/>
    </xf>
    <xf numFmtId="0" fontId="5" fillId="2" borderId="3" xfId="1" applyNumberFormat="1" applyFont="1" applyFill="1" applyBorder="1" applyAlignment="1">
      <alignment vertical="top"/>
    </xf>
    <xf numFmtId="0" fontId="5" fillId="2" borderId="7" xfId="1" applyNumberFormat="1" applyFont="1" applyFill="1" applyBorder="1" applyAlignment="1">
      <alignment vertical="top"/>
    </xf>
    <xf numFmtId="0" fontId="5" fillId="2" borderId="2" xfId="1" applyNumberFormat="1" applyFont="1" applyFill="1" applyBorder="1" applyAlignment="1">
      <alignment horizontal="center" vertical="top"/>
    </xf>
    <xf numFmtId="0" fontId="5" fillId="2" borderId="4" xfId="1" applyNumberFormat="1" applyFont="1" applyFill="1" applyBorder="1" applyAlignment="1">
      <alignment horizontal="center" vertical="top"/>
    </xf>
    <xf numFmtId="0" fontId="5" fillId="2" borderId="1" xfId="2" applyNumberFormat="1" applyFont="1" applyFill="1" applyBorder="1" applyAlignment="1">
      <alignment vertical="top"/>
    </xf>
    <xf numFmtId="0" fontId="5" fillId="2" borderId="2" xfId="2" applyNumberFormat="1" applyFont="1" applyFill="1" applyBorder="1" applyAlignment="1">
      <alignment vertical="top"/>
    </xf>
    <xf numFmtId="0" fontId="5" fillId="2" borderId="3" xfId="2" applyNumberFormat="1" applyFont="1" applyFill="1" applyBorder="1" applyAlignment="1">
      <alignment vertical="top"/>
    </xf>
    <xf numFmtId="0" fontId="5" fillId="2" borderId="2" xfId="2" applyNumberFormat="1" applyFont="1" applyFill="1" applyBorder="1" applyAlignment="1">
      <alignment horizontal="center" vertical="top"/>
    </xf>
    <xf numFmtId="0" fontId="5" fillId="2" borderId="4" xfId="2" applyNumberFormat="1" applyFont="1" applyFill="1" applyBorder="1" applyAlignment="1">
      <alignment horizontal="center" vertical="top"/>
    </xf>
    <xf numFmtId="0" fontId="5" fillId="2" borderId="5" xfId="2" applyNumberFormat="1" applyFont="1" applyFill="1" applyBorder="1" applyAlignment="1">
      <alignment vertical="top"/>
    </xf>
    <xf numFmtId="0" fontId="5" fillId="2" borderId="6" xfId="2" applyNumberFormat="1" applyFont="1" applyFill="1" applyBorder="1" applyAlignment="1">
      <alignment vertical="top"/>
    </xf>
    <xf numFmtId="0" fontId="5" fillId="2" borderId="7" xfId="2" applyNumberFormat="1" applyFont="1" applyFill="1" applyBorder="1" applyAlignment="1">
      <alignment vertical="top"/>
    </xf>
    <xf numFmtId="0" fontId="5" fillId="2" borderId="4" xfId="2" applyNumberFormat="1" applyFont="1" applyFill="1" applyBorder="1" applyAlignment="1">
      <alignment vertical="top"/>
    </xf>
    <xf numFmtId="0" fontId="5" fillId="2" borderId="8" xfId="2" applyNumberFormat="1" applyFont="1" applyFill="1" applyBorder="1" applyAlignment="1">
      <alignment vertical="top"/>
    </xf>
    <xf numFmtId="0" fontId="5" fillId="2" borderId="8" xfId="2" applyNumberFormat="1" applyFont="1" applyFill="1" applyBorder="1" applyAlignment="1">
      <alignment vertical="top"/>
    </xf>
    <xf numFmtId="0" fontId="5" fillId="2" borderId="9" xfId="2" applyNumberFormat="1" applyFont="1" applyFill="1" applyBorder="1" applyAlignment="1">
      <alignment vertical="top"/>
    </xf>
    <xf numFmtId="0" fontId="5" fillId="2" borderId="10" xfId="2" applyNumberFormat="1" applyFont="1" applyFill="1" applyBorder="1" applyAlignment="1">
      <alignment vertical="top"/>
    </xf>
    <xf numFmtId="0" fontId="5" fillId="2" borderId="11" xfId="2" applyNumberFormat="1" applyFont="1" applyFill="1" applyBorder="1" applyAlignment="1">
      <alignment vertical="top"/>
    </xf>
    <xf numFmtId="0" fontId="5" fillId="2" borderId="11" xfId="2" applyNumberFormat="1" applyFont="1" applyFill="1" applyBorder="1" applyAlignment="1">
      <alignment horizontal="right" vertical="top"/>
    </xf>
    <xf numFmtId="0" fontId="5" fillId="2" borderId="12" xfId="2" applyNumberFormat="1" applyFont="1" applyFill="1" applyBorder="1" applyAlignment="1">
      <alignment horizontal="center" vertical="top"/>
    </xf>
    <xf numFmtId="0" fontId="4" fillId="0" borderId="11" xfId="2" applyNumberFormat="1" applyFont="1" applyBorder="1" applyAlignment="1">
      <alignment vertical="top"/>
    </xf>
    <xf numFmtId="0" fontId="4" fillId="0" borderId="11" xfId="2" applyNumberFormat="1" applyFont="1" applyBorder="1" applyAlignment="1">
      <alignment horizontal="left" vertical="top"/>
    </xf>
    <xf numFmtId="0" fontId="4" fillId="0" borderId="12" xfId="2" applyNumberFormat="1" applyFont="1" applyBorder="1" applyAlignment="1">
      <alignment horizontal="center" vertical="top"/>
    </xf>
    <xf numFmtId="0" fontId="6" fillId="2" borderId="11" xfId="2" applyNumberFormat="1" applyFont="1" applyFill="1" applyBorder="1" applyAlignment="1">
      <alignment vertical="top"/>
    </xf>
    <xf numFmtId="0" fontId="6" fillId="2" borderId="12" xfId="2" applyNumberFormat="1" applyFont="1" applyFill="1" applyBorder="1" applyAlignment="1">
      <alignment horizontal="center" vertical="top"/>
    </xf>
    <xf numFmtId="0" fontId="2" fillId="0" borderId="0" xfId="2" applyNumberFormat="1" applyFont="1" applyAlignment="1"/>
    <xf numFmtId="0" fontId="1" fillId="0" borderId="0" xfId="2" applyAlignment="1"/>
    <xf numFmtId="0" fontId="3" fillId="0" borderId="0" xfId="2" applyNumberFormat="1" applyFont="1" applyAlignment="1"/>
    <xf numFmtId="0" fontId="4" fillId="0" borderId="0" xfId="2" applyNumberFormat="1" applyFont="1" applyAlignment="1">
      <alignment vertical="top"/>
    </xf>
    <xf numFmtId="2" fontId="5" fillId="2" borderId="13" xfId="2" applyNumberFormat="1" applyFont="1" applyFill="1" applyBorder="1" applyAlignment="1">
      <alignment horizontal="right" vertical="top"/>
    </xf>
    <xf numFmtId="4" fontId="4" fillId="0" borderId="11" xfId="2" applyNumberFormat="1" applyFont="1" applyBorder="1" applyAlignment="1">
      <alignment horizontal="right" vertical="top"/>
    </xf>
    <xf numFmtId="0" fontId="4" fillId="0" borderId="13" xfId="2" applyNumberFormat="1" applyFont="1" applyBorder="1" applyAlignment="1">
      <alignment horizontal="right" vertical="top"/>
    </xf>
    <xf numFmtId="0" fontId="4" fillId="0" borderId="13" xfId="2" applyNumberFormat="1" applyFont="1" applyBorder="1" applyAlignment="1">
      <alignment horizontal="right" vertical="top"/>
    </xf>
    <xf numFmtId="2" fontId="4" fillId="0" borderId="11" xfId="2" applyNumberFormat="1" applyFont="1" applyBorder="1" applyAlignment="1">
      <alignment horizontal="right" vertical="top"/>
    </xf>
    <xf numFmtId="4" fontId="6" fillId="2" borderId="11" xfId="2" applyNumberFormat="1" applyFont="1" applyFill="1" applyBorder="1" applyAlignment="1">
      <alignment horizontal="right" vertical="top"/>
    </xf>
    <xf numFmtId="2" fontId="6" fillId="2" borderId="11" xfId="2" applyNumberFormat="1" applyFont="1" applyFill="1" applyBorder="1" applyAlignment="1">
      <alignment horizontal="right" vertical="top"/>
    </xf>
    <xf numFmtId="2" fontId="6" fillId="2" borderId="13" xfId="2" applyNumberFormat="1" applyFont="1" applyFill="1" applyBorder="1" applyAlignment="1">
      <alignment horizontal="right" vertical="top"/>
    </xf>
    <xf numFmtId="0" fontId="5" fillId="2" borderId="2" xfId="2" applyNumberFormat="1" applyFont="1" applyFill="1" applyBorder="1" applyAlignment="1">
      <alignment vertical="top"/>
    </xf>
    <xf numFmtId="0" fontId="5" fillId="2" borderId="6" xfId="2" applyNumberFormat="1" applyFont="1" applyFill="1" applyBorder="1" applyAlignment="1">
      <alignment vertical="top"/>
    </xf>
    <xf numFmtId="4" fontId="0" fillId="0" borderId="0" xfId="0" applyNumberFormat="1"/>
    <xf numFmtId="2" fontId="0" fillId="0" borderId="0" xfId="0" applyNumberFormat="1"/>
    <xf numFmtId="0" fontId="4" fillId="6" borderId="11" xfId="1" applyNumberFormat="1" applyFont="1" applyFill="1" applyBorder="1" applyAlignment="1">
      <alignment vertical="top"/>
    </xf>
    <xf numFmtId="0" fontId="0" fillId="6" borderId="0" xfId="0" applyFill="1"/>
  </cellXfs>
  <cellStyles count="3">
    <cellStyle name="Обычный" xfId="0" builtinId="0"/>
    <cellStyle name="Обычный_Sheet1" xfId="1" xr:uid="{257554E6-510B-4018-B67B-CFC7034D14FF}"/>
    <cellStyle name="Обычный_Лист1" xfId="2" xr:uid="{B3D95ECB-C8DF-4682-A441-3B6432D96FEF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9"/>
  <sheetViews>
    <sheetView topLeftCell="C65" workbookViewId="0">
      <selection activeCell="F78" sqref="F75:F78"/>
    </sheetView>
  </sheetViews>
  <sheetFormatPr defaultRowHeight="14.4" x14ac:dyDescent="0.3"/>
  <cols>
    <col min="2" max="3" width="33.44140625" customWidth="1"/>
    <col min="4" max="4" width="16.33203125" customWidth="1"/>
    <col min="5" max="5" width="119.5546875" customWidth="1"/>
  </cols>
  <sheetData>
    <row r="1" spans="1:13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.6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3">
      <c r="A4" s="14" t="s">
        <v>2</v>
      </c>
      <c r="B4" s="14" t="s">
        <v>3</v>
      </c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x14ac:dyDescent="0.3">
      <c r="A6" s="14" t="s">
        <v>4</v>
      </c>
      <c r="B6" s="14" t="s">
        <v>5</v>
      </c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x14ac:dyDescent="0.3">
      <c r="A8" s="35" t="s">
        <v>6</v>
      </c>
      <c r="B8" s="28" t="s">
        <v>7</v>
      </c>
      <c r="C8" s="1"/>
      <c r="D8" s="28" t="s">
        <v>8</v>
      </c>
      <c r="E8" s="37" t="s">
        <v>9</v>
      </c>
      <c r="F8" s="39" t="s">
        <v>10</v>
      </c>
      <c r="G8" s="39"/>
      <c r="H8" s="39"/>
      <c r="I8" s="40" t="s">
        <v>11</v>
      </c>
      <c r="J8" s="40"/>
      <c r="K8" s="40"/>
      <c r="L8" s="28" t="s">
        <v>12</v>
      </c>
      <c r="M8" s="28"/>
    </row>
    <row r="9" spans="1:13" x14ac:dyDescent="0.3">
      <c r="A9" s="29"/>
      <c r="B9" s="36"/>
      <c r="C9" s="2"/>
      <c r="D9" s="36"/>
      <c r="E9" s="38"/>
      <c r="F9" s="3" t="s">
        <v>13</v>
      </c>
      <c r="G9" s="31"/>
      <c r="H9" s="31"/>
      <c r="I9" s="4" t="s">
        <v>13</v>
      </c>
      <c r="J9" s="32"/>
      <c r="K9" s="32"/>
      <c r="L9" s="29"/>
      <c r="M9" s="30"/>
    </row>
    <row r="10" spans="1:13" hidden="1" x14ac:dyDescent="0.3">
      <c r="A10" s="33" t="s">
        <v>14</v>
      </c>
      <c r="B10" s="33"/>
      <c r="C10" s="33"/>
      <c r="D10" s="33"/>
      <c r="E10" s="33"/>
      <c r="F10" s="34"/>
      <c r="G10" s="34"/>
      <c r="H10" s="34"/>
      <c r="I10" s="34"/>
      <c r="J10" s="34"/>
      <c r="K10" s="34"/>
      <c r="L10" s="5"/>
      <c r="M10" s="15">
        <v>0</v>
      </c>
    </row>
    <row r="11" spans="1:13" x14ac:dyDescent="0.3">
      <c r="A11" s="6" t="s">
        <v>15</v>
      </c>
      <c r="B11" s="6" t="s">
        <v>16</v>
      </c>
      <c r="C11" s="6" t="s">
        <v>174</v>
      </c>
      <c r="D11" s="6" t="s">
        <v>17</v>
      </c>
      <c r="E11" s="6" t="s">
        <v>18</v>
      </c>
      <c r="F11" s="8" t="s">
        <v>19</v>
      </c>
      <c r="G11" s="27">
        <v>3529.1</v>
      </c>
      <c r="H11" s="27"/>
      <c r="I11" s="8" t="s">
        <v>20</v>
      </c>
      <c r="J11" s="22" t="s">
        <v>21</v>
      </c>
      <c r="K11" s="22"/>
      <c r="L11" s="9"/>
      <c r="M11" s="16"/>
    </row>
    <row r="12" spans="1:13" x14ac:dyDescent="0.3">
      <c r="A12" s="6" t="s">
        <v>15</v>
      </c>
      <c r="B12" s="6" t="s">
        <v>16</v>
      </c>
      <c r="C12" s="6" t="s">
        <v>174</v>
      </c>
      <c r="D12" s="6" t="s">
        <v>17</v>
      </c>
      <c r="E12" s="6" t="s">
        <v>22</v>
      </c>
      <c r="F12" s="8" t="s">
        <v>19</v>
      </c>
      <c r="G12" s="21">
        <v>788.04</v>
      </c>
      <c r="H12" s="21"/>
      <c r="I12" s="8" t="s">
        <v>20</v>
      </c>
      <c r="J12" s="22" t="s">
        <v>21</v>
      </c>
      <c r="K12" s="22"/>
      <c r="L12" s="9"/>
      <c r="M12" s="16"/>
    </row>
    <row r="13" spans="1:13" ht="40.799999999999997" hidden="1" x14ac:dyDescent="0.3">
      <c r="A13" s="6" t="s">
        <v>15</v>
      </c>
      <c r="B13" s="6" t="s">
        <v>23</v>
      </c>
      <c r="C13" s="6"/>
      <c r="D13" s="6" t="s">
        <v>17</v>
      </c>
      <c r="E13" s="7" t="s">
        <v>24</v>
      </c>
      <c r="F13" s="8" t="s">
        <v>19</v>
      </c>
      <c r="G13" s="26">
        <v>3820.61</v>
      </c>
      <c r="H13" s="26"/>
      <c r="I13" s="8" t="s">
        <v>20</v>
      </c>
      <c r="J13" s="22" t="s">
        <v>21</v>
      </c>
      <c r="K13" s="22"/>
      <c r="L13" s="9"/>
      <c r="M13" s="16"/>
    </row>
    <row r="14" spans="1:13" hidden="1" x14ac:dyDescent="0.3">
      <c r="A14" s="6" t="s">
        <v>15</v>
      </c>
      <c r="B14" s="6" t="s">
        <v>23</v>
      </c>
      <c r="C14" s="6"/>
      <c r="D14" s="6" t="s">
        <v>17</v>
      </c>
      <c r="E14" s="6" t="s">
        <v>25</v>
      </c>
      <c r="F14" s="8" t="s">
        <v>19</v>
      </c>
      <c r="G14" s="26">
        <v>8232.57</v>
      </c>
      <c r="H14" s="26"/>
      <c r="I14" s="8" t="s">
        <v>20</v>
      </c>
      <c r="J14" s="22" t="s">
        <v>21</v>
      </c>
      <c r="K14" s="22"/>
      <c r="L14" s="9"/>
      <c r="M14" s="16"/>
    </row>
    <row r="15" spans="1:13" hidden="1" x14ac:dyDescent="0.3">
      <c r="A15" s="6" t="s">
        <v>15</v>
      </c>
      <c r="B15" s="6" t="s">
        <v>23</v>
      </c>
      <c r="C15" s="6"/>
      <c r="D15" s="6" t="s">
        <v>17</v>
      </c>
      <c r="E15" s="6" t="s">
        <v>26</v>
      </c>
      <c r="F15" s="8" t="s">
        <v>19</v>
      </c>
      <c r="G15" s="26">
        <v>1346.24</v>
      </c>
      <c r="H15" s="26"/>
      <c r="I15" s="8" t="s">
        <v>20</v>
      </c>
      <c r="J15" s="22" t="s">
        <v>21</v>
      </c>
      <c r="K15" s="22"/>
      <c r="L15" s="9"/>
      <c r="M15" s="16"/>
    </row>
    <row r="16" spans="1:13" hidden="1" x14ac:dyDescent="0.3">
      <c r="A16" s="6" t="s">
        <v>15</v>
      </c>
      <c r="B16" s="6" t="s">
        <v>23</v>
      </c>
      <c r="C16" s="6"/>
      <c r="D16" s="6" t="s">
        <v>17</v>
      </c>
      <c r="E16" s="6" t="s">
        <v>27</v>
      </c>
      <c r="F16" s="8" t="s">
        <v>19</v>
      </c>
      <c r="G16" s="26">
        <v>13603.33</v>
      </c>
      <c r="H16" s="26"/>
      <c r="I16" s="8" t="s">
        <v>20</v>
      </c>
      <c r="J16" s="22" t="s">
        <v>21</v>
      </c>
      <c r="K16" s="22"/>
      <c r="L16" s="9"/>
      <c r="M16" s="16"/>
    </row>
    <row r="17" spans="1:13" hidden="1" x14ac:dyDescent="0.3">
      <c r="A17" s="6" t="s">
        <v>28</v>
      </c>
      <c r="B17" s="6" t="s">
        <v>29</v>
      </c>
      <c r="C17" s="6"/>
      <c r="D17" s="6" t="s">
        <v>17</v>
      </c>
      <c r="E17" s="6" t="s">
        <v>25</v>
      </c>
      <c r="F17" s="8" t="s">
        <v>19</v>
      </c>
      <c r="G17" s="26">
        <v>1051.73</v>
      </c>
      <c r="H17" s="26"/>
      <c r="I17" s="8" t="s">
        <v>20</v>
      </c>
      <c r="J17" s="22" t="s">
        <v>21</v>
      </c>
      <c r="K17" s="22"/>
      <c r="L17" s="9"/>
      <c r="M17" s="16"/>
    </row>
    <row r="18" spans="1:13" hidden="1" x14ac:dyDescent="0.3">
      <c r="A18" s="6" t="s">
        <v>28</v>
      </c>
      <c r="B18" s="6" t="s">
        <v>29</v>
      </c>
      <c r="C18" s="6"/>
      <c r="D18" s="6" t="s">
        <v>17</v>
      </c>
      <c r="E18" s="6" t="s">
        <v>30</v>
      </c>
      <c r="F18" s="8" t="s">
        <v>19</v>
      </c>
      <c r="G18" s="26">
        <v>1514.16</v>
      </c>
      <c r="H18" s="26"/>
      <c r="I18" s="8" t="s">
        <v>20</v>
      </c>
      <c r="J18" s="22" t="s">
        <v>21</v>
      </c>
      <c r="K18" s="22"/>
      <c r="L18" s="9"/>
      <c r="M18" s="16"/>
    </row>
    <row r="19" spans="1:13" hidden="1" x14ac:dyDescent="0.3">
      <c r="A19" s="6" t="s">
        <v>28</v>
      </c>
      <c r="B19" s="6" t="s">
        <v>29</v>
      </c>
      <c r="C19" s="6"/>
      <c r="D19" s="6" t="s">
        <v>17</v>
      </c>
      <c r="E19" s="6" t="s">
        <v>26</v>
      </c>
      <c r="F19" s="8" t="s">
        <v>19</v>
      </c>
      <c r="G19" s="25">
        <v>525.36</v>
      </c>
      <c r="H19" s="25"/>
      <c r="I19" s="8" t="s">
        <v>20</v>
      </c>
      <c r="J19" s="22" t="s">
        <v>21</v>
      </c>
      <c r="K19" s="22"/>
      <c r="L19" s="9"/>
      <c r="M19" s="16"/>
    </row>
    <row r="20" spans="1:13" hidden="1" x14ac:dyDescent="0.3">
      <c r="A20" s="6" t="s">
        <v>28</v>
      </c>
      <c r="B20" s="6" t="s">
        <v>29</v>
      </c>
      <c r="C20" s="6"/>
      <c r="D20" s="6" t="s">
        <v>17</v>
      </c>
      <c r="E20" s="6" t="s">
        <v>31</v>
      </c>
      <c r="F20" s="8" t="s">
        <v>19</v>
      </c>
      <c r="G20" s="25">
        <v>965.85</v>
      </c>
      <c r="H20" s="25"/>
      <c r="I20" s="8" t="s">
        <v>20</v>
      </c>
      <c r="J20" s="22" t="s">
        <v>21</v>
      </c>
      <c r="K20" s="22"/>
      <c r="L20" s="9"/>
      <c r="M20" s="16"/>
    </row>
    <row r="21" spans="1:13" hidden="1" x14ac:dyDescent="0.3">
      <c r="A21" s="6" t="s">
        <v>28</v>
      </c>
      <c r="B21" s="6" t="s">
        <v>29</v>
      </c>
      <c r="C21" s="6"/>
      <c r="D21" s="6" t="s">
        <v>17</v>
      </c>
      <c r="E21" s="6" t="s">
        <v>32</v>
      </c>
      <c r="F21" s="8" t="s">
        <v>19</v>
      </c>
      <c r="G21" s="25">
        <v>607.5</v>
      </c>
      <c r="H21" s="25"/>
      <c r="I21" s="8" t="s">
        <v>20</v>
      </c>
      <c r="J21" s="22" t="s">
        <v>21</v>
      </c>
      <c r="K21" s="22"/>
      <c r="L21" s="9"/>
      <c r="M21" s="16"/>
    </row>
    <row r="22" spans="1:13" x14ac:dyDescent="0.3">
      <c r="A22" s="6" t="s">
        <v>28</v>
      </c>
      <c r="B22" s="6" t="s">
        <v>33</v>
      </c>
      <c r="C22" s="6" t="s">
        <v>171</v>
      </c>
      <c r="D22" s="6" t="s">
        <v>17</v>
      </c>
      <c r="E22" s="6" t="s">
        <v>34</v>
      </c>
      <c r="F22" s="8" t="s">
        <v>19</v>
      </c>
      <c r="G22" s="27">
        <v>1711.11</v>
      </c>
      <c r="H22" s="27"/>
      <c r="I22" s="8" t="s">
        <v>20</v>
      </c>
      <c r="J22" s="22" t="s">
        <v>21</v>
      </c>
      <c r="K22" s="22"/>
      <c r="L22" s="9"/>
      <c r="M22" s="16"/>
    </row>
    <row r="23" spans="1:13" x14ac:dyDescent="0.3">
      <c r="A23" s="6" t="s">
        <v>28</v>
      </c>
      <c r="B23" s="6" t="s">
        <v>33</v>
      </c>
      <c r="C23" s="6" t="s">
        <v>171</v>
      </c>
      <c r="D23" s="6" t="s">
        <v>17</v>
      </c>
      <c r="E23" s="6" t="s">
        <v>35</v>
      </c>
      <c r="F23" s="8" t="s">
        <v>19</v>
      </c>
      <c r="G23" s="21">
        <v>384.83</v>
      </c>
      <c r="H23" s="21"/>
      <c r="I23" s="8" t="s">
        <v>20</v>
      </c>
      <c r="J23" s="22" t="s">
        <v>21</v>
      </c>
      <c r="K23" s="22"/>
      <c r="L23" s="9"/>
      <c r="M23" s="16"/>
    </row>
    <row r="24" spans="1:13" x14ac:dyDescent="0.3">
      <c r="A24" s="6" t="s">
        <v>28</v>
      </c>
      <c r="B24" s="6" t="s">
        <v>36</v>
      </c>
      <c r="C24" s="6" t="s">
        <v>175</v>
      </c>
      <c r="D24" s="6" t="s">
        <v>17</v>
      </c>
      <c r="E24" s="6" t="s">
        <v>34</v>
      </c>
      <c r="F24" s="8" t="s">
        <v>19</v>
      </c>
      <c r="G24" s="27">
        <v>1322.57</v>
      </c>
      <c r="H24" s="27"/>
      <c r="I24" s="8" t="s">
        <v>20</v>
      </c>
      <c r="J24" s="22" t="s">
        <v>21</v>
      </c>
      <c r="K24" s="22"/>
      <c r="L24" s="9"/>
      <c r="M24" s="16"/>
    </row>
    <row r="25" spans="1:13" x14ac:dyDescent="0.3">
      <c r="A25" s="6" t="s">
        <v>28</v>
      </c>
      <c r="B25" s="6" t="s">
        <v>36</v>
      </c>
      <c r="C25" s="6" t="s">
        <v>175</v>
      </c>
      <c r="D25" s="6" t="s">
        <v>17</v>
      </c>
      <c r="E25" s="6" t="s">
        <v>37</v>
      </c>
      <c r="F25" s="8" t="s">
        <v>19</v>
      </c>
      <c r="G25" s="21">
        <v>252.61</v>
      </c>
      <c r="H25" s="21"/>
      <c r="I25" s="8" t="s">
        <v>20</v>
      </c>
      <c r="J25" s="22" t="s">
        <v>21</v>
      </c>
      <c r="K25" s="22"/>
      <c r="L25" s="9"/>
      <c r="M25" s="16"/>
    </row>
    <row r="26" spans="1:13" x14ac:dyDescent="0.3">
      <c r="A26" s="6" t="s">
        <v>28</v>
      </c>
      <c r="B26" s="6" t="s">
        <v>36</v>
      </c>
      <c r="C26" s="6" t="s">
        <v>175</v>
      </c>
      <c r="D26" s="6" t="s">
        <v>17</v>
      </c>
      <c r="E26" s="6" t="s">
        <v>35</v>
      </c>
      <c r="F26" s="8" t="s">
        <v>19</v>
      </c>
      <c r="G26" s="21">
        <v>304.70999999999998</v>
      </c>
      <c r="H26" s="21"/>
      <c r="I26" s="8" t="s">
        <v>20</v>
      </c>
      <c r="J26" s="22" t="s">
        <v>21</v>
      </c>
      <c r="K26" s="22"/>
      <c r="L26" s="9"/>
      <c r="M26" s="16"/>
    </row>
    <row r="27" spans="1:13" x14ac:dyDescent="0.3">
      <c r="A27" s="6" t="s">
        <v>28</v>
      </c>
      <c r="B27" s="6" t="s">
        <v>36</v>
      </c>
      <c r="C27" s="6" t="s">
        <v>175</v>
      </c>
      <c r="D27" s="6" t="s">
        <v>17</v>
      </c>
      <c r="E27" s="6" t="s">
        <v>38</v>
      </c>
      <c r="F27" s="8" t="s">
        <v>19</v>
      </c>
      <c r="G27" s="21">
        <v>220.65</v>
      </c>
      <c r="H27" s="21"/>
      <c r="I27" s="8" t="s">
        <v>20</v>
      </c>
      <c r="J27" s="22" t="s">
        <v>21</v>
      </c>
      <c r="K27" s="22"/>
      <c r="L27" s="9"/>
      <c r="M27" s="16"/>
    </row>
    <row r="28" spans="1:13" hidden="1" x14ac:dyDescent="0.3">
      <c r="A28" s="6" t="s">
        <v>39</v>
      </c>
      <c r="B28" s="6" t="s">
        <v>40</v>
      </c>
      <c r="C28" s="6"/>
      <c r="D28" s="6" t="s">
        <v>17</v>
      </c>
      <c r="E28" s="6" t="s">
        <v>30</v>
      </c>
      <c r="F28" s="8" t="s">
        <v>19</v>
      </c>
      <c r="G28" s="26">
        <v>3435.06</v>
      </c>
      <c r="H28" s="26"/>
      <c r="I28" s="8" t="s">
        <v>20</v>
      </c>
      <c r="J28" s="22" t="s">
        <v>21</v>
      </c>
      <c r="K28" s="22"/>
      <c r="L28" s="9"/>
      <c r="M28" s="16"/>
    </row>
    <row r="29" spans="1:13" hidden="1" x14ac:dyDescent="0.3">
      <c r="A29" s="6" t="s">
        <v>39</v>
      </c>
      <c r="B29" s="6" t="s">
        <v>40</v>
      </c>
      <c r="C29" s="6"/>
      <c r="D29" s="6" t="s">
        <v>17</v>
      </c>
      <c r="E29" s="6" t="s">
        <v>41</v>
      </c>
      <c r="F29" s="8" t="s">
        <v>19</v>
      </c>
      <c r="G29" s="25">
        <v>875.1</v>
      </c>
      <c r="H29" s="25"/>
      <c r="I29" s="8" t="s">
        <v>20</v>
      </c>
      <c r="J29" s="22" t="s">
        <v>21</v>
      </c>
      <c r="K29" s="22"/>
      <c r="L29" s="9"/>
      <c r="M29" s="16"/>
    </row>
    <row r="30" spans="1:13" hidden="1" x14ac:dyDescent="0.3">
      <c r="A30" s="6" t="s">
        <v>39</v>
      </c>
      <c r="B30" s="6" t="s">
        <v>40</v>
      </c>
      <c r="C30" s="6"/>
      <c r="D30" s="6" t="s">
        <v>17</v>
      </c>
      <c r="E30" s="6" t="s">
        <v>42</v>
      </c>
      <c r="F30" s="8" t="s">
        <v>19</v>
      </c>
      <c r="G30" s="25">
        <v>233.36</v>
      </c>
      <c r="H30" s="25"/>
      <c r="I30" s="8" t="s">
        <v>20</v>
      </c>
      <c r="J30" s="22" t="s">
        <v>21</v>
      </c>
      <c r="K30" s="22"/>
      <c r="L30" s="9"/>
      <c r="M30" s="16"/>
    </row>
    <row r="31" spans="1:13" hidden="1" x14ac:dyDescent="0.3">
      <c r="A31" s="6" t="s">
        <v>39</v>
      </c>
      <c r="B31" s="6" t="s">
        <v>40</v>
      </c>
      <c r="C31" s="6"/>
      <c r="D31" s="6" t="s">
        <v>17</v>
      </c>
      <c r="E31" s="6" t="s">
        <v>26</v>
      </c>
      <c r="F31" s="8" t="s">
        <v>19</v>
      </c>
      <c r="G31" s="25">
        <v>755.2</v>
      </c>
      <c r="H31" s="25"/>
      <c r="I31" s="8" t="s">
        <v>20</v>
      </c>
      <c r="J31" s="22" t="s">
        <v>21</v>
      </c>
      <c r="K31" s="22"/>
      <c r="L31" s="9"/>
      <c r="M31" s="16"/>
    </row>
    <row r="32" spans="1:13" hidden="1" x14ac:dyDescent="0.3">
      <c r="A32" s="6" t="s">
        <v>39</v>
      </c>
      <c r="B32" s="6" t="s">
        <v>40</v>
      </c>
      <c r="C32" s="6"/>
      <c r="D32" s="6" t="s">
        <v>17</v>
      </c>
      <c r="E32" s="6" t="s">
        <v>43</v>
      </c>
      <c r="F32" s="8" t="s">
        <v>19</v>
      </c>
      <c r="G32" s="25">
        <v>262.68</v>
      </c>
      <c r="H32" s="25"/>
      <c r="I32" s="8" t="s">
        <v>20</v>
      </c>
      <c r="J32" s="22" t="s">
        <v>21</v>
      </c>
      <c r="K32" s="22"/>
      <c r="L32" s="9"/>
      <c r="M32" s="16"/>
    </row>
    <row r="33" spans="1:13" hidden="1" x14ac:dyDescent="0.3">
      <c r="A33" s="6" t="s">
        <v>39</v>
      </c>
      <c r="B33" s="6" t="s">
        <v>40</v>
      </c>
      <c r="C33" s="6"/>
      <c r="D33" s="6" t="s">
        <v>17</v>
      </c>
      <c r="E33" s="6" t="s">
        <v>44</v>
      </c>
      <c r="F33" s="8" t="s">
        <v>19</v>
      </c>
      <c r="G33" s="25">
        <v>131.34</v>
      </c>
      <c r="H33" s="25"/>
      <c r="I33" s="8" t="s">
        <v>20</v>
      </c>
      <c r="J33" s="22" t="s">
        <v>21</v>
      </c>
      <c r="K33" s="22"/>
      <c r="L33" s="9"/>
      <c r="M33" s="16"/>
    </row>
    <row r="34" spans="1:13" hidden="1" x14ac:dyDescent="0.3">
      <c r="A34" s="6" t="s">
        <v>39</v>
      </c>
      <c r="B34" s="6" t="s">
        <v>40</v>
      </c>
      <c r="C34" s="6"/>
      <c r="D34" s="6" t="s">
        <v>17</v>
      </c>
      <c r="E34" s="6" t="s">
        <v>45</v>
      </c>
      <c r="F34" s="8" t="s">
        <v>19</v>
      </c>
      <c r="G34" s="26">
        <v>2039.02</v>
      </c>
      <c r="H34" s="26"/>
      <c r="I34" s="8" t="s">
        <v>20</v>
      </c>
      <c r="J34" s="22" t="s">
        <v>21</v>
      </c>
      <c r="K34" s="22"/>
      <c r="L34" s="9"/>
      <c r="M34" s="16"/>
    </row>
    <row r="35" spans="1:13" hidden="1" x14ac:dyDescent="0.3">
      <c r="A35" s="6" t="s">
        <v>39</v>
      </c>
      <c r="B35" s="6" t="s">
        <v>40</v>
      </c>
      <c r="C35" s="6"/>
      <c r="D35" s="6" t="s">
        <v>17</v>
      </c>
      <c r="E35" s="6" t="s">
        <v>46</v>
      </c>
      <c r="F35" s="8" t="s">
        <v>19</v>
      </c>
      <c r="G35" s="26">
        <v>1296</v>
      </c>
      <c r="H35" s="26"/>
      <c r="I35" s="8" t="s">
        <v>20</v>
      </c>
      <c r="J35" s="22" t="s">
        <v>21</v>
      </c>
      <c r="K35" s="22"/>
      <c r="L35" s="9"/>
      <c r="M35" s="16"/>
    </row>
    <row r="36" spans="1:13" hidden="1" x14ac:dyDescent="0.3">
      <c r="A36" s="6" t="s">
        <v>47</v>
      </c>
      <c r="B36" s="6" t="s">
        <v>48</v>
      </c>
      <c r="C36" s="6"/>
      <c r="D36" s="6" t="s">
        <v>17</v>
      </c>
      <c r="E36" s="6" t="s">
        <v>49</v>
      </c>
      <c r="F36" s="8" t="s">
        <v>19</v>
      </c>
      <c r="G36" s="25">
        <v>107.46</v>
      </c>
      <c r="H36" s="25"/>
      <c r="I36" s="8" t="s">
        <v>20</v>
      </c>
      <c r="J36" s="22" t="s">
        <v>21</v>
      </c>
      <c r="K36" s="22"/>
      <c r="L36" s="9"/>
      <c r="M36" s="16"/>
    </row>
    <row r="37" spans="1:13" hidden="1" x14ac:dyDescent="0.3">
      <c r="A37" s="6" t="s">
        <v>47</v>
      </c>
      <c r="B37" s="6" t="s">
        <v>48</v>
      </c>
      <c r="C37" s="6"/>
      <c r="D37" s="6" t="s">
        <v>17</v>
      </c>
      <c r="E37" s="6" t="s">
        <v>50</v>
      </c>
      <c r="F37" s="8" t="s">
        <v>19</v>
      </c>
      <c r="G37" s="25">
        <v>32.840000000000003</v>
      </c>
      <c r="H37" s="25"/>
      <c r="I37" s="8" t="s">
        <v>20</v>
      </c>
      <c r="J37" s="22" t="s">
        <v>21</v>
      </c>
      <c r="K37" s="22"/>
      <c r="L37" s="9"/>
      <c r="M37" s="16"/>
    </row>
    <row r="38" spans="1:13" x14ac:dyDescent="0.3">
      <c r="A38" s="6" t="s">
        <v>51</v>
      </c>
      <c r="B38" s="6" t="s">
        <v>52</v>
      </c>
      <c r="C38" s="6" t="s">
        <v>170</v>
      </c>
      <c r="D38" s="6" t="s">
        <v>17</v>
      </c>
      <c r="E38" s="6" t="s">
        <v>18</v>
      </c>
      <c r="F38" s="8" t="s">
        <v>19</v>
      </c>
      <c r="G38" s="27">
        <v>1137.6300000000001</v>
      </c>
      <c r="H38" s="27"/>
      <c r="I38" s="8" t="s">
        <v>20</v>
      </c>
      <c r="J38" s="22" t="s">
        <v>21</v>
      </c>
      <c r="K38" s="22"/>
      <c r="L38" s="9"/>
      <c r="M38" s="16"/>
    </row>
    <row r="39" spans="1:13" x14ac:dyDescent="0.3">
      <c r="A39" s="6" t="s">
        <v>51</v>
      </c>
      <c r="B39" s="6" t="s">
        <v>52</v>
      </c>
      <c r="C39" s="6" t="s">
        <v>170</v>
      </c>
      <c r="D39" s="6" t="s">
        <v>17</v>
      </c>
      <c r="E39" s="6" t="s">
        <v>22</v>
      </c>
      <c r="F39" s="8" t="s">
        <v>19</v>
      </c>
      <c r="G39" s="21">
        <v>426.85</v>
      </c>
      <c r="H39" s="21"/>
      <c r="I39" s="8" t="s">
        <v>20</v>
      </c>
      <c r="J39" s="22" t="s">
        <v>21</v>
      </c>
      <c r="K39" s="22"/>
      <c r="L39" s="9"/>
      <c r="M39" s="16"/>
    </row>
    <row r="40" spans="1:13" hidden="1" x14ac:dyDescent="0.3">
      <c r="A40" s="6" t="s">
        <v>53</v>
      </c>
      <c r="B40" s="6" t="s">
        <v>54</v>
      </c>
      <c r="C40" s="6"/>
      <c r="D40" s="6" t="s">
        <v>17</v>
      </c>
      <c r="E40" s="6" t="s">
        <v>55</v>
      </c>
      <c r="F40" s="8" t="s">
        <v>19</v>
      </c>
      <c r="G40" s="26">
        <v>1261.31</v>
      </c>
      <c r="H40" s="26"/>
      <c r="I40" s="8" t="s">
        <v>20</v>
      </c>
      <c r="J40" s="22" t="s">
        <v>21</v>
      </c>
      <c r="K40" s="22"/>
      <c r="L40" s="9"/>
      <c r="M40" s="16"/>
    </row>
    <row r="41" spans="1:13" hidden="1" x14ac:dyDescent="0.3">
      <c r="A41" s="6" t="s">
        <v>53</v>
      </c>
      <c r="B41" s="6" t="s">
        <v>54</v>
      </c>
      <c r="C41" s="6"/>
      <c r="D41" s="6" t="s">
        <v>17</v>
      </c>
      <c r="E41" s="6" t="s">
        <v>56</v>
      </c>
      <c r="F41" s="8" t="s">
        <v>19</v>
      </c>
      <c r="G41" s="25">
        <v>262.68</v>
      </c>
      <c r="H41" s="25"/>
      <c r="I41" s="8" t="s">
        <v>20</v>
      </c>
      <c r="J41" s="22" t="s">
        <v>21</v>
      </c>
      <c r="K41" s="22"/>
      <c r="L41" s="9"/>
      <c r="M41" s="16"/>
    </row>
    <row r="42" spans="1:13" hidden="1" x14ac:dyDescent="0.3">
      <c r="A42" s="6" t="s">
        <v>53</v>
      </c>
      <c r="B42" s="6" t="s">
        <v>54</v>
      </c>
      <c r="C42" s="6"/>
      <c r="D42" s="6" t="s">
        <v>17</v>
      </c>
      <c r="E42" s="6" t="s">
        <v>46</v>
      </c>
      <c r="F42" s="8" t="s">
        <v>19</v>
      </c>
      <c r="G42" s="25">
        <v>870.75</v>
      </c>
      <c r="H42" s="25"/>
      <c r="I42" s="8" t="s">
        <v>20</v>
      </c>
      <c r="J42" s="22" t="s">
        <v>21</v>
      </c>
      <c r="K42" s="22"/>
      <c r="L42" s="9"/>
      <c r="M42" s="16"/>
    </row>
    <row r="43" spans="1:13" hidden="1" x14ac:dyDescent="0.3">
      <c r="A43" s="6" t="s">
        <v>57</v>
      </c>
      <c r="B43" s="6" t="s">
        <v>58</v>
      </c>
      <c r="C43" s="6"/>
      <c r="D43" s="6" t="s">
        <v>17</v>
      </c>
      <c r="E43" s="6" t="s">
        <v>30</v>
      </c>
      <c r="F43" s="8" t="s">
        <v>19</v>
      </c>
      <c r="G43" s="25">
        <v>525.05999999999995</v>
      </c>
      <c r="H43" s="25"/>
      <c r="I43" s="8" t="s">
        <v>20</v>
      </c>
      <c r="J43" s="22" t="s">
        <v>21</v>
      </c>
      <c r="K43" s="22"/>
      <c r="L43" s="9"/>
      <c r="M43" s="16"/>
    </row>
    <row r="44" spans="1:13" hidden="1" x14ac:dyDescent="0.3">
      <c r="A44" s="6" t="s">
        <v>57</v>
      </c>
      <c r="B44" s="6" t="s">
        <v>58</v>
      </c>
      <c r="C44" s="6"/>
      <c r="D44" s="6" t="s">
        <v>17</v>
      </c>
      <c r="E44" s="6" t="s">
        <v>26</v>
      </c>
      <c r="F44" s="8" t="s">
        <v>19</v>
      </c>
      <c r="G44" s="25">
        <v>197.01</v>
      </c>
      <c r="H44" s="25"/>
      <c r="I44" s="8" t="s">
        <v>20</v>
      </c>
      <c r="J44" s="22" t="s">
        <v>21</v>
      </c>
      <c r="K44" s="22"/>
      <c r="L44" s="9"/>
      <c r="M44" s="16"/>
    </row>
    <row r="45" spans="1:13" hidden="1" x14ac:dyDescent="0.3">
      <c r="A45" s="6" t="s">
        <v>59</v>
      </c>
      <c r="B45" s="6" t="s">
        <v>60</v>
      </c>
      <c r="C45" s="6"/>
      <c r="D45" s="6" t="s">
        <v>17</v>
      </c>
      <c r="E45" s="6" t="s">
        <v>61</v>
      </c>
      <c r="F45" s="8" t="s">
        <v>19</v>
      </c>
      <c r="G45" s="24">
        <v>8665</v>
      </c>
      <c r="H45" s="24"/>
      <c r="I45" s="8" t="s">
        <v>62</v>
      </c>
      <c r="J45" s="22" t="s">
        <v>21</v>
      </c>
      <c r="K45" s="22"/>
      <c r="L45" s="9"/>
      <c r="M45" s="16"/>
    </row>
    <row r="46" spans="1:13" hidden="1" x14ac:dyDescent="0.3">
      <c r="A46" s="6" t="s">
        <v>59</v>
      </c>
      <c r="B46" s="6" t="s">
        <v>60</v>
      </c>
      <c r="C46" s="6"/>
      <c r="D46" s="6" t="s">
        <v>17</v>
      </c>
      <c r="E46" s="6" t="s">
        <v>63</v>
      </c>
      <c r="F46" s="8" t="s">
        <v>19</v>
      </c>
      <c r="G46" s="24">
        <v>4125</v>
      </c>
      <c r="H46" s="24"/>
      <c r="I46" s="8" t="s">
        <v>62</v>
      </c>
      <c r="J46" s="22" t="s">
        <v>21</v>
      </c>
      <c r="K46" s="22"/>
      <c r="L46" s="9"/>
      <c r="M46" s="16"/>
    </row>
    <row r="47" spans="1:13" hidden="1" x14ac:dyDescent="0.3">
      <c r="A47" s="6" t="s">
        <v>59</v>
      </c>
      <c r="B47" s="6" t="s">
        <v>60</v>
      </c>
      <c r="C47" s="6"/>
      <c r="D47" s="6" t="s">
        <v>17</v>
      </c>
      <c r="E47" s="6" t="s">
        <v>64</v>
      </c>
      <c r="F47" s="8" t="s">
        <v>19</v>
      </c>
      <c r="G47" s="23">
        <v>458.2</v>
      </c>
      <c r="H47" s="23"/>
      <c r="I47" s="8" t="s">
        <v>62</v>
      </c>
      <c r="J47" s="22" t="s">
        <v>21</v>
      </c>
      <c r="K47" s="22"/>
      <c r="L47" s="9"/>
      <c r="M47" s="16"/>
    </row>
    <row r="48" spans="1:13" hidden="1" x14ac:dyDescent="0.3">
      <c r="A48" s="6" t="s">
        <v>59</v>
      </c>
      <c r="B48" s="6" t="s">
        <v>60</v>
      </c>
      <c r="C48" s="6"/>
      <c r="D48" s="6" t="s">
        <v>17</v>
      </c>
      <c r="E48" s="6" t="s">
        <v>65</v>
      </c>
      <c r="F48" s="8" t="s">
        <v>19</v>
      </c>
      <c r="G48" s="24">
        <v>5290</v>
      </c>
      <c r="H48" s="24"/>
      <c r="I48" s="8" t="s">
        <v>62</v>
      </c>
      <c r="J48" s="22" t="s">
        <v>21</v>
      </c>
      <c r="K48" s="22"/>
      <c r="L48" s="9"/>
      <c r="M48" s="16"/>
    </row>
    <row r="49" spans="1:13" hidden="1" x14ac:dyDescent="0.3">
      <c r="A49" s="6" t="s">
        <v>59</v>
      </c>
      <c r="B49" s="6" t="s">
        <v>60</v>
      </c>
      <c r="C49" s="6"/>
      <c r="D49" s="6" t="s">
        <v>17</v>
      </c>
      <c r="E49" s="6" t="s">
        <v>66</v>
      </c>
      <c r="F49" s="8" t="s">
        <v>19</v>
      </c>
      <c r="G49" s="24">
        <v>16732.5</v>
      </c>
      <c r="H49" s="24"/>
      <c r="I49" s="8" t="s">
        <v>62</v>
      </c>
      <c r="J49" s="22" t="s">
        <v>21</v>
      </c>
      <c r="K49" s="22"/>
      <c r="L49" s="9"/>
      <c r="M49" s="16"/>
    </row>
    <row r="50" spans="1:13" hidden="1" x14ac:dyDescent="0.3">
      <c r="A50" s="6" t="s">
        <v>59</v>
      </c>
      <c r="B50" s="6" t="s">
        <v>60</v>
      </c>
      <c r="C50" s="6"/>
      <c r="D50" s="6" t="s">
        <v>17</v>
      </c>
      <c r="E50" s="6" t="s">
        <v>67</v>
      </c>
      <c r="F50" s="8" t="s">
        <v>19</v>
      </c>
      <c r="G50" s="24">
        <v>81149.25</v>
      </c>
      <c r="H50" s="24"/>
      <c r="I50" s="8" t="s">
        <v>62</v>
      </c>
      <c r="J50" s="22" t="s">
        <v>21</v>
      </c>
      <c r="K50" s="22"/>
      <c r="L50" s="9"/>
      <c r="M50" s="16"/>
    </row>
    <row r="51" spans="1:13" hidden="1" x14ac:dyDescent="0.3">
      <c r="A51" s="6" t="s">
        <v>59</v>
      </c>
      <c r="B51" s="6" t="s">
        <v>60</v>
      </c>
      <c r="C51" s="6"/>
      <c r="D51" s="6" t="s">
        <v>17</v>
      </c>
      <c r="E51" s="6" t="s">
        <v>68</v>
      </c>
      <c r="F51" s="8" t="s">
        <v>19</v>
      </c>
      <c r="G51" s="24">
        <v>10934</v>
      </c>
      <c r="H51" s="24"/>
      <c r="I51" s="8" t="s">
        <v>62</v>
      </c>
      <c r="J51" s="22" t="s">
        <v>21</v>
      </c>
      <c r="K51" s="22"/>
      <c r="L51" s="9"/>
      <c r="M51" s="16"/>
    </row>
    <row r="52" spans="1:13" hidden="1" x14ac:dyDescent="0.3">
      <c r="A52" s="6" t="s">
        <v>59</v>
      </c>
      <c r="B52" s="6" t="s">
        <v>60</v>
      </c>
      <c r="C52" s="6"/>
      <c r="D52" s="6" t="s">
        <v>17</v>
      </c>
      <c r="E52" s="6" t="s">
        <v>69</v>
      </c>
      <c r="F52" s="8" t="s">
        <v>19</v>
      </c>
      <c r="G52" s="24">
        <v>14910</v>
      </c>
      <c r="H52" s="24"/>
      <c r="I52" s="8" t="s">
        <v>62</v>
      </c>
      <c r="J52" s="22" t="s">
        <v>21</v>
      </c>
      <c r="K52" s="22"/>
      <c r="L52" s="9"/>
      <c r="M52" s="16"/>
    </row>
    <row r="53" spans="1:13" hidden="1" x14ac:dyDescent="0.3">
      <c r="A53" s="6" t="s">
        <v>59</v>
      </c>
      <c r="B53" s="6" t="s">
        <v>60</v>
      </c>
      <c r="C53" s="6"/>
      <c r="D53" s="6" t="s">
        <v>17</v>
      </c>
      <c r="E53" s="6" t="s">
        <v>70</v>
      </c>
      <c r="F53" s="8" t="s">
        <v>19</v>
      </c>
      <c r="G53" s="24">
        <v>13916</v>
      </c>
      <c r="H53" s="24"/>
      <c r="I53" s="8" t="s">
        <v>62</v>
      </c>
      <c r="J53" s="22" t="s">
        <v>21</v>
      </c>
      <c r="K53" s="22"/>
      <c r="L53" s="9"/>
      <c r="M53" s="16"/>
    </row>
    <row r="54" spans="1:13" hidden="1" x14ac:dyDescent="0.3">
      <c r="A54" s="6" t="s">
        <v>59</v>
      </c>
      <c r="B54" s="6" t="s">
        <v>60</v>
      </c>
      <c r="C54" s="6"/>
      <c r="D54" s="6" t="s">
        <v>17</v>
      </c>
      <c r="E54" s="6" t="s">
        <v>71</v>
      </c>
      <c r="F54" s="8" t="s">
        <v>19</v>
      </c>
      <c r="G54" s="23">
        <v>364.2</v>
      </c>
      <c r="H54" s="23"/>
      <c r="I54" s="8" t="s">
        <v>62</v>
      </c>
      <c r="J54" s="22" t="s">
        <v>21</v>
      </c>
      <c r="K54" s="22"/>
      <c r="L54" s="9"/>
      <c r="M54" s="16"/>
    </row>
    <row r="55" spans="1:13" hidden="1" x14ac:dyDescent="0.3">
      <c r="A55" s="6" t="s">
        <v>59</v>
      </c>
      <c r="B55" s="6" t="s">
        <v>60</v>
      </c>
      <c r="C55" s="6"/>
      <c r="D55" s="6" t="s">
        <v>17</v>
      </c>
      <c r="E55" s="6" t="s">
        <v>72</v>
      </c>
      <c r="F55" s="8" t="s">
        <v>19</v>
      </c>
      <c r="G55" s="23">
        <v>728.4</v>
      </c>
      <c r="H55" s="23"/>
      <c r="I55" s="8" t="s">
        <v>62</v>
      </c>
      <c r="J55" s="22" t="s">
        <v>21</v>
      </c>
      <c r="K55" s="22"/>
      <c r="L55" s="9"/>
      <c r="M55" s="16"/>
    </row>
    <row r="56" spans="1:13" hidden="1" x14ac:dyDescent="0.3">
      <c r="A56" s="6" t="s">
        <v>59</v>
      </c>
      <c r="B56" s="6" t="s">
        <v>60</v>
      </c>
      <c r="C56" s="6"/>
      <c r="D56" s="6" t="s">
        <v>17</v>
      </c>
      <c r="E56" s="6" t="s">
        <v>73</v>
      </c>
      <c r="F56" s="8" t="s">
        <v>19</v>
      </c>
      <c r="G56" s="24">
        <v>1334.2</v>
      </c>
      <c r="H56" s="24"/>
      <c r="I56" s="8" t="s">
        <v>62</v>
      </c>
      <c r="J56" s="22" t="s">
        <v>21</v>
      </c>
      <c r="K56" s="22"/>
      <c r="L56" s="9"/>
      <c r="M56" s="16"/>
    </row>
    <row r="57" spans="1:13" hidden="1" x14ac:dyDescent="0.3">
      <c r="A57" s="6" t="s">
        <v>59</v>
      </c>
      <c r="B57" s="6" t="s">
        <v>60</v>
      </c>
      <c r="C57" s="6"/>
      <c r="D57" s="6" t="s">
        <v>17</v>
      </c>
      <c r="E57" s="6" t="s">
        <v>74</v>
      </c>
      <c r="F57" s="8" t="s">
        <v>19</v>
      </c>
      <c r="G57" s="24">
        <v>1542.38</v>
      </c>
      <c r="H57" s="24"/>
      <c r="I57" s="8" t="s">
        <v>62</v>
      </c>
      <c r="J57" s="22" t="s">
        <v>21</v>
      </c>
      <c r="K57" s="22"/>
      <c r="L57" s="9"/>
      <c r="M57" s="16"/>
    </row>
    <row r="58" spans="1:13" hidden="1" x14ac:dyDescent="0.3">
      <c r="A58" s="6" t="s">
        <v>59</v>
      </c>
      <c r="B58" s="6" t="s">
        <v>60</v>
      </c>
      <c r="C58" s="6"/>
      <c r="D58" s="6" t="s">
        <v>17</v>
      </c>
      <c r="E58" s="6" t="s">
        <v>75</v>
      </c>
      <c r="F58" s="8" t="s">
        <v>19</v>
      </c>
      <c r="G58" s="24">
        <v>1231.7</v>
      </c>
      <c r="H58" s="24"/>
      <c r="I58" s="8" t="s">
        <v>62</v>
      </c>
      <c r="J58" s="22" t="s">
        <v>21</v>
      </c>
      <c r="K58" s="22"/>
      <c r="L58" s="9"/>
      <c r="M58" s="16"/>
    </row>
    <row r="59" spans="1:13" hidden="1" x14ac:dyDescent="0.3">
      <c r="A59" s="6" t="s">
        <v>59</v>
      </c>
      <c r="B59" s="6" t="s">
        <v>60</v>
      </c>
      <c r="C59" s="6"/>
      <c r="D59" s="6" t="s">
        <v>17</v>
      </c>
      <c r="E59" s="6" t="s">
        <v>76</v>
      </c>
      <c r="F59" s="8" t="s">
        <v>19</v>
      </c>
      <c r="G59" s="24">
        <v>1225</v>
      </c>
      <c r="H59" s="24"/>
      <c r="I59" s="8" t="s">
        <v>62</v>
      </c>
      <c r="J59" s="22" t="s">
        <v>21</v>
      </c>
      <c r="K59" s="22"/>
      <c r="L59" s="9"/>
      <c r="M59" s="16"/>
    </row>
    <row r="60" spans="1:13" hidden="1" x14ac:dyDescent="0.3">
      <c r="A60" s="6" t="s">
        <v>59</v>
      </c>
      <c r="B60" s="6" t="s">
        <v>60</v>
      </c>
      <c r="C60" s="6"/>
      <c r="D60" s="6" t="s">
        <v>17</v>
      </c>
      <c r="E60" s="6" t="s">
        <v>77</v>
      </c>
      <c r="F60" s="8" t="s">
        <v>19</v>
      </c>
      <c r="G60" s="23">
        <v>550</v>
      </c>
      <c r="H60" s="23"/>
      <c r="I60" s="8" t="s">
        <v>62</v>
      </c>
      <c r="J60" s="22" t="s">
        <v>21</v>
      </c>
      <c r="K60" s="22"/>
      <c r="L60" s="9"/>
      <c r="M60" s="16"/>
    </row>
    <row r="61" spans="1:13" hidden="1" x14ac:dyDescent="0.3">
      <c r="A61" s="6" t="s">
        <v>59</v>
      </c>
      <c r="B61" s="6" t="s">
        <v>60</v>
      </c>
      <c r="C61" s="6"/>
      <c r="D61" s="6" t="s">
        <v>17</v>
      </c>
      <c r="E61" s="6" t="s">
        <v>78</v>
      </c>
      <c r="F61" s="8" t="s">
        <v>19</v>
      </c>
      <c r="G61" s="23">
        <v>550</v>
      </c>
      <c r="H61" s="23"/>
      <c r="I61" s="8" t="s">
        <v>62</v>
      </c>
      <c r="J61" s="22" t="s">
        <v>21</v>
      </c>
      <c r="K61" s="22"/>
      <c r="L61" s="9"/>
      <c r="M61" s="16"/>
    </row>
    <row r="62" spans="1:13" x14ac:dyDescent="0.3">
      <c r="A62" s="6" t="s">
        <v>59</v>
      </c>
      <c r="B62" s="6" t="s">
        <v>79</v>
      </c>
      <c r="C62" s="6" t="s">
        <v>176</v>
      </c>
      <c r="D62" s="6" t="s">
        <v>17</v>
      </c>
      <c r="E62" s="6" t="s">
        <v>34</v>
      </c>
      <c r="F62" s="8" t="s">
        <v>19</v>
      </c>
      <c r="G62" s="21">
        <v>169.19</v>
      </c>
      <c r="H62" s="21"/>
      <c r="I62" s="8" t="s">
        <v>20</v>
      </c>
      <c r="J62" s="22" t="s">
        <v>21</v>
      </c>
      <c r="K62" s="22"/>
      <c r="L62" s="9"/>
      <c r="M62" s="16"/>
    </row>
    <row r="63" spans="1:13" x14ac:dyDescent="0.3">
      <c r="A63" s="6" t="s">
        <v>59</v>
      </c>
      <c r="B63" s="6" t="s">
        <v>79</v>
      </c>
      <c r="C63" s="6" t="s">
        <v>176</v>
      </c>
      <c r="D63" s="6" t="s">
        <v>17</v>
      </c>
      <c r="E63" s="6" t="s">
        <v>35</v>
      </c>
      <c r="F63" s="8" t="s">
        <v>19</v>
      </c>
      <c r="G63" s="21">
        <v>65.67</v>
      </c>
      <c r="H63" s="21"/>
      <c r="I63" s="8" t="s">
        <v>20</v>
      </c>
      <c r="J63" s="22" t="s">
        <v>21</v>
      </c>
      <c r="K63" s="22"/>
      <c r="L63" s="9"/>
      <c r="M63" s="16"/>
    </row>
    <row r="64" spans="1:13" x14ac:dyDescent="0.3">
      <c r="A64" s="6" t="s">
        <v>59</v>
      </c>
      <c r="B64" s="78" t="s">
        <v>80</v>
      </c>
      <c r="C64" s="6" t="s">
        <v>177</v>
      </c>
      <c r="D64" s="6" t="s">
        <v>17</v>
      </c>
      <c r="E64" s="6" t="s">
        <v>34</v>
      </c>
      <c r="F64" s="8" t="s">
        <v>19</v>
      </c>
      <c r="G64" s="21">
        <v>641.74</v>
      </c>
      <c r="H64" s="21"/>
      <c r="I64" s="8" t="s">
        <v>20</v>
      </c>
      <c r="J64" s="22" t="s">
        <v>21</v>
      </c>
      <c r="K64" s="22"/>
      <c r="L64" s="9"/>
      <c r="M64" s="16"/>
    </row>
    <row r="65" spans="1:13" x14ac:dyDescent="0.3">
      <c r="A65" s="6" t="s">
        <v>59</v>
      </c>
      <c r="B65" s="78" t="s">
        <v>80</v>
      </c>
      <c r="C65" s="6" t="s">
        <v>177</v>
      </c>
      <c r="D65" s="6" t="s">
        <v>17</v>
      </c>
      <c r="E65" s="6" t="s">
        <v>35</v>
      </c>
      <c r="F65" s="8" t="s">
        <v>19</v>
      </c>
      <c r="G65" s="21">
        <v>197.01</v>
      </c>
      <c r="H65" s="21"/>
      <c r="I65" s="8" t="s">
        <v>20</v>
      </c>
      <c r="J65" s="22" t="s">
        <v>21</v>
      </c>
      <c r="K65" s="22"/>
      <c r="L65" s="9"/>
      <c r="M65" s="16"/>
    </row>
    <row r="66" spans="1:13" hidden="1" x14ac:dyDescent="0.3">
      <c r="A66" s="18" t="s">
        <v>81</v>
      </c>
      <c r="B66" s="18"/>
      <c r="C66" s="18"/>
      <c r="D66" s="18"/>
      <c r="E66" s="18"/>
      <c r="F66" s="19">
        <v>218809.76</v>
      </c>
      <c r="G66" s="19"/>
      <c r="H66" s="19"/>
      <c r="I66" s="20">
        <v>0</v>
      </c>
      <c r="J66" s="20"/>
      <c r="K66" s="20"/>
      <c r="L66" s="10"/>
      <c r="M66" s="17">
        <v>0</v>
      </c>
    </row>
    <row r="68" spans="1:13" x14ac:dyDescent="0.3">
      <c r="B68" s="79" t="s">
        <v>178</v>
      </c>
      <c r="C68">
        <v>-838.75</v>
      </c>
    </row>
    <row r="69" spans="1:13" x14ac:dyDescent="0.3">
      <c r="E69" t="s">
        <v>82</v>
      </c>
      <c r="F69">
        <v>11151.71</v>
      </c>
      <c r="G69" t="s">
        <v>173</v>
      </c>
    </row>
    <row r="70" spans="1:13" x14ac:dyDescent="0.3">
      <c r="E70" t="s">
        <v>84</v>
      </c>
      <c r="F70">
        <v>43952.22</v>
      </c>
    </row>
    <row r="71" spans="1:13" x14ac:dyDescent="0.3">
      <c r="E71" t="s">
        <v>83</v>
      </c>
      <c r="F71">
        <v>163705.82999999999</v>
      </c>
    </row>
    <row r="75" spans="1:13" x14ac:dyDescent="0.3">
      <c r="E75" s="6" t="s">
        <v>174</v>
      </c>
      <c r="F75">
        <f>SUBTOTAL(9,G11:H12)</f>
        <v>4317.1399999999994</v>
      </c>
    </row>
    <row r="76" spans="1:13" x14ac:dyDescent="0.3">
      <c r="E76" s="6" t="s">
        <v>171</v>
      </c>
      <c r="F76">
        <f>SUBTOTAL(9,G22:H23)</f>
        <v>2095.94</v>
      </c>
    </row>
    <row r="77" spans="1:13" x14ac:dyDescent="0.3">
      <c r="E77" s="6" t="s">
        <v>175</v>
      </c>
      <c r="F77">
        <f>SUBTOTAL(9,G24:H39)</f>
        <v>3665.02</v>
      </c>
    </row>
    <row r="78" spans="1:13" x14ac:dyDescent="0.3">
      <c r="E78" s="6" t="s">
        <v>176</v>
      </c>
      <c r="F78">
        <f>SUBTOTAL(9,G62:H63)</f>
        <v>234.86</v>
      </c>
    </row>
    <row r="79" spans="1:13" x14ac:dyDescent="0.3">
      <c r="E79" s="78" t="s">
        <v>177</v>
      </c>
      <c r="F79">
        <f>SUBTOTAL(9,G64:H65)</f>
        <v>838.75</v>
      </c>
    </row>
  </sheetData>
  <autoFilter ref="A9:M66" xr:uid="{18F83875-ECCD-44B6-BFF9-211531D0E107}">
    <filterColumn colId="6" showButton="0">
      <colorFilter dxfId="0"/>
    </filterColumn>
    <filterColumn colId="9" showButton="0"/>
    <filterColumn colId="11" showButton="0"/>
  </autoFilter>
  <mergeCells count="124">
    <mergeCell ref="A10:E10"/>
    <mergeCell ref="F10:K10"/>
    <mergeCell ref="G11:H11"/>
    <mergeCell ref="J11:K11"/>
    <mergeCell ref="A8:A9"/>
    <mergeCell ref="B8:B9"/>
    <mergeCell ref="D8:D9"/>
    <mergeCell ref="E8:E9"/>
    <mergeCell ref="F8:H8"/>
    <mergeCell ref="I8:K8"/>
    <mergeCell ref="G12:H12"/>
    <mergeCell ref="J12:K12"/>
    <mergeCell ref="G13:H13"/>
    <mergeCell ref="J13:K13"/>
    <mergeCell ref="G14:H14"/>
    <mergeCell ref="J14:K14"/>
    <mergeCell ref="L8:M9"/>
    <mergeCell ref="G9:H9"/>
    <mergeCell ref="J9:K9"/>
    <mergeCell ref="G18:H18"/>
    <mergeCell ref="J18:K18"/>
    <mergeCell ref="G19:H19"/>
    <mergeCell ref="J19:K19"/>
    <mergeCell ref="G20:H20"/>
    <mergeCell ref="J20:K20"/>
    <mergeCell ref="G15:H15"/>
    <mergeCell ref="J15:K15"/>
    <mergeCell ref="G16:H16"/>
    <mergeCell ref="J16:K16"/>
    <mergeCell ref="G17:H17"/>
    <mergeCell ref="J17:K17"/>
    <mergeCell ref="G24:H24"/>
    <mergeCell ref="J24:K24"/>
    <mergeCell ref="G25:H25"/>
    <mergeCell ref="J25:K25"/>
    <mergeCell ref="G26:H26"/>
    <mergeCell ref="J26:K26"/>
    <mergeCell ref="G21:H21"/>
    <mergeCell ref="J21:K21"/>
    <mergeCell ref="G22:H22"/>
    <mergeCell ref="J22:K22"/>
    <mergeCell ref="G23:H23"/>
    <mergeCell ref="J23:K23"/>
    <mergeCell ref="G30:H30"/>
    <mergeCell ref="J30:K30"/>
    <mergeCell ref="G31:H31"/>
    <mergeCell ref="J31:K31"/>
    <mergeCell ref="G32:H32"/>
    <mergeCell ref="J32:K32"/>
    <mergeCell ref="G27:H27"/>
    <mergeCell ref="J27:K27"/>
    <mergeCell ref="G28:H28"/>
    <mergeCell ref="J28:K28"/>
    <mergeCell ref="G29:H29"/>
    <mergeCell ref="J29:K29"/>
    <mergeCell ref="G36:H36"/>
    <mergeCell ref="J36:K36"/>
    <mergeCell ref="G37:H37"/>
    <mergeCell ref="J37:K37"/>
    <mergeCell ref="G38:H38"/>
    <mergeCell ref="J38:K38"/>
    <mergeCell ref="G33:H33"/>
    <mergeCell ref="J33:K33"/>
    <mergeCell ref="G34:H34"/>
    <mergeCell ref="J34:K34"/>
    <mergeCell ref="G35:H35"/>
    <mergeCell ref="J35:K35"/>
    <mergeCell ref="G42:H42"/>
    <mergeCell ref="J42:K42"/>
    <mergeCell ref="G43:H43"/>
    <mergeCell ref="J43:K43"/>
    <mergeCell ref="G44:H44"/>
    <mergeCell ref="J44:K44"/>
    <mergeCell ref="G39:H39"/>
    <mergeCell ref="J39:K39"/>
    <mergeCell ref="G40:H40"/>
    <mergeCell ref="J40:K40"/>
    <mergeCell ref="G41:H41"/>
    <mergeCell ref="J41:K41"/>
    <mergeCell ref="G48:H48"/>
    <mergeCell ref="J48:K48"/>
    <mergeCell ref="G49:H49"/>
    <mergeCell ref="J49:K49"/>
    <mergeCell ref="G50:H50"/>
    <mergeCell ref="J50:K50"/>
    <mergeCell ref="G45:H45"/>
    <mergeCell ref="J45:K45"/>
    <mergeCell ref="G46:H46"/>
    <mergeCell ref="J46:K46"/>
    <mergeCell ref="G47:H47"/>
    <mergeCell ref="J47:K47"/>
    <mergeCell ref="G54:H54"/>
    <mergeCell ref="J54:K54"/>
    <mergeCell ref="G55:H55"/>
    <mergeCell ref="J55:K55"/>
    <mergeCell ref="G56:H56"/>
    <mergeCell ref="J56:K56"/>
    <mergeCell ref="G51:H51"/>
    <mergeCell ref="J51:K51"/>
    <mergeCell ref="G52:H52"/>
    <mergeCell ref="J52:K52"/>
    <mergeCell ref="G53:H53"/>
    <mergeCell ref="J53:K53"/>
    <mergeCell ref="G60:H60"/>
    <mergeCell ref="J60:K60"/>
    <mergeCell ref="G61:H61"/>
    <mergeCell ref="J61:K61"/>
    <mergeCell ref="G62:H62"/>
    <mergeCell ref="J62:K62"/>
    <mergeCell ref="G57:H57"/>
    <mergeCell ref="J57:K57"/>
    <mergeCell ref="G58:H58"/>
    <mergeCell ref="J58:K58"/>
    <mergeCell ref="G59:H59"/>
    <mergeCell ref="J59:K59"/>
    <mergeCell ref="A66:E66"/>
    <mergeCell ref="F66:H66"/>
    <mergeCell ref="I66:K66"/>
    <mergeCell ref="G63:H63"/>
    <mergeCell ref="J63:K63"/>
    <mergeCell ref="G64:H64"/>
    <mergeCell ref="J64:K64"/>
    <mergeCell ref="G65:H65"/>
    <mergeCell ref="J65:K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D41C-CA61-4AD0-AA46-F784800728B8}">
  <dimension ref="A1:M123"/>
  <sheetViews>
    <sheetView tabSelected="1" topLeftCell="A99" workbookViewId="0">
      <selection activeCell="D121" sqref="D121"/>
    </sheetView>
  </sheetViews>
  <sheetFormatPr defaultRowHeight="14.4" x14ac:dyDescent="0.3"/>
  <cols>
    <col min="2" max="2" width="48.88671875" customWidth="1"/>
    <col min="3" max="3" width="48.6640625" customWidth="1"/>
    <col min="4" max="4" width="10.44140625" customWidth="1"/>
    <col min="5" max="5" width="8.6640625" customWidth="1"/>
  </cols>
  <sheetData>
    <row r="1" spans="1:13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15.6" x14ac:dyDescent="0.3">
      <c r="A2" s="64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3" x14ac:dyDescent="0.3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13" x14ac:dyDescent="0.3">
      <c r="A4" s="65" t="s">
        <v>2</v>
      </c>
      <c r="B4" s="65" t="s">
        <v>3</v>
      </c>
      <c r="C4" s="65"/>
      <c r="D4" s="63"/>
      <c r="E4" s="63"/>
      <c r="F4" s="63"/>
      <c r="G4" s="63"/>
      <c r="H4" s="63"/>
      <c r="I4" s="63"/>
      <c r="J4" s="63"/>
      <c r="K4" s="63"/>
      <c r="L4" s="63"/>
      <c r="M4" s="63"/>
    </row>
    <row r="5" spans="1:13" x14ac:dyDescent="0.3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</row>
    <row r="6" spans="1:13" x14ac:dyDescent="0.3">
      <c r="A6" s="65" t="s">
        <v>4</v>
      </c>
      <c r="B6" s="65" t="s">
        <v>85</v>
      </c>
      <c r="C6" s="65"/>
      <c r="D6" s="63"/>
      <c r="E6" s="63"/>
      <c r="F6" s="63"/>
      <c r="G6" s="63"/>
      <c r="H6" s="63"/>
      <c r="I6" s="63"/>
      <c r="J6" s="63"/>
      <c r="K6" s="63"/>
      <c r="L6" s="63"/>
      <c r="M6" s="63"/>
    </row>
    <row r="7" spans="1:13" x14ac:dyDescent="0.3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</row>
    <row r="8" spans="1:13" x14ac:dyDescent="0.3">
      <c r="A8" s="41" t="s">
        <v>6</v>
      </c>
      <c r="B8" s="42" t="s">
        <v>7</v>
      </c>
      <c r="C8" s="74"/>
      <c r="D8" s="42" t="s">
        <v>8</v>
      </c>
      <c r="E8" s="43" t="s">
        <v>9</v>
      </c>
      <c r="F8" s="44" t="s">
        <v>10</v>
      </c>
      <c r="G8" s="44"/>
      <c r="H8" s="44"/>
      <c r="I8" s="45" t="s">
        <v>11</v>
      </c>
      <c r="J8" s="45"/>
      <c r="K8" s="45"/>
      <c r="L8" s="42" t="s">
        <v>12</v>
      </c>
      <c r="M8" s="42"/>
    </row>
    <row r="9" spans="1:13" x14ac:dyDescent="0.3">
      <c r="A9" s="46"/>
      <c r="B9" s="47"/>
      <c r="C9" s="75"/>
      <c r="D9" s="47"/>
      <c r="E9" s="48"/>
      <c r="F9" s="49" t="s">
        <v>13</v>
      </c>
      <c r="G9" s="50"/>
      <c r="H9" s="50"/>
      <c r="I9" s="51" t="s">
        <v>13</v>
      </c>
      <c r="J9" s="52"/>
      <c r="K9" s="52"/>
      <c r="L9" s="46"/>
      <c r="M9" s="53"/>
    </row>
    <row r="10" spans="1:13" x14ac:dyDescent="0.3">
      <c r="A10" s="54" t="s">
        <v>14</v>
      </c>
      <c r="B10" s="54"/>
      <c r="C10" s="54"/>
      <c r="D10" s="54"/>
      <c r="E10" s="54"/>
      <c r="F10" s="55"/>
      <c r="G10" s="55"/>
      <c r="H10" s="55"/>
      <c r="I10" s="55"/>
      <c r="J10" s="55"/>
      <c r="K10" s="55"/>
      <c r="L10" s="56"/>
      <c r="M10" s="66">
        <v>0</v>
      </c>
    </row>
    <row r="11" spans="1:13" x14ac:dyDescent="0.3">
      <c r="A11" s="57" t="s">
        <v>86</v>
      </c>
      <c r="B11" s="57" t="s">
        <v>87</v>
      </c>
      <c r="C11" s="57" t="s">
        <v>169</v>
      </c>
      <c r="D11" s="57" t="s">
        <v>88</v>
      </c>
      <c r="E11" s="57" t="s">
        <v>89</v>
      </c>
      <c r="F11" s="58" t="s">
        <v>19</v>
      </c>
      <c r="G11" s="67">
        <v>2097.5500000000002</v>
      </c>
      <c r="H11" s="67"/>
      <c r="I11" s="58" t="s">
        <v>62</v>
      </c>
      <c r="J11" s="68" t="s">
        <v>21</v>
      </c>
      <c r="K11" s="68"/>
      <c r="L11" s="59"/>
      <c r="M11" s="69"/>
    </row>
    <row r="12" spans="1:13" x14ac:dyDescent="0.3">
      <c r="A12" s="57" t="s">
        <v>86</v>
      </c>
      <c r="B12" s="57" t="s">
        <v>87</v>
      </c>
      <c r="C12" s="57" t="s">
        <v>169</v>
      </c>
      <c r="D12" s="57" t="s">
        <v>88</v>
      </c>
      <c r="E12" s="57" t="s">
        <v>90</v>
      </c>
      <c r="F12" s="58" t="s">
        <v>19</v>
      </c>
      <c r="G12" s="70">
        <v>638.1</v>
      </c>
      <c r="H12" s="70"/>
      <c r="I12" s="58" t="s">
        <v>62</v>
      </c>
      <c r="J12" s="68" t="s">
        <v>21</v>
      </c>
      <c r="K12" s="68"/>
      <c r="L12" s="59"/>
      <c r="M12" s="69"/>
    </row>
    <row r="13" spans="1:13" x14ac:dyDescent="0.3">
      <c r="A13" s="57" t="s">
        <v>86</v>
      </c>
      <c r="B13" s="57" t="s">
        <v>87</v>
      </c>
      <c r="C13" s="57" t="s">
        <v>169</v>
      </c>
      <c r="D13" s="57" t="s">
        <v>88</v>
      </c>
      <c r="E13" s="57" t="s">
        <v>91</v>
      </c>
      <c r="F13" s="58" t="s">
        <v>19</v>
      </c>
      <c r="G13" s="70">
        <v>323.39999999999998</v>
      </c>
      <c r="H13" s="70"/>
      <c r="I13" s="58" t="s">
        <v>62</v>
      </c>
      <c r="J13" s="68" t="s">
        <v>21</v>
      </c>
      <c r="K13" s="68"/>
      <c r="L13" s="59"/>
      <c r="M13" s="69"/>
    </row>
    <row r="14" spans="1:13" x14ac:dyDescent="0.3">
      <c r="A14" s="57" t="s">
        <v>86</v>
      </c>
      <c r="B14" s="57" t="s">
        <v>87</v>
      </c>
      <c r="C14" s="57" t="s">
        <v>169</v>
      </c>
      <c r="D14" s="57" t="s">
        <v>88</v>
      </c>
      <c r="E14" s="57" t="s">
        <v>92</v>
      </c>
      <c r="F14" s="58" t="s">
        <v>19</v>
      </c>
      <c r="G14" s="70">
        <v>66.72</v>
      </c>
      <c r="H14" s="70"/>
      <c r="I14" s="58" t="s">
        <v>62</v>
      </c>
      <c r="J14" s="68" t="s">
        <v>21</v>
      </c>
      <c r="K14" s="68"/>
      <c r="L14" s="59"/>
      <c r="M14" s="69"/>
    </row>
    <row r="15" spans="1:13" x14ac:dyDescent="0.3">
      <c r="A15" s="57" t="s">
        <v>86</v>
      </c>
      <c r="B15" s="57" t="s">
        <v>87</v>
      </c>
      <c r="C15" s="57" t="s">
        <v>169</v>
      </c>
      <c r="D15" s="57" t="s">
        <v>88</v>
      </c>
      <c r="E15" s="57" t="s">
        <v>93</v>
      </c>
      <c r="F15" s="58" t="s">
        <v>19</v>
      </c>
      <c r="G15" s="67">
        <v>1501.5</v>
      </c>
      <c r="H15" s="67"/>
      <c r="I15" s="58" t="s">
        <v>62</v>
      </c>
      <c r="J15" s="68" t="s">
        <v>21</v>
      </c>
      <c r="K15" s="68"/>
      <c r="L15" s="59"/>
      <c r="M15" s="69"/>
    </row>
    <row r="16" spans="1:13" x14ac:dyDescent="0.3">
      <c r="A16" s="57" t="s">
        <v>86</v>
      </c>
      <c r="B16" s="57" t="s">
        <v>87</v>
      </c>
      <c r="C16" s="57" t="s">
        <v>169</v>
      </c>
      <c r="D16" s="57" t="s">
        <v>88</v>
      </c>
      <c r="E16" s="57" t="s">
        <v>94</v>
      </c>
      <c r="F16" s="58" t="s">
        <v>19</v>
      </c>
      <c r="G16" s="67">
        <v>1575</v>
      </c>
      <c r="H16" s="67"/>
      <c r="I16" s="58" t="s">
        <v>62</v>
      </c>
      <c r="J16" s="68" t="s">
        <v>21</v>
      </c>
      <c r="K16" s="68"/>
      <c r="L16" s="59"/>
      <c r="M16" s="69"/>
    </row>
    <row r="17" spans="1:13" x14ac:dyDescent="0.3">
      <c r="A17" s="57" t="s">
        <v>86</v>
      </c>
      <c r="B17" s="57" t="s">
        <v>87</v>
      </c>
      <c r="C17" s="57" t="s">
        <v>169</v>
      </c>
      <c r="D17" s="57" t="s">
        <v>88</v>
      </c>
      <c r="E17" s="57" t="s">
        <v>95</v>
      </c>
      <c r="F17" s="58" t="s">
        <v>19</v>
      </c>
      <c r="G17" s="70">
        <v>867</v>
      </c>
      <c r="H17" s="70"/>
      <c r="I17" s="58" t="s">
        <v>62</v>
      </c>
      <c r="J17" s="68" t="s">
        <v>21</v>
      </c>
      <c r="K17" s="68"/>
      <c r="L17" s="59"/>
      <c r="M17" s="69"/>
    </row>
    <row r="18" spans="1:13" x14ac:dyDescent="0.3">
      <c r="A18" s="57" t="s">
        <v>86</v>
      </c>
      <c r="B18" s="57" t="s">
        <v>87</v>
      </c>
      <c r="C18" s="57" t="s">
        <v>169</v>
      </c>
      <c r="D18" s="57" t="s">
        <v>88</v>
      </c>
      <c r="E18" s="57" t="s">
        <v>96</v>
      </c>
      <c r="F18" s="58" t="s">
        <v>19</v>
      </c>
      <c r="G18" s="70">
        <v>289.22000000000003</v>
      </c>
      <c r="H18" s="70"/>
      <c r="I18" s="58" t="s">
        <v>62</v>
      </c>
      <c r="J18" s="68" t="s">
        <v>21</v>
      </c>
      <c r="K18" s="68"/>
      <c r="L18" s="59"/>
      <c r="M18" s="69"/>
    </row>
    <row r="19" spans="1:13" x14ac:dyDescent="0.3">
      <c r="A19" s="57" t="s">
        <v>86</v>
      </c>
      <c r="B19" s="57" t="s">
        <v>87</v>
      </c>
      <c r="C19" s="57" t="s">
        <v>169</v>
      </c>
      <c r="D19" s="57" t="s">
        <v>88</v>
      </c>
      <c r="E19" s="57" t="s">
        <v>97</v>
      </c>
      <c r="F19" s="58" t="s">
        <v>19</v>
      </c>
      <c r="G19" s="70">
        <v>251.38</v>
      </c>
      <c r="H19" s="70"/>
      <c r="I19" s="58" t="s">
        <v>62</v>
      </c>
      <c r="J19" s="68" t="s">
        <v>21</v>
      </c>
      <c r="K19" s="68"/>
      <c r="L19" s="59"/>
      <c r="M19" s="69"/>
    </row>
    <row r="20" spans="1:13" x14ac:dyDescent="0.3">
      <c r="A20" s="57" t="s">
        <v>86</v>
      </c>
      <c r="B20" s="57" t="s">
        <v>87</v>
      </c>
      <c r="C20" s="57" t="s">
        <v>169</v>
      </c>
      <c r="D20" s="57" t="s">
        <v>88</v>
      </c>
      <c r="E20" s="57" t="s">
        <v>98</v>
      </c>
      <c r="F20" s="58" t="s">
        <v>19</v>
      </c>
      <c r="G20" s="70">
        <v>372.6</v>
      </c>
      <c r="H20" s="70"/>
      <c r="I20" s="58" t="s">
        <v>62</v>
      </c>
      <c r="J20" s="68" t="s">
        <v>21</v>
      </c>
      <c r="K20" s="68"/>
      <c r="L20" s="59"/>
      <c r="M20" s="69"/>
    </row>
    <row r="21" spans="1:13" x14ac:dyDescent="0.3">
      <c r="A21" s="57" t="s">
        <v>86</v>
      </c>
      <c r="B21" s="57" t="s">
        <v>87</v>
      </c>
      <c r="C21" s="57" t="s">
        <v>169</v>
      </c>
      <c r="D21" s="57" t="s">
        <v>88</v>
      </c>
      <c r="E21" s="57" t="s">
        <v>99</v>
      </c>
      <c r="F21" s="58" t="s">
        <v>19</v>
      </c>
      <c r="G21" s="70">
        <v>209.17</v>
      </c>
      <c r="H21" s="70"/>
      <c r="I21" s="58" t="s">
        <v>62</v>
      </c>
      <c r="J21" s="68" t="s">
        <v>21</v>
      </c>
      <c r="K21" s="68"/>
      <c r="L21" s="59"/>
      <c r="M21" s="69"/>
    </row>
    <row r="22" spans="1:13" x14ac:dyDescent="0.3">
      <c r="A22" s="57" t="s">
        <v>86</v>
      </c>
      <c r="B22" s="57" t="s">
        <v>87</v>
      </c>
      <c r="C22" s="57" t="s">
        <v>169</v>
      </c>
      <c r="D22" s="57" t="s">
        <v>88</v>
      </c>
      <c r="E22" s="57" t="s">
        <v>100</v>
      </c>
      <c r="F22" s="58" t="s">
        <v>19</v>
      </c>
      <c r="G22" s="70">
        <v>731</v>
      </c>
      <c r="H22" s="70"/>
      <c r="I22" s="58" t="s">
        <v>62</v>
      </c>
      <c r="J22" s="68" t="s">
        <v>21</v>
      </c>
      <c r="K22" s="68"/>
      <c r="L22" s="59"/>
      <c r="M22" s="69"/>
    </row>
    <row r="23" spans="1:13" x14ac:dyDescent="0.3">
      <c r="A23" s="57" t="s">
        <v>86</v>
      </c>
      <c r="B23" s="57" t="s">
        <v>87</v>
      </c>
      <c r="C23" s="57" t="s">
        <v>169</v>
      </c>
      <c r="D23" s="57" t="s">
        <v>88</v>
      </c>
      <c r="E23" s="57" t="s">
        <v>101</v>
      </c>
      <c r="F23" s="58" t="s">
        <v>19</v>
      </c>
      <c r="G23" s="70">
        <v>164.7</v>
      </c>
      <c r="H23" s="70"/>
      <c r="I23" s="58" t="s">
        <v>62</v>
      </c>
      <c r="J23" s="68" t="s">
        <v>21</v>
      </c>
      <c r="K23" s="68"/>
      <c r="L23" s="59"/>
      <c r="M23" s="69"/>
    </row>
    <row r="24" spans="1:13" x14ac:dyDescent="0.3">
      <c r="A24" s="57" t="s">
        <v>86</v>
      </c>
      <c r="B24" s="57" t="s">
        <v>87</v>
      </c>
      <c r="C24" s="57" t="s">
        <v>169</v>
      </c>
      <c r="D24" s="57" t="s">
        <v>88</v>
      </c>
      <c r="E24" s="57" t="s">
        <v>102</v>
      </c>
      <c r="F24" s="58" t="s">
        <v>19</v>
      </c>
      <c r="G24" s="70">
        <v>230.5</v>
      </c>
      <c r="H24" s="70"/>
      <c r="I24" s="58" t="s">
        <v>62</v>
      </c>
      <c r="J24" s="68" t="s">
        <v>21</v>
      </c>
      <c r="K24" s="68"/>
      <c r="L24" s="59"/>
      <c r="M24" s="69"/>
    </row>
    <row r="25" spans="1:13" x14ac:dyDescent="0.3">
      <c r="A25" s="57" t="s">
        <v>86</v>
      </c>
      <c r="B25" s="57" t="s">
        <v>87</v>
      </c>
      <c r="C25" s="57" t="s">
        <v>169</v>
      </c>
      <c r="D25" s="57" t="s">
        <v>88</v>
      </c>
      <c r="E25" s="57" t="s">
        <v>103</v>
      </c>
      <c r="F25" s="58" t="s">
        <v>19</v>
      </c>
      <c r="G25" s="70">
        <v>978.86</v>
      </c>
      <c r="H25" s="70"/>
      <c r="I25" s="58" t="s">
        <v>62</v>
      </c>
      <c r="J25" s="68" t="s">
        <v>21</v>
      </c>
      <c r="K25" s="68"/>
      <c r="L25" s="59"/>
      <c r="M25" s="69"/>
    </row>
    <row r="26" spans="1:13" x14ac:dyDescent="0.3">
      <c r="A26" s="57" t="s">
        <v>86</v>
      </c>
      <c r="B26" s="57" t="s">
        <v>87</v>
      </c>
      <c r="C26" s="57" t="s">
        <v>169</v>
      </c>
      <c r="D26" s="57" t="s">
        <v>88</v>
      </c>
      <c r="E26" s="57" t="s">
        <v>104</v>
      </c>
      <c r="F26" s="58" t="s">
        <v>19</v>
      </c>
      <c r="G26" s="70">
        <v>361.6</v>
      </c>
      <c r="H26" s="70"/>
      <c r="I26" s="58" t="s">
        <v>62</v>
      </c>
      <c r="J26" s="68" t="s">
        <v>21</v>
      </c>
      <c r="K26" s="68"/>
      <c r="L26" s="59"/>
      <c r="M26" s="69"/>
    </row>
    <row r="27" spans="1:13" x14ac:dyDescent="0.3">
      <c r="A27" s="57" t="s">
        <v>86</v>
      </c>
      <c r="B27" s="57" t="s">
        <v>87</v>
      </c>
      <c r="C27" s="57" t="s">
        <v>169</v>
      </c>
      <c r="D27" s="57" t="s">
        <v>88</v>
      </c>
      <c r="E27" s="57" t="s">
        <v>105</v>
      </c>
      <c r="F27" s="58" t="s">
        <v>19</v>
      </c>
      <c r="G27" s="70">
        <v>118.75</v>
      </c>
      <c r="H27" s="70"/>
      <c r="I27" s="58" t="s">
        <v>62</v>
      </c>
      <c r="J27" s="68" t="s">
        <v>21</v>
      </c>
      <c r="K27" s="68"/>
      <c r="L27" s="59"/>
      <c r="M27" s="69"/>
    </row>
    <row r="28" spans="1:13" x14ac:dyDescent="0.3">
      <c r="A28" s="57" t="s">
        <v>86</v>
      </c>
      <c r="B28" s="57" t="s">
        <v>87</v>
      </c>
      <c r="C28" s="57" t="s">
        <v>169</v>
      </c>
      <c r="D28" s="57" t="s">
        <v>88</v>
      </c>
      <c r="E28" s="57" t="s">
        <v>106</v>
      </c>
      <c r="F28" s="58" t="s">
        <v>19</v>
      </c>
      <c r="G28" s="70">
        <v>127</v>
      </c>
      <c r="H28" s="70"/>
      <c r="I28" s="58" t="s">
        <v>62</v>
      </c>
      <c r="J28" s="68" t="s">
        <v>21</v>
      </c>
      <c r="K28" s="68"/>
      <c r="L28" s="59"/>
      <c r="M28" s="69"/>
    </row>
    <row r="29" spans="1:13" x14ac:dyDescent="0.3">
      <c r="A29" s="57" t="s">
        <v>86</v>
      </c>
      <c r="B29" s="57" t="s">
        <v>87</v>
      </c>
      <c r="C29" s="57" t="s">
        <v>169</v>
      </c>
      <c r="D29" s="57" t="s">
        <v>88</v>
      </c>
      <c r="E29" s="57" t="s">
        <v>107</v>
      </c>
      <c r="F29" s="58" t="s">
        <v>19</v>
      </c>
      <c r="G29" s="70">
        <v>553.87</v>
      </c>
      <c r="H29" s="70"/>
      <c r="I29" s="58" t="s">
        <v>62</v>
      </c>
      <c r="J29" s="68" t="s">
        <v>21</v>
      </c>
      <c r="K29" s="68"/>
      <c r="L29" s="59"/>
      <c r="M29" s="69"/>
    </row>
    <row r="30" spans="1:13" x14ac:dyDescent="0.3">
      <c r="A30" s="57" t="s">
        <v>86</v>
      </c>
      <c r="B30" s="57" t="s">
        <v>87</v>
      </c>
      <c r="C30" s="57" t="s">
        <v>169</v>
      </c>
      <c r="D30" s="57" t="s">
        <v>88</v>
      </c>
      <c r="E30" s="57" t="s">
        <v>108</v>
      </c>
      <c r="F30" s="58" t="s">
        <v>19</v>
      </c>
      <c r="G30" s="67">
        <v>6020</v>
      </c>
      <c r="H30" s="67"/>
      <c r="I30" s="58" t="s">
        <v>62</v>
      </c>
      <c r="J30" s="68" t="s">
        <v>21</v>
      </c>
      <c r="K30" s="68"/>
      <c r="L30" s="59"/>
      <c r="M30" s="69"/>
    </row>
    <row r="31" spans="1:13" x14ac:dyDescent="0.3">
      <c r="A31" s="57" t="s">
        <v>86</v>
      </c>
      <c r="B31" s="57" t="s">
        <v>87</v>
      </c>
      <c r="C31" s="57" t="s">
        <v>169</v>
      </c>
      <c r="D31" s="57" t="s">
        <v>88</v>
      </c>
      <c r="E31" s="57" t="s">
        <v>109</v>
      </c>
      <c r="F31" s="58" t="s">
        <v>19</v>
      </c>
      <c r="G31" s="67">
        <v>2053.54</v>
      </c>
      <c r="H31" s="67"/>
      <c r="I31" s="58" t="s">
        <v>62</v>
      </c>
      <c r="J31" s="68" t="s">
        <v>21</v>
      </c>
      <c r="K31" s="68"/>
      <c r="L31" s="59"/>
      <c r="M31" s="69"/>
    </row>
    <row r="32" spans="1:13" x14ac:dyDescent="0.3">
      <c r="A32" s="57" t="s">
        <v>86</v>
      </c>
      <c r="B32" s="57" t="s">
        <v>87</v>
      </c>
      <c r="C32" s="57" t="s">
        <v>169</v>
      </c>
      <c r="D32" s="57" t="s">
        <v>88</v>
      </c>
      <c r="E32" s="57" t="s">
        <v>110</v>
      </c>
      <c r="F32" s="58" t="s">
        <v>19</v>
      </c>
      <c r="G32" s="70">
        <v>122.5</v>
      </c>
      <c r="H32" s="70"/>
      <c r="I32" s="58" t="s">
        <v>62</v>
      </c>
      <c r="J32" s="68" t="s">
        <v>21</v>
      </c>
      <c r="K32" s="68"/>
      <c r="L32" s="59"/>
      <c r="M32" s="69"/>
    </row>
    <row r="33" spans="1:13" x14ac:dyDescent="0.3">
      <c r="A33" s="57" t="s">
        <v>86</v>
      </c>
      <c r="B33" s="57" t="s">
        <v>87</v>
      </c>
      <c r="C33" s="57" t="s">
        <v>169</v>
      </c>
      <c r="D33" s="57" t="s">
        <v>88</v>
      </c>
      <c r="E33" s="57" t="s">
        <v>111</v>
      </c>
      <c r="F33" s="58" t="s">
        <v>19</v>
      </c>
      <c r="G33" s="70">
        <v>440</v>
      </c>
      <c r="H33" s="70"/>
      <c r="I33" s="58" t="s">
        <v>62</v>
      </c>
      <c r="J33" s="68" t="s">
        <v>21</v>
      </c>
      <c r="K33" s="68"/>
      <c r="L33" s="59"/>
      <c r="M33" s="69"/>
    </row>
    <row r="34" spans="1:13" x14ac:dyDescent="0.3">
      <c r="A34" s="57" t="s">
        <v>39</v>
      </c>
      <c r="B34" s="57" t="s">
        <v>112</v>
      </c>
      <c r="C34" s="57" t="s">
        <v>169</v>
      </c>
      <c r="D34" s="57" t="s">
        <v>88</v>
      </c>
      <c r="E34" s="57" t="s">
        <v>113</v>
      </c>
      <c r="F34" s="58" t="s">
        <v>19</v>
      </c>
      <c r="G34" s="70">
        <v>139.11000000000001</v>
      </c>
      <c r="H34" s="70"/>
      <c r="I34" s="58" t="s">
        <v>62</v>
      </c>
      <c r="J34" s="68" t="s">
        <v>21</v>
      </c>
      <c r="K34" s="68"/>
      <c r="L34" s="59"/>
      <c r="M34" s="69"/>
    </row>
    <row r="35" spans="1:13" x14ac:dyDescent="0.3">
      <c r="A35" s="57" t="s">
        <v>39</v>
      </c>
      <c r="B35" s="57" t="s">
        <v>112</v>
      </c>
      <c r="C35" s="57" t="s">
        <v>169</v>
      </c>
      <c r="D35" s="57" t="s">
        <v>88</v>
      </c>
      <c r="E35" s="57" t="s">
        <v>114</v>
      </c>
      <c r="F35" s="58" t="s">
        <v>19</v>
      </c>
      <c r="G35" s="70">
        <v>278.22000000000003</v>
      </c>
      <c r="H35" s="70"/>
      <c r="I35" s="58" t="s">
        <v>62</v>
      </c>
      <c r="J35" s="68" t="s">
        <v>21</v>
      </c>
      <c r="K35" s="68"/>
      <c r="L35" s="59"/>
      <c r="M35" s="69"/>
    </row>
    <row r="36" spans="1:13" x14ac:dyDescent="0.3">
      <c r="A36" s="57" t="s">
        <v>39</v>
      </c>
      <c r="B36" s="57" t="s">
        <v>112</v>
      </c>
      <c r="C36" s="57" t="s">
        <v>169</v>
      </c>
      <c r="D36" s="57" t="s">
        <v>88</v>
      </c>
      <c r="E36" s="57" t="s">
        <v>115</v>
      </c>
      <c r="F36" s="58" t="s">
        <v>19</v>
      </c>
      <c r="G36" s="70">
        <v>187.84</v>
      </c>
      <c r="H36" s="70"/>
      <c r="I36" s="58" t="s">
        <v>62</v>
      </c>
      <c r="J36" s="68" t="s">
        <v>21</v>
      </c>
      <c r="K36" s="68"/>
      <c r="L36" s="59"/>
      <c r="M36" s="69"/>
    </row>
    <row r="37" spans="1:13" x14ac:dyDescent="0.3">
      <c r="A37" s="57" t="s">
        <v>39</v>
      </c>
      <c r="B37" s="57" t="s">
        <v>112</v>
      </c>
      <c r="C37" s="57" t="s">
        <v>169</v>
      </c>
      <c r="D37" s="57" t="s">
        <v>88</v>
      </c>
      <c r="E37" s="57" t="s">
        <v>116</v>
      </c>
      <c r="F37" s="58" t="s">
        <v>19</v>
      </c>
      <c r="G37" s="70">
        <v>187.84</v>
      </c>
      <c r="H37" s="70"/>
      <c r="I37" s="58" t="s">
        <v>62</v>
      </c>
      <c r="J37" s="68" t="s">
        <v>21</v>
      </c>
      <c r="K37" s="68"/>
      <c r="L37" s="59"/>
      <c r="M37" s="69"/>
    </row>
    <row r="38" spans="1:13" x14ac:dyDescent="0.3">
      <c r="A38" s="57" t="s">
        <v>39</v>
      </c>
      <c r="B38" s="57" t="s">
        <v>112</v>
      </c>
      <c r="C38" s="57" t="s">
        <v>169</v>
      </c>
      <c r="D38" s="57" t="s">
        <v>88</v>
      </c>
      <c r="E38" s="57" t="s">
        <v>117</v>
      </c>
      <c r="F38" s="58" t="s">
        <v>19</v>
      </c>
      <c r="G38" s="70">
        <v>191.43</v>
      </c>
      <c r="H38" s="70"/>
      <c r="I38" s="58" t="s">
        <v>62</v>
      </c>
      <c r="J38" s="68" t="s">
        <v>21</v>
      </c>
      <c r="K38" s="68"/>
      <c r="L38" s="59"/>
      <c r="M38" s="69"/>
    </row>
    <row r="39" spans="1:13" x14ac:dyDescent="0.3">
      <c r="A39" s="57" t="s">
        <v>39</v>
      </c>
      <c r="B39" s="57" t="s">
        <v>112</v>
      </c>
      <c r="C39" s="57" t="s">
        <v>169</v>
      </c>
      <c r="D39" s="57" t="s">
        <v>88</v>
      </c>
      <c r="E39" s="57" t="s">
        <v>118</v>
      </c>
      <c r="F39" s="58" t="s">
        <v>19</v>
      </c>
      <c r="G39" s="70">
        <v>574.29</v>
      </c>
      <c r="H39" s="70"/>
      <c r="I39" s="58" t="s">
        <v>62</v>
      </c>
      <c r="J39" s="68" t="s">
        <v>21</v>
      </c>
      <c r="K39" s="68"/>
      <c r="L39" s="59"/>
      <c r="M39" s="69"/>
    </row>
    <row r="40" spans="1:13" x14ac:dyDescent="0.3">
      <c r="A40" s="57" t="s">
        <v>39</v>
      </c>
      <c r="B40" s="57" t="s">
        <v>112</v>
      </c>
      <c r="C40" s="57" t="s">
        <v>169</v>
      </c>
      <c r="D40" s="57" t="s">
        <v>88</v>
      </c>
      <c r="E40" s="57" t="s">
        <v>119</v>
      </c>
      <c r="F40" s="58" t="s">
        <v>19</v>
      </c>
      <c r="G40" s="70">
        <v>161.69999999999999</v>
      </c>
      <c r="H40" s="70"/>
      <c r="I40" s="58" t="s">
        <v>62</v>
      </c>
      <c r="J40" s="68" t="s">
        <v>21</v>
      </c>
      <c r="K40" s="68"/>
      <c r="L40" s="59"/>
      <c r="M40" s="69"/>
    </row>
    <row r="41" spans="1:13" x14ac:dyDescent="0.3">
      <c r="A41" s="57" t="s">
        <v>39</v>
      </c>
      <c r="B41" s="57" t="s">
        <v>112</v>
      </c>
      <c r="C41" s="57" t="s">
        <v>169</v>
      </c>
      <c r="D41" s="57" t="s">
        <v>88</v>
      </c>
      <c r="E41" s="57" t="s">
        <v>120</v>
      </c>
      <c r="F41" s="58" t="s">
        <v>19</v>
      </c>
      <c r="G41" s="67">
        <v>3155.86</v>
      </c>
      <c r="H41" s="67"/>
      <c r="I41" s="58" t="s">
        <v>62</v>
      </c>
      <c r="J41" s="68" t="s">
        <v>21</v>
      </c>
      <c r="K41" s="68"/>
      <c r="L41" s="59"/>
      <c r="M41" s="69"/>
    </row>
    <row r="42" spans="1:13" x14ac:dyDescent="0.3">
      <c r="A42" s="57" t="s">
        <v>39</v>
      </c>
      <c r="B42" s="57" t="s">
        <v>112</v>
      </c>
      <c r="C42" s="57" t="s">
        <v>169</v>
      </c>
      <c r="D42" s="57" t="s">
        <v>88</v>
      </c>
      <c r="E42" s="57" t="s">
        <v>121</v>
      </c>
      <c r="F42" s="58" t="s">
        <v>19</v>
      </c>
      <c r="G42" s="67">
        <v>6785.8</v>
      </c>
      <c r="H42" s="67"/>
      <c r="I42" s="58" t="s">
        <v>62</v>
      </c>
      <c r="J42" s="68" t="s">
        <v>21</v>
      </c>
      <c r="K42" s="68"/>
      <c r="L42" s="59"/>
      <c r="M42" s="69"/>
    </row>
    <row r="43" spans="1:13" x14ac:dyDescent="0.3">
      <c r="A43" s="57" t="s">
        <v>39</v>
      </c>
      <c r="B43" s="57" t="s">
        <v>112</v>
      </c>
      <c r="C43" s="57" t="s">
        <v>169</v>
      </c>
      <c r="D43" s="57" t="s">
        <v>88</v>
      </c>
      <c r="E43" s="57" t="s">
        <v>122</v>
      </c>
      <c r="F43" s="58" t="s">
        <v>19</v>
      </c>
      <c r="G43" s="70">
        <v>85.8</v>
      </c>
      <c r="H43" s="70"/>
      <c r="I43" s="58" t="s">
        <v>62</v>
      </c>
      <c r="J43" s="68" t="s">
        <v>21</v>
      </c>
      <c r="K43" s="68"/>
      <c r="L43" s="59"/>
      <c r="M43" s="69"/>
    </row>
    <row r="44" spans="1:13" x14ac:dyDescent="0.3">
      <c r="A44" s="57" t="s">
        <v>39</v>
      </c>
      <c r="B44" s="57" t="s">
        <v>112</v>
      </c>
      <c r="C44" s="57" t="s">
        <v>169</v>
      </c>
      <c r="D44" s="57" t="s">
        <v>88</v>
      </c>
      <c r="E44" s="57" t="s">
        <v>123</v>
      </c>
      <c r="F44" s="58" t="s">
        <v>19</v>
      </c>
      <c r="G44" s="70">
        <v>121.55</v>
      </c>
      <c r="H44" s="70"/>
      <c r="I44" s="58" t="s">
        <v>62</v>
      </c>
      <c r="J44" s="68" t="s">
        <v>21</v>
      </c>
      <c r="K44" s="68"/>
      <c r="L44" s="59"/>
      <c r="M44" s="69"/>
    </row>
    <row r="45" spans="1:13" x14ac:dyDescent="0.3">
      <c r="A45" s="57" t="s">
        <v>39</v>
      </c>
      <c r="B45" s="57" t="s">
        <v>112</v>
      </c>
      <c r="C45" s="57" t="s">
        <v>169</v>
      </c>
      <c r="D45" s="57" t="s">
        <v>88</v>
      </c>
      <c r="E45" s="57" t="s">
        <v>124</v>
      </c>
      <c r="F45" s="58" t="s">
        <v>19</v>
      </c>
      <c r="G45" s="70">
        <v>472.5</v>
      </c>
      <c r="H45" s="70"/>
      <c r="I45" s="58" t="s">
        <v>62</v>
      </c>
      <c r="J45" s="68" t="s">
        <v>21</v>
      </c>
      <c r="K45" s="68"/>
      <c r="L45" s="59"/>
      <c r="M45" s="69"/>
    </row>
    <row r="46" spans="1:13" x14ac:dyDescent="0.3">
      <c r="A46" s="57" t="s">
        <v>39</v>
      </c>
      <c r="B46" s="57" t="s">
        <v>112</v>
      </c>
      <c r="C46" s="57" t="s">
        <v>169</v>
      </c>
      <c r="D46" s="57" t="s">
        <v>88</v>
      </c>
      <c r="E46" s="57" t="s">
        <v>125</v>
      </c>
      <c r="F46" s="58" t="s">
        <v>19</v>
      </c>
      <c r="G46" s="70">
        <v>819</v>
      </c>
      <c r="H46" s="70"/>
      <c r="I46" s="58" t="s">
        <v>62</v>
      </c>
      <c r="J46" s="68" t="s">
        <v>21</v>
      </c>
      <c r="K46" s="68"/>
      <c r="L46" s="59"/>
      <c r="M46" s="69"/>
    </row>
    <row r="47" spans="1:13" x14ac:dyDescent="0.3">
      <c r="A47" s="57" t="s">
        <v>39</v>
      </c>
      <c r="B47" s="57" t="s">
        <v>112</v>
      </c>
      <c r="C47" s="57" t="s">
        <v>169</v>
      </c>
      <c r="D47" s="57" t="s">
        <v>88</v>
      </c>
      <c r="E47" s="57" t="s">
        <v>124</v>
      </c>
      <c r="F47" s="58" t="s">
        <v>19</v>
      </c>
      <c r="G47" s="70">
        <v>289</v>
      </c>
      <c r="H47" s="70"/>
      <c r="I47" s="58" t="s">
        <v>62</v>
      </c>
      <c r="J47" s="68" t="s">
        <v>21</v>
      </c>
      <c r="K47" s="68"/>
      <c r="L47" s="59"/>
      <c r="M47" s="69"/>
    </row>
    <row r="48" spans="1:13" x14ac:dyDescent="0.3">
      <c r="A48" s="57" t="s">
        <v>39</v>
      </c>
      <c r="B48" s="57" t="s">
        <v>112</v>
      </c>
      <c r="C48" s="57" t="s">
        <v>169</v>
      </c>
      <c r="D48" s="57" t="s">
        <v>88</v>
      </c>
      <c r="E48" s="57" t="s">
        <v>125</v>
      </c>
      <c r="F48" s="58" t="s">
        <v>19</v>
      </c>
      <c r="G48" s="70">
        <v>289</v>
      </c>
      <c r="H48" s="70"/>
      <c r="I48" s="58" t="s">
        <v>62</v>
      </c>
      <c r="J48" s="68" t="s">
        <v>21</v>
      </c>
      <c r="K48" s="68"/>
      <c r="L48" s="59"/>
      <c r="M48" s="69"/>
    </row>
    <row r="49" spans="1:13" x14ac:dyDescent="0.3">
      <c r="A49" s="57" t="s">
        <v>39</v>
      </c>
      <c r="B49" s="57" t="s">
        <v>112</v>
      </c>
      <c r="C49" s="57" t="s">
        <v>169</v>
      </c>
      <c r="D49" s="57" t="s">
        <v>88</v>
      </c>
      <c r="E49" s="57" t="s">
        <v>126</v>
      </c>
      <c r="F49" s="58" t="s">
        <v>19</v>
      </c>
      <c r="G49" s="70">
        <v>854.15</v>
      </c>
      <c r="H49" s="70"/>
      <c r="I49" s="58" t="s">
        <v>62</v>
      </c>
      <c r="J49" s="68" t="s">
        <v>21</v>
      </c>
      <c r="K49" s="68"/>
      <c r="L49" s="59"/>
      <c r="M49" s="69"/>
    </row>
    <row r="50" spans="1:13" x14ac:dyDescent="0.3">
      <c r="A50" s="57" t="s">
        <v>39</v>
      </c>
      <c r="B50" s="57" t="s">
        <v>112</v>
      </c>
      <c r="C50" s="57" t="s">
        <v>169</v>
      </c>
      <c r="D50" s="57" t="s">
        <v>88</v>
      </c>
      <c r="E50" s="57" t="s">
        <v>127</v>
      </c>
      <c r="F50" s="58" t="s">
        <v>19</v>
      </c>
      <c r="G50" s="67">
        <v>1513.68</v>
      </c>
      <c r="H50" s="67"/>
      <c r="I50" s="58" t="s">
        <v>62</v>
      </c>
      <c r="J50" s="68" t="s">
        <v>21</v>
      </c>
      <c r="K50" s="68"/>
      <c r="L50" s="59"/>
      <c r="M50" s="69"/>
    </row>
    <row r="51" spans="1:13" x14ac:dyDescent="0.3">
      <c r="A51" s="57" t="s">
        <v>39</v>
      </c>
      <c r="B51" s="57" t="s">
        <v>112</v>
      </c>
      <c r="C51" s="57" t="s">
        <v>169</v>
      </c>
      <c r="D51" s="57" t="s">
        <v>88</v>
      </c>
      <c r="E51" s="57" t="s">
        <v>128</v>
      </c>
      <c r="F51" s="58" t="s">
        <v>19</v>
      </c>
      <c r="G51" s="70">
        <v>161.69999999999999</v>
      </c>
      <c r="H51" s="70"/>
      <c r="I51" s="58" t="s">
        <v>62</v>
      </c>
      <c r="J51" s="68" t="s">
        <v>21</v>
      </c>
      <c r="K51" s="68"/>
      <c r="L51" s="59"/>
      <c r="M51" s="69"/>
    </row>
    <row r="52" spans="1:13" x14ac:dyDescent="0.3">
      <c r="A52" s="57" t="s">
        <v>39</v>
      </c>
      <c r="B52" s="57" t="s">
        <v>112</v>
      </c>
      <c r="C52" s="57" t="s">
        <v>169</v>
      </c>
      <c r="D52" s="57" t="s">
        <v>88</v>
      </c>
      <c r="E52" s="57" t="s">
        <v>129</v>
      </c>
      <c r="F52" s="58" t="s">
        <v>19</v>
      </c>
      <c r="G52" s="70">
        <v>52.66</v>
      </c>
      <c r="H52" s="70"/>
      <c r="I52" s="58" t="s">
        <v>62</v>
      </c>
      <c r="J52" s="68" t="s">
        <v>21</v>
      </c>
      <c r="K52" s="68"/>
      <c r="L52" s="59"/>
      <c r="M52" s="69"/>
    </row>
    <row r="53" spans="1:13" x14ac:dyDescent="0.3">
      <c r="A53" s="57" t="s">
        <v>39</v>
      </c>
      <c r="B53" s="57" t="s">
        <v>112</v>
      </c>
      <c r="C53" s="57" t="s">
        <v>169</v>
      </c>
      <c r="D53" s="57" t="s">
        <v>88</v>
      </c>
      <c r="E53" s="57" t="s">
        <v>130</v>
      </c>
      <c r="F53" s="58" t="s">
        <v>19</v>
      </c>
      <c r="G53" s="70">
        <v>207.45</v>
      </c>
      <c r="H53" s="70"/>
      <c r="I53" s="58" t="s">
        <v>62</v>
      </c>
      <c r="J53" s="68" t="s">
        <v>21</v>
      </c>
      <c r="K53" s="68"/>
      <c r="L53" s="59"/>
      <c r="M53" s="69"/>
    </row>
    <row r="54" spans="1:13" x14ac:dyDescent="0.3">
      <c r="A54" s="57" t="s">
        <v>39</v>
      </c>
      <c r="B54" s="57" t="s">
        <v>112</v>
      </c>
      <c r="C54" s="57" t="s">
        <v>169</v>
      </c>
      <c r="D54" s="57" t="s">
        <v>88</v>
      </c>
      <c r="E54" s="57" t="s">
        <v>131</v>
      </c>
      <c r="F54" s="58" t="s">
        <v>19</v>
      </c>
      <c r="G54" s="70">
        <v>345.48</v>
      </c>
      <c r="H54" s="70"/>
      <c r="I54" s="58" t="s">
        <v>62</v>
      </c>
      <c r="J54" s="68" t="s">
        <v>21</v>
      </c>
      <c r="K54" s="68"/>
      <c r="L54" s="59"/>
      <c r="M54" s="69"/>
    </row>
    <row r="55" spans="1:13" x14ac:dyDescent="0.3">
      <c r="A55" s="57" t="s">
        <v>39</v>
      </c>
      <c r="B55" s="57" t="s">
        <v>112</v>
      </c>
      <c r="C55" s="57" t="s">
        <v>169</v>
      </c>
      <c r="D55" s="57" t="s">
        <v>88</v>
      </c>
      <c r="E55" s="57" t="s">
        <v>132</v>
      </c>
      <c r="F55" s="58" t="s">
        <v>19</v>
      </c>
      <c r="G55" s="70">
        <v>633.38</v>
      </c>
      <c r="H55" s="70"/>
      <c r="I55" s="58" t="s">
        <v>62</v>
      </c>
      <c r="J55" s="68" t="s">
        <v>21</v>
      </c>
      <c r="K55" s="68"/>
      <c r="L55" s="59"/>
      <c r="M55" s="69"/>
    </row>
    <row r="56" spans="1:13" x14ac:dyDescent="0.3">
      <c r="A56" s="57" t="s">
        <v>39</v>
      </c>
      <c r="B56" s="57" t="s">
        <v>112</v>
      </c>
      <c r="C56" s="57" t="s">
        <v>169</v>
      </c>
      <c r="D56" s="57" t="s">
        <v>88</v>
      </c>
      <c r="E56" s="57" t="s">
        <v>133</v>
      </c>
      <c r="F56" s="58" t="s">
        <v>19</v>
      </c>
      <c r="G56" s="70">
        <v>185.8</v>
      </c>
      <c r="H56" s="70"/>
      <c r="I56" s="58" t="s">
        <v>62</v>
      </c>
      <c r="J56" s="68" t="s">
        <v>21</v>
      </c>
      <c r="K56" s="68"/>
      <c r="L56" s="59"/>
      <c r="M56" s="69"/>
    </row>
    <row r="57" spans="1:13" x14ac:dyDescent="0.3">
      <c r="A57" s="57" t="s">
        <v>39</v>
      </c>
      <c r="B57" s="57" t="s">
        <v>112</v>
      </c>
      <c r="C57" s="57" t="s">
        <v>169</v>
      </c>
      <c r="D57" s="57" t="s">
        <v>88</v>
      </c>
      <c r="E57" s="57" t="s">
        <v>134</v>
      </c>
      <c r="F57" s="58" t="s">
        <v>19</v>
      </c>
      <c r="G57" s="70">
        <v>185.8</v>
      </c>
      <c r="H57" s="70"/>
      <c r="I57" s="58" t="s">
        <v>62</v>
      </c>
      <c r="J57" s="68" t="s">
        <v>21</v>
      </c>
      <c r="K57" s="68"/>
      <c r="L57" s="59"/>
      <c r="M57" s="69"/>
    </row>
    <row r="58" spans="1:13" x14ac:dyDescent="0.3">
      <c r="A58" s="57" t="s">
        <v>39</v>
      </c>
      <c r="B58" s="57" t="s">
        <v>112</v>
      </c>
      <c r="C58" s="57" t="s">
        <v>169</v>
      </c>
      <c r="D58" s="57" t="s">
        <v>88</v>
      </c>
      <c r="E58" s="57" t="s">
        <v>135</v>
      </c>
      <c r="F58" s="58" t="s">
        <v>19</v>
      </c>
      <c r="G58" s="70">
        <v>254</v>
      </c>
      <c r="H58" s="70"/>
      <c r="I58" s="58" t="s">
        <v>62</v>
      </c>
      <c r="J58" s="68" t="s">
        <v>21</v>
      </c>
      <c r="K58" s="68"/>
      <c r="L58" s="59"/>
      <c r="M58" s="69"/>
    </row>
    <row r="59" spans="1:13" x14ac:dyDescent="0.3">
      <c r="A59" s="57" t="s">
        <v>39</v>
      </c>
      <c r="B59" s="57" t="s">
        <v>112</v>
      </c>
      <c r="C59" s="57" t="s">
        <v>169</v>
      </c>
      <c r="D59" s="57" t="s">
        <v>88</v>
      </c>
      <c r="E59" s="57" t="s">
        <v>136</v>
      </c>
      <c r="F59" s="58" t="s">
        <v>19</v>
      </c>
      <c r="G59" s="70">
        <v>127</v>
      </c>
      <c r="H59" s="70"/>
      <c r="I59" s="58" t="s">
        <v>62</v>
      </c>
      <c r="J59" s="68" t="s">
        <v>21</v>
      </c>
      <c r="K59" s="68"/>
      <c r="L59" s="59"/>
      <c r="M59" s="69"/>
    </row>
    <row r="60" spans="1:13" x14ac:dyDescent="0.3">
      <c r="A60" s="57" t="s">
        <v>39</v>
      </c>
      <c r="B60" s="57" t="s">
        <v>112</v>
      </c>
      <c r="C60" s="57" t="s">
        <v>169</v>
      </c>
      <c r="D60" s="57" t="s">
        <v>88</v>
      </c>
      <c r="E60" s="57" t="s">
        <v>137</v>
      </c>
      <c r="F60" s="58" t="s">
        <v>19</v>
      </c>
      <c r="G60" s="70">
        <v>254</v>
      </c>
      <c r="H60" s="70"/>
      <c r="I60" s="58" t="s">
        <v>62</v>
      </c>
      <c r="J60" s="68" t="s">
        <v>21</v>
      </c>
      <c r="K60" s="68"/>
      <c r="L60" s="59"/>
      <c r="M60" s="69"/>
    </row>
    <row r="61" spans="1:13" x14ac:dyDescent="0.3">
      <c r="A61" s="57" t="s">
        <v>39</v>
      </c>
      <c r="B61" s="57" t="s">
        <v>112</v>
      </c>
      <c r="C61" s="57" t="s">
        <v>169</v>
      </c>
      <c r="D61" s="57" t="s">
        <v>88</v>
      </c>
      <c r="E61" s="57" t="s">
        <v>138</v>
      </c>
      <c r="F61" s="58" t="s">
        <v>19</v>
      </c>
      <c r="G61" s="67">
        <v>3346.67</v>
      </c>
      <c r="H61" s="67"/>
      <c r="I61" s="58" t="s">
        <v>62</v>
      </c>
      <c r="J61" s="68" t="s">
        <v>21</v>
      </c>
      <c r="K61" s="68"/>
      <c r="L61" s="59"/>
      <c r="M61" s="69"/>
    </row>
    <row r="62" spans="1:13" x14ac:dyDescent="0.3">
      <c r="A62" s="57" t="s">
        <v>39</v>
      </c>
      <c r="B62" s="57" t="s">
        <v>112</v>
      </c>
      <c r="C62" s="57" t="s">
        <v>169</v>
      </c>
      <c r="D62" s="57" t="s">
        <v>88</v>
      </c>
      <c r="E62" s="57" t="s">
        <v>139</v>
      </c>
      <c r="F62" s="58" t="s">
        <v>19</v>
      </c>
      <c r="G62" s="67">
        <v>20036.310000000001</v>
      </c>
      <c r="H62" s="67"/>
      <c r="I62" s="58" t="s">
        <v>62</v>
      </c>
      <c r="J62" s="68" t="s">
        <v>21</v>
      </c>
      <c r="K62" s="68"/>
      <c r="L62" s="59"/>
      <c r="M62" s="69"/>
    </row>
    <row r="63" spans="1:13" x14ac:dyDescent="0.3">
      <c r="A63" s="57" t="s">
        <v>51</v>
      </c>
      <c r="B63" s="57" t="s">
        <v>140</v>
      </c>
      <c r="C63" s="57" t="s">
        <v>170</v>
      </c>
      <c r="D63" s="57" t="s">
        <v>88</v>
      </c>
      <c r="E63" s="57" t="s">
        <v>141</v>
      </c>
      <c r="F63" s="58" t="s">
        <v>19</v>
      </c>
      <c r="G63" s="70">
        <v>207.45</v>
      </c>
      <c r="H63" s="70"/>
      <c r="I63" s="58" t="s">
        <v>62</v>
      </c>
      <c r="J63" s="68" t="s">
        <v>21</v>
      </c>
      <c r="K63" s="68"/>
      <c r="L63" s="59"/>
      <c r="M63" s="69"/>
    </row>
    <row r="64" spans="1:13" x14ac:dyDescent="0.3">
      <c r="A64" s="57" t="s">
        <v>51</v>
      </c>
      <c r="B64" s="57" t="s">
        <v>140</v>
      </c>
      <c r="C64" s="57" t="s">
        <v>170</v>
      </c>
      <c r="D64" s="57" t="s">
        <v>88</v>
      </c>
      <c r="E64" s="57" t="s">
        <v>142</v>
      </c>
      <c r="F64" s="58" t="s">
        <v>19</v>
      </c>
      <c r="G64" s="70">
        <v>417.33</v>
      </c>
      <c r="H64" s="70"/>
      <c r="I64" s="58" t="s">
        <v>62</v>
      </c>
      <c r="J64" s="68" t="s">
        <v>21</v>
      </c>
      <c r="K64" s="68"/>
      <c r="L64" s="59"/>
      <c r="M64" s="69"/>
    </row>
    <row r="65" spans="1:13" x14ac:dyDescent="0.3">
      <c r="A65" s="57" t="s">
        <v>51</v>
      </c>
      <c r="B65" s="57" t="s">
        <v>140</v>
      </c>
      <c r="C65" s="57" t="s">
        <v>170</v>
      </c>
      <c r="D65" s="57" t="s">
        <v>88</v>
      </c>
      <c r="E65" s="57" t="s">
        <v>143</v>
      </c>
      <c r="F65" s="58" t="s">
        <v>19</v>
      </c>
      <c r="G65" s="70">
        <v>638.1</v>
      </c>
      <c r="H65" s="70"/>
      <c r="I65" s="58" t="s">
        <v>62</v>
      </c>
      <c r="J65" s="68" t="s">
        <v>21</v>
      </c>
      <c r="K65" s="68"/>
      <c r="L65" s="59"/>
      <c r="M65" s="69"/>
    </row>
    <row r="66" spans="1:13" x14ac:dyDescent="0.3">
      <c r="A66" s="57" t="s">
        <v>51</v>
      </c>
      <c r="B66" s="57" t="s">
        <v>140</v>
      </c>
      <c r="C66" s="57" t="s">
        <v>170</v>
      </c>
      <c r="D66" s="57" t="s">
        <v>88</v>
      </c>
      <c r="E66" s="57" t="s">
        <v>144</v>
      </c>
      <c r="F66" s="58" t="s">
        <v>19</v>
      </c>
      <c r="G66" s="70">
        <v>646.79999999999995</v>
      </c>
      <c r="H66" s="70"/>
      <c r="I66" s="58" t="s">
        <v>62</v>
      </c>
      <c r="J66" s="68" t="s">
        <v>21</v>
      </c>
      <c r="K66" s="68"/>
      <c r="L66" s="59"/>
      <c r="M66" s="69"/>
    </row>
    <row r="67" spans="1:13" x14ac:dyDescent="0.3">
      <c r="A67" s="57" t="s">
        <v>51</v>
      </c>
      <c r="B67" s="57" t="s">
        <v>140</v>
      </c>
      <c r="C67" s="57" t="s">
        <v>170</v>
      </c>
      <c r="D67" s="57" t="s">
        <v>88</v>
      </c>
      <c r="E67" s="57" t="s">
        <v>145</v>
      </c>
      <c r="F67" s="58" t="s">
        <v>19</v>
      </c>
      <c r="G67" s="67">
        <v>3454.67</v>
      </c>
      <c r="H67" s="67"/>
      <c r="I67" s="58" t="s">
        <v>62</v>
      </c>
      <c r="J67" s="68" t="s">
        <v>21</v>
      </c>
      <c r="K67" s="68"/>
      <c r="L67" s="59"/>
      <c r="M67" s="69"/>
    </row>
    <row r="68" spans="1:13" x14ac:dyDescent="0.3">
      <c r="A68" s="57" t="s">
        <v>51</v>
      </c>
      <c r="B68" s="57" t="s">
        <v>140</v>
      </c>
      <c r="C68" s="57" t="s">
        <v>170</v>
      </c>
      <c r="D68" s="57" t="s">
        <v>88</v>
      </c>
      <c r="E68" s="57" t="s">
        <v>146</v>
      </c>
      <c r="F68" s="58" t="s">
        <v>19</v>
      </c>
      <c r="G68" s="67">
        <v>9327.2199999999993</v>
      </c>
      <c r="H68" s="67"/>
      <c r="I68" s="58" t="s">
        <v>62</v>
      </c>
      <c r="J68" s="68" t="s">
        <v>21</v>
      </c>
      <c r="K68" s="68"/>
      <c r="L68" s="59"/>
      <c r="M68" s="69"/>
    </row>
    <row r="69" spans="1:13" x14ac:dyDescent="0.3">
      <c r="A69" s="57" t="s">
        <v>51</v>
      </c>
      <c r="B69" s="57" t="s">
        <v>140</v>
      </c>
      <c r="C69" s="57" t="s">
        <v>170</v>
      </c>
      <c r="D69" s="57" t="s">
        <v>88</v>
      </c>
      <c r="E69" s="57" t="s">
        <v>147</v>
      </c>
      <c r="F69" s="58" t="s">
        <v>19</v>
      </c>
      <c r="G69" s="67">
        <v>1313.86</v>
      </c>
      <c r="H69" s="67"/>
      <c r="I69" s="58" t="s">
        <v>62</v>
      </c>
      <c r="J69" s="68" t="s">
        <v>21</v>
      </c>
      <c r="K69" s="68"/>
      <c r="L69" s="59"/>
      <c r="M69" s="69"/>
    </row>
    <row r="70" spans="1:13" x14ac:dyDescent="0.3">
      <c r="A70" s="57" t="s">
        <v>51</v>
      </c>
      <c r="B70" s="57" t="s">
        <v>140</v>
      </c>
      <c r="C70" s="57" t="s">
        <v>170</v>
      </c>
      <c r="D70" s="57" t="s">
        <v>88</v>
      </c>
      <c r="E70" s="57" t="s">
        <v>148</v>
      </c>
      <c r="F70" s="58" t="s">
        <v>19</v>
      </c>
      <c r="G70" s="67">
        <v>6300</v>
      </c>
      <c r="H70" s="67"/>
      <c r="I70" s="58" t="s">
        <v>62</v>
      </c>
      <c r="J70" s="68" t="s">
        <v>21</v>
      </c>
      <c r="K70" s="68"/>
      <c r="L70" s="59"/>
      <c r="M70" s="69"/>
    </row>
    <row r="71" spans="1:13" x14ac:dyDescent="0.3">
      <c r="A71" s="57" t="s">
        <v>51</v>
      </c>
      <c r="B71" s="57" t="s">
        <v>140</v>
      </c>
      <c r="C71" s="57" t="s">
        <v>170</v>
      </c>
      <c r="D71" s="57" t="s">
        <v>88</v>
      </c>
      <c r="E71" s="57" t="s">
        <v>149</v>
      </c>
      <c r="F71" s="58" t="s">
        <v>19</v>
      </c>
      <c r="G71" s="70">
        <v>372.6</v>
      </c>
      <c r="H71" s="70"/>
      <c r="I71" s="58" t="s">
        <v>62</v>
      </c>
      <c r="J71" s="68" t="s">
        <v>21</v>
      </c>
      <c r="K71" s="68"/>
      <c r="L71" s="59"/>
      <c r="M71" s="69"/>
    </row>
    <row r="72" spans="1:13" x14ac:dyDescent="0.3">
      <c r="A72" s="57" t="s">
        <v>51</v>
      </c>
      <c r="B72" s="57" t="s">
        <v>140</v>
      </c>
      <c r="C72" s="57" t="s">
        <v>170</v>
      </c>
      <c r="D72" s="57" t="s">
        <v>88</v>
      </c>
      <c r="E72" s="57" t="s">
        <v>150</v>
      </c>
      <c r="F72" s="58" t="s">
        <v>19</v>
      </c>
      <c r="G72" s="67">
        <v>1293.5999999999999</v>
      </c>
      <c r="H72" s="67"/>
      <c r="I72" s="58" t="s">
        <v>62</v>
      </c>
      <c r="J72" s="68" t="s">
        <v>21</v>
      </c>
      <c r="K72" s="68"/>
      <c r="L72" s="59"/>
      <c r="M72" s="69"/>
    </row>
    <row r="73" spans="1:13" x14ac:dyDescent="0.3">
      <c r="A73" s="57" t="s">
        <v>51</v>
      </c>
      <c r="B73" s="57" t="s">
        <v>140</v>
      </c>
      <c r="C73" s="57" t="s">
        <v>170</v>
      </c>
      <c r="D73" s="57" t="s">
        <v>88</v>
      </c>
      <c r="E73" s="57" t="s">
        <v>151</v>
      </c>
      <c r="F73" s="58" t="s">
        <v>19</v>
      </c>
      <c r="G73" s="70">
        <v>464.4</v>
      </c>
      <c r="H73" s="70"/>
      <c r="I73" s="58" t="s">
        <v>62</v>
      </c>
      <c r="J73" s="68" t="s">
        <v>21</v>
      </c>
      <c r="K73" s="68"/>
      <c r="L73" s="59"/>
      <c r="M73" s="69"/>
    </row>
    <row r="74" spans="1:13" x14ac:dyDescent="0.3">
      <c r="A74" s="57" t="s">
        <v>51</v>
      </c>
      <c r="B74" s="57" t="s">
        <v>140</v>
      </c>
      <c r="C74" s="57" t="s">
        <v>170</v>
      </c>
      <c r="D74" s="57" t="s">
        <v>88</v>
      </c>
      <c r="E74" s="57" t="s">
        <v>152</v>
      </c>
      <c r="F74" s="58" t="s">
        <v>19</v>
      </c>
      <c r="G74" s="70">
        <v>218</v>
      </c>
      <c r="H74" s="70"/>
      <c r="I74" s="58" t="s">
        <v>62</v>
      </c>
      <c r="J74" s="68" t="s">
        <v>21</v>
      </c>
      <c r="K74" s="68"/>
      <c r="L74" s="59"/>
      <c r="M74" s="69"/>
    </row>
    <row r="75" spans="1:13" x14ac:dyDescent="0.3">
      <c r="A75" s="57" t="s">
        <v>51</v>
      </c>
      <c r="B75" s="57" t="s">
        <v>140</v>
      </c>
      <c r="C75" s="57" t="s">
        <v>170</v>
      </c>
      <c r="D75" s="57" t="s">
        <v>88</v>
      </c>
      <c r="E75" s="57" t="s">
        <v>153</v>
      </c>
      <c r="F75" s="58" t="s">
        <v>19</v>
      </c>
      <c r="G75" s="70">
        <v>165.83</v>
      </c>
      <c r="H75" s="70"/>
      <c r="I75" s="58" t="s">
        <v>62</v>
      </c>
      <c r="J75" s="68" t="s">
        <v>21</v>
      </c>
      <c r="K75" s="68"/>
      <c r="L75" s="59"/>
      <c r="M75" s="69"/>
    </row>
    <row r="76" spans="1:13" x14ac:dyDescent="0.3">
      <c r="A76" s="57" t="s">
        <v>51</v>
      </c>
      <c r="B76" s="57" t="s">
        <v>140</v>
      </c>
      <c r="C76" s="57" t="s">
        <v>170</v>
      </c>
      <c r="D76" s="57" t="s">
        <v>88</v>
      </c>
      <c r="E76" s="57" t="s">
        <v>154</v>
      </c>
      <c r="F76" s="58" t="s">
        <v>19</v>
      </c>
      <c r="G76" s="70">
        <v>249</v>
      </c>
      <c r="H76" s="70"/>
      <c r="I76" s="58" t="s">
        <v>62</v>
      </c>
      <c r="J76" s="68" t="s">
        <v>21</v>
      </c>
      <c r="K76" s="68"/>
      <c r="L76" s="59"/>
      <c r="M76" s="69"/>
    </row>
    <row r="77" spans="1:13" x14ac:dyDescent="0.3">
      <c r="A77" s="57" t="s">
        <v>51</v>
      </c>
      <c r="B77" s="57" t="s">
        <v>140</v>
      </c>
      <c r="C77" s="57" t="s">
        <v>170</v>
      </c>
      <c r="D77" s="57" t="s">
        <v>88</v>
      </c>
      <c r="E77" s="57" t="s">
        <v>155</v>
      </c>
      <c r="F77" s="58" t="s">
        <v>19</v>
      </c>
      <c r="G77" s="67">
        <v>6729.79</v>
      </c>
      <c r="H77" s="67"/>
      <c r="I77" s="58" t="s">
        <v>62</v>
      </c>
      <c r="J77" s="68" t="s">
        <v>21</v>
      </c>
      <c r="K77" s="68"/>
      <c r="L77" s="59"/>
      <c r="M77" s="69"/>
    </row>
    <row r="78" spans="1:13" x14ac:dyDescent="0.3">
      <c r="A78" s="57" t="s">
        <v>51</v>
      </c>
      <c r="B78" s="57" t="s">
        <v>140</v>
      </c>
      <c r="C78" s="57" t="s">
        <v>170</v>
      </c>
      <c r="D78" s="57" t="s">
        <v>88</v>
      </c>
      <c r="E78" s="57" t="s">
        <v>156</v>
      </c>
      <c r="F78" s="58" t="s">
        <v>19</v>
      </c>
      <c r="G78" s="67">
        <v>3479.86</v>
      </c>
      <c r="H78" s="67"/>
      <c r="I78" s="58" t="s">
        <v>62</v>
      </c>
      <c r="J78" s="68" t="s">
        <v>21</v>
      </c>
      <c r="K78" s="68"/>
      <c r="L78" s="59"/>
      <c r="M78" s="69"/>
    </row>
    <row r="79" spans="1:13" x14ac:dyDescent="0.3">
      <c r="A79" s="57" t="s">
        <v>51</v>
      </c>
      <c r="B79" s="57" t="s">
        <v>140</v>
      </c>
      <c r="C79" s="57" t="s">
        <v>170</v>
      </c>
      <c r="D79" s="57" t="s">
        <v>88</v>
      </c>
      <c r="E79" s="57" t="s">
        <v>157</v>
      </c>
      <c r="F79" s="58" t="s">
        <v>19</v>
      </c>
      <c r="G79" s="70">
        <v>122.5</v>
      </c>
      <c r="H79" s="70"/>
      <c r="I79" s="58" t="s">
        <v>62</v>
      </c>
      <c r="J79" s="68" t="s">
        <v>21</v>
      </c>
      <c r="K79" s="68"/>
      <c r="L79" s="59"/>
      <c r="M79" s="69"/>
    </row>
    <row r="80" spans="1:13" x14ac:dyDescent="0.3">
      <c r="A80" s="57" t="s">
        <v>158</v>
      </c>
      <c r="B80" s="57" t="s">
        <v>159</v>
      </c>
      <c r="C80" s="57" t="s">
        <v>171</v>
      </c>
      <c r="D80" s="57" t="s">
        <v>88</v>
      </c>
      <c r="E80" s="57" t="s">
        <v>114</v>
      </c>
      <c r="F80" s="58" t="s">
        <v>19</v>
      </c>
      <c r="G80" s="70">
        <v>139.11000000000001</v>
      </c>
      <c r="H80" s="70"/>
      <c r="I80" s="58" t="s">
        <v>62</v>
      </c>
      <c r="J80" s="68" t="s">
        <v>21</v>
      </c>
      <c r="K80" s="68"/>
      <c r="L80" s="59"/>
      <c r="M80" s="69"/>
    </row>
    <row r="81" spans="1:13" x14ac:dyDescent="0.3">
      <c r="A81" s="57" t="s">
        <v>158</v>
      </c>
      <c r="B81" s="57" t="s">
        <v>159</v>
      </c>
      <c r="C81" s="57" t="s">
        <v>171</v>
      </c>
      <c r="D81" s="57" t="s">
        <v>88</v>
      </c>
      <c r="E81" s="57" t="s">
        <v>116</v>
      </c>
      <c r="F81" s="58" t="s">
        <v>19</v>
      </c>
      <c r="G81" s="70">
        <v>187.84</v>
      </c>
      <c r="H81" s="70"/>
      <c r="I81" s="58" t="s">
        <v>62</v>
      </c>
      <c r="J81" s="68" t="s">
        <v>21</v>
      </c>
      <c r="K81" s="68"/>
      <c r="L81" s="59"/>
      <c r="M81" s="69"/>
    </row>
    <row r="82" spans="1:13" x14ac:dyDescent="0.3">
      <c r="A82" s="57" t="s">
        <v>158</v>
      </c>
      <c r="B82" s="57" t="s">
        <v>159</v>
      </c>
      <c r="C82" s="57" t="s">
        <v>171</v>
      </c>
      <c r="D82" s="57" t="s">
        <v>88</v>
      </c>
      <c r="E82" s="57" t="s">
        <v>118</v>
      </c>
      <c r="F82" s="58" t="s">
        <v>19</v>
      </c>
      <c r="G82" s="70">
        <v>191.43</v>
      </c>
      <c r="H82" s="70"/>
      <c r="I82" s="58" t="s">
        <v>62</v>
      </c>
      <c r="J82" s="68" t="s">
        <v>21</v>
      </c>
      <c r="K82" s="68"/>
      <c r="L82" s="59"/>
      <c r="M82" s="69"/>
    </row>
    <row r="83" spans="1:13" x14ac:dyDescent="0.3">
      <c r="A83" s="57" t="s">
        <v>158</v>
      </c>
      <c r="B83" s="57" t="s">
        <v>159</v>
      </c>
      <c r="C83" s="57" t="s">
        <v>171</v>
      </c>
      <c r="D83" s="57" t="s">
        <v>88</v>
      </c>
      <c r="E83" s="57" t="s">
        <v>121</v>
      </c>
      <c r="F83" s="58" t="s">
        <v>19</v>
      </c>
      <c r="G83" s="67">
        <v>3554.47</v>
      </c>
      <c r="H83" s="67"/>
      <c r="I83" s="58" t="s">
        <v>62</v>
      </c>
      <c r="J83" s="68" t="s">
        <v>21</v>
      </c>
      <c r="K83" s="68"/>
      <c r="L83" s="59"/>
      <c r="M83" s="69"/>
    </row>
    <row r="84" spans="1:13" x14ac:dyDescent="0.3">
      <c r="A84" s="57" t="s">
        <v>158</v>
      </c>
      <c r="B84" s="57" t="s">
        <v>159</v>
      </c>
      <c r="C84" s="57" t="s">
        <v>171</v>
      </c>
      <c r="D84" s="57" t="s">
        <v>88</v>
      </c>
      <c r="E84" s="57" t="s">
        <v>123</v>
      </c>
      <c r="F84" s="58" t="s">
        <v>19</v>
      </c>
      <c r="G84" s="70">
        <v>85.8</v>
      </c>
      <c r="H84" s="70"/>
      <c r="I84" s="58" t="s">
        <v>62</v>
      </c>
      <c r="J84" s="68" t="s">
        <v>21</v>
      </c>
      <c r="K84" s="68"/>
      <c r="L84" s="59"/>
      <c r="M84" s="69"/>
    </row>
    <row r="85" spans="1:13" x14ac:dyDescent="0.3">
      <c r="A85" s="57" t="s">
        <v>158</v>
      </c>
      <c r="B85" s="57" t="s">
        <v>159</v>
      </c>
      <c r="C85" s="57" t="s">
        <v>171</v>
      </c>
      <c r="D85" s="57" t="s">
        <v>88</v>
      </c>
      <c r="E85" s="57" t="s">
        <v>125</v>
      </c>
      <c r="F85" s="58" t="s">
        <v>19</v>
      </c>
      <c r="G85" s="70">
        <v>472.5</v>
      </c>
      <c r="H85" s="70"/>
      <c r="I85" s="58" t="s">
        <v>62</v>
      </c>
      <c r="J85" s="68" t="s">
        <v>21</v>
      </c>
      <c r="K85" s="68"/>
      <c r="L85" s="59"/>
      <c r="M85" s="69"/>
    </row>
    <row r="86" spans="1:13" x14ac:dyDescent="0.3">
      <c r="A86" s="57" t="s">
        <v>158</v>
      </c>
      <c r="B86" s="57" t="s">
        <v>159</v>
      </c>
      <c r="C86" s="57" t="s">
        <v>171</v>
      </c>
      <c r="D86" s="57" t="s">
        <v>88</v>
      </c>
      <c r="E86" s="57" t="s">
        <v>125</v>
      </c>
      <c r="F86" s="58" t="s">
        <v>19</v>
      </c>
      <c r="G86" s="70">
        <v>289</v>
      </c>
      <c r="H86" s="70"/>
      <c r="I86" s="58" t="s">
        <v>62</v>
      </c>
      <c r="J86" s="68" t="s">
        <v>21</v>
      </c>
      <c r="K86" s="68"/>
      <c r="L86" s="59"/>
      <c r="M86" s="69"/>
    </row>
    <row r="87" spans="1:13" x14ac:dyDescent="0.3">
      <c r="A87" s="57" t="s">
        <v>158</v>
      </c>
      <c r="B87" s="57" t="s">
        <v>159</v>
      </c>
      <c r="C87" s="57" t="s">
        <v>171</v>
      </c>
      <c r="D87" s="57" t="s">
        <v>88</v>
      </c>
      <c r="E87" s="57" t="s">
        <v>127</v>
      </c>
      <c r="F87" s="58" t="s">
        <v>19</v>
      </c>
      <c r="G87" s="70">
        <v>854.15</v>
      </c>
      <c r="H87" s="70"/>
      <c r="I87" s="58" t="s">
        <v>62</v>
      </c>
      <c r="J87" s="68" t="s">
        <v>21</v>
      </c>
      <c r="K87" s="68"/>
      <c r="L87" s="59"/>
      <c r="M87" s="69"/>
    </row>
    <row r="88" spans="1:13" x14ac:dyDescent="0.3">
      <c r="A88" s="57" t="s">
        <v>158</v>
      </c>
      <c r="B88" s="57" t="s">
        <v>159</v>
      </c>
      <c r="C88" s="57" t="s">
        <v>171</v>
      </c>
      <c r="D88" s="57" t="s">
        <v>88</v>
      </c>
      <c r="E88" s="57" t="s">
        <v>129</v>
      </c>
      <c r="F88" s="58" t="s">
        <v>19</v>
      </c>
      <c r="G88" s="70">
        <v>210.64</v>
      </c>
      <c r="H88" s="70"/>
      <c r="I88" s="58" t="s">
        <v>62</v>
      </c>
      <c r="J88" s="68" t="s">
        <v>21</v>
      </c>
      <c r="K88" s="68"/>
      <c r="L88" s="59"/>
      <c r="M88" s="69"/>
    </row>
    <row r="89" spans="1:13" x14ac:dyDescent="0.3">
      <c r="A89" s="57" t="s">
        <v>158</v>
      </c>
      <c r="B89" s="57" t="s">
        <v>159</v>
      </c>
      <c r="C89" s="57" t="s">
        <v>171</v>
      </c>
      <c r="D89" s="57" t="s">
        <v>88</v>
      </c>
      <c r="E89" s="57" t="s">
        <v>160</v>
      </c>
      <c r="F89" s="58" t="s">
        <v>19</v>
      </c>
      <c r="G89" s="70">
        <v>52.5</v>
      </c>
      <c r="H89" s="70"/>
      <c r="I89" s="58" t="s">
        <v>62</v>
      </c>
      <c r="J89" s="68" t="s">
        <v>21</v>
      </c>
      <c r="K89" s="68"/>
      <c r="L89" s="59"/>
      <c r="M89" s="69"/>
    </row>
    <row r="90" spans="1:13" x14ac:dyDescent="0.3">
      <c r="A90" s="57" t="s">
        <v>158</v>
      </c>
      <c r="B90" s="57" t="s">
        <v>159</v>
      </c>
      <c r="C90" s="57" t="s">
        <v>171</v>
      </c>
      <c r="D90" s="57" t="s">
        <v>88</v>
      </c>
      <c r="E90" s="57" t="s">
        <v>130</v>
      </c>
      <c r="F90" s="58" t="s">
        <v>19</v>
      </c>
      <c r="G90" s="70">
        <v>69.150000000000006</v>
      </c>
      <c r="H90" s="70"/>
      <c r="I90" s="58" t="s">
        <v>62</v>
      </c>
      <c r="J90" s="68" t="s">
        <v>21</v>
      </c>
      <c r="K90" s="68"/>
      <c r="L90" s="59"/>
      <c r="M90" s="69"/>
    </row>
    <row r="91" spans="1:13" x14ac:dyDescent="0.3">
      <c r="A91" s="57" t="s">
        <v>158</v>
      </c>
      <c r="B91" s="57" t="s">
        <v>159</v>
      </c>
      <c r="C91" s="57" t="s">
        <v>171</v>
      </c>
      <c r="D91" s="57" t="s">
        <v>88</v>
      </c>
      <c r="E91" s="57" t="s">
        <v>161</v>
      </c>
      <c r="F91" s="58" t="s">
        <v>19</v>
      </c>
      <c r="G91" s="70">
        <v>207.45</v>
      </c>
      <c r="H91" s="70"/>
      <c r="I91" s="58" t="s">
        <v>62</v>
      </c>
      <c r="J91" s="68" t="s">
        <v>21</v>
      </c>
      <c r="K91" s="68"/>
      <c r="L91" s="59"/>
      <c r="M91" s="69"/>
    </row>
    <row r="92" spans="1:13" x14ac:dyDescent="0.3">
      <c r="A92" s="57" t="s">
        <v>158</v>
      </c>
      <c r="B92" s="57" t="s">
        <v>159</v>
      </c>
      <c r="C92" s="57" t="s">
        <v>171</v>
      </c>
      <c r="D92" s="57" t="s">
        <v>88</v>
      </c>
      <c r="E92" s="57" t="s">
        <v>132</v>
      </c>
      <c r="F92" s="58" t="s">
        <v>19</v>
      </c>
      <c r="G92" s="70">
        <v>345.48</v>
      </c>
      <c r="H92" s="70"/>
      <c r="I92" s="58" t="s">
        <v>62</v>
      </c>
      <c r="J92" s="68" t="s">
        <v>21</v>
      </c>
      <c r="K92" s="68"/>
      <c r="L92" s="59"/>
      <c r="M92" s="69"/>
    </row>
    <row r="93" spans="1:13" x14ac:dyDescent="0.3">
      <c r="A93" s="57" t="s">
        <v>158</v>
      </c>
      <c r="B93" s="57" t="s">
        <v>159</v>
      </c>
      <c r="C93" s="57" t="s">
        <v>171</v>
      </c>
      <c r="D93" s="57" t="s">
        <v>88</v>
      </c>
      <c r="E93" s="57" t="s">
        <v>134</v>
      </c>
      <c r="F93" s="58" t="s">
        <v>19</v>
      </c>
      <c r="G93" s="70">
        <v>185.8</v>
      </c>
      <c r="H93" s="70"/>
      <c r="I93" s="58" t="s">
        <v>62</v>
      </c>
      <c r="J93" s="68" t="s">
        <v>21</v>
      </c>
      <c r="K93" s="68"/>
      <c r="L93" s="59"/>
      <c r="M93" s="69"/>
    </row>
    <row r="94" spans="1:13" x14ac:dyDescent="0.3">
      <c r="A94" s="57" t="s">
        <v>158</v>
      </c>
      <c r="B94" s="57" t="s">
        <v>159</v>
      </c>
      <c r="C94" s="57" t="s">
        <v>171</v>
      </c>
      <c r="D94" s="57" t="s">
        <v>88</v>
      </c>
      <c r="E94" s="57" t="s">
        <v>137</v>
      </c>
      <c r="F94" s="58" t="s">
        <v>19</v>
      </c>
      <c r="G94" s="70">
        <v>254</v>
      </c>
      <c r="H94" s="70"/>
      <c r="I94" s="58" t="s">
        <v>62</v>
      </c>
      <c r="J94" s="68" t="s">
        <v>21</v>
      </c>
      <c r="K94" s="68"/>
      <c r="L94" s="59"/>
      <c r="M94" s="69"/>
    </row>
    <row r="95" spans="1:13" x14ac:dyDescent="0.3">
      <c r="A95" s="57" t="s">
        <v>158</v>
      </c>
      <c r="B95" s="57" t="s">
        <v>159</v>
      </c>
      <c r="C95" s="57" t="s">
        <v>171</v>
      </c>
      <c r="D95" s="57" t="s">
        <v>88</v>
      </c>
      <c r="E95" s="57" t="s">
        <v>139</v>
      </c>
      <c r="F95" s="58" t="s">
        <v>19</v>
      </c>
      <c r="G95" s="67">
        <v>3484.57</v>
      </c>
      <c r="H95" s="67"/>
      <c r="I95" s="58" t="s">
        <v>62</v>
      </c>
      <c r="J95" s="68" t="s">
        <v>21</v>
      </c>
      <c r="K95" s="68"/>
      <c r="L95" s="59"/>
      <c r="M95" s="69"/>
    </row>
    <row r="96" spans="1:13" x14ac:dyDescent="0.3">
      <c r="A96" s="57" t="s">
        <v>59</v>
      </c>
      <c r="B96" s="57" t="s">
        <v>162</v>
      </c>
      <c r="C96" s="57" t="s">
        <v>172</v>
      </c>
      <c r="D96" s="57" t="s">
        <v>88</v>
      </c>
      <c r="E96" s="57" t="s">
        <v>163</v>
      </c>
      <c r="F96" s="58" t="s">
        <v>19</v>
      </c>
      <c r="G96" s="70">
        <v>323.39999999999998</v>
      </c>
      <c r="H96" s="70"/>
      <c r="I96" s="58" t="s">
        <v>62</v>
      </c>
      <c r="J96" s="68" t="s">
        <v>21</v>
      </c>
      <c r="K96" s="68"/>
      <c r="L96" s="59"/>
      <c r="M96" s="69"/>
    </row>
    <row r="97" spans="1:13" x14ac:dyDescent="0.3">
      <c r="A97" s="57" t="s">
        <v>59</v>
      </c>
      <c r="B97" s="57" t="s">
        <v>162</v>
      </c>
      <c r="C97" s="57" t="s">
        <v>172</v>
      </c>
      <c r="D97" s="57" t="s">
        <v>88</v>
      </c>
      <c r="E97" s="57" t="s">
        <v>164</v>
      </c>
      <c r="F97" s="58" t="s">
        <v>19</v>
      </c>
      <c r="G97" s="70">
        <v>699.21</v>
      </c>
      <c r="H97" s="70"/>
      <c r="I97" s="58" t="s">
        <v>62</v>
      </c>
      <c r="J97" s="68" t="s">
        <v>21</v>
      </c>
      <c r="K97" s="68"/>
      <c r="L97" s="59"/>
      <c r="M97" s="69"/>
    </row>
    <row r="98" spans="1:13" x14ac:dyDescent="0.3">
      <c r="A98" s="57" t="s">
        <v>59</v>
      </c>
      <c r="B98" s="57" t="s">
        <v>162</v>
      </c>
      <c r="C98" s="57" t="s">
        <v>172</v>
      </c>
      <c r="D98" s="57" t="s">
        <v>88</v>
      </c>
      <c r="E98" s="57" t="s">
        <v>165</v>
      </c>
      <c r="F98" s="58" t="s">
        <v>19</v>
      </c>
      <c r="G98" s="70">
        <v>315</v>
      </c>
      <c r="H98" s="70"/>
      <c r="I98" s="58" t="s">
        <v>62</v>
      </c>
      <c r="J98" s="68" t="s">
        <v>21</v>
      </c>
      <c r="K98" s="68"/>
      <c r="L98" s="59"/>
      <c r="M98" s="69"/>
    </row>
    <row r="99" spans="1:13" x14ac:dyDescent="0.3">
      <c r="A99" s="57" t="s">
        <v>59</v>
      </c>
      <c r="B99" s="57" t="s">
        <v>162</v>
      </c>
      <c r="C99" s="57" t="s">
        <v>172</v>
      </c>
      <c r="D99" s="57" t="s">
        <v>88</v>
      </c>
      <c r="E99" s="57" t="s">
        <v>165</v>
      </c>
      <c r="F99" s="58" t="s">
        <v>19</v>
      </c>
      <c r="G99" s="70">
        <v>644</v>
      </c>
      <c r="H99" s="70"/>
      <c r="I99" s="58" t="s">
        <v>62</v>
      </c>
      <c r="J99" s="68" t="s">
        <v>21</v>
      </c>
      <c r="K99" s="68"/>
      <c r="L99" s="59"/>
      <c r="M99" s="69"/>
    </row>
    <row r="100" spans="1:13" x14ac:dyDescent="0.3">
      <c r="A100" s="57" t="s">
        <v>59</v>
      </c>
      <c r="B100" s="57" t="s">
        <v>162</v>
      </c>
      <c r="C100" s="57" t="s">
        <v>172</v>
      </c>
      <c r="D100" s="57" t="s">
        <v>88</v>
      </c>
      <c r="E100" s="57" t="s">
        <v>166</v>
      </c>
      <c r="F100" s="58" t="s">
        <v>19</v>
      </c>
      <c r="G100" s="70">
        <v>186.3</v>
      </c>
      <c r="H100" s="70"/>
      <c r="I100" s="58" t="s">
        <v>62</v>
      </c>
      <c r="J100" s="68" t="s">
        <v>21</v>
      </c>
      <c r="K100" s="68"/>
      <c r="L100" s="59"/>
      <c r="M100" s="69"/>
    </row>
    <row r="101" spans="1:13" x14ac:dyDescent="0.3">
      <c r="A101" s="57" t="s">
        <v>59</v>
      </c>
      <c r="B101" s="57" t="s">
        <v>162</v>
      </c>
      <c r="C101" s="57" t="s">
        <v>172</v>
      </c>
      <c r="D101" s="57" t="s">
        <v>88</v>
      </c>
      <c r="E101" s="57" t="s">
        <v>167</v>
      </c>
      <c r="F101" s="58" t="s">
        <v>19</v>
      </c>
      <c r="G101" s="70">
        <v>521.25</v>
      </c>
      <c r="H101" s="70"/>
      <c r="I101" s="58" t="s">
        <v>62</v>
      </c>
      <c r="J101" s="68" t="s">
        <v>21</v>
      </c>
      <c r="K101" s="68"/>
      <c r="L101" s="59"/>
      <c r="M101" s="69"/>
    </row>
    <row r="102" spans="1:13" x14ac:dyDescent="0.3">
      <c r="A102" s="57" t="s">
        <v>59</v>
      </c>
      <c r="B102" s="57" t="s">
        <v>162</v>
      </c>
      <c r="C102" s="57" t="s">
        <v>172</v>
      </c>
      <c r="D102" s="57" t="s">
        <v>88</v>
      </c>
      <c r="E102" s="57" t="s">
        <v>168</v>
      </c>
      <c r="F102" s="58" t="s">
        <v>19</v>
      </c>
      <c r="G102" s="70">
        <v>562.92999999999995</v>
      </c>
      <c r="H102" s="70"/>
      <c r="I102" s="58" t="s">
        <v>62</v>
      </c>
      <c r="J102" s="68" t="s">
        <v>21</v>
      </c>
      <c r="K102" s="68"/>
      <c r="L102" s="59"/>
      <c r="M102" s="69"/>
    </row>
    <row r="103" spans="1:13" x14ac:dyDescent="0.3">
      <c r="A103" s="60" t="s">
        <v>81</v>
      </c>
      <c r="B103" s="60"/>
      <c r="C103" s="60"/>
      <c r="D103" s="60"/>
      <c r="E103" s="60"/>
      <c r="F103" s="71">
        <v>111227.97</v>
      </c>
      <c r="G103" s="71"/>
      <c r="H103" s="71"/>
      <c r="I103" s="72">
        <v>0</v>
      </c>
      <c r="J103" s="72"/>
      <c r="K103" s="72"/>
      <c r="L103" s="61"/>
      <c r="M103" s="73">
        <v>0</v>
      </c>
    </row>
    <row r="106" spans="1:13" x14ac:dyDescent="0.3">
      <c r="C106" s="57" t="s">
        <v>169</v>
      </c>
      <c r="D106" s="76">
        <f>SUM(G11:H62)</f>
        <v>61990.98000000001</v>
      </c>
    </row>
    <row r="107" spans="1:13" x14ac:dyDescent="0.3">
      <c r="C107" s="57" t="s">
        <v>170</v>
      </c>
      <c r="D107" s="77">
        <f>SUM(G63:H79)</f>
        <v>35401.01</v>
      </c>
    </row>
    <row r="108" spans="1:13" x14ac:dyDescent="0.3">
      <c r="C108" s="57" t="s">
        <v>171</v>
      </c>
      <c r="D108" s="77">
        <f>SUM(G80:H95)</f>
        <v>10583.89</v>
      </c>
    </row>
    <row r="109" spans="1:13" x14ac:dyDescent="0.3">
      <c r="C109" s="57" t="s">
        <v>172</v>
      </c>
      <c r="D109" s="77">
        <f>SUM(G96:H102)</f>
        <v>3252.09</v>
      </c>
    </row>
    <row r="110" spans="1:13" x14ac:dyDescent="0.3">
      <c r="D110" s="76">
        <f>SUM(D106:D109)</f>
        <v>111227.97000000002</v>
      </c>
      <c r="E110" t="s">
        <v>173</v>
      </c>
    </row>
    <row r="118" spans="3:7" x14ac:dyDescent="0.3">
      <c r="C118" s="57"/>
    </row>
    <row r="119" spans="3:7" x14ac:dyDescent="0.3">
      <c r="C119" s="57" t="s">
        <v>179</v>
      </c>
      <c r="D119" s="76">
        <f>D106+D107+Sheet1!F75+Sheet1!F77</f>
        <v>105374.15000000002</v>
      </c>
    </row>
    <row r="120" spans="3:7" x14ac:dyDescent="0.3">
      <c r="C120" s="57" t="s">
        <v>171</v>
      </c>
      <c r="D120" s="77">
        <f>D108+Sheet1!F76</f>
        <v>12679.83</v>
      </c>
    </row>
    <row r="121" spans="3:7" x14ac:dyDescent="0.3">
      <c r="C121" s="57" t="s">
        <v>172</v>
      </c>
      <c r="D121" s="77">
        <f>D109+Sheet1!F78</f>
        <v>3486.9500000000003</v>
      </c>
    </row>
    <row r="122" spans="3:7" x14ac:dyDescent="0.3">
      <c r="D122" s="76">
        <f>SUM(D119:D121)</f>
        <v>121540.93000000002</v>
      </c>
      <c r="F122" t="s">
        <v>180</v>
      </c>
      <c r="G122" t="s">
        <v>181</v>
      </c>
    </row>
    <row r="123" spans="3:7" x14ac:dyDescent="0.3">
      <c r="D123">
        <f>D122*1.2</f>
        <v>145849.11600000001</v>
      </c>
      <c r="F123">
        <f>D123+Sheet1!F79*1.2</f>
        <v>146855.61600000001</v>
      </c>
    </row>
  </sheetData>
  <mergeCells count="198">
    <mergeCell ref="G102:H102"/>
    <mergeCell ref="J102:K102"/>
    <mergeCell ref="A103:E103"/>
    <mergeCell ref="F103:H103"/>
    <mergeCell ref="I103:K103"/>
    <mergeCell ref="G99:H99"/>
    <mergeCell ref="J99:K99"/>
    <mergeCell ref="G100:H100"/>
    <mergeCell ref="J100:K100"/>
    <mergeCell ref="G101:H101"/>
    <mergeCell ref="J101:K101"/>
    <mergeCell ref="G96:H96"/>
    <mergeCell ref="J96:K96"/>
    <mergeCell ref="G97:H97"/>
    <mergeCell ref="J97:K97"/>
    <mergeCell ref="G98:H98"/>
    <mergeCell ref="J98:K98"/>
    <mergeCell ref="G93:H93"/>
    <mergeCell ref="J93:K93"/>
    <mergeCell ref="G94:H94"/>
    <mergeCell ref="J94:K94"/>
    <mergeCell ref="G95:H95"/>
    <mergeCell ref="J95:K95"/>
    <mergeCell ref="G90:H90"/>
    <mergeCell ref="J90:K90"/>
    <mergeCell ref="G91:H91"/>
    <mergeCell ref="J91:K91"/>
    <mergeCell ref="G92:H92"/>
    <mergeCell ref="J92:K92"/>
    <mergeCell ref="G87:H87"/>
    <mergeCell ref="J87:K87"/>
    <mergeCell ref="G88:H88"/>
    <mergeCell ref="J88:K88"/>
    <mergeCell ref="G89:H89"/>
    <mergeCell ref="J89:K89"/>
    <mergeCell ref="G84:H84"/>
    <mergeCell ref="J84:K84"/>
    <mergeCell ref="G85:H85"/>
    <mergeCell ref="J85:K85"/>
    <mergeCell ref="G86:H86"/>
    <mergeCell ref="J86:K86"/>
    <mergeCell ref="G81:H81"/>
    <mergeCell ref="J81:K81"/>
    <mergeCell ref="G82:H82"/>
    <mergeCell ref="J82:K82"/>
    <mergeCell ref="G83:H83"/>
    <mergeCell ref="J83:K83"/>
    <mergeCell ref="G78:H78"/>
    <mergeCell ref="J78:K78"/>
    <mergeCell ref="G79:H79"/>
    <mergeCell ref="J79:K79"/>
    <mergeCell ref="G80:H80"/>
    <mergeCell ref="J80:K80"/>
    <mergeCell ref="G75:H75"/>
    <mergeCell ref="J75:K75"/>
    <mergeCell ref="G76:H76"/>
    <mergeCell ref="J76:K76"/>
    <mergeCell ref="G77:H77"/>
    <mergeCell ref="J77:K77"/>
    <mergeCell ref="G72:H72"/>
    <mergeCell ref="J72:K72"/>
    <mergeCell ref="G73:H73"/>
    <mergeCell ref="J73:K73"/>
    <mergeCell ref="G74:H74"/>
    <mergeCell ref="J74:K74"/>
    <mergeCell ref="G69:H69"/>
    <mergeCell ref="J69:K69"/>
    <mergeCell ref="G70:H70"/>
    <mergeCell ref="J70:K70"/>
    <mergeCell ref="G71:H71"/>
    <mergeCell ref="J71:K71"/>
    <mergeCell ref="G66:H66"/>
    <mergeCell ref="J66:K66"/>
    <mergeCell ref="G67:H67"/>
    <mergeCell ref="J67:K67"/>
    <mergeCell ref="G68:H68"/>
    <mergeCell ref="J68:K68"/>
    <mergeCell ref="G63:H63"/>
    <mergeCell ref="J63:K63"/>
    <mergeCell ref="G64:H64"/>
    <mergeCell ref="J64:K64"/>
    <mergeCell ref="G65:H65"/>
    <mergeCell ref="J65:K65"/>
    <mergeCell ref="G60:H60"/>
    <mergeCell ref="J60:K60"/>
    <mergeCell ref="G61:H61"/>
    <mergeCell ref="J61:K61"/>
    <mergeCell ref="G62:H62"/>
    <mergeCell ref="J62:K62"/>
    <mergeCell ref="G57:H57"/>
    <mergeCell ref="J57:K57"/>
    <mergeCell ref="G58:H58"/>
    <mergeCell ref="J58:K58"/>
    <mergeCell ref="G59:H59"/>
    <mergeCell ref="J59:K59"/>
    <mergeCell ref="G54:H54"/>
    <mergeCell ref="J54:K54"/>
    <mergeCell ref="G55:H55"/>
    <mergeCell ref="J55:K55"/>
    <mergeCell ref="G56:H56"/>
    <mergeCell ref="J56:K56"/>
    <mergeCell ref="G51:H51"/>
    <mergeCell ref="J51:K51"/>
    <mergeCell ref="G52:H52"/>
    <mergeCell ref="J52:K52"/>
    <mergeCell ref="G53:H53"/>
    <mergeCell ref="J53:K53"/>
    <mergeCell ref="G48:H48"/>
    <mergeCell ref="J48:K48"/>
    <mergeCell ref="G49:H49"/>
    <mergeCell ref="J49:K49"/>
    <mergeCell ref="G50:H50"/>
    <mergeCell ref="J50:K50"/>
    <mergeCell ref="G45:H45"/>
    <mergeCell ref="J45:K45"/>
    <mergeCell ref="G46:H46"/>
    <mergeCell ref="J46:K46"/>
    <mergeCell ref="G47:H47"/>
    <mergeCell ref="J47:K47"/>
    <mergeCell ref="G42:H42"/>
    <mergeCell ref="J42:K42"/>
    <mergeCell ref="G43:H43"/>
    <mergeCell ref="J43:K43"/>
    <mergeCell ref="G44:H44"/>
    <mergeCell ref="J44:K44"/>
    <mergeCell ref="G39:H39"/>
    <mergeCell ref="J39:K39"/>
    <mergeCell ref="G40:H40"/>
    <mergeCell ref="J40:K40"/>
    <mergeCell ref="G41:H41"/>
    <mergeCell ref="J41:K41"/>
    <mergeCell ref="G36:H36"/>
    <mergeCell ref="J36:K36"/>
    <mergeCell ref="G37:H37"/>
    <mergeCell ref="J37:K37"/>
    <mergeCell ref="G38:H38"/>
    <mergeCell ref="J38:K38"/>
    <mergeCell ref="G33:H33"/>
    <mergeCell ref="J33:K33"/>
    <mergeCell ref="G34:H34"/>
    <mergeCell ref="J34:K34"/>
    <mergeCell ref="G35:H35"/>
    <mergeCell ref="J35:K35"/>
    <mergeCell ref="G30:H30"/>
    <mergeCell ref="J30:K30"/>
    <mergeCell ref="G31:H31"/>
    <mergeCell ref="J31:K31"/>
    <mergeCell ref="G32:H32"/>
    <mergeCell ref="J32:K32"/>
    <mergeCell ref="G27:H27"/>
    <mergeCell ref="J27:K27"/>
    <mergeCell ref="G28:H28"/>
    <mergeCell ref="J28:K28"/>
    <mergeCell ref="G29:H29"/>
    <mergeCell ref="J29:K29"/>
    <mergeCell ref="G24:H24"/>
    <mergeCell ref="J24:K24"/>
    <mergeCell ref="G25:H25"/>
    <mergeCell ref="J25:K25"/>
    <mergeCell ref="G26:H26"/>
    <mergeCell ref="J26:K26"/>
    <mergeCell ref="G21:H21"/>
    <mergeCell ref="J21:K21"/>
    <mergeCell ref="G22:H22"/>
    <mergeCell ref="J22:K22"/>
    <mergeCell ref="G23:H23"/>
    <mergeCell ref="J23:K23"/>
    <mergeCell ref="G18:H18"/>
    <mergeCell ref="J18:K18"/>
    <mergeCell ref="G19:H19"/>
    <mergeCell ref="J19:K19"/>
    <mergeCell ref="G20:H20"/>
    <mergeCell ref="J20:K20"/>
    <mergeCell ref="G15:H15"/>
    <mergeCell ref="J15:K15"/>
    <mergeCell ref="G16:H16"/>
    <mergeCell ref="J16:K16"/>
    <mergeCell ref="G17:H17"/>
    <mergeCell ref="J17:K17"/>
    <mergeCell ref="G12:H12"/>
    <mergeCell ref="J12:K12"/>
    <mergeCell ref="G13:H13"/>
    <mergeCell ref="J13:K13"/>
    <mergeCell ref="G14:H14"/>
    <mergeCell ref="J14:K14"/>
    <mergeCell ref="L8:M9"/>
    <mergeCell ref="G9:H9"/>
    <mergeCell ref="J9:K9"/>
    <mergeCell ref="A10:E10"/>
    <mergeCell ref="F10:K10"/>
    <mergeCell ref="G11:H11"/>
    <mergeCell ref="J11:K11"/>
    <mergeCell ref="A8:A9"/>
    <mergeCell ref="B8:B9"/>
    <mergeCell ref="D8:D9"/>
    <mergeCell ref="E8:E9"/>
    <mergeCell ref="F8:H8"/>
    <mergeCell ref="I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I.antonov</dc:creator>
  <cp:lastModifiedBy>I.antonov</cp:lastModifiedBy>
  <dcterms:created xsi:type="dcterms:W3CDTF">2015-06-05T18:17:20Z</dcterms:created>
  <dcterms:modified xsi:type="dcterms:W3CDTF">2025-10-20T13:03:35Z</dcterms:modified>
</cp:coreProperties>
</file>